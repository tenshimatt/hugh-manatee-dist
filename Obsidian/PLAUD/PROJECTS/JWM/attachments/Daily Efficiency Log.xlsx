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jwmcd-my.sharepoint.com/personal/cball_jwmcd_com/Documents/Desktop/"/>
    </mc:Choice>
  </mc:AlternateContent>
  <xr:revisionPtr revIDLastSave="0" documentId="8_{B2C380FF-8392-4C0E-889A-728660ED2F61}" xr6:coauthVersionLast="47" xr6:coauthVersionMax="47" xr10:uidLastSave="{00000000-0000-0000-0000-000000000000}"/>
  <bookViews>
    <workbookView xWindow="-110" yWindow="-110" windowWidth="19420" windowHeight="11500" firstSheet="3" activeTab="10" xr2:uid="{FBCFB90D-C2CE-4435-9D4C-B446184E538B}"/>
  </bookViews>
  <sheets>
    <sheet name="Tube Laser" sheetId="47" r:id="rId1"/>
    <sheet name="Flat Laser" sheetId="48" r:id="rId2"/>
    <sheet name="Punch" sheetId="49" r:id="rId3"/>
    <sheet name="Level" sheetId="60" r:id="rId4"/>
    <sheet name="Finish" sheetId="46" r:id="rId5"/>
    <sheet name="PEM" sheetId="50" r:id="rId6"/>
    <sheet name="ASM" sheetId="51" r:id="rId7"/>
    <sheet name="Form" sheetId="52" r:id="rId8"/>
    <sheet name="Weld" sheetId="62" r:id="rId9"/>
    <sheet name="Titus Weld" sheetId="54" r:id="rId10"/>
    <sheet name="MacGyver Weld" sheetId="55" r:id="rId11"/>
    <sheet name="Grind" sheetId="56" r:id="rId12"/>
    <sheet name="Robot Weld" sheetId="57" r:id="rId13"/>
    <sheet name="Roll" sheetId="58" r:id="rId14"/>
    <sheet name="MA" sheetId="59" r:id="rId15"/>
    <sheet name="RW" sheetId="61" r:id="rId16"/>
    <sheet name="Data" sheetId="66" r:id="rId17"/>
    <sheet name="Downtime" sheetId="45" r:id="rId1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8" i="47" l="1"/>
  <c r="C97" i="47"/>
  <c r="C96" i="47"/>
  <c r="C95" i="47"/>
  <c r="C89" i="47"/>
  <c r="C90" i="47"/>
  <c r="C91" i="47"/>
  <c r="C92" i="47"/>
  <c r="C93" i="47"/>
  <c r="C94" i="47"/>
  <c r="L60" i="48"/>
  <c r="C52" i="47"/>
  <c r="C53" i="47"/>
  <c r="C54" i="47"/>
  <c r="C55" i="47"/>
  <c r="C56" i="47"/>
  <c r="C57" i="47"/>
  <c r="C59" i="48"/>
  <c r="AA46" i="49"/>
  <c r="AA47" i="49"/>
  <c r="AA48" i="49"/>
  <c r="AA49" i="49"/>
  <c r="AA50" i="49"/>
  <c r="AA51" i="49"/>
  <c r="AA52" i="49"/>
  <c r="AA53" i="49"/>
  <c r="AA54" i="49"/>
  <c r="AA55" i="49"/>
  <c r="AA56" i="49"/>
  <c r="AA57" i="49"/>
  <c r="AA58" i="49"/>
  <c r="AA59" i="49"/>
  <c r="AA60" i="49"/>
  <c r="AA61" i="49"/>
  <c r="AA62" i="49"/>
  <c r="AA63" i="49"/>
  <c r="AA64" i="49"/>
  <c r="AA65" i="49"/>
  <c r="AA66" i="49"/>
  <c r="AA67" i="49"/>
  <c r="AA68" i="49"/>
  <c r="AA69" i="49"/>
  <c r="AA70" i="49"/>
  <c r="AA71" i="49"/>
  <c r="AA72" i="49"/>
  <c r="AA73" i="49"/>
  <c r="AA74" i="49"/>
  <c r="AA75" i="49"/>
  <c r="AA76" i="49"/>
  <c r="AA77" i="49"/>
  <c r="AA78" i="49"/>
  <c r="AA79" i="49"/>
  <c r="AA80" i="49"/>
  <c r="AA81" i="49"/>
  <c r="AA82" i="49"/>
  <c r="AA83" i="49"/>
  <c r="AA84" i="49"/>
  <c r="AA85" i="49"/>
  <c r="AA86" i="49"/>
  <c r="AA87" i="49"/>
  <c r="AA88" i="49"/>
  <c r="AA89" i="49"/>
  <c r="AA90" i="49"/>
  <c r="AA91" i="49"/>
  <c r="AA92" i="49"/>
  <c r="AA93" i="49"/>
  <c r="AA94" i="49"/>
  <c r="AA95" i="49"/>
  <c r="AA96" i="49"/>
  <c r="AA97" i="49"/>
  <c r="AA98" i="49"/>
  <c r="AA99" i="49"/>
  <c r="AA100" i="49"/>
  <c r="AA101" i="49"/>
  <c r="AA102" i="49"/>
  <c r="AA103" i="49"/>
  <c r="AA104" i="49"/>
  <c r="AA105" i="49"/>
  <c r="AA106" i="49"/>
  <c r="AA107" i="49"/>
  <c r="AA108" i="49"/>
  <c r="AA109" i="49"/>
  <c r="AA110" i="49"/>
  <c r="AA111" i="49"/>
  <c r="AA112" i="49"/>
  <c r="AA113" i="49"/>
  <c r="AA114" i="49"/>
  <c r="AA115" i="49"/>
  <c r="AA116" i="49"/>
  <c r="AA117" i="49"/>
  <c r="AA118" i="49"/>
  <c r="AA119" i="49"/>
  <c r="AA120" i="49"/>
  <c r="AA121" i="49"/>
  <c r="AA122" i="49"/>
  <c r="AA123" i="49"/>
  <c r="AA124" i="49"/>
  <c r="AA125" i="49"/>
  <c r="AA126" i="49"/>
  <c r="AA127" i="49"/>
  <c r="AA128" i="49"/>
  <c r="AA129" i="49"/>
  <c r="AA130" i="49"/>
  <c r="AA131" i="49"/>
  <c r="AA132" i="49"/>
  <c r="AA133" i="49"/>
  <c r="AA134" i="49"/>
  <c r="AA135" i="49"/>
  <c r="AA136" i="49"/>
  <c r="AA137" i="49"/>
  <c r="AA138" i="49"/>
  <c r="AA139" i="49"/>
  <c r="AA140" i="49"/>
  <c r="AA141" i="49"/>
  <c r="AA142" i="49"/>
  <c r="AA143" i="49"/>
  <c r="AA144" i="49"/>
  <c r="AA145" i="49"/>
  <c r="AA146" i="49"/>
  <c r="AA147" i="49"/>
  <c r="AA148" i="49"/>
  <c r="AA149" i="49"/>
  <c r="AA150" i="49"/>
  <c r="AA151" i="49"/>
  <c r="AA152" i="49"/>
  <c r="AA153" i="49"/>
  <c r="AA154" i="49"/>
  <c r="AA155" i="49"/>
  <c r="AA156" i="49"/>
  <c r="AA157" i="49"/>
  <c r="AA158" i="49"/>
  <c r="AA159" i="49"/>
  <c r="AA160" i="49"/>
  <c r="AA161" i="49"/>
  <c r="AA162" i="49"/>
  <c r="AA163" i="49"/>
  <c r="AA164" i="49"/>
  <c r="AA165" i="49"/>
  <c r="AA166" i="49"/>
  <c r="AA167" i="49"/>
  <c r="AA168" i="49"/>
  <c r="AA169" i="49"/>
  <c r="AA170" i="49"/>
  <c r="AA171" i="49"/>
  <c r="AA172" i="49"/>
  <c r="AA173" i="49"/>
  <c r="AA174" i="49"/>
  <c r="AA175" i="49"/>
  <c r="AA176" i="49"/>
  <c r="AA177" i="49"/>
  <c r="AA178" i="49"/>
  <c r="AA179" i="49"/>
  <c r="AA180" i="49"/>
  <c r="AA181" i="49"/>
  <c r="AA182" i="49"/>
  <c r="AA183" i="49"/>
  <c r="AA184" i="49"/>
  <c r="AA185" i="49"/>
  <c r="AA186" i="49"/>
  <c r="AA187" i="49"/>
  <c r="AA188" i="49"/>
  <c r="AA189" i="49"/>
  <c r="AA190" i="49"/>
  <c r="AA191" i="49"/>
  <c r="AA192" i="49"/>
  <c r="AA193" i="49"/>
  <c r="AA194" i="49"/>
  <c r="AA195" i="49"/>
  <c r="AA196" i="49"/>
  <c r="AA197" i="49"/>
  <c r="AA198" i="49"/>
  <c r="AA199" i="49"/>
  <c r="AA200" i="49"/>
  <c r="AA201" i="49"/>
  <c r="AA202" i="49"/>
  <c r="AA203" i="49"/>
  <c r="AA204" i="49"/>
  <c r="AA205" i="49"/>
  <c r="AA206" i="49"/>
  <c r="AA207" i="49"/>
  <c r="AA208" i="49"/>
  <c r="AA209" i="49"/>
  <c r="AA210" i="49"/>
  <c r="AA211" i="49"/>
  <c r="AA212" i="49"/>
  <c r="AA213" i="49"/>
  <c r="AA214" i="49"/>
  <c r="AA215" i="49"/>
  <c r="AA216" i="49"/>
  <c r="AA217" i="49"/>
  <c r="AA218" i="49"/>
  <c r="AA219" i="49"/>
  <c r="AA220" i="49"/>
  <c r="AA221" i="49"/>
  <c r="AA222" i="49"/>
  <c r="AA223" i="49"/>
  <c r="AA224" i="49"/>
  <c r="AA225" i="49"/>
  <c r="AA226" i="49"/>
  <c r="AA227" i="49"/>
  <c r="AA228" i="49"/>
  <c r="AA229" i="49"/>
  <c r="AA230" i="49"/>
  <c r="AA231" i="49"/>
  <c r="AA232" i="49"/>
  <c r="AA233" i="49"/>
  <c r="AA234" i="49"/>
  <c r="AA235" i="49"/>
  <c r="AA236" i="49"/>
  <c r="AA237" i="49"/>
  <c r="AA238" i="49"/>
  <c r="AA239" i="49"/>
  <c r="AA240" i="49"/>
  <c r="AA241" i="49"/>
  <c r="AA242" i="49"/>
  <c r="AA243" i="49"/>
  <c r="AA244" i="49"/>
  <c r="AA245" i="49"/>
  <c r="AA246" i="49"/>
  <c r="AA247" i="49"/>
  <c r="AA248" i="49"/>
  <c r="AA249" i="49"/>
  <c r="AA250" i="49"/>
  <c r="Y46" i="49"/>
  <c r="Y47" i="49"/>
  <c r="Y48" i="49"/>
  <c r="Y49" i="49"/>
  <c r="Y50" i="49"/>
  <c r="Y51" i="49"/>
  <c r="Y52" i="49"/>
  <c r="Y53" i="49"/>
  <c r="Y54" i="49"/>
  <c r="Y55" i="49"/>
  <c r="Y56" i="49"/>
  <c r="Y57" i="49"/>
  <c r="Y58" i="49"/>
  <c r="Y59" i="49"/>
  <c r="Y60" i="49"/>
  <c r="Y61" i="49"/>
  <c r="Y62" i="49"/>
  <c r="Y63" i="49"/>
  <c r="Y64" i="49"/>
  <c r="Y65" i="49"/>
  <c r="Y66" i="49"/>
  <c r="Y67" i="49"/>
  <c r="Y68" i="49"/>
  <c r="Y69" i="49"/>
  <c r="Y70" i="49"/>
  <c r="Y71" i="49"/>
  <c r="Y72" i="49"/>
  <c r="Y73" i="49"/>
  <c r="Y74" i="49"/>
  <c r="Y75" i="49"/>
  <c r="Y76" i="49"/>
  <c r="Y77" i="49"/>
  <c r="Y78" i="49"/>
  <c r="Y79" i="49"/>
  <c r="Y80" i="49"/>
  <c r="Y81" i="49"/>
  <c r="Y82" i="49"/>
  <c r="Y83" i="49"/>
  <c r="Y84" i="49"/>
  <c r="Y85" i="49"/>
  <c r="Y86" i="49"/>
  <c r="Y87" i="49"/>
  <c r="Y88" i="49"/>
  <c r="Y89" i="49"/>
  <c r="Y90" i="49"/>
  <c r="Y91" i="49"/>
  <c r="Y92" i="49"/>
  <c r="Y93" i="49"/>
  <c r="Y94" i="49"/>
  <c r="Y95" i="49"/>
  <c r="Y96" i="49"/>
  <c r="Y97" i="49"/>
  <c r="Y98" i="49"/>
  <c r="Y99" i="49"/>
  <c r="Y100" i="49"/>
  <c r="Y101" i="49"/>
  <c r="Y102" i="49"/>
  <c r="Y103" i="49"/>
  <c r="Y104" i="49"/>
  <c r="Y105" i="49"/>
  <c r="Y106" i="49"/>
  <c r="Y107" i="49"/>
  <c r="Y108" i="49"/>
  <c r="Y109" i="49"/>
  <c r="Y110" i="49"/>
  <c r="Y111" i="49"/>
  <c r="Y112" i="49"/>
  <c r="Y113" i="49"/>
  <c r="Y114" i="49"/>
  <c r="Y115" i="49"/>
  <c r="Y116" i="49"/>
  <c r="Y117" i="49"/>
  <c r="Y118" i="49"/>
  <c r="Y119" i="49"/>
  <c r="Y120" i="49"/>
  <c r="Y121" i="49"/>
  <c r="Y122" i="49"/>
  <c r="Y123" i="49"/>
  <c r="Y124" i="49"/>
  <c r="Y125" i="49"/>
  <c r="Y126" i="49"/>
  <c r="Y127" i="49"/>
  <c r="Y128" i="49"/>
  <c r="Y129" i="49"/>
  <c r="Y130" i="49"/>
  <c r="Y131" i="49"/>
  <c r="Y132" i="49"/>
  <c r="Y133" i="49"/>
  <c r="Y134" i="49"/>
  <c r="Y135" i="49"/>
  <c r="Y136" i="49"/>
  <c r="Y137" i="49"/>
  <c r="Y138" i="49"/>
  <c r="Y139" i="49"/>
  <c r="Y140" i="49"/>
  <c r="Y141" i="49"/>
  <c r="Y142" i="49"/>
  <c r="Y143" i="49"/>
  <c r="Y144" i="49"/>
  <c r="Y145" i="49"/>
  <c r="Y146" i="49"/>
  <c r="Y147" i="49"/>
  <c r="Y148" i="49"/>
  <c r="Y149" i="49"/>
  <c r="Y150" i="49"/>
  <c r="Y151" i="49"/>
  <c r="Y152" i="49"/>
  <c r="Y153" i="49"/>
  <c r="Y154" i="49"/>
  <c r="Y155" i="49"/>
  <c r="Y156" i="49"/>
  <c r="Y157" i="49"/>
  <c r="Y158" i="49"/>
  <c r="Y159" i="49"/>
  <c r="Y160" i="49"/>
  <c r="Y161" i="49"/>
  <c r="Y162" i="49"/>
  <c r="Y163" i="49"/>
  <c r="Y164" i="49"/>
  <c r="Y165" i="49"/>
  <c r="Y166" i="49"/>
  <c r="Y167" i="49"/>
  <c r="Y168" i="49"/>
  <c r="Y169" i="49"/>
  <c r="Y170" i="49"/>
  <c r="Y171" i="49"/>
  <c r="Y172" i="49"/>
  <c r="Y173" i="49"/>
  <c r="Y174" i="49"/>
  <c r="Y175" i="49"/>
  <c r="Y176" i="49"/>
  <c r="Y177" i="49"/>
  <c r="Y178" i="49"/>
  <c r="Y179" i="49"/>
  <c r="Y180" i="49"/>
  <c r="Y181" i="49"/>
  <c r="Y182" i="49"/>
  <c r="Y183" i="49"/>
  <c r="Y184" i="49"/>
  <c r="Y185" i="49"/>
  <c r="Y186" i="49"/>
  <c r="Y187" i="49"/>
  <c r="Y188" i="49"/>
  <c r="Y189" i="49"/>
  <c r="Y190" i="49"/>
  <c r="Y191" i="49"/>
  <c r="Y192" i="49"/>
  <c r="Y193" i="49"/>
  <c r="Y194" i="49"/>
  <c r="Y195" i="49"/>
  <c r="Y196" i="49"/>
  <c r="Y197" i="49"/>
  <c r="Y198" i="49"/>
  <c r="Y199" i="49"/>
  <c r="Y200" i="49"/>
  <c r="Y201" i="49"/>
  <c r="Y202" i="49"/>
  <c r="Y203" i="49"/>
  <c r="Y204" i="49"/>
  <c r="Y205" i="49"/>
  <c r="Y206" i="49"/>
  <c r="Y207" i="49"/>
  <c r="Y208" i="49"/>
  <c r="Y209" i="49"/>
  <c r="Y210" i="49"/>
  <c r="Y211" i="49"/>
  <c r="Y212" i="49"/>
  <c r="Y213" i="49"/>
  <c r="Y214" i="49"/>
  <c r="Y215" i="49"/>
  <c r="Y216" i="49"/>
  <c r="Y217" i="49"/>
  <c r="Y218" i="49"/>
  <c r="Y219" i="49"/>
  <c r="Y220" i="49"/>
  <c r="Y221" i="49"/>
  <c r="Y222" i="49"/>
  <c r="Y223" i="49"/>
  <c r="Y224" i="49"/>
  <c r="Y225" i="49"/>
  <c r="Y226" i="49"/>
  <c r="Y227" i="49"/>
  <c r="Y228" i="49"/>
  <c r="Y229" i="49"/>
  <c r="Y230" i="49"/>
  <c r="Y231" i="49"/>
  <c r="Y232" i="49"/>
  <c r="Y233" i="49"/>
  <c r="Y234" i="49"/>
  <c r="Y235" i="49"/>
  <c r="Y236" i="49"/>
  <c r="Y237" i="49"/>
  <c r="Y238" i="49"/>
  <c r="Y239" i="49"/>
  <c r="Y240" i="49"/>
  <c r="Y241" i="49"/>
  <c r="Y242" i="49"/>
  <c r="Y243" i="49"/>
  <c r="Y244" i="49"/>
  <c r="Y245" i="49"/>
  <c r="Y246" i="49"/>
  <c r="Y247" i="49"/>
  <c r="Y248" i="49"/>
  <c r="Y249" i="49"/>
  <c r="Y250" i="49"/>
  <c r="AA90" i="48"/>
  <c r="AA91" i="48"/>
  <c r="AA92" i="48"/>
  <c r="AA93" i="48"/>
  <c r="AA94" i="48"/>
  <c r="AA95" i="48"/>
  <c r="AA96" i="48"/>
  <c r="AA97" i="48"/>
  <c r="AA98" i="48"/>
  <c r="AA99" i="48"/>
  <c r="AA100" i="48"/>
  <c r="AA101" i="48"/>
  <c r="AA102" i="48"/>
  <c r="AA103" i="48"/>
  <c r="AA104" i="48"/>
  <c r="AA105" i="48"/>
  <c r="AA106" i="48"/>
  <c r="AA107" i="48"/>
  <c r="AA108" i="48"/>
  <c r="AA109" i="48"/>
  <c r="AA110" i="48"/>
  <c r="AA111" i="48"/>
  <c r="AA112" i="48"/>
  <c r="AA113" i="48"/>
  <c r="AA114" i="48"/>
  <c r="AA115" i="48"/>
  <c r="AA116" i="48"/>
  <c r="AA117" i="48"/>
  <c r="AA118" i="48"/>
  <c r="AA119" i="48"/>
  <c r="AA120" i="48"/>
  <c r="AA121" i="48"/>
  <c r="AA122" i="48"/>
  <c r="AA123" i="48"/>
  <c r="AA124" i="48"/>
  <c r="AA125" i="48"/>
  <c r="AA126" i="48"/>
  <c r="AA127" i="48"/>
  <c r="AA128" i="48"/>
  <c r="AA129" i="48"/>
  <c r="AA130" i="48"/>
  <c r="AA131" i="48"/>
  <c r="AA132" i="48"/>
  <c r="AA133" i="48"/>
  <c r="AA134" i="48"/>
  <c r="AA135" i="48"/>
  <c r="AA136" i="48"/>
  <c r="AA137" i="48"/>
  <c r="AA138" i="48"/>
  <c r="AA139" i="48"/>
  <c r="AA140" i="48"/>
  <c r="AA141" i="48"/>
  <c r="AA142" i="48"/>
  <c r="AA143" i="48"/>
  <c r="AA144" i="48"/>
  <c r="AA145" i="48"/>
  <c r="AA146" i="48"/>
  <c r="AA147" i="48"/>
  <c r="AA148" i="48"/>
  <c r="AA149" i="48"/>
  <c r="AA150" i="48"/>
  <c r="AA151" i="48"/>
  <c r="AA152" i="48"/>
  <c r="AA153" i="48"/>
  <c r="AA154" i="48"/>
  <c r="AA155" i="48"/>
  <c r="AA156" i="48"/>
  <c r="AA157" i="48"/>
  <c r="AA158" i="48"/>
  <c r="AA159" i="48"/>
  <c r="AA160" i="48"/>
  <c r="AA161" i="48"/>
  <c r="AA162" i="48"/>
  <c r="AA163" i="48"/>
  <c r="AA164" i="48"/>
  <c r="AA165" i="48"/>
  <c r="AA166" i="48"/>
  <c r="AA167" i="48"/>
  <c r="AA168" i="48"/>
  <c r="AA169" i="48"/>
  <c r="AA170" i="48"/>
  <c r="AA171" i="48"/>
  <c r="AA172" i="48"/>
  <c r="AA173" i="48"/>
  <c r="AA174" i="48"/>
  <c r="AA175" i="48"/>
  <c r="AA176" i="48"/>
  <c r="AA177" i="48"/>
  <c r="AA178" i="48"/>
  <c r="AA179" i="48"/>
  <c r="AA180" i="48"/>
  <c r="AA181" i="48"/>
  <c r="AA182" i="48"/>
  <c r="AA183" i="48"/>
  <c r="AA184" i="48"/>
  <c r="AA185" i="48"/>
  <c r="AA186" i="48"/>
  <c r="AA187" i="48"/>
  <c r="AA188" i="48"/>
  <c r="AA189" i="48"/>
  <c r="AA190" i="48"/>
  <c r="AA191" i="48"/>
  <c r="AA192" i="48"/>
  <c r="AA193" i="48"/>
  <c r="AA194" i="48"/>
  <c r="AA195" i="48"/>
  <c r="AA196" i="48"/>
  <c r="AA197" i="48"/>
  <c r="AA198" i="48"/>
  <c r="AA199" i="48"/>
  <c r="AA200" i="48"/>
  <c r="AA201" i="48"/>
  <c r="AA202" i="48"/>
  <c r="AA203" i="48"/>
  <c r="AA204" i="48"/>
  <c r="AA205" i="48"/>
  <c r="AA206" i="48"/>
  <c r="AA207" i="48"/>
  <c r="AA208" i="48"/>
  <c r="AA209" i="48"/>
  <c r="AA210" i="48"/>
  <c r="AA211" i="48"/>
  <c r="AA212" i="48"/>
  <c r="AA213" i="48"/>
  <c r="AA214" i="48"/>
  <c r="AA215" i="48"/>
  <c r="AA216" i="48"/>
  <c r="AA217" i="48"/>
  <c r="AA218" i="48"/>
  <c r="AA219" i="48"/>
  <c r="AA220" i="48"/>
  <c r="AA221" i="48"/>
  <c r="AA222" i="48"/>
  <c r="AA223" i="48"/>
  <c r="AA224" i="48"/>
  <c r="AA225" i="48"/>
  <c r="AA226" i="48"/>
  <c r="AA227" i="48"/>
  <c r="AA228" i="48"/>
  <c r="AA229" i="48"/>
  <c r="AA230" i="48"/>
  <c r="AA231" i="48"/>
  <c r="AA232" i="48"/>
  <c r="AA233" i="48"/>
  <c r="AA234" i="48"/>
  <c r="AA235" i="48"/>
  <c r="AA236" i="48"/>
  <c r="AA237" i="48"/>
  <c r="AA238" i="48"/>
  <c r="AA239" i="48"/>
  <c r="AA240" i="48"/>
  <c r="AA241" i="48"/>
  <c r="AA242" i="48"/>
  <c r="AA243" i="48"/>
  <c r="AA244" i="48"/>
  <c r="AA245" i="48"/>
  <c r="AA246" i="48"/>
  <c r="AA247" i="48"/>
  <c r="AA248" i="48"/>
  <c r="AA249" i="48"/>
  <c r="AA250" i="48"/>
  <c r="Y90" i="48"/>
  <c r="Y91" i="48"/>
  <c r="Y92" i="48"/>
  <c r="Y93" i="48"/>
  <c r="Y94" i="48"/>
  <c r="Y95" i="48"/>
  <c r="Y96" i="48"/>
  <c r="Y97" i="48"/>
  <c r="Y98" i="48"/>
  <c r="Y99" i="48"/>
  <c r="Y100" i="48"/>
  <c r="Y101" i="48"/>
  <c r="Y102" i="48"/>
  <c r="Y103" i="48"/>
  <c r="Y104" i="48"/>
  <c r="Y105" i="48"/>
  <c r="Y106" i="48"/>
  <c r="Y107" i="48"/>
  <c r="Y108" i="48"/>
  <c r="Y109" i="48"/>
  <c r="Y110" i="48"/>
  <c r="Y111" i="48"/>
  <c r="Y112" i="48"/>
  <c r="Y113" i="48"/>
  <c r="Y114" i="48"/>
  <c r="Y115" i="48"/>
  <c r="Y116" i="48"/>
  <c r="Y117" i="48"/>
  <c r="Y118" i="48"/>
  <c r="Y119" i="48"/>
  <c r="Y120" i="48"/>
  <c r="Y121" i="48"/>
  <c r="Y122" i="48"/>
  <c r="Y123" i="48"/>
  <c r="Y124" i="48"/>
  <c r="Y125" i="48"/>
  <c r="Y126" i="48"/>
  <c r="Y127" i="48"/>
  <c r="Y128" i="48"/>
  <c r="Y129" i="48"/>
  <c r="Y130" i="48"/>
  <c r="Y131" i="48"/>
  <c r="Y132" i="48"/>
  <c r="Y133" i="48"/>
  <c r="Y134" i="48"/>
  <c r="Y135" i="48"/>
  <c r="Y136" i="48"/>
  <c r="Y137" i="48"/>
  <c r="Y138" i="48"/>
  <c r="Y139" i="48"/>
  <c r="Y140" i="48"/>
  <c r="Y141" i="48"/>
  <c r="Y142" i="48"/>
  <c r="Y143" i="48"/>
  <c r="Y144" i="48"/>
  <c r="Y145" i="48"/>
  <c r="Y146" i="48"/>
  <c r="Y147" i="48"/>
  <c r="Y148" i="48"/>
  <c r="Y149" i="48"/>
  <c r="Y150" i="48"/>
  <c r="Y151" i="48"/>
  <c r="Y152" i="48"/>
  <c r="Y153" i="48"/>
  <c r="Y154" i="48"/>
  <c r="Y155" i="48"/>
  <c r="Y156" i="48"/>
  <c r="Y157" i="48"/>
  <c r="Y158" i="48"/>
  <c r="Y159" i="48"/>
  <c r="Y160" i="48"/>
  <c r="Y161" i="48"/>
  <c r="Y162" i="48"/>
  <c r="Y163" i="48"/>
  <c r="Y164" i="48"/>
  <c r="Y165" i="48"/>
  <c r="Y166" i="48"/>
  <c r="Y167" i="48"/>
  <c r="Y168" i="48"/>
  <c r="Y169" i="48"/>
  <c r="Y170" i="48"/>
  <c r="Y171" i="48"/>
  <c r="Y172" i="48"/>
  <c r="Y173" i="48"/>
  <c r="Y174" i="48"/>
  <c r="Y175" i="48"/>
  <c r="Y176" i="48"/>
  <c r="Y177" i="48"/>
  <c r="Y178" i="48"/>
  <c r="Y179" i="48"/>
  <c r="Y180" i="48"/>
  <c r="Y181" i="48"/>
  <c r="Y182" i="48"/>
  <c r="Y183" i="48"/>
  <c r="Y184" i="48"/>
  <c r="Y185" i="48"/>
  <c r="Y186" i="48"/>
  <c r="Y187" i="48"/>
  <c r="Y188" i="48"/>
  <c r="Y189" i="48"/>
  <c r="Y190" i="48"/>
  <c r="Y191" i="48"/>
  <c r="Y192" i="48"/>
  <c r="Y193" i="48"/>
  <c r="Y194" i="48"/>
  <c r="Y195" i="48"/>
  <c r="Y196" i="48"/>
  <c r="Y197" i="48"/>
  <c r="Y198" i="48"/>
  <c r="Y199" i="48"/>
  <c r="Y200" i="48"/>
  <c r="Y201" i="48"/>
  <c r="Y202" i="48"/>
  <c r="Y203" i="48"/>
  <c r="Y204" i="48"/>
  <c r="Y205" i="48"/>
  <c r="Y206" i="48"/>
  <c r="Y207" i="48"/>
  <c r="Y208" i="48"/>
  <c r="Y209" i="48"/>
  <c r="Y210" i="48"/>
  <c r="Y211" i="48"/>
  <c r="Y212" i="48"/>
  <c r="Y213" i="48"/>
  <c r="Y214" i="48"/>
  <c r="Y215" i="48"/>
  <c r="Y216" i="48"/>
  <c r="Y217" i="48"/>
  <c r="Y218" i="48"/>
  <c r="Y219" i="48"/>
  <c r="Y220" i="48"/>
  <c r="Y221" i="48"/>
  <c r="Y222" i="48"/>
  <c r="Y223" i="48"/>
  <c r="Y224" i="48"/>
  <c r="Y225" i="48"/>
  <c r="Y226" i="48"/>
  <c r="Y227" i="48"/>
  <c r="Y228" i="48"/>
  <c r="Y229" i="48"/>
  <c r="Y230" i="48"/>
  <c r="Y231" i="48"/>
  <c r="Y232" i="48"/>
  <c r="Y233" i="48"/>
  <c r="Y234" i="48"/>
  <c r="Y235" i="48"/>
  <c r="Y236" i="48"/>
  <c r="Y237" i="48"/>
  <c r="Y238" i="48"/>
  <c r="Y239" i="48"/>
  <c r="Y240" i="48"/>
  <c r="Y241" i="48"/>
  <c r="Y242" i="48"/>
  <c r="Y243" i="48"/>
  <c r="Y244" i="48"/>
  <c r="Y245" i="48"/>
  <c r="Y246" i="48"/>
  <c r="Y247" i="48"/>
  <c r="Y248" i="48"/>
  <c r="Y249" i="48"/>
  <c r="Y250" i="48"/>
  <c r="AA114" i="47"/>
  <c r="AA115" i="47"/>
  <c r="AA116" i="47"/>
  <c r="AA117" i="47"/>
  <c r="AA118" i="47"/>
  <c r="AA119" i="47"/>
  <c r="AA120" i="47"/>
  <c r="AA121" i="47"/>
  <c r="AA122" i="47"/>
  <c r="AA123" i="47"/>
  <c r="AA124" i="47"/>
  <c r="AA125" i="47"/>
  <c r="AA126" i="47"/>
  <c r="AA127" i="47"/>
  <c r="AA128" i="47"/>
  <c r="AA129" i="47"/>
  <c r="AA130" i="47"/>
  <c r="AA131" i="47"/>
  <c r="AA132" i="47"/>
  <c r="AA133" i="47"/>
  <c r="AA134" i="47"/>
  <c r="AA135" i="47"/>
  <c r="AA136" i="47"/>
  <c r="AA137" i="47"/>
  <c r="AA138" i="47"/>
  <c r="AA139" i="47"/>
  <c r="AA140" i="47"/>
  <c r="AA141" i="47"/>
  <c r="AA142" i="47"/>
  <c r="AA143" i="47"/>
  <c r="AA144" i="47"/>
  <c r="AA145" i="47"/>
  <c r="AA146" i="47"/>
  <c r="AA147" i="47"/>
  <c r="AA148" i="47"/>
  <c r="AA149" i="47"/>
  <c r="AA150" i="47"/>
  <c r="AA151" i="47"/>
  <c r="AA152" i="47"/>
  <c r="AA153" i="47"/>
  <c r="AA154" i="47"/>
  <c r="AA155" i="47"/>
  <c r="AA156" i="47"/>
  <c r="AA157" i="47"/>
  <c r="AA158" i="47"/>
  <c r="AA159" i="47"/>
  <c r="AA160" i="47"/>
  <c r="AA161" i="47"/>
  <c r="AA162" i="47"/>
  <c r="AA163" i="47"/>
  <c r="AA164" i="47"/>
  <c r="AA165" i="47"/>
  <c r="AA166" i="47"/>
  <c r="AA167" i="47"/>
  <c r="AA168" i="47"/>
  <c r="AA169" i="47"/>
  <c r="AA170" i="47"/>
  <c r="AA171" i="47"/>
  <c r="AA172" i="47"/>
  <c r="AA173" i="47"/>
  <c r="AA174" i="47"/>
  <c r="AA175" i="47"/>
  <c r="AA176" i="47"/>
  <c r="AA177" i="47"/>
  <c r="AA178" i="47"/>
  <c r="AA179" i="47"/>
  <c r="AA180" i="47"/>
  <c r="AA181" i="47"/>
  <c r="AA182" i="47"/>
  <c r="AA183" i="47"/>
  <c r="AA184" i="47"/>
  <c r="AA185" i="47"/>
  <c r="AA186" i="47"/>
  <c r="AA187" i="47"/>
  <c r="AA188" i="47"/>
  <c r="AA189" i="47"/>
  <c r="AA190" i="47"/>
  <c r="AA191" i="47"/>
  <c r="AA192" i="47"/>
  <c r="AA193" i="47"/>
  <c r="AA194" i="47"/>
  <c r="AA195" i="47"/>
  <c r="AA196" i="47"/>
  <c r="AA197" i="47"/>
  <c r="AA198" i="47"/>
  <c r="AA199" i="47"/>
  <c r="AA200" i="47"/>
  <c r="AA201" i="47"/>
  <c r="AA202" i="47"/>
  <c r="AA203" i="47"/>
  <c r="AA204" i="47"/>
  <c r="AA205" i="47"/>
  <c r="AA206" i="47"/>
  <c r="AA207" i="47"/>
  <c r="AA208" i="47"/>
  <c r="AA209" i="47"/>
  <c r="AA210" i="47"/>
  <c r="AA211" i="47"/>
  <c r="AA212" i="47"/>
  <c r="AA213" i="47"/>
  <c r="AA214" i="47"/>
  <c r="AA215" i="47"/>
  <c r="AA216" i="47"/>
  <c r="AA217" i="47"/>
  <c r="AA218" i="47"/>
  <c r="AA219" i="47"/>
  <c r="AA220" i="47"/>
  <c r="AA221" i="47"/>
  <c r="AA222" i="47"/>
  <c r="AA223" i="47"/>
  <c r="AA224" i="47"/>
  <c r="AA225" i="47"/>
  <c r="AA226" i="47"/>
  <c r="AA227" i="47"/>
  <c r="AA228" i="47"/>
  <c r="AA229" i="47"/>
  <c r="AA230" i="47"/>
  <c r="AA231" i="47"/>
  <c r="AA232" i="47"/>
  <c r="AA233" i="47"/>
  <c r="AA234" i="47"/>
  <c r="AA235" i="47"/>
  <c r="AA236" i="47"/>
  <c r="AA237" i="47"/>
  <c r="AA238" i="47"/>
  <c r="AA239" i="47"/>
  <c r="AA240" i="47"/>
  <c r="AA241" i="47"/>
  <c r="AA242" i="47"/>
  <c r="AA243" i="47"/>
  <c r="AA244" i="47"/>
  <c r="AA245" i="47"/>
  <c r="AA246" i="47"/>
  <c r="AA247" i="47"/>
  <c r="AA248" i="47"/>
  <c r="AA249" i="47"/>
  <c r="AA250" i="47"/>
  <c r="Y113" i="47"/>
  <c r="Y114" i="47"/>
  <c r="Y115" i="47"/>
  <c r="Y116" i="47"/>
  <c r="Y117" i="47"/>
  <c r="Y118" i="47"/>
  <c r="Y119" i="47"/>
  <c r="Y120" i="47"/>
  <c r="Y121" i="47"/>
  <c r="Y122" i="47"/>
  <c r="Y123" i="47"/>
  <c r="Y124" i="47"/>
  <c r="Y125" i="47"/>
  <c r="Y126" i="47"/>
  <c r="Y127" i="47"/>
  <c r="Y128" i="47"/>
  <c r="Y129" i="47"/>
  <c r="Y130" i="47"/>
  <c r="Y131" i="47"/>
  <c r="Y132" i="47"/>
  <c r="Y133" i="47"/>
  <c r="Y134" i="47"/>
  <c r="Y135" i="47"/>
  <c r="Y136" i="47"/>
  <c r="Y137" i="47"/>
  <c r="Y138" i="47"/>
  <c r="Y139" i="47"/>
  <c r="Y140" i="47"/>
  <c r="Y141" i="47"/>
  <c r="Y142" i="47"/>
  <c r="Y143" i="47"/>
  <c r="Y144" i="47"/>
  <c r="Y145" i="47"/>
  <c r="Y146" i="47"/>
  <c r="Y147" i="47"/>
  <c r="Y148" i="47"/>
  <c r="Y149" i="47"/>
  <c r="Y150" i="47"/>
  <c r="Y151" i="47"/>
  <c r="Y152" i="47"/>
  <c r="Y153" i="47"/>
  <c r="Y154" i="47"/>
  <c r="Y155" i="47"/>
  <c r="Y156" i="47"/>
  <c r="Y157" i="47"/>
  <c r="Y158" i="47"/>
  <c r="Y159" i="47"/>
  <c r="Y160" i="47"/>
  <c r="Y161" i="47"/>
  <c r="Y162" i="47"/>
  <c r="Y163" i="47"/>
  <c r="Y164" i="47"/>
  <c r="Y165" i="47"/>
  <c r="Y166" i="47"/>
  <c r="Y167" i="47"/>
  <c r="Y168" i="47"/>
  <c r="Y169" i="47"/>
  <c r="Y170" i="47"/>
  <c r="Y171" i="47"/>
  <c r="Y172" i="47"/>
  <c r="Y173" i="47"/>
  <c r="Y174" i="47"/>
  <c r="Y175" i="47"/>
  <c r="Y176" i="47"/>
  <c r="Y177" i="47"/>
  <c r="Y178" i="47"/>
  <c r="Y179" i="47"/>
  <c r="Y180" i="47"/>
  <c r="Y181" i="47"/>
  <c r="Y182" i="47"/>
  <c r="Y183" i="47"/>
  <c r="Y184" i="47"/>
  <c r="Y185" i="47"/>
  <c r="Y186" i="47"/>
  <c r="Y187" i="47"/>
  <c r="Y188" i="47"/>
  <c r="Y189" i="47"/>
  <c r="Y190" i="47"/>
  <c r="Y191" i="47"/>
  <c r="Y192" i="47"/>
  <c r="Y193" i="47"/>
  <c r="Y194" i="47"/>
  <c r="Y195" i="47"/>
  <c r="Y196" i="47"/>
  <c r="Y197" i="47"/>
  <c r="Y198" i="47"/>
  <c r="Y199" i="47"/>
  <c r="Y200" i="47"/>
  <c r="Y201" i="47"/>
  <c r="Y202" i="47"/>
  <c r="Y203" i="47"/>
  <c r="Y204" i="47"/>
  <c r="Y205" i="47"/>
  <c r="Y206" i="47"/>
  <c r="Y207" i="47"/>
  <c r="Y208" i="47"/>
  <c r="Y209" i="47"/>
  <c r="Y210" i="47"/>
  <c r="Y211" i="47"/>
  <c r="Y212" i="47"/>
  <c r="Y213" i="47"/>
  <c r="Y214" i="47"/>
  <c r="Y215" i="47"/>
  <c r="Y216" i="47"/>
  <c r="Y217" i="47"/>
  <c r="Y218" i="47"/>
  <c r="Y219" i="47"/>
  <c r="Y220" i="47"/>
  <c r="Y221" i="47"/>
  <c r="Y222" i="47"/>
  <c r="Y223" i="47"/>
  <c r="Y224" i="47"/>
  <c r="Y225" i="47"/>
  <c r="Y226" i="47"/>
  <c r="Y227" i="47"/>
  <c r="Y228" i="47"/>
  <c r="Y229" i="47"/>
  <c r="Y230" i="47"/>
  <c r="Y231" i="47"/>
  <c r="Y232" i="47"/>
  <c r="Y233" i="47"/>
  <c r="Y234" i="47"/>
  <c r="Y235" i="47"/>
  <c r="Y236" i="47"/>
  <c r="Y237" i="47"/>
  <c r="Y238" i="47"/>
  <c r="Y239" i="47"/>
  <c r="Y240" i="47"/>
  <c r="Y241" i="47"/>
  <c r="Y242" i="47"/>
  <c r="Y243" i="47"/>
  <c r="Y244" i="47"/>
  <c r="Y245" i="47"/>
  <c r="Y246" i="47"/>
  <c r="Y247" i="47"/>
  <c r="Y248" i="47"/>
  <c r="Y249" i="47"/>
  <c r="Y250" i="47"/>
  <c r="S3" i="57"/>
  <c r="S4" i="57"/>
  <c r="S5" i="57"/>
  <c r="S6" i="57"/>
  <c r="S7" i="57"/>
  <c r="S8" i="57"/>
  <c r="S9" i="57"/>
  <c r="S10" i="57"/>
  <c r="S11" i="57"/>
  <c r="S12" i="57"/>
  <c r="S13" i="57"/>
  <c r="S14" i="57"/>
  <c r="S15" i="57"/>
  <c r="S16" i="57"/>
  <c r="S17" i="57"/>
  <c r="S18" i="57"/>
  <c r="S19" i="57"/>
  <c r="S20" i="57"/>
  <c r="S21" i="57"/>
  <c r="S22" i="57"/>
  <c r="S23" i="57"/>
  <c r="S24" i="57"/>
  <c r="S25" i="57"/>
  <c r="S26" i="57"/>
  <c r="S27" i="57"/>
  <c r="S28" i="57"/>
  <c r="S29" i="57"/>
  <c r="S30" i="57"/>
  <c r="S31" i="57"/>
  <c r="S32" i="57"/>
  <c r="S33" i="57"/>
  <c r="S34" i="57"/>
  <c r="S35" i="57"/>
  <c r="S36" i="57"/>
  <c r="S37" i="57"/>
  <c r="S38" i="57"/>
  <c r="S39" i="57"/>
  <c r="S40" i="57"/>
  <c r="S41" i="57"/>
  <c r="S42" i="57"/>
  <c r="S43" i="57"/>
  <c r="S44" i="57"/>
  <c r="S45" i="57"/>
  <c r="S46" i="57"/>
  <c r="S47" i="57"/>
  <c r="S48" i="57"/>
  <c r="S49" i="57"/>
  <c r="S50" i="57"/>
  <c r="S51" i="57"/>
  <c r="S52" i="57"/>
  <c r="S53" i="57"/>
  <c r="S54" i="57"/>
  <c r="S55" i="57"/>
  <c r="S56" i="57"/>
  <c r="S57" i="57"/>
  <c r="S58" i="57"/>
  <c r="S59" i="57"/>
  <c r="S60" i="57"/>
  <c r="S61" i="57"/>
  <c r="S62" i="57"/>
  <c r="S63" i="57"/>
  <c r="S64" i="57"/>
  <c r="S65" i="57"/>
  <c r="S66" i="57"/>
  <c r="S67" i="57"/>
  <c r="S68" i="57"/>
  <c r="S69" i="57"/>
  <c r="S70" i="57"/>
  <c r="S71" i="57"/>
  <c r="S72" i="57"/>
  <c r="S73" i="57"/>
  <c r="S74" i="57"/>
  <c r="S75" i="57"/>
  <c r="S76" i="57"/>
  <c r="S77" i="57"/>
  <c r="S78" i="57"/>
  <c r="S79" i="57"/>
  <c r="S80" i="57"/>
  <c r="S81" i="57"/>
  <c r="S82" i="57"/>
  <c r="S83" i="57"/>
  <c r="S84" i="57"/>
  <c r="S85" i="57"/>
  <c r="S86" i="57"/>
  <c r="S87" i="57"/>
  <c r="S88" i="57"/>
  <c r="S89" i="57"/>
  <c r="S90" i="57"/>
  <c r="S91" i="57"/>
  <c r="S92" i="57"/>
  <c r="S93" i="57"/>
  <c r="S94" i="57"/>
  <c r="S95" i="57"/>
  <c r="S96" i="57"/>
  <c r="S97" i="57"/>
  <c r="S98" i="57"/>
  <c r="S99" i="57"/>
  <c r="S100" i="57"/>
  <c r="S101" i="57"/>
  <c r="S102" i="57"/>
  <c r="S103" i="57"/>
  <c r="S104" i="57"/>
  <c r="S105" i="57"/>
  <c r="S106" i="57"/>
  <c r="S107" i="57"/>
  <c r="S108" i="57"/>
  <c r="S109" i="57"/>
  <c r="S110" i="57"/>
  <c r="S111" i="57"/>
  <c r="S112" i="57"/>
  <c r="S113" i="57"/>
  <c r="S114" i="57"/>
  <c r="S115" i="57"/>
  <c r="S116" i="57"/>
  <c r="S117" i="57"/>
  <c r="S118" i="57"/>
  <c r="S119" i="57"/>
  <c r="S120" i="57"/>
  <c r="S121" i="57"/>
  <c r="S122" i="57"/>
  <c r="S123" i="57"/>
  <c r="S124" i="57"/>
  <c r="S125" i="57"/>
  <c r="S126" i="57"/>
  <c r="S127" i="57"/>
  <c r="S128" i="57"/>
  <c r="S129" i="57"/>
  <c r="S130" i="57"/>
  <c r="S131" i="57"/>
  <c r="S132" i="57"/>
  <c r="S133" i="57"/>
  <c r="S134" i="57"/>
  <c r="S135" i="57"/>
  <c r="S136" i="57"/>
  <c r="S137" i="57"/>
  <c r="S138" i="57"/>
  <c r="S139" i="57"/>
  <c r="S140" i="57"/>
  <c r="S141" i="57"/>
  <c r="S142" i="57"/>
  <c r="S143" i="57"/>
  <c r="S144" i="57"/>
  <c r="S145" i="57"/>
  <c r="S146" i="57"/>
  <c r="S147" i="57"/>
  <c r="S148" i="57"/>
  <c r="S149" i="57"/>
  <c r="S150" i="57"/>
  <c r="S151" i="57"/>
  <c r="S152" i="57"/>
  <c r="S153" i="57"/>
  <c r="S154" i="57"/>
  <c r="S155" i="57"/>
  <c r="S156" i="57"/>
  <c r="S157" i="57"/>
  <c r="S158" i="57"/>
  <c r="S159" i="57"/>
  <c r="S160" i="57"/>
  <c r="S161" i="57"/>
  <c r="S162" i="57"/>
  <c r="S163" i="57"/>
  <c r="S164" i="57"/>
  <c r="S165" i="57"/>
  <c r="S166" i="57"/>
  <c r="S167" i="57"/>
  <c r="S168" i="57"/>
  <c r="S169" i="57"/>
  <c r="S170" i="57"/>
  <c r="S171" i="57"/>
  <c r="S172" i="57"/>
  <c r="S173" i="57"/>
  <c r="S174" i="57"/>
  <c r="S175" i="57"/>
  <c r="S176" i="57"/>
  <c r="S177" i="57"/>
  <c r="S178" i="57"/>
  <c r="S179" i="57"/>
  <c r="S180" i="57"/>
  <c r="S181" i="57"/>
  <c r="S182" i="57"/>
  <c r="S183" i="57"/>
  <c r="S184" i="57"/>
  <c r="S185" i="57"/>
  <c r="S186" i="57"/>
  <c r="S187" i="57"/>
  <c r="S188" i="57"/>
  <c r="S189" i="57"/>
  <c r="S190" i="57"/>
  <c r="S191" i="57"/>
  <c r="S192" i="57"/>
  <c r="S193" i="57"/>
  <c r="S194" i="57"/>
  <c r="S195" i="57"/>
  <c r="S196" i="57"/>
  <c r="S197" i="57"/>
  <c r="S198" i="57"/>
  <c r="S199" i="57"/>
  <c r="S200" i="57"/>
  <c r="S201" i="57"/>
  <c r="S202" i="57"/>
  <c r="S203" i="57"/>
  <c r="S204" i="57"/>
  <c r="S205" i="57"/>
  <c r="S206" i="57"/>
  <c r="S207" i="57"/>
  <c r="S208" i="57"/>
  <c r="S209" i="57"/>
  <c r="S210" i="57"/>
  <c r="S211" i="57"/>
  <c r="S212" i="57"/>
  <c r="S213" i="57"/>
  <c r="S214" i="57"/>
  <c r="S215" i="57"/>
  <c r="S216" i="57"/>
  <c r="S217" i="57"/>
  <c r="S218" i="57"/>
  <c r="S219" i="57"/>
  <c r="S220" i="57"/>
  <c r="S221" i="57"/>
  <c r="S222" i="57"/>
  <c r="S223" i="57"/>
  <c r="S224" i="57"/>
  <c r="S225" i="57"/>
  <c r="S226" i="57"/>
  <c r="S227" i="57"/>
  <c r="S228" i="57"/>
  <c r="S229" i="57"/>
  <c r="S230" i="57"/>
  <c r="S231" i="57"/>
  <c r="S232" i="57"/>
  <c r="S233" i="57"/>
  <c r="S234" i="57"/>
  <c r="S235" i="57"/>
  <c r="S236" i="57"/>
  <c r="S237" i="57"/>
  <c r="S238" i="57"/>
  <c r="S239" i="57"/>
  <c r="S240" i="57"/>
  <c r="S241" i="57"/>
  <c r="S242" i="57"/>
  <c r="S243" i="57"/>
  <c r="S244" i="57"/>
  <c r="S245" i="57"/>
  <c r="S246" i="57"/>
  <c r="S247" i="57"/>
  <c r="S248" i="57"/>
  <c r="S249" i="57"/>
  <c r="S250" i="57"/>
  <c r="S91" i="52"/>
  <c r="S92" i="52"/>
  <c r="S93" i="52"/>
  <c r="S94" i="52"/>
  <c r="S95" i="52"/>
  <c r="S96" i="52"/>
  <c r="S97" i="52"/>
  <c r="S98" i="52"/>
  <c r="S99" i="52"/>
  <c r="S100" i="52"/>
  <c r="S101" i="52"/>
  <c r="S102" i="52"/>
  <c r="S103" i="52"/>
  <c r="S104" i="52"/>
  <c r="S105" i="52"/>
  <c r="S106" i="52"/>
  <c r="S107" i="52"/>
  <c r="S108" i="52"/>
  <c r="S109" i="52"/>
  <c r="S110" i="52"/>
  <c r="S111" i="52"/>
  <c r="S112" i="52"/>
  <c r="S113" i="52"/>
  <c r="S114" i="52"/>
  <c r="S115" i="52"/>
  <c r="S116" i="52"/>
  <c r="S117" i="52"/>
  <c r="S118" i="52"/>
  <c r="S119" i="52"/>
  <c r="S120" i="52"/>
  <c r="S121" i="52"/>
  <c r="S122" i="52"/>
  <c r="S123" i="52"/>
  <c r="S124" i="52"/>
  <c r="S125" i="52"/>
  <c r="S126" i="52"/>
  <c r="S127" i="52"/>
  <c r="S128" i="52"/>
  <c r="S129" i="52"/>
  <c r="S130" i="52"/>
  <c r="S131" i="52"/>
  <c r="S132" i="52"/>
  <c r="S133" i="52"/>
  <c r="S134" i="52"/>
  <c r="S135" i="52"/>
  <c r="S136" i="52"/>
  <c r="S137" i="52"/>
  <c r="S138" i="52"/>
  <c r="S139" i="52"/>
  <c r="S140" i="52"/>
  <c r="S141" i="52"/>
  <c r="S142" i="52"/>
  <c r="S143" i="52"/>
  <c r="S144" i="52"/>
  <c r="S145" i="52"/>
  <c r="S146" i="52"/>
  <c r="S147" i="52"/>
  <c r="S148" i="52"/>
  <c r="S149" i="52"/>
  <c r="S150" i="52"/>
  <c r="S151" i="52"/>
  <c r="S152" i="52"/>
  <c r="S153" i="52"/>
  <c r="S154" i="52"/>
  <c r="S155" i="52"/>
  <c r="S156" i="52"/>
  <c r="S157" i="52"/>
  <c r="S158" i="52"/>
  <c r="S159" i="52"/>
  <c r="S160" i="52"/>
  <c r="S161" i="52"/>
  <c r="S162" i="52"/>
  <c r="S163" i="52"/>
  <c r="S164" i="52"/>
  <c r="S165" i="52"/>
  <c r="S166" i="52"/>
  <c r="S167" i="52"/>
  <c r="S168" i="52"/>
  <c r="S169" i="52"/>
  <c r="S170" i="52"/>
  <c r="S171" i="52"/>
  <c r="S172" i="52"/>
  <c r="S173" i="52"/>
  <c r="S174" i="52"/>
  <c r="S175" i="52"/>
  <c r="S176" i="52"/>
  <c r="S177" i="52"/>
  <c r="S178" i="52"/>
  <c r="S179" i="52"/>
  <c r="S180" i="52"/>
  <c r="S181" i="52"/>
  <c r="S182" i="52"/>
  <c r="S183" i="52"/>
  <c r="S184" i="52"/>
  <c r="S185" i="52"/>
  <c r="S186" i="52"/>
  <c r="S187" i="52"/>
  <c r="S188" i="52"/>
  <c r="S189" i="52"/>
  <c r="S190" i="52"/>
  <c r="S191" i="52"/>
  <c r="S192" i="52"/>
  <c r="S193" i="52"/>
  <c r="S194" i="52"/>
  <c r="S195" i="52"/>
  <c r="S196" i="52"/>
  <c r="S197" i="52"/>
  <c r="S198" i="52"/>
  <c r="S199" i="52"/>
  <c r="S200" i="52"/>
  <c r="S201" i="52"/>
  <c r="S202" i="52"/>
  <c r="S203" i="52"/>
  <c r="S204" i="52"/>
  <c r="S205" i="52"/>
  <c r="S206" i="52"/>
  <c r="S207" i="52"/>
  <c r="S208" i="52"/>
  <c r="S209" i="52"/>
  <c r="S210" i="52"/>
  <c r="S211" i="52"/>
  <c r="S212" i="52"/>
  <c r="S213" i="52"/>
  <c r="S214" i="52"/>
  <c r="S215" i="52"/>
  <c r="S216" i="52"/>
  <c r="S217" i="52"/>
  <c r="S218" i="52"/>
  <c r="S219" i="52"/>
  <c r="S220" i="52"/>
  <c r="S221" i="52"/>
  <c r="S222" i="52"/>
  <c r="S223" i="52"/>
  <c r="S224" i="52"/>
  <c r="S225" i="52"/>
  <c r="S226" i="52"/>
  <c r="S227" i="52"/>
  <c r="S228" i="52"/>
  <c r="S229" i="52"/>
  <c r="S230" i="52"/>
  <c r="S231" i="52"/>
  <c r="S232" i="52"/>
  <c r="S233" i="52"/>
  <c r="S234" i="52"/>
  <c r="S235" i="52"/>
  <c r="S236" i="52"/>
  <c r="S237" i="52"/>
  <c r="S238" i="52"/>
  <c r="S239" i="52"/>
  <c r="S240" i="52"/>
  <c r="S241" i="52"/>
  <c r="S242" i="52"/>
  <c r="S243" i="52"/>
  <c r="S244" i="52"/>
  <c r="S245" i="52"/>
  <c r="S246" i="52"/>
  <c r="S247" i="52"/>
  <c r="S248" i="52"/>
  <c r="S249" i="52"/>
  <c r="S250" i="52"/>
  <c r="C13" i="66"/>
  <c r="D13" i="66"/>
  <c r="C14" i="66"/>
  <c r="D14" i="66"/>
  <c r="C15" i="66"/>
  <c r="D15" i="66"/>
  <c r="C16" i="66"/>
  <c r="D16" i="66"/>
  <c r="C17" i="66"/>
  <c r="D17" i="66"/>
  <c r="C18" i="66"/>
  <c r="D18" i="66"/>
  <c r="C19" i="66"/>
  <c r="D19" i="66"/>
  <c r="C20" i="66"/>
  <c r="D20" i="66"/>
  <c r="C21" i="66"/>
  <c r="D21" i="66"/>
  <c r="C22" i="66"/>
  <c r="D22" i="66"/>
  <c r="C23" i="66"/>
  <c r="D23" i="66"/>
  <c r="C24" i="66"/>
  <c r="D24" i="66"/>
  <c r="D12" i="66"/>
  <c r="C12" i="66"/>
  <c r="D7" i="66"/>
  <c r="D8" i="66"/>
  <c r="D6" i="66"/>
  <c r="C7" i="66"/>
  <c r="C8" i="66"/>
  <c r="C6" i="66"/>
  <c r="O3" i="61"/>
  <c r="O4" i="61"/>
  <c r="O5" i="61"/>
  <c r="O6" i="61"/>
  <c r="O7" i="61"/>
  <c r="O8" i="61"/>
  <c r="O9" i="61"/>
  <c r="O10" i="61"/>
  <c r="O11" i="61"/>
  <c r="O12" i="61"/>
  <c r="O13" i="61"/>
  <c r="O14" i="61"/>
  <c r="O15" i="61"/>
  <c r="O16" i="61"/>
  <c r="O17" i="61"/>
  <c r="O18" i="61"/>
  <c r="O19" i="61"/>
  <c r="O20" i="61"/>
  <c r="O21" i="61"/>
  <c r="M21" i="61" s="1"/>
  <c r="O22" i="61"/>
  <c r="O23" i="61"/>
  <c r="O24" i="61"/>
  <c r="O25" i="61"/>
  <c r="O26" i="61"/>
  <c r="O27" i="61"/>
  <c r="O28" i="61"/>
  <c r="O29" i="61"/>
  <c r="O30" i="61"/>
  <c r="O31" i="61"/>
  <c r="O32" i="61"/>
  <c r="O33" i="61"/>
  <c r="O34" i="61"/>
  <c r="O35" i="61"/>
  <c r="O36" i="61"/>
  <c r="O37" i="61"/>
  <c r="O38" i="61"/>
  <c r="O39" i="61"/>
  <c r="O40" i="61"/>
  <c r="O41" i="61"/>
  <c r="O42" i="61"/>
  <c r="O43" i="61"/>
  <c r="M43" i="61" s="1"/>
  <c r="O44" i="61"/>
  <c r="O45" i="61"/>
  <c r="M45" i="61" s="1"/>
  <c r="O46" i="61"/>
  <c r="M46" i="61" s="1"/>
  <c r="O47" i="61"/>
  <c r="O48" i="61"/>
  <c r="O49" i="61"/>
  <c r="O50" i="61"/>
  <c r="O51" i="61"/>
  <c r="O52" i="61"/>
  <c r="O53" i="61"/>
  <c r="O54" i="61"/>
  <c r="O55" i="61"/>
  <c r="O56" i="61"/>
  <c r="O57" i="61"/>
  <c r="O58" i="61"/>
  <c r="O59" i="61"/>
  <c r="O60" i="61"/>
  <c r="O61" i="61"/>
  <c r="M61" i="61" s="1"/>
  <c r="O62" i="61"/>
  <c r="O63" i="61"/>
  <c r="O64" i="61"/>
  <c r="O65" i="61"/>
  <c r="M65" i="61" s="1"/>
  <c r="O66" i="61"/>
  <c r="M66" i="61" s="1"/>
  <c r="O67" i="61"/>
  <c r="O68" i="61"/>
  <c r="M68" i="61" s="1"/>
  <c r="O69" i="61"/>
  <c r="O70" i="61"/>
  <c r="O71" i="61"/>
  <c r="O72" i="61"/>
  <c r="O73" i="61"/>
  <c r="O74" i="61"/>
  <c r="O75" i="61"/>
  <c r="O76" i="61"/>
  <c r="O77" i="61"/>
  <c r="O78" i="61"/>
  <c r="O79" i="61"/>
  <c r="O80" i="61"/>
  <c r="O81" i="61"/>
  <c r="O82" i="61"/>
  <c r="O83" i="61"/>
  <c r="M83" i="61" s="1"/>
  <c r="O84" i="61"/>
  <c r="O85" i="61"/>
  <c r="O86" i="61"/>
  <c r="O87" i="61"/>
  <c r="M87" i="61" s="1"/>
  <c r="O88" i="61"/>
  <c r="O89" i="61"/>
  <c r="O90" i="61"/>
  <c r="O91" i="61"/>
  <c r="O92" i="61"/>
  <c r="O93" i="61"/>
  <c r="O94" i="61"/>
  <c r="O95" i="61"/>
  <c r="O96" i="61"/>
  <c r="O97" i="61"/>
  <c r="O98" i="61"/>
  <c r="O99" i="61"/>
  <c r="O100" i="61"/>
  <c r="O101" i="61"/>
  <c r="O102" i="61"/>
  <c r="O103" i="61"/>
  <c r="O104" i="61"/>
  <c r="O105" i="61"/>
  <c r="O106" i="61"/>
  <c r="O107" i="61"/>
  <c r="O108" i="61"/>
  <c r="O109" i="61"/>
  <c r="M109" i="61" s="1"/>
  <c r="O110" i="61"/>
  <c r="O111" i="61"/>
  <c r="M111" i="61" s="1"/>
  <c r="O112" i="61"/>
  <c r="O113" i="61"/>
  <c r="O114" i="61"/>
  <c r="O115" i="61"/>
  <c r="O116" i="61"/>
  <c r="O117" i="61"/>
  <c r="O118" i="61"/>
  <c r="O119" i="61"/>
  <c r="O120" i="61"/>
  <c r="O121" i="61"/>
  <c r="O122" i="61"/>
  <c r="O123" i="61"/>
  <c r="O124" i="61"/>
  <c r="O125" i="61"/>
  <c r="O126" i="61"/>
  <c r="O127" i="61"/>
  <c r="O128" i="61"/>
  <c r="O129" i="61"/>
  <c r="O130" i="61"/>
  <c r="O131" i="61"/>
  <c r="M131" i="61" s="1"/>
  <c r="O132" i="61"/>
  <c r="M132" i="61" s="1"/>
  <c r="O133" i="61"/>
  <c r="O134" i="61"/>
  <c r="O135" i="61"/>
  <c r="O136" i="61"/>
  <c r="O137" i="61"/>
  <c r="O138" i="61"/>
  <c r="O139" i="61"/>
  <c r="O140" i="61"/>
  <c r="O141" i="61"/>
  <c r="O142" i="61"/>
  <c r="O143" i="61"/>
  <c r="O144" i="61"/>
  <c r="O145" i="61"/>
  <c r="O146" i="61"/>
  <c r="O147" i="61"/>
  <c r="O148" i="61"/>
  <c r="O149" i="61"/>
  <c r="O150" i="61"/>
  <c r="O151" i="61"/>
  <c r="O152" i="61"/>
  <c r="O153" i="61"/>
  <c r="O154" i="61"/>
  <c r="O155" i="61"/>
  <c r="M155" i="61" s="1"/>
  <c r="O156" i="61"/>
  <c r="M156" i="61" s="1"/>
  <c r="O157" i="61"/>
  <c r="O158" i="61"/>
  <c r="O159" i="61"/>
  <c r="O160" i="61"/>
  <c r="O161" i="61"/>
  <c r="O162" i="61"/>
  <c r="O163" i="61"/>
  <c r="O164" i="61"/>
  <c r="O165" i="61"/>
  <c r="O166" i="61"/>
  <c r="O167" i="61"/>
  <c r="O168" i="61"/>
  <c r="O169" i="61"/>
  <c r="O170" i="61"/>
  <c r="O171" i="61"/>
  <c r="M171" i="61" s="1"/>
  <c r="O172" i="61"/>
  <c r="O173" i="61"/>
  <c r="O174" i="61"/>
  <c r="O175" i="61"/>
  <c r="M175" i="61" s="1"/>
  <c r="O176" i="61"/>
  <c r="O177" i="61"/>
  <c r="O178" i="61"/>
  <c r="O179" i="61"/>
  <c r="O180" i="61"/>
  <c r="O181" i="61"/>
  <c r="O182" i="61"/>
  <c r="O183" i="61"/>
  <c r="O184" i="61"/>
  <c r="O185" i="61"/>
  <c r="O186" i="61"/>
  <c r="O187" i="61"/>
  <c r="O188" i="61"/>
  <c r="O189" i="61"/>
  <c r="O190" i="61"/>
  <c r="O191" i="61"/>
  <c r="O192" i="61"/>
  <c r="O193" i="61"/>
  <c r="O194" i="61"/>
  <c r="O195" i="61"/>
  <c r="O196" i="61"/>
  <c r="O197" i="61"/>
  <c r="O198" i="61"/>
  <c r="O199" i="61"/>
  <c r="M199" i="61" s="1"/>
  <c r="O200" i="61"/>
  <c r="O201" i="61"/>
  <c r="O202" i="61"/>
  <c r="O203" i="61"/>
  <c r="O204" i="61"/>
  <c r="O205" i="61"/>
  <c r="O206" i="61"/>
  <c r="O207" i="61"/>
  <c r="O208" i="61"/>
  <c r="O209" i="61"/>
  <c r="O210" i="61"/>
  <c r="O211" i="61"/>
  <c r="O212" i="61"/>
  <c r="O213" i="61"/>
  <c r="O214" i="61"/>
  <c r="O215" i="61"/>
  <c r="M215" i="61" s="1"/>
  <c r="O216" i="61"/>
  <c r="O217" i="61"/>
  <c r="O218" i="61"/>
  <c r="O219" i="61"/>
  <c r="O220" i="61"/>
  <c r="M220" i="61" s="1"/>
  <c r="O221" i="61"/>
  <c r="M221" i="61" s="1"/>
  <c r="O222" i="61"/>
  <c r="M222" i="61" s="1"/>
  <c r="O223" i="61"/>
  <c r="O224" i="61"/>
  <c r="O225" i="61"/>
  <c r="O226" i="61"/>
  <c r="O227" i="61"/>
  <c r="O228" i="61"/>
  <c r="O229" i="61"/>
  <c r="O230" i="61"/>
  <c r="O231" i="61"/>
  <c r="O232" i="61"/>
  <c r="O233" i="61"/>
  <c r="O234" i="61"/>
  <c r="O235" i="61"/>
  <c r="O236" i="61"/>
  <c r="O237" i="61"/>
  <c r="O238" i="61"/>
  <c r="O239" i="61"/>
  <c r="O240" i="61"/>
  <c r="O241" i="61"/>
  <c r="O242" i="61"/>
  <c r="O243" i="61"/>
  <c r="M243" i="61" s="1"/>
  <c r="O244" i="61"/>
  <c r="M244" i="61" s="1"/>
  <c r="O245" i="61"/>
  <c r="O246" i="61"/>
  <c r="O247" i="61"/>
  <c r="O248" i="61"/>
  <c r="O249" i="61"/>
  <c r="O250" i="61"/>
  <c r="O3" i="60"/>
  <c r="O4" i="60"/>
  <c r="O5" i="60"/>
  <c r="O6" i="60"/>
  <c r="O7" i="60"/>
  <c r="O8" i="60"/>
  <c r="O9" i="60"/>
  <c r="O10" i="60"/>
  <c r="M10" i="60" s="1"/>
  <c r="O11" i="60"/>
  <c r="O12" i="60"/>
  <c r="O13" i="60"/>
  <c r="M13" i="60" s="1"/>
  <c r="O14" i="60"/>
  <c r="O15" i="60"/>
  <c r="O16" i="60"/>
  <c r="O17" i="60"/>
  <c r="M17" i="60" s="1"/>
  <c r="O18" i="60"/>
  <c r="O19" i="60"/>
  <c r="O20" i="60"/>
  <c r="O21" i="60"/>
  <c r="O22" i="60"/>
  <c r="M22" i="60" s="1"/>
  <c r="O23" i="60"/>
  <c r="M23" i="60" s="1"/>
  <c r="O24" i="60"/>
  <c r="M24" i="60" s="1"/>
  <c r="O25" i="60"/>
  <c r="O26" i="60"/>
  <c r="O27" i="60"/>
  <c r="O28" i="60"/>
  <c r="O29" i="60"/>
  <c r="O30" i="60"/>
  <c r="O31" i="60"/>
  <c r="O32" i="60"/>
  <c r="M32" i="60" s="1"/>
  <c r="O33" i="60"/>
  <c r="O34" i="60"/>
  <c r="O35" i="60"/>
  <c r="O36" i="60"/>
  <c r="O37" i="60"/>
  <c r="O38" i="60"/>
  <c r="O39" i="60"/>
  <c r="O40" i="60"/>
  <c r="O41" i="60"/>
  <c r="O42" i="60"/>
  <c r="O43" i="60"/>
  <c r="O44" i="60"/>
  <c r="O45" i="60"/>
  <c r="M45" i="60" s="1"/>
  <c r="O46" i="60"/>
  <c r="O47" i="60"/>
  <c r="O48" i="60"/>
  <c r="O49" i="60"/>
  <c r="O50" i="60"/>
  <c r="O51" i="60"/>
  <c r="O52" i="60"/>
  <c r="M52" i="60" s="1"/>
  <c r="O53" i="60"/>
  <c r="O54" i="60"/>
  <c r="O55" i="60"/>
  <c r="O56" i="60"/>
  <c r="M56" i="60" s="1"/>
  <c r="O57" i="60"/>
  <c r="O58" i="60"/>
  <c r="O59" i="60"/>
  <c r="O60" i="60"/>
  <c r="M60" i="60" s="1"/>
  <c r="O61" i="60"/>
  <c r="M61" i="60" s="1"/>
  <c r="O62" i="60"/>
  <c r="M62" i="60" s="1"/>
  <c r="O63" i="60"/>
  <c r="O64" i="60"/>
  <c r="O65" i="60"/>
  <c r="O66" i="60"/>
  <c r="M66" i="60" s="1"/>
  <c r="O67" i="60"/>
  <c r="O68" i="60"/>
  <c r="O69" i="60"/>
  <c r="O70" i="60"/>
  <c r="O71" i="60"/>
  <c r="O72" i="60"/>
  <c r="O73" i="60"/>
  <c r="O74" i="60"/>
  <c r="M74" i="60" s="1"/>
  <c r="O75" i="60"/>
  <c r="O76" i="60"/>
  <c r="M76" i="60" s="1"/>
  <c r="O77" i="60"/>
  <c r="O78" i="60"/>
  <c r="O79" i="60"/>
  <c r="O80" i="60"/>
  <c r="O81" i="60"/>
  <c r="O82" i="60"/>
  <c r="O83" i="60"/>
  <c r="O84" i="60"/>
  <c r="M84" i="60" s="1"/>
  <c r="O85" i="60"/>
  <c r="M85" i="60" s="1"/>
  <c r="O86" i="60"/>
  <c r="O87" i="60"/>
  <c r="O88" i="60"/>
  <c r="M88" i="60" s="1"/>
  <c r="O89" i="60"/>
  <c r="O90" i="60"/>
  <c r="O91" i="60"/>
  <c r="O92" i="60"/>
  <c r="O93" i="60"/>
  <c r="O94" i="60"/>
  <c r="O95" i="60"/>
  <c r="O96" i="60"/>
  <c r="O97" i="60"/>
  <c r="O98" i="60"/>
  <c r="O99" i="60"/>
  <c r="O100" i="60"/>
  <c r="O101" i="60"/>
  <c r="O102" i="60"/>
  <c r="O103" i="60"/>
  <c r="O104" i="60"/>
  <c r="O105" i="60"/>
  <c r="M105" i="60" s="1"/>
  <c r="O106" i="60"/>
  <c r="O107" i="60"/>
  <c r="O108" i="60"/>
  <c r="O109" i="60"/>
  <c r="O110" i="60"/>
  <c r="O111" i="60"/>
  <c r="M111" i="60" s="1"/>
  <c r="O112" i="60"/>
  <c r="M112" i="60" s="1"/>
  <c r="O113" i="60"/>
  <c r="O114" i="60"/>
  <c r="O115" i="60"/>
  <c r="O116" i="60"/>
  <c r="O117" i="60"/>
  <c r="O118" i="60"/>
  <c r="O119" i="60"/>
  <c r="O120" i="60"/>
  <c r="M120" i="60" s="1"/>
  <c r="O121" i="60"/>
  <c r="O122" i="60"/>
  <c r="R122" i="60" s="1"/>
  <c r="O123" i="60"/>
  <c r="O124" i="60"/>
  <c r="O125" i="60"/>
  <c r="O126" i="60"/>
  <c r="M126" i="60" s="1"/>
  <c r="O127" i="60"/>
  <c r="O128" i="60"/>
  <c r="O129" i="60"/>
  <c r="O130" i="60"/>
  <c r="O131" i="60"/>
  <c r="O132" i="60"/>
  <c r="M132" i="60" s="1"/>
  <c r="O133" i="60"/>
  <c r="M133" i="60" s="1"/>
  <c r="O134" i="60"/>
  <c r="O135" i="60"/>
  <c r="O136" i="60"/>
  <c r="O137" i="60"/>
  <c r="O138" i="60"/>
  <c r="O139" i="60"/>
  <c r="O140" i="60"/>
  <c r="O141" i="60"/>
  <c r="O142" i="60"/>
  <c r="M142" i="60" s="1"/>
  <c r="O143" i="60"/>
  <c r="O144" i="60"/>
  <c r="O145" i="60"/>
  <c r="M145" i="60" s="1"/>
  <c r="O146" i="60"/>
  <c r="O147" i="60"/>
  <c r="O148" i="60"/>
  <c r="M148" i="60" s="1"/>
  <c r="O149" i="60"/>
  <c r="O150" i="60"/>
  <c r="O151" i="60"/>
  <c r="O152" i="60"/>
  <c r="O153" i="60"/>
  <c r="O154" i="60"/>
  <c r="O155" i="60"/>
  <c r="O156" i="60"/>
  <c r="O157" i="60"/>
  <c r="O158" i="60"/>
  <c r="O159" i="60"/>
  <c r="O160" i="60"/>
  <c r="O161" i="60"/>
  <c r="O162" i="60"/>
  <c r="O163" i="60"/>
  <c r="O164" i="60"/>
  <c r="O165" i="60"/>
  <c r="O166" i="60"/>
  <c r="R166" i="60" s="1"/>
  <c r="O167" i="60"/>
  <c r="O168" i="60"/>
  <c r="O169" i="60"/>
  <c r="M169" i="60" s="1"/>
  <c r="O170" i="60"/>
  <c r="O171" i="60"/>
  <c r="O172" i="60"/>
  <c r="M172" i="60" s="1"/>
  <c r="O173" i="60"/>
  <c r="O174" i="60"/>
  <c r="O175" i="60"/>
  <c r="O176" i="60"/>
  <c r="O177" i="60"/>
  <c r="M177" i="60" s="1"/>
  <c r="O178" i="60"/>
  <c r="O179" i="60"/>
  <c r="O180" i="60"/>
  <c r="O181" i="60"/>
  <c r="O182" i="60"/>
  <c r="O183" i="60"/>
  <c r="O184" i="60"/>
  <c r="M184" i="60" s="1"/>
  <c r="O185" i="60"/>
  <c r="O186" i="60"/>
  <c r="M186" i="60" s="1"/>
  <c r="O187" i="60"/>
  <c r="O188" i="60"/>
  <c r="O189" i="60"/>
  <c r="O190" i="60"/>
  <c r="O191" i="60"/>
  <c r="O192" i="60"/>
  <c r="M192" i="60" s="1"/>
  <c r="O193" i="60"/>
  <c r="M193" i="60" s="1"/>
  <c r="O194" i="60"/>
  <c r="O195" i="60"/>
  <c r="O196" i="60"/>
  <c r="O197" i="60"/>
  <c r="M197" i="60" s="1"/>
  <c r="O198" i="60"/>
  <c r="O199" i="60"/>
  <c r="O200" i="60"/>
  <c r="M200" i="60" s="1"/>
  <c r="O201" i="60"/>
  <c r="O202" i="60"/>
  <c r="O203" i="60"/>
  <c r="O204" i="60"/>
  <c r="O205" i="60"/>
  <c r="O206" i="60"/>
  <c r="M206" i="60" s="1"/>
  <c r="O207" i="60"/>
  <c r="O208" i="60"/>
  <c r="O209" i="60"/>
  <c r="O210" i="60"/>
  <c r="O211" i="60"/>
  <c r="O212" i="60"/>
  <c r="O213" i="60"/>
  <c r="O214" i="60"/>
  <c r="O215" i="60"/>
  <c r="O216" i="60"/>
  <c r="O217" i="60"/>
  <c r="O218" i="60"/>
  <c r="O219" i="60"/>
  <c r="O220" i="60"/>
  <c r="O221" i="60"/>
  <c r="O222" i="60"/>
  <c r="O223" i="60"/>
  <c r="O224" i="60"/>
  <c r="O225" i="60"/>
  <c r="O226" i="60"/>
  <c r="O227" i="60"/>
  <c r="O228" i="60"/>
  <c r="O229" i="60"/>
  <c r="O230" i="60"/>
  <c r="O231" i="60"/>
  <c r="O232" i="60"/>
  <c r="O233" i="60"/>
  <c r="R233" i="60" s="1"/>
  <c r="O234" i="60"/>
  <c r="M234" i="60" s="1"/>
  <c r="O235" i="60"/>
  <c r="O236" i="60"/>
  <c r="O237" i="60"/>
  <c r="M237" i="60" s="1"/>
  <c r="O238" i="60"/>
  <c r="M238" i="60" s="1"/>
  <c r="O239" i="60"/>
  <c r="O240" i="60"/>
  <c r="O241" i="60"/>
  <c r="M241" i="60" s="1"/>
  <c r="O242" i="60"/>
  <c r="M242" i="60" s="1"/>
  <c r="O243" i="60"/>
  <c r="O244" i="60"/>
  <c r="M244" i="60" s="1"/>
  <c r="O245" i="60"/>
  <c r="O246" i="60"/>
  <c r="O247" i="60"/>
  <c r="O248" i="60"/>
  <c r="O249" i="60"/>
  <c r="O250" i="60"/>
  <c r="M250" i="60" s="1"/>
  <c r="O3" i="59"/>
  <c r="O4" i="59"/>
  <c r="O5" i="59"/>
  <c r="O6" i="59"/>
  <c r="O7" i="59"/>
  <c r="O8" i="59"/>
  <c r="O9" i="59"/>
  <c r="O10" i="59"/>
  <c r="O11" i="59"/>
  <c r="O12" i="59"/>
  <c r="O13" i="59"/>
  <c r="O14" i="59"/>
  <c r="O15" i="59"/>
  <c r="O16" i="59"/>
  <c r="O17" i="59"/>
  <c r="O18" i="59"/>
  <c r="O19" i="59"/>
  <c r="O20" i="59"/>
  <c r="O21" i="59"/>
  <c r="O22" i="59"/>
  <c r="O23" i="59"/>
  <c r="O24" i="59"/>
  <c r="M24" i="59" s="1"/>
  <c r="O25" i="59"/>
  <c r="O26" i="59"/>
  <c r="O27" i="59"/>
  <c r="O28" i="59"/>
  <c r="M28" i="59" s="1"/>
  <c r="O29" i="59"/>
  <c r="M29" i="59" s="1"/>
  <c r="O30" i="59"/>
  <c r="O31" i="59"/>
  <c r="O32" i="59"/>
  <c r="O33" i="59"/>
  <c r="O34" i="59"/>
  <c r="O35" i="59"/>
  <c r="M35" i="59" s="1"/>
  <c r="O36" i="59"/>
  <c r="O37" i="59"/>
  <c r="O38" i="59"/>
  <c r="O39" i="59"/>
  <c r="O40" i="59"/>
  <c r="O41" i="59"/>
  <c r="O42" i="59"/>
  <c r="O43" i="59"/>
  <c r="O44" i="59"/>
  <c r="O45" i="59"/>
  <c r="M45" i="59" s="1"/>
  <c r="O46" i="59"/>
  <c r="M46" i="59" s="1"/>
  <c r="O47" i="59"/>
  <c r="O48" i="59"/>
  <c r="O49" i="59"/>
  <c r="O50" i="59"/>
  <c r="O51" i="59"/>
  <c r="O52" i="59"/>
  <c r="O53" i="59"/>
  <c r="O54" i="59"/>
  <c r="O55" i="59"/>
  <c r="O56" i="59"/>
  <c r="O57" i="59"/>
  <c r="O58" i="59"/>
  <c r="O59" i="59"/>
  <c r="O60" i="59"/>
  <c r="O61" i="59"/>
  <c r="M61" i="59" s="1"/>
  <c r="O62" i="59"/>
  <c r="O63" i="59"/>
  <c r="O64" i="59"/>
  <c r="O65" i="59"/>
  <c r="O66" i="59"/>
  <c r="O67" i="59"/>
  <c r="O68" i="59"/>
  <c r="O69" i="59"/>
  <c r="O70" i="59"/>
  <c r="O71" i="59"/>
  <c r="O72" i="59"/>
  <c r="O73" i="59"/>
  <c r="O74" i="59"/>
  <c r="O75" i="59"/>
  <c r="O76" i="59"/>
  <c r="O77" i="59"/>
  <c r="O78" i="59"/>
  <c r="O79" i="59"/>
  <c r="O80" i="59"/>
  <c r="O81" i="59"/>
  <c r="O82" i="59"/>
  <c r="O83" i="59"/>
  <c r="O84" i="59"/>
  <c r="O85" i="59"/>
  <c r="O86" i="59"/>
  <c r="O87" i="59"/>
  <c r="O88" i="59"/>
  <c r="O89" i="59"/>
  <c r="M89" i="59" s="1"/>
  <c r="O90" i="59"/>
  <c r="M90" i="59" s="1"/>
  <c r="O91" i="59"/>
  <c r="O92" i="59"/>
  <c r="O93" i="59"/>
  <c r="O94" i="59"/>
  <c r="O95" i="59"/>
  <c r="O96" i="59"/>
  <c r="O97" i="59"/>
  <c r="O98" i="59"/>
  <c r="O99" i="59"/>
  <c r="O100" i="59"/>
  <c r="O101" i="59"/>
  <c r="O102" i="59"/>
  <c r="O103" i="59"/>
  <c r="O104" i="59"/>
  <c r="M104" i="59" s="1"/>
  <c r="O105" i="59"/>
  <c r="M105" i="59" s="1"/>
  <c r="O106" i="59"/>
  <c r="O107" i="59"/>
  <c r="O108" i="59"/>
  <c r="O109" i="59"/>
  <c r="O110" i="59"/>
  <c r="O111" i="59"/>
  <c r="O112" i="59"/>
  <c r="O113" i="59"/>
  <c r="O114" i="59"/>
  <c r="O115" i="59"/>
  <c r="O116" i="59"/>
  <c r="O117" i="59"/>
  <c r="O118" i="59"/>
  <c r="O119" i="59"/>
  <c r="O120" i="59"/>
  <c r="O121" i="59"/>
  <c r="O122" i="59"/>
  <c r="O123" i="59"/>
  <c r="O124" i="59"/>
  <c r="M124" i="59" s="1"/>
  <c r="O125" i="59"/>
  <c r="O126" i="59"/>
  <c r="O127" i="59"/>
  <c r="O128" i="59"/>
  <c r="O129" i="59"/>
  <c r="O130" i="59"/>
  <c r="O131" i="59"/>
  <c r="O132" i="59"/>
  <c r="O133" i="59"/>
  <c r="O134" i="59"/>
  <c r="O135" i="59"/>
  <c r="O136" i="59"/>
  <c r="O137" i="59"/>
  <c r="O138" i="59"/>
  <c r="M138" i="59" s="1"/>
  <c r="O139" i="59"/>
  <c r="O140" i="59"/>
  <c r="O141" i="59"/>
  <c r="O142" i="59"/>
  <c r="O143" i="59"/>
  <c r="O144" i="59"/>
  <c r="O145" i="59"/>
  <c r="O146" i="59"/>
  <c r="O147" i="59"/>
  <c r="O148" i="59"/>
  <c r="O149" i="59"/>
  <c r="M149" i="59" s="1"/>
  <c r="O150" i="59"/>
  <c r="O151" i="59"/>
  <c r="O152" i="59"/>
  <c r="O153" i="59"/>
  <c r="O154" i="59"/>
  <c r="O155" i="59"/>
  <c r="M155" i="59" s="1"/>
  <c r="O156" i="59"/>
  <c r="O157" i="59"/>
  <c r="O158" i="59"/>
  <c r="O159" i="59"/>
  <c r="O160" i="59"/>
  <c r="O161" i="59"/>
  <c r="M161" i="59" s="1"/>
  <c r="O162" i="59"/>
  <c r="O163" i="59"/>
  <c r="O164" i="59"/>
  <c r="O165" i="59"/>
  <c r="O166" i="59"/>
  <c r="O167" i="59"/>
  <c r="O168" i="59"/>
  <c r="O169" i="59"/>
  <c r="M169" i="59" s="1"/>
  <c r="O170" i="59"/>
  <c r="O171" i="59"/>
  <c r="M171" i="59" s="1"/>
  <c r="O172" i="59"/>
  <c r="O173" i="59"/>
  <c r="O174" i="59"/>
  <c r="O175" i="59"/>
  <c r="O176" i="59"/>
  <c r="O177" i="59"/>
  <c r="O178" i="59"/>
  <c r="O179" i="59"/>
  <c r="O180" i="59"/>
  <c r="O181" i="59"/>
  <c r="O182" i="59"/>
  <c r="O183" i="59"/>
  <c r="R183" i="59" s="1"/>
  <c r="O184" i="59"/>
  <c r="O185" i="59"/>
  <c r="O186" i="59"/>
  <c r="O187" i="59"/>
  <c r="O188" i="59"/>
  <c r="O189" i="59"/>
  <c r="R189" i="59" s="1"/>
  <c r="O190" i="59"/>
  <c r="O191" i="59"/>
  <c r="O192" i="59"/>
  <c r="O193" i="59"/>
  <c r="R193" i="59" s="1"/>
  <c r="O194" i="59"/>
  <c r="O195" i="59"/>
  <c r="O196" i="59"/>
  <c r="O197" i="59"/>
  <c r="O198" i="59"/>
  <c r="O199" i="59"/>
  <c r="O200" i="59"/>
  <c r="O201" i="59"/>
  <c r="O202" i="59"/>
  <c r="O203" i="59"/>
  <c r="O204" i="59"/>
  <c r="O205" i="59"/>
  <c r="M205" i="59" s="1"/>
  <c r="O206" i="59"/>
  <c r="O207" i="59"/>
  <c r="O208" i="59"/>
  <c r="O209" i="59"/>
  <c r="O210" i="59"/>
  <c r="O211" i="59"/>
  <c r="O212" i="59"/>
  <c r="O213" i="59"/>
  <c r="O214" i="59"/>
  <c r="O215" i="59"/>
  <c r="O216" i="59"/>
  <c r="O217" i="59"/>
  <c r="O218" i="59"/>
  <c r="O219" i="59"/>
  <c r="O220" i="59"/>
  <c r="O221" i="59"/>
  <c r="M221" i="59" s="1"/>
  <c r="O222" i="59"/>
  <c r="M222" i="59" s="1"/>
  <c r="O223" i="59"/>
  <c r="O224" i="59"/>
  <c r="O225" i="59"/>
  <c r="O226" i="59"/>
  <c r="O227" i="59"/>
  <c r="O228" i="59"/>
  <c r="O229" i="59"/>
  <c r="O230" i="59"/>
  <c r="O231" i="59"/>
  <c r="O232" i="59"/>
  <c r="O233" i="59"/>
  <c r="O234" i="59"/>
  <c r="O235" i="59"/>
  <c r="O236" i="59"/>
  <c r="O237" i="59"/>
  <c r="O238" i="59"/>
  <c r="O239" i="59"/>
  <c r="O240" i="59"/>
  <c r="O241" i="59"/>
  <c r="O242" i="59"/>
  <c r="O243" i="59"/>
  <c r="M243" i="59" s="1"/>
  <c r="O244" i="59"/>
  <c r="O245" i="59"/>
  <c r="O246" i="59"/>
  <c r="O247" i="59"/>
  <c r="O248" i="59"/>
  <c r="O249" i="59"/>
  <c r="O250" i="59"/>
  <c r="O3" i="58"/>
  <c r="O4" i="58"/>
  <c r="O5" i="58"/>
  <c r="O6" i="58"/>
  <c r="M6" i="58" s="1"/>
  <c r="O7" i="58"/>
  <c r="O8" i="58"/>
  <c r="O9" i="58"/>
  <c r="O10" i="58"/>
  <c r="M10" i="58" s="1"/>
  <c r="O11" i="58"/>
  <c r="O12" i="58"/>
  <c r="O13" i="58"/>
  <c r="O14" i="58"/>
  <c r="O15" i="58"/>
  <c r="O16" i="58"/>
  <c r="O17" i="58"/>
  <c r="M17" i="58" s="1"/>
  <c r="O18" i="58"/>
  <c r="O19" i="58"/>
  <c r="O20" i="58"/>
  <c r="O21" i="58"/>
  <c r="R21" i="58" s="1"/>
  <c r="O22" i="58"/>
  <c r="M22" i="58" s="1"/>
  <c r="O23" i="58"/>
  <c r="O24" i="58"/>
  <c r="O25" i="58"/>
  <c r="O26" i="58"/>
  <c r="O27" i="58"/>
  <c r="O28" i="58"/>
  <c r="O29" i="58"/>
  <c r="O30" i="58"/>
  <c r="O31" i="58"/>
  <c r="O32" i="58"/>
  <c r="M32" i="58" s="1"/>
  <c r="O33" i="58"/>
  <c r="O34" i="58"/>
  <c r="O35" i="58"/>
  <c r="O36" i="58"/>
  <c r="O37" i="58"/>
  <c r="O38" i="58"/>
  <c r="O39" i="58"/>
  <c r="O40" i="58"/>
  <c r="O41" i="58"/>
  <c r="O42" i="58"/>
  <c r="O43" i="58"/>
  <c r="O44" i="58"/>
  <c r="O45" i="58"/>
  <c r="O46" i="58"/>
  <c r="O47" i="58"/>
  <c r="O48" i="58"/>
  <c r="O49" i="58"/>
  <c r="O50" i="58"/>
  <c r="O51" i="58"/>
  <c r="O52" i="58"/>
  <c r="O53" i="58"/>
  <c r="O54" i="58"/>
  <c r="O55" i="58"/>
  <c r="M55" i="58" s="1"/>
  <c r="O56" i="58"/>
  <c r="O57" i="58"/>
  <c r="O58" i="58"/>
  <c r="M58" i="58" s="1"/>
  <c r="O59" i="58"/>
  <c r="O60" i="58"/>
  <c r="M60" i="58" s="1"/>
  <c r="O61" i="58"/>
  <c r="M61" i="58" s="1"/>
  <c r="O62" i="58"/>
  <c r="O63" i="58"/>
  <c r="M63" i="58" s="1"/>
  <c r="O64" i="58"/>
  <c r="O65" i="58"/>
  <c r="M65" i="58" s="1"/>
  <c r="O66" i="58"/>
  <c r="M66" i="58" s="1"/>
  <c r="O67" i="58"/>
  <c r="O68" i="58"/>
  <c r="O69" i="58"/>
  <c r="O70" i="58"/>
  <c r="O71" i="58"/>
  <c r="O72" i="58"/>
  <c r="O73" i="58"/>
  <c r="O74" i="58"/>
  <c r="O75" i="58"/>
  <c r="O76" i="58"/>
  <c r="O77" i="58"/>
  <c r="O78" i="58"/>
  <c r="O79" i="58"/>
  <c r="O80" i="58"/>
  <c r="O81" i="58"/>
  <c r="O82" i="58"/>
  <c r="O83" i="58"/>
  <c r="O84" i="58"/>
  <c r="O85" i="58"/>
  <c r="O86" i="58"/>
  <c r="O87" i="58"/>
  <c r="M87" i="58" s="1"/>
  <c r="O88" i="58"/>
  <c r="M88" i="58" s="1"/>
  <c r="O89" i="58"/>
  <c r="O90" i="58"/>
  <c r="O91" i="58"/>
  <c r="O92" i="58"/>
  <c r="O93" i="58"/>
  <c r="O94" i="58"/>
  <c r="O95" i="58"/>
  <c r="O96" i="58"/>
  <c r="O97" i="58"/>
  <c r="O98" i="58"/>
  <c r="R98" i="58" s="1"/>
  <c r="O99" i="58"/>
  <c r="O100" i="58"/>
  <c r="O101" i="58"/>
  <c r="M101" i="58" s="1"/>
  <c r="O102" i="58"/>
  <c r="M102" i="58" s="1"/>
  <c r="O103" i="58"/>
  <c r="M103" i="58" s="1"/>
  <c r="O104" i="58"/>
  <c r="O105" i="58"/>
  <c r="M105" i="58" s="1"/>
  <c r="O106" i="58"/>
  <c r="O107" i="58"/>
  <c r="M107" i="58" s="1"/>
  <c r="O108" i="58"/>
  <c r="O109" i="58"/>
  <c r="O110" i="58"/>
  <c r="M110" i="58" s="1"/>
  <c r="O111" i="58"/>
  <c r="O112" i="58"/>
  <c r="O113" i="58"/>
  <c r="O114" i="58"/>
  <c r="O115" i="58"/>
  <c r="O116" i="58"/>
  <c r="O117" i="58"/>
  <c r="O118" i="58"/>
  <c r="O119" i="58"/>
  <c r="O120" i="58"/>
  <c r="O121" i="58"/>
  <c r="O122" i="58"/>
  <c r="O123" i="58"/>
  <c r="O124" i="58"/>
  <c r="O125" i="58"/>
  <c r="O126" i="58"/>
  <c r="R126" i="58" s="1"/>
  <c r="O127" i="58"/>
  <c r="R127" i="58" s="1"/>
  <c r="O128" i="58"/>
  <c r="O129" i="58"/>
  <c r="O130" i="58"/>
  <c r="O131" i="58"/>
  <c r="O132" i="58"/>
  <c r="M132" i="58" s="1"/>
  <c r="O133" i="58"/>
  <c r="O134" i="58"/>
  <c r="O135" i="58"/>
  <c r="O136" i="58"/>
  <c r="O137" i="58"/>
  <c r="O138" i="58"/>
  <c r="O139" i="58"/>
  <c r="O140" i="58"/>
  <c r="O141" i="58"/>
  <c r="M141" i="58" s="1"/>
  <c r="O142" i="58"/>
  <c r="O143" i="58"/>
  <c r="R143" i="58" s="1"/>
  <c r="O144" i="58"/>
  <c r="O145" i="58"/>
  <c r="M145" i="58" s="1"/>
  <c r="O146" i="58"/>
  <c r="O147" i="58"/>
  <c r="O148" i="58"/>
  <c r="M148" i="58" s="1"/>
  <c r="O149" i="58"/>
  <c r="O150" i="58"/>
  <c r="O151" i="58"/>
  <c r="O152" i="58"/>
  <c r="O153" i="58"/>
  <c r="O154" i="58"/>
  <c r="O155" i="58"/>
  <c r="O156" i="58"/>
  <c r="O157" i="58"/>
  <c r="O158" i="58"/>
  <c r="O159" i="58"/>
  <c r="O160" i="58"/>
  <c r="O161" i="58"/>
  <c r="M161" i="58" s="1"/>
  <c r="O162" i="58"/>
  <c r="O163" i="58"/>
  <c r="O164" i="58"/>
  <c r="O165" i="58"/>
  <c r="O166" i="58"/>
  <c r="O167" i="58"/>
  <c r="M167" i="58" s="1"/>
  <c r="O168" i="58"/>
  <c r="M168" i="58" s="1"/>
  <c r="O169" i="58"/>
  <c r="O170" i="58"/>
  <c r="O171" i="58"/>
  <c r="O172" i="58"/>
  <c r="O173" i="58"/>
  <c r="O174" i="58"/>
  <c r="O175" i="58"/>
  <c r="O176" i="58"/>
  <c r="O177" i="58"/>
  <c r="O178" i="58"/>
  <c r="O179" i="58"/>
  <c r="O180" i="58"/>
  <c r="O181" i="58"/>
  <c r="O182" i="58"/>
  <c r="O183" i="58"/>
  <c r="O184" i="58"/>
  <c r="O185" i="58"/>
  <c r="O186" i="58"/>
  <c r="O187" i="58"/>
  <c r="O188" i="58"/>
  <c r="O189" i="58"/>
  <c r="O190" i="58"/>
  <c r="O191" i="58"/>
  <c r="O192" i="58"/>
  <c r="O193" i="58"/>
  <c r="O194" i="58"/>
  <c r="O195" i="58"/>
  <c r="M195" i="58" s="1"/>
  <c r="O196" i="58"/>
  <c r="O197" i="58"/>
  <c r="O198" i="58"/>
  <c r="M198" i="58" s="1"/>
  <c r="O199" i="58"/>
  <c r="O200" i="58"/>
  <c r="M200" i="58" s="1"/>
  <c r="O201" i="58"/>
  <c r="O202" i="58"/>
  <c r="O203" i="58"/>
  <c r="O204" i="58"/>
  <c r="O205" i="58"/>
  <c r="M205" i="58" s="1"/>
  <c r="O206" i="58"/>
  <c r="O207" i="58"/>
  <c r="M207" i="58" s="1"/>
  <c r="O208" i="58"/>
  <c r="O209" i="58"/>
  <c r="O210" i="58"/>
  <c r="O211" i="58"/>
  <c r="O212" i="58"/>
  <c r="M212" i="58" s="1"/>
  <c r="O213" i="58"/>
  <c r="O214" i="58"/>
  <c r="O215" i="58"/>
  <c r="M215" i="58" s="1"/>
  <c r="O216" i="58"/>
  <c r="O217" i="58"/>
  <c r="O218" i="58"/>
  <c r="O219" i="58"/>
  <c r="O220" i="58"/>
  <c r="O221" i="58"/>
  <c r="O222" i="58"/>
  <c r="O223" i="58"/>
  <c r="O224" i="58"/>
  <c r="O225" i="58"/>
  <c r="O226" i="58"/>
  <c r="O227" i="58"/>
  <c r="O228" i="58"/>
  <c r="O229" i="58"/>
  <c r="M229" i="58" s="1"/>
  <c r="O230" i="58"/>
  <c r="O231" i="58"/>
  <c r="O232" i="58"/>
  <c r="O233" i="58"/>
  <c r="O234" i="58"/>
  <c r="O235" i="58"/>
  <c r="O236" i="58"/>
  <c r="O237" i="58"/>
  <c r="O238" i="58"/>
  <c r="O239" i="58"/>
  <c r="O240" i="58"/>
  <c r="O241" i="58"/>
  <c r="M241" i="58" s="1"/>
  <c r="O242" i="58"/>
  <c r="O243" i="58"/>
  <c r="M243" i="58" s="1"/>
  <c r="O244" i="58"/>
  <c r="O245" i="58"/>
  <c r="O246" i="58"/>
  <c r="O247" i="58"/>
  <c r="O248" i="58"/>
  <c r="O249" i="58"/>
  <c r="O250" i="58"/>
  <c r="O3" i="57"/>
  <c r="O4" i="57"/>
  <c r="O5" i="57"/>
  <c r="O6" i="57"/>
  <c r="O7" i="57"/>
  <c r="O8" i="57"/>
  <c r="O9" i="57"/>
  <c r="O10" i="57"/>
  <c r="O11" i="57"/>
  <c r="O12" i="57"/>
  <c r="M12" i="57" s="1"/>
  <c r="O13" i="57"/>
  <c r="M13" i="57" s="1"/>
  <c r="O14" i="57"/>
  <c r="M14" i="57" s="1"/>
  <c r="O15" i="57"/>
  <c r="M15" i="57" s="1"/>
  <c r="O16" i="57"/>
  <c r="O17" i="57"/>
  <c r="M17" i="57" s="1"/>
  <c r="O18" i="57"/>
  <c r="O19" i="57"/>
  <c r="O20" i="57"/>
  <c r="O21" i="57"/>
  <c r="O22" i="57"/>
  <c r="O23" i="57"/>
  <c r="O24" i="57"/>
  <c r="M24" i="57" s="1"/>
  <c r="O25" i="57"/>
  <c r="O26" i="57"/>
  <c r="O27" i="57"/>
  <c r="O28" i="57"/>
  <c r="O29" i="57"/>
  <c r="O30" i="57"/>
  <c r="O31" i="57"/>
  <c r="O32" i="57"/>
  <c r="O33" i="57"/>
  <c r="O34" i="57"/>
  <c r="O35" i="57"/>
  <c r="O36" i="57"/>
  <c r="O37" i="57"/>
  <c r="O38" i="57"/>
  <c r="O39" i="57"/>
  <c r="M39" i="57" s="1"/>
  <c r="O40" i="57"/>
  <c r="O41" i="57"/>
  <c r="O42" i="57"/>
  <c r="O43" i="57"/>
  <c r="O44" i="57"/>
  <c r="O45" i="57"/>
  <c r="O46" i="57"/>
  <c r="O47" i="57"/>
  <c r="O48" i="57"/>
  <c r="O49" i="57"/>
  <c r="O50" i="57"/>
  <c r="O51" i="57"/>
  <c r="O52" i="57"/>
  <c r="M52" i="57" s="1"/>
  <c r="O53" i="57"/>
  <c r="O54" i="57"/>
  <c r="O55" i="57"/>
  <c r="M55" i="57" s="1"/>
  <c r="O56" i="57"/>
  <c r="O57" i="57"/>
  <c r="M57" i="57" s="1"/>
  <c r="O58" i="57"/>
  <c r="O59" i="57"/>
  <c r="O60" i="57"/>
  <c r="O61" i="57"/>
  <c r="O62" i="57"/>
  <c r="O63" i="57"/>
  <c r="M63" i="57" s="1"/>
  <c r="O64" i="57"/>
  <c r="O65" i="57"/>
  <c r="O66" i="57"/>
  <c r="M66" i="57" s="1"/>
  <c r="O67" i="57"/>
  <c r="M67" i="57" s="1"/>
  <c r="O68" i="57"/>
  <c r="O69" i="57"/>
  <c r="O70" i="57"/>
  <c r="O71" i="57"/>
  <c r="O72" i="57"/>
  <c r="O73" i="57"/>
  <c r="O74" i="57"/>
  <c r="O75" i="57"/>
  <c r="O76" i="57"/>
  <c r="O77" i="57"/>
  <c r="O78" i="57"/>
  <c r="O79" i="57"/>
  <c r="O80" i="57"/>
  <c r="O81" i="57"/>
  <c r="O82" i="57"/>
  <c r="O83" i="57"/>
  <c r="M83" i="57" s="1"/>
  <c r="O84" i="57"/>
  <c r="M84" i="57" s="1"/>
  <c r="O85" i="57"/>
  <c r="M85" i="57" s="1"/>
  <c r="O86" i="57"/>
  <c r="O87" i="57"/>
  <c r="O88" i="57"/>
  <c r="O89" i="57"/>
  <c r="O90" i="57"/>
  <c r="O91" i="57"/>
  <c r="O92" i="57"/>
  <c r="O93" i="57"/>
  <c r="O94" i="57"/>
  <c r="O95" i="57"/>
  <c r="O96" i="57"/>
  <c r="O97" i="57"/>
  <c r="O98" i="57"/>
  <c r="O99" i="57"/>
  <c r="O100" i="57"/>
  <c r="M100" i="57" s="1"/>
  <c r="O101" i="57"/>
  <c r="O102" i="57"/>
  <c r="M102" i="57" s="1"/>
  <c r="O103" i="57"/>
  <c r="O104" i="57"/>
  <c r="O105" i="57"/>
  <c r="M105" i="57" s="1"/>
  <c r="O106" i="57"/>
  <c r="M106" i="57" s="1"/>
  <c r="O107" i="57"/>
  <c r="M107" i="57" s="1"/>
  <c r="O108" i="57"/>
  <c r="O109" i="57"/>
  <c r="O110" i="57"/>
  <c r="O111" i="57"/>
  <c r="O112" i="57"/>
  <c r="M112" i="57" s="1"/>
  <c r="O113" i="57"/>
  <c r="O114" i="57"/>
  <c r="O115" i="57"/>
  <c r="O116" i="57"/>
  <c r="O117" i="57"/>
  <c r="O118" i="57"/>
  <c r="O119" i="57"/>
  <c r="O120" i="57"/>
  <c r="O121" i="57"/>
  <c r="O122" i="57"/>
  <c r="O123" i="57"/>
  <c r="O124" i="57"/>
  <c r="O125" i="57"/>
  <c r="O126" i="57"/>
  <c r="O127" i="57"/>
  <c r="O128" i="57"/>
  <c r="O129" i="57"/>
  <c r="O130" i="57"/>
  <c r="O131" i="57"/>
  <c r="O132" i="57"/>
  <c r="O133" i="57"/>
  <c r="O134" i="57"/>
  <c r="M134" i="57" s="1"/>
  <c r="O135" i="57"/>
  <c r="O136" i="57"/>
  <c r="O137" i="57"/>
  <c r="O138" i="57"/>
  <c r="O139" i="57"/>
  <c r="O140" i="57"/>
  <c r="O141" i="57"/>
  <c r="O142" i="57"/>
  <c r="O143" i="57"/>
  <c r="O144" i="57"/>
  <c r="O145" i="57"/>
  <c r="M145" i="57" s="1"/>
  <c r="O146" i="57"/>
  <c r="O147" i="57"/>
  <c r="M147" i="57" s="1"/>
  <c r="O148" i="57"/>
  <c r="O149" i="57"/>
  <c r="O150" i="57"/>
  <c r="O151" i="57"/>
  <c r="O152" i="57"/>
  <c r="M152" i="57" s="1"/>
  <c r="O153" i="57"/>
  <c r="O154" i="57"/>
  <c r="O155" i="57"/>
  <c r="M155" i="57" s="1"/>
  <c r="O156" i="57"/>
  <c r="O157" i="57"/>
  <c r="O158" i="57"/>
  <c r="O159" i="57"/>
  <c r="O160" i="57"/>
  <c r="O161" i="57"/>
  <c r="O162" i="57"/>
  <c r="M162" i="57" s="1"/>
  <c r="O163" i="57"/>
  <c r="O164" i="57"/>
  <c r="O165" i="57"/>
  <c r="M165" i="57" s="1"/>
  <c r="O166" i="57"/>
  <c r="M166" i="57" s="1"/>
  <c r="O167" i="57"/>
  <c r="M167" i="57" s="1"/>
  <c r="O168" i="57"/>
  <c r="M168" i="57" s="1"/>
  <c r="O169" i="57"/>
  <c r="O170" i="57"/>
  <c r="O171" i="57"/>
  <c r="O172" i="57"/>
  <c r="O173" i="57"/>
  <c r="O174" i="57"/>
  <c r="O175" i="57"/>
  <c r="O176" i="57"/>
  <c r="O177" i="57"/>
  <c r="O178" i="57"/>
  <c r="O179" i="57"/>
  <c r="O180" i="57"/>
  <c r="O181" i="57"/>
  <c r="O182" i="57"/>
  <c r="O183" i="57"/>
  <c r="O184" i="57"/>
  <c r="O185" i="57"/>
  <c r="O186" i="57"/>
  <c r="O187" i="57"/>
  <c r="O188" i="57"/>
  <c r="O189" i="57"/>
  <c r="O190" i="57"/>
  <c r="O191" i="57"/>
  <c r="O192" i="57"/>
  <c r="O193" i="57"/>
  <c r="O194" i="57"/>
  <c r="O195" i="57"/>
  <c r="O196" i="57"/>
  <c r="O197" i="57"/>
  <c r="O198" i="57"/>
  <c r="O199" i="57"/>
  <c r="M199" i="57" s="1"/>
  <c r="O200" i="57"/>
  <c r="O201" i="57"/>
  <c r="O202" i="57"/>
  <c r="O203" i="57"/>
  <c r="O204" i="57"/>
  <c r="O205" i="57"/>
  <c r="O206" i="57"/>
  <c r="O207" i="57"/>
  <c r="O208" i="57"/>
  <c r="O209" i="57"/>
  <c r="M209" i="57" s="1"/>
  <c r="O210" i="57"/>
  <c r="O211" i="57"/>
  <c r="M211" i="57" s="1"/>
  <c r="O212" i="57"/>
  <c r="M212" i="57" s="1"/>
  <c r="O213" i="57"/>
  <c r="O214" i="57"/>
  <c r="O215" i="57"/>
  <c r="O216" i="57"/>
  <c r="O217" i="57"/>
  <c r="M217" i="57" s="1"/>
  <c r="O218" i="57"/>
  <c r="O219" i="57"/>
  <c r="O220" i="57"/>
  <c r="O221" i="57"/>
  <c r="O222" i="57"/>
  <c r="M222" i="57" s="1"/>
  <c r="O223" i="57"/>
  <c r="O224" i="57"/>
  <c r="O225" i="57"/>
  <c r="O226" i="57"/>
  <c r="O227" i="57"/>
  <c r="O228" i="57"/>
  <c r="O229" i="57"/>
  <c r="O230" i="57"/>
  <c r="O231" i="57"/>
  <c r="O232" i="57"/>
  <c r="O233" i="57"/>
  <c r="O234" i="57"/>
  <c r="O235" i="57"/>
  <c r="O236" i="57"/>
  <c r="O237" i="57"/>
  <c r="O238" i="57"/>
  <c r="O239" i="57"/>
  <c r="M239" i="57" s="1"/>
  <c r="O240" i="57"/>
  <c r="M240" i="57" s="1"/>
  <c r="O241" i="57"/>
  <c r="O242" i="57"/>
  <c r="M242" i="57" s="1"/>
  <c r="O243" i="57"/>
  <c r="M243" i="57" s="1"/>
  <c r="O244" i="57"/>
  <c r="O245" i="57"/>
  <c r="O246" i="57"/>
  <c r="O247" i="57"/>
  <c r="O248" i="57"/>
  <c r="O249" i="57"/>
  <c r="O250" i="57"/>
  <c r="O3" i="56"/>
  <c r="O4" i="56"/>
  <c r="O5" i="56"/>
  <c r="O6" i="56"/>
  <c r="O7" i="56"/>
  <c r="O8" i="56"/>
  <c r="O9" i="56"/>
  <c r="O10" i="56"/>
  <c r="O11" i="56"/>
  <c r="O12" i="56"/>
  <c r="O13" i="56"/>
  <c r="O14" i="56"/>
  <c r="M14" i="56" s="1"/>
  <c r="O15" i="56"/>
  <c r="O16" i="56"/>
  <c r="O17" i="56"/>
  <c r="O18" i="56"/>
  <c r="O19" i="56"/>
  <c r="O20" i="56"/>
  <c r="O21" i="56"/>
  <c r="O22" i="56"/>
  <c r="M22" i="56" s="1"/>
  <c r="O23" i="56"/>
  <c r="O24" i="56"/>
  <c r="O25" i="56"/>
  <c r="O26" i="56"/>
  <c r="O27" i="56"/>
  <c r="O28" i="56"/>
  <c r="O29" i="56"/>
  <c r="O30" i="56"/>
  <c r="O31" i="56"/>
  <c r="O32" i="56"/>
  <c r="O33" i="56"/>
  <c r="O34" i="56"/>
  <c r="O35" i="56"/>
  <c r="M35" i="56" s="1"/>
  <c r="O36" i="56"/>
  <c r="M36" i="56" s="1"/>
  <c r="O37" i="56"/>
  <c r="O38" i="56"/>
  <c r="O39" i="56"/>
  <c r="O40" i="56"/>
  <c r="O41" i="56"/>
  <c r="O42" i="56"/>
  <c r="O43" i="56"/>
  <c r="O44" i="56"/>
  <c r="O45" i="56"/>
  <c r="O46" i="56"/>
  <c r="O47" i="56"/>
  <c r="O48" i="56"/>
  <c r="O49" i="56"/>
  <c r="O50" i="56"/>
  <c r="O51" i="56"/>
  <c r="O52" i="56"/>
  <c r="O53" i="56"/>
  <c r="O54" i="56"/>
  <c r="O55" i="56"/>
  <c r="O56" i="56"/>
  <c r="O57" i="56"/>
  <c r="O58" i="56"/>
  <c r="O59" i="56"/>
  <c r="O60" i="56"/>
  <c r="O61" i="56"/>
  <c r="O62" i="56"/>
  <c r="O63" i="56"/>
  <c r="O64" i="56"/>
  <c r="O65" i="56"/>
  <c r="O66" i="56"/>
  <c r="O67" i="56"/>
  <c r="O68" i="56"/>
  <c r="O69" i="56"/>
  <c r="O70" i="56"/>
  <c r="O71" i="56"/>
  <c r="O72" i="56"/>
  <c r="O73" i="56"/>
  <c r="O74" i="56"/>
  <c r="O75" i="56"/>
  <c r="O76" i="56"/>
  <c r="O77" i="56"/>
  <c r="O78" i="56"/>
  <c r="O79" i="56"/>
  <c r="O80" i="56"/>
  <c r="O81" i="56"/>
  <c r="O82" i="56"/>
  <c r="O83" i="56"/>
  <c r="O84" i="56"/>
  <c r="O85" i="56"/>
  <c r="M85" i="56" s="1"/>
  <c r="O86" i="56"/>
  <c r="O87" i="56"/>
  <c r="O88" i="56"/>
  <c r="M88" i="56" s="1"/>
  <c r="O89" i="56"/>
  <c r="O90" i="56"/>
  <c r="M90" i="56" s="1"/>
  <c r="O91" i="56"/>
  <c r="O92" i="56"/>
  <c r="O93" i="56"/>
  <c r="O94" i="56"/>
  <c r="O95" i="56"/>
  <c r="O96" i="56"/>
  <c r="O97" i="56"/>
  <c r="O98" i="56"/>
  <c r="O99" i="56"/>
  <c r="O100" i="56"/>
  <c r="O101" i="56"/>
  <c r="O102" i="56"/>
  <c r="M102" i="56" s="1"/>
  <c r="O103" i="56"/>
  <c r="O104" i="56"/>
  <c r="O105" i="56"/>
  <c r="O106" i="56"/>
  <c r="O107" i="56"/>
  <c r="O108" i="56"/>
  <c r="O109" i="56"/>
  <c r="O110" i="56"/>
  <c r="M110" i="56" s="1"/>
  <c r="O111" i="56"/>
  <c r="O112" i="56"/>
  <c r="O113" i="56"/>
  <c r="O114" i="56"/>
  <c r="O115" i="56"/>
  <c r="O116" i="56"/>
  <c r="O117" i="56"/>
  <c r="O118" i="56"/>
  <c r="O119" i="56"/>
  <c r="O120" i="56"/>
  <c r="O121" i="56"/>
  <c r="O122" i="56"/>
  <c r="O123" i="56"/>
  <c r="O124" i="56"/>
  <c r="O125" i="56"/>
  <c r="O126" i="56"/>
  <c r="O127" i="56"/>
  <c r="O128" i="56"/>
  <c r="O129" i="56"/>
  <c r="O130" i="56"/>
  <c r="O131" i="56"/>
  <c r="O132" i="56"/>
  <c r="O133" i="56"/>
  <c r="O134" i="56"/>
  <c r="O135" i="56"/>
  <c r="O136" i="56"/>
  <c r="O137" i="56"/>
  <c r="O138" i="56"/>
  <c r="O139" i="56"/>
  <c r="O140" i="56"/>
  <c r="O141" i="56"/>
  <c r="O142" i="56"/>
  <c r="O143" i="56"/>
  <c r="O144" i="56"/>
  <c r="O145" i="56"/>
  <c r="M145" i="56" s="1"/>
  <c r="O146" i="56"/>
  <c r="O147" i="56"/>
  <c r="O148" i="56"/>
  <c r="O149" i="56"/>
  <c r="O150" i="56"/>
  <c r="O151" i="56"/>
  <c r="O152" i="56"/>
  <c r="O153" i="56"/>
  <c r="O154" i="56"/>
  <c r="O155" i="56"/>
  <c r="O156" i="56"/>
  <c r="O157" i="56"/>
  <c r="O158" i="56"/>
  <c r="O159" i="56"/>
  <c r="O160" i="56"/>
  <c r="O161" i="56"/>
  <c r="O162" i="56"/>
  <c r="O163" i="56"/>
  <c r="O164" i="56"/>
  <c r="O165" i="56"/>
  <c r="O166" i="56"/>
  <c r="O167" i="56"/>
  <c r="O168" i="56"/>
  <c r="O169" i="56"/>
  <c r="O170" i="56"/>
  <c r="O171" i="56"/>
  <c r="O172" i="56"/>
  <c r="O173" i="56"/>
  <c r="O174" i="56"/>
  <c r="O175" i="56"/>
  <c r="O176" i="56"/>
  <c r="O177" i="56"/>
  <c r="O178" i="56"/>
  <c r="M178" i="56" s="1"/>
  <c r="O179" i="56"/>
  <c r="O180" i="56"/>
  <c r="O181" i="56"/>
  <c r="O182" i="56"/>
  <c r="O183" i="56"/>
  <c r="O184" i="56"/>
  <c r="O185" i="56"/>
  <c r="O186" i="56"/>
  <c r="O187" i="56"/>
  <c r="O188" i="56"/>
  <c r="O189" i="56"/>
  <c r="O190" i="56"/>
  <c r="O191" i="56"/>
  <c r="O192" i="56"/>
  <c r="O193" i="56"/>
  <c r="O194" i="56"/>
  <c r="O195" i="56"/>
  <c r="M195" i="56" s="1"/>
  <c r="O196" i="56"/>
  <c r="O197" i="56"/>
  <c r="O198" i="56"/>
  <c r="M198" i="56" s="1"/>
  <c r="O199" i="56"/>
  <c r="O200" i="56"/>
  <c r="M200" i="56" s="1"/>
  <c r="O201" i="56"/>
  <c r="O202" i="56"/>
  <c r="O203" i="56"/>
  <c r="O204" i="56"/>
  <c r="O205" i="56"/>
  <c r="O206" i="56"/>
  <c r="O207" i="56"/>
  <c r="O208" i="56"/>
  <c r="O209" i="56"/>
  <c r="O210" i="56"/>
  <c r="O211" i="56"/>
  <c r="O212" i="56"/>
  <c r="M212" i="56" s="1"/>
  <c r="O213" i="56"/>
  <c r="O214" i="56"/>
  <c r="O215" i="56"/>
  <c r="O216" i="56"/>
  <c r="O217" i="56"/>
  <c r="O218" i="56"/>
  <c r="O219" i="56"/>
  <c r="O220" i="56"/>
  <c r="O221" i="56"/>
  <c r="O222" i="56"/>
  <c r="M222" i="56" s="1"/>
  <c r="O223" i="56"/>
  <c r="O224" i="56"/>
  <c r="O225" i="56"/>
  <c r="O226" i="56"/>
  <c r="O227" i="56"/>
  <c r="O228" i="56"/>
  <c r="O229" i="56"/>
  <c r="O230" i="56"/>
  <c r="O231" i="56"/>
  <c r="O232" i="56"/>
  <c r="O233" i="56"/>
  <c r="O234" i="56"/>
  <c r="O235" i="56"/>
  <c r="O236" i="56"/>
  <c r="O237" i="56"/>
  <c r="O238" i="56"/>
  <c r="M238" i="56" s="1"/>
  <c r="O239" i="56"/>
  <c r="M239" i="56" s="1"/>
  <c r="O240" i="56"/>
  <c r="O241" i="56"/>
  <c r="O242" i="56"/>
  <c r="O243" i="56"/>
  <c r="O244" i="56"/>
  <c r="O245" i="56"/>
  <c r="O246" i="56"/>
  <c r="O247" i="56"/>
  <c r="O248" i="56"/>
  <c r="O249" i="56"/>
  <c r="O250" i="56"/>
  <c r="O3" i="55"/>
  <c r="O4" i="55"/>
  <c r="O5" i="55"/>
  <c r="O6" i="55"/>
  <c r="O7" i="55"/>
  <c r="O8" i="55"/>
  <c r="O9" i="55"/>
  <c r="O10" i="55"/>
  <c r="M10" i="55" s="1"/>
  <c r="O11" i="55"/>
  <c r="M11" i="55" s="1"/>
  <c r="O12" i="55"/>
  <c r="O13" i="55"/>
  <c r="M13" i="55" s="1"/>
  <c r="O14" i="55"/>
  <c r="O15" i="55"/>
  <c r="O16" i="55"/>
  <c r="O17" i="55"/>
  <c r="M17" i="55" s="1"/>
  <c r="O18" i="55"/>
  <c r="M18" i="55" s="1"/>
  <c r="O19" i="55"/>
  <c r="M19" i="55" s="1"/>
  <c r="O20" i="55"/>
  <c r="M20" i="55" s="1"/>
  <c r="O21" i="55"/>
  <c r="O22" i="55"/>
  <c r="O23" i="55"/>
  <c r="O24" i="55"/>
  <c r="O25" i="55"/>
  <c r="O26" i="55"/>
  <c r="O27" i="55"/>
  <c r="M27" i="55" s="1"/>
  <c r="O28" i="55"/>
  <c r="O29" i="55"/>
  <c r="M29" i="55" s="1"/>
  <c r="O30" i="55"/>
  <c r="O31" i="55"/>
  <c r="O32" i="55"/>
  <c r="O33" i="55"/>
  <c r="O34" i="55"/>
  <c r="O35" i="55"/>
  <c r="O36" i="55"/>
  <c r="O37" i="55"/>
  <c r="M37" i="55" s="1"/>
  <c r="O38" i="55"/>
  <c r="M38" i="55" s="1"/>
  <c r="O39" i="55"/>
  <c r="O40" i="55"/>
  <c r="O41" i="55"/>
  <c r="O42" i="55"/>
  <c r="O43" i="55"/>
  <c r="M43" i="55" s="1"/>
  <c r="O44" i="55"/>
  <c r="M44" i="55" s="1"/>
  <c r="O45" i="55"/>
  <c r="O46" i="55"/>
  <c r="O47" i="55"/>
  <c r="O48" i="55"/>
  <c r="O49" i="55"/>
  <c r="M49" i="55" s="1"/>
  <c r="O50" i="55"/>
  <c r="O51" i="55"/>
  <c r="O52" i="55"/>
  <c r="M52" i="55" s="1"/>
  <c r="O53" i="55"/>
  <c r="O54" i="55"/>
  <c r="O55" i="55"/>
  <c r="O56" i="55"/>
  <c r="O57" i="55"/>
  <c r="O58" i="55"/>
  <c r="M58" i="55" s="1"/>
  <c r="O59" i="55"/>
  <c r="O60" i="55"/>
  <c r="O61" i="55"/>
  <c r="M61" i="55" s="1"/>
  <c r="O62" i="55"/>
  <c r="O63" i="55"/>
  <c r="O64" i="55"/>
  <c r="O65" i="55"/>
  <c r="O66" i="55"/>
  <c r="O67" i="55"/>
  <c r="O68" i="55"/>
  <c r="O69" i="55"/>
  <c r="O70" i="55"/>
  <c r="O71" i="55"/>
  <c r="O72" i="55"/>
  <c r="O73" i="55"/>
  <c r="O74" i="55"/>
  <c r="O75" i="55"/>
  <c r="O76" i="55"/>
  <c r="O77" i="55"/>
  <c r="O78" i="55"/>
  <c r="M78" i="55" s="1"/>
  <c r="O79" i="55"/>
  <c r="O80" i="55"/>
  <c r="M80" i="55" s="1"/>
  <c r="O81" i="55"/>
  <c r="O82" i="55"/>
  <c r="M82" i="55" s="1"/>
  <c r="O83" i="55"/>
  <c r="M83" i="55" s="1"/>
  <c r="O84" i="55"/>
  <c r="M84" i="55" s="1"/>
  <c r="O85" i="55"/>
  <c r="M85" i="55" s="1"/>
  <c r="O86" i="55"/>
  <c r="O87" i="55"/>
  <c r="O88" i="55"/>
  <c r="O89" i="55"/>
  <c r="M89" i="55" s="1"/>
  <c r="O90" i="55"/>
  <c r="M90" i="55" s="1"/>
  <c r="O91" i="55"/>
  <c r="O92" i="55"/>
  <c r="M92" i="55" s="1"/>
  <c r="O93" i="55"/>
  <c r="M93" i="55" s="1"/>
  <c r="O94" i="55"/>
  <c r="O95" i="55"/>
  <c r="O96" i="55"/>
  <c r="O97" i="55"/>
  <c r="O98" i="55"/>
  <c r="O99" i="55"/>
  <c r="O100" i="55"/>
  <c r="O101" i="55"/>
  <c r="O102" i="55"/>
  <c r="O103" i="55"/>
  <c r="O104" i="55"/>
  <c r="O105" i="55"/>
  <c r="O106" i="55"/>
  <c r="O107" i="55"/>
  <c r="M107" i="55" s="1"/>
  <c r="O108" i="55"/>
  <c r="O109" i="55"/>
  <c r="O110" i="55"/>
  <c r="O111" i="55"/>
  <c r="O112" i="55"/>
  <c r="O113" i="55"/>
  <c r="O114" i="55"/>
  <c r="O115" i="55"/>
  <c r="O116" i="55"/>
  <c r="M116" i="55" s="1"/>
  <c r="O117" i="55"/>
  <c r="M117" i="55" s="1"/>
  <c r="O118" i="55"/>
  <c r="O119" i="55"/>
  <c r="M119" i="55" s="1"/>
  <c r="O120" i="55"/>
  <c r="M120" i="55" s="1"/>
  <c r="O121" i="55"/>
  <c r="O122" i="55"/>
  <c r="O123" i="55"/>
  <c r="O124" i="55"/>
  <c r="M124" i="55" s="1"/>
  <c r="O125" i="55"/>
  <c r="O126" i="55"/>
  <c r="O127" i="55"/>
  <c r="M127" i="55" s="1"/>
  <c r="O128" i="55"/>
  <c r="O129" i="55"/>
  <c r="M129" i="55" s="1"/>
  <c r="O130" i="55"/>
  <c r="O131" i="55"/>
  <c r="O132" i="55"/>
  <c r="M132" i="55" s="1"/>
  <c r="O133" i="55"/>
  <c r="O134" i="55"/>
  <c r="O135" i="55"/>
  <c r="O136" i="55"/>
  <c r="O137" i="55"/>
  <c r="O138" i="55"/>
  <c r="O139" i="55"/>
  <c r="O140" i="55"/>
  <c r="O141" i="55"/>
  <c r="O142" i="55"/>
  <c r="O143" i="55"/>
  <c r="O144" i="55"/>
  <c r="O145" i="55"/>
  <c r="O146" i="55"/>
  <c r="O147" i="55"/>
  <c r="O148" i="55"/>
  <c r="M148" i="55" s="1"/>
  <c r="O149" i="55"/>
  <c r="O150" i="55"/>
  <c r="O151" i="55"/>
  <c r="O152" i="55"/>
  <c r="O153" i="55"/>
  <c r="O154" i="55"/>
  <c r="O155" i="55"/>
  <c r="O156" i="55"/>
  <c r="M156" i="55" s="1"/>
  <c r="O157" i="55"/>
  <c r="M157" i="55" s="1"/>
  <c r="O158" i="55"/>
  <c r="O159" i="55"/>
  <c r="M159" i="55" s="1"/>
  <c r="O160" i="55"/>
  <c r="O161" i="55"/>
  <c r="O162" i="55"/>
  <c r="O163" i="55"/>
  <c r="O164" i="55"/>
  <c r="O165" i="55"/>
  <c r="M165" i="55" s="1"/>
  <c r="O166" i="55"/>
  <c r="O167" i="55"/>
  <c r="O168" i="55"/>
  <c r="O169" i="55"/>
  <c r="M169" i="55" s="1"/>
  <c r="O170" i="55"/>
  <c r="M170" i="55" s="1"/>
  <c r="O171" i="55"/>
  <c r="O172" i="55"/>
  <c r="O173" i="55"/>
  <c r="O174" i="55"/>
  <c r="O175" i="55"/>
  <c r="O176" i="55"/>
  <c r="O177" i="55"/>
  <c r="O178" i="55"/>
  <c r="O179" i="55"/>
  <c r="O180" i="55"/>
  <c r="O181" i="55"/>
  <c r="O182" i="55"/>
  <c r="O183" i="55"/>
  <c r="O184" i="55"/>
  <c r="O185" i="55"/>
  <c r="O186" i="55"/>
  <c r="O187" i="55"/>
  <c r="O188" i="55"/>
  <c r="O189" i="55"/>
  <c r="O190" i="55"/>
  <c r="O191" i="55"/>
  <c r="O192" i="55"/>
  <c r="O193" i="55"/>
  <c r="O194" i="55"/>
  <c r="O195" i="55"/>
  <c r="O196" i="55"/>
  <c r="M196" i="55" s="1"/>
  <c r="O197" i="55"/>
  <c r="M197" i="55" s="1"/>
  <c r="O198" i="55"/>
  <c r="O199" i="55"/>
  <c r="O200" i="55"/>
  <c r="O201" i="55"/>
  <c r="O202" i="55"/>
  <c r="O203" i="55"/>
  <c r="O204" i="55"/>
  <c r="O205" i="55"/>
  <c r="O206" i="55"/>
  <c r="O207" i="55"/>
  <c r="O208" i="55"/>
  <c r="O209" i="55"/>
  <c r="O210" i="55"/>
  <c r="O211" i="55"/>
  <c r="M211" i="55" s="1"/>
  <c r="O212" i="55"/>
  <c r="M212" i="55" s="1"/>
  <c r="O213" i="55"/>
  <c r="M213" i="55" s="1"/>
  <c r="O214" i="55"/>
  <c r="O215" i="55"/>
  <c r="M215" i="55" s="1"/>
  <c r="O216" i="55"/>
  <c r="O217" i="55"/>
  <c r="M217" i="55" s="1"/>
  <c r="O218" i="55"/>
  <c r="O219" i="55"/>
  <c r="O220" i="55"/>
  <c r="M220" i="55" s="1"/>
  <c r="O221" i="55"/>
  <c r="O222" i="55"/>
  <c r="O223" i="55"/>
  <c r="O224" i="55"/>
  <c r="O225" i="55"/>
  <c r="O226" i="55"/>
  <c r="O227" i="55"/>
  <c r="O228" i="55"/>
  <c r="O229" i="55"/>
  <c r="O230" i="55"/>
  <c r="O231" i="55"/>
  <c r="O232" i="55"/>
  <c r="O233" i="55"/>
  <c r="M233" i="55" s="1"/>
  <c r="O234" i="55"/>
  <c r="O235" i="55"/>
  <c r="M235" i="55" s="1"/>
  <c r="O236" i="55"/>
  <c r="O237" i="55"/>
  <c r="O238" i="55"/>
  <c r="O239" i="55"/>
  <c r="O240" i="55"/>
  <c r="O241" i="55"/>
  <c r="O242" i="55"/>
  <c r="O243" i="55"/>
  <c r="O244" i="55"/>
  <c r="M244" i="55" s="1"/>
  <c r="O245" i="55"/>
  <c r="M245" i="55" s="1"/>
  <c r="O246" i="55"/>
  <c r="O247" i="55"/>
  <c r="O248" i="55"/>
  <c r="O249" i="55"/>
  <c r="O250" i="55"/>
  <c r="O3" i="54"/>
  <c r="O4" i="54"/>
  <c r="O5" i="54"/>
  <c r="O6" i="54"/>
  <c r="O7" i="54"/>
  <c r="O8" i="54"/>
  <c r="O9" i="54"/>
  <c r="O10" i="54"/>
  <c r="O11" i="54"/>
  <c r="O12" i="54"/>
  <c r="O13" i="54"/>
  <c r="O14" i="54"/>
  <c r="O15" i="54"/>
  <c r="O16" i="54"/>
  <c r="O17" i="54"/>
  <c r="O18" i="54"/>
  <c r="O19" i="54"/>
  <c r="O20" i="54"/>
  <c r="M20" i="54" s="1"/>
  <c r="O21" i="54"/>
  <c r="O22" i="54"/>
  <c r="O23" i="54"/>
  <c r="O24" i="54"/>
  <c r="R24" i="54" s="1"/>
  <c r="O25" i="54"/>
  <c r="O26" i="54"/>
  <c r="O27" i="54"/>
  <c r="O28" i="54"/>
  <c r="O29" i="54"/>
  <c r="O30" i="54"/>
  <c r="M30" i="54" s="1"/>
  <c r="O31" i="54"/>
  <c r="O32" i="54"/>
  <c r="O33" i="54"/>
  <c r="O34" i="54"/>
  <c r="O35" i="54"/>
  <c r="O36" i="54"/>
  <c r="O37" i="54"/>
  <c r="O38" i="54"/>
  <c r="O39" i="54"/>
  <c r="O40" i="54"/>
  <c r="O41" i="54"/>
  <c r="M41" i="54" s="1"/>
  <c r="O42" i="54"/>
  <c r="M42" i="54" s="1"/>
  <c r="O43" i="54"/>
  <c r="O44" i="54"/>
  <c r="O45" i="54"/>
  <c r="M45" i="54" s="1"/>
  <c r="O46" i="54"/>
  <c r="M46" i="54" s="1"/>
  <c r="O47" i="54"/>
  <c r="O48" i="54"/>
  <c r="O49" i="54"/>
  <c r="O50" i="54"/>
  <c r="O51" i="54"/>
  <c r="O52" i="54"/>
  <c r="O53" i="54"/>
  <c r="O54" i="54"/>
  <c r="O55" i="54"/>
  <c r="O56" i="54"/>
  <c r="O57" i="54"/>
  <c r="O58" i="54"/>
  <c r="O59" i="54"/>
  <c r="O60" i="54"/>
  <c r="M60" i="54" s="1"/>
  <c r="O61" i="54"/>
  <c r="O62" i="54"/>
  <c r="O63" i="54"/>
  <c r="O64" i="54"/>
  <c r="M64" i="54" s="1"/>
  <c r="O65" i="54"/>
  <c r="M65" i="54" s="1"/>
  <c r="O66" i="54"/>
  <c r="M66" i="54" s="1"/>
  <c r="O67" i="54"/>
  <c r="M67" i="54" s="1"/>
  <c r="O68" i="54"/>
  <c r="M68" i="54" s="1"/>
  <c r="O69" i="54"/>
  <c r="O70" i="54"/>
  <c r="O71" i="54"/>
  <c r="O72" i="54"/>
  <c r="O73" i="54"/>
  <c r="O74" i="54"/>
  <c r="O75" i="54"/>
  <c r="O76" i="54"/>
  <c r="O77" i="54"/>
  <c r="O78" i="54"/>
  <c r="O79" i="54"/>
  <c r="O80" i="54"/>
  <c r="O81" i="54"/>
  <c r="M81" i="54" s="1"/>
  <c r="O82" i="54"/>
  <c r="M82" i="54" s="1"/>
  <c r="O83" i="54"/>
  <c r="O84" i="54"/>
  <c r="O85" i="54"/>
  <c r="M85" i="54" s="1"/>
  <c r="O86" i="54"/>
  <c r="M86" i="54" s="1"/>
  <c r="O87" i="54"/>
  <c r="O88" i="54"/>
  <c r="O89" i="54"/>
  <c r="M89" i="54" s="1"/>
  <c r="O90" i="54"/>
  <c r="R90" i="54" s="1"/>
  <c r="O91" i="54"/>
  <c r="O92" i="54"/>
  <c r="O93" i="54"/>
  <c r="O94" i="54"/>
  <c r="O95" i="54"/>
  <c r="O96" i="54"/>
  <c r="O97" i="54"/>
  <c r="O98" i="54"/>
  <c r="O99" i="54"/>
  <c r="O100" i="54"/>
  <c r="O101" i="54"/>
  <c r="O102" i="54"/>
  <c r="O103" i="54"/>
  <c r="M103" i="54" s="1"/>
  <c r="O104" i="54"/>
  <c r="M104" i="54" s="1"/>
  <c r="O105" i="54"/>
  <c r="M105" i="54" s="1"/>
  <c r="O106" i="54"/>
  <c r="M106" i="54" s="1"/>
  <c r="O107" i="54"/>
  <c r="M107" i="54" s="1"/>
  <c r="O108" i="54"/>
  <c r="M108" i="54" s="1"/>
  <c r="O109" i="54"/>
  <c r="O110" i="54"/>
  <c r="R110" i="54" s="1"/>
  <c r="O111" i="54"/>
  <c r="M111" i="54" s="1"/>
  <c r="O112" i="54"/>
  <c r="O113" i="54"/>
  <c r="O114" i="54"/>
  <c r="O115" i="54"/>
  <c r="O116" i="54"/>
  <c r="O117" i="54"/>
  <c r="O118" i="54"/>
  <c r="O119" i="54"/>
  <c r="O120" i="54"/>
  <c r="O121" i="54"/>
  <c r="O122" i="54"/>
  <c r="O123" i="54"/>
  <c r="O124" i="54"/>
  <c r="O125" i="54"/>
  <c r="M125" i="54" s="1"/>
  <c r="O126" i="54"/>
  <c r="O127" i="54"/>
  <c r="O128" i="54"/>
  <c r="O129" i="54"/>
  <c r="O130" i="54"/>
  <c r="M130" i="54" s="1"/>
  <c r="O131" i="54"/>
  <c r="O132" i="54"/>
  <c r="O133" i="54"/>
  <c r="O134" i="54"/>
  <c r="O135" i="54"/>
  <c r="O136" i="54"/>
  <c r="O137" i="54"/>
  <c r="O138" i="54"/>
  <c r="O139" i="54"/>
  <c r="O140" i="54"/>
  <c r="O141" i="54"/>
  <c r="O142" i="54"/>
  <c r="O143" i="54"/>
  <c r="O144" i="54"/>
  <c r="O145" i="54"/>
  <c r="M145" i="54" s="1"/>
  <c r="O146" i="54"/>
  <c r="O147" i="54"/>
  <c r="M147" i="54" s="1"/>
  <c r="O148" i="54"/>
  <c r="M148" i="54" s="1"/>
  <c r="O149" i="54"/>
  <c r="O150" i="54"/>
  <c r="O151" i="54"/>
  <c r="M151" i="54" s="1"/>
  <c r="O152" i="54"/>
  <c r="O153" i="54"/>
  <c r="O154" i="54"/>
  <c r="O155" i="54"/>
  <c r="M155" i="54" s="1"/>
  <c r="O156" i="54"/>
  <c r="O157" i="54"/>
  <c r="O158" i="54"/>
  <c r="O159" i="54"/>
  <c r="O160" i="54"/>
  <c r="O161" i="54"/>
  <c r="O162" i="54"/>
  <c r="O163" i="54"/>
  <c r="O164" i="54"/>
  <c r="O165" i="54"/>
  <c r="O166" i="54"/>
  <c r="O167" i="54"/>
  <c r="O168" i="54"/>
  <c r="O169" i="54"/>
  <c r="O170" i="54"/>
  <c r="M170" i="54" s="1"/>
  <c r="O171" i="54"/>
  <c r="O172" i="54"/>
  <c r="O173" i="54"/>
  <c r="O174" i="54"/>
  <c r="O175" i="54"/>
  <c r="O176" i="54"/>
  <c r="O177" i="54"/>
  <c r="O178" i="54"/>
  <c r="O179" i="54"/>
  <c r="O180" i="54"/>
  <c r="O181" i="54"/>
  <c r="O182" i="54"/>
  <c r="O183" i="54"/>
  <c r="O184" i="54"/>
  <c r="M184" i="54" s="1"/>
  <c r="O185" i="54"/>
  <c r="M185" i="54" s="1"/>
  <c r="O186" i="54"/>
  <c r="O187" i="54"/>
  <c r="O188" i="54"/>
  <c r="M188" i="54" s="1"/>
  <c r="O189" i="54"/>
  <c r="M189" i="54" s="1"/>
  <c r="O190" i="54"/>
  <c r="O191" i="54"/>
  <c r="M191" i="54" s="1"/>
  <c r="O192" i="54"/>
  <c r="O193" i="54"/>
  <c r="O194" i="54"/>
  <c r="O195" i="54"/>
  <c r="O196" i="54"/>
  <c r="O197" i="54"/>
  <c r="O198" i="54"/>
  <c r="O199" i="54"/>
  <c r="M199" i="54" s="1"/>
  <c r="O200" i="54"/>
  <c r="O201" i="54"/>
  <c r="O202" i="54"/>
  <c r="O203" i="54"/>
  <c r="O204" i="54"/>
  <c r="O205" i="54"/>
  <c r="O206" i="54"/>
  <c r="O207" i="54"/>
  <c r="O208" i="54"/>
  <c r="O209" i="54"/>
  <c r="O210" i="54"/>
  <c r="O211" i="54"/>
  <c r="O212" i="54"/>
  <c r="O213" i="54"/>
  <c r="O214" i="54"/>
  <c r="O215" i="54"/>
  <c r="O216" i="54"/>
  <c r="O217" i="54"/>
  <c r="O218" i="54"/>
  <c r="O219" i="54"/>
  <c r="O220" i="54"/>
  <c r="O221" i="54"/>
  <c r="O222" i="54"/>
  <c r="O223" i="54"/>
  <c r="O224" i="54"/>
  <c r="O225" i="54"/>
  <c r="O226" i="54"/>
  <c r="O227" i="54"/>
  <c r="O228" i="54"/>
  <c r="M228" i="54" s="1"/>
  <c r="O229" i="54"/>
  <c r="M229" i="54" s="1"/>
  <c r="O230" i="54"/>
  <c r="O231" i="54"/>
  <c r="O232" i="54"/>
  <c r="M232" i="54" s="1"/>
  <c r="O233" i="54"/>
  <c r="O234" i="54"/>
  <c r="O235" i="54"/>
  <c r="O236" i="54"/>
  <c r="O237" i="54"/>
  <c r="O238" i="54"/>
  <c r="M238" i="54" s="1"/>
  <c r="O239" i="54"/>
  <c r="M239" i="54" s="1"/>
  <c r="O240" i="54"/>
  <c r="R240" i="54" s="1"/>
  <c r="O241" i="54"/>
  <c r="R241" i="54" s="1"/>
  <c r="O242" i="54"/>
  <c r="O243" i="54"/>
  <c r="O244" i="54"/>
  <c r="O245" i="54"/>
  <c r="O246" i="54"/>
  <c r="O247" i="54"/>
  <c r="O248" i="54"/>
  <c r="O249" i="54"/>
  <c r="O250" i="54"/>
  <c r="O3" i="62"/>
  <c r="O4" i="62"/>
  <c r="O5" i="62"/>
  <c r="O6" i="62"/>
  <c r="O7" i="62"/>
  <c r="M7" i="62" s="1"/>
  <c r="O8" i="62"/>
  <c r="M8" i="62" s="1"/>
  <c r="O9" i="62"/>
  <c r="M9" i="62" s="1"/>
  <c r="O10" i="62"/>
  <c r="M10" i="62" s="1"/>
  <c r="O11" i="62"/>
  <c r="O12" i="62"/>
  <c r="O13" i="62"/>
  <c r="M13" i="62" s="1"/>
  <c r="O14" i="62"/>
  <c r="M14" i="62" s="1"/>
  <c r="O15" i="62"/>
  <c r="M15" i="62" s="1"/>
  <c r="O16" i="62"/>
  <c r="O17" i="62"/>
  <c r="M17" i="62" s="1"/>
  <c r="O18" i="62"/>
  <c r="M18" i="62" s="1"/>
  <c r="O19" i="62"/>
  <c r="M19" i="62" s="1"/>
  <c r="O20" i="62"/>
  <c r="O21" i="62"/>
  <c r="M21" i="62" s="1"/>
  <c r="O22" i="62"/>
  <c r="M22" i="62" s="1"/>
  <c r="O23" i="62"/>
  <c r="M23" i="62" s="1"/>
  <c r="O24" i="62"/>
  <c r="M24" i="62" s="1"/>
  <c r="O25" i="62"/>
  <c r="M25" i="62" s="1"/>
  <c r="O26" i="62"/>
  <c r="O27" i="62"/>
  <c r="O28" i="62"/>
  <c r="O29" i="62"/>
  <c r="M29" i="62" s="1"/>
  <c r="O30" i="62"/>
  <c r="O31" i="62"/>
  <c r="O32" i="62"/>
  <c r="O33" i="62"/>
  <c r="M33" i="62" s="1"/>
  <c r="O34" i="62"/>
  <c r="O35" i="62"/>
  <c r="O36" i="62"/>
  <c r="M36" i="62" s="1"/>
  <c r="O37" i="62"/>
  <c r="M37" i="62" s="1"/>
  <c r="O38" i="62"/>
  <c r="M38" i="62" s="1"/>
  <c r="O39" i="62"/>
  <c r="O40" i="62"/>
  <c r="M40" i="62" s="1"/>
  <c r="O41" i="62"/>
  <c r="M41" i="62" s="1"/>
  <c r="O42" i="62"/>
  <c r="M42" i="62" s="1"/>
  <c r="O43" i="62"/>
  <c r="O44" i="62"/>
  <c r="M44" i="62" s="1"/>
  <c r="O45" i="62"/>
  <c r="M45" i="62" s="1"/>
  <c r="O46" i="62"/>
  <c r="M46" i="62" s="1"/>
  <c r="O47" i="62"/>
  <c r="O48" i="62"/>
  <c r="O49" i="62"/>
  <c r="O50" i="62"/>
  <c r="O51" i="62"/>
  <c r="M51" i="62" s="1"/>
  <c r="O52" i="62"/>
  <c r="M52" i="62" s="1"/>
  <c r="O53" i="62"/>
  <c r="O54" i="62"/>
  <c r="O55" i="62"/>
  <c r="O56" i="62"/>
  <c r="O57" i="62"/>
  <c r="M57" i="62" s="1"/>
  <c r="O58" i="62"/>
  <c r="M58" i="62" s="1"/>
  <c r="O59" i="62"/>
  <c r="M59" i="62" s="1"/>
  <c r="O60" i="62"/>
  <c r="O61" i="62"/>
  <c r="O62" i="62"/>
  <c r="M62" i="62" s="1"/>
  <c r="O63" i="62"/>
  <c r="M63" i="62" s="1"/>
  <c r="O64" i="62"/>
  <c r="O65" i="62"/>
  <c r="M65" i="62" s="1"/>
  <c r="O66" i="62"/>
  <c r="O67" i="62"/>
  <c r="M67" i="62" s="1"/>
  <c r="O68" i="62"/>
  <c r="M68" i="62" s="1"/>
  <c r="O69" i="62"/>
  <c r="O70" i="62"/>
  <c r="O71" i="62"/>
  <c r="O72" i="62"/>
  <c r="O73" i="62"/>
  <c r="M73" i="62" s="1"/>
  <c r="O74" i="62"/>
  <c r="O75" i="62"/>
  <c r="O76" i="62"/>
  <c r="O77" i="62"/>
  <c r="M77" i="62" s="1"/>
  <c r="O78" i="62"/>
  <c r="O79" i="62"/>
  <c r="M79" i="62" s="1"/>
  <c r="O80" i="62"/>
  <c r="M80" i="62" s="1"/>
  <c r="O81" i="62"/>
  <c r="O82" i="62"/>
  <c r="M82" i="62" s="1"/>
  <c r="O83" i="62"/>
  <c r="O84" i="62"/>
  <c r="M84" i="62" s="1"/>
  <c r="O85" i="62"/>
  <c r="M85" i="62" s="1"/>
  <c r="O86" i="62"/>
  <c r="O87" i="62"/>
  <c r="M87" i="62" s="1"/>
  <c r="O88" i="62"/>
  <c r="O89" i="62"/>
  <c r="O90" i="62"/>
  <c r="M90" i="62" s="1"/>
  <c r="O91" i="62"/>
  <c r="O92" i="62"/>
  <c r="O93" i="62"/>
  <c r="O94" i="62"/>
  <c r="O95" i="62"/>
  <c r="O96" i="62"/>
  <c r="O97" i="62"/>
  <c r="O98" i="62"/>
  <c r="O99" i="62"/>
  <c r="O100" i="62"/>
  <c r="O101" i="62"/>
  <c r="O102" i="62"/>
  <c r="M102" i="62" s="1"/>
  <c r="O103" i="62"/>
  <c r="M103" i="62" s="1"/>
  <c r="O104" i="62"/>
  <c r="O105" i="62"/>
  <c r="O106" i="62"/>
  <c r="M106" i="62" s="1"/>
  <c r="O107" i="62"/>
  <c r="M107" i="62" s="1"/>
  <c r="O108" i="62"/>
  <c r="M108" i="62" s="1"/>
  <c r="O109" i="62"/>
  <c r="M109" i="62" s="1"/>
  <c r="O110" i="62"/>
  <c r="M110" i="62" s="1"/>
  <c r="O111" i="62"/>
  <c r="O112" i="62"/>
  <c r="M112" i="62" s="1"/>
  <c r="O113" i="62"/>
  <c r="O114" i="62"/>
  <c r="O115" i="62"/>
  <c r="O116" i="62"/>
  <c r="M116" i="62" s="1"/>
  <c r="O117" i="62"/>
  <c r="O118" i="62"/>
  <c r="O119" i="62"/>
  <c r="O120" i="62"/>
  <c r="O121" i="62"/>
  <c r="M121" i="62" s="1"/>
  <c r="O122" i="62"/>
  <c r="O123" i="62"/>
  <c r="M123" i="62" s="1"/>
  <c r="O124" i="62"/>
  <c r="M124" i="62" s="1"/>
  <c r="O125" i="62"/>
  <c r="M125" i="62" s="1"/>
  <c r="O126" i="62"/>
  <c r="M126" i="62" s="1"/>
  <c r="O127" i="62"/>
  <c r="O128" i="62"/>
  <c r="O129" i="62"/>
  <c r="M129" i="62" s="1"/>
  <c r="O130" i="62"/>
  <c r="O131" i="62"/>
  <c r="M131" i="62" s="1"/>
  <c r="O132" i="62"/>
  <c r="M132" i="62" s="1"/>
  <c r="O133" i="62"/>
  <c r="O134" i="62"/>
  <c r="M134" i="62" s="1"/>
  <c r="O135" i="62"/>
  <c r="O136" i="62"/>
  <c r="O137" i="62"/>
  <c r="O138" i="62"/>
  <c r="O139" i="62"/>
  <c r="O140" i="62"/>
  <c r="O141" i="62"/>
  <c r="O142" i="62"/>
  <c r="O143" i="62"/>
  <c r="M143" i="62" s="1"/>
  <c r="O144" i="62"/>
  <c r="O145" i="62"/>
  <c r="M145" i="62" s="1"/>
  <c r="O146" i="62"/>
  <c r="M146" i="62" s="1"/>
  <c r="O147" i="62"/>
  <c r="O148" i="62"/>
  <c r="O149" i="62"/>
  <c r="O150" i="62"/>
  <c r="M150" i="62" s="1"/>
  <c r="O151" i="62"/>
  <c r="O152" i="62"/>
  <c r="M152" i="62" s="1"/>
  <c r="O153" i="62"/>
  <c r="M153" i="62" s="1"/>
  <c r="O154" i="62"/>
  <c r="M154" i="62" s="1"/>
  <c r="O155" i="62"/>
  <c r="O156" i="62"/>
  <c r="O157" i="62"/>
  <c r="O158" i="62"/>
  <c r="O159" i="62"/>
  <c r="O160" i="62"/>
  <c r="O161" i="62"/>
  <c r="O162" i="62"/>
  <c r="O163" i="62"/>
  <c r="O164" i="62"/>
  <c r="O165" i="62"/>
  <c r="O166" i="62"/>
  <c r="O167" i="62"/>
  <c r="O168" i="62"/>
  <c r="M168" i="62" s="1"/>
  <c r="O169" i="62"/>
  <c r="M169" i="62" s="1"/>
  <c r="O170" i="62"/>
  <c r="O171" i="62"/>
  <c r="O172" i="62"/>
  <c r="M172" i="62" s="1"/>
  <c r="O173" i="62"/>
  <c r="M173" i="62" s="1"/>
  <c r="O174" i="62"/>
  <c r="O175" i="62"/>
  <c r="M175" i="62" s="1"/>
  <c r="O176" i="62"/>
  <c r="O177" i="62"/>
  <c r="O178" i="62"/>
  <c r="M178" i="62" s="1"/>
  <c r="O179" i="62"/>
  <c r="O180" i="62"/>
  <c r="O181" i="62"/>
  <c r="O182" i="62"/>
  <c r="O183" i="62"/>
  <c r="M183" i="62" s="1"/>
  <c r="O184" i="62"/>
  <c r="O185" i="62"/>
  <c r="O186" i="62"/>
  <c r="O187" i="62"/>
  <c r="O188" i="62"/>
  <c r="O189" i="62"/>
  <c r="M189" i="62" s="1"/>
  <c r="O190" i="62"/>
  <c r="O191" i="62"/>
  <c r="M191" i="62" s="1"/>
  <c r="O192" i="62"/>
  <c r="O193" i="62"/>
  <c r="O194" i="62"/>
  <c r="M194" i="62" s="1"/>
  <c r="O195" i="62"/>
  <c r="O196" i="62"/>
  <c r="M196" i="62" s="1"/>
  <c r="O197" i="62"/>
  <c r="O198" i="62"/>
  <c r="M198" i="62" s="1"/>
  <c r="O199" i="62"/>
  <c r="O200" i="62"/>
  <c r="O201" i="62"/>
  <c r="O202" i="62"/>
  <c r="O203" i="62"/>
  <c r="O204" i="62"/>
  <c r="O205" i="62"/>
  <c r="O206" i="62"/>
  <c r="M206" i="62" s="1"/>
  <c r="O207" i="62"/>
  <c r="O208" i="62"/>
  <c r="O209" i="62"/>
  <c r="O210" i="62"/>
  <c r="O211" i="62"/>
  <c r="M211" i="62" s="1"/>
  <c r="O212" i="62"/>
  <c r="M212" i="62" s="1"/>
  <c r="O213" i="62"/>
  <c r="M213" i="62" s="1"/>
  <c r="O214" i="62"/>
  <c r="O215" i="62"/>
  <c r="O216" i="62"/>
  <c r="M216" i="62" s="1"/>
  <c r="O217" i="62"/>
  <c r="O218" i="62"/>
  <c r="O219" i="62"/>
  <c r="O220" i="62"/>
  <c r="M220" i="62" s="1"/>
  <c r="O221" i="62"/>
  <c r="O222" i="62"/>
  <c r="M222" i="62" s="1"/>
  <c r="O223" i="62"/>
  <c r="O224" i="62"/>
  <c r="O225" i="62"/>
  <c r="O226" i="62"/>
  <c r="O227" i="62"/>
  <c r="O228" i="62"/>
  <c r="O229" i="62"/>
  <c r="O230" i="62"/>
  <c r="O231" i="62"/>
  <c r="O232" i="62"/>
  <c r="M232" i="62" s="1"/>
  <c r="O233" i="62"/>
  <c r="M233" i="62" s="1"/>
  <c r="O234" i="62"/>
  <c r="O235" i="62"/>
  <c r="M235" i="62" s="1"/>
  <c r="O236" i="62"/>
  <c r="M236" i="62" s="1"/>
  <c r="O237" i="62"/>
  <c r="O238" i="62"/>
  <c r="M238" i="62" s="1"/>
  <c r="O239" i="62"/>
  <c r="M239" i="62" s="1"/>
  <c r="O240" i="62"/>
  <c r="O241" i="62"/>
  <c r="M241" i="62" s="1"/>
  <c r="O242" i="62"/>
  <c r="M242" i="62" s="1"/>
  <c r="O243" i="62"/>
  <c r="O244" i="62"/>
  <c r="M244" i="62" s="1"/>
  <c r="O245" i="62"/>
  <c r="O246" i="62"/>
  <c r="O247" i="62"/>
  <c r="O248" i="62"/>
  <c r="O249" i="62"/>
  <c r="O250" i="62"/>
  <c r="O3" i="52"/>
  <c r="O4" i="52"/>
  <c r="O5" i="52"/>
  <c r="O6" i="52"/>
  <c r="O7" i="52"/>
  <c r="M7" i="52" s="1"/>
  <c r="O8" i="52"/>
  <c r="O9" i="52"/>
  <c r="O10" i="52"/>
  <c r="O11" i="52"/>
  <c r="O12" i="52"/>
  <c r="M12" i="52" s="1"/>
  <c r="O13" i="52"/>
  <c r="O14" i="52"/>
  <c r="M14" i="52" s="1"/>
  <c r="O15" i="52"/>
  <c r="M15" i="52" s="1"/>
  <c r="O16" i="52"/>
  <c r="O17" i="52"/>
  <c r="O18" i="52"/>
  <c r="O19" i="52"/>
  <c r="M19" i="52" s="1"/>
  <c r="O20" i="52"/>
  <c r="O21" i="52"/>
  <c r="M21" i="52" s="1"/>
  <c r="O22" i="52"/>
  <c r="M22" i="52" s="1"/>
  <c r="O23" i="52"/>
  <c r="M23" i="52" s="1"/>
  <c r="O24" i="52"/>
  <c r="M24" i="52" s="1"/>
  <c r="O25" i="52"/>
  <c r="O26" i="52"/>
  <c r="O27" i="52"/>
  <c r="O28" i="52"/>
  <c r="O29" i="52"/>
  <c r="O30" i="52"/>
  <c r="O31" i="52"/>
  <c r="O32" i="52"/>
  <c r="M32" i="52" s="1"/>
  <c r="O33" i="52"/>
  <c r="O34" i="52"/>
  <c r="O35" i="52"/>
  <c r="O36" i="52"/>
  <c r="O37" i="52"/>
  <c r="O38" i="52"/>
  <c r="O39" i="52"/>
  <c r="O40" i="52"/>
  <c r="O41" i="52"/>
  <c r="M41" i="52" s="1"/>
  <c r="O42" i="52"/>
  <c r="O43" i="52"/>
  <c r="O44" i="52"/>
  <c r="O45" i="52"/>
  <c r="O46" i="52"/>
  <c r="O47" i="52"/>
  <c r="O48" i="52"/>
  <c r="O49" i="52"/>
  <c r="O50" i="52"/>
  <c r="O51" i="52"/>
  <c r="O52" i="52"/>
  <c r="M52" i="52" s="1"/>
  <c r="O53" i="52"/>
  <c r="O54" i="52"/>
  <c r="M54" i="52" s="1"/>
  <c r="O55" i="52"/>
  <c r="O56" i="52"/>
  <c r="O57" i="52"/>
  <c r="M57" i="52" s="1"/>
  <c r="O58" i="52"/>
  <c r="O59" i="52"/>
  <c r="O60" i="52"/>
  <c r="O61" i="52"/>
  <c r="O62" i="52"/>
  <c r="M62" i="52" s="1"/>
  <c r="O63" i="52"/>
  <c r="O64" i="52"/>
  <c r="O65" i="52"/>
  <c r="O66" i="52"/>
  <c r="O67" i="52"/>
  <c r="M67" i="52" s="1"/>
  <c r="O68" i="52"/>
  <c r="O69" i="52"/>
  <c r="O70" i="52"/>
  <c r="O71" i="52"/>
  <c r="O72" i="52"/>
  <c r="O73" i="52"/>
  <c r="O74" i="52"/>
  <c r="O75" i="52"/>
  <c r="O76" i="52"/>
  <c r="O77" i="52"/>
  <c r="O78" i="52"/>
  <c r="O79" i="52"/>
  <c r="O80" i="52"/>
  <c r="O81" i="52"/>
  <c r="O82" i="52"/>
  <c r="M82" i="52" s="1"/>
  <c r="O83" i="52"/>
  <c r="M83" i="52" s="1"/>
  <c r="O84" i="52"/>
  <c r="M84" i="52" s="1"/>
  <c r="O85" i="52"/>
  <c r="O86" i="52"/>
  <c r="M86" i="52" s="1"/>
  <c r="O87" i="52"/>
  <c r="M87" i="52" s="1"/>
  <c r="O88" i="52"/>
  <c r="O89" i="52"/>
  <c r="O90" i="52"/>
  <c r="M90" i="52" s="1"/>
  <c r="O91" i="52"/>
  <c r="O92" i="52"/>
  <c r="O93" i="52"/>
  <c r="O94" i="52"/>
  <c r="O95" i="52"/>
  <c r="O96" i="52"/>
  <c r="O97" i="52"/>
  <c r="O98" i="52"/>
  <c r="O99" i="52"/>
  <c r="O100" i="52"/>
  <c r="O101" i="52"/>
  <c r="O102" i="52"/>
  <c r="O103" i="52"/>
  <c r="O104" i="52"/>
  <c r="O105" i="52"/>
  <c r="O106" i="52"/>
  <c r="O107" i="52"/>
  <c r="O108" i="52"/>
  <c r="O109" i="52"/>
  <c r="O110" i="52"/>
  <c r="O111" i="52"/>
  <c r="O112" i="52"/>
  <c r="O113" i="52"/>
  <c r="O114" i="52"/>
  <c r="O115" i="52"/>
  <c r="O116" i="52"/>
  <c r="O117" i="52"/>
  <c r="O118" i="52"/>
  <c r="O119" i="52"/>
  <c r="O120" i="52"/>
  <c r="O121" i="52"/>
  <c r="O122" i="52"/>
  <c r="O123" i="52"/>
  <c r="O124" i="52"/>
  <c r="O125" i="52"/>
  <c r="O126" i="52"/>
  <c r="O127" i="52"/>
  <c r="O128" i="52"/>
  <c r="O129" i="52"/>
  <c r="O130" i="52"/>
  <c r="O131" i="52"/>
  <c r="O132" i="52"/>
  <c r="O133" i="52"/>
  <c r="O134" i="52"/>
  <c r="O135" i="52"/>
  <c r="O136" i="52"/>
  <c r="O137" i="52"/>
  <c r="O138" i="52"/>
  <c r="O139" i="52"/>
  <c r="O140" i="52"/>
  <c r="O141" i="52"/>
  <c r="O142" i="52"/>
  <c r="O143" i="52"/>
  <c r="O144" i="52"/>
  <c r="O145" i="52"/>
  <c r="O146" i="52"/>
  <c r="O147" i="52"/>
  <c r="O148" i="52"/>
  <c r="O149" i="52"/>
  <c r="O150" i="52"/>
  <c r="O151" i="52"/>
  <c r="O152" i="52"/>
  <c r="O153" i="52"/>
  <c r="O154" i="52"/>
  <c r="O155" i="52"/>
  <c r="O156" i="52"/>
  <c r="O157" i="52"/>
  <c r="O158" i="52"/>
  <c r="O159" i="52"/>
  <c r="O160" i="52"/>
  <c r="O161" i="52"/>
  <c r="O162" i="52"/>
  <c r="M162" i="52" s="1"/>
  <c r="O163" i="52"/>
  <c r="O164" i="52"/>
  <c r="O165" i="52"/>
  <c r="O166" i="52"/>
  <c r="O167" i="52"/>
  <c r="O168" i="52"/>
  <c r="O169" i="52"/>
  <c r="O170" i="52"/>
  <c r="O171" i="52"/>
  <c r="O172" i="52"/>
  <c r="O173" i="52"/>
  <c r="O174" i="52"/>
  <c r="O175" i="52"/>
  <c r="O176" i="52"/>
  <c r="O177" i="52"/>
  <c r="O178" i="52"/>
  <c r="O179" i="52"/>
  <c r="O180" i="52"/>
  <c r="O181" i="52"/>
  <c r="O182" i="52"/>
  <c r="O183" i="52"/>
  <c r="M183" i="52" s="1"/>
  <c r="O184" i="52"/>
  <c r="M184" i="52" s="1"/>
  <c r="O185" i="52"/>
  <c r="O186" i="52"/>
  <c r="O187" i="52"/>
  <c r="O188" i="52"/>
  <c r="O189" i="52"/>
  <c r="O190" i="52"/>
  <c r="O191" i="52"/>
  <c r="O192" i="52"/>
  <c r="O193" i="52"/>
  <c r="O194" i="52"/>
  <c r="O195" i="52"/>
  <c r="O196" i="52"/>
  <c r="O197" i="52"/>
  <c r="O198" i="52"/>
  <c r="O199" i="52"/>
  <c r="O200" i="52"/>
  <c r="O201" i="52"/>
  <c r="O202" i="52"/>
  <c r="O203" i="52"/>
  <c r="O204" i="52"/>
  <c r="O205" i="52"/>
  <c r="O206" i="52"/>
  <c r="O207" i="52"/>
  <c r="O208" i="52"/>
  <c r="O209" i="52"/>
  <c r="O210" i="52"/>
  <c r="O211" i="52"/>
  <c r="O212" i="52"/>
  <c r="O213" i="52"/>
  <c r="O214" i="52"/>
  <c r="O215" i="52"/>
  <c r="O216" i="52"/>
  <c r="O217" i="52"/>
  <c r="O218" i="52"/>
  <c r="O219" i="52"/>
  <c r="O220" i="52"/>
  <c r="O221" i="52"/>
  <c r="O222" i="52"/>
  <c r="O223" i="52"/>
  <c r="O224" i="52"/>
  <c r="O225" i="52"/>
  <c r="O226" i="52"/>
  <c r="O227" i="52"/>
  <c r="M227" i="52" s="1"/>
  <c r="O228" i="52"/>
  <c r="O229" i="52"/>
  <c r="O230" i="52"/>
  <c r="O231" i="52"/>
  <c r="O232" i="52"/>
  <c r="O233" i="52"/>
  <c r="O234" i="52"/>
  <c r="O235" i="52"/>
  <c r="O236" i="52"/>
  <c r="O237" i="52"/>
  <c r="O238" i="52"/>
  <c r="O239" i="52"/>
  <c r="O240" i="52"/>
  <c r="O241" i="52"/>
  <c r="O242" i="52"/>
  <c r="O243" i="52"/>
  <c r="O244" i="52"/>
  <c r="O245" i="52"/>
  <c r="O246" i="52"/>
  <c r="O247" i="52"/>
  <c r="O248" i="52"/>
  <c r="O249" i="52"/>
  <c r="O250" i="52"/>
  <c r="O3" i="51"/>
  <c r="O4" i="51"/>
  <c r="O5" i="51"/>
  <c r="O6" i="51"/>
  <c r="O7" i="51"/>
  <c r="M7" i="51" s="1"/>
  <c r="O8" i="51"/>
  <c r="O9" i="51"/>
  <c r="O10" i="51"/>
  <c r="O11" i="51"/>
  <c r="O12" i="51"/>
  <c r="O13" i="51"/>
  <c r="O14" i="51"/>
  <c r="O15" i="51"/>
  <c r="O16" i="51"/>
  <c r="O17" i="51"/>
  <c r="O18" i="51"/>
  <c r="O19" i="51"/>
  <c r="O20" i="51"/>
  <c r="O21" i="51"/>
  <c r="M21" i="51" s="1"/>
  <c r="O22" i="51"/>
  <c r="M22" i="51" s="1"/>
  <c r="O23" i="51"/>
  <c r="O24" i="51"/>
  <c r="O25" i="51"/>
  <c r="O26" i="51"/>
  <c r="O27" i="51"/>
  <c r="O28" i="51"/>
  <c r="O29" i="51"/>
  <c r="O30" i="51"/>
  <c r="O31" i="51"/>
  <c r="O32" i="51"/>
  <c r="O33" i="51"/>
  <c r="O34" i="51"/>
  <c r="O35" i="51"/>
  <c r="O36" i="51"/>
  <c r="O37" i="51"/>
  <c r="O38" i="51"/>
  <c r="O39" i="51"/>
  <c r="O40" i="51"/>
  <c r="O41" i="51"/>
  <c r="M41" i="51" s="1"/>
  <c r="O42" i="51"/>
  <c r="M42" i="51" s="1"/>
  <c r="O43" i="51"/>
  <c r="O44" i="51"/>
  <c r="M44" i="51" s="1"/>
  <c r="O45" i="51"/>
  <c r="O46" i="51"/>
  <c r="O47" i="51"/>
  <c r="O48" i="51"/>
  <c r="O49" i="51"/>
  <c r="O50" i="51"/>
  <c r="O51" i="51"/>
  <c r="O52" i="51"/>
  <c r="O53" i="51"/>
  <c r="O54" i="51"/>
  <c r="O55" i="51"/>
  <c r="O56" i="51"/>
  <c r="O57" i="51"/>
  <c r="O58" i="51"/>
  <c r="O59" i="51"/>
  <c r="O60" i="51"/>
  <c r="O61" i="51"/>
  <c r="O62" i="51"/>
  <c r="O63" i="51"/>
  <c r="O64" i="51"/>
  <c r="O65" i="51"/>
  <c r="M65" i="51" s="1"/>
  <c r="O66" i="51"/>
  <c r="M66" i="51" s="1"/>
  <c r="O67" i="51"/>
  <c r="O68" i="51"/>
  <c r="O69" i="51"/>
  <c r="O70" i="51"/>
  <c r="O71" i="51"/>
  <c r="O72" i="51"/>
  <c r="O73" i="51"/>
  <c r="O74" i="51"/>
  <c r="O75" i="51"/>
  <c r="O76" i="51"/>
  <c r="O77" i="51"/>
  <c r="O78" i="51"/>
  <c r="O79" i="51"/>
  <c r="O80" i="51"/>
  <c r="O81" i="51"/>
  <c r="O82" i="51"/>
  <c r="O83" i="51"/>
  <c r="M83" i="51" s="1"/>
  <c r="O84" i="51"/>
  <c r="O85" i="51"/>
  <c r="M85" i="51" s="1"/>
  <c r="O86" i="51"/>
  <c r="O87" i="51"/>
  <c r="M87" i="51" s="1"/>
  <c r="O88" i="51"/>
  <c r="O89" i="51"/>
  <c r="O90" i="51"/>
  <c r="M90" i="51" s="1"/>
  <c r="O91" i="51"/>
  <c r="M91" i="51" s="1"/>
  <c r="O92" i="51"/>
  <c r="O93" i="51"/>
  <c r="O94" i="51"/>
  <c r="O95" i="51"/>
  <c r="O96" i="51"/>
  <c r="O97" i="51"/>
  <c r="O98" i="51"/>
  <c r="O99" i="51"/>
  <c r="O100" i="51"/>
  <c r="O101" i="51"/>
  <c r="M101" i="51" s="1"/>
  <c r="O102" i="51"/>
  <c r="O103" i="51"/>
  <c r="O104" i="51"/>
  <c r="O105" i="51"/>
  <c r="O106" i="51"/>
  <c r="O107" i="51"/>
  <c r="O108" i="51"/>
  <c r="O109" i="51"/>
  <c r="O110" i="51"/>
  <c r="M110" i="51" s="1"/>
  <c r="O111" i="51"/>
  <c r="O112" i="51"/>
  <c r="O113" i="51"/>
  <c r="O114" i="51"/>
  <c r="O115" i="51"/>
  <c r="O116" i="51"/>
  <c r="O117" i="51"/>
  <c r="O118" i="51"/>
  <c r="O119" i="51"/>
  <c r="O120" i="51"/>
  <c r="O121" i="51"/>
  <c r="O122" i="51"/>
  <c r="O123" i="51"/>
  <c r="O124" i="51"/>
  <c r="O125" i="51"/>
  <c r="O126" i="51"/>
  <c r="O127" i="51"/>
  <c r="M127" i="51" s="1"/>
  <c r="O128" i="51"/>
  <c r="O129" i="51"/>
  <c r="O130" i="51"/>
  <c r="O131" i="51"/>
  <c r="O132" i="51"/>
  <c r="O133" i="51"/>
  <c r="O134" i="51"/>
  <c r="O135" i="51"/>
  <c r="O136" i="51"/>
  <c r="O137" i="51"/>
  <c r="O138" i="51"/>
  <c r="O139" i="51"/>
  <c r="O140" i="51"/>
  <c r="O141" i="51"/>
  <c r="O142" i="51"/>
  <c r="O143" i="51"/>
  <c r="O144" i="51"/>
  <c r="O145" i="51"/>
  <c r="M145" i="51" s="1"/>
  <c r="O146" i="51"/>
  <c r="O147" i="51"/>
  <c r="O148" i="51"/>
  <c r="O149" i="51"/>
  <c r="M149" i="51" s="1"/>
  <c r="O150" i="51"/>
  <c r="O151" i="51"/>
  <c r="O152" i="51"/>
  <c r="M152" i="51" s="1"/>
  <c r="O153" i="51"/>
  <c r="M153" i="51" s="1"/>
  <c r="O154" i="51"/>
  <c r="O155" i="51"/>
  <c r="O156" i="51"/>
  <c r="O157" i="51"/>
  <c r="O158" i="51"/>
  <c r="O159" i="51"/>
  <c r="O160" i="51"/>
  <c r="O161" i="51"/>
  <c r="O162" i="51"/>
  <c r="O163" i="51"/>
  <c r="O164" i="51"/>
  <c r="O165" i="51"/>
  <c r="O166" i="51"/>
  <c r="O167" i="51"/>
  <c r="M167" i="51" s="1"/>
  <c r="O168" i="51"/>
  <c r="O169" i="51"/>
  <c r="O170" i="51"/>
  <c r="O171" i="51"/>
  <c r="O172" i="51"/>
  <c r="O173" i="51"/>
  <c r="O174" i="51"/>
  <c r="O175" i="51"/>
  <c r="M175" i="51" s="1"/>
  <c r="O176" i="51"/>
  <c r="O177" i="51"/>
  <c r="O178" i="51"/>
  <c r="M178" i="51" s="1"/>
  <c r="O179" i="51"/>
  <c r="M179" i="51" s="1"/>
  <c r="O180" i="51"/>
  <c r="O181" i="51"/>
  <c r="O182" i="51"/>
  <c r="M182" i="51" s="1"/>
  <c r="O183" i="51"/>
  <c r="O184" i="51"/>
  <c r="O185" i="51"/>
  <c r="O186" i="51"/>
  <c r="O187" i="51"/>
  <c r="O188" i="51"/>
  <c r="O189" i="51"/>
  <c r="O190" i="51"/>
  <c r="O191" i="51"/>
  <c r="O192" i="51"/>
  <c r="O193" i="51"/>
  <c r="O194" i="51"/>
  <c r="O195" i="51"/>
  <c r="O196" i="51"/>
  <c r="O197" i="51"/>
  <c r="O198" i="51"/>
  <c r="O199" i="51"/>
  <c r="O200" i="51"/>
  <c r="O201" i="51"/>
  <c r="O202" i="51"/>
  <c r="O203" i="51"/>
  <c r="O204" i="51"/>
  <c r="O205" i="51"/>
  <c r="O206" i="51"/>
  <c r="O207" i="51"/>
  <c r="O208" i="51"/>
  <c r="O209" i="51"/>
  <c r="O210" i="51"/>
  <c r="O211" i="51"/>
  <c r="M211" i="51" s="1"/>
  <c r="O212" i="51"/>
  <c r="O213" i="51"/>
  <c r="O214" i="51"/>
  <c r="O215" i="51"/>
  <c r="M215" i="51" s="1"/>
  <c r="O216" i="51"/>
  <c r="O217" i="51"/>
  <c r="O218" i="51"/>
  <c r="M218" i="51" s="1"/>
  <c r="O219" i="51"/>
  <c r="O220" i="51"/>
  <c r="M220" i="51" s="1"/>
  <c r="O221" i="51"/>
  <c r="O222" i="51"/>
  <c r="M222" i="51" s="1"/>
  <c r="O223" i="51"/>
  <c r="M223" i="51" s="1"/>
  <c r="O224" i="51"/>
  <c r="O225" i="51"/>
  <c r="O226" i="51"/>
  <c r="O227" i="51"/>
  <c r="O228" i="51"/>
  <c r="O229" i="51"/>
  <c r="O230" i="51"/>
  <c r="O231" i="51"/>
  <c r="O232" i="51"/>
  <c r="O233" i="51"/>
  <c r="M233" i="51" s="1"/>
  <c r="O234" i="51"/>
  <c r="O235" i="51"/>
  <c r="O236" i="51"/>
  <c r="O237" i="51"/>
  <c r="O238" i="51"/>
  <c r="O239" i="51"/>
  <c r="M239" i="51" s="1"/>
  <c r="O240" i="51"/>
  <c r="M240" i="51" s="1"/>
  <c r="O241" i="51"/>
  <c r="O242" i="51"/>
  <c r="M242" i="51" s="1"/>
  <c r="O243" i="51"/>
  <c r="O244" i="51"/>
  <c r="O245" i="51"/>
  <c r="O246" i="51"/>
  <c r="O247" i="51"/>
  <c r="O248" i="51"/>
  <c r="O249" i="51"/>
  <c r="O250" i="51"/>
  <c r="O3" i="50"/>
  <c r="O4" i="50"/>
  <c r="O5" i="50"/>
  <c r="O6" i="50"/>
  <c r="O7" i="50"/>
  <c r="O8" i="50"/>
  <c r="O9" i="50"/>
  <c r="O10" i="50"/>
  <c r="O11" i="50"/>
  <c r="O12" i="50"/>
  <c r="O13" i="50"/>
  <c r="O14" i="50"/>
  <c r="O15" i="50"/>
  <c r="O16" i="50"/>
  <c r="O17" i="50"/>
  <c r="O18" i="50"/>
  <c r="O19" i="50"/>
  <c r="O20" i="50"/>
  <c r="O21" i="50"/>
  <c r="O22" i="50"/>
  <c r="O23" i="50"/>
  <c r="M23" i="50" s="1"/>
  <c r="O24" i="50"/>
  <c r="M24" i="50" s="1"/>
  <c r="O25" i="50"/>
  <c r="O26" i="50"/>
  <c r="O27" i="50"/>
  <c r="O28" i="50"/>
  <c r="O29" i="50"/>
  <c r="O30" i="50"/>
  <c r="O31" i="50"/>
  <c r="O32" i="50"/>
  <c r="O33" i="50"/>
  <c r="O34" i="50"/>
  <c r="O35" i="50"/>
  <c r="O36" i="50"/>
  <c r="M36" i="50" s="1"/>
  <c r="O37" i="50"/>
  <c r="O38" i="50"/>
  <c r="O39" i="50"/>
  <c r="O40" i="50"/>
  <c r="O41" i="50"/>
  <c r="O42" i="50"/>
  <c r="O43" i="50"/>
  <c r="O44" i="50"/>
  <c r="O45" i="50"/>
  <c r="M45" i="50" s="1"/>
  <c r="O46" i="50"/>
  <c r="M46" i="50" s="1"/>
  <c r="O47" i="50"/>
  <c r="O48" i="50"/>
  <c r="O49" i="50"/>
  <c r="O50" i="50"/>
  <c r="O51" i="50"/>
  <c r="O52" i="50"/>
  <c r="O53" i="50"/>
  <c r="O54" i="50"/>
  <c r="O55" i="50"/>
  <c r="O56" i="50"/>
  <c r="O57" i="50"/>
  <c r="O58" i="50"/>
  <c r="O59" i="50"/>
  <c r="O60" i="50"/>
  <c r="O61" i="50"/>
  <c r="O62" i="50"/>
  <c r="O63" i="50"/>
  <c r="M63" i="50" s="1"/>
  <c r="O64" i="50"/>
  <c r="O65" i="50"/>
  <c r="O66" i="50"/>
  <c r="O67" i="50"/>
  <c r="O68" i="50"/>
  <c r="M68" i="50" s="1"/>
  <c r="O69" i="50"/>
  <c r="O70" i="50"/>
  <c r="O71" i="50"/>
  <c r="O72" i="50"/>
  <c r="O73" i="50"/>
  <c r="O74" i="50"/>
  <c r="O75" i="50"/>
  <c r="O76" i="50"/>
  <c r="O77" i="50"/>
  <c r="O78" i="50"/>
  <c r="O79" i="50"/>
  <c r="O80" i="50"/>
  <c r="M80" i="50" s="1"/>
  <c r="O81" i="50"/>
  <c r="O82" i="50"/>
  <c r="O83" i="50"/>
  <c r="O84" i="50"/>
  <c r="O85" i="50"/>
  <c r="O86" i="50"/>
  <c r="O87" i="50"/>
  <c r="O88" i="50"/>
  <c r="O89" i="50"/>
  <c r="M89" i="50" s="1"/>
  <c r="O90" i="50"/>
  <c r="M90" i="50" s="1"/>
  <c r="O91" i="50"/>
  <c r="O92" i="50"/>
  <c r="O93" i="50"/>
  <c r="O94" i="50"/>
  <c r="O95" i="50"/>
  <c r="O96" i="50"/>
  <c r="O97" i="50"/>
  <c r="O98" i="50"/>
  <c r="O99" i="50"/>
  <c r="O100" i="50"/>
  <c r="O101" i="50"/>
  <c r="O102" i="50"/>
  <c r="O103" i="50"/>
  <c r="M103" i="50" s="1"/>
  <c r="O104" i="50"/>
  <c r="O105" i="50"/>
  <c r="O106" i="50"/>
  <c r="O107" i="50"/>
  <c r="O108" i="50"/>
  <c r="O109" i="50"/>
  <c r="O110" i="50"/>
  <c r="O111" i="50"/>
  <c r="O112" i="50"/>
  <c r="O113" i="50"/>
  <c r="O114" i="50"/>
  <c r="O115" i="50"/>
  <c r="O116" i="50"/>
  <c r="O117" i="50"/>
  <c r="O118" i="50"/>
  <c r="O119" i="50"/>
  <c r="O120" i="50"/>
  <c r="O121" i="50"/>
  <c r="O122" i="50"/>
  <c r="O123" i="50"/>
  <c r="M123" i="50" s="1"/>
  <c r="O124" i="50"/>
  <c r="M124" i="50" s="1"/>
  <c r="O125" i="50"/>
  <c r="O126" i="50"/>
  <c r="O127" i="50"/>
  <c r="M127" i="50" s="1"/>
  <c r="O128" i="50"/>
  <c r="O129" i="50"/>
  <c r="M129" i="50" s="1"/>
  <c r="O130" i="50"/>
  <c r="O131" i="50"/>
  <c r="O132" i="50"/>
  <c r="O133" i="50"/>
  <c r="O134" i="50"/>
  <c r="M134" i="50" s="1"/>
  <c r="O135" i="50"/>
  <c r="O136" i="50"/>
  <c r="O137" i="50"/>
  <c r="O138" i="50"/>
  <c r="O139" i="50"/>
  <c r="O140" i="50"/>
  <c r="O141" i="50"/>
  <c r="O142" i="50"/>
  <c r="O143" i="50"/>
  <c r="O144" i="50"/>
  <c r="O145" i="50"/>
  <c r="O146" i="50"/>
  <c r="O147" i="50"/>
  <c r="O148" i="50"/>
  <c r="O149" i="50"/>
  <c r="O150" i="50"/>
  <c r="O151" i="50"/>
  <c r="O152" i="50"/>
  <c r="O153" i="50"/>
  <c r="O154" i="50"/>
  <c r="M154" i="50" s="1"/>
  <c r="O155" i="50"/>
  <c r="O156" i="50"/>
  <c r="M156" i="50" s="1"/>
  <c r="O157" i="50"/>
  <c r="O158" i="50"/>
  <c r="O159" i="50"/>
  <c r="O160" i="50"/>
  <c r="O161" i="50"/>
  <c r="O162" i="50"/>
  <c r="O163" i="50"/>
  <c r="O164" i="50"/>
  <c r="O165" i="50"/>
  <c r="M165" i="50" s="1"/>
  <c r="O166" i="50"/>
  <c r="O167" i="50"/>
  <c r="M167" i="50" s="1"/>
  <c r="O168" i="50"/>
  <c r="M168" i="50" s="1"/>
  <c r="O169" i="50"/>
  <c r="O170" i="50"/>
  <c r="O171" i="50"/>
  <c r="O172" i="50"/>
  <c r="M172" i="50" s="1"/>
  <c r="O173" i="50"/>
  <c r="O174" i="50"/>
  <c r="O175" i="50"/>
  <c r="O176" i="50"/>
  <c r="M176" i="50" s="1"/>
  <c r="O177" i="50"/>
  <c r="M177" i="50" s="1"/>
  <c r="O178" i="50"/>
  <c r="O179" i="50"/>
  <c r="O180" i="50"/>
  <c r="O181" i="50"/>
  <c r="O182" i="50"/>
  <c r="O183" i="50"/>
  <c r="O184" i="50"/>
  <c r="O185" i="50"/>
  <c r="O186" i="50"/>
  <c r="O187" i="50"/>
  <c r="O188" i="50"/>
  <c r="O189" i="50"/>
  <c r="O190" i="50"/>
  <c r="O191" i="50"/>
  <c r="O192" i="50"/>
  <c r="O193" i="50"/>
  <c r="O194" i="50"/>
  <c r="O195" i="50"/>
  <c r="O196" i="50"/>
  <c r="O197" i="50"/>
  <c r="O198" i="50"/>
  <c r="M198" i="50" s="1"/>
  <c r="O199" i="50"/>
  <c r="O200" i="50"/>
  <c r="M200" i="50" s="1"/>
  <c r="O201" i="50"/>
  <c r="O202" i="50"/>
  <c r="O203" i="50"/>
  <c r="O204" i="50"/>
  <c r="O205" i="50"/>
  <c r="O206" i="50"/>
  <c r="O207" i="50"/>
  <c r="M207" i="50" s="1"/>
  <c r="O208" i="50"/>
  <c r="O209" i="50"/>
  <c r="M209" i="50" s="1"/>
  <c r="O210" i="50"/>
  <c r="O211" i="50"/>
  <c r="O212" i="50"/>
  <c r="M212" i="50" s="1"/>
  <c r="O213" i="50"/>
  <c r="O214" i="50"/>
  <c r="O215" i="50"/>
  <c r="O216" i="50"/>
  <c r="O217" i="50"/>
  <c r="O218" i="50"/>
  <c r="O219" i="50"/>
  <c r="O220" i="50"/>
  <c r="O221" i="50"/>
  <c r="O222" i="50"/>
  <c r="O223" i="50"/>
  <c r="O224" i="50"/>
  <c r="O225" i="50"/>
  <c r="O226" i="50"/>
  <c r="O227" i="50"/>
  <c r="O228" i="50"/>
  <c r="O229" i="50"/>
  <c r="O230" i="50"/>
  <c r="O231" i="50"/>
  <c r="O232" i="50"/>
  <c r="O233" i="50"/>
  <c r="O234" i="50"/>
  <c r="M234" i="50" s="1"/>
  <c r="O235" i="50"/>
  <c r="O236" i="50"/>
  <c r="O237" i="50"/>
  <c r="O238" i="50"/>
  <c r="O239" i="50"/>
  <c r="O240" i="50"/>
  <c r="O241" i="50"/>
  <c r="O242" i="50"/>
  <c r="O243" i="50"/>
  <c r="M243" i="50" s="1"/>
  <c r="O244" i="50"/>
  <c r="M244" i="50" s="1"/>
  <c r="O245" i="50"/>
  <c r="O246" i="50"/>
  <c r="O247" i="50"/>
  <c r="O248" i="50"/>
  <c r="O249" i="50"/>
  <c r="O250" i="50"/>
  <c r="O3" i="46"/>
  <c r="O4" i="46"/>
  <c r="O5" i="46"/>
  <c r="O6" i="46"/>
  <c r="O7" i="46"/>
  <c r="O8" i="46"/>
  <c r="O9" i="46"/>
  <c r="O10" i="46"/>
  <c r="O11" i="46"/>
  <c r="O12" i="46"/>
  <c r="O13" i="46"/>
  <c r="O14" i="46"/>
  <c r="O15" i="46"/>
  <c r="O16" i="46"/>
  <c r="M16" i="46" s="1"/>
  <c r="O17" i="46"/>
  <c r="M17" i="46" s="1"/>
  <c r="O18" i="46"/>
  <c r="O19" i="46"/>
  <c r="O20" i="46"/>
  <c r="O21" i="46"/>
  <c r="O22" i="46"/>
  <c r="M22" i="46" s="1"/>
  <c r="O23" i="46"/>
  <c r="R23" i="46" s="1"/>
  <c r="O24" i="46"/>
  <c r="O25" i="46"/>
  <c r="O26" i="46"/>
  <c r="O27" i="46"/>
  <c r="O28" i="46"/>
  <c r="O29" i="46"/>
  <c r="O30" i="46"/>
  <c r="O31" i="46"/>
  <c r="O32" i="46"/>
  <c r="O33" i="46"/>
  <c r="O34" i="46"/>
  <c r="O35" i="46"/>
  <c r="O36" i="46"/>
  <c r="O37" i="46"/>
  <c r="O38" i="46"/>
  <c r="M38" i="46" s="1"/>
  <c r="O39" i="46"/>
  <c r="O40" i="46"/>
  <c r="O41" i="46"/>
  <c r="O42" i="46"/>
  <c r="O43" i="46"/>
  <c r="M43" i="46" s="1"/>
  <c r="O44" i="46"/>
  <c r="O45" i="46"/>
  <c r="O46" i="46"/>
  <c r="O47" i="46"/>
  <c r="O48" i="46"/>
  <c r="O49" i="46"/>
  <c r="O50" i="46"/>
  <c r="O51" i="46"/>
  <c r="O52" i="46"/>
  <c r="O53" i="46"/>
  <c r="O54" i="46"/>
  <c r="O55" i="46"/>
  <c r="O56" i="46"/>
  <c r="O57" i="46"/>
  <c r="O58" i="46"/>
  <c r="O59" i="46"/>
  <c r="O60" i="46"/>
  <c r="M60" i="46" s="1"/>
  <c r="O61" i="46"/>
  <c r="O62" i="46"/>
  <c r="O63" i="46"/>
  <c r="O64" i="46"/>
  <c r="O65" i="46"/>
  <c r="M65" i="46" s="1"/>
  <c r="O66" i="46"/>
  <c r="O67" i="46"/>
  <c r="O68" i="46"/>
  <c r="M68" i="46" s="1"/>
  <c r="O69" i="46"/>
  <c r="O70" i="46"/>
  <c r="O71" i="46"/>
  <c r="O72" i="46"/>
  <c r="O73" i="46"/>
  <c r="O74" i="46"/>
  <c r="O75" i="46"/>
  <c r="O76" i="46"/>
  <c r="O77" i="46"/>
  <c r="O78" i="46"/>
  <c r="O79" i="46"/>
  <c r="O80" i="46"/>
  <c r="O81" i="46"/>
  <c r="O82" i="46"/>
  <c r="O83" i="46"/>
  <c r="O84" i="46"/>
  <c r="O85" i="46"/>
  <c r="O86" i="46"/>
  <c r="O87" i="46"/>
  <c r="O88" i="46"/>
  <c r="M88" i="46" s="1"/>
  <c r="O89" i="46"/>
  <c r="O90" i="46"/>
  <c r="M90" i="46" s="1"/>
  <c r="O91" i="46"/>
  <c r="O92" i="46"/>
  <c r="O93" i="46"/>
  <c r="O94" i="46"/>
  <c r="O95" i="46"/>
  <c r="O96" i="46"/>
  <c r="O97" i="46"/>
  <c r="O98" i="46"/>
  <c r="O99" i="46"/>
  <c r="O100" i="46"/>
  <c r="O101" i="46"/>
  <c r="O102" i="46"/>
  <c r="O103" i="46"/>
  <c r="O104" i="46"/>
  <c r="O105" i="46"/>
  <c r="O106" i="46"/>
  <c r="O107" i="46"/>
  <c r="O108" i="46"/>
  <c r="M108" i="46" s="1"/>
  <c r="O109" i="46"/>
  <c r="M109" i="46" s="1"/>
  <c r="O110" i="46"/>
  <c r="M110" i="46" s="1"/>
  <c r="O111" i="46"/>
  <c r="M111" i="46" s="1"/>
  <c r="O112" i="46"/>
  <c r="M112" i="46" s="1"/>
  <c r="O113" i="46"/>
  <c r="O114" i="46"/>
  <c r="O115" i="46"/>
  <c r="O116" i="46"/>
  <c r="O117" i="46"/>
  <c r="O118" i="46"/>
  <c r="O119" i="46"/>
  <c r="O120" i="46"/>
  <c r="O121" i="46"/>
  <c r="O122" i="46"/>
  <c r="O123" i="46"/>
  <c r="O124" i="46"/>
  <c r="O125" i="46"/>
  <c r="O126" i="46"/>
  <c r="O127" i="46"/>
  <c r="O128" i="46"/>
  <c r="M128" i="46" s="1"/>
  <c r="O129" i="46"/>
  <c r="O130" i="46"/>
  <c r="M130" i="46" s="1"/>
  <c r="O131" i="46"/>
  <c r="M131" i="46" s="1"/>
  <c r="O132" i="46"/>
  <c r="M132" i="46" s="1"/>
  <c r="O133" i="46"/>
  <c r="M133" i="46" s="1"/>
  <c r="O134" i="46"/>
  <c r="M134" i="46" s="1"/>
  <c r="O135" i="46"/>
  <c r="O136" i="46"/>
  <c r="O137" i="46"/>
  <c r="O138" i="46"/>
  <c r="O139" i="46"/>
  <c r="O140" i="46"/>
  <c r="O141" i="46"/>
  <c r="O142" i="46"/>
  <c r="O143" i="46"/>
  <c r="O144" i="46"/>
  <c r="O145" i="46"/>
  <c r="O146" i="46"/>
  <c r="O147" i="46"/>
  <c r="O148" i="46"/>
  <c r="M148" i="46" s="1"/>
  <c r="O149" i="46"/>
  <c r="O150" i="46"/>
  <c r="O151" i="46"/>
  <c r="O152" i="46"/>
  <c r="O153" i="46"/>
  <c r="O154" i="46"/>
  <c r="O155" i="46"/>
  <c r="M155" i="46" s="1"/>
  <c r="O156" i="46"/>
  <c r="O157" i="46"/>
  <c r="O158" i="46"/>
  <c r="O159" i="46"/>
  <c r="O160" i="46"/>
  <c r="O161" i="46"/>
  <c r="O162" i="46"/>
  <c r="O163" i="46"/>
  <c r="O164" i="46"/>
  <c r="O165" i="46"/>
  <c r="O166" i="46"/>
  <c r="O167" i="46"/>
  <c r="O168" i="46"/>
  <c r="O169" i="46"/>
  <c r="O170" i="46"/>
  <c r="M170" i="46" s="1"/>
  <c r="O171" i="46"/>
  <c r="M171" i="46" s="1"/>
  <c r="O172" i="46"/>
  <c r="O173" i="46"/>
  <c r="O174" i="46"/>
  <c r="M174" i="46" s="1"/>
  <c r="O175" i="46"/>
  <c r="M175" i="46" s="1"/>
  <c r="O176" i="46"/>
  <c r="M176" i="46" s="1"/>
  <c r="O177" i="46"/>
  <c r="M177" i="46" s="1"/>
  <c r="O178" i="46"/>
  <c r="M178" i="46" s="1"/>
  <c r="O179" i="46"/>
  <c r="O180" i="46"/>
  <c r="O181" i="46"/>
  <c r="O182" i="46"/>
  <c r="O183" i="46"/>
  <c r="O184" i="46"/>
  <c r="O185" i="46"/>
  <c r="O186" i="46"/>
  <c r="O187" i="46"/>
  <c r="O188" i="46"/>
  <c r="O189" i="46"/>
  <c r="O190" i="46"/>
  <c r="O191" i="46"/>
  <c r="O192" i="46"/>
  <c r="O193" i="46"/>
  <c r="O194" i="46"/>
  <c r="O195" i="46"/>
  <c r="O196" i="46"/>
  <c r="M196" i="46" s="1"/>
  <c r="O197" i="46"/>
  <c r="O198" i="46"/>
  <c r="O199" i="46"/>
  <c r="O200" i="46"/>
  <c r="O201" i="46"/>
  <c r="O202" i="46"/>
  <c r="O203" i="46"/>
  <c r="O204" i="46"/>
  <c r="O205" i="46"/>
  <c r="O206" i="46"/>
  <c r="O207" i="46"/>
  <c r="O208" i="46"/>
  <c r="O209" i="46"/>
  <c r="O210" i="46"/>
  <c r="O211" i="46"/>
  <c r="O212" i="46"/>
  <c r="O213" i="46"/>
  <c r="O214" i="46"/>
  <c r="M214" i="46" s="1"/>
  <c r="O215" i="46"/>
  <c r="O216" i="46"/>
  <c r="M216" i="46" s="1"/>
  <c r="O217" i="46"/>
  <c r="O218" i="46"/>
  <c r="M218" i="46" s="1"/>
  <c r="O219" i="46"/>
  <c r="O220" i="46"/>
  <c r="M220" i="46" s="1"/>
  <c r="O221" i="46"/>
  <c r="O222" i="46"/>
  <c r="M222" i="46" s="1"/>
  <c r="O223" i="46"/>
  <c r="O224" i="46"/>
  <c r="O225" i="46"/>
  <c r="O226" i="46"/>
  <c r="O227" i="46"/>
  <c r="O228" i="46"/>
  <c r="O229" i="46"/>
  <c r="O230" i="46"/>
  <c r="O231" i="46"/>
  <c r="O232" i="46"/>
  <c r="O233" i="46"/>
  <c r="R233" i="46" s="1"/>
  <c r="O234" i="46"/>
  <c r="O235" i="46"/>
  <c r="O236" i="46"/>
  <c r="O237" i="46"/>
  <c r="M237" i="46" s="1"/>
  <c r="O238" i="46"/>
  <c r="O239" i="46"/>
  <c r="O240" i="46"/>
  <c r="O241" i="46"/>
  <c r="M241" i="46" s="1"/>
  <c r="O242" i="46"/>
  <c r="M242" i="46" s="1"/>
  <c r="O243" i="46"/>
  <c r="M243" i="46" s="1"/>
  <c r="O244" i="46"/>
  <c r="O245" i="46"/>
  <c r="O246" i="46"/>
  <c r="O247" i="46"/>
  <c r="O248" i="46"/>
  <c r="O249" i="46"/>
  <c r="O250" i="46"/>
  <c r="M250" i="46" s="1"/>
  <c r="T3" i="49"/>
  <c r="T4" i="49"/>
  <c r="T5" i="49"/>
  <c r="T6" i="49"/>
  <c r="T7" i="49"/>
  <c r="R7" i="49" s="1"/>
  <c r="T8" i="49"/>
  <c r="T9" i="49"/>
  <c r="T10" i="49"/>
  <c r="T11" i="49"/>
  <c r="R11" i="49" s="1"/>
  <c r="T12" i="49"/>
  <c r="R12" i="49" s="1"/>
  <c r="T13" i="49"/>
  <c r="R13" i="49" s="1"/>
  <c r="T14" i="49"/>
  <c r="T15" i="49"/>
  <c r="T16" i="49"/>
  <c r="T17" i="49"/>
  <c r="T18" i="49"/>
  <c r="T19" i="49"/>
  <c r="T20" i="49"/>
  <c r="T21" i="49"/>
  <c r="R21" i="49" s="1"/>
  <c r="T22" i="49"/>
  <c r="T23" i="49"/>
  <c r="R23" i="49" s="1"/>
  <c r="T24" i="49"/>
  <c r="T25" i="49"/>
  <c r="T26" i="49"/>
  <c r="T27" i="49"/>
  <c r="T28" i="49"/>
  <c r="R28" i="49" s="1"/>
  <c r="T29" i="49"/>
  <c r="T30" i="49"/>
  <c r="T31" i="49"/>
  <c r="T32" i="49"/>
  <c r="T33" i="49"/>
  <c r="R33" i="49" s="1"/>
  <c r="T34" i="49"/>
  <c r="T35" i="49"/>
  <c r="R35" i="49" s="1"/>
  <c r="T36" i="49"/>
  <c r="T37" i="49"/>
  <c r="T38" i="49"/>
  <c r="R38" i="49" s="1"/>
  <c r="T39" i="49"/>
  <c r="T40" i="49"/>
  <c r="T41" i="49"/>
  <c r="T42" i="49"/>
  <c r="T43" i="49"/>
  <c r="R43" i="49" s="1"/>
  <c r="T44" i="49"/>
  <c r="T45" i="49"/>
  <c r="T46" i="49"/>
  <c r="R46" i="49" s="1"/>
  <c r="T47" i="49"/>
  <c r="T48" i="49"/>
  <c r="T49" i="49"/>
  <c r="T50" i="49"/>
  <c r="T51" i="49"/>
  <c r="T52" i="49"/>
  <c r="T53" i="49"/>
  <c r="T54" i="49"/>
  <c r="T55" i="49"/>
  <c r="R55" i="49" s="1"/>
  <c r="T56" i="49"/>
  <c r="T57" i="49"/>
  <c r="T58" i="49"/>
  <c r="R58" i="49" s="1"/>
  <c r="T59" i="49"/>
  <c r="T60" i="49"/>
  <c r="T61" i="49"/>
  <c r="T62" i="49"/>
  <c r="T63" i="49"/>
  <c r="T64" i="49"/>
  <c r="T65" i="49"/>
  <c r="R65" i="49" s="1"/>
  <c r="T66" i="49"/>
  <c r="R66" i="49" s="1"/>
  <c r="T67" i="49"/>
  <c r="R67" i="49" s="1"/>
  <c r="T68" i="49"/>
  <c r="R68" i="49" s="1"/>
  <c r="T69" i="49"/>
  <c r="T70" i="49"/>
  <c r="T71" i="49"/>
  <c r="T72" i="49"/>
  <c r="T73" i="49"/>
  <c r="T74" i="49"/>
  <c r="T75" i="49"/>
  <c r="T76" i="49"/>
  <c r="T77" i="49"/>
  <c r="T78" i="49"/>
  <c r="T79" i="49"/>
  <c r="T80" i="49"/>
  <c r="R80" i="49" s="1"/>
  <c r="T81" i="49"/>
  <c r="T82" i="49"/>
  <c r="T83" i="49"/>
  <c r="T84" i="49"/>
  <c r="T85" i="49"/>
  <c r="T86" i="49"/>
  <c r="R86" i="49" s="1"/>
  <c r="T87" i="49"/>
  <c r="R87" i="49" s="1"/>
  <c r="T88" i="49"/>
  <c r="R88" i="49" s="1"/>
  <c r="T89" i="49"/>
  <c r="R89" i="49" s="1"/>
  <c r="T90" i="49"/>
  <c r="T91" i="49"/>
  <c r="T92" i="49"/>
  <c r="T93" i="49"/>
  <c r="T94" i="49"/>
  <c r="T95" i="49"/>
  <c r="T96" i="49"/>
  <c r="T97" i="49"/>
  <c r="T98" i="49"/>
  <c r="T99" i="49"/>
  <c r="T100" i="49"/>
  <c r="T101" i="49"/>
  <c r="R101" i="49" s="1"/>
  <c r="T102" i="49"/>
  <c r="T103" i="49"/>
  <c r="T104" i="49"/>
  <c r="T105" i="49"/>
  <c r="T106" i="49"/>
  <c r="T107" i="49"/>
  <c r="T108" i="49"/>
  <c r="T109" i="49"/>
  <c r="T110" i="49"/>
  <c r="T111" i="49"/>
  <c r="R111" i="49" s="1"/>
  <c r="T112" i="49"/>
  <c r="R112" i="49" s="1"/>
  <c r="T113" i="49"/>
  <c r="T114" i="49"/>
  <c r="T115" i="49"/>
  <c r="T116" i="49"/>
  <c r="T117" i="49"/>
  <c r="T118" i="49"/>
  <c r="T119" i="49"/>
  <c r="T120" i="49"/>
  <c r="R120" i="49" s="1"/>
  <c r="T121" i="49"/>
  <c r="T122" i="49"/>
  <c r="T123" i="49"/>
  <c r="R123" i="49" s="1"/>
  <c r="T124" i="49"/>
  <c r="R124" i="49" s="1"/>
  <c r="T125" i="49"/>
  <c r="T126" i="49"/>
  <c r="T127" i="49"/>
  <c r="T128" i="49"/>
  <c r="T129" i="49"/>
  <c r="T130" i="49"/>
  <c r="T131" i="49"/>
  <c r="T132" i="49"/>
  <c r="T133" i="49"/>
  <c r="R133" i="49" s="1"/>
  <c r="T134" i="49"/>
  <c r="R134" i="49" s="1"/>
  <c r="T135" i="49"/>
  <c r="T136" i="49"/>
  <c r="T137" i="49"/>
  <c r="T138" i="49"/>
  <c r="T139" i="49"/>
  <c r="T140" i="49"/>
  <c r="T141" i="49"/>
  <c r="T142" i="49"/>
  <c r="R142" i="49" s="1"/>
  <c r="T143" i="49"/>
  <c r="R143" i="49" s="1"/>
  <c r="T144" i="49"/>
  <c r="R144" i="49" s="1"/>
  <c r="T145" i="49"/>
  <c r="R145" i="49" s="1"/>
  <c r="T146" i="49"/>
  <c r="R146" i="49" s="1"/>
  <c r="T147" i="49"/>
  <c r="T148" i="49"/>
  <c r="T149" i="49"/>
  <c r="T150" i="49"/>
  <c r="R150" i="49" s="1"/>
  <c r="T151" i="49"/>
  <c r="T152" i="49"/>
  <c r="T153" i="49"/>
  <c r="R153" i="49" s="1"/>
  <c r="T154" i="49"/>
  <c r="R154" i="49" s="1"/>
  <c r="T155" i="49"/>
  <c r="T156" i="49"/>
  <c r="R156" i="49" s="1"/>
  <c r="T157" i="49"/>
  <c r="T158" i="49"/>
  <c r="T159" i="49"/>
  <c r="T160" i="49"/>
  <c r="T161" i="49"/>
  <c r="T162" i="49"/>
  <c r="R162" i="49" s="1"/>
  <c r="T163" i="49"/>
  <c r="T164" i="49"/>
  <c r="T165" i="49"/>
  <c r="T166" i="49"/>
  <c r="T167" i="49"/>
  <c r="T168" i="49"/>
  <c r="T169" i="49"/>
  <c r="T170" i="49"/>
  <c r="T171" i="49"/>
  <c r="T172" i="49"/>
  <c r="R172" i="49" s="1"/>
  <c r="T173" i="49"/>
  <c r="R173" i="49" s="1"/>
  <c r="T174" i="49"/>
  <c r="T175" i="49"/>
  <c r="R175" i="49" s="1"/>
  <c r="T176" i="49"/>
  <c r="R176" i="49" s="1"/>
  <c r="T177" i="49"/>
  <c r="T178" i="49"/>
  <c r="T179" i="49"/>
  <c r="T180" i="49"/>
  <c r="T181" i="49"/>
  <c r="T182" i="49"/>
  <c r="T183" i="49"/>
  <c r="T184" i="49"/>
  <c r="T185" i="49"/>
  <c r="T186" i="49"/>
  <c r="R186" i="49" s="1"/>
  <c r="T187" i="49"/>
  <c r="T188" i="49"/>
  <c r="T189" i="49"/>
  <c r="T190" i="49"/>
  <c r="T191" i="49"/>
  <c r="T192" i="49"/>
  <c r="T193" i="49"/>
  <c r="T194" i="49"/>
  <c r="T195" i="49"/>
  <c r="T196" i="49"/>
  <c r="T197" i="49"/>
  <c r="T198" i="49"/>
  <c r="R198" i="49" s="1"/>
  <c r="T199" i="49"/>
  <c r="R199" i="49" s="1"/>
  <c r="T200" i="49"/>
  <c r="R200" i="49" s="1"/>
  <c r="T201" i="49"/>
  <c r="T202" i="49"/>
  <c r="T203" i="49"/>
  <c r="T204" i="49"/>
  <c r="T205" i="49"/>
  <c r="T206" i="49"/>
  <c r="T207" i="49"/>
  <c r="T208" i="49"/>
  <c r="T209" i="49"/>
  <c r="R209" i="49" s="1"/>
  <c r="T210" i="49"/>
  <c r="R210" i="49" s="1"/>
  <c r="T211" i="49"/>
  <c r="R211" i="49" s="1"/>
  <c r="T212" i="49"/>
  <c r="T213" i="49"/>
  <c r="T214" i="49"/>
  <c r="T215" i="49"/>
  <c r="T216" i="49"/>
  <c r="T217" i="49"/>
  <c r="T218" i="49"/>
  <c r="T219" i="49"/>
  <c r="T220" i="49"/>
  <c r="R220" i="49" s="1"/>
  <c r="T221" i="49"/>
  <c r="T222" i="49"/>
  <c r="T223" i="49"/>
  <c r="T224" i="49"/>
  <c r="T225" i="49"/>
  <c r="T226" i="49"/>
  <c r="T227" i="49"/>
  <c r="T228" i="49"/>
  <c r="T229" i="49"/>
  <c r="T230" i="49"/>
  <c r="R230" i="49" s="1"/>
  <c r="T231" i="49"/>
  <c r="T232" i="49"/>
  <c r="T233" i="49"/>
  <c r="R233" i="49" s="1"/>
  <c r="T234" i="49"/>
  <c r="R234" i="49" s="1"/>
  <c r="T235" i="49"/>
  <c r="R235" i="49" s="1"/>
  <c r="T236" i="49"/>
  <c r="R236" i="49" s="1"/>
  <c r="T237" i="49"/>
  <c r="T238" i="49"/>
  <c r="T239" i="49"/>
  <c r="T240" i="49"/>
  <c r="T241" i="49"/>
  <c r="R241" i="49" s="1"/>
  <c r="T242" i="49"/>
  <c r="T243" i="49"/>
  <c r="R243" i="49" s="1"/>
  <c r="T244" i="49"/>
  <c r="T245" i="49"/>
  <c r="T246" i="49"/>
  <c r="T247" i="49"/>
  <c r="T248" i="49"/>
  <c r="T249" i="49"/>
  <c r="T250" i="49"/>
  <c r="T3" i="48"/>
  <c r="T4" i="48"/>
  <c r="T5" i="48"/>
  <c r="T6" i="48"/>
  <c r="R6" i="48" s="1"/>
  <c r="T7" i="48"/>
  <c r="T8" i="48"/>
  <c r="T9" i="48"/>
  <c r="R9" i="48" s="1"/>
  <c r="T10" i="48"/>
  <c r="R10" i="48" s="1"/>
  <c r="T11" i="48"/>
  <c r="R11" i="48" s="1"/>
  <c r="T12" i="48"/>
  <c r="R12" i="48" s="1"/>
  <c r="T13" i="48"/>
  <c r="T14" i="48"/>
  <c r="R14" i="48" s="1"/>
  <c r="T15" i="48"/>
  <c r="T16" i="48"/>
  <c r="T17" i="48"/>
  <c r="R17" i="48" s="1"/>
  <c r="T18" i="48"/>
  <c r="T19" i="48"/>
  <c r="R19" i="48" s="1"/>
  <c r="T20" i="48"/>
  <c r="T21" i="48"/>
  <c r="R21" i="48" s="1"/>
  <c r="T22" i="48"/>
  <c r="T23" i="48"/>
  <c r="R23" i="48" s="1"/>
  <c r="T24" i="48"/>
  <c r="R24" i="48" s="1"/>
  <c r="T25" i="48"/>
  <c r="T26" i="48"/>
  <c r="T27" i="48"/>
  <c r="R27" i="48" s="1"/>
  <c r="T28" i="48"/>
  <c r="T29" i="48"/>
  <c r="R29" i="48" s="1"/>
  <c r="T30" i="48"/>
  <c r="R30" i="48" s="1"/>
  <c r="T31" i="48"/>
  <c r="R31" i="48" s="1"/>
  <c r="T32" i="48"/>
  <c r="R32" i="48" s="1"/>
  <c r="T33" i="48"/>
  <c r="T34" i="48"/>
  <c r="T35" i="48"/>
  <c r="T36" i="48"/>
  <c r="R36" i="48" s="1"/>
  <c r="T37" i="48"/>
  <c r="T38" i="48"/>
  <c r="T39" i="48"/>
  <c r="R39" i="48" s="1"/>
  <c r="T40" i="48"/>
  <c r="T41" i="48"/>
  <c r="T42" i="48"/>
  <c r="R42" i="48" s="1"/>
  <c r="T43" i="48"/>
  <c r="T44" i="48"/>
  <c r="T45" i="48"/>
  <c r="T46" i="48"/>
  <c r="T47" i="48"/>
  <c r="R47" i="48" s="1"/>
  <c r="T48" i="48"/>
  <c r="T49" i="48"/>
  <c r="R49" i="48" s="1"/>
  <c r="T50" i="48"/>
  <c r="R50" i="48" s="1"/>
  <c r="T51" i="48"/>
  <c r="T52" i="48"/>
  <c r="R52" i="48" s="1"/>
  <c r="T53" i="48"/>
  <c r="T54" i="48"/>
  <c r="T55" i="48"/>
  <c r="T56" i="48"/>
  <c r="T57" i="48"/>
  <c r="R57" i="48" s="1"/>
  <c r="T58" i="48"/>
  <c r="T59" i="48"/>
  <c r="T60" i="48"/>
  <c r="R60" i="48" s="1"/>
  <c r="T61" i="48"/>
  <c r="R61" i="48" s="1"/>
  <c r="T62" i="48"/>
  <c r="T63" i="48"/>
  <c r="R63" i="48" s="1"/>
  <c r="T64" i="48"/>
  <c r="R64" i="48" s="1"/>
  <c r="T65" i="48"/>
  <c r="R65" i="48" s="1"/>
  <c r="T66" i="48"/>
  <c r="T67" i="48"/>
  <c r="R67" i="48" s="1"/>
  <c r="T68" i="48"/>
  <c r="T69" i="48"/>
  <c r="T70" i="48"/>
  <c r="T71" i="48"/>
  <c r="T72" i="48"/>
  <c r="T73" i="48"/>
  <c r="T74" i="48"/>
  <c r="T75" i="48"/>
  <c r="T76" i="48"/>
  <c r="T77" i="48"/>
  <c r="R77" i="48" s="1"/>
  <c r="T78" i="48"/>
  <c r="R78" i="48" s="1"/>
  <c r="T79" i="48"/>
  <c r="R79" i="48" s="1"/>
  <c r="T80" i="48"/>
  <c r="R80" i="48" s="1"/>
  <c r="T81" i="48"/>
  <c r="T82" i="48"/>
  <c r="R82" i="48" s="1"/>
  <c r="T83" i="48"/>
  <c r="R83" i="48" s="1"/>
  <c r="T84" i="48"/>
  <c r="T85" i="48"/>
  <c r="T86" i="48"/>
  <c r="T87" i="48"/>
  <c r="R87" i="48" s="1"/>
  <c r="T88" i="48"/>
  <c r="T89" i="48"/>
  <c r="T90" i="48"/>
  <c r="T91" i="48"/>
  <c r="T92" i="48"/>
  <c r="R92" i="48" s="1"/>
  <c r="T93" i="48"/>
  <c r="T94" i="48"/>
  <c r="T95" i="48"/>
  <c r="T96" i="48"/>
  <c r="T97" i="48"/>
  <c r="R97" i="48" s="1"/>
  <c r="T98" i="48"/>
  <c r="T99" i="48"/>
  <c r="T100" i="48"/>
  <c r="T101" i="48"/>
  <c r="T102" i="48"/>
  <c r="T103" i="48"/>
  <c r="T104" i="48"/>
  <c r="R104" i="48" s="1"/>
  <c r="T105" i="48"/>
  <c r="T106" i="48"/>
  <c r="T107" i="48"/>
  <c r="T108" i="48"/>
  <c r="T109" i="48"/>
  <c r="T110" i="48"/>
  <c r="R110" i="48" s="1"/>
  <c r="T111" i="48"/>
  <c r="T112" i="48"/>
  <c r="R112" i="48" s="1"/>
  <c r="T113" i="48"/>
  <c r="T114" i="48"/>
  <c r="T115" i="48"/>
  <c r="T116" i="48"/>
  <c r="T117" i="48"/>
  <c r="T118" i="48"/>
  <c r="T119" i="48"/>
  <c r="T120" i="48"/>
  <c r="R120" i="48" s="1"/>
  <c r="T121" i="48"/>
  <c r="T122" i="48"/>
  <c r="T123" i="48"/>
  <c r="R123" i="48" s="1"/>
  <c r="T124" i="48"/>
  <c r="R124" i="48" s="1"/>
  <c r="T125" i="48"/>
  <c r="R125" i="48" s="1"/>
  <c r="T126" i="48"/>
  <c r="T127" i="48"/>
  <c r="R127" i="48" s="1"/>
  <c r="T128" i="48"/>
  <c r="T129" i="48"/>
  <c r="T130" i="48"/>
  <c r="T131" i="48"/>
  <c r="R131" i="48" s="1"/>
  <c r="T132" i="48"/>
  <c r="R132" i="48" s="1"/>
  <c r="T133" i="48"/>
  <c r="T134" i="48"/>
  <c r="T135" i="48"/>
  <c r="T136" i="48"/>
  <c r="T137" i="48"/>
  <c r="R137" i="48" s="1"/>
  <c r="T138" i="48"/>
  <c r="T139" i="48"/>
  <c r="R139" i="48" s="1"/>
  <c r="T140" i="48"/>
  <c r="R140" i="48" s="1"/>
  <c r="T141" i="48"/>
  <c r="T142" i="48"/>
  <c r="T143" i="48"/>
  <c r="R143" i="48" s="1"/>
  <c r="T144" i="48"/>
  <c r="T145" i="48"/>
  <c r="T146" i="48"/>
  <c r="T147" i="48"/>
  <c r="T148" i="48"/>
  <c r="T149" i="48"/>
  <c r="R149" i="48" s="1"/>
  <c r="T150" i="48"/>
  <c r="R150" i="48" s="1"/>
  <c r="T151" i="48"/>
  <c r="T152" i="48"/>
  <c r="T153" i="48"/>
  <c r="T154" i="48"/>
  <c r="T155" i="48"/>
  <c r="T156" i="48"/>
  <c r="R156" i="48" s="1"/>
  <c r="T157" i="48"/>
  <c r="T158" i="48"/>
  <c r="R158" i="48" s="1"/>
  <c r="T159" i="48"/>
  <c r="T160" i="48"/>
  <c r="T161" i="48"/>
  <c r="T162" i="48"/>
  <c r="T163" i="48"/>
  <c r="T164" i="48"/>
  <c r="R164" i="48" s="1"/>
  <c r="T165" i="48"/>
  <c r="T166" i="48"/>
  <c r="T167" i="48"/>
  <c r="R167" i="48" s="1"/>
  <c r="T168" i="48"/>
  <c r="T169" i="48"/>
  <c r="T170" i="48"/>
  <c r="R170" i="48" s="1"/>
  <c r="T171" i="48"/>
  <c r="R171" i="48" s="1"/>
  <c r="T172" i="48"/>
  <c r="T173" i="48"/>
  <c r="T174" i="48"/>
  <c r="T175" i="48"/>
  <c r="T176" i="48"/>
  <c r="T177" i="48"/>
  <c r="T178" i="48"/>
  <c r="T179" i="48"/>
  <c r="R179" i="48" s="1"/>
  <c r="T180" i="48"/>
  <c r="R180" i="48" s="1"/>
  <c r="T181" i="48"/>
  <c r="T182" i="48"/>
  <c r="T183" i="48"/>
  <c r="R183" i="48" s="1"/>
  <c r="T184" i="48"/>
  <c r="R184" i="48" s="1"/>
  <c r="T185" i="48"/>
  <c r="T186" i="48"/>
  <c r="T187" i="48"/>
  <c r="T188" i="48"/>
  <c r="T189" i="48"/>
  <c r="R189" i="48" s="1"/>
  <c r="T190" i="48"/>
  <c r="R190" i="48" s="1"/>
  <c r="T191" i="48"/>
  <c r="R191" i="48" s="1"/>
  <c r="T192" i="48"/>
  <c r="R192" i="48" s="1"/>
  <c r="T193" i="48"/>
  <c r="T194" i="48"/>
  <c r="T195" i="48"/>
  <c r="T196" i="48"/>
  <c r="T197" i="48"/>
  <c r="R197" i="48" s="1"/>
  <c r="T198" i="48"/>
  <c r="T199" i="48"/>
  <c r="T200" i="48"/>
  <c r="R200" i="48" s="1"/>
  <c r="T201" i="48"/>
  <c r="T202" i="48"/>
  <c r="T203" i="48"/>
  <c r="T204" i="48"/>
  <c r="T205" i="48"/>
  <c r="T206" i="48"/>
  <c r="T207" i="48"/>
  <c r="T208" i="48"/>
  <c r="T209" i="48"/>
  <c r="T210" i="48"/>
  <c r="T211" i="48"/>
  <c r="T212" i="48"/>
  <c r="R212" i="48" s="1"/>
  <c r="T213" i="48"/>
  <c r="T214" i="48"/>
  <c r="T215" i="48"/>
  <c r="T216" i="48"/>
  <c r="T217" i="48"/>
  <c r="T218" i="48"/>
  <c r="T219" i="48"/>
  <c r="T220" i="48"/>
  <c r="R220" i="48" s="1"/>
  <c r="T221" i="48"/>
  <c r="T222" i="48"/>
  <c r="T223" i="48"/>
  <c r="T224" i="48"/>
  <c r="R224" i="48" s="1"/>
  <c r="T225" i="48"/>
  <c r="T226" i="48"/>
  <c r="T227" i="48"/>
  <c r="R227" i="48" s="1"/>
  <c r="T228" i="48"/>
  <c r="T229" i="48"/>
  <c r="R229" i="48" s="1"/>
  <c r="T230" i="48"/>
  <c r="R230" i="48" s="1"/>
  <c r="T231" i="48"/>
  <c r="R231" i="48" s="1"/>
  <c r="T232" i="48"/>
  <c r="T233" i="48"/>
  <c r="T234" i="48"/>
  <c r="T235" i="48"/>
  <c r="T236" i="48"/>
  <c r="R236" i="48" s="1"/>
  <c r="T237" i="48"/>
  <c r="R237" i="48" s="1"/>
  <c r="T238" i="48"/>
  <c r="T239" i="48"/>
  <c r="T240" i="48"/>
  <c r="T241" i="48"/>
  <c r="T242" i="48"/>
  <c r="R242" i="48" s="1"/>
  <c r="T243" i="48"/>
  <c r="T244" i="48"/>
  <c r="R244" i="48" s="1"/>
  <c r="T245" i="48"/>
  <c r="T246" i="48"/>
  <c r="T247" i="48"/>
  <c r="T248" i="48"/>
  <c r="T249" i="48"/>
  <c r="T250" i="48"/>
  <c r="T3" i="47"/>
  <c r="T4" i="47"/>
  <c r="T5" i="47"/>
  <c r="T6" i="47"/>
  <c r="T7" i="47"/>
  <c r="T8" i="47"/>
  <c r="T9" i="47"/>
  <c r="T10" i="47"/>
  <c r="T11" i="47"/>
  <c r="T12" i="47"/>
  <c r="R12" i="47" s="1"/>
  <c r="T13" i="47"/>
  <c r="T14" i="47"/>
  <c r="R14" i="47" s="1"/>
  <c r="T15" i="47"/>
  <c r="T16" i="47"/>
  <c r="R16" i="47" s="1"/>
  <c r="T17" i="47"/>
  <c r="R17" i="47" s="1"/>
  <c r="T18" i="47"/>
  <c r="T19" i="47"/>
  <c r="R19" i="47" s="1"/>
  <c r="T20" i="47"/>
  <c r="R20" i="47" s="1"/>
  <c r="T21" i="47"/>
  <c r="R21" i="47" s="1"/>
  <c r="T22" i="47"/>
  <c r="R22" i="47" s="1"/>
  <c r="T23" i="47"/>
  <c r="R23" i="47" s="1"/>
  <c r="T24" i="47"/>
  <c r="T25" i="47"/>
  <c r="R25" i="47" s="1"/>
  <c r="T26" i="47"/>
  <c r="R26" i="47" s="1"/>
  <c r="T27" i="47"/>
  <c r="R27" i="47" s="1"/>
  <c r="T28" i="47"/>
  <c r="T29" i="47"/>
  <c r="T30" i="47"/>
  <c r="R30" i="47" s="1"/>
  <c r="T31" i="47"/>
  <c r="T32" i="47"/>
  <c r="T33" i="47"/>
  <c r="T34" i="47"/>
  <c r="T35" i="47"/>
  <c r="T36" i="47"/>
  <c r="T37" i="47"/>
  <c r="T38" i="47"/>
  <c r="T39" i="47"/>
  <c r="T40" i="47"/>
  <c r="T41" i="47"/>
  <c r="T42" i="47"/>
  <c r="R42" i="47" s="1"/>
  <c r="T43" i="47"/>
  <c r="T44" i="47"/>
  <c r="R44" i="47" s="1"/>
  <c r="T45" i="47"/>
  <c r="R45" i="47" s="1"/>
  <c r="T46" i="47"/>
  <c r="R46" i="47" s="1"/>
  <c r="T47" i="47"/>
  <c r="T48" i="47"/>
  <c r="T49" i="47"/>
  <c r="T50" i="47"/>
  <c r="T51" i="47"/>
  <c r="T52" i="47"/>
  <c r="R52" i="47" s="1"/>
  <c r="T53" i="47"/>
  <c r="T54" i="47"/>
  <c r="T55" i="47"/>
  <c r="T56" i="47"/>
  <c r="T57" i="47"/>
  <c r="T58" i="47"/>
  <c r="T59" i="47"/>
  <c r="R59" i="47" s="1"/>
  <c r="T60" i="47"/>
  <c r="T61" i="47"/>
  <c r="T62" i="47"/>
  <c r="T63" i="47"/>
  <c r="T64" i="47"/>
  <c r="R64" i="47" s="1"/>
  <c r="T65" i="47"/>
  <c r="T66" i="47"/>
  <c r="R66" i="47" s="1"/>
  <c r="T67" i="47"/>
  <c r="R67" i="47" s="1"/>
  <c r="T68" i="47"/>
  <c r="R68" i="47" s="1"/>
  <c r="T69" i="47"/>
  <c r="T70" i="47"/>
  <c r="T71" i="47"/>
  <c r="T72" i="47"/>
  <c r="R72" i="47" s="1"/>
  <c r="T73" i="47"/>
  <c r="R73" i="47" s="1"/>
  <c r="T74" i="47"/>
  <c r="R74" i="47" s="1"/>
  <c r="T75" i="47"/>
  <c r="R75" i="47" s="1"/>
  <c r="T76" i="47"/>
  <c r="R76" i="47" s="1"/>
  <c r="T77" i="47"/>
  <c r="T78" i="47"/>
  <c r="R78" i="47" s="1"/>
  <c r="T79" i="47"/>
  <c r="T80" i="47"/>
  <c r="T81" i="47"/>
  <c r="T82" i="47"/>
  <c r="R82" i="47" s="1"/>
  <c r="T83" i="47"/>
  <c r="R83" i="47" s="1"/>
  <c r="T84" i="47"/>
  <c r="R84" i="47" s="1"/>
  <c r="T85" i="47"/>
  <c r="T86" i="47"/>
  <c r="R86" i="47" s="1"/>
  <c r="T87" i="47"/>
  <c r="T88" i="47"/>
  <c r="T89" i="47"/>
  <c r="R89" i="47" s="1"/>
  <c r="T90" i="47"/>
  <c r="R90" i="47" s="1"/>
  <c r="T91" i="47"/>
  <c r="T92" i="47"/>
  <c r="T93" i="47"/>
  <c r="R93" i="47" s="1"/>
  <c r="T94" i="47"/>
  <c r="T95" i="47"/>
  <c r="T96" i="47"/>
  <c r="T97" i="47"/>
  <c r="T98" i="47"/>
  <c r="T99" i="47"/>
  <c r="T100" i="47"/>
  <c r="T101" i="47"/>
  <c r="R101" i="47" s="1"/>
  <c r="T102" i="47"/>
  <c r="R102" i="47" s="1"/>
  <c r="T103" i="47"/>
  <c r="R103" i="47" s="1"/>
  <c r="T104" i="47"/>
  <c r="T105" i="47"/>
  <c r="T106" i="47"/>
  <c r="T107" i="47"/>
  <c r="R107" i="47" s="1"/>
  <c r="T108" i="47"/>
  <c r="R108" i="47" s="1"/>
  <c r="T109" i="47"/>
  <c r="T110" i="47"/>
  <c r="T111" i="47"/>
  <c r="R111" i="47" s="1"/>
  <c r="T112" i="47"/>
  <c r="T113" i="47"/>
  <c r="T114" i="47"/>
  <c r="T115" i="47"/>
  <c r="T116" i="47"/>
  <c r="T117" i="47"/>
  <c r="T118" i="47"/>
  <c r="T119" i="47"/>
  <c r="T120" i="47"/>
  <c r="T121" i="47"/>
  <c r="T122" i="47"/>
  <c r="T123" i="47"/>
  <c r="T124" i="47"/>
  <c r="T125" i="47"/>
  <c r="T126" i="47"/>
  <c r="T127" i="47"/>
  <c r="T128" i="47"/>
  <c r="T129" i="47"/>
  <c r="T130" i="47"/>
  <c r="R130" i="47" s="1"/>
  <c r="T131" i="47"/>
  <c r="T132" i="47"/>
  <c r="T133" i="47"/>
  <c r="T134" i="47"/>
  <c r="R134" i="47" s="1"/>
  <c r="T135" i="47"/>
  <c r="T136" i="47"/>
  <c r="T137" i="47"/>
  <c r="T138" i="47"/>
  <c r="T139" i="47"/>
  <c r="R139" i="47" s="1"/>
  <c r="T140" i="47"/>
  <c r="R140" i="47" s="1"/>
  <c r="T141" i="47"/>
  <c r="T142" i="47"/>
  <c r="T143" i="47"/>
  <c r="T144" i="47"/>
  <c r="T145" i="47"/>
  <c r="T146" i="47"/>
  <c r="T147" i="47"/>
  <c r="R147" i="47" s="1"/>
  <c r="T148" i="47"/>
  <c r="T149" i="47"/>
  <c r="T150" i="47"/>
  <c r="T151" i="47"/>
  <c r="T152" i="47"/>
  <c r="T153" i="47"/>
  <c r="T154" i="47"/>
  <c r="R154" i="47" s="1"/>
  <c r="T155" i="47"/>
  <c r="R155" i="47" s="1"/>
  <c r="T156" i="47"/>
  <c r="R156" i="47" s="1"/>
  <c r="T157" i="47"/>
  <c r="T158" i="47"/>
  <c r="T159" i="47"/>
  <c r="T160" i="47"/>
  <c r="T161" i="47"/>
  <c r="R161" i="47" s="1"/>
  <c r="T162" i="47"/>
  <c r="R162" i="47" s="1"/>
  <c r="T163" i="47"/>
  <c r="T164" i="47"/>
  <c r="R164" i="47" s="1"/>
  <c r="T165" i="47"/>
  <c r="T166" i="47"/>
  <c r="T167" i="47"/>
  <c r="T168" i="47"/>
  <c r="T169" i="47"/>
  <c r="T170" i="47"/>
  <c r="T171" i="47"/>
  <c r="T172" i="47"/>
  <c r="T173" i="47"/>
  <c r="T174" i="47"/>
  <c r="T175" i="47"/>
  <c r="T176" i="47"/>
  <c r="R176" i="47" s="1"/>
  <c r="T177" i="47"/>
  <c r="T178" i="47"/>
  <c r="T179" i="47"/>
  <c r="T180" i="47"/>
  <c r="T181" i="47"/>
  <c r="T182" i="47"/>
  <c r="T183" i="47"/>
  <c r="T184" i="47"/>
  <c r="T185" i="47"/>
  <c r="T186" i="47"/>
  <c r="R186" i="47" s="1"/>
  <c r="T187" i="47"/>
  <c r="T188" i="47"/>
  <c r="T189" i="47"/>
  <c r="T190" i="47"/>
  <c r="T191" i="47"/>
  <c r="R191" i="47" s="1"/>
  <c r="T192" i="47"/>
  <c r="T193" i="47"/>
  <c r="T194" i="47"/>
  <c r="T195" i="47"/>
  <c r="T196" i="47"/>
  <c r="R196" i="47" s="1"/>
  <c r="T197" i="47"/>
  <c r="T198" i="47"/>
  <c r="T199" i="47"/>
  <c r="T200" i="47"/>
  <c r="R200" i="47" s="1"/>
  <c r="T201" i="47"/>
  <c r="T202" i="47"/>
  <c r="T203" i="47"/>
  <c r="T204" i="47"/>
  <c r="T205" i="47"/>
  <c r="T206" i="47"/>
  <c r="T207" i="47"/>
  <c r="T208" i="47"/>
  <c r="T209" i="47"/>
  <c r="T210" i="47"/>
  <c r="T211" i="47"/>
  <c r="R211" i="47" s="1"/>
  <c r="T212" i="47"/>
  <c r="R212" i="47" s="1"/>
  <c r="T213" i="47"/>
  <c r="R213" i="47" s="1"/>
  <c r="T214" i="47"/>
  <c r="T215" i="47"/>
  <c r="T216" i="47"/>
  <c r="T217" i="47"/>
  <c r="T218" i="47"/>
  <c r="T219" i="47"/>
  <c r="T220" i="47"/>
  <c r="R220" i="47" s="1"/>
  <c r="T221" i="47"/>
  <c r="R221" i="47" s="1"/>
  <c r="T222" i="47"/>
  <c r="R222" i="47" s="1"/>
  <c r="T223" i="47"/>
  <c r="T224" i="47"/>
  <c r="T225" i="47"/>
  <c r="T226" i="47"/>
  <c r="T227" i="47"/>
  <c r="R227" i="47" s="1"/>
  <c r="T228" i="47"/>
  <c r="R228" i="47" s="1"/>
  <c r="T229" i="47"/>
  <c r="T230" i="47"/>
  <c r="T231" i="47"/>
  <c r="T232" i="47"/>
  <c r="T233" i="47"/>
  <c r="T234" i="47"/>
  <c r="T235" i="47"/>
  <c r="T236" i="47"/>
  <c r="T237" i="47"/>
  <c r="T238" i="47"/>
  <c r="T239" i="47"/>
  <c r="T240" i="47"/>
  <c r="R240" i="47" s="1"/>
  <c r="T241" i="47"/>
  <c r="T242" i="47"/>
  <c r="R242" i="47" s="1"/>
  <c r="T243" i="47"/>
  <c r="R243" i="47" s="1"/>
  <c r="T244" i="47"/>
  <c r="R244" i="47" s="1"/>
  <c r="T245" i="47"/>
  <c r="T246" i="47"/>
  <c r="T247" i="47"/>
  <c r="T248" i="47"/>
  <c r="T249" i="47"/>
  <c r="T250" i="47"/>
  <c r="H3" i="62"/>
  <c r="K3" i="62"/>
  <c r="L3" i="62" s="1"/>
  <c r="H4" i="62"/>
  <c r="K4" i="62"/>
  <c r="M4" i="62"/>
  <c r="H5" i="62"/>
  <c r="K5" i="62"/>
  <c r="M5" i="62"/>
  <c r="H6" i="62"/>
  <c r="K6" i="62"/>
  <c r="M6" i="62"/>
  <c r="H7" i="62"/>
  <c r="K7" i="62"/>
  <c r="H8" i="62"/>
  <c r="K8" i="62"/>
  <c r="H9" i="62"/>
  <c r="K9" i="62"/>
  <c r="H10" i="62"/>
  <c r="K10" i="62"/>
  <c r="H11" i="62"/>
  <c r="K11" i="62"/>
  <c r="M11" i="62"/>
  <c r="H12" i="62"/>
  <c r="S12" i="62" s="1"/>
  <c r="K12" i="62"/>
  <c r="M12" i="62"/>
  <c r="H13" i="62"/>
  <c r="K13" i="62"/>
  <c r="H14" i="62"/>
  <c r="K14" i="62"/>
  <c r="H15" i="62"/>
  <c r="K15" i="62"/>
  <c r="H16" i="62"/>
  <c r="K16" i="62"/>
  <c r="M16" i="62"/>
  <c r="H17" i="62"/>
  <c r="K17" i="62"/>
  <c r="H18" i="62"/>
  <c r="K18" i="62"/>
  <c r="H19" i="62"/>
  <c r="K19" i="62"/>
  <c r="H20" i="62"/>
  <c r="K20" i="62"/>
  <c r="M20" i="62"/>
  <c r="H21" i="62"/>
  <c r="K21" i="62"/>
  <c r="H22" i="62"/>
  <c r="K22" i="62"/>
  <c r="H23" i="62"/>
  <c r="K23" i="62"/>
  <c r="H24" i="62"/>
  <c r="K24" i="62"/>
  <c r="H25" i="62"/>
  <c r="K25" i="62"/>
  <c r="H26" i="62"/>
  <c r="K26" i="62"/>
  <c r="M26" i="62"/>
  <c r="H27" i="62"/>
  <c r="S27" i="62" s="1"/>
  <c r="K27" i="62"/>
  <c r="M27" i="62"/>
  <c r="H28" i="62"/>
  <c r="K28" i="62"/>
  <c r="M28" i="62"/>
  <c r="H29" i="62"/>
  <c r="K29" i="62"/>
  <c r="H30" i="62"/>
  <c r="K30" i="62"/>
  <c r="M30" i="62"/>
  <c r="H31" i="62"/>
  <c r="K31" i="62"/>
  <c r="M31" i="62"/>
  <c r="H32" i="62"/>
  <c r="K32" i="62"/>
  <c r="M32" i="62"/>
  <c r="H33" i="62"/>
  <c r="K33" i="62"/>
  <c r="H34" i="62"/>
  <c r="K34" i="62"/>
  <c r="M34" i="62"/>
  <c r="H35" i="62"/>
  <c r="K35" i="62"/>
  <c r="H36" i="62"/>
  <c r="K36" i="62"/>
  <c r="H37" i="62"/>
  <c r="S37" i="62" s="1"/>
  <c r="K37" i="62"/>
  <c r="H38" i="62"/>
  <c r="K38" i="62"/>
  <c r="H39" i="62"/>
  <c r="K39" i="62"/>
  <c r="M39" i="62"/>
  <c r="H40" i="62"/>
  <c r="K40" i="62"/>
  <c r="H41" i="62"/>
  <c r="K41" i="62"/>
  <c r="H42" i="62"/>
  <c r="S42" i="62" s="1"/>
  <c r="K42" i="62"/>
  <c r="H43" i="62"/>
  <c r="K43" i="62"/>
  <c r="H44" i="62"/>
  <c r="S44" i="62" s="1"/>
  <c r="K44" i="62"/>
  <c r="H45" i="62"/>
  <c r="K45" i="62"/>
  <c r="H46" i="62"/>
  <c r="K46" i="62"/>
  <c r="H47" i="62"/>
  <c r="K47" i="62"/>
  <c r="M47" i="62"/>
  <c r="H48" i="62"/>
  <c r="K48" i="62"/>
  <c r="M48" i="62"/>
  <c r="S48" i="62"/>
  <c r="H49" i="62"/>
  <c r="K49" i="62"/>
  <c r="M49" i="62"/>
  <c r="S49" i="62"/>
  <c r="H50" i="62"/>
  <c r="K50" i="62"/>
  <c r="M50" i="62"/>
  <c r="S50" i="62"/>
  <c r="H51" i="62"/>
  <c r="K51" i="62"/>
  <c r="S51" i="62"/>
  <c r="H52" i="62"/>
  <c r="K52" i="62"/>
  <c r="S52" i="62"/>
  <c r="H53" i="62"/>
  <c r="K53" i="62"/>
  <c r="S53" i="62"/>
  <c r="H54" i="62"/>
  <c r="K54" i="62"/>
  <c r="M54" i="62"/>
  <c r="S54" i="62"/>
  <c r="H55" i="62"/>
  <c r="K55" i="62"/>
  <c r="M55" i="62"/>
  <c r="S55" i="62"/>
  <c r="H56" i="62"/>
  <c r="K56" i="62"/>
  <c r="M56" i="62"/>
  <c r="S56" i="62"/>
  <c r="H57" i="62"/>
  <c r="K57" i="62"/>
  <c r="S57" i="62"/>
  <c r="H58" i="62"/>
  <c r="K58" i="62"/>
  <c r="S58" i="62"/>
  <c r="H59" i="62"/>
  <c r="K59" i="62"/>
  <c r="S59" i="62"/>
  <c r="H60" i="62"/>
  <c r="K60" i="62"/>
  <c r="M60" i="62"/>
  <c r="S60" i="62"/>
  <c r="H61" i="62"/>
  <c r="K61" i="62"/>
  <c r="M61" i="62"/>
  <c r="S61" i="62"/>
  <c r="H62" i="62"/>
  <c r="K62" i="62"/>
  <c r="S62" i="62"/>
  <c r="H63" i="62"/>
  <c r="K63" i="62"/>
  <c r="S63" i="62"/>
  <c r="H64" i="62"/>
  <c r="K64" i="62"/>
  <c r="M64" i="62"/>
  <c r="S64" i="62"/>
  <c r="H65" i="62"/>
  <c r="K65" i="62"/>
  <c r="S65" i="62"/>
  <c r="H66" i="62"/>
  <c r="K66" i="62"/>
  <c r="M66" i="62"/>
  <c r="S66" i="62"/>
  <c r="H67" i="62"/>
  <c r="K67" i="62"/>
  <c r="S67" i="62"/>
  <c r="H68" i="62"/>
  <c r="K68" i="62"/>
  <c r="S68" i="62"/>
  <c r="H69" i="62"/>
  <c r="K69" i="62"/>
  <c r="M69" i="62"/>
  <c r="S69" i="62"/>
  <c r="H70" i="62"/>
  <c r="K70" i="62"/>
  <c r="M70" i="62"/>
  <c r="S70" i="62"/>
  <c r="H71" i="62"/>
  <c r="K71" i="62"/>
  <c r="M71" i="62"/>
  <c r="S71" i="62"/>
  <c r="H72" i="62"/>
  <c r="K72" i="62"/>
  <c r="M72" i="62"/>
  <c r="S72" i="62"/>
  <c r="H73" i="62"/>
  <c r="K73" i="62"/>
  <c r="S73" i="62"/>
  <c r="H74" i="62"/>
  <c r="K74" i="62"/>
  <c r="M74" i="62"/>
  <c r="S74" i="62"/>
  <c r="H75" i="62"/>
  <c r="K75" i="62"/>
  <c r="M75" i="62"/>
  <c r="S75" i="62"/>
  <c r="H76" i="62"/>
  <c r="K76" i="62"/>
  <c r="M76" i="62"/>
  <c r="S76" i="62"/>
  <c r="H77" i="62"/>
  <c r="K77" i="62"/>
  <c r="S77" i="62"/>
  <c r="H78" i="62"/>
  <c r="K78" i="62"/>
  <c r="S78" i="62"/>
  <c r="H79" i="62"/>
  <c r="K79" i="62"/>
  <c r="S79" i="62"/>
  <c r="H80" i="62"/>
  <c r="K80" i="62"/>
  <c r="S80" i="62"/>
  <c r="H81" i="62"/>
  <c r="K81" i="62"/>
  <c r="M81" i="62"/>
  <c r="S81" i="62"/>
  <c r="H82" i="62"/>
  <c r="K82" i="62"/>
  <c r="S82" i="62"/>
  <c r="H83" i="62"/>
  <c r="K83" i="62"/>
  <c r="M83" i="62"/>
  <c r="S83" i="62"/>
  <c r="H84" i="62"/>
  <c r="K84" i="62"/>
  <c r="S84" i="62"/>
  <c r="H85" i="62"/>
  <c r="K85" i="62"/>
  <c r="S85" i="62"/>
  <c r="H86" i="62"/>
  <c r="K86" i="62"/>
  <c r="M86" i="62"/>
  <c r="S86" i="62"/>
  <c r="H87" i="62"/>
  <c r="K87" i="62"/>
  <c r="S87" i="62"/>
  <c r="H88" i="62"/>
  <c r="K88" i="62"/>
  <c r="S88" i="62"/>
  <c r="H89" i="62"/>
  <c r="K89" i="62"/>
  <c r="M89" i="62"/>
  <c r="S89" i="62"/>
  <c r="H90" i="62"/>
  <c r="K90" i="62"/>
  <c r="S90" i="62"/>
  <c r="H91" i="62"/>
  <c r="K91" i="62"/>
  <c r="M91" i="62"/>
  <c r="S91" i="62"/>
  <c r="H92" i="62"/>
  <c r="K92" i="62"/>
  <c r="M92" i="62"/>
  <c r="S92" i="62"/>
  <c r="H93" i="62"/>
  <c r="K93" i="62"/>
  <c r="M93" i="62"/>
  <c r="S93" i="62"/>
  <c r="H94" i="62"/>
  <c r="K94" i="62"/>
  <c r="M94" i="62"/>
  <c r="S94" i="62"/>
  <c r="H95" i="62"/>
  <c r="K95" i="62"/>
  <c r="S95" i="62"/>
  <c r="H96" i="62"/>
  <c r="K96" i="62"/>
  <c r="M96" i="62"/>
  <c r="S96" i="62"/>
  <c r="H97" i="62"/>
  <c r="K97" i="62"/>
  <c r="M97" i="62"/>
  <c r="S97" i="62"/>
  <c r="H98" i="62"/>
  <c r="K98" i="62"/>
  <c r="M98" i="62"/>
  <c r="S98" i="62"/>
  <c r="H99" i="62"/>
  <c r="K99" i="62"/>
  <c r="M99" i="62"/>
  <c r="S99" i="62"/>
  <c r="H100" i="62"/>
  <c r="K100" i="62"/>
  <c r="M100" i="62"/>
  <c r="S100" i="62"/>
  <c r="H101" i="62"/>
  <c r="K101" i="62"/>
  <c r="M101" i="62"/>
  <c r="S101" i="62"/>
  <c r="H102" i="62"/>
  <c r="K102" i="62"/>
  <c r="S102" i="62"/>
  <c r="H103" i="62"/>
  <c r="K103" i="62"/>
  <c r="S103" i="62"/>
  <c r="H104" i="62"/>
  <c r="K104" i="62"/>
  <c r="M104" i="62"/>
  <c r="S104" i="62"/>
  <c r="H105" i="62"/>
  <c r="K105" i="62"/>
  <c r="M105" i="62"/>
  <c r="S105" i="62"/>
  <c r="H106" i="62"/>
  <c r="K106" i="62"/>
  <c r="S106" i="62"/>
  <c r="H107" i="62"/>
  <c r="K107" i="62"/>
  <c r="S107" i="62"/>
  <c r="H108" i="62"/>
  <c r="K108" i="62"/>
  <c r="S108" i="62"/>
  <c r="H109" i="62"/>
  <c r="K109" i="62"/>
  <c r="S109" i="62"/>
  <c r="H110" i="62"/>
  <c r="K110" i="62"/>
  <c r="S110" i="62"/>
  <c r="H111" i="62"/>
  <c r="K111" i="62"/>
  <c r="M111" i="62"/>
  <c r="S111" i="62"/>
  <c r="H112" i="62"/>
  <c r="K112" i="62"/>
  <c r="S112" i="62"/>
  <c r="H113" i="62"/>
  <c r="K113" i="62"/>
  <c r="M113" i="62"/>
  <c r="S113" i="62"/>
  <c r="H114" i="62"/>
  <c r="K114" i="62"/>
  <c r="M114" i="62"/>
  <c r="S114" i="62"/>
  <c r="H115" i="62"/>
  <c r="K115" i="62"/>
  <c r="M115" i="62"/>
  <c r="S115" i="62"/>
  <c r="H116" i="62"/>
  <c r="K116" i="62"/>
  <c r="S116" i="62"/>
  <c r="H117" i="62"/>
  <c r="K117" i="62"/>
  <c r="M117" i="62"/>
  <c r="S117" i="62"/>
  <c r="H118" i="62"/>
  <c r="K118" i="62"/>
  <c r="M118" i="62"/>
  <c r="S118" i="62"/>
  <c r="H119" i="62"/>
  <c r="K119" i="62"/>
  <c r="M119" i="62"/>
  <c r="S119" i="62"/>
  <c r="H120" i="62"/>
  <c r="K120" i="62"/>
  <c r="M120" i="62"/>
  <c r="S120" i="62"/>
  <c r="H121" i="62"/>
  <c r="K121" i="62"/>
  <c r="S121" i="62"/>
  <c r="H122" i="62"/>
  <c r="K122" i="62"/>
  <c r="M122" i="62"/>
  <c r="S122" i="62"/>
  <c r="H123" i="62"/>
  <c r="K123" i="62"/>
  <c r="S123" i="62"/>
  <c r="H124" i="62"/>
  <c r="K124" i="62"/>
  <c r="S124" i="62"/>
  <c r="H125" i="62"/>
  <c r="K125" i="62"/>
  <c r="S125" i="62"/>
  <c r="H126" i="62"/>
  <c r="K126" i="62"/>
  <c r="S126" i="62"/>
  <c r="H127" i="62"/>
  <c r="K127" i="62"/>
  <c r="M127" i="62"/>
  <c r="S127" i="62"/>
  <c r="H128" i="62"/>
  <c r="K128" i="62"/>
  <c r="M128" i="62"/>
  <c r="S128" i="62"/>
  <c r="H129" i="62"/>
  <c r="K129" i="62"/>
  <c r="S129" i="62"/>
  <c r="H130" i="62"/>
  <c r="K130" i="62"/>
  <c r="M130" i="62"/>
  <c r="S130" i="62"/>
  <c r="H131" i="62"/>
  <c r="K131" i="62"/>
  <c r="S131" i="62"/>
  <c r="H132" i="62"/>
  <c r="K132" i="62"/>
  <c r="S132" i="62"/>
  <c r="H133" i="62"/>
  <c r="K133" i="62"/>
  <c r="M133" i="62"/>
  <c r="S133" i="62"/>
  <c r="H134" i="62"/>
  <c r="K134" i="62"/>
  <c r="S134" i="62"/>
  <c r="H135" i="62"/>
  <c r="K135" i="62"/>
  <c r="M135" i="62"/>
  <c r="S135" i="62"/>
  <c r="H136" i="62"/>
  <c r="K136" i="62"/>
  <c r="M136" i="62"/>
  <c r="S136" i="62"/>
  <c r="H137" i="62"/>
  <c r="K137" i="62"/>
  <c r="S137" i="62"/>
  <c r="H138" i="62"/>
  <c r="K138" i="62"/>
  <c r="S138" i="62"/>
  <c r="H139" i="62"/>
  <c r="K139" i="62"/>
  <c r="M139" i="62"/>
  <c r="S139" i="62"/>
  <c r="H140" i="62"/>
  <c r="K140" i="62"/>
  <c r="M140" i="62"/>
  <c r="S140" i="62"/>
  <c r="H141" i="62"/>
  <c r="K141" i="62"/>
  <c r="S141" i="62"/>
  <c r="H142" i="62"/>
  <c r="K142" i="62"/>
  <c r="M142" i="62"/>
  <c r="S142" i="62"/>
  <c r="H143" i="62"/>
  <c r="K143" i="62"/>
  <c r="S143" i="62"/>
  <c r="H144" i="62"/>
  <c r="K144" i="62"/>
  <c r="M144" i="62"/>
  <c r="S144" i="62"/>
  <c r="H145" i="62"/>
  <c r="K145" i="62"/>
  <c r="S145" i="62"/>
  <c r="H146" i="62"/>
  <c r="K146" i="62"/>
  <c r="S146" i="62"/>
  <c r="H147" i="62"/>
  <c r="K147" i="62"/>
  <c r="S147" i="62"/>
  <c r="H148" i="62"/>
  <c r="K148" i="62"/>
  <c r="M148" i="62"/>
  <c r="S148" i="62"/>
  <c r="H149" i="62"/>
  <c r="K149" i="62"/>
  <c r="M149" i="62"/>
  <c r="S149" i="62"/>
  <c r="H150" i="62"/>
  <c r="K150" i="62"/>
  <c r="S150" i="62"/>
  <c r="H151" i="62"/>
  <c r="K151" i="62"/>
  <c r="S151" i="62"/>
  <c r="H152" i="62"/>
  <c r="K152" i="62"/>
  <c r="S152" i="62"/>
  <c r="H153" i="62"/>
  <c r="K153" i="62"/>
  <c r="S153" i="62"/>
  <c r="H154" i="62"/>
  <c r="K154" i="62"/>
  <c r="S154" i="62"/>
  <c r="H155" i="62"/>
  <c r="K155" i="62"/>
  <c r="M155" i="62"/>
  <c r="S155" i="62"/>
  <c r="H156" i="62"/>
  <c r="K156" i="62"/>
  <c r="M156" i="62"/>
  <c r="S156" i="62"/>
  <c r="H157" i="62"/>
  <c r="K157" i="62"/>
  <c r="M157" i="62"/>
  <c r="S157" i="62"/>
  <c r="H158" i="62"/>
  <c r="K158" i="62"/>
  <c r="M158" i="62"/>
  <c r="S158" i="62"/>
  <c r="H159" i="62"/>
  <c r="K159" i="62"/>
  <c r="M159" i="62"/>
  <c r="S159" i="62"/>
  <c r="H160" i="62"/>
  <c r="K160" i="62"/>
  <c r="M160" i="62"/>
  <c r="S160" i="62"/>
  <c r="H161" i="62"/>
  <c r="K161" i="62"/>
  <c r="M161" i="62"/>
  <c r="S161" i="62"/>
  <c r="H162" i="62"/>
  <c r="K162" i="62"/>
  <c r="M162" i="62"/>
  <c r="S162" i="62"/>
  <c r="H163" i="62"/>
  <c r="K163" i="62"/>
  <c r="S163" i="62"/>
  <c r="H164" i="62"/>
  <c r="K164" i="62"/>
  <c r="M164" i="62"/>
  <c r="S164" i="62"/>
  <c r="H165" i="62"/>
  <c r="K165" i="62"/>
  <c r="M165" i="62"/>
  <c r="S165" i="62"/>
  <c r="H166" i="62"/>
  <c r="K166" i="62"/>
  <c r="M166" i="62"/>
  <c r="S166" i="62"/>
  <c r="H167" i="62"/>
  <c r="K167" i="62"/>
  <c r="S167" i="62"/>
  <c r="H168" i="62"/>
  <c r="K168" i="62"/>
  <c r="S168" i="62"/>
  <c r="H169" i="62"/>
  <c r="K169" i="62"/>
  <c r="S169" i="62"/>
  <c r="H170" i="62"/>
  <c r="K170" i="62"/>
  <c r="M170" i="62"/>
  <c r="S170" i="62"/>
  <c r="H171" i="62"/>
  <c r="K171" i="62"/>
  <c r="M171" i="62"/>
  <c r="S171" i="62"/>
  <c r="H172" i="62"/>
  <c r="K172" i="62"/>
  <c r="S172" i="62"/>
  <c r="H173" i="62"/>
  <c r="K173" i="62"/>
  <c r="S173" i="62"/>
  <c r="H174" i="62"/>
  <c r="K174" i="62"/>
  <c r="M174" i="62"/>
  <c r="S174" i="62"/>
  <c r="H175" i="62"/>
  <c r="K175" i="62"/>
  <c r="S175" i="62"/>
  <c r="H176" i="62"/>
  <c r="K176" i="62"/>
  <c r="M176" i="62"/>
  <c r="S176" i="62"/>
  <c r="H177" i="62"/>
  <c r="K177" i="62"/>
  <c r="S177" i="62"/>
  <c r="H178" i="62"/>
  <c r="K178" i="62"/>
  <c r="S178" i="62"/>
  <c r="H179" i="62"/>
  <c r="K179" i="62"/>
  <c r="M179" i="62"/>
  <c r="S179" i="62"/>
  <c r="H180" i="62"/>
  <c r="K180" i="62"/>
  <c r="M180" i="62"/>
  <c r="S180" i="62"/>
  <c r="H181" i="62"/>
  <c r="K181" i="62"/>
  <c r="M181" i="62"/>
  <c r="S181" i="62"/>
  <c r="H182" i="62"/>
  <c r="K182" i="62"/>
  <c r="M182" i="62"/>
  <c r="S182" i="62"/>
  <c r="H183" i="62"/>
  <c r="K183" i="62"/>
  <c r="S183" i="62"/>
  <c r="H184" i="62"/>
  <c r="K184" i="62"/>
  <c r="M184" i="62"/>
  <c r="S184" i="62"/>
  <c r="H185" i="62"/>
  <c r="K185" i="62"/>
  <c r="M185" i="62"/>
  <c r="S185" i="62"/>
  <c r="H186" i="62"/>
  <c r="K186" i="62"/>
  <c r="M186" i="62"/>
  <c r="S186" i="62"/>
  <c r="H187" i="62"/>
  <c r="K187" i="62"/>
  <c r="M187" i="62"/>
  <c r="S187" i="62"/>
  <c r="H188" i="62"/>
  <c r="K188" i="62"/>
  <c r="M188" i="62"/>
  <c r="S188" i="62"/>
  <c r="H189" i="62"/>
  <c r="K189" i="62"/>
  <c r="S189" i="62"/>
  <c r="H190" i="62"/>
  <c r="K190" i="62"/>
  <c r="M190" i="62"/>
  <c r="S190" i="62"/>
  <c r="H191" i="62"/>
  <c r="K191" i="62"/>
  <c r="S191" i="62"/>
  <c r="H192" i="62"/>
  <c r="K192" i="62"/>
  <c r="M192" i="62"/>
  <c r="S192" i="62"/>
  <c r="H193" i="62"/>
  <c r="K193" i="62"/>
  <c r="M193" i="62"/>
  <c r="S193" i="62"/>
  <c r="H194" i="62"/>
  <c r="K194" i="62"/>
  <c r="S194" i="62"/>
  <c r="H195" i="62"/>
  <c r="K195" i="62"/>
  <c r="M195" i="62"/>
  <c r="S195" i="62"/>
  <c r="H196" i="62"/>
  <c r="K196" i="62"/>
  <c r="S196" i="62"/>
  <c r="H197" i="62"/>
  <c r="K197" i="62"/>
  <c r="S197" i="62"/>
  <c r="H198" i="62"/>
  <c r="K198" i="62"/>
  <c r="S198" i="62"/>
  <c r="H199" i="62"/>
  <c r="K199" i="62"/>
  <c r="M199" i="62"/>
  <c r="S199" i="62"/>
  <c r="H200" i="62"/>
  <c r="K200" i="62"/>
  <c r="M200" i="62"/>
  <c r="S200" i="62"/>
  <c r="H201" i="62"/>
  <c r="K201" i="62"/>
  <c r="S201" i="62"/>
  <c r="H202" i="62"/>
  <c r="K202" i="62"/>
  <c r="M202" i="62"/>
  <c r="S202" i="62"/>
  <c r="H203" i="62"/>
  <c r="K203" i="62"/>
  <c r="M203" i="62"/>
  <c r="S203" i="62"/>
  <c r="H204" i="62"/>
  <c r="K204" i="62"/>
  <c r="M204" i="62"/>
  <c r="S204" i="62"/>
  <c r="H205" i="62"/>
  <c r="K205" i="62"/>
  <c r="M205" i="62"/>
  <c r="S205" i="62"/>
  <c r="H206" i="62"/>
  <c r="K206" i="62"/>
  <c r="S206" i="62"/>
  <c r="H207" i="62"/>
  <c r="K207" i="62"/>
  <c r="M207" i="62"/>
  <c r="S207" i="62"/>
  <c r="H208" i="62"/>
  <c r="K208" i="62"/>
  <c r="M208" i="62"/>
  <c r="S208" i="62"/>
  <c r="H209" i="62"/>
  <c r="K209" i="62"/>
  <c r="M209" i="62"/>
  <c r="S209" i="62"/>
  <c r="H210" i="62"/>
  <c r="K210" i="62"/>
  <c r="M210" i="62"/>
  <c r="S210" i="62"/>
  <c r="H211" i="62"/>
  <c r="K211" i="62"/>
  <c r="S211" i="62"/>
  <c r="H212" i="62"/>
  <c r="K212" i="62"/>
  <c r="S212" i="62"/>
  <c r="H213" i="62"/>
  <c r="K213" i="62"/>
  <c r="S213" i="62"/>
  <c r="H214" i="62"/>
  <c r="K214" i="62"/>
  <c r="M214" i="62"/>
  <c r="S214" i="62"/>
  <c r="H215" i="62"/>
  <c r="K215" i="62"/>
  <c r="M215" i="62"/>
  <c r="S215" i="62"/>
  <c r="H216" i="62"/>
  <c r="K216" i="62"/>
  <c r="S216" i="62"/>
  <c r="H217" i="62"/>
  <c r="K217" i="62"/>
  <c r="S217" i="62"/>
  <c r="H218" i="62"/>
  <c r="K218" i="62"/>
  <c r="M218" i="62"/>
  <c r="S218" i="62"/>
  <c r="H219" i="62"/>
  <c r="K219" i="62"/>
  <c r="S219" i="62"/>
  <c r="H220" i="62"/>
  <c r="K220" i="62"/>
  <c r="S220" i="62"/>
  <c r="H221" i="62"/>
  <c r="K221" i="62"/>
  <c r="M221" i="62"/>
  <c r="S221" i="62"/>
  <c r="H222" i="62"/>
  <c r="K222" i="62"/>
  <c r="S222" i="62"/>
  <c r="H223" i="62"/>
  <c r="K223" i="62"/>
  <c r="M223" i="62"/>
  <c r="S223" i="62"/>
  <c r="H224" i="62"/>
  <c r="K224" i="62"/>
  <c r="M224" i="62"/>
  <c r="S224" i="62"/>
  <c r="H225" i="62"/>
  <c r="K225" i="62"/>
  <c r="M225" i="62"/>
  <c r="S225" i="62"/>
  <c r="H226" i="62"/>
  <c r="K226" i="62"/>
  <c r="M226" i="62"/>
  <c r="S226" i="62"/>
  <c r="H227" i="62"/>
  <c r="K227" i="62"/>
  <c r="S227" i="62"/>
  <c r="H228" i="62"/>
  <c r="K228" i="62"/>
  <c r="M228" i="62"/>
  <c r="S228" i="62"/>
  <c r="H229" i="62"/>
  <c r="K229" i="62"/>
  <c r="M229" i="62"/>
  <c r="S229" i="62"/>
  <c r="H230" i="62"/>
  <c r="K230" i="62"/>
  <c r="M230" i="62"/>
  <c r="S230" i="62"/>
  <c r="H231" i="62"/>
  <c r="K231" i="62"/>
  <c r="S231" i="62"/>
  <c r="H232" i="62"/>
  <c r="K232" i="62"/>
  <c r="S232" i="62"/>
  <c r="H233" i="62"/>
  <c r="K233" i="62"/>
  <c r="S233" i="62"/>
  <c r="H234" i="62"/>
  <c r="K234" i="62"/>
  <c r="M234" i="62"/>
  <c r="S234" i="62"/>
  <c r="H235" i="62"/>
  <c r="K235" i="62"/>
  <c r="S235" i="62"/>
  <c r="H236" i="62"/>
  <c r="K236" i="62"/>
  <c r="S236" i="62"/>
  <c r="H237" i="62"/>
  <c r="K237" i="62"/>
  <c r="M237" i="62"/>
  <c r="S237" i="62"/>
  <c r="H238" i="62"/>
  <c r="K238" i="62"/>
  <c r="S238" i="62"/>
  <c r="H239" i="62"/>
  <c r="K239" i="62"/>
  <c r="S239" i="62"/>
  <c r="H240" i="62"/>
  <c r="K240" i="62"/>
  <c r="M240" i="62"/>
  <c r="S240" i="62"/>
  <c r="H241" i="62"/>
  <c r="K241" i="62"/>
  <c r="S241" i="62"/>
  <c r="H242" i="62"/>
  <c r="K242" i="62"/>
  <c r="S242" i="62"/>
  <c r="H243" i="62"/>
  <c r="K243" i="62"/>
  <c r="M243" i="62"/>
  <c r="S243" i="62"/>
  <c r="H244" i="62"/>
  <c r="K244" i="62"/>
  <c r="S244" i="62"/>
  <c r="H245" i="62"/>
  <c r="K245" i="62"/>
  <c r="M245" i="62"/>
  <c r="S245" i="62"/>
  <c r="H246" i="62"/>
  <c r="K246" i="62"/>
  <c r="M246" i="62"/>
  <c r="S246" i="62"/>
  <c r="H247" i="62"/>
  <c r="K247" i="62"/>
  <c r="M247" i="62"/>
  <c r="S247" i="62"/>
  <c r="H248" i="62"/>
  <c r="K248" i="62"/>
  <c r="M248" i="62"/>
  <c r="S248" i="62"/>
  <c r="H249" i="62"/>
  <c r="K249" i="62"/>
  <c r="M249" i="62"/>
  <c r="S249" i="62"/>
  <c r="H250" i="62"/>
  <c r="K250" i="62"/>
  <c r="M250" i="62"/>
  <c r="S250" i="62"/>
  <c r="H4" i="61"/>
  <c r="H5" i="61"/>
  <c r="H6" i="61"/>
  <c r="H7" i="61"/>
  <c r="H8" i="61"/>
  <c r="H9" i="61"/>
  <c r="H10" i="61"/>
  <c r="H11" i="61"/>
  <c r="H12" i="61"/>
  <c r="H13" i="61"/>
  <c r="H14" i="61"/>
  <c r="H15" i="61"/>
  <c r="H16" i="61"/>
  <c r="H17" i="61"/>
  <c r="H18" i="61"/>
  <c r="H19" i="61"/>
  <c r="H20" i="61"/>
  <c r="H21" i="61"/>
  <c r="H22" i="61"/>
  <c r="H23" i="61"/>
  <c r="H24" i="61"/>
  <c r="H25" i="61"/>
  <c r="H26" i="61"/>
  <c r="H27" i="61"/>
  <c r="H28" i="61"/>
  <c r="H29" i="61"/>
  <c r="H30" i="61"/>
  <c r="H31" i="61"/>
  <c r="H32" i="61"/>
  <c r="H33" i="61"/>
  <c r="H34" i="61"/>
  <c r="H35" i="61"/>
  <c r="H36" i="61"/>
  <c r="H37" i="61"/>
  <c r="H38" i="61"/>
  <c r="H39" i="61"/>
  <c r="H40" i="61"/>
  <c r="H41" i="61"/>
  <c r="H42" i="61"/>
  <c r="H43" i="61"/>
  <c r="H44" i="61"/>
  <c r="H45" i="61"/>
  <c r="H46" i="61"/>
  <c r="H47" i="61"/>
  <c r="H48" i="61"/>
  <c r="H49" i="61"/>
  <c r="H50" i="61"/>
  <c r="H51" i="61"/>
  <c r="H52" i="61"/>
  <c r="H53" i="61"/>
  <c r="H54" i="61"/>
  <c r="H55" i="61"/>
  <c r="H56" i="61"/>
  <c r="H57" i="61"/>
  <c r="H58" i="61"/>
  <c r="H59" i="61"/>
  <c r="H60" i="61"/>
  <c r="H61" i="61"/>
  <c r="H62" i="61"/>
  <c r="H63" i="61"/>
  <c r="H64" i="61"/>
  <c r="H65" i="61"/>
  <c r="H66" i="61"/>
  <c r="H67" i="61"/>
  <c r="H68" i="61"/>
  <c r="H69" i="61"/>
  <c r="H70" i="61"/>
  <c r="H71" i="61"/>
  <c r="H72" i="61"/>
  <c r="H73" i="61"/>
  <c r="H74" i="61"/>
  <c r="H75" i="61"/>
  <c r="H76" i="61"/>
  <c r="H77" i="61"/>
  <c r="H78" i="61"/>
  <c r="H79" i="61"/>
  <c r="H80" i="61"/>
  <c r="H81" i="61"/>
  <c r="H82" i="61"/>
  <c r="H83" i="61"/>
  <c r="H84" i="61"/>
  <c r="H85" i="61"/>
  <c r="H86" i="61"/>
  <c r="H87" i="61"/>
  <c r="H88" i="61"/>
  <c r="H89" i="61"/>
  <c r="H90" i="61"/>
  <c r="H91" i="61"/>
  <c r="H92" i="61"/>
  <c r="H93" i="61"/>
  <c r="H94" i="61"/>
  <c r="H95" i="61"/>
  <c r="H96" i="61"/>
  <c r="H97" i="61"/>
  <c r="H98" i="61"/>
  <c r="H99" i="61"/>
  <c r="H100" i="61"/>
  <c r="H101" i="61"/>
  <c r="H102" i="61"/>
  <c r="H103" i="61"/>
  <c r="H104" i="61"/>
  <c r="H105" i="61"/>
  <c r="H106" i="61"/>
  <c r="H107" i="61"/>
  <c r="H108" i="61"/>
  <c r="H109" i="61"/>
  <c r="H110" i="61"/>
  <c r="H111" i="61"/>
  <c r="H112" i="61"/>
  <c r="H113" i="61"/>
  <c r="H114" i="61"/>
  <c r="H115" i="61"/>
  <c r="H116" i="61"/>
  <c r="H117" i="61"/>
  <c r="H118" i="61"/>
  <c r="H119" i="61"/>
  <c r="H120" i="61"/>
  <c r="H121" i="61"/>
  <c r="H122" i="61"/>
  <c r="H123" i="61"/>
  <c r="H124" i="61"/>
  <c r="H125" i="61"/>
  <c r="H126" i="61"/>
  <c r="H127" i="61"/>
  <c r="H128" i="61"/>
  <c r="H129" i="61"/>
  <c r="H130" i="61"/>
  <c r="H131" i="61"/>
  <c r="H132" i="61"/>
  <c r="H133" i="61"/>
  <c r="H134" i="61"/>
  <c r="H135" i="61"/>
  <c r="H136" i="61"/>
  <c r="H137" i="61"/>
  <c r="H138" i="61"/>
  <c r="H139" i="61"/>
  <c r="H140" i="61"/>
  <c r="H141" i="61"/>
  <c r="H142" i="61"/>
  <c r="H143" i="61"/>
  <c r="H144" i="61"/>
  <c r="H145" i="61"/>
  <c r="H146" i="61"/>
  <c r="H147" i="61"/>
  <c r="H148" i="61"/>
  <c r="H149" i="61"/>
  <c r="H150" i="61"/>
  <c r="H151" i="61"/>
  <c r="H152" i="61"/>
  <c r="H153" i="61"/>
  <c r="H154" i="61"/>
  <c r="H155" i="61"/>
  <c r="H156" i="61"/>
  <c r="H157" i="61"/>
  <c r="H158" i="61"/>
  <c r="H159" i="61"/>
  <c r="H160" i="61"/>
  <c r="H161" i="61"/>
  <c r="H162" i="61"/>
  <c r="H163" i="61"/>
  <c r="H164" i="61"/>
  <c r="H165" i="61"/>
  <c r="H166" i="61"/>
  <c r="H167" i="61"/>
  <c r="H168" i="61"/>
  <c r="H169" i="61"/>
  <c r="H170" i="61"/>
  <c r="H171" i="61"/>
  <c r="H172" i="61"/>
  <c r="H173" i="61"/>
  <c r="H174" i="61"/>
  <c r="H175" i="61"/>
  <c r="H176" i="61"/>
  <c r="H177" i="61"/>
  <c r="H178" i="61"/>
  <c r="H179" i="61"/>
  <c r="H180" i="61"/>
  <c r="H181" i="61"/>
  <c r="H182" i="61"/>
  <c r="H183" i="61"/>
  <c r="H184" i="61"/>
  <c r="H185" i="61"/>
  <c r="H186" i="61"/>
  <c r="H187" i="61"/>
  <c r="H188" i="61"/>
  <c r="H189" i="61"/>
  <c r="H190" i="61"/>
  <c r="H191" i="61"/>
  <c r="H192" i="61"/>
  <c r="H193" i="61"/>
  <c r="H194" i="61"/>
  <c r="H195" i="61"/>
  <c r="H196" i="61"/>
  <c r="H197" i="61"/>
  <c r="H198" i="61"/>
  <c r="H199" i="61"/>
  <c r="H200" i="61"/>
  <c r="H201" i="61"/>
  <c r="H202" i="61"/>
  <c r="H203" i="61"/>
  <c r="H204" i="61"/>
  <c r="H205" i="61"/>
  <c r="H206" i="61"/>
  <c r="H207" i="61"/>
  <c r="H208" i="61"/>
  <c r="H209" i="61"/>
  <c r="H210" i="61"/>
  <c r="H211" i="61"/>
  <c r="H212" i="61"/>
  <c r="H213" i="61"/>
  <c r="H214" i="61"/>
  <c r="H215" i="61"/>
  <c r="H216" i="61"/>
  <c r="H217" i="61"/>
  <c r="H218" i="61"/>
  <c r="H219" i="61"/>
  <c r="H220" i="61"/>
  <c r="H221" i="61"/>
  <c r="H222" i="61"/>
  <c r="H223" i="61"/>
  <c r="H224" i="61"/>
  <c r="H225" i="61"/>
  <c r="H226" i="61"/>
  <c r="H227" i="61"/>
  <c r="H228" i="61"/>
  <c r="H229" i="61"/>
  <c r="H230" i="61"/>
  <c r="H231" i="61"/>
  <c r="H232" i="61"/>
  <c r="H233" i="61"/>
  <c r="H234" i="61"/>
  <c r="H235" i="61"/>
  <c r="H236" i="61"/>
  <c r="H237" i="61"/>
  <c r="H238" i="61"/>
  <c r="H239" i="61"/>
  <c r="H240" i="61"/>
  <c r="H241" i="61"/>
  <c r="H242" i="61"/>
  <c r="H243" i="61"/>
  <c r="H244" i="61"/>
  <c r="H245" i="61"/>
  <c r="H246" i="61"/>
  <c r="H247" i="61"/>
  <c r="H248" i="61"/>
  <c r="H249" i="61"/>
  <c r="H250" i="61"/>
  <c r="K4" i="61"/>
  <c r="K5" i="61"/>
  <c r="K6" i="61"/>
  <c r="K7" i="61"/>
  <c r="K8" i="61"/>
  <c r="K9" i="61"/>
  <c r="K10" i="61"/>
  <c r="K11" i="61"/>
  <c r="K12" i="61"/>
  <c r="K13" i="61"/>
  <c r="K14" i="61"/>
  <c r="K15" i="61"/>
  <c r="K16" i="61"/>
  <c r="K17" i="61"/>
  <c r="K18" i="61"/>
  <c r="K19" i="61"/>
  <c r="K20" i="61"/>
  <c r="K21" i="61"/>
  <c r="K22" i="61"/>
  <c r="K23" i="61"/>
  <c r="K24" i="61"/>
  <c r="K25" i="61"/>
  <c r="K26" i="61"/>
  <c r="K27" i="61"/>
  <c r="K28" i="61"/>
  <c r="K29" i="61"/>
  <c r="K30" i="61"/>
  <c r="K31" i="61"/>
  <c r="K32" i="61"/>
  <c r="K33" i="61"/>
  <c r="K34" i="61"/>
  <c r="K35" i="61"/>
  <c r="K36" i="61"/>
  <c r="K37" i="61"/>
  <c r="K38" i="61"/>
  <c r="K39" i="61"/>
  <c r="K40" i="61"/>
  <c r="K41" i="61"/>
  <c r="K42" i="61"/>
  <c r="K43" i="61"/>
  <c r="K44" i="61"/>
  <c r="K45" i="61"/>
  <c r="K46" i="61"/>
  <c r="K47" i="61"/>
  <c r="K48" i="61"/>
  <c r="K49" i="61"/>
  <c r="K50" i="61"/>
  <c r="K51" i="61"/>
  <c r="K52" i="61"/>
  <c r="K53" i="61"/>
  <c r="K54" i="61"/>
  <c r="K55" i="61"/>
  <c r="K56" i="61"/>
  <c r="K57" i="61"/>
  <c r="K58" i="61"/>
  <c r="K59" i="61"/>
  <c r="K60" i="61"/>
  <c r="K61" i="61"/>
  <c r="K62" i="61"/>
  <c r="K63" i="61"/>
  <c r="K64" i="61"/>
  <c r="K65" i="61"/>
  <c r="K66" i="61"/>
  <c r="K67" i="61"/>
  <c r="K68" i="61"/>
  <c r="K69" i="61"/>
  <c r="K70" i="61"/>
  <c r="K71" i="61"/>
  <c r="K72" i="61"/>
  <c r="K73" i="61"/>
  <c r="K74" i="61"/>
  <c r="K75" i="61"/>
  <c r="K76" i="61"/>
  <c r="K77" i="61"/>
  <c r="K78" i="61"/>
  <c r="K79" i="61"/>
  <c r="K80" i="61"/>
  <c r="K81" i="61"/>
  <c r="K82" i="61"/>
  <c r="K83" i="61"/>
  <c r="K84" i="61"/>
  <c r="K85" i="61"/>
  <c r="K86" i="61"/>
  <c r="K87" i="61"/>
  <c r="K88" i="61"/>
  <c r="K89" i="61"/>
  <c r="K90" i="61"/>
  <c r="K91" i="61"/>
  <c r="K92" i="61"/>
  <c r="K93" i="61"/>
  <c r="K94" i="61"/>
  <c r="K95" i="61"/>
  <c r="K96" i="61"/>
  <c r="K97" i="61"/>
  <c r="K98" i="61"/>
  <c r="K99" i="61"/>
  <c r="K100" i="61"/>
  <c r="K101" i="61"/>
  <c r="K102" i="61"/>
  <c r="K103" i="61"/>
  <c r="K104" i="61"/>
  <c r="K105" i="61"/>
  <c r="K106" i="61"/>
  <c r="K107" i="61"/>
  <c r="K108" i="61"/>
  <c r="K109" i="61"/>
  <c r="K110" i="61"/>
  <c r="K111" i="61"/>
  <c r="K112" i="61"/>
  <c r="K113" i="61"/>
  <c r="K114" i="61"/>
  <c r="K115" i="61"/>
  <c r="K116" i="61"/>
  <c r="K117" i="61"/>
  <c r="K118" i="61"/>
  <c r="K119" i="61"/>
  <c r="K120" i="61"/>
  <c r="K121" i="61"/>
  <c r="K122" i="61"/>
  <c r="K123" i="61"/>
  <c r="K124" i="61"/>
  <c r="K125" i="61"/>
  <c r="K126" i="61"/>
  <c r="K127" i="61"/>
  <c r="K128" i="61"/>
  <c r="K129" i="61"/>
  <c r="K130" i="61"/>
  <c r="K131" i="61"/>
  <c r="K132" i="61"/>
  <c r="K133" i="61"/>
  <c r="K134" i="61"/>
  <c r="K135" i="61"/>
  <c r="K136" i="61"/>
  <c r="K137" i="61"/>
  <c r="K138" i="61"/>
  <c r="K139" i="61"/>
  <c r="K140" i="61"/>
  <c r="K141" i="61"/>
  <c r="K142" i="61"/>
  <c r="K143" i="61"/>
  <c r="K144" i="61"/>
  <c r="K145" i="61"/>
  <c r="K146" i="61"/>
  <c r="K147" i="61"/>
  <c r="K148" i="61"/>
  <c r="K149" i="61"/>
  <c r="K150" i="61"/>
  <c r="K151" i="61"/>
  <c r="K152" i="61"/>
  <c r="K153" i="61"/>
  <c r="K154" i="61"/>
  <c r="K155" i="61"/>
  <c r="K156" i="61"/>
  <c r="K157" i="61"/>
  <c r="K158" i="61"/>
  <c r="K159" i="61"/>
  <c r="K160" i="61"/>
  <c r="K161" i="61"/>
  <c r="K162" i="61"/>
  <c r="K163" i="61"/>
  <c r="K164" i="61"/>
  <c r="K165" i="61"/>
  <c r="K166" i="61"/>
  <c r="K167" i="61"/>
  <c r="K168" i="61"/>
  <c r="K169" i="61"/>
  <c r="K170" i="61"/>
  <c r="K171" i="61"/>
  <c r="K172" i="61"/>
  <c r="K173" i="61"/>
  <c r="K174" i="61"/>
  <c r="K175" i="61"/>
  <c r="K176" i="61"/>
  <c r="K177" i="61"/>
  <c r="K178" i="61"/>
  <c r="K179" i="61"/>
  <c r="K180" i="61"/>
  <c r="K181" i="61"/>
  <c r="K182" i="61"/>
  <c r="K183" i="61"/>
  <c r="K184" i="61"/>
  <c r="K185" i="61"/>
  <c r="K186" i="61"/>
  <c r="K187" i="61"/>
  <c r="K188" i="61"/>
  <c r="K189" i="61"/>
  <c r="K190" i="61"/>
  <c r="K191" i="61"/>
  <c r="K192" i="61"/>
  <c r="K193" i="61"/>
  <c r="K194" i="61"/>
  <c r="K195" i="61"/>
  <c r="K196" i="61"/>
  <c r="K197" i="61"/>
  <c r="K198" i="61"/>
  <c r="K199" i="61"/>
  <c r="K200" i="61"/>
  <c r="K201" i="61"/>
  <c r="K202" i="61"/>
  <c r="K203" i="61"/>
  <c r="K204" i="61"/>
  <c r="K205" i="61"/>
  <c r="K206" i="61"/>
  <c r="K207" i="61"/>
  <c r="K208" i="61"/>
  <c r="K209" i="61"/>
  <c r="K210" i="61"/>
  <c r="K211" i="61"/>
  <c r="K212" i="61"/>
  <c r="K213" i="61"/>
  <c r="K214" i="61"/>
  <c r="K215" i="61"/>
  <c r="K216" i="61"/>
  <c r="K217" i="61"/>
  <c r="K218" i="61"/>
  <c r="K219" i="61"/>
  <c r="K220" i="61"/>
  <c r="K221" i="61"/>
  <c r="K222" i="61"/>
  <c r="K223" i="61"/>
  <c r="K224" i="61"/>
  <c r="K225" i="61"/>
  <c r="K226" i="61"/>
  <c r="K227" i="61"/>
  <c r="K228" i="61"/>
  <c r="K229" i="61"/>
  <c r="K230" i="61"/>
  <c r="K231" i="61"/>
  <c r="K232" i="61"/>
  <c r="K233" i="61"/>
  <c r="K234" i="61"/>
  <c r="K235" i="61"/>
  <c r="K236" i="61"/>
  <c r="K237" i="61"/>
  <c r="K238" i="61"/>
  <c r="K239" i="61"/>
  <c r="K240" i="61"/>
  <c r="K241" i="61"/>
  <c r="K242" i="61"/>
  <c r="K243" i="61"/>
  <c r="K244" i="61"/>
  <c r="K245" i="61"/>
  <c r="K246" i="61"/>
  <c r="K247" i="61"/>
  <c r="K248" i="61"/>
  <c r="K249" i="61"/>
  <c r="K250" i="61"/>
  <c r="L4" i="61"/>
  <c r="L5" i="61"/>
  <c r="L6" i="61"/>
  <c r="L7" i="61"/>
  <c r="L8" i="61"/>
  <c r="L9" i="61"/>
  <c r="L10" i="61"/>
  <c r="L11" i="61"/>
  <c r="L12" i="61"/>
  <c r="L13" i="61"/>
  <c r="L14" i="61"/>
  <c r="L15" i="61"/>
  <c r="L16" i="61"/>
  <c r="L17" i="61"/>
  <c r="L18" i="61"/>
  <c r="L19" i="61"/>
  <c r="L20" i="61"/>
  <c r="L21" i="61"/>
  <c r="L22" i="61"/>
  <c r="L23" i="61"/>
  <c r="L24" i="61"/>
  <c r="L25" i="61"/>
  <c r="L26" i="61"/>
  <c r="L27" i="61"/>
  <c r="L28" i="61"/>
  <c r="L29" i="61"/>
  <c r="L30" i="61"/>
  <c r="L31" i="61"/>
  <c r="L32" i="61"/>
  <c r="L33" i="61"/>
  <c r="L34" i="61"/>
  <c r="L35" i="61"/>
  <c r="L36" i="61"/>
  <c r="L37" i="61"/>
  <c r="L38" i="61"/>
  <c r="L39" i="61"/>
  <c r="L40" i="61"/>
  <c r="L41" i="61"/>
  <c r="L42" i="61"/>
  <c r="L43" i="61"/>
  <c r="L44" i="61"/>
  <c r="L45" i="61"/>
  <c r="L46" i="61"/>
  <c r="L47" i="61"/>
  <c r="L48" i="61"/>
  <c r="L49" i="61"/>
  <c r="L50" i="61"/>
  <c r="L51" i="61"/>
  <c r="L52" i="61"/>
  <c r="L53" i="61"/>
  <c r="L54" i="61"/>
  <c r="L55" i="61"/>
  <c r="L56" i="61"/>
  <c r="L57" i="61"/>
  <c r="L58" i="61"/>
  <c r="L59" i="61"/>
  <c r="L60" i="61"/>
  <c r="L61" i="61"/>
  <c r="L62" i="61"/>
  <c r="L63" i="61"/>
  <c r="L64" i="61"/>
  <c r="L65" i="61"/>
  <c r="L66" i="61"/>
  <c r="L67" i="61"/>
  <c r="L68" i="61"/>
  <c r="L69" i="61"/>
  <c r="L70" i="61"/>
  <c r="L71" i="61"/>
  <c r="L72" i="61"/>
  <c r="L73" i="61"/>
  <c r="L74" i="61"/>
  <c r="L75" i="61"/>
  <c r="L76" i="61"/>
  <c r="L77" i="61"/>
  <c r="L78" i="61"/>
  <c r="L79" i="61"/>
  <c r="L80" i="61"/>
  <c r="L81" i="61"/>
  <c r="L82" i="61"/>
  <c r="L83" i="61"/>
  <c r="L84" i="61"/>
  <c r="L85" i="61"/>
  <c r="L86" i="61"/>
  <c r="L87" i="61"/>
  <c r="L88" i="61"/>
  <c r="L89" i="61"/>
  <c r="L90" i="61"/>
  <c r="L91" i="61"/>
  <c r="L92" i="61"/>
  <c r="L93" i="61"/>
  <c r="L94" i="61"/>
  <c r="L95" i="61"/>
  <c r="L96" i="61"/>
  <c r="L97" i="61"/>
  <c r="L98" i="61"/>
  <c r="L99" i="61"/>
  <c r="L100" i="61"/>
  <c r="L101" i="61"/>
  <c r="L102" i="61"/>
  <c r="L103" i="61"/>
  <c r="L104" i="61"/>
  <c r="L105" i="61"/>
  <c r="L106" i="61"/>
  <c r="L107" i="61"/>
  <c r="L108" i="61"/>
  <c r="L109" i="61"/>
  <c r="L110" i="61"/>
  <c r="L111" i="61"/>
  <c r="L112" i="61"/>
  <c r="L113" i="61"/>
  <c r="L114" i="61"/>
  <c r="L115" i="61"/>
  <c r="L116" i="61"/>
  <c r="L117" i="61"/>
  <c r="L118" i="61"/>
  <c r="L119" i="61"/>
  <c r="L120" i="61"/>
  <c r="L121" i="61"/>
  <c r="L122" i="61"/>
  <c r="L123" i="61"/>
  <c r="L124" i="61"/>
  <c r="L125" i="61"/>
  <c r="L126" i="61"/>
  <c r="L127" i="61"/>
  <c r="L128" i="61"/>
  <c r="L129" i="61"/>
  <c r="L130" i="61"/>
  <c r="L131" i="61"/>
  <c r="L132" i="61"/>
  <c r="L133" i="61"/>
  <c r="L134" i="61"/>
  <c r="L135" i="61"/>
  <c r="L136" i="61"/>
  <c r="L137" i="61"/>
  <c r="L138" i="61"/>
  <c r="L139" i="61"/>
  <c r="L140" i="61"/>
  <c r="L141" i="61"/>
  <c r="L142" i="61"/>
  <c r="L143" i="61"/>
  <c r="L144" i="61"/>
  <c r="L145" i="61"/>
  <c r="L146" i="61"/>
  <c r="L147" i="61"/>
  <c r="L148" i="61"/>
  <c r="L149" i="61"/>
  <c r="L150" i="61"/>
  <c r="L151" i="61"/>
  <c r="L152" i="61"/>
  <c r="L153" i="61"/>
  <c r="L154" i="61"/>
  <c r="L155" i="61"/>
  <c r="L156" i="61"/>
  <c r="L157" i="61"/>
  <c r="L158" i="61"/>
  <c r="L159" i="61"/>
  <c r="L160" i="61"/>
  <c r="L161" i="61"/>
  <c r="L162" i="61"/>
  <c r="L163" i="61"/>
  <c r="L164" i="61"/>
  <c r="L165" i="61"/>
  <c r="L166" i="61"/>
  <c r="L167" i="61"/>
  <c r="L168" i="61"/>
  <c r="L169" i="61"/>
  <c r="L170" i="61"/>
  <c r="L171" i="61"/>
  <c r="L172" i="61"/>
  <c r="L173" i="61"/>
  <c r="L174" i="61"/>
  <c r="L175" i="61"/>
  <c r="L176" i="61"/>
  <c r="L177" i="61"/>
  <c r="L178" i="61"/>
  <c r="L179" i="61"/>
  <c r="L180" i="61"/>
  <c r="L181" i="61"/>
  <c r="L182" i="61"/>
  <c r="L183" i="61"/>
  <c r="L184" i="61"/>
  <c r="L185" i="61"/>
  <c r="L186" i="61"/>
  <c r="L187" i="61"/>
  <c r="L188" i="61"/>
  <c r="L189" i="61"/>
  <c r="L190" i="61"/>
  <c r="L191" i="61"/>
  <c r="L192" i="61"/>
  <c r="L193" i="61"/>
  <c r="L194" i="61"/>
  <c r="L195" i="61"/>
  <c r="L196" i="61"/>
  <c r="L197" i="61"/>
  <c r="L198" i="61"/>
  <c r="L199" i="61"/>
  <c r="L200" i="61"/>
  <c r="L201" i="61"/>
  <c r="L202" i="61"/>
  <c r="L203" i="61"/>
  <c r="L204" i="61"/>
  <c r="L205" i="61"/>
  <c r="L206" i="61"/>
  <c r="L207" i="61"/>
  <c r="L208" i="61"/>
  <c r="L209" i="61"/>
  <c r="L210" i="61"/>
  <c r="L211" i="61"/>
  <c r="L212" i="61"/>
  <c r="L213" i="61"/>
  <c r="L214" i="61"/>
  <c r="L215" i="61"/>
  <c r="L216" i="61"/>
  <c r="L217" i="61"/>
  <c r="L218" i="61"/>
  <c r="L219" i="61"/>
  <c r="L220" i="61"/>
  <c r="L221" i="61"/>
  <c r="L222" i="61"/>
  <c r="L223" i="61"/>
  <c r="L224" i="61"/>
  <c r="L225" i="61"/>
  <c r="L226" i="61"/>
  <c r="L227" i="61"/>
  <c r="L228" i="61"/>
  <c r="L229" i="61"/>
  <c r="L230" i="61"/>
  <c r="L231" i="61"/>
  <c r="L232" i="61"/>
  <c r="L233" i="61"/>
  <c r="L234" i="61"/>
  <c r="L235" i="61"/>
  <c r="L236" i="61"/>
  <c r="L237" i="61"/>
  <c r="L238" i="61"/>
  <c r="L239" i="61"/>
  <c r="L240" i="61"/>
  <c r="L241" i="61"/>
  <c r="L242" i="61"/>
  <c r="L243" i="61"/>
  <c r="L244" i="61"/>
  <c r="L245" i="61"/>
  <c r="L246" i="61"/>
  <c r="L247" i="61"/>
  <c r="L248" i="61"/>
  <c r="L249" i="61"/>
  <c r="L250" i="61"/>
  <c r="M5" i="61"/>
  <c r="M6" i="61"/>
  <c r="M7" i="61"/>
  <c r="M11" i="61"/>
  <c r="M13" i="61"/>
  <c r="M15" i="61"/>
  <c r="M16" i="61"/>
  <c r="M19" i="61"/>
  <c r="M26" i="61"/>
  <c r="M27" i="61"/>
  <c r="M29" i="61"/>
  <c r="M31" i="61"/>
  <c r="M32" i="61"/>
  <c r="M33" i="61"/>
  <c r="M35" i="61"/>
  <c r="M37" i="61"/>
  <c r="M42" i="61"/>
  <c r="M47" i="61"/>
  <c r="M49" i="61"/>
  <c r="M51" i="61"/>
  <c r="M55" i="61"/>
  <c r="M59" i="61"/>
  <c r="M69" i="61"/>
  <c r="M71" i="61"/>
  <c r="M75" i="61"/>
  <c r="M81" i="61"/>
  <c r="M82" i="61"/>
  <c r="M84" i="61"/>
  <c r="M91" i="61"/>
  <c r="M92" i="61"/>
  <c r="M93" i="61"/>
  <c r="M95" i="61"/>
  <c r="M97" i="61"/>
  <c r="M99" i="61"/>
  <c r="M101" i="61"/>
  <c r="M102" i="61"/>
  <c r="M103" i="61"/>
  <c r="M104" i="61"/>
  <c r="M106" i="61"/>
  <c r="M115" i="61"/>
  <c r="M116" i="61"/>
  <c r="M119" i="61"/>
  <c r="M122" i="61"/>
  <c r="M123" i="61"/>
  <c r="M124" i="61"/>
  <c r="M125" i="61"/>
  <c r="M126" i="61"/>
  <c r="M127" i="61"/>
  <c r="M135" i="61"/>
  <c r="M139" i="61"/>
  <c r="M140" i="61"/>
  <c r="M141" i="61"/>
  <c r="M142" i="61"/>
  <c r="M143" i="61"/>
  <c r="M144" i="61"/>
  <c r="M147" i="61"/>
  <c r="M151" i="61"/>
  <c r="M152" i="61"/>
  <c r="M157" i="61"/>
  <c r="M166" i="61"/>
  <c r="M167" i="61"/>
  <c r="M179" i="61"/>
  <c r="M181" i="61"/>
  <c r="M182" i="61"/>
  <c r="M183" i="61"/>
  <c r="M184" i="61"/>
  <c r="M187" i="61"/>
  <c r="M191" i="61"/>
  <c r="M195" i="61"/>
  <c r="M201" i="61"/>
  <c r="M207" i="61"/>
  <c r="M208" i="61"/>
  <c r="M209" i="61"/>
  <c r="M211" i="61"/>
  <c r="M212" i="61"/>
  <c r="M213" i="61"/>
  <c r="M217" i="61"/>
  <c r="M223" i="61"/>
  <c r="M224" i="61"/>
  <c r="M227" i="61"/>
  <c r="M228" i="61"/>
  <c r="M231" i="61"/>
  <c r="M235" i="61"/>
  <c r="M236" i="61"/>
  <c r="M241" i="61"/>
  <c r="M247" i="61"/>
  <c r="M249" i="61"/>
  <c r="R5" i="61"/>
  <c r="R13" i="61"/>
  <c r="R84" i="61"/>
  <c r="R93" i="61"/>
  <c r="R139" i="61"/>
  <c r="R141" i="61"/>
  <c r="R142" i="61"/>
  <c r="R157" i="61"/>
  <c r="R166" i="61"/>
  <c r="R195" i="61"/>
  <c r="H4" i="60"/>
  <c r="H5" i="60"/>
  <c r="H6" i="60"/>
  <c r="H7" i="60"/>
  <c r="H8" i="60"/>
  <c r="H9" i="60"/>
  <c r="H10" i="60"/>
  <c r="H11" i="60"/>
  <c r="H12" i="60"/>
  <c r="H13" i="60"/>
  <c r="H14" i="60"/>
  <c r="H15" i="60"/>
  <c r="H16" i="60"/>
  <c r="H17" i="60"/>
  <c r="H18" i="60"/>
  <c r="H19" i="60"/>
  <c r="H20" i="60"/>
  <c r="H21" i="60"/>
  <c r="H22" i="60"/>
  <c r="H23" i="60"/>
  <c r="H24" i="60"/>
  <c r="H25" i="60"/>
  <c r="H26" i="60"/>
  <c r="H27" i="60"/>
  <c r="H28" i="60"/>
  <c r="H29" i="60"/>
  <c r="H30" i="60"/>
  <c r="H31" i="60"/>
  <c r="H32" i="60"/>
  <c r="H33" i="60"/>
  <c r="H34" i="60"/>
  <c r="H35" i="60"/>
  <c r="H36" i="60"/>
  <c r="H37" i="60"/>
  <c r="H38" i="60"/>
  <c r="H39" i="60"/>
  <c r="H40" i="60"/>
  <c r="H41" i="60"/>
  <c r="H42" i="60"/>
  <c r="H43" i="60"/>
  <c r="H44" i="60"/>
  <c r="H45" i="60"/>
  <c r="H46" i="60"/>
  <c r="H47" i="60"/>
  <c r="H48" i="60"/>
  <c r="H49" i="60"/>
  <c r="H50" i="60"/>
  <c r="H51" i="60"/>
  <c r="H52" i="60"/>
  <c r="H53" i="60"/>
  <c r="H54" i="60"/>
  <c r="H55" i="60"/>
  <c r="H56" i="60"/>
  <c r="H57" i="60"/>
  <c r="H58" i="60"/>
  <c r="H59" i="60"/>
  <c r="H60" i="60"/>
  <c r="H61" i="60"/>
  <c r="H62" i="60"/>
  <c r="H63" i="60"/>
  <c r="H64" i="60"/>
  <c r="H65" i="60"/>
  <c r="H66" i="60"/>
  <c r="H67" i="60"/>
  <c r="H68" i="60"/>
  <c r="H69" i="60"/>
  <c r="H70" i="60"/>
  <c r="H71" i="60"/>
  <c r="H72" i="60"/>
  <c r="H73" i="60"/>
  <c r="H74" i="60"/>
  <c r="H75" i="60"/>
  <c r="H76" i="60"/>
  <c r="H77" i="60"/>
  <c r="H78" i="60"/>
  <c r="H79" i="60"/>
  <c r="H80" i="60"/>
  <c r="H81" i="60"/>
  <c r="H82" i="60"/>
  <c r="H83" i="60"/>
  <c r="H84" i="60"/>
  <c r="H85" i="60"/>
  <c r="H86" i="60"/>
  <c r="H87" i="60"/>
  <c r="H88" i="60"/>
  <c r="H89" i="60"/>
  <c r="H90" i="60"/>
  <c r="H91" i="60"/>
  <c r="H92" i="60"/>
  <c r="H93" i="60"/>
  <c r="H94" i="60"/>
  <c r="H95" i="60"/>
  <c r="H96" i="60"/>
  <c r="H97" i="60"/>
  <c r="H98" i="60"/>
  <c r="H99" i="60"/>
  <c r="H100" i="60"/>
  <c r="H101" i="60"/>
  <c r="H102" i="60"/>
  <c r="H103" i="60"/>
  <c r="H104" i="60"/>
  <c r="H105" i="60"/>
  <c r="H106" i="60"/>
  <c r="H107" i="60"/>
  <c r="H108" i="60"/>
  <c r="H109" i="60"/>
  <c r="H110" i="60"/>
  <c r="H111" i="60"/>
  <c r="H112" i="60"/>
  <c r="H113" i="60"/>
  <c r="H114" i="60"/>
  <c r="H115" i="60"/>
  <c r="H116" i="60"/>
  <c r="H117" i="60"/>
  <c r="H118" i="60"/>
  <c r="H119" i="60"/>
  <c r="H120" i="60"/>
  <c r="H121" i="60"/>
  <c r="H122" i="60"/>
  <c r="H123" i="60"/>
  <c r="H124" i="60"/>
  <c r="H125" i="60"/>
  <c r="H126" i="60"/>
  <c r="H127" i="60"/>
  <c r="H128" i="60"/>
  <c r="H129" i="60"/>
  <c r="H130" i="60"/>
  <c r="H131" i="60"/>
  <c r="H132" i="60"/>
  <c r="H133" i="60"/>
  <c r="H134" i="60"/>
  <c r="H135" i="60"/>
  <c r="H136" i="60"/>
  <c r="H137" i="60"/>
  <c r="H138" i="60"/>
  <c r="H139" i="60"/>
  <c r="H140" i="60"/>
  <c r="H141" i="60"/>
  <c r="H142" i="60"/>
  <c r="H143" i="60"/>
  <c r="H144" i="60"/>
  <c r="H145" i="60"/>
  <c r="H146" i="60"/>
  <c r="H147" i="60"/>
  <c r="H148" i="60"/>
  <c r="H149" i="60"/>
  <c r="H150" i="60"/>
  <c r="H151" i="60"/>
  <c r="H152" i="60"/>
  <c r="H153" i="60"/>
  <c r="H154" i="60"/>
  <c r="H155" i="60"/>
  <c r="H156" i="60"/>
  <c r="H157" i="60"/>
  <c r="H158" i="60"/>
  <c r="H159" i="60"/>
  <c r="H160" i="60"/>
  <c r="H161" i="60"/>
  <c r="H162" i="60"/>
  <c r="H163" i="60"/>
  <c r="H164" i="60"/>
  <c r="H165" i="60"/>
  <c r="H166" i="60"/>
  <c r="H167" i="60"/>
  <c r="H168" i="60"/>
  <c r="H169" i="60"/>
  <c r="H170" i="60"/>
  <c r="H171" i="60"/>
  <c r="H172" i="60"/>
  <c r="H173" i="60"/>
  <c r="H174" i="60"/>
  <c r="H175" i="60"/>
  <c r="H176" i="60"/>
  <c r="H177" i="60"/>
  <c r="H178" i="60"/>
  <c r="H179" i="60"/>
  <c r="H180" i="60"/>
  <c r="H181" i="60"/>
  <c r="H182" i="60"/>
  <c r="H183" i="60"/>
  <c r="H184" i="60"/>
  <c r="H185" i="60"/>
  <c r="H186" i="60"/>
  <c r="H187" i="60"/>
  <c r="H188" i="60"/>
  <c r="H189" i="60"/>
  <c r="H190" i="60"/>
  <c r="H191" i="60"/>
  <c r="H192" i="60"/>
  <c r="H193" i="60"/>
  <c r="H194" i="60"/>
  <c r="H195" i="60"/>
  <c r="H196" i="60"/>
  <c r="H197" i="60"/>
  <c r="H198" i="60"/>
  <c r="H199" i="60"/>
  <c r="H200" i="60"/>
  <c r="H201" i="60"/>
  <c r="H202" i="60"/>
  <c r="H203" i="60"/>
  <c r="H204" i="60"/>
  <c r="H205" i="60"/>
  <c r="H206" i="60"/>
  <c r="H207" i="60"/>
  <c r="H208" i="60"/>
  <c r="H209" i="60"/>
  <c r="H210" i="60"/>
  <c r="H211" i="60"/>
  <c r="H212" i="60"/>
  <c r="H213" i="60"/>
  <c r="H214" i="60"/>
  <c r="H215" i="60"/>
  <c r="H216" i="60"/>
  <c r="H217" i="60"/>
  <c r="H218" i="60"/>
  <c r="H219" i="60"/>
  <c r="H220" i="60"/>
  <c r="H221" i="60"/>
  <c r="H222" i="60"/>
  <c r="H223" i="60"/>
  <c r="H224" i="60"/>
  <c r="H225" i="60"/>
  <c r="H226" i="60"/>
  <c r="H227" i="60"/>
  <c r="H228" i="60"/>
  <c r="H229" i="60"/>
  <c r="H230" i="60"/>
  <c r="H231" i="60"/>
  <c r="H232" i="60"/>
  <c r="H233" i="60"/>
  <c r="H234" i="60"/>
  <c r="H235" i="60"/>
  <c r="H236" i="60"/>
  <c r="H237" i="60"/>
  <c r="H238" i="60"/>
  <c r="H239" i="60"/>
  <c r="H240" i="60"/>
  <c r="H241" i="60"/>
  <c r="H242" i="60"/>
  <c r="H243" i="60"/>
  <c r="H244" i="60"/>
  <c r="H245" i="60"/>
  <c r="H246" i="60"/>
  <c r="H247" i="60"/>
  <c r="H248" i="60"/>
  <c r="H249" i="60"/>
  <c r="H250" i="60"/>
  <c r="K4" i="60"/>
  <c r="K5" i="60"/>
  <c r="K6" i="60"/>
  <c r="K7" i="60"/>
  <c r="K8" i="60"/>
  <c r="K9" i="60"/>
  <c r="K10" i="60"/>
  <c r="K11" i="60"/>
  <c r="K12" i="60"/>
  <c r="K13" i="60"/>
  <c r="K14" i="60"/>
  <c r="K15" i="60"/>
  <c r="K16" i="60"/>
  <c r="K17" i="60"/>
  <c r="K18" i="60"/>
  <c r="K19" i="60"/>
  <c r="K20" i="60"/>
  <c r="K21" i="60"/>
  <c r="K22" i="60"/>
  <c r="K23" i="60"/>
  <c r="K24" i="60"/>
  <c r="K25" i="60"/>
  <c r="K26" i="60"/>
  <c r="K27" i="60"/>
  <c r="K28" i="60"/>
  <c r="K29" i="60"/>
  <c r="K30" i="60"/>
  <c r="K31" i="60"/>
  <c r="K32" i="60"/>
  <c r="K33" i="60"/>
  <c r="K34" i="60"/>
  <c r="K35" i="60"/>
  <c r="K36" i="60"/>
  <c r="K37" i="60"/>
  <c r="K38" i="60"/>
  <c r="K39" i="60"/>
  <c r="K40" i="60"/>
  <c r="K41" i="60"/>
  <c r="K42" i="60"/>
  <c r="K43" i="60"/>
  <c r="K44" i="60"/>
  <c r="K45" i="60"/>
  <c r="K46" i="60"/>
  <c r="K47" i="60"/>
  <c r="K48" i="60"/>
  <c r="K49" i="60"/>
  <c r="K50" i="60"/>
  <c r="K51" i="60"/>
  <c r="K52" i="60"/>
  <c r="K53" i="60"/>
  <c r="K54" i="60"/>
  <c r="K55" i="60"/>
  <c r="K56" i="60"/>
  <c r="K57" i="60"/>
  <c r="K58" i="60"/>
  <c r="K59" i="60"/>
  <c r="K60" i="60"/>
  <c r="K61" i="60"/>
  <c r="K62" i="60"/>
  <c r="K63" i="60"/>
  <c r="K64" i="60"/>
  <c r="K65" i="60"/>
  <c r="K66" i="60"/>
  <c r="K67" i="60"/>
  <c r="K68" i="60"/>
  <c r="K69" i="60"/>
  <c r="K70" i="60"/>
  <c r="K71" i="60"/>
  <c r="K72" i="60"/>
  <c r="K73" i="60"/>
  <c r="K74" i="60"/>
  <c r="K75" i="60"/>
  <c r="K76" i="60"/>
  <c r="K77" i="60"/>
  <c r="K78" i="60"/>
  <c r="K79" i="60"/>
  <c r="K80" i="60"/>
  <c r="K81" i="60"/>
  <c r="K82" i="60"/>
  <c r="K83" i="60"/>
  <c r="K84" i="60"/>
  <c r="K85" i="60"/>
  <c r="K86" i="60"/>
  <c r="K87" i="60"/>
  <c r="K88" i="60"/>
  <c r="K89" i="60"/>
  <c r="K90" i="60"/>
  <c r="K91" i="60"/>
  <c r="K92" i="60"/>
  <c r="K93" i="60"/>
  <c r="K94" i="60"/>
  <c r="K95" i="60"/>
  <c r="K96" i="60"/>
  <c r="K97" i="60"/>
  <c r="K98" i="60"/>
  <c r="K99" i="60"/>
  <c r="K100" i="60"/>
  <c r="K101" i="60"/>
  <c r="K102" i="60"/>
  <c r="K103" i="60"/>
  <c r="K104" i="60"/>
  <c r="K105" i="60"/>
  <c r="K106" i="60"/>
  <c r="K107" i="60"/>
  <c r="K108" i="60"/>
  <c r="K109" i="60"/>
  <c r="K110" i="60"/>
  <c r="K111" i="60"/>
  <c r="K112" i="60"/>
  <c r="K113" i="60"/>
  <c r="K114" i="60"/>
  <c r="K115" i="60"/>
  <c r="K116" i="60"/>
  <c r="K117" i="60"/>
  <c r="K118" i="60"/>
  <c r="K119" i="60"/>
  <c r="K120" i="60"/>
  <c r="K121" i="60"/>
  <c r="K122" i="60"/>
  <c r="K123" i="60"/>
  <c r="K124" i="60"/>
  <c r="K125" i="60"/>
  <c r="K126" i="60"/>
  <c r="K127" i="60"/>
  <c r="K128" i="60"/>
  <c r="K129" i="60"/>
  <c r="K130" i="60"/>
  <c r="K131" i="60"/>
  <c r="K132" i="60"/>
  <c r="K133" i="60"/>
  <c r="K134" i="60"/>
  <c r="K135" i="60"/>
  <c r="K136" i="60"/>
  <c r="K137" i="60"/>
  <c r="K138" i="60"/>
  <c r="K139" i="60"/>
  <c r="K140" i="60"/>
  <c r="K141" i="60"/>
  <c r="K142" i="60"/>
  <c r="K143" i="60"/>
  <c r="K144" i="60"/>
  <c r="K145" i="60"/>
  <c r="K146" i="60"/>
  <c r="K147" i="60"/>
  <c r="K148" i="60"/>
  <c r="K149" i="60"/>
  <c r="K150" i="60"/>
  <c r="K151" i="60"/>
  <c r="K152" i="60"/>
  <c r="K153" i="60"/>
  <c r="K154" i="60"/>
  <c r="K155" i="60"/>
  <c r="K156" i="60"/>
  <c r="K157" i="60"/>
  <c r="K158" i="60"/>
  <c r="K159" i="60"/>
  <c r="K160" i="60"/>
  <c r="K161" i="60"/>
  <c r="K162" i="60"/>
  <c r="K163" i="60"/>
  <c r="K164" i="60"/>
  <c r="K165" i="60"/>
  <c r="K166" i="60"/>
  <c r="K167" i="60"/>
  <c r="K168" i="60"/>
  <c r="K169" i="60"/>
  <c r="K170" i="60"/>
  <c r="K171" i="60"/>
  <c r="K172" i="60"/>
  <c r="K173" i="60"/>
  <c r="K174" i="60"/>
  <c r="K175" i="60"/>
  <c r="K176" i="60"/>
  <c r="K177" i="60"/>
  <c r="K178" i="60"/>
  <c r="K179" i="60"/>
  <c r="K180" i="60"/>
  <c r="K181" i="60"/>
  <c r="K182" i="60"/>
  <c r="K183" i="60"/>
  <c r="K184" i="60"/>
  <c r="K185" i="60"/>
  <c r="K186" i="60"/>
  <c r="K187" i="60"/>
  <c r="K188" i="60"/>
  <c r="K189" i="60"/>
  <c r="K190" i="60"/>
  <c r="K191" i="60"/>
  <c r="K192" i="60"/>
  <c r="K193" i="60"/>
  <c r="K194" i="60"/>
  <c r="K195" i="60"/>
  <c r="K196" i="60"/>
  <c r="K197" i="60"/>
  <c r="K198" i="60"/>
  <c r="K199" i="60"/>
  <c r="K200" i="60"/>
  <c r="K201" i="60"/>
  <c r="K202" i="60"/>
  <c r="K203" i="60"/>
  <c r="K204" i="60"/>
  <c r="K205" i="60"/>
  <c r="K206" i="60"/>
  <c r="K207" i="60"/>
  <c r="K208" i="60"/>
  <c r="K209" i="60"/>
  <c r="K210" i="60"/>
  <c r="K211" i="60"/>
  <c r="K212" i="60"/>
  <c r="K213" i="60"/>
  <c r="K214" i="60"/>
  <c r="K215" i="60"/>
  <c r="K216" i="60"/>
  <c r="K217" i="60"/>
  <c r="K218" i="60"/>
  <c r="K219" i="60"/>
  <c r="K220" i="60"/>
  <c r="K221" i="60"/>
  <c r="K222" i="60"/>
  <c r="K223" i="60"/>
  <c r="K224" i="60"/>
  <c r="K225" i="60"/>
  <c r="K226" i="60"/>
  <c r="K227" i="60"/>
  <c r="K228" i="60"/>
  <c r="K229" i="60"/>
  <c r="K230" i="60"/>
  <c r="K231" i="60"/>
  <c r="K232" i="60"/>
  <c r="K233" i="60"/>
  <c r="K234" i="60"/>
  <c r="K235" i="60"/>
  <c r="K236" i="60"/>
  <c r="K237" i="60"/>
  <c r="K238" i="60"/>
  <c r="K239" i="60"/>
  <c r="K240" i="60"/>
  <c r="K241" i="60"/>
  <c r="K242" i="60"/>
  <c r="K243" i="60"/>
  <c r="K244" i="60"/>
  <c r="K245" i="60"/>
  <c r="K246" i="60"/>
  <c r="K247" i="60"/>
  <c r="K248" i="60"/>
  <c r="K249" i="60"/>
  <c r="K250" i="60"/>
  <c r="L4" i="60"/>
  <c r="L5" i="60"/>
  <c r="L6" i="60"/>
  <c r="L7" i="60"/>
  <c r="L8" i="60"/>
  <c r="L9" i="60"/>
  <c r="L10" i="60"/>
  <c r="L11" i="60"/>
  <c r="L12" i="60"/>
  <c r="L13" i="60"/>
  <c r="L14" i="60"/>
  <c r="L15" i="60"/>
  <c r="L16" i="60"/>
  <c r="L17" i="60"/>
  <c r="L18" i="60"/>
  <c r="L19" i="60"/>
  <c r="L20" i="60"/>
  <c r="L21" i="60"/>
  <c r="L22" i="60"/>
  <c r="L23" i="60"/>
  <c r="L24" i="60"/>
  <c r="L25" i="60"/>
  <c r="L26" i="60"/>
  <c r="L27" i="60"/>
  <c r="L28" i="60"/>
  <c r="L29" i="60"/>
  <c r="L30" i="60"/>
  <c r="L31" i="60"/>
  <c r="L32" i="60"/>
  <c r="L33" i="60"/>
  <c r="L34" i="60"/>
  <c r="L35" i="60"/>
  <c r="L36" i="60"/>
  <c r="L37" i="60"/>
  <c r="L38" i="60"/>
  <c r="L39" i="60"/>
  <c r="L40" i="60"/>
  <c r="L41" i="60"/>
  <c r="L42" i="60"/>
  <c r="L43" i="60"/>
  <c r="L44" i="60"/>
  <c r="L45" i="60"/>
  <c r="L46" i="60"/>
  <c r="L47" i="60"/>
  <c r="L48" i="60"/>
  <c r="L49" i="60"/>
  <c r="L50" i="60"/>
  <c r="L51" i="60"/>
  <c r="L52" i="60"/>
  <c r="L53" i="60"/>
  <c r="L54" i="60"/>
  <c r="L55" i="60"/>
  <c r="L56" i="60"/>
  <c r="L57" i="60"/>
  <c r="L58" i="60"/>
  <c r="L59" i="60"/>
  <c r="L60" i="60"/>
  <c r="L61" i="60"/>
  <c r="L62" i="60"/>
  <c r="L63" i="60"/>
  <c r="L64" i="60"/>
  <c r="L65" i="60"/>
  <c r="L66" i="60"/>
  <c r="L67" i="60"/>
  <c r="L68" i="60"/>
  <c r="L69" i="60"/>
  <c r="L70" i="60"/>
  <c r="L71" i="60"/>
  <c r="L72" i="60"/>
  <c r="L73" i="60"/>
  <c r="L74" i="60"/>
  <c r="L75" i="60"/>
  <c r="L76" i="60"/>
  <c r="L77" i="60"/>
  <c r="L78" i="60"/>
  <c r="L79" i="60"/>
  <c r="L80" i="60"/>
  <c r="L81" i="60"/>
  <c r="L82" i="60"/>
  <c r="L83" i="60"/>
  <c r="L84" i="60"/>
  <c r="L85" i="60"/>
  <c r="L86" i="60"/>
  <c r="L87" i="60"/>
  <c r="L88" i="60"/>
  <c r="L89" i="60"/>
  <c r="L90" i="60"/>
  <c r="L91" i="60"/>
  <c r="L92" i="60"/>
  <c r="L93" i="60"/>
  <c r="L94" i="60"/>
  <c r="L95" i="60"/>
  <c r="L96" i="60"/>
  <c r="L97" i="60"/>
  <c r="L98" i="60"/>
  <c r="L99" i="60"/>
  <c r="L100" i="60"/>
  <c r="L101" i="60"/>
  <c r="L102" i="60"/>
  <c r="L103" i="60"/>
  <c r="L104" i="60"/>
  <c r="L105" i="60"/>
  <c r="L106" i="60"/>
  <c r="L107" i="60"/>
  <c r="L108" i="60"/>
  <c r="L109" i="60"/>
  <c r="L110" i="60"/>
  <c r="L111" i="60"/>
  <c r="L112" i="60"/>
  <c r="L113" i="60"/>
  <c r="L114" i="60"/>
  <c r="L115" i="60"/>
  <c r="L116" i="60"/>
  <c r="L117" i="60"/>
  <c r="L118" i="60"/>
  <c r="L119" i="60"/>
  <c r="L120" i="60"/>
  <c r="L121" i="60"/>
  <c r="L122" i="60"/>
  <c r="L123" i="60"/>
  <c r="L124" i="60"/>
  <c r="L125" i="60"/>
  <c r="L126" i="60"/>
  <c r="L127" i="60"/>
  <c r="L128" i="60"/>
  <c r="L129" i="60"/>
  <c r="L130" i="60"/>
  <c r="L131" i="60"/>
  <c r="L132" i="60"/>
  <c r="L133" i="60"/>
  <c r="L134" i="60"/>
  <c r="L135" i="60"/>
  <c r="L136" i="60"/>
  <c r="L137" i="60"/>
  <c r="L138" i="60"/>
  <c r="L139" i="60"/>
  <c r="L140" i="60"/>
  <c r="L141" i="60"/>
  <c r="L142" i="60"/>
  <c r="L143" i="60"/>
  <c r="L144" i="60"/>
  <c r="L145" i="60"/>
  <c r="L146" i="60"/>
  <c r="L147" i="60"/>
  <c r="L148" i="60"/>
  <c r="L149" i="60"/>
  <c r="L150" i="60"/>
  <c r="L151" i="60"/>
  <c r="L152" i="60"/>
  <c r="L153" i="60"/>
  <c r="L154" i="60"/>
  <c r="L155" i="60"/>
  <c r="L156" i="60"/>
  <c r="L157" i="60"/>
  <c r="L158" i="60"/>
  <c r="L159" i="60"/>
  <c r="L160" i="60"/>
  <c r="L161" i="60"/>
  <c r="L162" i="60"/>
  <c r="L163" i="60"/>
  <c r="L164" i="60"/>
  <c r="L165" i="60"/>
  <c r="L166" i="60"/>
  <c r="L167" i="60"/>
  <c r="L168" i="60"/>
  <c r="L169" i="60"/>
  <c r="L170" i="60"/>
  <c r="L171" i="60"/>
  <c r="L172" i="60"/>
  <c r="L173" i="60"/>
  <c r="L174" i="60"/>
  <c r="L175" i="60"/>
  <c r="L176" i="60"/>
  <c r="L177" i="60"/>
  <c r="L178" i="60"/>
  <c r="L179" i="60"/>
  <c r="L180" i="60"/>
  <c r="L181" i="60"/>
  <c r="L182" i="60"/>
  <c r="L183" i="60"/>
  <c r="L184" i="60"/>
  <c r="L185" i="60"/>
  <c r="L186" i="60"/>
  <c r="L187" i="60"/>
  <c r="L188" i="60"/>
  <c r="L189" i="60"/>
  <c r="L190" i="60"/>
  <c r="L191" i="60"/>
  <c r="L192" i="60"/>
  <c r="L193" i="60"/>
  <c r="L194" i="60"/>
  <c r="L195" i="60"/>
  <c r="L196" i="60"/>
  <c r="L197" i="60"/>
  <c r="L198" i="60"/>
  <c r="L199" i="60"/>
  <c r="L200" i="60"/>
  <c r="L201" i="60"/>
  <c r="L202" i="60"/>
  <c r="L203" i="60"/>
  <c r="L204" i="60"/>
  <c r="L205" i="60"/>
  <c r="L206" i="60"/>
  <c r="L207" i="60"/>
  <c r="L208" i="60"/>
  <c r="L209" i="60"/>
  <c r="L210" i="60"/>
  <c r="L211" i="60"/>
  <c r="L212" i="60"/>
  <c r="L213" i="60"/>
  <c r="L214" i="60"/>
  <c r="L215" i="60"/>
  <c r="L216" i="60"/>
  <c r="L217" i="60"/>
  <c r="L218" i="60"/>
  <c r="L219" i="60"/>
  <c r="L220" i="60"/>
  <c r="L221" i="60"/>
  <c r="L222" i="60"/>
  <c r="L223" i="60"/>
  <c r="L224" i="60"/>
  <c r="L225" i="60"/>
  <c r="L226" i="60"/>
  <c r="L227" i="60"/>
  <c r="L228" i="60"/>
  <c r="L229" i="60"/>
  <c r="L230" i="60"/>
  <c r="L231" i="60"/>
  <c r="L232" i="60"/>
  <c r="L233" i="60"/>
  <c r="L234" i="60"/>
  <c r="L235" i="60"/>
  <c r="L236" i="60"/>
  <c r="L237" i="60"/>
  <c r="L238" i="60"/>
  <c r="L239" i="60"/>
  <c r="L240" i="60"/>
  <c r="L241" i="60"/>
  <c r="L242" i="60"/>
  <c r="L243" i="60"/>
  <c r="L244" i="60"/>
  <c r="L245" i="60"/>
  <c r="L246" i="60"/>
  <c r="L247" i="60"/>
  <c r="L248" i="60"/>
  <c r="L249" i="60"/>
  <c r="L250" i="60"/>
  <c r="M4" i="60"/>
  <c r="M5" i="60"/>
  <c r="M12" i="60"/>
  <c r="M14" i="60"/>
  <c r="M25" i="60"/>
  <c r="M26" i="60"/>
  <c r="M28" i="60"/>
  <c r="M29" i="60"/>
  <c r="M31" i="60"/>
  <c r="M33" i="60"/>
  <c r="M34" i="60"/>
  <c r="M37" i="60"/>
  <c r="M42" i="60"/>
  <c r="M49" i="60"/>
  <c r="M53" i="60"/>
  <c r="M57" i="60"/>
  <c r="M63" i="60"/>
  <c r="M65" i="60"/>
  <c r="M69" i="60"/>
  <c r="M70" i="60"/>
  <c r="M72" i="60"/>
  <c r="M73" i="60"/>
  <c r="M77" i="60"/>
  <c r="M80" i="60"/>
  <c r="M82" i="60"/>
  <c r="M83" i="60"/>
  <c r="M86" i="60"/>
  <c r="M92" i="60"/>
  <c r="M93" i="60"/>
  <c r="M97" i="60"/>
  <c r="M102" i="60"/>
  <c r="M106" i="60"/>
  <c r="M108" i="60"/>
  <c r="M109" i="60"/>
  <c r="M113" i="60"/>
  <c r="M114" i="60"/>
  <c r="M117" i="60"/>
  <c r="M121" i="60"/>
  <c r="M122" i="60"/>
  <c r="M123" i="60"/>
  <c r="M125" i="60"/>
  <c r="M137" i="60"/>
  <c r="M143" i="60"/>
  <c r="M146" i="60"/>
  <c r="M152" i="60"/>
  <c r="M153" i="60"/>
  <c r="M157" i="60"/>
  <c r="M160" i="60"/>
  <c r="M162" i="60"/>
  <c r="M165" i="60"/>
  <c r="M173" i="60"/>
  <c r="M181" i="60"/>
  <c r="M182" i="60"/>
  <c r="M201" i="60"/>
  <c r="M202" i="60"/>
  <c r="M203" i="60"/>
  <c r="M204" i="60"/>
  <c r="M211" i="60"/>
  <c r="M212" i="60"/>
  <c r="M213" i="60"/>
  <c r="M216" i="60"/>
  <c r="M217" i="60"/>
  <c r="M223" i="60"/>
  <c r="M225" i="60"/>
  <c r="M226" i="60"/>
  <c r="M231" i="60"/>
  <c r="M232" i="60"/>
  <c r="M233" i="60"/>
  <c r="M246" i="60"/>
  <c r="R25" i="60"/>
  <c r="R26" i="60"/>
  <c r="R33" i="60"/>
  <c r="R42" i="60"/>
  <c r="R72" i="60"/>
  <c r="R86" i="60"/>
  <c r="R106" i="60"/>
  <c r="R108" i="60"/>
  <c r="R145" i="60"/>
  <c r="R162" i="60"/>
  <c r="R165" i="60"/>
  <c r="R246" i="60"/>
  <c r="H4" i="59"/>
  <c r="H5" i="59"/>
  <c r="H6" i="59"/>
  <c r="H7" i="59"/>
  <c r="H8" i="59"/>
  <c r="H9" i="59"/>
  <c r="H10" i="59"/>
  <c r="H11" i="59"/>
  <c r="H12" i="59"/>
  <c r="H13" i="59"/>
  <c r="H14" i="59"/>
  <c r="H15" i="59"/>
  <c r="H16" i="59"/>
  <c r="H17" i="59"/>
  <c r="H18" i="59"/>
  <c r="H19" i="59"/>
  <c r="H20" i="59"/>
  <c r="H21" i="59"/>
  <c r="H22" i="59"/>
  <c r="H23" i="59"/>
  <c r="H24" i="59"/>
  <c r="H25" i="59"/>
  <c r="H26" i="59"/>
  <c r="H27" i="59"/>
  <c r="H28" i="59"/>
  <c r="H29" i="59"/>
  <c r="H30" i="59"/>
  <c r="H31" i="59"/>
  <c r="H32" i="59"/>
  <c r="H33" i="59"/>
  <c r="H34" i="59"/>
  <c r="H35" i="59"/>
  <c r="H36" i="59"/>
  <c r="H37" i="59"/>
  <c r="H38" i="59"/>
  <c r="H39" i="59"/>
  <c r="H40" i="59"/>
  <c r="H41" i="59"/>
  <c r="H42" i="59"/>
  <c r="H43" i="59"/>
  <c r="H44" i="59"/>
  <c r="H45" i="59"/>
  <c r="H46" i="59"/>
  <c r="H47" i="59"/>
  <c r="H48" i="59"/>
  <c r="H49" i="59"/>
  <c r="H50" i="59"/>
  <c r="H51" i="59"/>
  <c r="H52" i="59"/>
  <c r="H53" i="59"/>
  <c r="H54" i="59"/>
  <c r="H55" i="59"/>
  <c r="H56" i="59"/>
  <c r="H57" i="59"/>
  <c r="H58" i="59"/>
  <c r="H59" i="59"/>
  <c r="H60" i="59"/>
  <c r="H61" i="59"/>
  <c r="H62" i="59"/>
  <c r="H63" i="59"/>
  <c r="H64" i="59"/>
  <c r="H65" i="59"/>
  <c r="H66" i="59"/>
  <c r="H67" i="59"/>
  <c r="H68" i="59"/>
  <c r="H69" i="59"/>
  <c r="H70" i="59"/>
  <c r="H71" i="59"/>
  <c r="H72" i="59"/>
  <c r="H73" i="59"/>
  <c r="H74" i="59"/>
  <c r="H75" i="59"/>
  <c r="H76" i="59"/>
  <c r="H77" i="59"/>
  <c r="H78" i="59"/>
  <c r="H79" i="59"/>
  <c r="H80" i="59"/>
  <c r="H81" i="59"/>
  <c r="H82" i="59"/>
  <c r="H83" i="59"/>
  <c r="H84" i="59"/>
  <c r="H85" i="59"/>
  <c r="H86" i="59"/>
  <c r="H87" i="59"/>
  <c r="H88" i="59"/>
  <c r="H89" i="59"/>
  <c r="H90" i="59"/>
  <c r="H91" i="59"/>
  <c r="H92" i="59"/>
  <c r="H93" i="59"/>
  <c r="H94" i="59"/>
  <c r="H95" i="59"/>
  <c r="H96" i="59"/>
  <c r="H97" i="59"/>
  <c r="H98" i="59"/>
  <c r="H99" i="59"/>
  <c r="H100" i="59"/>
  <c r="H101" i="59"/>
  <c r="H102" i="59"/>
  <c r="H103" i="59"/>
  <c r="H104" i="59"/>
  <c r="H105" i="59"/>
  <c r="H106" i="59"/>
  <c r="H107" i="59"/>
  <c r="H108" i="59"/>
  <c r="H109" i="59"/>
  <c r="H110" i="59"/>
  <c r="H111" i="59"/>
  <c r="H112" i="59"/>
  <c r="H113" i="59"/>
  <c r="H114" i="59"/>
  <c r="H115" i="59"/>
  <c r="H116" i="59"/>
  <c r="H117" i="59"/>
  <c r="H118" i="59"/>
  <c r="H119" i="59"/>
  <c r="H120" i="59"/>
  <c r="H121" i="59"/>
  <c r="H122" i="59"/>
  <c r="H123" i="59"/>
  <c r="H124" i="59"/>
  <c r="H125" i="59"/>
  <c r="H126" i="59"/>
  <c r="H127" i="59"/>
  <c r="H128" i="59"/>
  <c r="H129" i="59"/>
  <c r="H130" i="59"/>
  <c r="H131" i="59"/>
  <c r="H132" i="59"/>
  <c r="H133" i="59"/>
  <c r="H134" i="59"/>
  <c r="H135" i="59"/>
  <c r="H136" i="59"/>
  <c r="H137" i="59"/>
  <c r="H138" i="59"/>
  <c r="H139" i="59"/>
  <c r="H140" i="59"/>
  <c r="H141" i="59"/>
  <c r="H142" i="59"/>
  <c r="H143" i="59"/>
  <c r="H144" i="59"/>
  <c r="H145" i="59"/>
  <c r="H146" i="59"/>
  <c r="H147" i="59"/>
  <c r="H148" i="59"/>
  <c r="H149" i="59"/>
  <c r="H150" i="59"/>
  <c r="H151" i="59"/>
  <c r="H152" i="59"/>
  <c r="H153" i="59"/>
  <c r="H154" i="59"/>
  <c r="H155" i="59"/>
  <c r="H156" i="59"/>
  <c r="H157" i="59"/>
  <c r="H158" i="59"/>
  <c r="H159" i="59"/>
  <c r="H160" i="59"/>
  <c r="H161" i="59"/>
  <c r="H162" i="59"/>
  <c r="H163" i="59"/>
  <c r="H164" i="59"/>
  <c r="H165" i="59"/>
  <c r="H166" i="59"/>
  <c r="H167" i="59"/>
  <c r="H168" i="59"/>
  <c r="H169" i="59"/>
  <c r="H170" i="59"/>
  <c r="H171" i="59"/>
  <c r="H172" i="59"/>
  <c r="H173" i="59"/>
  <c r="H174" i="59"/>
  <c r="H175" i="59"/>
  <c r="H176" i="59"/>
  <c r="H177" i="59"/>
  <c r="H178" i="59"/>
  <c r="H179" i="59"/>
  <c r="H180" i="59"/>
  <c r="H181" i="59"/>
  <c r="H182" i="59"/>
  <c r="H183" i="59"/>
  <c r="H184" i="59"/>
  <c r="H185" i="59"/>
  <c r="H186" i="59"/>
  <c r="H187" i="59"/>
  <c r="H188" i="59"/>
  <c r="H189" i="59"/>
  <c r="H190" i="59"/>
  <c r="H191" i="59"/>
  <c r="H192" i="59"/>
  <c r="H193" i="59"/>
  <c r="H194" i="59"/>
  <c r="H195" i="59"/>
  <c r="H196" i="59"/>
  <c r="H197" i="59"/>
  <c r="H198" i="59"/>
  <c r="H199" i="59"/>
  <c r="H200" i="59"/>
  <c r="H201" i="59"/>
  <c r="H202" i="59"/>
  <c r="H203" i="59"/>
  <c r="H204" i="59"/>
  <c r="H205" i="59"/>
  <c r="H206" i="59"/>
  <c r="H207" i="59"/>
  <c r="H208" i="59"/>
  <c r="H209" i="59"/>
  <c r="H210" i="59"/>
  <c r="H211" i="59"/>
  <c r="H212" i="59"/>
  <c r="H213" i="59"/>
  <c r="H214" i="59"/>
  <c r="H215" i="59"/>
  <c r="H216" i="59"/>
  <c r="H217" i="59"/>
  <c r="H218" i="59"/>
  <c r="H219" i="59"/>
  <c r="H220" i="59"/>
  <c r="H221" i="59"/>
  <c r="H222" i="59"/>
  <c r="H223" i="59"/>
  <c r="H224" i="59"/>
  <c r="H225" i="59"/>
  <c r="H226" i="59"/>
  <c r="H227" i="59"/>
  <c r="H228" i="59"/>
  <c r="H229" i="59"/>
  <c r="H230" i="59"/>
  <c r="H231" i="59"/>
  <c r="H232" i="59"/>
  <c r="H233" i="59"/>
  <c r="H234" i="59"/>
  <c r="H235" i="59"/>
  <c r="H236" i="59"/>
  <c r="H237" i="59"/>
  <c r="H238" i="59"/>
  <c r="H239" i="59"/>
  <c r="H240" i="59"/>
  <c r="H241" i="59"/>
  <c r="H242" i="59"/>
  <c r="H243" i="59"/>
  <c r="H244" i="59"/>
  <c r="H245" i="59"/>
  <c r="H246" i="59"/>
  <c r="H247" i="59"/>
  <c r="H248" i="59"/>
  <c r="H249" i="59"/>
  <c r="H250" i="59"/>
  <c r="K4" i="59"/>
  <c r="K5" i="59"/>
  <c r="K6" i="59"/>
  <c r="K7" i="59"/>
  <c r="K8" i="59"/>
  <c r="K9" i="59"/>
  <c r="K10" i="59"/>
  <c r="K11" i="59"/>
  <c r="K12" i="59"/>
  <c r="K13" i="59"/>
  <c r="K14" i="59"/>
  <c r="K15" i="59"/>
  <c r="K16" i="59"/>
  <c r="K17" i="59"/>
  <c r="K18" i="59"/>
  <c r="K19" i="59"/>
  <c r="K20" i="59"/>
  <c r="K21" i="59"/>
  <c r="K22" i="59"/>
  <c r="K23" i="59"/>
  <c r="K24" i="59"/>
  <c r="K25" i="59"/>
  <c r="K26" i="59"/>
  <c r="K27" i="59"/>
  <c r="K28" i="59"/>
  <c r="K29" i="59"/>
  <c r="K30" i="59"/>
  <c r="K31" i="59"/>
  <c r="K32" i="59"/>
  <c r="K33" i="59"/>
  <c r="K34" i="59"/>
  <c r="K35" i="59"/>
  <c r="K36" i="59"/>
  <c r="K37" i="59"/>
  <c r="K38" i="59"/>
  <c r="K39" i="59"/>
  <c r="K40" i="59"/>
  <c r="K41" i="59"/>
  <c r="K42" i="59"/>
  <c r="K43" i="59"/>
  <c r="K44" i="59"/>
  <c r="K45" i="59"/>
  <c r="K46" i="59"/>
  <c r="K47" i="59"/>
  <c r="K48" i="59"/>
  <c r="K49" i="59"/>
  <c r="K50" i="59"/>
  <c r="K51" i="59"/>
  <c r="K52" i="59"/>
  <c r="K53" i="59"/>
  <c r="K54" i="59"/>
  <c r="K55" i="59"/>
  <c r="K56" i="59"/>
  <c r="K57" i="59"/>
  <c r="K58" i="59"/>
  <c r="K59" i="59"/>
  <c r="K60" i="59"/>
  <c r="K61" i="59"/>
  <c r="K62" i="59"/>
  <c r="K63" i="59"/>
  <c r="K64" i="59"/>
  <c r="K65" i="59"/>
  <c r="K66" i="59"/>
  <c r="K67" i="59"/>
  <c r="K68" i="59"/>
  <c r="K69" i="59"/>
  <c r="K70" i="59"/>
  <c r="K71" i="59"/>
  <c r="K72" i="59"/>
  <c r="K73" i="59"/>
  <c r="K74" i="59"/>
  <c r="K75" i="59"/>
  <c r="K76" i="59"/>
  <c r="K77" i="59"/>
  <c r="K78" i="59"/>
  <c r="K79" i="59"/>
  <c r="K80" i="59"/>
  <c r="K81" i="59"/>
  <c r="K82" i="59"/>
  <c r="K83" i="59"/>
  <c r="K84" i="59"/>
  <c r="K85" i="59"/>
  <c r="K86" i="59"/>
  <c r="K87" i="59"/>
  <c r="K88" i="59"/>
  <c r="K89" i="59"/>
  <c r="K90" i="59"/>
  <c r="K91" i="59"/>
  <c r="K92" i="59"/>
  <c r="K93" i="59"/>
  <c r="K94" i="59"/>
  <c r="K95" i="59"/>
  <c r="K96" i="59"/>
  <c r="K97" i="59"/>
  <c r="K98" i="59"/>
  <c r="K99" i="59"/>
  <c r="K100" i="59"/>
  <c r="K101" i="59"/>
  <c r="K102" i="59"/>
  <c r="K103" i="59"/>
  <c r="K104" i="59"/>
  <c r="K105" i="59"/>
  <c r="K106" i="59"/>
  <c r="K107" i="59"/>
  <c r="K108" i="59"/>
  <c r="K109" i="59"/>
  <c r="K110" i="59"/>
  <c r="K111" i="59"/>
  <c r="K112" i="59"/>
  <c r="K113" i="59"/>
  <c r="K114" i="59"/>
  <c r="K115" i="59"/>
  <c r="K116" i="59"/>
  <c r="K117" i="59"/>
  <c r="K118" i="59"/>
  <c r="K119" i="59"/>
  <c r="K120" i="59"/>
  <c r="K121" i="59"/>
  <c r="K122" i="59"/>
  <c r="K123" i="59"/>
  <c r="K124" i="59"/>
  <c r="K125" i="59"/>
  <c r="K126" i="59"/>
  <c r="K127" i="59"/>
  <c r="K128" i="59"/>
  <c r="K129" i="59"/>
  <c r="K130" i="59"/>
  <c r="K131" i="59"/>
  <c r="K132" i="59"/>
  <c r="K133" i="59"/>
  <c r="K134" i="59"/>
  <c r="K135" i="59"/>
  <c r="K136" i="59"/>
  <c r="K137" i="59"/>
  <c r="K138" i="59"/>
  <c r="K139" i="59"/>
  <c r="K140" i="59"/>
  <c r="K141" i="59"/>
  <c r="K142" i="59"/>
  <c r="K143" i="59"/>
  <c r="K144" i="59"/>
  <c r="K145" i="59"/>
  <c r="K146" i="59"/>
  <c r="K147" i="59"/>
  <c r="K148" i="59"/>
  <c r="K149" i="59"/>
  <c r="K150" i="59"/>
  <c r="K151" i="59"/>
  <c r="K152" i="59"/>
  <c r="K153" i="59"/>
  <c r="K154" i="59"/>
  <c r="K155" i="59"/>
  <c r="K156" i="59"/>
  <c r="K157" i="59"/>
  <c r="K158" i="59"/>
  <c r="K159" i="59"/>
  <c r="K160" i="59"/>
  <c r="K161" i="59"/>
  <c r="K162" i="59"/>
  <c r="K163" i="59"/>
  <c r="K164" i="59"/>
  <c r="K165" i="59"/>
  <c r="K166" i="59"/>
  <c r="K167" i="59"/>
  <c r="K168" i="59"/>
  <c r="K169" i="59"/>
  <c r="K170" i="59"/>
  <c r="K171" i="59"/>
  <c r="K172" i="59"/>
  <c r="K173" i="59"/>
  <c r="K174" i="59"/>
  <c r="K175" i="59"/>
  <c r="K176" i="59"/>
  <c r="K177" i="59"/>
  <c r="K178" i="59"/>
  <c r="K179" i="59"/>
  <c r="K180" i="59"/>
  <c r="K181" i="59"/>
  <c r="K182" i="59"/>
  <c r="K183" i="59"/>
  <c r="K184" i="59"/>
  <c r="K185" i="59"/>
  <c r="K186" i="59"/>
  <c r="K187" i="59"/>
  <c r="K188" i="59"/>
  <c r="K189" i="59"/>
  <c r="K190" i="59"/>
  <c r="K191" i="59"/>
  <c r="K192" i="59"/>
  <c r="K193" i="59"/>
  <c r="K194" i="59"/>
  <c r="K195" i="59"/>
  <c r="K196" i="59"/>
  <c r="K197" i="59"/>
  <c r="K198" i="59"/>
  <c r="K199" i="59"/>
  <c r="K200" i="59"/>
  <c r="K201" i="59"/>
  <c r="K202" i="59"/>
  <c r="K203" i="59"/>
  <c r="K204" i="59"/>
  <c r="K205" i="59"/>
  <c r="K206" i="59"/>
  <c r="K207" i="59"/>
  <c r="K208" i="59"/>
  <c r="K209" i="59"/>
  <c r="K210" i="59"/>
  <c r="K211" i="59"/>
  <c r="K212" i="59"/>
  <c r="K213" i="59"/>
  <c r="K214" i="59"/>
  <c r="K215" i="59"/>
  <c r="K216" i="59"/>
  <c r="K217" i="59"/>
  <c r="K218" i="59"/>
  <c r="K219" i="59"/>
  <c r="K220" i="59"/>
  <c r="K221" i="59"/>
  <c r="K222" i="59"/>
  <c r="K223" i="59"/>
  <c r="K224" i="59"/>
  <c r="K225" i="59"/>
  <c r="K226" i="59"/>
  <c r="K227" i="59"/>
  <c r="K228" i="59"/>
  <c r="K229" i="59"/>
  <c r="K230" i="59"/>
  <c r="K231" i="59"/>
  <c r="K232" i="59"/>
  <c r="K233" i="59"/>
  <c r="K234" i="59"/>
  <c r="K235" i="59"/>
  <c r="K236" i="59"/>
  <c r="K237" i="59"/>
  <c r="K238" i="59"/>
  <c r="K239" i="59"/>
  <c r="K240" i="59"/>
  <c r="K241" i="59"/>
  <c r="K242" i="59"/>
  <c r="K243" i="59"/>
  <c r="K244" i="59"/>
  <c r="K245" i="59"/>
  <c r="K246" i="59"/>
  <c r="K247" i="59"/>
  <c r="K248" i="59"/>
  <c r="K249" i="59"/>
  <c r="K250" i="59"/>
  <c r="L4" i="59"/>
  <c r="L5" i="59"/>
  <c r="L6" i="59"/>
  <c r="L7" i="59"/>
  <c r="L8" i="59"/>
  <c r="L9" i="59"/>
  <c r="L10" i="59"/>
  <c r="L11" i="59"/>
  <c r="L12" i="59"/>
  <c r="L13" i="59"/>
  <c r="L14" i="59"/>
  <c r="L15" i="59"/>
  <c r="L16" i="59"/>
  <c r="L17" i="59"/>
  <c r="L18" i="59"/>
  <c r="L19" i="59"/>
  <c r="L20" i="59"/>
  <c r="L21" i="59"/>
  <c r="L22" i="59"/>
  <c r="L23" i="59"/>
  <c r="L24" i="59"/>
  <c r="L25" i="59"/>
  <c r="L26" i="59"/>
  <c r="L27" i="59"/>
  <c r="L28" i="59"/>
  <c r="L29" i="59"/>
  <c r="L30" i="59"/>
  <c r="L31" i="59"/>
  <c r="L32" i="59"/>
  <c r="L33" i="59"/>
  <c r="L34" i="59"/>
  <c r="L35" i="59"/>
  <c r="L36" i="59"/>
  <c r="L37" i="59"/>
  <c r="L38" i="59"/>
  <c r="L39" i="59"/>
  <c r="L40" i="59"/>
  <c r="L41" i="59"/>
  <c r="L42" i="59"/>
  <c r="L43" i="59"/>
  <c r="L44" i="59"/>
  <c r="L45" i="59"/>
  <c r="L46" i="59"/>
  <c r="L47" i="59"/>
  <c r="L48" i="59"/>
  <c r="L49" i="59"/>
  <c r="L50" i="59"/>
  <c r="L51" i="59"/>
  <c r="L52" i="59"/>
  <c r="L53" i="59"/>
  <c r="L54" i="59"/>
  <c r="L55" i="59"/>
  <c r="L56" i="59"/>
  <c r="L57" i="59"/>
  <c r="L58" i="59"/>
  <c r="L59" i="59"/>
  <c r="L60" i="59"/>
  <c r="L61" i="59"/>
  <c r="L62" i="59"/>
  <c r="L63" i="59"/>
  <c r="L64" i="59"/>
  <c r="L65" i="59"/>
  <c r="L66" i="59"/>
  <c r="L67" i="59"/>
  <c r="L68" i="59"/>
  <c r="L69" i="59"/>
  <c r="L70" i="59"/>
  <c r="L71" i="59"/>
  <c r="L72" i="59"/>
  <c r="L73" i="59"/>
  <c r="L74" i="59"/>
  <c r="L75" i="59"/>
  <c r="L76" i="59"/>
  <c r="L77" i="59"/>
  <c r="L78" i="59"/>
  <c r="L79" i="59"/>
  <c r="L80" i="59"/>
  <c r="L81" i="59"/>
  <c r="L82" i="59"/>
  <c r="L83" i="59"/>
  <c r="L84" i="59"/>
  <c r="L85" i="59"/>
  <c r="L86" i="59"/>
  <c r="L87" i="59"/>
  <c r="L88" i="59"/>
  <c r="L89" i="59"/>
  <c r="L90" i="59"/>
  <c r="L91" i="59"/>
  <c r="L92" i="59"/>
  <c r="L93" i="59"/>
  <c r="L94" i="59"/>
  <c r="L95" i="59"/>
  <c r="L96" i="59"/>
  <c r="L97" i="59"/>
  <c r="L98" i="59"/>
  <c r="L99" i="59"/>
  <c r="L100" i="59"/>
  <c r="L101" i="59"/>
  <c r="L102" i="59"/>
  <c r="L103" i="59"/>
  <c r="L104" i="59"/>
  <c r="L105" i="59"/>
  <c r="L106" i="59"/>
  <c r="L107" i="59"/>
  <c r="L108" i="59"/>
  <c r="L109" i="59"/>
  <c r="L110" i="59"/>
  <c r="L111" i="59"/>
  <c r="L112" i="59"/>
  <c r="L113" i="59"/>
  <c r="L114" i="59"/>
  <c r="L115" i="59"/>
  <c r="L116" i="59"/>
  <c r="L117" i="59"/>
  <c r="L118" i="59"/>
  <c r="L119" i="59"/>
  <c r="L120" i="59"/>
  <c r="L121" i="59"/>
  <c r="L122" i="59"/>
  <c r="L123" i="59"/>
  <c r="L124" i="59"/>
  <c r="L125" i="59"/>
  <c r="L126" i="59"/>
  <c r="L127" i="59"/>
  <c r="L128" i="59"/>
  <c r="L129" i="59"/>
  <c r="L130" i="59"/>
  <c r="L131" i="59"/>
  <c r="L132" i="59"/>
  <c r="L133" i="59"/>
  <c r="L134" i="59"/>
  <c r="L135" i="59"/>
  <c r="L136" i="59"/>
  <c r="L137" i="59"/>
  <c r="L138" i="59"/>
  <c r="L139" i="59"/>
  <c r="L140" i="59"/>
  <c r="L141" i="59"/>
  <c r="L142" i="59"/>
  <c r="L143" i="59"/>
  <c r="L144" i="59"/>
  <c r="L145" i="59"/>
  <c r="L146" i="59"/>
  <c r="L147" i="59"/>
  <c r="L148" i="59"/>
  <c r="L149" i="59"/>
  <c r="L150" i="59"/>
  <c r="L151" i="59"/>
  <c r="L152" i="59"/>
  <c r="L153" i="59"/>
  <c r="L154" i="59"/>
  <c r="L155" i="59"/>
  <c r="L156" i="59"/>
  <c r="L157" i="59"/>
  <c r="L158" i="59"/>
  <c r="L159" i="59"/>
  <c r="L160" i="59"/>
  <c r="L161" i="59"/>
  <c r="L162" i="59"/>
  <c r="L163" i="59"/>
  <c r="L164" i="59"/>
  <c r="L165" i="59"/>
  <c r="L166" i="59"/>
  <c r="L167" i="59"/>
  <c r="L168" i="59"/>
  <c r="L169" i="59"/>
  <c r="L170" i="59"/>
  <c r="L171" i="59"/>
  <c r="L172" i="59"/>
  <c r="L173" i="59"/>
  <c r="L174" i="59"/>
  <c r="L175" i="59"/>
  <c r="L176" i="59"/>
  <c r="L177" i="59"/>
  <c r="L178" i="59"/>
  <c r="L179" i="59"/>
  <c r="L180" i="59"/>
  <c r="L181" i="59"/>
  <c r="L182" i="59"/>
  <c r="L183" i="59"/>
  <c r="L184" i="59"/>
  <c r="L185" i="59"/>
  <c r="L186" i="59"/>
  <c r="L187" i="59"/>
  <c r="L188" i="59"/>
  <c r="L189" i="59"/>
  <c r="L190" i="59"/>
  <c r="L191" i="59"/>
  <c r="L192" i="59"/>
  <c r="L193" i="59"/>
  <c r="L194" i="59"/>
  <c r="L195" i="59"/>
  <c r="L196" i="59"/>
  <c r="L197" i="59"/>
  <c r="L198" i="59"/>
  <c r="L199" i="59"/>
  <c r="L200" i="59"/>
  <c r="L201" i="59"/>
  <c r="L202" i="59"/>
  <c r="L203" i="59"/>
  <c r="L204" i="59"/>
  <c r="L205" i="59"/>
  <c r="L206" i="59"/>
  <c r="L207" i="59"/>
  <c r="L208" i="59"/>
  <c r="L209" i="59"/>
  <c r="L210" i="59"/>
  <c r="L211" i="59"/>
  <c r="L212" i="59"/>
  <c r="L213" i="59"/>
  <c r="L214" i="59"/>
  <c r="L215" i="59"/>
  <c r="L216" i="59"/>
  <c r="L217" i="59"/>
  <c r="L218" i="59"/>
  <c r="L219" i="59"/>
  <c r="L220" i="59"/>
  <c r="L221" i="59"/>
  <c r="L222" i="59"/>
  <c r="L223" i="59"/>
  <c r="L224" i="59"/>
  <c r="L225" i="59"/>
  <c r="L226" i="59"/>
  <c r="L227" i="59"/>
  <c r="L228" i="59"/>
  <c r="L229" i="59"/>
  <c r="L230" i="59"/>
  <c r="L231" i="59"/>
  <c r="L232" i="59"/>
  <c r="L233" i="59"/>
  <c r="L234" i="59"/>
  <c r="L235" i="59"/>
  <c r="L236" i="59"/>
  <c r="L237" i="59"/>
  <c r="L238" i="59"/>
  <c r="L239" i="59"/>
  <c r="L240" i="59"/>
  <c r="L241" i="59"/>
  <c r="L242" i="59"/>
  <c r="L243" i="59"/>
  <c r="L244" i="59"/>
  <c r="L245" i="59"/>
  <c r="L246" i="59"/>
  <c r="L247" i="59"/>
  <c r="L248" i="59"/>
  <c r="L249" i="59"/>
  <c r="L250" i="59"/>
  <c r="M4" i="59"/>
  <c r="M7" i="59"/>
  <c r="M8" i="59"/>
  <c r="M9" i="59"/>
  <c r="M10" i="59"/>
  <c r="M11" i="59"/>
  <c r="M12" i="59"/>
  <c r="M18" i="59"/>
  <c r="M21" i="59"/>
  <c r="M23" i="59"/>
  <c r="M30" i="59"/>
  <c r="M33" i="59"/>
  <c r="M34" i="59"/>
  <c r="M41" i="59"/>
  <c r="M44" i="59"/>
  <c r="M47" i="59"/>
  <c r="M48" i="59"/>
  <c r="M49" i="59"/>
  <c r="M51" i="59"/>
  <c r="M53" i="59"/>
  <c r="M54" i="59"/>
  <c r="M55" i="59"/>
  <c r="M63" i="59"/>
  <c r="M64" i="59"/>
  <c r="M68" i="59"/>
  <c r="M69" i="59"/>
  <c r="M70" i="59"/>
  <c r="M78" i="59"/>
  <c r="M81" i="59"/>
  <c r="M84" i="59"/>
  <c r="M86" i="59"/>
  <c r="M87" i="59"/>
  <c r="M88" i="59"/>
  <c r="M91" i="59"/>
  <c r="M93" i="59"/>
  <c r="M94" i="59"/>
  <c r="M95" i="59"/>
  <c r="M101" i="59"/>
  <c r="M103" i="59"/>
  <c r="M106" i="59"/>
  <c r="M107" i="59"/>
  <c r="M108" i="59"/>
  <c r="M109" i="59"/>
  <c r="M128" i="59"/>
  <c r="M129" i="59"/>
  <c r="M130" i="59"/>
  <c r="M131" i="59"/>
  <c r="M135" i="59"/>
  <c r="M136" i="59"/>
  <c r="M137" i="59"/>
  <c r="M141" i="59"/>
  <c r="M142" i="59"/>
  <c r="M143" i="59"/>
  <c r="M144" i="59"/>
  <c r="M147" i="59"/>
  <c r="M148" i="59"/>
  <c r="M163" i="59"/>
  <c r="M164" i="59"/>
  <c r="M167" i="59"/>
  <c r="M168" i="59"/>
  <c r="M173" i="59"/>
  <c r="M181" i="59"/>
  <c r="M182" i="59"/>
  <c r="M184" i="59"/>
  <c r="M186" i="59"/>
  <c r="M187" i="59"/>
  <c r="M188" i="59"/>
  <c r="M189" i="59"/>
  <c r="M196" i="59"/>
  <c r="M201" i="59"/>
  <c r="M202" i="59"/>
  <c r="M203" i="59"/>
  <c r="M204" i="59"/>
  <c r="M206" i="59"/>
  <c r="M208" i="59"/>
  <c r="M209" i="59"/>
  <c r="M210" i="59"/>
  <c r="M223" i="59"/>
  <c r="M224" i="59"/>
  <c r="M227" i="59"/>
  <c r="M228" i="59"/>
  <c r="M229" i="59"/>
  <c r="M242" i="59"/>
  <c r="M246" i="59"/>
  <c r="M247" i="59"/>
  <c r="M248" i="59"/>
  <c r="M249" i="59"/>
  <c r="M250" i="59"/>
  <c r="R4" i="59"/>
  <c r="R33" i="59"/>
  <c r="R41" i="59"/>
  <c r="R44" i="59"/>
  <c r="R91" i="59"/>
  <c r="R95" i="59"/>
  <c r="R103" i="59"/>
  <c r="R109" i="59"/>
  <c r="R143" i="59"/>
  <c r="R203" i="59"/>
  <c r="R208" i="59"/>
  <c r="R224" i="59"/>
  <c r="R229" i="59"/>
  <c r="H4" i="58"/>
  <c r="H5" i="58"/>
  <c r="H6" i="58"/>
  <c r="H7" i="58"/>
  <c r="H8" i="58"/>
  <c r="H9" i="58"/>
  <c r="H10" i="58"/>
  <c r="H11" i="58"/>
  <c r="H12" i="58"/>
  <c r="H13" i="58"/>
  <c r="H14" i="58"/>
  <c r="H15" i="58"/>
  <c r="H16" i="58"/>
  <c r="H17" i="58"/>
  <c r="H18" i="58"/>
  <c r="H19" i="58"/>
  <c r="H20" i="58"/>
  <c r="H21" i="58"/>
  <c r="H22" i="58"/>
  <c r="H23" i="58"/>
  <c r="H24" i="58"/>
  <c r="H25" i="58"/>
  <c r="H26" i="58"/>
  <c r="H27" i="58"/>
  <c r="H28" i="58"/>
  <c r="H29" i="58"/>
  <c r="H30" i="58"/>
  <c r="H31" i="58"/>
  <c r="H32" i="58"/>
  <c r="H33" i="58"/>
  <c r="H34" i="58"/>
  <c r="H35" i="58"/>
  <c r="H36" i="58"/>
  <c r="H37" i="58"/>
  <c r="H38" i="58"/>
  <c r="H39" i="58"/>
  <c r="H40" i="58"/>
  <c r="H41" i="58"/>
  <c r="H42" i="58"/>
  <c r="H43" i="58"/>
  <c r="H44" i="58"/>
  <c r="H45" i="58"/>
  <c r="H46" i="58"/>
  <c r="H47" i="58"/>
  <c r="H48" i="58"/>
  <c r="H49" i="58"/>
  <c r="H50" i="58"/>
  <c r="H51" i="58"/>
  <c r="H52" i="58"/>
  <c r="H53" i="58"/>
  <c r="H54" i="58"/>
  <c r="H55" i="58"/>
  <c r="H56" i="58"/>
  <c r="H57" i="58"/>
  <c r="H58" i="58"/>
  <c r="H59" i="58"/>
  <c r="H60" i="58"/>
  <c r="H61" i="58"/>
  <c r="H62" i="58"/>
  <c r="H63" i="58"/>
  <c r="H64" i="58"/>
  <c r="H65" i="58"/>
  <c r="H66" i="58"/>
  <c r="H67" i="58"/>
  <c r="H68" i="58"/>
  <c r="H69" i="58"/>
  <c r="H70" i="58"/>
  <c r="H71" i="58"/>
  <c r="H72" i="58"/>
  <c r="H73" i="58"/>
  <c r="H74" i="58"/>
  <c r="H75" i="58"/>
  <c r="H76" i="58"/>
  <c r="H77" i="58"/>
  <c r="H78" i="58"/>
  <c r="H79" i="58"/>
  <c r="H80" i="58"/>
  <c r="H81" i="58"/>
  <c r="H82" i="58"/>
  <c r="H83" i="58"/>
  <c r="H84" i="58"/>
  <c r="H85" i="58"/>
  <c r="H86" i="58"/>
  <c r="H87" i="58"/>
  <c r="H88" i="58"/>
  <c r="H89" i="58"/>
  <c r="H90" i="58"/>
  <c r="H91" i="58"/>
  <c r="H92" i="58"/>
  <c r="H93" i="58"/>
  <c r="H94" i="58"/>
  <c r="H95" i="58"/>
  <c r="H96" i="58"/>
  <c r="H97" i="58"/>
  <c r="H98" i="58"/>
  <c r="H99" i="58"/>
  <c r="H100" i="58"/>
  <c r="H101" i="58"/>
  <c r="H102" i="58"/>
  <c r="H103" i="58"/>
  <c r="H104" i="58"/>
  <c r="H105" i="58"/>
  <c r="H106" i="58"/>
  <c r="H107" i="58"/>
  <c r="H108" i="58"/>
  <c r="H109" i="58"/>
  <c r="H110" i="58"/>
  <c r="H111" i="58"/>
  <c r="H112" i="58"/>
  <c r="H113" i="58"/>
  <c r="H114" i="58"/>
  <c r="H115" i="58"/>
  <c r="H116" i="58"/>
  <c r="H117" i="58"/>
  <c r="H118" i="58"/>
  <c r="H119" i="58"/>
  <c r="H120" i="58"/>
  <c r="H121" i="58"/>
  <c r="H122" i="58"/>
  <c r="H123" i="58"/>
  <c r="H124" i="58"/>
  <c r="H125" i="58"/>
  <c r="H126" i="58"/>
  <c r="H127" i="58"/>
  <c r="H128" i="58"/>
  <c r="H129" i="58"/>
  <c r="H130" i="58"/>
  <c r="H131" i="58"/>
  <c r="H132" i="58"/>
  <c r="H133" i="58"/>
  <c r="H134" i="58"/>
  <c r="H135" i="58"/>
  <c r="H136" i="58"/>
  <c r="H137" i="58"/>
  <c r="H138" i="58"/>
  <c r="H139" i="58"/>
  <c r="H140" i="58"/>
  <c r="H141" i="58"/>
  <c r="H142" i="58"/>
  <c r="H143" i="58"/>
  <c r="H144" i="58"/>
  <c r="H145" i="58"/>
  <c r="H146" i="58"/>
  <c r="H147" i="58"/>
  <c r="H148" i="58"/>
  <c r="H149" i="58"/>
  <c r="H150" i="58"/>
  <c r="H151" i="58"/>
  <c r="H152" i="58"/>
  <c r="H153" i="58"/>
  <c r="H154" i="58"/>
  <c r="H155" i="58"/>
  <c r="H156" i="58"/>
  <c r="H157" i="58"/>
  <c r="H158" i="58"/>
  <c r="H159" i="58"/>
  <c r="H160" i="58"/>
  <c r="H161" i="58"/>
  <c r="H162" i="58"/>
  <c r="H163" i="58"/>
  <c r="H164" i="58"/>
  <c r="H165" i="58"/>
  <c r="H166" i="58"/>
  <c r="H167" i="58"/>
  <c r="H168" i="58"/>
  <c r="H169" i="58"/>
  <c r="H170" i="58"/>
  <c r="H171" i="58"/>
  <c r="H172" i="58"/>
  <c r="H173" i="58"/>
  <c r="H174" i="58"/>
  <c r="H175" i="58"/>
  <c r="H176" i="58"/>
  <c r="H177" i="58"/>
  <c r="H178" i="58"/>
  <c r="H179" i="58"/>
  <c r="H180" i="58"/>
  <c r="H181" i="58"/>
  <c r="H182" i="58"/>
  <c r="H183" i="58"/>
  <c r="H184" i="58"/>
  <c r="H185" i="58"/>
  <c r="H186" i="58"/>
  <c r="H187" i="58"/>
  <c r="H188" i="58"/>
  <c r="H189" i="58"/>
  <c r="H190" i="58"/>
  <c r="H191" i="58"/>
  <c r="H192" i="58"/>
  <c r="H193" i="58"/>
  <c r="H194" i="58"/>
  <c r="H195" i="58"/>
  <c r="H196" i="58"/>
  <c r="H197" i="58"/>
  <c r="H198" i="58"/>
  <c r="H199" i="58"/>
  <c r="H200" i="58"/>
  <c r="H201" i="58"/>
  <c r="H202" i="58"/>
  <c r="H203" i="58"/>
  <c r="H204" i="58"/>
  <c r="H205" i="58"/>
  <c r="H206" i="58"/>
  <c r="H207" i="58"/>
  <c r="H208" i="58"/>
  <c r="H209" i="58"/>
  <c r="H210" i="58"/>
  <c r="H211" i="58"/>
  <c r="H212" i="58"/>
  <c r="H213" i="58"/>
  <c r="H214" i="58"/>
  <c r="H215" i="58"/>
  <c r="H216" i="58"/>
  <c r="H217" i="58"/>
  <c r="H218" i="58"/>
  <c r="H219" i="58"/>
  <c r="H220" i="58"/>
  <c r="H221" i="58"/>
  <c r="H222" i="58"/>
  <c r="H223" i="58"/>
  <c r="H224" i="58"/>
  <c r="H225" i="58"/>
  <c r="H226" i="58"/>
  <c r="H227" i="58"/>
  <c r="H228" i="58"/>
  <c r="H229" i="58"/>
  <c r="H230" i="58"/>
  <c r="H231" i="58"/>
  <c r="H232" i="58"/>
  <c r="H233" i="58"/>
  <c r="H234" i="58"/>
  <c r="H235" i="58"/>
  <c r="H236" i="58"/>
  <c r="H237" i="58"/>
  <c r="H238" i="58"/>
  <c r="H239" i="58"/>
  <c r="H240" i="58"/>
  <c r="H241" i="58"/>
  <c r="H242" i="58"/>
  <c r="H243" i="58"/>
  <c r="H244" i="58"/>
  <c r="H245" i="58"/>
  <c r="H246" i="58"/>
  <c r="H247" i="58"/>
  <c r="H248" i="58"/>
  <c r="H249" i="58"/>
  <c r="H250" i="58"/>
  <c r="K4" i="58"/>
  <c r="K5" i="58"/>
  <c r="K6" i="58"/>
  <c r="K7" i="58"/>
  <c r="K8" i="58"/>
  <c r="K9" i="58"/>
  <c r="K10" i="58"/>
  <c r="K11" i="58"/>
  <c r="K12" i="58"/>
  <c r="K13" i="58"/>
  <c r="K14" i="58"/>
  <c r="K15" i="58"/>
  <c r="K16" i="58"/>
  <c r="K17" i="58"/>
  <c r="K18" i="58"/>
  <c r="K19" i="58"/>
  <c r="K20" i="58"/>
  <c r="K21" i="58"/>
  <c r="K22" i="58"/>
  <c r="K23" i="58"/>
  <c r="K24" i="58"/>
  <c r="K25" i="58"/>
  <c r="K26" i="58"/>
  <c r="K27" i="58"/>
  <c r="K28" i="58"/>
  <c r="K29" i="58"/>
  <c r="K30" i="58"/>
  <c r="K31" i="58"/>
  <c r="K32" i="58"/>
  <c r="K33" i="58"/>
  <c r="K34" i="58"/>
  <c r="K35" i="58"/>
  <c r="K36" i="58"/>
  <c r="K37" i="58"/>
  <c r="K38" i="58"/>
  <c r="K39" i="58"/>
  <c r="K40" i="58"/>
  <c r="K41" i="58"/>
  <c r="K42" i="58"/>
  <c r="K43" i="58"/>
  <c r="K44" i="58"/>
  <c r="K45" i="58"/>
  <c r="K46" i="58"/>
  <c r="K47" i="58"/>
  <c r="K48" i="58"/>
  <c r="K49" i="58"/>
  <c r="K50" i="58"/>
  <c r="K51" i="58"/>
  <c r="K52" i="58"/>
  <c r="K53" i="58"/>
  <c r="K54" i="58"/>
  <c r="K55" i="58"/>
  <c r="K56" i="58"/>
  <c r="K57" i="58"/>
  <c r="K58" i="58"/>
  <c r="K59" i="58"/>
  <c r="K60" i="58"/>
  <c r="K61" i="58"/>
  <c r="K62" i="58"/>
  <c r="K63" i="58"/>
  <c r="K64" i="58"/>
  <c r="K65" i="58"/>
  <c r="K66" i="58"/>
  <c r="K67" i="58"/>
  <c r="K68" i="58"/>
  <c r="K69" i="58"/>
  <c r="K70" i="58"/>
  <c r="K71" i="58"/>
  <c r="K72" i="58"/>
  <c r="K73" i="58"/>
  <c r="K74" i="58"/>
  <c r="K75" i="58"/>
  <c r="K76" i="58"/>
  <c r="K77" i="58"/>
  <c r="K78" i="58"/>
  <c r="K79" i="58"/>
  <c r="K80" i="58"/>
  <c r="K81" i="58"/>
  <c r="K82" i="58"/>
  <c r="K83" i="58"/>
  <c r="K84" i="58"/>
  <c r="K85" i="58"/>
  <c r="K86" i="58"/>
  <c r="K87" i="58"/>
  <c r="K88" i="58"/>
  <c r="K89" i="58"/>
  <c r="K90" i="58"/>
  <c r="K91" i="58"/>
  <c r="K92" i="58"/>
  <c r="K93" i="58"/>
  <c r="K94" i="58"/>
  <c r="K95" i="58"/>
  <c r="K96" i="58"/>
  <c r="K97" i="58"/>
  <c r="K98" i="58"/>
  <c r="K99" i="58"/>
  <c r="K100" i="58"/>
  <c r="K101" i="58"/>
  <c r="K102" i="58"/>
  <c r="K103" i="58"/>
  <c r="K104" i="58"/>
  <c r="K105" i="58"/>
  <c r="K106" i="58"/>
  <c r="K107" i="58"/>
  <c r="K108" i="58"/>
  <c r="K109" i="58"/>
  <c r="K110" i="58"/>
  <c r="K111" i="58"/>
  <c r="K112" i="58"/>
  <c r="K113" i="58"/>
  <c r="K114" i="58"/>
  <c r="K115" i="58"/>
  <c r="K116" i="58"/>
  <c r="K117" i="58"/>
  <c r="K118" i="58"/>
  <c r="K119" i="58"/>
  <c r="K120" i="58"/>
  <c r="K121" i="58"/>
  <c r="K122" i="58"/>
  <c r="K123" i="58"/>
  <c r="K124" i="58"/>
  <c r="K125" i="58"/>
  <c r="K126" i="58"/>
  <c r="K127" i="58"/>
  <c r="K128" i="58"/>
  <c r="K129" i="58"/>
  <c r="K130" i="58"/>
  <c r="K131" i="58"/>
  <c r="K132" i="58"/>
  <c r="K133" i="58"/>
  <c r="K134" i="58"/>
  <c r="K135" i="58"/>
  <c r="K136" i="58"/>
  <c r="K137" i="58"/>
  <c r="K138" i="58"/>
  <c r="K139" i="58"/>
  <c r="K140" i="58"/>
  <c r="K141" i="58"/>
  <c r="K142" i="58"/>
  <c r="K143" i="58"/>
  <c r="K144" i="58"/>
  <c r="K145" i="58"/>
  <c r="K146" i="58"/>
  <c r="K147" i="58"/>
  <c r="K148" i="58"/>
  <c r="K149" i="58"/>
  <c r="K150" i="58"/>
  <c r="K151" i="58"/>
  <c r="K152" i="58"/>
  <c r="K153" i="58"/>
  <c r="K154" i="58"/>
  <c r="K155" i="58"/>
  <c r="K156" i="58"/>
  <c r="K157" i="58"/>
  <c r="K158" i="58"/>
  <c r="K159" i="58"/>
  <c r="K160" i="58"/>
  <c r="K161" i="58"/>
  <c r="K162" i="58"/>
  <c r="K163" i="58"/>
  <c r="K164" i="58"/>
  <c r="K165" i="58"/>
  <c r="K166" i="58"/>
  <c r="K167" i="58"/>
  <c r="K168" i="58"/>
  <c r="K169" i="58"/>
  <c r="K170" i="58"/>
  <c r="K171" i="58"/>
  <c r="K172" i="58"/>
  <c r="K173" i="58"/>
  <c r="K174" i="58"/>
  <c r="K175" i="58"/>
  <c r="K176" i="58"/>
  <c r="K177" i="58"/>
  <c r="K178" i="58"/>
  <c r="K179" i="58"/>
  <c r="K180" i="58"/>
  <c r="K181" i="58"/>
  <c r="K182" i="58"/>
  <c r="K183" i="58"/>
  <c r="K184" i="58"/>
  <c r="K185" i="58"/>
  <c r="K186" i="58"/>
  <c r="K187" i="58"/>
  <c r="K188" i="58"/>
  <c r="K189" i="58"/>
  <c r="K190" i="58"/>
  <c r="K191" i="58"/>
  <c r="K192" i="58"/>
  <c r="K193" i="58"/>
  <c r="K194" i="58"/>
  <c r="K195" i="58"/>
  <c r="K196" i="58"/>
  <c r="K197" i="58"/>
  <c r="K198" i="58"/>
  <c r="K199" i="58"/>
  <c r="K200" i="58"/>
  <c r="K201" i="58"/>
  <c r="K202" i="58"/>
  <c r="K203" i="58"/>
  <c r="K204" i="58"/>
  <c r="K205" i="58"/>
  <c r="K206" i="58"/>
  <c r="K207" i="58"/>
  <c r="K208" i="58"/>
  <c r="K209" i="58"/>
  <c r="K210" i="58"/>
  <c r="K211" i="58"/>
  <c r="K212" i="58"/>
  <c r="K213" i="58"/>
  <c r="K214" i="58"/>
  <c r="K215" i="58"/>
  <c r="K216" i="58"/>
  <c r="K217" i="58"/>
  <c r="K218" i="58"/>
  <c r="K219" i="58"/>
  <c r="K220" i="58"/>
  <c r="K221" i="58"/>
  <c r="K222" i="58"/>
  <c r="K223" i="58"/>
  <c r="K224" i="58"/>
  <c r="K225" i="58"/>
  <c r="K226" i="58"/>
  <c r="K227" i="58"/>
  <c r="K228" i="58"/>
  <c r="K229" i="58"/>
  <c r="K230" i="58"/>
  <c r="K231" i="58"/>
  <c r="K232" i="58"/>
  <c r="K233" i="58"/>
  <c r="K234" i="58"/>
  <c r="K235" i="58"/>
  <c r="K236" i="58"/>
  <c r="K237" i="58"/>
  <c r="K238" i="58"/>
  <c r="K239" i="58"/>
  <c r="K240" i="58"/>
  <c r="K241" i="58"/>
  <c r="K242" i="58"/>
  <c r="K243" i="58"/>
  <c r="K244" i="58"/>
  <c r="K245" i="58"/>
  <c r="K246" i="58"/>
  <c r="K247" i="58"/>
  <c r="K248" i="58"/>
  <c r="K249" i="58"/>
  <c r="K250" i="58"/>
  <c r="L4" i="58"/>
  <c r="L5" i="58"/>
  <c r="L6" i="58"/>
  <c r="L7" i="58"/>
  <c r="L8" i="58"/>
  <c r="L9" i="58"/>
  <c r="L10" i="58"/>
  <c r="L11" i="58"/>
  <c r="L12" i="58"/>
  <c r="L13" i="58"/>
  <c r="L14" i="58"/>
  <c r="L15" i="58"/>
  <c r="L16" i="58"/>
  <c r="L17" i="58"/>
  <c r="L18" i="58"/>
  <c r="L19" i="58"/>
  <c r="L20" i="58"/>
  <c r="L21" i="58"/>
  <c r="L22" i="58"/>
  <c r="L23" i="58"/>
  <c r="L24" i="58"/>
  <c r="L25" i="58"/>
  <c r="L26" i="58"/>
  <c r="L27" i="58"/>
  <c r="L28" i="58"/>
  <c r="L29" i="58"/>
  <c r="L30" i="58"/>
  <c r="L31" i="58"/>
  <c r="L32" i="58"/>
  <c r="L33" i="58"/>
  <c r="L34" i="58"/>
  <c r="L35" i="58"/>
  <c r="L36" i="58"/>
  <c r="L37" i="58"/>
  <c r="L38" i="58"/>
  <c r="L39" i="58"/>
  <c r="L40" i="58"/>
  <c r="L41" i="58"/>
  <c r="L42" i="58"/>
  <c r="L43" i="58"/>
  <c r="L44" i="58"/>
  <c r="L45" i="58"/>
  <c r="L46" i="58"/>
  <c r="L47" i="58"/>
  <c r="L48" i="58"/>
  <c r="L49" i="58"/>
  <c r="L50" i="58"/>
  <c r="L51" i="58"/>
  <c r="L52" i="58"/>
  <c r="L53" i="58"/>
  <c r="L54" i="58"/>
  <c r="L55" i="58"/>
  <c r="L56" i="58"/>
  <c r="L57" i="58"/>
  <c r="L58" i="58"/>
  <c r="L59" i="58"/>
  <c r="L60" i="58"/>
  <c r="L61" i="58"/>
  <c r="L62" i="58"/>
  <c r="L63" i="58"/>
  <c r="L64" i="58"/>
  <c r="L65" i="58"/>
  <c r="L66" i="58"/>
  <c r="L67" i="58"/>
  <c r="L68" i="58"/>
  <c r="L69" i="58"/>
  <c r="L70" i="58"/>
  <c r="L71" i="58"/>
  <c r="L72" i="58"/>
  <c r="L73" i="58"/>
  <c r="L74" i="58"/>
  <c r="L75" i="58"/>
  <c r="L76" i="58"/>
  <c r="L77" i="58"/>
  <c r="L78" i="58"/>
  <c r="L79" i="58"/>
  <c r="L80" i="58"/>
  <c r="L81" i="58"/>
  <c r="L82" i="58"/>
  <c r="L83" i="58"/>
  <c r="L84" i="58"/>
  <c r="L85" i="58"/>
  <c r="L86" i="58"/>
  <c r="L87" i="58"/>
  <c r="L88" i="58"/>
  <c r="L89" i="58"/>
  <c r="L90" i="58"/>
  <c r="L91" i="58"/>
  <c r="L92" i="58"/>
  <c r="L93" i="58"/>
  <c r="L94" i="58"/>
  <c r="L95" i="58"/>
  <c r="L96" i="58"/>
  <c r="L97" i="58"/>
  <c r="L98" i="58"/>
  <c r="L99" i="58"/>
  <c r="L100" i="58"/>
  <c r="L101" i="58"/>
  <c r="L102" i="58"/>
  <c r="L103" i="58"/>
  <c r="L104" i="58"/>
  <c r="L105" i="58"/>
  <c r="L106" i="58"/>
  <c r="L107" i="58"/>
  <c r="L108" i="58"/>
  <c r="L109" i="58"/>
  <c r="L110" i="58"/>
  <c r="L111" i="58"/>
  <c r="L112" i="58"/>
  <c r="L113" i="58"/>
  <c r="L114" i="58"/>
  <c r="L115" i="58"/>
  <c r="L116" i="58"/>
  <c r="L117" i="58"/>
  <c r="L118" i="58"/>
  <c r="L119" i="58"/>
  <c r="L120" i="58"/>
  <c r="L121" i="58"/>
  <c r="L122" i="58"/>
  <c r="L123" i="58"/>
  <c r="L124" i="58"/>
  <c r="L125" i="58"/>
  <c r="L126" i="58"/>
  <c r="L127" i="58"/>
  <c r="L128" i="58"/>
  <c r="L129" i="58"/>
  <c r="L130" i="58"/>
  <c r="L131" i="58"/>
  <c r="L132" i="58"/>
  <c r="L133" i="58"/>
  <c r="L134" i="58"/>
  <c r="L135" i="58"/>
  <c r="L136" i="58"/>
  <c r="L137" i="58"/>
  <c r="L138" i="58"/>
  <c r="L139" i="58"/>
  <c r="L140" i="58"/>
  <c r="L141" i="58"/>
  <c r="L142" i="58"/>
  <c r="L143" i="58"/>
  <c r="L144" i="58"/>
  <c r="L145" i="58"/>
  <c r="L146" i="58"/>
  <c r="L147" i="58"/>
  <c r="L148" i="58"/>
  <c r="L149" i="58"/>
  <c r="L150" i="58"/>
  <c r="L151" i="58"/>
  <c r="L152" i="58"/>
  <c r="L153" i="58"/>
  <c r="L154" i="58"/>
  <c r="L155" i="58"/>
  <c r="L156" i="58"/>
  <c r="L157" i="58"/>
  <c r="L158" i="58"/>
  <c r="L159" i="58"/>
  <c r="L160" i="58"/>
  <c r="L161" i="58"/>
  <c r="L162" i="58"/>
  <c r="L163" i="58"/>
  <c r="L164" i="58"/>
  <c r="L165" i="58"/>
  <c r="L166" i="58"/>
  <c r="L167" i="58"/>
  <c r="L168" i="58"/>
  <c r="L169" i="58"/>
  <c r="L170" i="58"/>
  <c r="L171" i="58"/>
  <c r="L172" i="58"/>
  <c r="L173" i="58"/>
  <c r="L174" i="58"/>
  <c r="L175" i="58"/>
  <c r="L176" i="58"/>
  <c r="L177" i="58"/>
  <c r="L178" i="58"/>
  <c r="L179" i="58"/>
  <c r="L180" i="58"/>
  <c r="L181" i="58"/>
  <c r="L182" i="58"/>
  <c r="L183" i="58"/>
  <c r="L184" i="58"/>
  <c r="L185" i="58"/>
  <c r="L186" i="58"/>
  <c r="L187" i="58"/>
  <c r="L188" i="58"/>
  <c r="L189" i="58"/>
  <c r="L190" i="58"/>
  <c r="L191" i="58"/>
  <c r="L192" i="58"/>
  <c r="L193" i="58"/>
  <c r="L194" i="58"/>
  <c r="L195" i="58"/>
  <c r="L196" i="58"/>
  <c r="L197" i="58"/>
  <c r="L198" i="58"/>
  <c r="L199" i="58"/>
  <c r="L200" i="58"/>
  <c r="L201" i="58"/>
  <c r="L202" i="58"/>
  <c r="L203" i="58"/>
  <c r="L204" i="58"/>
  <c r="L205" i="58"/>
  <c r="L206" i="58"/>
  <c r="L207" i="58"/>
  <c r="L208" i="58"/>
  <c r="L209" i="58"/>
  <c r="L210" i="58"/>
  <c r="L211" i="58"/>
  <c r="L212" i="58"/>
  <c r="L213" i="58"/>
  <c r="L214" i="58"/>
  <c r="L215" i="58"/>
  <c r="L216" i="58"/>
  <c r="L217" i="58"/>
  <c r="L218" i="58"/>
  <c r="L219" i="58"/>
  <c r="L220" i="58"/>
  <c r="L221" i="58"/>
  <c r="L222" i="58"/>
  <c r="L223" i="58"/>
  <c r="L224" i="58"/>
  <c r="L225" i="58"/>
  <c r="L226" i="58"/>
  <c r="L227" i="58"/>
  <c r="L228" i="58"/>
  <c r="L229" i="58"/>
  <c r="L230" i="58"/>
  <c r="L231" i="58"/>
  <c r="L232" i="58"/>
  <c r="L233" i="58"/>
  <c r="L234" i="58"/>
  <c r="L235" i="58"/>
  <c r="L236" i="58"/>
  <c r="L237" i="58"/>
  <c r="L238" i="58"/>
  <c r="L239" i="58"/>
  <c r="L240" i="58"/>
  <c r="L241" i="58"/>
  <c r="L242" i="58"/>
  <c r="L243" i="58"/>
  <c r="L244" i="58"/>
  <c r="L245" i="58"/>
  <c r="L246" i="58"/>
  <c r="L247" i="58"/>
  <c r="L248" i="58"/>
  <c r="L249" i="58"/>
  <c r="L250" i="58"/>
  <c r="M4" i="58"/>
  <c r="M18" i="58"/>
  <c r="M20" i="58"/>
  <c r="M23" i="58"/>
  <c r="M25" i="58"/>
  <c r="M26" i="58"/>
  <c r="M27" i="58"/>
  <c r="M28" i="58"/>
  <c r="M30" i="58"/>
  <c r="M35" i="58"/>
  <c r="M38" i="58"/>
  <c r="M40" i="58"/>
  <c r="M42" i="58"/>
  <c r="M45" i="58"/>
  <c r="M46" i="58"/>
  <c r="M50" i="58"/>
  <c r="M52" i="58"/>
  <c r="M64" i="58"/>
  <c r="M67" i="58"/>
  <c r="M68" i="58"/>
  <c r="M70" i="58"/>
  <c r="M72" i="58"/>
  <c r="M77" i="58"/>
  <c r="M78" i="58"/>
  <c r="M84" i="58"/>
  <c r="M90" i="58"/>
  <c r="M92" i="58"/>
  <c r="M97" i="58"/>
  <c r="M100" i="58"/>
  <c r="M106" i="58"/>
  <c r="M112" i="58"/>
  <c r="M115" i="58"/>
  <c r="M118" i="58"/>
  <c r="M121" i="58"/>
  <c r="M125" i="58"/>
  <c r="M126" i="58"/>
  <c r="M128" i="58"/>
  <c r="M130" i="58"/>
  <c r="M135" i="58"/>
  <c r="M138" i="58"/>
  <c r="M140" i="58"/>
  <c r="M143" i="58"/>
  <c r="M157" i="58"/>
  <c r="M158" i="58"/>
  <c r="M160" i="58"/>
  <c r="M166" i="58"/>
  <c r="M170" i="58"/>
  <c r="M172" i="58"/>
  <c r="M175" i="58"/>
  <c r="M177" i="58"/>
  <c r="M178" i="58"/>
  <c r="M181" i="58"/>
  <c r="M182" i="58"/>
  <c r="M186" i="58"/>
  <c r="M187" i="58"/>
  <c r="M188" i="58"/>
  <c r="M190" i="58"/>
  <c r="M192" i="58"/>
  <c r="M201" i="58"/>
  <c r="M206" i="58"/>
  <c r="M210" i="58"/>
  <c r="M218" i="58"/>
  <c r="M222" i="58"/>
  <c r="M225" i="58"/>
  <c r="M226" i="58"/>
  <c r="M227" i="58"/>
  <c r="M228" i="58"/>
  <c r="M230" i="58"/>
  <c r="M232" i="58"/>
  <c r="M237" i="58"/>
  <c r="M238" i="58"/>
  <c r="M240" i="58"/>
  <c r="M245" i="58"/>
  <c r="M246" i="58"/>
  <c r="M247" i="58"/>
  <c r="M250" i="58"/>
  <c r="R18" i="58"/>
  <c r="R26" i="58"/>
  <c r="R27" i="58"/>
  <c r="R28" i="58"/>
  <c r="R38" i="58"/>
  <c r="R46" i="58"/>
  <c r="R67" i="58"/>
  <c r="R68" i="58"/>
  <c r="R101" i="58"/>
  <c r="R105" i="58"/>
  <c r="R106" i="58"/>
  <c r="R166" i="58"/>
  <c r="R182" i="58"/>
  <c r="R187" i="58"/>
  <c r="R205" i="58"/>
  <c r="R206" i="58"/>
  <c r="R226" i="58"/>
  <c r="R227" i="58"/>
  <c r="R243" i="58"/>
  <c r="R247" i="58"/>
  <c r="H4" i="57"/>
  <c r="H5" i="57"/>
  <c r="H6" i="57"/>
  <c r="H7" i="57"/>
  <c r="H8" i="57"/>
  <c r="L8" i="57" s="1"/>
  <c r="H9" i="57"/>
  <c r="H10" i="57"/>
  <c r="H11" i="57"/>
  <c r="H12" i="57"/>
  <c r="H13" i="57"/>
  <c r="H14" i="57"/>
  <c r="H15" i="57"/>
  <c r="H16" i="57"/>
  <c r="H17" i="57"/>
  <c r="H18" i="57"/>
  <c r="H19" i="57"/>
  <c r="H20" i="57"/>
  <c r="H21" i="57"/>
  <c r="H22" i="57"/>
  <c r="H23" i="57"/>
  <c r="H24" i="57"/>
  <c r="H25" i="57"/>
  <c r="H26" i="57"/>
  <c r="H27" i="57"/>
  <c r="H28" i="57"/>
  <c r="H29" i="57"/>
  <c r="H30" i="57"/>
  <c r="H31" i="57"/>
  <c r="H32" i="57"/>
  <c r="H33" i="57"/>
  <c r="H34" i="57"/>
  <c r="H35" i="57"/>
  <c r="H36" i="57"/>
  <c r="H37" i="57"/>
  <c r="H38" i="57"/>
  <c r="H39" i="57"/>
  <c r="H40" i="57"/>
  <c r="H41" i="57"/>
  <c r="H42" i="57"/>
  <c r="H43" i="57"/>
  <c r="H44" i="57"/>
  <c r="H45" i="57"/>
  <c r="H46" i="57"/>
  <c r="H47" i="57"/>
  <c r="H48" i="57"/>
  <c r="L48" i="57" s="1"/>
  <c r="H49" i="57"/>
  <c r="H50" i="57"/>
  <c r="H51" i="57"/>
  <c r="H52" i="57"/>
  <c r="L52" i="57" s="1"/>
  <c r="H53" i="57"/>
  <c r="H54" i="57"/>
  <c r="H55" i="57"/>
  <c r="H56" i="57"/>
  <c r="H57" i="57"/>
  <c r="H58" i="57"/>
  <c r="H59" i="57"/>
  <c r="H60" i="57"/>
  <c r="H61" i="57"/>
  <c r="H62" i="57"/>
  <c r="H63" i="57"/>
  <c r="H64" i="57"/>
  <c r="H65" i="57"/>
  <c r="H66" i="57"/>
  <c r="H67" i="57"/>
  <c r="H68" i="57"/>
  <c r="L68" i="57" s="1"/>
  <c r="H69" i="57"/>
  <c r="H70" i="57"/>
  <c r="H71" i="57"/>
  <c r="H72" i="57"/>
  <c r="H73" i="57"/>
  <c r="H74" i="57"/>
  <c r="H75" i="57"/>
  <c r="H76" i="57"/>
  <c r="H77" i="57"/>
  <c r="H78" i="57"/>
  <c r="H79" i="57"/>
  <c r="H80" i="57"/>
  <c r="H81" i="57"/>
  <c r="H82" i="57"/>
  <c r="H83" i="57"/>
  <c r="H84" i="57"/>
  <c r="H85" i="57"/>
  <c r="H86" i="57"/>
  <c r="H87" i="57"/>
  <c r="H88" i="57"/>
  <c r="H89" i="57"/>
  <c r="H90" i="57"/>
  <c r="H91" i="57"/>
  <c r="H92" i="57"/>
  <c r="H93" i="57"/>
  <c r="H94" i="57"/>
  <c r="H95" i="57"/>
  <c r="H96" i="57"/>
  <c r="H97" i="57"/>
  <c r="H98" i="57"/>
  <c r="H99" i="57"/>
  <c r="L99" i="57" s="1"/>
  <c r="H100" i="57"/>
  <c r="H101" i="57"/>
  <c r="H102" i="57"/>
  <c r="H103" i="57"/>
  <c r="H104" i="57"/>
  <c r="H105" i="57"/>
  <c r="H106" i="57"/>
  <c r="H107" i="57"/>
  <c r="H108" i="57"/>
  <c r="H109" i="57"/>
  <c r="H110" i="57"/>
  <c r="H111" i="57"/>
  <c r="H112" i="57"/>
  <c r="H113" i="57"/>
  <c r="H114" i="57"/>
  <c r="H115" i="57"/>
  <c r="H116" i="57"/>
  <c r="H117" i="57"/>
  <c r="H118" i="57"/>
  <c r="H119" i="57"/>
  <c r="H120" i="57"/>
  <c r="L120" i="57" s="1"/>
  <c r="H121" i="57"/>
  <c r="H122" i="57"/>
  <c r="H123" i="57"/>
  <c r="H124" i="57"/>
  <c r="H125" i="57"/>
  <c r="H126" i="57"/>
  <c r="H127" i="57"/>
  <c r="H128" i="57"/>
  <c r="H129" i="57"/>
  <c r="H130" i="57"/>
  <c r="H131" i="57"/>
  <c r="H132" i="57"/>
  <c r="H133" i="57"/>
  <c r="H134" i="57"/>
  <c r="H135" i="57"/>
  <c r="H136" i="57"/>
  <c r="H137" i="57"/>
  <c r="H138" i="57"/>
  <c r="H139" i="57"/>
  <c r="H140" i="57"/>
  <c r="H141" i="57"/>
  <c r="H142" i="57"/>
  <c r="H143" i="57"/>
  <c r="H144" i="57"/>
  <c r="L144" i="57" s="1"/>
  <c r="H145" i="57"/>
  <c r="H146" i="57"/>
  <c r="H147" i="57"/>
  <c r="H148" i="57"/>
  <c r="H149" i="57"/>
  <c r="H150" i="57"/>
  <c r="H151" i="57"/>
  <c r="H152" i="57"/>
  <c r="L152" i="57" s="1"/>
  <c r="H153" i="57"/>
  <c r="H154" i="57"/>
  <c r="H155" i="57"/>
  <c r="H156" i="57"/>
  <c r="H157" i="57"/>
  <c r="H158" i="57"/>
  <c r="H159" i="57"/>
  <c r="H160" i="57"/>
  <c r="H161" i="57"/>
  <c r="H162" i="57"/>
  <c r="H163" i="57"/>
  <c r="H164" i="57"/>
  <c r="H165" i="57"/>
  <c r="H166" i="57"/>
  <c r="H167" i="57"/>
  <c r="H168" i="57"/>
  <c r="H169" i="57"/>
  <c r="H170" i="57"/>
  <c r="H171" i="57"/>
  <c r="H172" i="57"/>
  <c r="H173" i="57"/>
  <c r="H174" i="57"/>
  <c r="H175" i="57"/>
  <c r="H176" i="57"/>
  <c r="L176" i="57" s="1"/>
  <c r="H177" i="57"/>
  <c r="H178" i="57"/>
  <c r="H179" i="57"/>
  <c r="H180" i="57"/>
  <c r="H181" i="57"/>
  <c r="H182" i="57"/>
  <c r="H183" i="57"/>
  <c r="H184" i="57"/>
  <c r="H185" i="57"/>
  <c r="H186" i="57"/>
  <c r="H187" i="57"/>
  <c r="H188" i="57"/>
  <c r="H189" i="57"/>
  <c r="H190" i="57"/>
  <c r="H191" i="57"/>
  <c r="H192" i="57"/>
  <c r="H193" i="57"/>
  <c r="H194" i="57"/>
  <c r="H195" i="57"/>
  <c r="H196" i="57"/>
  <c r="H197" i="57"/>
  <c r="H198" i="57"/>
  <c r="H199" i="57"/>
  <c r="H200" i="57"/>
  <c r="H201" i="57"/>
  <c r="H202" i="57"/>
  <c r="H203" i="57"/>
  <c r="L203" i="57" s="1"/>
  <c r="H204" i="57"/>
  <c r="H205" i="57"/>
  <c r="H206" i="57"/>
  <c r="H207" i="57"/>
  <c r="H208" i="57"/>
  <c r="H209" i="57"/>
  <c r="H210" i="57"/>
  <c r="H211" i="57"/>
  <c r="H212" i="57"/>
  <c r="H213" i="57"/>
  <c r="H214" i="57"/>
  <c r="H215" i="57"/>
  <c r="H216" i="57"/>
  <c r="H217" i="57"/>
  <c r="H218" i="57"/>
  <c r="H219" i="57"/>
  <c r="L219" i="57" s="1"/>
  <c r="H220" i="57"/>
  <c r="L220" i="57" s="1"/>
  <c r="H221" i="57"/>
  <c r="H222" i="57"/>
  <c r="H223" i="57"/>
  <c r="H224" i="57"/>
  <c r="H225" i="57"/>
  <c r="H226" i="57"/>
  <c r="H227" i="57"/>
  <c r="H228" i="57"/>
  <c r="H229" i="57"/>
  <c r="H230" i="57"/>
  <c r="H231" i="57"/>
  <c r="H232" i="57"/>
  <c r="H233" i="57"/>
  <c r="H234" i="57"/>
  <c r="H235" i="57"/>
  <c r="H236" i="57"/>
  <c r="H237" i="57"/>
  <c r="H238" i="57"/>
  <c r="H239" i="57"/>
  <c r="H240" i="57"/>
  <c r="L240" i="57" s="1"/>
  <c r="H241" i="57"/>
  <c r="H242" i="57"/>
  <c r="H243" i="57"/>
  <c r="H244" i="57"/>
  <c r="L244" i="57" s="1"/>
  <c r="H245" i="57"/>
  <c r="H246" i="57"/>
  <c r="H247" i="57"/>
  <c r="H248" i="57"/>
  <c r="H249" i="57"/>
  <c r="H250" i="57"/>
  <c r="K4" i="57"/>
  <c r="K5" i="57"/>
  <c r="K6" i="57"/>
  <c r="K7" i="57"/>
  <c r="K8" i="57"/>
  <c r="K9" i="57"/>
  <c r="K10" i="57"/>
  <c r="K11" i="57"/>
  <c r="K12" i="57"/>
  <c r="K13" i="57"/>
  <c r="K14" i="57"/>
  <c r="K15" i="57"/>
  <c r="K16" i="57"/>
  <c r="K17" i="57"/>
  <c r="K18" i="57"/>
  <c r="K19" i="57"/>
  <c r="K20" i="57"/>
  <c r="K21" i="57"/>
  <c r="K22" i="57"/>
  <c r="K23" i="57"/>
  <c r="K24" i="57"/>
  <c r="K25" i="57"/>
  <c r="K26" i="57"/>
  <c r="K27" i="57"/>
  <c r="K28" i="57"/>
  <c r="K29" i="57"/>
  <c r="K30" i="57"/>
  <c r="K31" i="57"/>
  <c r="K32" i="57"/>
  <c r="K33" i="57"/>
  <c r="K34" i="57"/>
  <c r="K35" i="57"/>
  <c r="K36" i="57"/>
  <c r="K37" i="57"/>
  <c r="K38" i="57"/>
  <c r="K39" i="57"/>
  <c r="K40" i="57"/>
  <c r="K41" i="57"/>
  <c r="K42" i="57"/>
  <c r="K43" i="57"/>
  <c r="K44" i="57"/>
  <c r="K45" i="57"/>
  <c r="K46" i="57"/>
  <c r="K47" i="57"/>
  <c r="K48" i="57"/>
  <c r="K49" i="57"/>
  <c r="K50" i="57"/>
  <c r="K51" i="57"/>
  <c r="K52" i="57"/>
  <c r="K53" i="57"/>
  <c r="K54" i="57"/>
  <c r="K55" i="57"/>
  <c r="K56" i="57"/>
  <c r="K57" i="57"/>
  <c r="K58" i="57"/>
  <c r="K59" i="57"/>
  <c r="K60" i="57"/>
  <c r="K61" i="57"/>
  <c r="K62" i="57"/>
  <c r="K63" i="57"/>
  <c r="K64" i="57"/>
  <c r="K65" i="57"/>
  <c r="K66" i="57"/>
  <c r="K67" i="57"/>
  <c r="K68" i="57"/>
  <c r="K69" i="57"/>
  <c r="K70" i="57"/>
  <c r="K71" i="57"/>
  <c r="K72" i="57"/>
  <c r="K73" i="57"/>
  <c r="K74" i="57"/>
  <c r="K75" i="57"/>
  <c r="K76" i="57"/>
  <c r="K77" i="57"/>
  <c r="K78" i="57"/>
  <c r="K79" i="57"/>
  <c r="K80" i="57"/>
  <c r="K81" i="57"/>
  <c r="K82" i="57"/>
  <c r="K83" i="57"/>
  <c r="K84" i="57"/>
  <c r="K85" i="57"/>
  <c r="K86" i="57"/>
  <c r="K87" i="57"/>
  <c r="K88" i="57"/>
  <c r="K89" i="57"/>
  <c r="K90" i="57"/>
  <c r="K91" i="57"/>
  <c r="K92" i="57"/>
  <c r="K93" i="57"/>
  <c r="K94" i="57"/>
  <c r="K95" i="57"/>
  <c r="K96" i="57"/>
  <c r="K97" i="57"/>
  <c r="K98" i="57"/>
  <c r="K99" i="57"/>
  <c r="K100" i="57"/>
  <c r="K101" i="57"/>
  <c r="K102" i="57"/>
  <c r="K103" i="57"/>
  <c r="K104" i="57"/>
  <c r="K105" i="57"/>
  <c r="K106" i="57"/>
  <c r="K107" i="57"/>
  <c r="K108" i="57"/>
  <c r="K109" i="57"/>
  <c r="K110" i="57"/>
  <c r="K111" i="57"/>
  <c r="K112" i="57"/>
  <c r="K113" i="57"/>
  <c r="K114" i="57"/>
  <c r="K115" i="57"/>
  <c r="K116" i="57"/>
  <c r="K117" i="57"/>
  <c r="K118" i="57"/>
  <c r="K119" i="57"/>
  <c r="K120" i="57"/>
  <c r="K121" i="57"/>
  <c r="K122" i="57"/>
  <c r="K123" i="57"/>
  <c r="K124" i="57"/>
  <c r="K125" i="57"/>
  <c r="K126" i="57"/>
  <c r="K127" i="57"/>
  <c r="K128" i="57"/>
  <c r="K129" i="57"/>
  <c r="K130" i="57"/>
  <c r="K131" i="57"/>
  <c r="K132" i="57"/>
  <c r="K133" i="57"/>
  <c r="K134" i="57"/>
  <c r="K135" i="57"/>
  <c r="K136" i="57"/>
  <c r="K137" i="57"/>
  <c r="K138" i="57"/>
  <c r="K139" i="57"/>
  <c r="K140" i="57"/>
  <c r="K141" i="57"/>
  <c r="K142" i="57"/>
  <c r="K143" i="57"/>
  <c r="K144" i="57"/>
  <c r="K145" i="57"/>
  <c r="K146" i="57"/>
  <c r="K147" i="57"/>
  <c r="K148" i="57"/>
  <c r="K149" i="57"/>
  <c r="K150" i="57"/>
  <c r="K151" i="57"/>
  <c r="K152" i="57"/>
  <c r="K153" i="57"/>
  <c r="K154" i="57"/>
  <c r="K155" i="57"/>
  <c r="K156" i="57"/>
  <c r="K157" i="57"/>
  <c r="K158" i="57"/>
  <c r="K159" i="57"/>
  <c r="K160" i="57"/>
  <c r="K161" i="57"/>
  <c r="K162" i="57"/>
  <c r="K163" i="57"/>
  <c r="K164" i="57"/>
  <c r="K165" i="57"/>
  <c r="K166" i="57"/>
  <c r="K167" i="57"/>
  <c r="K168" i="57"/>
  <c r="K169" i="57"/>
  <c r="K170" i="57"/>
  <c r="K171" i="57"/>
  <c r="K172" i="57"/>
  <c r="K173" i="57"/>
  <c r="K174" i="57"/>
  <c r="K175" i="57"/>
  <c r="K176" i="57"/>
  <c r="K177" i="57"/>
  <c r="K178" i="57"/>
  <c r="K179" i="57"/>
  <c r="K180" i="57"/>
  <c r="K181" i="57"/>
  <c r="K182" i="57"/>
  <c r="K183" i="57"/>
  <c r="K184" i="57"/>
  <c r="K185" i="57"/>
  <c r="K186" i="57"/>
  <c r="K187" i="57"/>
  <c r="K188" i="57"/>
  <c r="K189" i="57"/>
  <c r="K190" i="57"/>
  <c r="K191" i="57"/>
  <c r="K192" i="57"/>
  <c r="K193" i="57"/>
  <c r="K194" i="57"/>
  <c r="K195" i="57"/>
  <c r="K196" i="57"/>
  <c r="K197" i="57"/>
  <c r="K198" i="57"/>
  <c r="K199" i="57"/>
  <c r="K200" i="57"/>
  <c r="K201" i="57"/>
  <c r="K202" i="57"/>
  <c r="K203" i="57"/>
  <c r="K204" i="57"/>
  <c r="K205" i="57"/>
  <c r="K206" i="57"/>
  <c r="K207" i="57"/>
  <c r="K208" i="57"/>
  <c r="K209" i="57"/>
  <c r="K210" i="57"/>
  <c r="K211" i="57"/>
  <c r="K212" i="57"/>
  <c r="K213" i="57"/>
  <c r="K214" i="57"/>
  <c r="K215" i="57"/>
  <c r="K216" i="57"/>
  <c r="K217" i="57"/>
  <c r="K218" i="57"/>
  <c r="K219" i="57"/>
  <c r="K220" i="57"/>
  <c r="K221" i="57"/>
  <c r="K222" i="57"/>
  <c r="K223" i="57"/>
  <c r="K224" i="57"/>
  <c r="K225" i="57"/>
  <c r="K226" i="57"/>
  <c r="K227" i="57"/>
  <c r="K228" i="57"/>
  <c r="K229" i="57"/>
  <c r="K230" i="57"/>
  <c r="K231" i="57"/>
  <c r="K232" i="57"/>
  <c r="K233" i="57"/>
  <c r="K234" i="57"/>
  <c r="K235" i="57"/>
  <c r="K236" i="57"/>
  <c r="K237" i="57"/>
  <c r="K238" i="57"/>
  <c r="K239" i="57"/>
  <c r="K240" i="57"/>
  <c r="K241" i="57"/>
  <c r="K242" i="57"/>
  <c r="K243" i="57"/>
  <c r="K244" i="57"/>
  <c r="K245" i="57"/>
  <c r="K246" i="57"/>
  <c r="K247" i="57"/>
  <c r="K248" i="57"/>
  <c r="K249" i="57"/>
  <c r="K250" i="57"/>
  <c r="L11" i="57"/>
  <c r="L32" i="57"/>
  <c r="L72" i="57"/>
  <c r="L97" i="57"/>
  <c r="L131" i="57"/>
  <c r="L179" i="57"/>
  <c r="L225" i="57"/>
  <c r="M4" i="57"/>
  <c r="M5" i="57"/>
  <c r="M6" i="57"/>
  <c r="M25" i="57"/>
  <c r="M27" i="57"/>
  <c r="M35" i="57"/>
  <c r="M37" i="57"/>
  <c r="M42" i="57"/>
  <c r="M43" i="57"/>
  <c r="M44" i="57"/>
  <c r="M45" i="57"/>
  <c r="M47" i="57"/>
  <c r="M48" i="57"/>
  <c r="M49" i="57"/>
  <c r="M54" i="57"/>
  <c r="M65" i="57"/>
  <c r="M74" i="57"/>
  <c r="M75" i="57"/>
  <c r="M77" i="57"/>
  <c r="M79" i="57"/>
  <c r="M82" i="57"/>
  <c r="M89" i="57"/>
  <c r="M92" i="57"/>
  <c r="M93" i="57"/>
  <c r="M94" i="57"/>
  <c r="M95" i="57"/>
  <c r="M97" i="57"/>
  <c r="M113" i="57"/>
  <c r="M114" i="57"/>
  <c r="M115" i="57"/>
  <c r="M120" i="57"/>
  <c r="M122" i="57"/>
  <c r="M124" i="57"/>
  <c r="M125" i="57"/>
  <c r="M126" i="57"/>
  <c r="M131" i="57"/>
  <c r="M135" i="57"/>
  <c r="M142" i="57"/>
  <c r="M143" i="57"/>
  <c r="M144" i="57"/>
  <c r="M146" i="57"/>
  <c r="M163" i="57"/>
  <c r="M164" i="57"/>
  <c r="M169" i="57"/>
  <c r="M174" i="57"/>
  <c r="M175" i="57"/>
  <c r="M177" i="57"/>
  <c r="M179" i="57"/>
  <c r="M182" i="57"/>
  <c r="M184" i="57"/>
  <c r="M185" i="57"/>
  <c r="M187" i="57"/>
  <c r="M192" i="57"/>
  <c r="M197" i="57"/>
  <c r="M202" i="57"/>
  <c r="M203" i="57"/>
  <c r="M206" i="57"/>
  <c r="M207" i="57"/>
  <c r="M208" i="57"/>
  <c r="M210" i="57"/>
  <c r="M213" i="57"/>
  <c r="M219" i="57"/>
  <c r="M224" i="57"/>
  <c r="M225" i="57"/>
  <c r="M226" i="57"/>
  <c r="M232" i="57"/>
  <c r="M234" i="57"/>
  <c r="M235" i="57"/>
  <c r="M237" i="57"/>
  <c r="M245" i="57"/>
  <c r="M247" i="57"/>
  <c r="M248" i="57"/>
  <c r="H4" i="56"/>
  <c r="H5" i="56"/>
  <c r="H6" i="56"/>
  <c r="H7" i="56"/>
  <c r="H8" i="56"/>
  <c r="H9" i="56"/>
  <c r="H10" i="56"/>
  <c r="H11" i="56"/>
  <c r="H12" i="56"/>
  <c r="H13" i="56"/>
  <c r="H14" i="56"/>
  <c r="H15" i="56"/>
  <c r="H16" i="56"/>
  <c r="H17" i="56"/>
  <c r="H18" i="56"/>
  <c r="H19" i="56"/>
  <c r="H20" i="56"/>
  <c r="H21" i="56"/>
  <c r="H22" i="56"/>
  <c r="H23" i="56"/>
  <c r="H24" i="56"/>
  <c r="H25" i="56"/>
  <c r="H26" i="56"/>
  <c r="H27" i="56"/>
  <c r="H28" i="56"/>
  <c r="H29" i="56"/>
  <c r="H30" i="56"/>
  <c r="H31" i="56"/>
  <c r="H32" i="56"/>
  <c r="H33" i="56"/>
  <c r="H34" i="56"/>
  <c r="H35" i="56"/>
  <c r="H36" i="56"/>
  <c r="H37" i="56"/>
  <c r="H38" i="56"/>
  <c r="H39" i="56"/>
  <c r="H40" i="56"/>
  <c r="H41" i="56"/>
  <c r="H42" i="56"/>
  <c r="H43" i="56"/>
  <c r="H44" i="56"/>
  <c r="H45" i="56"/>
  <c r="H46" i="56"/>
  <c r="H47" i="56"/>
  <c r="H48" i="56"/>
  <c r="H49" i="56"/>
  <c r="H50" i="56"/>
  <c r="H51" i="56"/>
  <c r="H52" i="56"/>
  <c r="H53" i="56"/>
  <c r="H54" i="56"/>
  <c r="H55" i="56"/>
  <c r="H56" i="56"/>
  <c r="H57" i="56"/>
  <c r="H58" i="56"/>
  <c r="H59" i="56"/>
  <c r="H60" i="56"/>
  <c r="H61" i="56"/>
  <c r="H62" i="56"/>
  <c r="H63" i="56"/>
  <c r="H64" i="56"/>
  <c r="H65" i="56"/>
  <c r="H66" i="56"/>
  <c r="H67" i="56"/>
  <c r="H68" i="56"/>
  <c r="H69" i="56"/>
  <c r="H70" i="56"/>
  <c r="H71" i="56"/>
  <c r="H72" i="56"/>
  <c r="H73" i="56"/>
  <c r="H74" i="56"/>
  <c r="H75" i="56"/>
  <c r="H76" i="56"/>
  <c r="H77" i="56"/>
  <c r="H78" i="56"/>
  <c r="H79" i="56"/>
  <c r="H80" i="56"/>
  <c r="H81" i="56"/>
  <c r="H82" i="56"/>
  <c r="H83" i="56"/>
  <c r="H84" i="56"/>
  <c r="H85" i="56"/>
  <c r="H86" i="56"/>
  <c r="H87" i="56"/>
  <c r="H88" i="56"/>
  <c r="H89" i="56"/>
  <c r="H90" i="56"/>
  <c r="H91" i="56"/>
  <c r="H92" i="56"/>
  <c r="H93" i="56"/>
  <c r="H94" i="56"/>
  <c r="H95" i="56"/>
  <c r="H96" i="56"/>
  <c r="H97" i="56"/>
  <c r="H98" i="56"/>
  <c r="H99" i="56"/>
  <c r="H100" i="56"/>
  <c r="H101" i="56"/>
  <c r="H102" i="56"/>
  <c r="H103" i="56"/>
  <c r="H104" i="56"/>
  <c r="H105" i="56"/>
  <c r="H106" i="56"/>
  <c r="H107" i="56"/>
  <c r="H108" i="56"/>
  <c r="H109" i="56"/>
  <c r="H110" i="56"/>
  <c r="H111" i="56"/>
  <c r="H112" i="56"/>
  <c r="H113" i="56"/>
  <c r="H114" i="56"/>
  <c r="H115" i="56"/>
  <c r="H116" i="56"/>
  <c r="H117" i="56"/>
  <c r="H118" i="56"/>
  <c r="H119" i="56"/>
  <c r="H120" i="56"/>
  <c r="H121" i="56"/>
  <c r="H122" i="56"/>
  <c r="H123" i="56"/>
  <c r="H124" i="56"/>
  <c r="H125" i="56"/>
  <c r="H126" i="56"/>
  <c r="H127" i="56"/>
  <c r="H128" i="56"/>
  <c r="H129" i="56"/>
  <c r="H130" i="56"/>
  <c r="H131" i="56"/>
  <c r="H132" i="56"/>
  <c r="H133" i="56"/>
  <c r="H134" i="56"/>
  <c r="H135" i="56"/>
  <c r="H136" i="56"/>
  <c r="H137" i="56"/>
  <c r="H138" i="56"/>
  <c r="H139" i="56"/>
  <c r="H140" i="56"/>
  <c r="H141" i="56"/>
  <c r="H142" i="56"/>
  <c r="H143" i="56"/>
  <c r="H144" i="56"/>
  <c r="H145" i="56"/>
  <c r="H146" i="56"/>
  <c r="H147" i="56"/>
  <c r="H148" i="56"/>
  <c r="H149" i="56"/>
  <c r="H150" i="56"/>
  <c r="H151" i="56"/>
  <c r="H152" i="56"/>
  <c r="H153" i="56"/>
  <c r="H154" i="56"/>
  <c r="H155" i="56"/>
  <c r="H156" i="56"/>
  <c r="H157" i="56"/>
  <c r="H158" i="56"/>
  <c r="H159" i="56"/>
  <c r="H160" i="56"/>
  <c r="H161" i="56"/>
  <c r="H162" i="56"/>
  <c r="H163" i="56"/>
  <c r="H164" i="56"/>
  <c r="H165" i="56"/>
  <c r="H166" i="56"/>
  <c r="H167" i="56"/>
  <c r="H168" i="56"/>
  <c r="H169" i="56"/>
  <c r="H170" i="56"/>
  <c r="H171" i="56"/>
  <c r="H172" i="56"/>
  <c r="H173" i="56"/>
  <c r="H174" i="56"/>
  <c r="H175" i="56"/>
  <c r="H176" i="56"/>
  <c r="H177" i="56"/>
  <c r="H178" i="56"/>
  <c r="H179" i="56"/>
  <c r="H180" i="56"/>
  <c r="H181" i="56"/>
  <c r="H182" i="56"/>
  <c r="H183" i="56"/>
  <c r="H184" i="56"/>
  <c r="H185" i="56"/>
  <c r="H186" i="56"/>
  <c r="H187" i="56"/>
  <c r="H188" i="56"/>
  <c r="H189" i="56"/>
  <c r="H190" i="56"/>
  <c r="H191" i="56"/>
  <c r="H192" i="56"/>
  <c r="H193" i="56"/>
  <c r="H194" i="56"/>
  <c r="H195" i="56"/>
  <c r="H196" i="56"/>
  <c r="H197" i="56"/>
  <c r="H198" i="56"/>
  <c r="H199" i="56"/>
  <c r="H200" i="56"/>
  <c r="H201" i="56"/>
  <c r="H202" i="56"/>
  <c r="H203" i="56"/>
  <c r="H204" i="56"/>
  <c r="H205" i="56"/>
  <c r="H206" i="56"/>
  <c r="H207" i="56"/>
  <c r="H208" i="56"/>
  <c r="H209" i="56"/>
  <c r="H210" i="56"/>
  <c r="H211" i="56"/>
  <c r="H212" i="56"/>
  <c r="H213" i="56"/>
  <c r="H214" i="56"/>
  <c r="H215" i="56"/>
  <c r="H216" i="56"/>
  <c r="H217" i="56"/>
  <c r="H218" i="56"/>
  <c r="H219" i="56"/>
  <c r="H220" i="56"/>
  <c r="H221" i="56"/>
  <c r="H222" i="56"/>
  <c r="H223" i="56"/>
  <c r="H224" i="56"/>
  <c r="H225" i="56"/>
  <c r="H226" i="56"/>
  <c r="H227" i="56"/>
  <c r="H228" i="56"/>
  <c r="H229" i="56"/>
  <c r="H230" i="56"/>
  <c r="H231" i="56"/>
  <c r="H232" i="56"/>
  <c r="H233" i="56"/>
  <c r="H234" i="56"/>
  <c r="H235" i="56"/>
  <c r="H236" i="56"/>
  <c r="H237" i="56"/>
  <c r="H238" i="56"/>
  <c r="H239" i="56"/>
  <c r="H240" i="56"/>
  <c r="H241" i="56"/>
  <c r="H242" i="56"/>
  <c r="H243" i="56"/>
  <c r="H244" i="56"/>
  <c r="H245" i="56"/>
  <c r="H246" i="56"/>
  <c r="H247" i="56"/>
  <c r="H248" i="56"/>
  <c r="H249" i="56"/>
  <c r="H250" i="56"/>
  <c r="K4" i="56"/>
  <c r="K5" i="56"/>
  <c r="K6" i="56"/>
  <c r="K7" i="56"/>
  <c r="K8" i="56"/>
  <c r="K9" i="56"/>
  <c r="K10" i="56"/>
  <c r="K11" i="56"/>
  <c r="K12" i="56"/>
  <c r="K13" i="56"/>
  <c r="K14" i="56"/>
  <c r="K15" i="56"/>
  <c r="K16" i="56"/>
  <c r="K17" i="56"/>
  <c r="K18" i="56"/>
  <c r="K19" i="56"/>
  <c r="K20" i="56"/>
  <c r="K21" i="56"/>
  <c r="K22" i="56"/>
  <c r="K23" i="56"/>
  <c r="K24" i="56"/>
  <c r="K25" i="56"/>
  <c r="K26" i="56"/>
  <c r="K27" i="56"/>
  <c r="K28" i="56"/>
  <c r="K29" i="56"/>
  <c r="K30" i="56"/>
  <c r="K31" i="56"/>
  <c r="K32" i="56"/>
  <c r="K33" i="56"/>
  <c r="K34" i="56"/>
  <c r="K35" i="56"/>
  <c r="K36" i="56"/>
  <c r="K37" i="56"/>
  <c r="K38" i="56"/>
  <c r="K39" i="56"/>
  <c r="K40" i="56"/>
  <c r="K41" i="56"/>
  <c r="K42" i="56"/>
  <c r="K43" i="56"/>
  <c r="K44" i="56"/>
  <c r="K45" i="56"/>
  <c r="K46" i="56"/>
  <c r="K47" i="56"/>
  <c r="K48" i="56"/>
  <c r="K49" i="56"/>
  <c r="K50" i="56"/>
  <c r="K51" i="56"/>
  <c r="K52" i="56"/>
  <c r="K53" i="56"/>
  <c r="K54" i="56"/>
  <c r="K55" i="56"/>
  <c r="K56" i="56"/>
  <c r="K57" i="56"/>
  <c r="K58" i="56"/>
  <c r="K59" i="56"/>
  <c r="K60" i="56"/>
  <c r="K61" i="56"/>
  <c r="K62" i="56"/>
  <c r="K63" i="56"/>
  <c r="K64" i="56"/>
  <c r="K65" i="56"/>
  <c r="K66" i="56"/>
  <c r="K67" i="56"/>
  <c r="K68" i="56"/>
  <c r="K69" i="56"/>
  <c r="K70" i="56"/>
  <c r="K71" i="56"/>
  <c r="K72" i="56"/>
  <c r="K73" i="56"/>
  <c r="K74" i="56"/>
  <c r="K75" i="56"/>
  <c r="K76" i="56"/>
  <c r="K77" i="56"/>
  <c r="K78" i="56"/>
  <c r="K79" i="56"/>
  <c r="K80" i="56"/>
  <c r="K81" i="56"/>
  <c r="K82" i="56"/>
  <c r="K83" i="56"/>
  <c r="K84" i="56"/>
  <c r="K85" i="56"/>
  <c r="K86" i="56"/>
  <c r="K87" i="56"/>
  <c r="K88" i="56"/>
  <c r="K89" i="56"/>
  <c r="K90" i="56"/>
  <c r="K91" i="56"/>
  <c r="K92" i="56"/>
  <c r="K93" i="56"/>
  <c r="K94" i="56"/>
  <c r="K95" i="56"/>
  <c r="K96" i="56"/>
  <c r="K97" i="56"/>
  <c r="K98" i="56"/>
  <c r="K99" i="56"/>
  <c r="K100" i="56"/>
  <c r="K101" i="56"/>
  <c r="K102" i="56"/>
  <c r="K103" i="56"/>
  <c r="K104" i="56"/>
  <c r="K105" i="56"/>
  <c r="K106" i="56"/>
  <c r="K107" i="56"/>
  <c r="K108" i="56"/>
  <c r="K109" i="56"/>
  <c r="K110" i="56"/>
  <c r="K111" i="56"/>
  <c r="K112" i="56"/>
  <c r="K113" i="56"/>
  <c r="K114" i="56"/>
  <c r="K115" i="56"/>
  <c r="K116" i="56"/>
  <c r="K117" i="56"/>
  <c r="K118" i="56"/>
  <c r="K119" i="56"/>
  <c r="K120" i="56"/>
  <c r="K121" i="56"/>
  <c r="K122" i="56"/>
  <c r="K123" i="56"/>
  <c r="K124" i="56"/>
  <c r="K125" i="56"/>
  <c r="K126" i="56"/>
  <c r="K127" i="56"/>
  <c r="K128" i="56"/>
  <c r="K129" i="56"/>
  <c r="K130" i="56"/>
  <c r="K131" i="56"/>
  <c r="K132" i="56"/>
  <c r="K133" i="56"/>
  <c r="K134" i="56"/>
  <c r="K135" i="56"/>
  <c r="K136" i="56"/>
  <c r="K137" i="56"/>
  <c r="K138" i="56"/>
  <c r="K139" i="56"/>
  <c r="K140" i="56"/>
  <c r="K141" i="56"/>
  <c r="K142" i="56"/>
  <c r="K143" i="56"/>
  <c r="K144" i="56"/>
  <c r="K145" i="56"/>
  <c r="K146" i="56"/>
  <c r="K147" i="56"/>
  <c r="K148" i="56"/>
  <c r="K149" i="56"/>
  <c r="K150" i="56"/>
  <c r="K151" i="56"/>
  <c r="K152" i="56"/>
  <c r="K153" i="56"/>
  <c r="K154" i="56"/>
  <c r="K155" i="56"/>
  <c r="K156" i="56"/>
  <c r="K157" i="56"/>
  <c r="K158" i="56"/>
  <c r="K159" i="56"/>
  <c r="K160" i="56"/>
  <c r="K161" i="56"/>
  <c r="K162" i="56"/>
  <c r="K163" i="56"/>
  <c r="K164" i="56"/>
  <c r="K165" i="56"/>
  <c r="K166" i="56"/>
  <c r="K167" i="56"/>
  <c r="K168" i="56"/>
  <c r="K169" i="56"/>
  <c r="K170" i="56"/>
  <c r="K171" i="56"/>
  <c r="K172" i="56"/>
  <c r="K173" i="56"/>
  <c r="K174" i="56"/>
  <c r="K175" i="56"/>
  <c r="K176" i="56"/>
  <c r="K177" i="56"/>
  <c r="K178" i="56"/>
  <c r="K179" i="56"/>
  <c r="K180" i="56"/>
  <c r="K181" i="56"/>
  <c r="K182" i="56"/>
  <c r="K183" i="56"/>
  <c r="K184" i="56"/>
  <c r="K185" i="56"/>
  <c r="K186" i="56"/>
  <c r="K187" i="56"/>
  <c r="K188" i="56"/>
  <c r="K189" i="56"/>
  <c r="K190" i="56"/>
  <c r="K191" i="56"/>
  <c r="K192" i="56"/>
  <c r="K193" i="56"/>
  <c r="K194" i="56"/>
  <c r="K195" i="56"/>
  <c r="K196" i="56"/>
  <c r="K197" i="56"/>
  <c r="K198" i="56"/>
  <c r="K199" i="56"/>
  <c r="K200" i="56"/>
  <c r="K201" i="56"/>
  <c r="K202" i="56"/>
  <c r="K203" i="56"/>
  <c r="K204" i="56"/>
  <c r="K205" i="56"/>
  <c r="K206" i="56"/>
  <c r="K207" i="56"/>
  <c r="K208" i="56"/>
  <c r="K209" i="56"/>
  <c r="K210" i="56"/>
  <c r="K211" i="56"/>
  <c r="K212" i="56"/>
  <c r="K213" i="56"/>
  <c r="K214" i="56"/>
  <c r="K215" i="56"/>
  <c r="K216" i="56"/>
  <c r="K217" i="56"/>
  <c r="K218" i="56"/>
  <c r="K219" i="56"/>
  <c r="K220" i="56"/>
  <c r="K221" i="56"/>
  <c r="K222" i="56"/>
  <c r="K223" i="56"/>
  <c r="K224" i="56"/>
  <c r="K225" i="56"/>
  <c r="K226" i="56"/>
  <c r="K227" i="56"/>
  <c r="K228" i="56"/>
  <c r="K229" i="56"/>
  <c r="K230" i="56"/>
  <c r="K231" i="56"/>
  <c r="K232" i="56"/>
  <c r="K233" i="56"/>
  <c r="K234" i="56"/>
  <c r="K235" i="56"/>
  <c r="K236" i="56"/>
  <c r="K237" i="56"/>
  <c r="K238" i="56"/>
  <c r="K239" i="56"/>
  <c r="K240" i="56"/>
  <c r="K241" i="56"/>
  <c r="K242" i="56"/>
  <c r="K243" i="56"/>
  <c r="K244" i="56"/>
  <c r="K245" i="56"/>
  <c r="K246" i="56"/>
  <c r="K247" i="56"/>
  <c r="K248" i="56"/>
  <c r="K249" i="56"/>
  <c r="K250" i="56"/>
  <c r="L4" i="56"/>
  <c r="L5" i="56"/>
  <c r="L6" i="56"/>
  <c r="L7" i="56"/>
  <c r="L8" i="56"/>
  <c r="L9" i="56"/>
  <c r="L10" i="56"/>
  <c r="L11" i="56"/>
  <c r="L12" i="56"/>
  <c r="L13" i="56"/>
  <c r="L14" i="56"/>
  <c r="L15" i="56"/>
  <c r="L16" i="56"/>
  <c r="L17" i="56"/>
  <c r="L18" i="56"/>
  <c r="L19" i="56"/>
  <c r="L20" i="56"/>
  <c r="L21" i="56"/>
  <c r="L22" i="56"/>
  <c r="L23" i="56"/>
  <c r="L24" i="56"/>
  <c r="L25" i="56"/>
  <c r="L26" i="56"/>
  <c r="L27" i="56"/>
  <c r="L28" i="56"/>
  <c r="L29" i="56"/>
  <c r="L30" i="56"/>
  <c r="L31" i="56"/>
  <c r="L32" i="56"/>
  <c r="L33" i="56"/>
  <c r="L34" i="56"/>
  <c r="L35" i="56"/>
  <c r="L36" i="56"/>
  <c r="L37" i="56"/>
  <c r="L38" i="56"/>
  <c r="L39" i="56"/>
  <c r="L40" i="56"/>
  <c r="L41" i="56"/>
  <c r="L42" i="56"/>
  <c r="L43" i="56"/>
  <c r="L44" i="56"/>
  <c r="L45" i="56"/>
  <c r="L46" i="56"/>
  <c r="L47" i="56"/>
  <c r="L48" i="56"/>
  <c r="L49" i="56"/>
  <c r="L50" i="56"/>
  <c r="L51" i="56"/>
  <c r="L52" i="56"/>
  <c r="L53" i="56"/>
  <c r="L54" i="56"/>
  <c r="L55" i="56"/>
  <c r="L56" i="56"/>
  <c r="L57" i="56"/>
  <c r="L58" i="56"/>
  <c r="L59" i="56"/>
  <c r="L60" i="56"/>
  <c r="L61" i="56"/>
  <c r="L62" i="56"/>
  <c r="L63" i="56"/>
  <c r="L64" i="56"/>
  <c r="L65" i="56"/>
  <c r="L66" i="56"/>
  <c r="L67" i="56"/>
  <c r="L68" i="56"/>
  <c r="L69" i="56"/>
  <c r="L70" i="56"/>
  <c r="L71" i="56"/>
  <c r="L72" i="56"/>
  <c r="L73" i="56"/>
  <c r="L74" i="56"/>
  <c r="L75" i="56"/>
  <c r="L76" i="56"/>
  <c r="L77" i="56"/>
  <c r="L78" i="56"/>
  <c r="L79" i="56"/>
  <c r="L80" i="56"/>
  <c r="L81" i="56"/>
  <c r="L82" i="56"/>
  <c r="L83" i="56"/>
  <c r="L84" i="56"/>
  <c r="L85" i="56"/>
  <c r="L86" i="56"/>
  <c r="L87" i="56"/>
  <c r="L88" i="56"/>
  <c r="L89" i="56"/>
  <c r="L90" i="56"/>
  <c r="L91" i="56"/>
  <c r="L92" i="56"/>
  <c r="L93" i="56"/>
  <c r="L94" i="56"/>
  <c r="L95" i="56"/>
  <c r="L96" i="56"/>
  <c r="L97" i="56"/>
  <c r="L98" i="56"/>
  <c r="L99" i="56"/>
  <c r="L100" i="56"/>
  <c r="L101" i="56"/>
  <c r="L102" i="56"/>
  <c r="L103" i="56"/>
  <c r="L104" i="56"/>
  <c r="L105" i="56"/>
  <c r="L106" i="56"/>
  <c r="L107" i="56"/>
  <c r="L108" i="56"/>
  <c r="L109" i="56"/>
  <c r="L110" i="56"/>
  <c r="L111" i="56"/>
  <c r="L112" i="56"/>
  <c r="L113" i="56"/>
  <c r="L114" i="56"/>
  <c r="L115" i="56"/>
  <c r="L116" i="56"/>
  <c r="L117" i="56"/>
  <c r="L118" i="56"/>
  <c r="L119" i="56"/>
  <c r="L120" i="56"/>
  <c r="L121" i="56"/>
  <c r="L122" i="56"/>
  <c r="L123" i="56"/>
  <c r="L124" i="56"/>
  <c r="L125" i="56"/>
  <c r="L126" i="56"/>
  <c r="L127" i="56"/>
  <c r="L128" i="56"/>
  <c r="L129" i="56"/>
  <c r="L130" i="56"/>
  <c r="L131" i="56"/>
  <c r="L132" i="56"/>
  <c r="L133" i="56"/>
  <c r="L134" i="56"/>
  <c r="L135" i="56"/>
  <c r="L136" i="56"/>
  <c r="L137" i="56"/>
  <c r="L138" i="56"/>
  <c r="L139" i="56"/>
  <c r="L140" i="56"/>
  <c r="L141" i="56"/>
  <c r="L142" i="56"/>
  <c r="L143" i="56"/>
  <c r="L144" i="56"/>
  <c r="L145" i="56"/>
  <c r="L146" i="56"/>
  <c r="L147" i="56"/>
  <c r="L148" i="56"/>
  <c r="L149" i="56"/>
  <c r="L150" i="56"/>
  <c r="L151" i="56"/>
  <c r="L152" i="56"/>
  <c r="L153" i="56"/>
  <c r="L154" i="56"/>
  <c r="L155" i="56"/>
  <c r="L156" i="56"/>
  <c r="L157" i="56"/>
  <c r="L158" i="56"/>
  <c r="L159" i="56"/>
  <c r="L160" i="56"/>
  <c r="L161" i="56"/>
  <c r="L162" i="56"/>
  <c r="L163" i="56"/>
  <c r="L164" i="56"/>
  <c r="L165" i="56"/>
  <c r="L166" i="56"/>
  <c r="L167" i="56"/>
  <c r="L168" i="56"/>
  <c r="L169" i="56"/>
  <c r="L170" i="56"/>
  <c r="L171" i="56"/>
  <c r="L172" i="56"/>
  <c r="L173" i="56"/>
  <c r="L174" i="56"/>
  <c r="L175" i="56"/>
  <c r="L176" i="56"/>
  <c r="L177" i="56"/>
  <c r="L178" i="56"/>
  <c r="L179" i="56"/>
  <c r="L180" i="56"/>
  <c r="L181" i="56"/>
  <c r="L182" i="56"/>
  <c r="L183" i="56"/>
  <c r="L184" i="56"/>
  <c r="L185" i="56"/>
  <c r="L186" i="56"/>
  <c r="L187" i="56"/>
  <c r="L188" i="56"/>
  <c r="L189" i="56"/>
  <c r="L190" i="56"/>
  <c r="L191" i="56"/>
  <c r="L192" i="56"/>
  <c r="L193" i="56"/>
  <c r="L194" i="56"/>
  <c r="L195" i="56"/>
  <c r="L196" i="56"/>
  <c r="L197" i="56"/>
  <c r="L198" i="56"/>
  <c r="L199" i="56"/>
  <c r="L200" i="56"/>
  <c r="L201" i="56"/>
  <c r="L202" i="56"/>
  <c r="L203" i="56"/>
  <c r="L204" i="56"/>
  <c r="L205" i="56"/>
  <c r="L206" i="56"/>
  <c r="L207" i="56"/>
  <c r="L208" i="56"/>
  <c r="L209" i="56"/>
  <c r="L210" i="56"/>
  <c r="L211" i="56"/>
  <c r="L212" i="56"/>
  <c r="L213" i="56"/>
  <c r="L214" i="56"/>
  <c r="L215" i="56"/>
  <c r="L216" i="56"/>
  <c r="L217" i="56"/>
  <c r="L218" i="56"/>
  <c r="L219" i="56"/>
  <c r="L220" i="56"/>
  <c r="L221" i="56"/>
  <c r="L222" i="56"/>
  <c r="L223" i="56"/>
  <c r="L224" i="56"/>
  <c r="L225" i="56"/>
  <c r="L226" i="56"/>
  <c r="L227" i="56"/>
  <c r="L228" i="56"/>
  <c r="L229" i="56"/>
  <c r="L230" i="56"/>
  <c r="L231" i="56"/>
  <c r="L232" i="56"/>
  <c r="L233" i="56"/>
  <c r="L234" i="56"/>
  <c r="L235" i="56"/>
  <c r="L236" i="56"/>
  <c r="L237" i="56"/>
  <c r="L238" i="56"/>
  <c r="L239" i="56"/>
  <c r="L240" i="56"/>
  <c r="L241" i="56"/>
  <c r="L242" i="56"/>
  <c r="L243" i="56"/>
  <c r="L244" i="56"/>
  <c r="L245" i="56"/>
  <c r="L246" i="56"/>
  <c r="L247" i="56"/>
  <c r="L248" i="56"/>
  <c r="L249" i="56"/>
  <c r="L250" i="56"/>
  <c r="M5" i="56"/>
  <c r="M7" i="56"/>
  <c r="M10" i="56"/>
  <c r="M13" i="56"/>
  <c r="M15" i="56"/>
  <c r="M16" i="56"/>
  <c r="M17" i="56"/>
  <c r="M20" i="56"/>
  <c r="M25" i="56"/>
  <c r="M29" i="56"/>
  <c r="M30" i="56"/>
  <c r="M31" i="56"/>
  <c r="M33" i="56"/>
  <c r="M42" i="56"/>
  <c r="M45" i="56"/>
  <c r="M47" i="56"/>
  <c r="M51" i="56"/>
  <c r="M52" i="56"/>
  <c r="M53" i="56"/>
  <c r="M55" i="56"/>
  <c r="M59" i="56"/>
  <c r="M60" i="56"/>
  <c r="M62" i="56"/>
  <c r="M67" i="56"/>
  <c r="M70" i="56"/>
  <c r="M71" i="56"/>
  <c r="M72" i="56"/>
  <c r="M73" i="56"/>
  <c r="M78" i="56"/>
  <c r="M82" i="56"/>
  <c r="M91" i="56"/>
  <c r="M92" i="56"/>
  <c r="M96" i="56"/>
  <c r="M97" i="56"/>
  <c r="M99" i="56"/>
  <c r="M100" i="56"/>
  <c r="M113" i="56"/>
  <c r="M115" i="56"/>
  <c r="M119" i="56"/>
  <c r="M125" i="56"/>
  <c r="M130" i="56"/>
  <c r="M133" i="56"/>
  <c r="M135" i="56"/>
  <c r="M136" i="56"/>
  <c r="M137" i="56"/>
  <c r="M138" i="56"/>
  <c r="M139" i="56"/>
  <c r="M140" i="56"/>
  <c r="M142" i="56"/>
  <c r="M144" i="56"/>
  <c r="M147" i="56"/>
  <c r="M150" i="56"/>
  <c r="M153" i="56"/>
  <c r="M159" i="56"/>
  <c r="M160" i="56"/>
  <c r="M165" i="56"/>
  <c r="M169" i="56"/>
  <c r="M170" i="56"/>
  <c r="M171" i="56"/>
  <c r="M172" i="56"/>
  <c r="M173" i="56"/>
  <c r="M175" i="56"/>
  <c r="M176" i="56"/>
  <c r="M177" i="56"/>
  <c r="M179" i="56"/>
  <c r="M182" i="56"/>
  <c r="M184" i="56"/>
  <c r="M185" i="56"/>
  <c r="M187" i="56"/>
  <c r="M191" i="56"/>
  <c r="M196" i="56"/>
  <c r="M209" i="56"/>
  <c r="M210" i="56"/>
  <c r="M213" i="56"/>
  <c r="M214" i="56"/>
  <c r="M215" i="56"/>
  <c r="M216" i="56"/>
  <c r="M217" i="56"/>
  <c r="M225" i="56"/>
  <c r="M227" i="56"/>
  <c r="M230" i="56"/>
  <c r="M231" i="56"/>
  <c r="M232" i="56"/>
  <c r="M250" i="56"/>
  <c r="R10" i="56"/>
  <c r="R30" i="56"/>
  <c r="R31" i="56"/>
  <c r="R42" i="56"/>
  <c r="R51" i="56"/>
  <c r="R91" i="56"/>
  <c r="R130" i="56"/>
  <c r="R138" i="56"/>
  <c r="R150" i="56"/>
  <c r="R153" i="56"/>
  <c r="R170" i="56"/>
  <c r="R191" i="56"/>
  <c r="R210" i="56"/>
  <c r="R227" i="56"/>
  <c r="R230" i="56"/>
  <c r="R250" i="56"/>
  <c r="H4" i="55"/>
  <c r="H5" i="55"/>
  <c r="H6" i="55"/>
  <c r="H7" i="55"/>
  <c r="H8" i="55"/>
  <c r="H9" i="55"/>
  <c r="H10" i="55"/>
  <c r="H11" i="55"/>
  <c r="H12" i="55"/>
  <c r="H13" i="55"/>
  <c r="H14" i="55"/>
  <c r="H15" i="55"/>
  <c r="H16" i="55"/>
  <c r="H17" i="55"/>
  <c r="H18" i="55"/>
  <c r="H19" i="55"/>
  <c r="H20" i="55"/>
  <c r="H21" i="55"/>
  <c r="H22" i="55"/>
  <c r="H23" i="55"/>
  <c r="H24" i="55"/>
  <c r="H25" i="55"/>
  <c r="H26" i="55"/>
  <c r="H27" i="55"/>
  <c r="H28" i="55"/>
  <c r="H29" i="55"/>
  <c r="H30" i="55"/>
  <c r="H31" i="55"/>
  <c r="H32" i="55"/>
  <c r="H33" i="55"/>
  <c r="H34" i="55"/>
  <c r="H35" i="55"/>
  <c r="L35" i="55" s="1"/>
  <c r="H36" i="55"/>
  <c r="H37" i="55"/>
  <c r="H38" i="55"/>
  <c r="H39" i="55"/>
  <c r="H40" i="55"/>
  <c r="H41" i="55"/>
  <c r="H42" i="55"/>
  <c r="H43" i="55"/>
  <c r="H44" i="55"/>
  <c r="H45" i="55"/>
  <c r="H46" i="55"/>
  <c r="H47" i="55"/>
  <c r="H48" i="55"/>
  <c r="H49" i="55"/>
  <c r="H50" i="55"/>
  <c r="H51" i="55"/>
  <c r="H52" i="55"/>
  <c r="H53" i="55"/>
  <c r="H54" i="55"/>
  <c r="H55" i="55"/>
  <c r="H56" i="55"/>
  <c r="H57" i="55"/>
  <c r="H58" i="55"/>
  <c r="H59" i="55"/>
  <c r="H60" i="55"/>
  <c r="H61" i="55"/>
  <c r="H62" i="55"/>
  <c r="H63" i="55"/>
  <c r="H64" i="55"/>
  <c r="H65" i="55"/>
  <c r="H66" i="55"/>
  <c r="H67" i="55"/>
  <c r="H68" i="55"/>
  <c r="H69" i="55"/>
  <c r="H70" i="55"/>
  <c r="H71" i="55"/>
  <c r="H72" i="55"/>
  <c r="H73" i="55"/>
  <c r="H74" i="55"/>
  <c r="H75" i="55"/>
  <c r="H76" i="55"/>
  <c r="H77" i="55"/>
  <c r="H78" i="55"/>
  <c r="H79" i="55"/>
  <c r="H80" i="55"/>
  <c r="H81" i="55"/>
  <c r="H82" i="55"/>
  <c r="H83" i="55"/>
  <c r="H84" i="55"/>
  <c r="H85" i="55"/>
  <c r="H86" i="55"/>
  <c r="H87" i="55"/>
  <c r="H88" i="55"/>
  <c r="H89" i="55"/>
  <c r="H90" i="55"/>
  <c r="H91" i="55"/>
  <c r="H92" i="55"/>
  <c r="H93" i="55"/>
  <c r="H94" i="55"/>
  <c r="H95" i="55"/>
  <c r="H96" i="55"/>
  <c r="H97" i="55"/>
  <c r="H98" i="55"/>
  <c r="H99" i="55"/>
  <c r="H100" i="55"/>
  <c r="H101" i="55"/>
  <c r="H102" i="55"/>
  <c r="H103" i="55"/>
  <c r="H104" i="55"/>
  <c r="H105" i="55"/>
  <c r="H106" i="55"/>
  <c r="H107" i="55"/>
  <c r="H108" i="55"/>
  <c r="H109" i="55"/>
  <c r="H110" i="55"/>
  <c r="H111" i="55"/>
  <c r="H112" i="55"/>
  <c r="H113" i="55"/>
  <c r="H114" i="55"/>
  <c r="H115" i="55"/>
  <c r="H116" i="55"/>
  <c r="H117" i="55"/>
  <c r="H118" i="55"/>
  <c r="H119" i="55"/>
  <c r="H120" i="55"/>
  <c r="H121" i="55"/>
  <c r="H122" i="55"/>
  <c r="H123" i="55"/>
  <c r="H124" i="55"/>
  <c r="H125" i="55"/>
  <c r="H126" i="55"/>
  <c r="H127" i="55"/>
  <c r="H128" i="55"/>
  <c r="H129" i="55"/>
  <c r="H130" i="55"/>
  <c r="H131" i="55"/>
  <c r="H132" i="55"/>
  <c r="H133" i="55"/>
  <c r="H134" i="55"/>
  <c r="H135" i="55"/>
  <c r="H136" i="55"/>
  <c r="H137" i="55"/>
  <c r="H138" i="55"/>
  <c r="H139" i="55"/>
  <c r="H140" i="55"/>
  <c r="H141" i="55"/>
  <c r="H142" i="55"/>
  <c r="H143" i="55"/>
  <c r="H144" i="55"/>
  <c r="H145" i="55"/>
  <c r="H146" i="55"/>
  <c r="H147" i="55"/>
  <c r="H148" i="55"/>
  <c r="H149" i="55"/>
  <c r="H150" i="55"/>
  <c r="H151" i="55"/>
  <c r="H152" i="55"/>
  <c r="H153" i="55"/>
  <c r="H154" i="55"/>
  <c r="H155" i="55"/>
  <c r="H156" i="55"/>
  <c r="H157" i="55"/>
  <c r="H158" i="55"/>
  <c r="H159" i="55"/>
  <c r="H160" i="55"/>
  <c r="H161" i="55"/>
  <c r="H162" i="55"/>
  <c r="H163" i="55"/>
  <c r="H164" i="55"/>
  <c r="H165" i="55"/>
  <c r="H166" i="55"/>
  <c r="H167" i="55"/>
  <c r="H168" i="55"/>
  <c r="H169" i="55"/>
  <c r="H170" i="55"/>
  <c r="H171" i="55"/>
  <c r="H172" i="55"/>
  <c r="H173" i="55"/>
  <c r="H174" i="55"/>
  <c r="H175" i="55"/>
  <c r="H176" i="55"/>
  <c r="H177" i="55"/>
  <c r="H178" i="55"/>
  <c r="H179" i="55"/>
  <c r="H180" i="55"/>
  <c r="H181" i="55"/>
  <c r="H182" i="55"/>
  <c r="H183" i="55"/>
  <c r="H184" i="55"/>
  <c r="H185" i="55"/>
  <c r="H186" i="55"/>
  <c r="H187" i="55"/>
  <c r="H188" i="55"/>
  <c r="H189" i="55"/>
  <c r="H190" i="55"/>
  <c r="H191" i="55"/>
  <c r="H192" i="55"/>
  <c r="H193" i="55"/>
  <c r="H194" i="55"/>
  <c r="H195" i="55"/>
  <c r="H196" i="55"/>
  <c r="H197" i="55"/>
  <c r="H198" i="55"/>
  <c r="H199" i="55"/>
  <c r="H200" i="55"/>
  <c r="H201" i="55"/>
  <c r="H202" i="55"/>
  <c r="H203" i="55"/>
  <c r="H204" i="55"/>
  <c r="H205" i="55"/>
  <c r="H206" i="55"/>
  <c r="H207" i="55"/>
  <c r="H208" i="55"/>
  <c r="H209" i="55"/>
  <c r="H210" i="55"/>
  <c r="H211" i="55"/>
  <c r="H212" i="55"/>
  <c r="H213" i="55"/>
  <c r="H214" i="55"/>
  <c r="H215" i="55"/>
  <c r="H216" i="55"/>
  <c r="H217" i="55"/>
  <c r="H218" i="55"/>
  <c r="H219" i="55"/>
  <c r="H220" i="55"/>
  <c r="H221" i="55"/>
  <c r="H222" i="55"/>
  <c r="H223" i="55"/>
  <c r="H224" i="55"/>
  <c r="H225" i="55"/>
  <c r="H226" i="55"/>
  <c r="H227" i="55"/>
  <c r="H228" i="55"/>
  <c r="H229" i="55"/>
  <c r="H230" i="55"/>
  <c r="H231" i="55"/>
  <c r="H232" i="55"/>
  <c r="H233" i="55"/>
  <c r="H234" i="55"/>
  <c r="H235" i="55"/>
  <c r="H236" i="55"/>
  <c r="H237" i="55"/>
  <c r="H238" i="55"/>
  <c r="H239" i="55"/>
  <c r="H240" i="55"/>
  <c r="H241" i="55"/>
  <c r="H242" i="55"/>
  <c r="H243" i="55"/>
  <c r="H244" i="55"/>
  <c r="H245" i="55"/>
  <c r="H246" i="55"/>
  <c r="H247" i="55"/>
  <c r="H248" i="55"/>
  <c r="H249" i="55"/>
  <c r="H250" i="55"/>
  <c r="K4" i="55"/>
  <c r="K5" i="55"/>
  <c r="K6" i="55"/>
  <c r="K7" i="55"/>
  <c r="L7" i="55" s="1"/>
  <c r="K8" i="55"/>
  <c r="L8" i="55" s="1"/>
  <c r="K9" i="55"/>
  <c r="L9" i="55" s="1"/>
  <c r="K10" i="55"/>
  <c r="K11" i="55"/>
  <c r="L11" i="55" s="1"/>
  <c r="R11" i="55" s="1"/>
  <c r="K12" i="55"/>
  <c r="K13" i="55"/>
  <c r="K14" i="55"/>
  <c r="K15" i="55"/>
  <c r="K16" i="55"/>
  <c r="L16" i="55" s="1"/>
  <c r="K17" i="55"/>
  <c r="K18" i="55"/>
  <c r="K19" i="55"/>
  <c r="K20" i="55"/>
  <c r="K21" i="55"/>
  <c r="K22" i="55"/>
  <c r="K23" i="55"/>
  <c r="L23" i="55" s="1"/>
  <c r="K24" i="55"/>
  <c r="L24" i="55" s="1"/>
  <c r="K25" i="55"/>
  <c r="K26" i="55"/>
  <c r="K27" i="55"/>
  <c r="K28" i="55"/>
  <c r="K29" i="55"/>
  <c r="K30" i="55"/>
  <c r="K31" i="55"/>
  <c r="L31" i="55" s="1"/>
  <c r="K32" i="55"/>
  <c r="L32" i="55" s="1"/>
  <c r="K33" i="55"/>
  <c r="K34" i="55"/>
  <c r="L34" i="55" s="1"/>
  <c r="K35" i="55"/>
  <c r="K36" i="55"/>
  <c r="L36" i="55" s="1"/>
  <c r="K37" i="55"/>
  <c r="K38" i="55"/>
  <c r="K39" i="55"/>
  <c r="L39" i="55" s="1"/>
  <c r="K40" i="55"/>
  <c r="L40" i="55" s="1"/>
  <c r="K41" i="55"/>
  <c r="K42" i="55"/>
  <c r="K43" i="55"/>
  <c r="K44" i="55"/>
  <c r="K45" i="55"/>
  <c r="K46" i="55"/>
  <c r="K47" i="55"/>
  <c r="L47" i="55" s="1"/>
  <c r="K48" i="55"/>
  <c r="L48" i="55" s="1"/>
  <c r="K49" i="55"/>
  <c r="K50" i="55"/>
  <c r="K51" i="55"/>
  <c r="K52" i="55"/>
  <c r="K53" i="55"/>
  <c r="K54" i="55"/>
  <c r="K55" i="55"/>
  <c r="L55" i="55" s="1"/>
  <c r="K56" i="55"/>
  <c r="L56" i="55" s="1"/>
  <c r="K57" i="55"/>
  <c r="K58" i="55"/>
  <c r="K59" i="55"/>
  <c r="K60" i="55"/>
  <c r="K61" i="55"/>
  <c r="K62" i="55"/>
  <c r="K63" i="55"/>
  <c r="L63" i="55" s="1"/>
  <c r="K64" i="55"/>
  <c r="L64" i="55" s="1"/>
  <c r="K65" i="55"/>
  <c r="K66" i="55"/>
  <c r="K67" i="55"/>
  <c r="K68" i="55"/>
  <c r="K69" i="55"/>
  <c r="K70" i="55"/>
  <c r="K71" i="55"/>
  <c r="L71" i="55" s="1"/>
  <c r="R71" i="55" s="1"/>
  <c r="K72" i="55"/>
  <c r="L72" i="55" s="1"/>
  <c r="K73" i="55"/>
  <c r="K74" i="55"/>
  <c r="K75" i="55"/>
  <c r="K76" i="55"/>
  <c r="K77" i="55"/>
  <c r="K78" i="55"/>
  <c r="K79" i="55"/>
  <c r="L79" i="55" s="1"/>
  <c r="K80" i="55"/>
  <c r="L80" i="55" s="1"/>
  <c r="R80" i="55" s="1"/>
  <c r="K81" i="55"/>
  <c r="K82" i="55"/>
  <c r="K83" i="55"/>
  <c r="K84" i="55"/>
  <c r="K85" i="55"/>
  <c r="K86" i="55"/>
  <c r="K87" i="55"/>
  <c r="L87" i="55" s="1"/>
  <c r="K88" i="55"/>
  <c r="L88" i="55" s="1"/>
  <c r="K89" i="55"/>
  <c r="K90" i="55"/>
  <c r="K91" i="55"/>
  <c r="K92" i="55"/>
  <c r="K93" i="55"/>
  <c r="K94" i="55"/>
  <c r="K95" i="55"/>
  <c r="L95" i="55" s="1"/>
  <c r="R95" i="55" s="1"/>
  <c r="K96" i="55"/>
  <c r="L96" i="55" s="1"/>
  <c r="K97" i="55"/>
  <c r="K98" i="55"/>
  <c r="K99" i="55"/>
  <c r="K100" i="55"/>
  <c r="K101" i="55"/>
  <c r="K102" i="55"/>
  <c r="K103" i="55"/>
  <c r="L103" i="55" s="1"/>
  <c r="K104" i="55"/>
  <c r="L104" i="55" s="1"/>
  <c r="K105" i="55"/>
  <c r="K106" i="55"/>
  <c r="K107" i="55"/>
  <c r="K108" i="55"/>
  <c r="K109" i="55"/>
  <c r="K110" i="55"/>
  <c r="K111" i="55"/>
  <c r="L111" i="55" s="1"/>
  <c r="K112" i="55"/>
  <c r="L112" i="55" s="1"/>
  <c r="K113" i="55"/>
  <c r="K114" i="55"/>
  <c r="K115" i="55"/>
  <c r="K116" i="55"/>
  <c r="K117" i="55"/>
  <c r="K118" i="55"/>
  <c r="K119" i="55"/>
  <c r="L119" i="55" s="1"/>
  <c r="K120" i="55"/>
  <c r="L120" i="55" s="1"/>
  <c r="K121" i="55"/>
  <c r="K122" i="55"/>
  <c r="K123" i="55"/>
  <c r="K124" i="55"/>
  <c r="K125" i="55"/>
  <c r="K126" i="55"/>
  <c r="K127" i="55"/>
  <c r="L127" i="55" s="1"/>
  <c r="K128" i="55"/>
  <c r="L128" i="55" s="1"/>
  <c r="K129" i="55"/>
  <c r="K130" i="55"/>
  <c r="K131" i="55"/>
  <c r="K132" i="55"/>
  <c r="K133" i="55"/>
  <c r="K134" i="55"/>
  <c r="K135" i="55"/>
  <c r="L135" i="55" s="1"/>
  <c r="K136" i="55"/>
  <c r="L136" i="55" s="1"/>
  <c r="K137" i="55"/>
  <c r="K138" i="55"/>
  <c r="K139" i="55"/>
  <c r="K140" i="55"/>
  <c r="K141" i="55"/>
  <c r="K142" i="55"/>
  <c r="K143" i="55"/>
  <c r="L143" i="55" s="1"/>
  <c r="K144" i="55"/>
  <c r="L144" i="55" s="1"/>
  <c r="K145" i="55"/>
  <c r="K146" i="55"/>
  <c r="K147" i="55"/>
  <c r="K148" i="55"/>
  <c r="K149" i="55"/>
  <c r="K150" i="55"/>
  <c r="K151" i="55"/>
  <c r="L151" i="55" s="1"/>
  <c r="K152" i="55"/>
  <c r="L152" i="55" s="1"/>
  <c r="K153" i="55"/>
  <c r="K154" i="55"/>
  <c r="K155" i="55"/>
  <c r="K156" i="55"/>
  <c r="K157" i="55"/>
  <c r="K158" i="55"/>
  <c r="K159" i="55"/>
  <c r="L159" i="55" s="1"/>
  <c r="K160" i="55"/>
  <c r="L160" i="55" s="1"/>
  <c r="K161" i="55"/>
  <c r="K162" i="55"/>
  <c r="K163" i="55"/>
  <c r="K164" i="55"/>
  <c r="K165" i="55"/>
  <c r="K166" i="55"/>
  <c r="K167" i="55"/>
  <c r="L167" i="55" s="1"/>
  <c r="K168" i="55"/>
  <c r="L168" i="55" s="1"/>
  <c r="K169" i="55"/>
  <c r="K170" i="55"/>
  <c r="K171" i="55"/>
  <c r="K172" i="55"/>
  <c r="K173" i="55"/>
  <c r="K174" i="55"/>
  <c r="K175" i="55"/>
  <c r="L175" i="55" s="1"/>
  <c r="K176" i="55"/>
  <c r="L176" i="55" s="1"/>
  <c r="K177" i="55"/>
  <c r="K178" i="55"/>
  <c r="K179" i="55"/>
  <c r="K180" i="55"/>
  <c r="K181" i="55"/>
  <c r="K182" i="55"/>
  <c r="K183" i="55"/>
  <c r="L183" i="55" s="1"/>
  <c r="K184" i="55"/>
  <c r="L184" i="55" s="1"/>
  <c r="K185" i="55"/>
  <c r="K186" i="55"/>
  <c r="K187" i="55"/>
  <c r="K188" i="55"/>
  <c r="K189" i="55"/>
  <c r="K190" i="55"/>
  <c r="K191" i="55"/>
  <c r="L191" i="55" s="1"/>
  <c r="K192" i="55"/>
  <c r="L192" i="55" s="1"/>
  <c r="K193" i="55"/>
  <c r="K194" i="55"/>
  <c r="K195" i="55"/>
  <c r="K196" i="55"/>
  <c r="K197" i="55"/>
  <c r="K198" i="55"/>
  <c r="K199" i="55"/>
  <c r="L199" i="55" s="1"/>
  <c r="R199" i="55" s="1"/>
  <c r="K200" i="55"/>
  <c r="L200" i="55" s="1"/>
  <c r="K201" i="55"/>
  <c r="K202" i="55"/>
  <c r="K203" i="55"/>
  <c r="K204" i="55"/>
  <c r="K205" i="55"/>
  <c r="K206" i="55"/>
  <c r="K207" i="55"/>
  <c r="L207" i="55" s="1"/>
  <c r="K208" i="55"/>
  <c r="L208" i="55" s="1"/>
  <c r="K209" i="55"/>
  <c r="K210" i="55"/>
  <c r="K211" i="55"/>
  <c r="K212" i="55"/>
  <c r="K213" i="55"/>
  <c r="K214" i="55"/>
  <c r="K215" i="55"/>
  <c r="L215" i="55" s="1"/>
  <c r="K216" i="55"/>
  <c r="L216" i="55" s="1"/>
  <c r="K217" i="55"/>
  <c r="K218" i="55"/>
  <c r="K219" i="55"/>
  <c r="K220" i="55"/>
  <c r="K221" i="55"/>
  <c r="K222" i="55"/>
  <c r="K223" i="55"/>
  <c r="L223" i="55" s="1"/>
  <c r="K224" i="55"/>
  <c r="L224" i="55" s="1"/>
  <c r="K225" i="55"/>
  <c r="K226" i="55"/>
  <c r="K227" i="55"/>
  <c r="K228" i="55"/>
  <c r="K229" i="55"/>
  <c r="K230" i="55"/>
  <c r="K231" i="55"/>
  <c r="L231" i="55" s="1"/>
  <c r="K232" i="55"/>
  <c r="L232" i="55" s="1"/>
  <c r="K233" i="55"/>
  <c r="K234" i="55"/>
  <c r="K235" i="55"/>
  <c r="K236" i="55"/>
  <c r="K237" i="55"/>
  <c r="K238" i="55"/>
  <c r="K239" i="55"/>
  <c r="L239" i="55" s="1"/>
  <c r="K240" i="55"/>
  <c r="L240" i="55" s="1"/>
  <c r="R240" i="55" s="1"/>
  <c r="K241" i="55"/>
  <c r="K242" i="55"/>
  <c r="K243" i="55"/>
  <c r="K244" i="55"/>
  <c r="K245" i="55"/>
  <c r="K246" i="55"/>
  <c r="K247" i="55"/>
  <c r="L247" i="55" s="1"/>
  <c r="K248" i="55"/>
  <c r="L248" i="55" s="1"/>
  <c r="K249" i="55"/>
  <c r="K250" i="55"/>
  <c r="L4" i="55"/>
  <c r="L5" i="55"/>
  <c r="L12" i="55"/>
  <c r="L13" i="55"/>
  <c r="L19" i="55"/>
  <c r="L20" i="55"/>
  <c r="L21" i="55"/>
  <c r="L25" i="55"/>
  <c r="L26" i="55"/>
  <c r="L27" i="55"/>
  <c r="L28" i="55"/>
  <c r="L33" i="55"/>
  <c r="L41" i="55"/>
  <c r="L42" i="55"/>
  <c r="L43" i="55"/>
  <c r="L44" i="55"/>
  <c r="L45" i="55"/>
  <c r="L49" i="55"/>
  <c r="L50" i="55"/>
  <c r="L51" i="55"/>
  <c r="L52" i="55"/>
  <c r="L53" i="55"/>
  <c r="L57" i="55"/>
  <c r="L58" i="55"/>
  <c r="L59" i="55"/>
  <c r="L60" i="55"/>
  <c r="L61" i="55"/>
  <c r="L65" i="55"/>
  <c r="L66" i="55"/>
  <c r="L67" i="55"/>
  <c r="L68" i="55"/>
  <c r="L69" i="55"/>
  <c r="L73" i="55"/>
  <c r="R73" i="55" s="1"/>
  <c r="L74" i="55"/>
  <c r="L75" i="55"/>
  <c r="L76" i="55"/>
  <c r="L77" i="55"/>
  <c r="L81" i="55"/>
  <c r="L82" i="55"/>
  <c r="L83" i="55"/>
  <c r="L84" i="55"/>
  <c r="L85" i="55"/>
  <c r="L89" i="55"/>
  <c r="L90" i="55"/>
  <c r="L91" i="55"/>
  <c r="L92" i="55"/>
  <c r="L93" i="55"/>
  <c r="L97" i="55"/>
  <c r="L98" i="55"/>
  <c r="L99" i="55"/>
  <c r="L100" i="55"/>
  <c r="L101" i="55"/>
  <c r="L105" i="55"/>
  <c r="L106" i="55"/>
  <c r="L107" i="55"/>
  <c r="L108" i="55"/>
  <c r="L109" i="55"/>
  <c r="L113" i="55"/>
  <c r="L114" i="55"/>
  <c r="L115" i="55"/>
  <c r="L116" i="55"/>
  <c r="L117" i="55"/>
  <c r="L121" i="55"/>
  <c r="L122" i="55"/>
  <c r="L123" i="55"/>
  <c r="L124" i="55"/>
  <c r="L125" i="55"/>
  <c r="L129" i="55"/>
  <c r="L130" i="55"/>
  <c r="L131" i="55"/>
  <c r="L132" i="55"/>
  <c r="L133" i="55"/>
  <c r="L137" i="55"/>
  <c r="R137" i="55" s="1"/>
  <c r="L138" i="55"/>
  <c r="L139" i="55"/>
  <c r="L140" i="55"/>
  <c r="L141" i="55"/>
  <c r="L145" i="55"/>
  <c r="L146" i="55"/>
  <c r="L147" i="55"/>
  <c r="L148" i="55"/>
  <c r="L149" i="55"/>
  <c r="L153" i="55"/>
  <c r="L154" i="55"/>
  <c r="L155" i="55"/>
  <c r="L156" i="55"/>
  <c r="L157" i="55"/>
  <c r="L161" i="55"/>
  <c r="L162" i="55"/>
  <c r="L163" i="55"/>
  <c r="L164" i="55"/>
  <c r="L165" i="55"/>
  <c r="L169" i="55"/>
  <c r="L170" i="55"/>
  <c r="L171" i="55"/>
  <c r="L172" i="55"/>
  <c r="L173" i="55"/>
  <c r="L177" i="55"/>
  <c r="L178" i="55"/>
  <c r="L179" i="55"/>
  <c r="L180" i="55"/>
  <c r="L181" i="55"/>
  <c r="L185" i="55"/>
  <c r="L186" i="55"/>
  <c r="L187" i="55"/>
  <c r="L188" i="55"/>
  <c r="L189" i="55"/>
  <c r="L193" i="55"/>
  <c r="L194" i="55"/>
  <c r="L195" i="55"/>
  <c r="L196" i="55"/>
  <c r="L197" i="55"/>
  <c r="L201" i="55"/>
  <c r="L202" i="55"/>
  <c r="L203" i="55"/>
  <c r="L204" i="55"/>
  <c r="L205" i="55"/>
  <c r="L209" i="55"/>
  <c r="L210" i="55"/>
  <c r="L211" i="55"/>
  <c r="L212" i="55"/>
  <c r="L213" i="55"/>
  <c r="L217" i="55"/>
  <c r="L218" i="55"/>
  <c r="L219" i="55"/>
  <c r="L220" i="55"/>
  <c r="L221" i="55"/>
  <c r="L225" i="55"/>
  <c r="L226" i="55"/>
  <c r="L227" i="55"/>
  <c r="L228" i="55"/>
  <c r="L229" i="55"/>
  <c r="L233" i="55"/>
  <c r="L234" i="55"/>
  <c r="L235" i="55"/>
  <c r="L236" i="55"/>
  <c r="L237" i="55"/>
  <c r="L241" i="55"/>
  <c r="L242" i="55"/>
  <c r="L243" i="55"/>
  <c r="L244" i="55"/>
  <c r="L245" i="55"/>
  <c r="L249" i="55"/>
  <c r="L250" i="55"/>
  <c r="M7" i="55"/>
  <c r="M15" i="55"/>
  <c r="M30" i="55"/>
  <c r="M31" i="55"/>
  <c r="M32" i="55"/>
  <c r="M33" i="55"/>
  <c r="M47" i="55"/>
  <c r="M55" i="55"/>
  <c r="M59" i="55"/>
  <c r="M60" i="55"/>
  <c r="M62" i="55"/>
  <c r="M67" i="55"/>
  <c r="M70" i="55"/>
  <c r="M71" i="55"/>
  <c r="M72" i="55"/>
  <c r="M73" i="55"/>
  <c r="M77" i="55"/>
  <c r="M91" i="55"/>
  <c r="M94" i="55"/>
  <c r="M95" i="55"/>
  <c r="M96" i="55"/>
  <c r="M98" i="55"/>
  <c r="M99" i="55"/>
  <c r="M111" i="55"/>
  <c r="M112" i="55"/>
  <c r="M113" i="55"/>
  <c r="M118" i="55"/>
  <c r="M121" i="55"/>
  <c r="M125" i="55"/>
  <c r="M128" i="55"/>
  <c r="M135" i="55"/>
  <c r="M137" i="55"/>
  <c r="M138" i="55"/>
  <c r="M139" i="55"/>
  <c r="M145" i="55"/>
  <c r="M154" i="55"/>
  <c r="M155" i="55"/>
  <c r="M158" i="55"/>
  <c r="M160" i="55"/>
  <c r="M164" i="55"/>
  <c r="M176" i="55"/>
  <c r="M177" i="55"/>
  <c r="M178" i="55"/>
  <c r="M179" i="55"/>
  <c r="M183" i="55"/>
  <c r="M185" i="55"/>
  <c r="M192" i="55"/>
  <c r="M195" i="55"/>
  <c r="M198" i="55"/>
  <c r="M199" i="55"/>
  <c r="M200" i="55"/>
  <c r="M201" i="55"/>
  <c r="M202" i="55"/>
  <c r="M203" i="55"/>
  <c r="M222" i="55"/>
  <c r="M223" i="55"/>
  <c r="M227" i="55"/>
  <c r="M232" i="55"/>
  <c r="M238" i="55"/>
  <c r="M240" i="55"/>
  <c r="M242" i="55"/>
  <c r="M243" i="55"/>
  <c r="M248" i="55"/>
  <c r="R59" i="55"/>
  <c r="R99" i="55"/>
  <c r="R139" i="55"/>
  <c r="R179" i="55"/>
  <c r="H4" i="54"/>
  <c r="H5" i="54"/>
  <c r="H6" i="54"/>
  <c r="H7" i="54"/>
  <c r="H8" i="54"/>
  <c r="H9" i="54"/>
  <c r="H10" i="54"/>
  <c r="H11" i="54"/>
  <c r="H12" i="54"/>
  <c r="H13" i="54"/>
  <c r="H14" i="54"/>
  <c r="H15" i="54"/>
  <c r="H16" i="54"/>
  <c r="H17" i="54"/>
  <c r="H18" i="54"/>
  <c r="H19" i="54"/>
  <c r="H20" i="54"/>
  <c r="H21" i="54"/>
  <c r="H22" i="54"/>
  <c r="H23" i="54"/>
  <c r="H24" i="54"/>
  <c r="H25" i="54"/>
  <c r="H26" i="54"/>
  <c r="H27" i="54"/>
  <c r="H28" i="54"/>
  <c r="H29" i="54"/>
  <c r="H30" i="54"/>
  <c r="H31" i="54"/>
  <c r="H32" i="54"/>
  <c r="H33" i="54"/>
  <c r="H34" i="54"/>
  <c r="H35" i="54"/>
  <c r="H36" i="54"/>
  <c r="H37" i="54"/>
  <c r="H38" i="54"/>
  <c r="H39" i="54"/>
  <c r="H40" i="54"/>
  <c r="H41" i="54"/>
  <c r="H42" i="54"/>
  <c r="H43" i="54"/>
  <c r="H44" i="54"/>
  <c r="H45" i="54"/>
  <c r="H46" i="54"/>
  <c r="H47" i="54"/>
  <c r="H48" i="54"/>
  <c r="H49" i="54"/>
  <c r="H50" i="54"/>
  <c r="H51" i="54"/>
  <c r="H52" i="54"/>
  <c r="H53" i="54"/>
  <c r="H54" i="54"/>
  <c r="H55" i="54"/>
  <c r="H56" i="54"/>
  <c r="H57" i="54"/>
  <c r="H58" i="54"/>
  <c r="H59" i="54"/>
  <c r="H60" i="54"/>
  <c r="H61" i="54"/>
  <c r="H62" i="54"/>
  <c r="H63" i="54"/>
  <c r="H64" i="54"/>
  <c r="H65" i="54"/>
  <c r="H66" i="54"/>
  <c r="H67" i="54"/>
  <c r="H68" i="54"/>
  <c r="H69" i="54"/>
  <c r="H70" i="54"/>
  <c r="H71" i="54"/>
  <c r="H72" i="54"/>
  <c r="H73" i="54"/>
  <c r="H74" i="54"/>
  <c r="H75" i="54"/>
  <c r="H76" i="54"/>
  <c r="H77" i="54"/>
  <c r="H78" i="54"/>
  <c r="H79" i="54"/>
  <c r="H80" i="54"/>
  <c r="H81" i="54"/>
  <c r="H82" i="54"/>
  <c r="H83" i="54"/>
  <c r="H84" i="54"/>
  <c r="H85" i="54"/>
  <c r="H86" i="54"/>
  <c r="H87" i="54"/>
  <c r="H88" i="54"/>
  <c r="H89" i="54"/>
  <c r="H90" i="54"/>
  <c r="H91" i="54"/>
  <c r="H92" i="54"/>
  <c r="H93" i="54"/>
  <c r="H94" i="54"/>
  <c r="H95" i="54"/>
  <c r="H96" i="54"/>
  <c r="H97" i="54"/>
  <c r="H98" i="54"/>
  <c r="H99" i="54"/>
  <c r="H100" i="54"/>
  <c r="H101" i="54"/>
  <c r="H102" i="54"/>
  <c r="H103" i="54"/>
  <c r="H104" i="54"/>
  <c r="H105" i="54"/>
  <c r="H106" i="54"/>
  <c r="H107" i="54"/>
  <c r="H108" i="54"/>
  <c r="H109" i="54"/>
  <c r="H110" i="54"/>
  <c r="H111" i="54"/>
  <c r="H112" i="54"/>
  <c r="H113" i="54"/>
  <c r="H114" i="54"/>
  <c r="H115" i="54"/>
  <c r="H116" i="54"/>
  <c r="H117" i="54"/>
  <c r="H118" i="54"/>
  <c r="H119" i="54"/>
  <c r="H120" i="54"/>
  <c r="H121" i="54"/>
  <c r="H122" i="54"/>
  <c r="H123" i="54"/>
  <c r="H124" i="54"/>
  <c r="H125" i="54"/>
  <c r="H126" i="54"/>
  <c r="H127" i="54"/>
  <c r="H128" i="54"/>
  <c r="H129" i="54"/>
  <c r="H130" i="54"/>
  <c r="H131" i="54"/>
  <c r="H132" i="54"/>
  <c r="H133" i="54"/>
  <c r="H134" i="54"/>
  <c r="H135" i="54"/>
  <c r="H136" i="54"/>
  <c r="H137" i="54"/>
  <c r="H138" i="54"/>
  <c r="H139" i="54"/>
  <c r="H140" i="54"/>
  <c r="H141" i="54"/>
  <c r="H142" i="54"/>
  <c r="H143" i="54"/>
  <c r="H144" i="54"/>
  <c r="H145" i="54"/>
  <c r="H146" i="54"/>
  <c r="H147" i="54"/>
  <c r="H148" i="54"/>
  <c r="H149" i="54"/>
  <c r="H150" i="54"/>
  <c r="H151" i="54"/>
  <c r="H152" i="54"/>
  <c r="H153" i="54"/>
  <c r="H154" i="54"/>
  <c r="H155" i="54"/>
  <c r="H156" i="54"/>
  <c r="H157" i="54"/>
  <c r="H158" i="54"/>
  <c r="H159" i="54"/>
  <c r="H160" i="54"/>
  <c r="H161" i="54"/>
  <c r="H162" i="54"/>
  <c r="H163" i="54"/>
  <c r="H164" i="54"/>
  <c r="H165" i="54"/>
  <c r="H166" i="54"/>
  <c r="H167" i="54"/>
  <c r="H168" i="54"/>
  <c r="H169" i="54"/>
  <c r="H170" i="54"/>
  <c r="H171" i="54"/>
  <c r="H172" i="54"/>
  <c r="H173" i="54"/>
  <c r="H174" i="54"/>
  <c r="H175" i="54"/>
  <c r="H176" i="54"/>
  <c r="H177" i="54"/>
  <c r="H178" i="54"/>
  <c r="H179" i="54"/>
  <c r="H180" i="54"/>
  <c r="H181" i="54"/>
  <c r="H182" i="54"/>
  <c r="H183" i="54"/>
  <c r="H184" i="54"/>
  <c r="H185" i="54"/>
  <c r="H186" i="54"/>
  <c r="H187" i="54"/>
  <c r="H188" i="54"/>
  <c r="H189" i="54"/>
  <c r="H190" i="54"/>
  <c r="H191" i="54"/>
  <c r="H192" i="54"/>
  <c r="H193" i="54"/>
  <c r="H194" i="54"/>
  <c r="H195" i="54"/>
  <c r="H196" i="54"/>
  <c r="H197" i="54"/>
  <c r="H198" i="54"/>
  <c r="H199" i="54"/>
  <c r="H200" i="54"/>
  <c r="H201" i="54"/>
  <c r="H202" i="54"/>
  <c r="H203" i="54"/>
  <c r="H204" i="54"/>
  <c r="H205" i="54"/>
  <c r="H206" i="54"/>
  <c r="H207" i="54"/>
  <c r="H208" i="54"/>
  <c r="H209" i="54"/>
  <c r="H210" i="54"/>
  <c r="H211" i="54"/>
  <c r="H212" i="54"/>
  <c r="H213" i="54"/>
  <c r="H214" i="54"/>
  <c r="H215" i="54"/>
  <c r="H216" i="54"/>
  <c r="H217" i="54"/>
  <c r="H218" i="54"/>
  <c r="H219" i="54"/>
  <c r="H220" i="54"/>
  <c r="H221" i="54"/>
  <c r="H222" i="54"/>
  <c r="H223" i="54"/>
  <c r="H224" i="54"/>
  <c r="H225" i="54"/>
  <c r="H226" i="54"/>
  <c r="H227" i="54"/>
  <c r="H228" i="54"/>
  <c r="H229" i="54"/>
  <c r="H230" i="54"/>
  <c r="H231" i="54"/>
  <c r="H232" i="54"/>
  <c r="H233" i="54"/>
  <c r="H234" i="54"/>
  <c r="H235" i="54"/>
  <c r="H236" i="54"/>
  <c r="H237" i="54"/>
  <c r="H238" i="54"/>
  <c r="H239" i="54"/>
  <c r="H240" i="54"/>
  <c r="H241" i="54"/>
  <c r="H242" i="54"/>
  <c r="H243" i="54"/>
  <c r="H244" i="54"/>
  <c r="H245" i="54"/>
  <c r="H246" i="54"/>
  <c r="H247" i="54"/>
  <c r="H248" i="54"/>
  <c r="H249" i="54"/>
  <c r="H250" i="54"/>
  <c r="K4" i="54"/>
  <c r="K5" i="54"/>
  <c r="K6" i="54"/>
  <c r="K7" i="54"/>
  <c r="K8" i="54"/>
  <c r="K9" i="54"/>
  <c r="K10" i="54"/>
  <c r="K11" i="54"/>
  <c r="K12" i="54"/>
  <c r="K13" i="54"/>
  <c r="K14" i="54"/>
  <c r="K15" i="54"/>
  <c r="K16" i="54"/>
  <c r="K17" i="54"/>
  <c r="K18" i="54"/>
  <c r="K19" i="54"/>
  <c r="K20" i="54"/>
  <c r="K21" i="54"/>
  <c r="K22" i="54"/>
  <c r="K23" i="54"/>
  <c r="K24" i="54"/>
  <c r="K25" i="54"/>
  <c r="K26" i="54"/>
  <c r="K27" i="54"/>
  <c r="K28" i="54"/>
  <c r="K29" i="54"/>
  <c r="K30" i="54"/>
  <c r="K31" i="54"/>
  <c r="K32" i="54"/>
  <c r="K33" i="54"/>
  <c r="K34" i="54"/>
  <c r="K35" i="54"/>
  <c r="K36" i="54"/>
  <c r="K37" i="54"/>
  <c r="K38" i="54"/>
  <c r="K39" i="54"/>
  <c r="K40" i="54"/>
  <c r="K41" i="54"/>
  <c r="K42" i="54"/>
  <c r="K43" i="54"/>
  <c r="K44" i="54"/>
  <c r="K45" i="54"/>
  <c r="K46" i="54"/>
  <c r="K47" i="54"/>
  <c r="K48" i="54"/>
  <c r="K49" i="54"/>
  <c r="K50" i="54"/>
  <c r="K51" i="54"/>
  <c r="K52" i="54"/>
  <c r="K53" i="54"/>
  <c r="K54" i="54"/>
  <c r="K55" i="54"/>
  <c r="K56" i="54"/>
  <c r="K57" i="54"/>
  <c r="K58" i="54"/>
  <c r="K59" i="54"/>
  <c r="K60" i="54"/>
  <c r="K61" i="54"/>
  <c r="K62" i="54"/>
  <c r="K63" i="54"/>
  <c r="K64" i="54"/>
  <c r="K65" i="54"/>
  <c r="K66" i="54"/>
  <c r="K67" i="54"/>
  <c r="K68" i="54"/>
  <c r="K69" i="54"/>
  <c r="K70" i="54"/>
  <c r="K71" i="54"/>
  <c r="K72" i="54"/>
  <c r="K73" i="54"/>
  <c r="K74" i="54"/>
  <c r="K75" i="54"/>
  <c r="K76" i="54"/>
  <c r="K77" i="54"/>
  <c r="K78" i="54"/>
  <c r="K79" i="54"/>
  <c r="K80" i="54"/>
  <c r="K81" i="54"/>
  <c r="K82" i="54"/>
  <c r="K83" i="54"/>
  <c r="K84" i="54"/>
  <c r="K85" i="54"/>
  <c r="K86" i="54"/>
  <c r="K87" i="54"/>
  <c r="K88" i="54"/>
  <c r="K89" i="54"/>
  <c r="K90" i="54"/>
  <c r="K91" i="54"/>
  <c r="K92" i="54"/>
  <c r="K93" i="54"/>
  <c r="K94" i="54"/>
  <c r="K95" i="54"/>
  <c r="K96" i="54"/>
  <c r="K97" i="54"/>
  <c r="K98" i="54"/>
  <c r="K99" i="54"/>
  <c r="K100" i="54"/>
  <c r="K101" i="54"/>
  <c r="K102" i="54"/>
  <c r="K103" i="54"/>
  <c r="K104" i="54"/>
  <c r="K105" i="54"/>
  <c r="K106" i="54"/>
  <c r="K107" i="54"/>
  <c r="K108" i="54"/>
  <c r="K109" i="54"/>
  <c r="K110" i="54"/>
  <c r="K111" i="54"/>
  <c r="K112" i="54"/>
  <c r="K113" i="54"/>
  <c r="K114" i="54"/>
  <c r="K115" i="54"/>
  <c r="K116" i="54"/>
  <c r="K117" i="54"/>
  <c r="K118" i="54"/>
  <c r="K119" i="54"/>
  <c r="K120" i="54"/>
  <c r="K121" i="54"/>
  <c r="K122" i="54"/>
  <c r="K123" i="54"/>
  <c r="K124" i="54"/>
  <c r="K125" i="54"/>
  <c r="K126" i="54"/>
  <c r="K127" i="54"/>
  <c r="K128" i="54"/>
  <c r="K129" i="54"/>
  <c r="K130" i="54"/>
  <c r="K131" i="54"/>
  <c r="K132" i="54"/>
  <c r="K133" i="54"/>
  <c r="K134" i="54"/>
  <c r="K135" i="54"/>
  <c r="K136" i="54"/>
  <c r="K137" i="54"/>
  <c r="K138" i="54"/>
  <c r="K139" i="54"/>
  <c r="K140" i="54"/>
  <c r="K141" i="54"/>
  <c r="K142" i="54"/>
  <c r="K143" i="54"/>
  <c r="K144" i="54"/>
  <c r="K145" i="54"/>
  <c r="K146" i="54"/>
  <c r="K147" i="54"/>
  <c r="K148" i="54"/>
  <c r="K149" i="54"/>
  <c r="K150" i="54"/>
  <c r="K151" i="54"/>
  <c r="K152" i="54"/>
  <c r="K153" i="54"/>
  <c r="K154" i="54"/>
  <c r="K155" i="54"/>
  <c r="K156" i="54"/>
  <c r="K157" i="54"/>
  <c r="K158" i="54"/>
  <c r="K159" i="54"/>
  <c r="K160" i="54"/>
  <c r="K161" i="54"/>
  <c r="K162" i="54"/>
  <c r="K163" i="54"/>
  <c r="K164" i="54"/>
  <c r="K165" i="54"/>
  <c r="K166" i="54"/>
  <c r="K167" i="54"/>
  <c r="K168" i="54"/>
  <c r="K169" i="54"/>
  <c r="K170" i="54"/>
  <c r="K171" i="54"/>
  <c r="K172" i="54"/>
  <c r="K173" i="54"/>
  <c r="K174" i="54"/>
  <c r="K175" i="54"/>
  <c r="K176" i="54"/>
  <c r="K177" i="54"/>
  <c r="K178" i="54"/>
  <c r="K179" i="54"/>
  <c r="K180" i="54"/>
  <c r="K181" i="54"/>
  <c r="K182" i="54"/>
  <c r="K183" i="54"/>
  <c r="K184" i="54"/>
  <c r="K185" i="54"/>
  <c r="K186" i="54"/>
  <c r="K187" i="54"/>
  <c r="K188" i="54"/>
  <c r="K189" i="54"/>
  <c r="K190" i="54"/>
  <c r="K191" i="54"/>
  <c r="K192" i="54"/>
  <c r="K193" i="54"/>
  <c r="K194" i="54"/>
  <c r="K195" i="54"/>
  <c r="K196" i="54"/>
  <c r="K197" i="54"/>
  <c r="K198" i="54"/>
  <c r="K199" i="54"/>
  <c r="K200" i="54"/>
  <c r="K201" i="54"/>
  <c r="K202" i="54"/>
  <c r="K203" i="54"/>
  <c r="K204" i="54"/>
  <c r="K205" i="54"/>
  <c r="K206" i="54"/>
  <c r="K207" i="54"/>
  <c r="K208" i="54"/>
  <c r="K209" i="54"/>
  <c r="K210" i="54"/>
  <c r="K211" i="54"/>
  <c r="K212" i="54"/>
  <c r="K213" i="54"/>
  <c r="K214" i="54"/>
  <c r="K215" i="54"/>
  <c r="K216" i="54"/>
  <c r="K217" i="54"/>
  <c r="K218" i="54"/>
  <c r="K219" i="54"/>
  <c r="K220" i="54"/>
  <c r="K221" i="54"/>
  <c r="K222" i="54"/>
  <c r="K223" i="54"/>
  <c r="K224" i="54"/>
  <c r="K225" i="54"/>
  <c r="K226" i="54"/>
  <c r="K227" i="54"/>
  <c r="K228" i="54"/>
  <c r="K229" i="54"/>
  <c r="K230" i="54"/>
  <c r="K231" i="54"/>
  <c r="K232" i="54"/>
  <c r="K233" i="54"/>
  <c r="K234" i="54"/>
  <c r="K235" i="54"/>
  <c r="K236" i="54"/>
  <c r="K237" i="54"/>
  <c r="K238" i="54"/>
  <c r="K239" i="54"/>
  <c r="K240" i="54"/>
  <c r="K241" i="54"/>
  <c r="K242" i="54"/>
  <c r="K243" i="54"/>
  <c r="K244" i="54"/>
  <c r="K245" i="54"/>
  <c r="K246" i="54"/>
  <c r="K247" i="54"/>
  <c r="K248" i="54"/>
  <c r="K249" i="54"/>
  <c r="K250" i="54"/>
  <c r="L4" i="54"/>
  <c r="L5" i="54"/>
  <c r="L6" i="54"/>
  <c r="L7" i="54"/>
  <c r="L8" i="54"/>
  <c r="L9" i="54"/>
  <c r="L10" i="54"/>
  <c r="L11" i="54"/>
  <c r="L12" i="54"/>
  <c r="L13" i="54"/>
  <c r="L14" i="54"/>
  <c r="L15" i="54"/>
  <c r="L16" i="54"/>
  <c r="L17" i="54"/>
  <c r="L18" i="54"/>
  <c r="L19" i="54"/>
  <c r="L20" i="54"/>
  <c r="L21" i="54"/>
  <c r="L22" i="54"/>
  <c r="L23" i="54"/>
  <c r="L24" i="54"/>
  <c r="L25" i="54"/>
  <c r="L26" i="54"/>
  <c r="L27" i="54"/>
  <c r="L28" i="54"/>
  <c r="L29" i="54"/>
  <c r="L30" i="54"/>
  <c r="L31" i="54"/>
  <c r="L32" i="54"/>
  <c r="L33" i="54"/>
  <c r="L34" i="54"/>
  <c r="L35" i="54"/>
  <c r="L36" i="54"/>
  <c r="L37" i="54"/>
  <c r="L38" i="54"/>
  <c r="L39" i="54"/>
  <c r="L40" i="54"/>
  <c r="L41" i="54"/>
  <c r="L42" i="54"/>
  <c r="L43" i="54"/>
  <c r="L44" i="54"/>
  <c r="L45" i="54"/>
  <c r="L46" i="54"/>
  <c r="L47" i="54"/>
  <c r="L48" i="54"/>
  <c r="L49" i="54"/>
  <c r="L50" i="54"/>
  <c r="L51" i="54"/>
  <c r="L52" i="54"/>
  <c r="L53" i="54"/>
  <c r="L54" i="54"/>
  <c r="L55" i="54"/>
  <c r="L56" i="54"/>
  <c r="L57" i="54"/>
  <c r="L58" i="54"/>
  <c r="L59" i="54"/>
  <c r="L60" i="54"/>
  <c r="L61" i="54"/>
  <c r="L62" i="54"/>
  <c r="L63" i="54"/>
  <c r="L64" i="54"/>
  <c r="L65" i="54"/>
  <c r="L66" i="54"/>
  <c r="L67" i="54"/>
  <c r="L68" i="54"/>
  <c r="L69" i="54"/>
  <c r="L70" i="54"/>
  <c r="L71" i="54"/>
  <c r="L72" i="54"/>
  <c r="L73" i="54"/>
  <c r="L74" i="54"/>
  <c r="L75" i="54"/>
  <c r="L76" i="54"/>
  <c r="L77" i="54"/>
  <c r="L78" i="54"/>
  <c r="L79" i="54"/>
  <c r="L80" i="54"/>
  <c r="L81" i="54"/>
  <c r="L82" i="54"/>
  <c r="L83" i="54"/>
  <c r="L84" i="54"/>
  <c r="L85" i="54"/>
  <c r="L86" i="54"/>
  <c r="L87" i="54"/>
  <c r="L88" i="54"/>
  <c r="L89" i="54"/>
  <c r="L90" i="54"/>
  <c r="L91" i="54"/>
  <c r="L92" i="54"/>
  <c r="L93" i="54"/>
  <c r="L94" i="54"/>
  <c r="L95" i="54"/>
  <c r="L96" i="54"/>
  <c r="L97" i="54"/>
  <c r="L98" i="54"/>
  <c r="L99" i="54"/>
  <c r="L100" i="54"/>
  <c r="L101" i="54"/>
  <c r="L102" i="54"/>
  <c r="L103" i="54"/>
  <c r="L104" i="54"/>
  <c r="L105" i="54"/>
  <c r="L106" i="54"/>
  <c r="L107" i="54"/>
  <c r="L108" i="54"/>
  <c r="L109" i="54"/>
  <c r="L110" i="54"/>
  <c r="L111" i="54"/>
  <c r="L112" i="54"/>
  <c r="L113" i="54"/>
  <c r="L114" i="54"/>
  <c r="L115" i="54"/>
  <c r="L116" i="54"/>
  <c r="L117" i="54"/>
  <c r="L118" i="54"/>
  <c r="L119" i="54"/>
  <c r="L120" i="54"/>
  <c r="L121" i="54"/>
  <c r="L122" i="54"/>
  <c r="L123" i="54"/>
  <c r="L124" i="54"/>
  <c r="L125" i="54"/>
  <c r="L126" i="54"/>
  <c r="L127" i="54"/>
  <c r="L128" i="54"/>
  <c r="L129" i="54"/>
  <c r="L130" i="54"/>
  <c r="L131" i="54"/>
  <c r="L132" i="54"/>
  <c r="L133" i="54"/>
  <c r="L134" i="54"/>
  <c r="L135" i="54"/>
  <c r="L136" i="54"/>
  <c r="L137" i="54"/>
  <c r="L138" i="54"/>
  <c r="L139" i="54"/>
  <c r="L140" i="54"/>
  <c r="L141" i="54"/>
  <c r="L142" i="54"/>
  <c r="L143" i="54"/>
  <c r="L144" i="54"/>
  <c r="L145" i="54"/>
  <c r="L146" i="54"/>
  <c r="L147" i="54"/>
  <c r="L148" i="54"/>
  <c r="L149" i="54"/>
  <c r="L150" i="54"/>
  <c r="L151" i="54"/>
  <c r="L152" i="54"/>
  <c r="L153" i="54"/>
  <c r="L154" i="54"/>
  <c r="L155" i="54"/>
  <c r="L156" i="54"/>
  <c r="L157" i="54"/>
  <c r="L158" i="54"/>
  <c r="L159" i="54"/>
  <c r="L160" i="54"/>
  <c r="L161" i="54"/>
  <c r="L162" i="54"/>
  <c r="L163" i="54"/>
  <c r="L164" i="54"/>
  <c r="L165" i="54"/>
  <c r="L166" i="54"/>
  <c r="L167" i="54"/>
  <c r="L168" i="54"/>
  <c r="L169" i="54"/>
  <c r="L170" i="54"/>
  <c r="L171" i="54"/>
  <c r="L172" i="54"/>
  <c r="L173" i="54"/>
  <c r="L174" i="54"/>
  <c r="L175" i="54"/>
  <c r="L176" i="54"/>
  <c r="L177" i="54"/>
  <c r="L178" i="54"/>
  <c r="L179" i="54"/>
  <c r="L180" i="54"/>
  <c r="L181" i="54"/>
  <c r="L182" i="54"/>
  <c r="L183" i="54"/>
  <c r="L184" i="54"/>
  <c r="L185" i="54"/>
  <c r="L186" i="54"/>
  <c r="L187" i="54"/>
  <c r="L188" i="54"/>
  <c r="L189" i="54"/>
  <c r="L190" i="54"/>
  <c r="L191" i="54"/>
  <c r="L192" i="54"/>
  <c r="L193" i="54"/>
  <c r="L194" i="54"/>
  <c r="L195" i="54"/>
  <c r="L196" i="54"/>
  <c r="L197" i="54"/>
  <c r="L198" i="54"/>
  <c r="L199" i="54"/>
  <c r="L200" i="54"/>
  <c r="L201" i="54"/>
  <c r="L202" i="54"/>
  <c r="L203" i="54"/>
  <c r="L204" i="54"/>
  <c r="L205" i="54"/>
  <c r="L206" i="54"/>
  <c r="L207" i="54"/>
  <c r="L208" i="54"/>
  <c r="L209" i="54"/>
  <c r="L210" i="54"/>
  <c r="L211" i="54"/>
  <c r="L212" i="54"/>
  <c r="L213" i="54"/>
  <c r="L214" i="54"/>
  <c r="L215" i="54"/>
  <c r="L216" i="54"/>
  <c r="L217" i="54"/>
  <c r="L218" i="54"/>
  <c r="L219" i="54"/>
  <c r="L220" i="54"/>
  <c r="L221" i="54"/>
  <c r="L222" i="54"/>
  <c r="L223" i="54"/>
  <c r="L224" i="54"/>
  <c r="L225" i="54"/>
  <c r="L226" i="54"/>
  <c r="L227" i="54"/>
  <c r="L228" i="54"/>
  <c r="L229" i="54"/>
  <c r="L230" i="54"/>
  <c r="L231" i="54"/>
  <c r="L232" i="54"/>
  <c r="L233" i="54"/>
  <c r="L234" i="54"/>
  <c r="L235" i="54"/>
  <c r="L236" i="54"/>
  <c r="L237" i="54"/>
  <c r="L238" i="54"/>
  <c r="L239" i="54"/>
  <c r="L240" i="54"/>
  <c r="L241" i="54"/>
  <c r="L242" i="54"/>
  <c r="L243" i="54"/>
  <c r="L244" i="54"/>
  <c r="L245" i="54"/>
  <c r="L246" i="54"/>
  <c r="L247" i="54"/>
  <c r="L248" i="54"/>
  <c r="L249" i="54"/>
  <c r="L250" i="54"/>
  <c r="M5" i="54"/>
  <c r="M6" i="54"/>
  <c r="M7" i="54"/>
  <c r="M8" i="54"/>
  <c r="M9" i="54"/>
  <c r="M10" i="54"/>
  <c r="M11" i="54"/>
  <c r="M18" i="54"/>
  <c r="M19" i="54"/>
  <c r="M21" i="54"/>
  <c r="M22" i="54"/>
  <c r="M25" i="54"/>
  <c r="M26" i="54"/>
  <c r="M27" i="54"/>
  <c r="M28" i="54"/>
  <c r="M31" i="54"/>
  <c r="M32" i="54"/>
  <c r="M47" i="54"/>
  <c r="M48" i="54"/>
  <c r="M49" i="54"/>
  <c r="M50" i="54"/>
  <c r="M51" i="54"/>
  <c r="M53" i="54"/>
  <c r="M59" i="54"/>
  <c r="M61" i="54"/>
  <c r="M62" i="54"/>
  <c r="M63" i="54"/>
  <c r="M69" i="54"/>
  <c r="M70" i="54"/>
  <c r="M71" i="54"/>
  <c r="M73" i="54"/>
  <c r="M78" i="54"/>
  <c r="M80" i="54"/>
  <c r="M88" i="54"/>
  <c r="M91" i="54"/>
  <c r="M99" i="54"/>
  <c r="M101" i="54"/>
  <c r="M102" i="54"/>
  <c r="M109" i="54"/>
  <c r="M110" i="54"/>
  <c r="M118" i="54"/>
  <c r="M119" i="54"/>
  <c r="M120" i="54"/>
  <c r="M121" i="54"/>
  <c r="M122" i="54"/>
  <c r="M123" i="54"/>
  <c r="M126" i="54"/>
  <c r="M129" i="54"/>
  <c r="M131" i="54"/>
  <c r="M132" i="54"/>
  <c r="M141" i="54"/>
  <c r="M142" i="54"/>
  <c r="M143" i="54"/>
  <c r="M146" i="54"/>
  <c r="M149" i="54"/>
  <c r="M150" i="54"/>
  <c r="M153" i="54"/>
  <c r="M160" i="54"/>
  <c r="M161" i="54"/>
  <c r="M163" i="54"/>
  <c r="M165" i="54"/>
  <c r="M166" i="54"/>
  <c r="M167" i="54"/>
  <c r="M169" i="54"/>
  <c r="M171" i="54"/>
  <c r="M173" i="54"/>
  <c r="M178" i="54"/>
  <c r="M180" i="54"/>
  <c r="M181" i="54"/>
  <c r="M183" i="54"/>
  <c r="M186" i="54"/>
  <c r="M187" i="54"/>
  <c r="M190" i="54"/>
  <c r="M201" i="54"/>
  <c r="M205" i="54"/>
  <c r="M206" i="54"/>
  <c r="M209" i="54"/>
  <c r="M211" i="54"/>
  <c r="M218" i="54"/>
  <c r="M219" i="54"/>
  <c r="M220" i="54"/>
  <c r="M221" i="54"/>
  <c r="M223" i="54"/>
  <c r="M224" i="54"/>
  <c r="M226" i="54"/>
  <c r="M227" i="54"/>
  <c r="M230" i="54"/>
  <c r="M231" i="54"/>
  <c r="M245" i="54"/>
  <c r="M246" i="54"/>
  <c r="M247" i="54"/>
  <c r="M250" i="54"/>
  <c r="R10" i="54"/>
  <c r="R25" i="54"/>
  <c r="R30" i="54"/>
  <c r="R41" i="54"/>
  <c r="R85" i="54"/>
  <c r="R101" i="54"/>
  <c r="R165" i="54"/>
  <c r="R181" i="54"/>
  <c r="R184" i="54"/>
  <c r="R190" i="54"/>
  <c r="R230" i="54"/>
  <c r="R231" i="54"/>
  <c r="H10" i="52"/>
  <c r="H11" i="52"/>
  <c r="H12" i="52"/>
  <c r="H13" i="52"/>
  <c r="H14" i="52"/>
  <c r="H15" i="52"/>
  <c r="H16" i="52"/>
  <c r="S16" i="52" s="1"/>
  <c r="H17" i="52"/>
  <c r="H18" i="52"/>
  <c r="H19" i="52"/>
  <c r="S19" i="52" s="1"/>
  <c r="H20" i="52"/>
  <c r="H21" i="52"/>
  <c r="S21" i="52" s="1"/>
  <c r="H22" i="52"/>
  <c r="S22" i="52" s="1"/>
  <c r="H23" i="52"/>
  <c r="H24" i="52"/>
  <c r="H25" i="52"/>
  <c r="H26" i="52"/>
  <c r="H27" i="52"/>
  <c r="H28" i="52"/>
  <c r="H29" i="52"/>
  <c r="H30" i="52"/>
  <c r="H31" i="52"/>
  <c r="H32" i="52"/>
  <c r="H33" i="52"/>
  <c r="H34" i="52"/>
  <c r="H35" i="52"/>
  <c r="H36" i="52"/>
  <c r="H37" i="52"/>
  <c r="H38" i="52"/>
  <c r="H39" i="52"/>
  <c r="H40" i="52"/>
  <c r="H41" i="52"/>
  <c r="H42" i="52"/>
  <c r="H43" i="52"/>
  <c r="L43" i="52" s="1"/>
  <c r="H44" i="52"/>
  <c r="H45" i="52"/>
  <c r="H46" i="52"/>
  <c r="H47" i="52"/>
  <c r="H48" i="52"/>
  <c r="H49" i="52"/>
  <c r="H50" i="52"/>
  <c r="S50" i="52" s="1"/>
  <c r="H51" i="52"/>
  <c r="S51" i="52" s="1"/>
  <c r="H52" i="52"/>
  <c r="H53" i="52"/>
  <c r="H54" i="52"/>
  <c r="S54" i="52" s="1"/>
  <c r="H55" i="52"/>
  <c r="H56" i="52"/>
  <c r="H57" i="52"/>
  <c r="H58" i="52"/>
  <c r="H59" i="52"/>
  <c r="H60" i="52"/>
  <c r="S60" i="52" s="1"/>
  <c r="H61" i="52"/>
  <c r="S61" i="52" s="1"/>
  <c r="H62" i="52"/>
  <c r="H63" i="52"/>
  <c r="H64" i="52"/>
  <c r="H65" i="52"/>
  <c r="H66" i="52"/>
  <c r="H67" i="52"/>
  <c r="S67" i="52" s="1"/>
  <c r="H68" i="52"/>
  <c r="H69" i="52"/>
  <c r="H70" i="52"/>
  <c r="H71" i="52"/>
  <c r="H72" i="52"/>
  <c r="H73" i="52"/>
  <c r="H74" i="52"/>
  <c r="H75" i="52"/>
  <c r="H76" i="52"/>
  <c r="H77" i="52"/>
  <c r="S77" i="52" s="1"/>
  <c r="H78" i="52"/>
  <c r="S78" i="52" s="1"/>
  <c r="H79" i="52"/>
  <c r="S79" i="52" s="1"/>
  <c r="H80" i="52"/>
  <c r="S80" i="52" s="1"/>
  <c r="H81" i="52"/>
  <c r="H82" i="52"/>
  <c r="S82" i="52" s="1"/>
  <c r="H83" i="52"/>
  <c r="H84" i="52"/>
  <c r="S84" i="52" s="1"/>
  <c r="H85" i="52"/>
  <c r="S85" i="52" s="1"/>
  <c r="H86" i="52"/>
  <c r="S86" i="52" s="1"/>
  <c r="H87" i="52"/>
  <c r="S87" i="52" s="1"/>
  <c r="H88" i="52"/>
  <c r="H89" i="52"/>
  <c r="H90" i="52"/>
  <c r="H91" i="52"/>
  <c r="L91" i="52" s="1"/>
  <c r="H92" i="52"/>
  <c r="H93" i="52"/>
  <c r="H94" i="52"/>
  <c r="H95" i="52"/>
  <c r="H96" i="52"/>
  <c r="H97" i="52"/>
  <c r="H98" i="52"/>
  <c r="H99" i="52"/>
  <c r="H100" i="52"/>
  <c r="H101" i="52"/>
  <c r="H102" i="52"/>
  <c r="H103" i="52"/>
  <c r="H104" i="52"/>
  <c r="H105" i="52"/>
  <c r="H106" i="52"/>
  <c r="H107" i="52"/>
  <c r="H108" i="52"/>
  <c r="H109" i="52"/>
  <c r="H110" i="52"/>
  <c r="H111" i="52"/>
  <c r="H112" i="52"/>
  <c r="H113" i="52"/>
  <c r="H114" i="52"/>
  <c r="H115" i="52"/>
  <c r="H116" i="52"/>
  <c r="H117" i="52"/>
  <c r="H118" i="52"/>
  <c r="H119" i="52"/>
  <c r="H120" i="52"/>
  <c r="H121" i="52"/>
  <c r="H122" i="52"/>
  <c r="H123" i="52"/>
  <c r="H124" i="52"/>
  <c r="H125" i="52"/>
  <c r="H126" i="52"/>
  <c r="H127" i="52"/>
  <c r="H128" i="52"/>
  <c r="H129" i="52"/>
  <c r="H130" i="52"/>
  <c r="H131" i="52"/>
  <c r="H132" i="52"/>
  <c r="H133" i="52"/>
  <c r="H134" i="52"/>
  <c r="H135" i="52"/>
  <c r="H136" i="52"/>
  <c r="H137" i="52"/>
  <c r="H138" i="52"/>
  <c r="H139" i="52"/>
  <c r="H140" i="52"/>
  <c r="H141" i="52"/>
  <c r="H142" i="52"/>
  <c r="H143" i="52"/>
  <c r="H144" i="52"/>
  <c r="H145" i="52"/>
  <c r="H146" i="52"/>
  <c r="H147" i="52"/>
  <c r="H148" i="52"/>
  <c r="H149" i="52"/>
  <c r="H150" i="52"/>
  <c r="H151" i="52"/>
  <c r="H152" i="52"/>
  <c r="H153" i="52"/>
  <c r="H154" i="52"/>
  <c r="H155" i="52"/>
  <c r="H156" i="52"/>
  <c r="H157" i="52"/>
  <c r="H158" i="52"/>
  <c r="H159" i="52"/>
  <c r="H160" i="52"/>
  <c r="H161" i="52"/>
  <c r="H162" i="52"/>
  <c r="H163" i="52"/>
  <c r="H164" i="52"/>
  <c r="H165" i="52"/>
  <c r="H166" i="52"/>
  <c r="H167" i="52"/>
  <c r="H168" i="52"/>
  <c r="H169" i="52"/>
  <c r="H170" i="52"/>
  <c r="H171" i="52"/>
  <c r="H172" i="52"/>
  <c r="H173" i="52"/>
  <c r="H174" i="52"/>
  <c r="H175" i="52"/>
  <c r="H176" i="52"/>
  <c r="H177" i="52"/>
  <c r="H178" i="52"/>
  <c r="H179" i="52"/>
  <c r="H180" i="52"/>
  <c r="H181" i="52"/>
  <c r="H182" i="52"/>
  <c r="H183" i="52"/>
  <c r="H184" i="52"/>
  <c r="H185" i="52"/>
  <c r="H186" i="52"/>
  <c r="H187" i="52"/>
  <c r="H188" i="52"/>
  <c r="H189" i="52"/>
  <c r="H190" i="52"/>
  <c r="H191" i="52"/>
  <c r="H192" i="52"/>
  <c r="H193" i="52"/>
  <c r="H194" i="52"/>
  <c r="H195" i="52"/>
  <c r="H196" i="52"/>
  <c r="H197" i="52"/>
  <c r="H198" i="52"/>
  <c r="H199" i="52"/>
  <c r="H200" i="52"/>
  <c r="H201" i="52"/>
  <c r="H202" i="52"/>
  <c r="H203" i="52"/>
  <c r="L203" i="52" s="1"/>
  <c r="H204" i="52"/>
  <c r="H205" i="52"/>
  <c r="H206" i="52"/>
  <c r="H207" i="52"/>
  <c r="H208" i="52"/>
  <c r="H209" i="52"/>
  <c r="H210" i="52"/>
  <c r="H211" i="52"/>
  <c r="H212" i="52"/>
  <c r="H213" i="52"/>
  <c r="H214" i="52"/>
  <c r="H215" i="52"/>
  <c r="H216" i="52"/>
  <c r="H217" i="52"/>
  <c r="H218" i="52"/>
  <c r="H219" i="52"/>
  <c r="H220" i="52"/>
  <c r="H221" i="52"/>
  <c r="H222" i="52"/>
  <c r="H223" i="52"/>
  <c r="H224" i="52"/>
  <c r="H225" i="52"/>
  <c r="H226" i="52"/>
  <c r="H227" i="52"/>
  <c r="H228" i="52"/>
  <c r="H229" i="52"/>
  <c r="H230" i="52"/>
  <c r="H231" i="52"/>
  <c r="H232" i="52"/>
  <c r="H233" i="52"/>
  <c r="H234" i="52"/>
  <c r="H235" i="52"/>
  <c r="H236" i="52"/>
  <c r="H237" i="52"/>
  <c r="H238" i="52"/>
  <c r="H239" i="52"/>
  <c r="H240" i="52"/>
  <c r="H241" i="52"/>
  <c r="H242" i="52"/>
  <c r="H243" i="52"/>
  <c r="H244" i="52"/>
  <c r="H245" i="52"/>
  <c r="H246" i="52"/>
  <c r="H247" i="52"/>
  <c r="H248" i="52"/>
  <c r="H249" i="52"/>
  <c r="H250" i="52"/>
  <c r="K10" i="52"/>
  <c r="K11" i="52"/>
  <c r="K12" i="52"/>
  <c r="K13" i="52"/>
  <c r="K14" i="52"/>
  <c r="K15" i="52"/>
  <c r="K16" i="52"/>
  <c r="K17" i="52"/>
  <c r="K18" i="52"/>
  <c r="K19" i="52"/>
  <c r="K20" i="52"/>
  <c r="K21" i="52"/>
  <c r="K22" i="52"/>
  <c r="K23" i="52"/>
  <c r="K24" i="52"/>
  <c r="K25" i="52"/>
  <c r="K26" i="52"/>
  <c r="K27" i="52"/>
  <c r="K28" i="52"/>
  <c r="K29" i="52"/>
  <c r="K30" i="52"/>
  <c r="K31" i="52"/>
  <c r="K32" i="52"/>
  <c r="K33" i="52"/>
  <c r="K34" i="52"/>
  <c r="K35" i="52"/>
  <c r="K36" i="52"/>
  <c r="L36" i="52" s="1"/>
  <c r="K37" i="52"/>
  <c r="K38" i="52"/>
  <c r="K39" i="52"/>
  <c r="K40" i="52"/>
  <c r="K41" i="52"/>
  <c r="K42" i="52"/>
  <c r="K43" i="52"/>
  <c r="K44" i="52"/>
  <c r="K45" i="52"/>
  <c r="K46" i="52"/>
  <c r="K47" i="52"/>
  <c r="K48" i="52"/>
  <c r="K49" i="52"/>
  <c r="K50" i="52"/>
  <c r="K51" i="52"/>
  <c r="K52" i="52"/>
  <c r="K53" i="52"/>
  <c r="K54" i="52"/>
  <c r="K55" i="52"/>
  <c r="K56" i="52"/>
  <c r="K57" i="52"/>
  <c r="K58" i="52"/>
  <c r="K59" i="52"/>
  <c r="K60" i="52"/>
  <c r="K61" i="52"/>
  <c r="K62" i="52"/>
  <c r="K63" i="52"/>
  <c r="K64" i="52"/>
  <c r="K65" i="52"/>
  <c r="K66" i="52"/>
  <c r="K67" i="52"/>
  <c r="K68" i="52"/>
  <c r="K69" i="52"/>
  <c r="K70" i="52"/>
  <c r="K71" i="52"/>
  <c r="K72" i="52"/>
  <c r="K73" i="52"/>
  <c r="K74" i="52"/>
  <c r="K75" i="52"/>
  <c r="K76" i="52"/>
  <c r="K77" i="52"/>
  <c r="K78" i="52"/>
  <c r="K79" i="52"/>
  <c r="K80" i="52"/>
  <c r="K81" i="52"/>
  <c r="K82" i="52"/>
  <c r="K83" i="52"/>
  <c r="K84" i="52"/>
  <c r="K85" i="52"/>
  <c r="K86" i="52"/>
  <c r="K87" i="52"/>
  <c r="K88" i="52"/>
  <c r="K89" i="52"/>
  <c r="K90" i="52"/>
  <c r="K91" i="52"/>
  <c r="K92" i="52"/>
  <c r="K93" i="52"/>
  <c r="K94" i="52"/>
  <c r="K95" i="52"/>
  <c r="K96" i="52"/>
  <c r="K97" i="52"/>
  <c r="K98" i="52"/>
  <c r="K99" i="52"/>
  <c r="K100" i="52"/>
  <c r="K101" i="52"/>
  <c r="K102" i="52"/>
  <c r="K103" i="52"/>
  <c r="K104" i="52"/>
  <c r="K105" i="52"/>
  <c r="K106" i="52"/>
  <c r="K107" i="52"/>
  <c r="K108" i="52"/>
  <c r="K109" i="52"/>
  <c r="K110" i="52"/>
  <c r="K111" i="52"/>
  <c r="K112" i="52"/>
  <c r="K113" i="52"/>
  <c r="K114" i="52"/>
  <c r="K115" i="52"/>
  <c r="K116" i="52"/>
  <c r="K117" i="52"/>
  <c r="K118" i="52"/>
  <c r="K119" i="52"/>
  <c r="K120" i="52"/>
  <c r="K121" i="52"/>
  <c r="K122" i="52"/>
  <c r="K123" i="52"/>
  <c r="K124" i="52"/>
  <c r="K125" i="52"/>
  <c r="K126" i="52"/>
  <c r="K127" i="52"/>
  <c r="K128" i="52"/>
  <c r="K129" i="52"/>
  <c r="K130" i="52"/>
  <c r="K131" i="52"/>
  <c r="K132" i="52"/>
  <c r="K133" i="52"/>
  <c r="K134" i="52"/>
  <c r="K135" i="52"/>
  <c r="K136" i="52"/>
  <c r="K137" i="52"/>
  <c r="K138" i="52"/>
  <c r="K139" i="52"/>
  <c r="K140" i="52"/>
  <c r="K141" i="52"/>
  <c r="K142" i="52"/>
  <c r="K143" i="52"/>
  <c r="K144" i="52"/>
  <c r="K145" i="52"/>
  <c r="K146" i="52"/>
  <c r="K147" i="52"/>
  <c r="K148" i="52"/>
  <c r="K149" i="52"/>
  <c r="K150" i="52"/>
  <c r="K151" i="52"/>
  <c r="K152" i="52"/>
  <c r="K153" i="52"/>
  <c r="K154" i="52"/>
  <c r="K155" i="52"/>
  <c r="K156" i="52"/>
  <c r="K157" i="52"/>
  <c r="K158" i="52"/>
  <c r="K159" i="52"/>
  <c r="K160" i="52"/>
  <c r="K161" i="52"/>
  <c r="K162" i="52"/>
  <c r="K163" i="52"/>
  <c r="K164" i="52"/>
  <c r="K165" i="52"/>
  <c r="K166" i="52"/>
  <c r="K167" i="52"/>
  <c r="K168" i="52"/>
  <c r="K169" i="52"/>
  <c r="K170" i="52"/>
  <c r="K171" i="52"/>
  <c r="K172" i="52"/>
  <c r="K173" i="52"/>
  <c r="K174" i="52"/>
  <c r="K175" i="52"/>
  <c r="K176" i="52"/>
  <c r="K177" i="52"/>
  <c r="K178" i="52"/>
  <c r="K179" i="52"/>
  <c r="K180" i="52"/>
  <c r="K181" i="52"/>
  <c r="K182" i="52"/>
  <c r="K183" i="52"/>
  <c r="K184" i="52"/>
  <c r="K185" i="52"/>
  <c r="K186" i="52"/>
  <c r="K187" i="52"/>
  <c r="K188" i="52"/>
  <c r="K189" i="52"/>
  <c r="K190" i="52"/>
  <c r="K191" i="52"/>
  <c r="K192" i="52"/>
  <c r="K193" i="52"/>
  <c r="K194" i="52"/>
  <c r="K195" i="52"/>
  <c r="K196" i="52"/>
  <c r="K197" i="52"/>
  <c r="K198" i="52"/>
  <c r="K199" i="52"/>
  <c r="K200" i="52"/>
  <c r="K201" i="52"/>
  <c r="K202" i="52"/>
  <c r="K203" i="52"/>
  <c r="K204" i="52"/>
  <c r="K205" i="52"/>
  <c r="K206" i="52"/>
  <c r="K207" i="52"/>
  <c r="K208" i="52"/>
  <c r="K209" i="52"/>
  <c r="K210" i="52"/>
  <c r="K211" i="52"/>
  <c r="K212" i="52"/>
  <c r="K213" i="52"/>
  <c r="K214" i="52"/>
  <c r="K215" i="52"/>
  <c r="K216" i="52"/>
  <c r="K217" i="52"/>
  <c r="K218" i="52"/>
  <c r="K219" i="52"/>
  <c r="K220" i="52"/>
  <c r="K221" i="52"/>
  <c r="K222" i="52"/>
  <c r="K223" i="52"/>
  <c r="K224" i="52"/>
  <c r="K225" i="52"/>
  <c r="K226" i="52"/>
  <c r="K227" i="52"/>
  <c r="K228" i="52"/>
  <c r="K229" i="52"/>
  <c r="K230" i="52"/>
  <c r="K231" i="52"/>
  <c r="K232" i="52"/>
  <c r="K233" i="52"/>
  <c r="K234" i="52"/>
  <c r="K235" i="52"/>
  <c r="K236" i="52"/>
  <c r="K237" i="52"/>
  <c r="K238" i="52"/>
  <c r="K239" i="52"/>
  <c r="K240" i="52"/>
  <c r="K241" i="52"/>
  <c r="K242" i="52"/>
  <c r="K243" i="52"/>
  <c r="K244" i="52"/>
  <c r="K245" i="52"/>
  <c r="K246" i="52"/>
  <c r="K247" i="52"/>
  <c r="K248" i="52"/>
  <c r="K249" i="52"/>
  <c r="K250" i="52"/>
  <c r="L39" i="52"/>
  <c r="L42" i="52"/>
  <c r="L74" i="52"/>
  <c r="L87" i="52"/>
  <c r="L102" i="52"/>
  <c r="L111" i="52"/>
  <c r="L115" i="52"/>
  <c r="L118" i="52"/>
  <c r="L134" i="52"/>
  <c r="L135" i="52"/>
  <c r="L150" i="52"/>
  <c r="L170" i="52"/>
  <c r="L171" i="52"/>
  <c r="L182" i="52"/>
  <c r="L190" i="52"/>
  <c r="L214" i="52"/>
  <c r="L215" i="52"/>
  <c r="L222" i="52"/>
  <c r="L234" i="52"/>
  <c r="M20" i="52"/>
  <c r="M26" i="52"/>
  <c r="M27" i="52"/>
  <c r="M28" i="52"/>
  <c r="M34" i="52"/>
  <c r="M42" i="52"/>
  <c r="M43" i="52"/>
  <c r="M44" i="52"/>
  <c r="M46" i="52"/>
  <c r="M47" i="52"/>
  <c r="M48" i="52"/>
  <c r="M50" i="52"/>
  <c r="M55" i="52"/>
  <c r="M63" i="52"/>
  <c r="M64" i="52"/>
  <c r="M66" i="52"/>
  <c r="M68" i="52"/>
  <c r="M70" i="52"/>
  <c r="M75" i="52"/>
  <c r="M79" i="52"/>
  <c r="M80" i="52"/>
  <c r="M81" i="52"/>
  <c r="M88" i="52"/>
  <c r="M92" i="52"/>
  <c r="M94" i="52"/>
  <c r="M102" i="52"/>
  <c r="M103" i="52"/>
  <c r="M106" i="52"/>
  <c r="M107" i="52"/>
  <c r="M108" i="52"/>
  <c r="M110" i="52"/>
  <c r="M112" i="52"/>
  <c r="M113" i="52"/>
  <c r="M114" i="52"/>
  <c r="M115" i="52"/>
  <c r="M117" i="52"/>
  <c r="M118" i="52"/>
  <c r="M119" i="52"/>
  <c r="M120" i="52"/>
  <c r="M122" i="52"/>
  <c r="M123" i="52"/>
  <c r="M124" i="52"/>
  <c r="M125" i="52"/>
  <c r="M126" i="52"/>
  <c r="M128" i="52"/>
  <c r="M130" i="52"/>
  <c r="M132" i="52"/>
  <c r="M135" i="52"/>
  <c r="M141" i="52"/>
  <c r="M142" i="52"/>
  <c r="M143" i="52"/>
  <c r="M146" i="52"/>
  <c r="M147" i="52"/>
  <c r="M148" i="52"/>
  <c r="M152" i="52"/>
  <c r="M153" i="52"/>
  <c r="M154" i="52"/>
  <c r="M155" i="52"/>
  <c r="M157" i="52"/>
  <c r="M158" i="52"/>
  <c r="M160" i="52"/>
  <c r="M161" i="52"/>
  <c r="M163" i="52"/>
  <c r="M164" i="52"/>
  <c r="M166" i="52"/>
  <c r="M167" i="52"/>
  <c r="M168" i="52"/>
  <c r="M170" i="52"/>
  <c r="M172" i="52"/>
  <c r="M178" i="52"/>
  <c r="M182" i="52"/>
  <c r="M186" i="52"/>
  <c r="M187" i="52"/>
  <c r="M190" i="52"/>
  <c r="M192" i="52"/>
  <c r="M194" i="52"/>
  <c r="M195" i="52"/>
  <c r="M197" i="52"/>
  <c r="M202" i="52"/>
  <c r="M203" i="52"/>
  <c r="M206" i="52"/>
  <c r="M207" i="52"/>
  <c r="M208" i="52"/>
  <c r="M210" i="52"/>
  <c r="M214" i="52"/>
  <c r="M218" i="52"/>
  <c r="M219" i="52"/>
  <c r="M220" i="52"/>
  <c r="M221" i="52"/>
  <c r="M223" i="52"/>
  <c r="M224" i="52"/>
  <c r="M226" i="52"/>
  <c r="M230" i="52"/>
  <c r="M232" i="52"/>
  <c r="M234" i="52"/>
  <c r="M235" i="52"/>
  <c r="M238" i="52"/>
  <c r="M242" i="52"/>
  <c r="M243" i="52"/>
  <c r="M246" i="52"/>
  <c r="M247" i="52"/>
  <c r="M248" i="52"/>
  <c r="H4" i="51"/>
  <c r="H5" i="51"/>
  <c r="H6" i="51"/>
  <c r="H7" i="51"/>
  <c r="H8" i="51"/>
  <c r="H9" i="51"/>
  <c r="H10" i="51"/>
  <c r="H11" i="51"/>
  <c r="H12" i="51"/>
  <c r="H13" i="51"/>
  <c r="H14" i="51"/>
  <c r="H15" i="51"/>
  <c r="H16" i="51"/>
  <c r="H17" i="51"/>
  <c r="H18" i="51"/>
  <c r="H19" i="51"/>
  <c r="H20" i="51"/>
  <c r="H21" i="51"/>
  <c r="H22" i="51"/>
  <c r="H23" i="51"/>
  <c r="H24" i="51"/>
  <c r="H25" i="51"/>
  <c r="H26" i="51"/>
  <c r="H27" i="51"/>
  <c r="H28" i="51"/>
  <c r="H29" i="51"/>
  <c r="H30" i="51"/>
  <c r="H31" i="51"/>
  <c r="H32" i="51"/>
  <c r="H33" i="51"/>
  <c r="H34" i="51"/>
  <c r="H35" i="51"/>
  <c r="H36" i="51"/>
  <c r="H37" i="51"/>
  <c r="H38" i="51"/>
  <c r="H39" i="51"/>
  <c r="H40" i="51"/>
  <c r="H41" i="51"/>
  <c r="H42" i="51"/>
  <c r="H43" i="51"/>
  <c r="H44" i="51"/>
  <c r="H45" i="51"/>
  <c r="H46" i="51"/>
  <c r="H47" i="51"/>
  <c r="H48" i="51"/>
  <c r="H49" i="51"/>
  <c r="H50" i="51"/>
  <c r="H51" i="51"/>
  <c r="H52" i="51"/>
  <c r="H53" i="51"/>
  <c r="H54" i="51"/>
  <c r="H55" i="51"/>
  <c r="H56" i="51"/>
  <c r="H57" i="51"/>
  <c r="H58" i="51"/>
  <c r="H59" i="51"/>
  <c r="H60" i="51"/>
  <c r="H61" i="51"/>
  <c r="H62" i="51"/>
  <c r="H63" i="51"/>
  <c r="H64" i="51"/>
  <c r="H65" i="51"/>
  <c r="H66" i="51"/>
  <c r="H67" i="51"/>
  <c r="H68" i="51"/>
  <c r="H69" i="51"/>
  <c r="H70" i="51"/>
  <c r="H71" i="51"/>
  <c r="H72" i="51"/>
  <c r="H73" i="51"/>
  <c r="H74" i="51"/>
  <c r="H75" i="51"/>
  <c r="H76" i="51"/>
  <c r="H77" i="51"/>
  <c r="H78" i="51"/>
  <c r="H79" i="51"/>
  <c r="H80" i="51"/>
  <c r="H81" i="51"/>
  <c r="H82" i="51"/>
  <c r="H83" i="51"/>
  <c r="H84" i="51"/>
  <c r="H85" i="51"/>
  <c r="H86" i="51"/>
  <c r="H87" i="51"/>
  <c r="H88" i="51"/>
  <c r="H89" i="51"/>
  <c r="H90" i="51"/>
  <c r="H91" i="51"/>
  <c r="H92" i="51"/>
  <c r="H93" i="51"/>
  <c r="H94" i="51"/>
  <c r="H95" i="51"/>
  <c r="H96" i="51"/>
  <c r="H97" i="51"/>
  <c r="H98" i="51"/>
  <c r="H99" i="51"/>
  <c r="H100" i="51"/>
  <c r="H101" i="51"/>
  <c r="H102" i="51"/>
  <c r="H103" i="51"/>
  <c r="H104" i="51"/>
  <c r="H105" i="51"/>
  <c r="H106" i="51"/>
  <c r="H107" i="51"/>
  <c r="H108" i="51"/>
  <c r="H109" i="51"/>
  <c r="H110" i="51"/>
  <c r="H111" i="51"/>
  <c r="H112" i="51"/>
  <c r="H113" i="51"/>
  <c r="H114" i="51"/>
  <c r="H115" i="51"/>
  <c r="H116" i="51"/>
  <c r="H117" i="51"/>
  <c r="H118" i="51"/>
  <c r="H119" i="51"/>
  <c r="H120" i="51"/>
  <c r="H121" i="51"/>
  <c r="H122" i="51"/>
  <c r="H123" i="51"/>
  <c r="H124" i="51"/>
  <c r="H125" i="51"/>
  <c r="H126" i="51"/>
  <c r="H127" i="51"/>
  <c r="H128" i="51"/>
  <c r="H129" i="51"/>
  <c r="H130" i="51"/>
  <c r="H131" i="51"/>
  <c r="H132" i="51"/>
  <c r="H133" i="51"/>
  <c r="H134" i="51"/>
  <c r="H135" i="51"/>
  <c r="H136" i="51"/>
  <c r="H137" i="51"/>
  <c r="H138" i="51"/>
  <c r="H139" i="51"/>
  <c r="H140" i="51"/>
  <c r="H141" i="51"/>
  <c r="H142" i="51"/>
  <c r="H143" i="51"/>
  <c r="H144" i="51"/>
  <c r="H145" i="51"/>
  <c r="H146" i="51"/>
  <c r="H147" i="51"/>
  <c r="H148" i="51"/>
  <c r="H149" i="51"/>
  <c r="H150" i="51"/>
  <c r="H151" i="51"/>
  <c r="H152" i="51"/>
  <c r="H153" i="51"/>
  <c r="H154" i="51"/>
  <c r="H155" i="51"/>
  <c r="H156" i="51"/>
  <c r="H157" i="51"/>
  <c r="H158" i="51"/>
  <c r="H159" i="51"/>
  <c r="H160" i="51"/>
  <c r="H161" i="51"/>
  <c r="H162" i="51"/>
  <c r="H163" i="51"/>
  <c r="H164" i="51"/>
  <c r="H165" i="51"/>
  <c r="H166" i="51"/>
  <c r="H167" i="51"/>
  <c r="H168" i="51"/>
  <c r="H169" i="51"/>
  <c r="H170" i="51"/>
  <c r="H171" i="51"/>
  <c r="H172" i="51"/>
  <c r="H173" i="51"/>
  <c r="H174" i="51"/>
  <c r="H175" i="51"/>
  <c r="H176" i="51"/>
  <c r="H177" i="51"/>
  <c r="H178" i="51"/>
  <c r="H179" i="51"/>
  <c r="H180" i="51"/>
  <c r="H181" i="51"/>
  <c r="H182" i="51"/>
  <c r="H183" i="51"/>
  <c r="H184" i="51"/>
  <c r="H185" i="51"/>
  <c r="H186" i="51"/>
  <c r="H187" i="51"/>
  <c r="H188" i="51"/>
  <c r="H189" i="51"/>
  <c r="H190" i="51"/>
  <c r="H191" i="51"/>
  <c r="H192" i="51"/>
  <c r="H193" i="51"/>
  <c r="H194" i="51"/>
  <c r="H195" i="51"/>
  <c r="H196" i="51"/>
  <c r="H197" i="51"/>
  <c r="H198" i="51"/>
  <c r="H199" i="51"/>
  <c r="H200" i="51"/>
  <c r="H201" i="51"/>
  <c r="H202" i="51"/>
  <c r="H203" i="51"/>
  <c r="H204" i="51"/>
  <c r="H205" i="51"/>
  <c r="H206" i="51"/>
  <c r="H207" i="51"/>
  <c r="H208" i="51"/>
  <c r="H209" i="51"/>
  <c r="H210" i="51"/>
  <c r="H211" i="51"/>
  <c r="H212" i="51"/>
  <c r="H213" i="51"/>
  <c r="H214" i="51"/>
  <c r="H215" i="51"/>
  <c r="H216" i="51"/>
  <c r="H217" i="51"/>
  <c r="H218" i="51"/>
  <c r="H219" i="51"/>
  <c r="H220" i="51"/>
  <c r="H221" i="51"/>
  <c r="H222" i="51"/>
  <c r="H223" i="51"/>
  <c r="H224" i="51"/>
  <c r="H225" i="51"/>
  <c r="H226" i="51"/>
  <c r="H227" i="51"/>
  <c r="H228" i="51"/>
  <c r="H229" i="51"/>
  <c r="H230" i="51"/>
  <c r="H231" i="51"/>
  <c r="H232" i="51"/>
  <c r="H233" i="51"/>
  <c r="H234" i="51"/>
  <c r="H235" i="51"/>
  <c r="H236" i="51"/>
  <c r="H237" i="51"/>
  <c r="H238" i="51"/>
  <c r="H239" i="51"/>
  <c r="H240" i="51"/>
  <c r="H241" i="51"/>
  <c r="H242" i="51"/>
  <c r="H243" i="51"/>
  <c r="H244" i="51"/>
  <c r="H245" i="51"/>
  <c r="H246" i="51"/>
  <c r="H247" i="51"/>
  <c r="H248" i="51"/>
  <c r="H249" i="51"/>
  <c r="H250" i="51"/>
  <c r="K4" i="51"/>
  <c r="L4" i="51" s="1"/>
  <c r="K5" i="51"/>
  <c r="K6" i="51"/>
  <c r="L6" i="51" s="1"/>
  <c r="K7" i="51"/>
  <c r="K8" i="51"/>
  <c r="K9" i="51"/>
  <c r="K10" i="51"/>
  <c r="K11" i="51"/>
  <c r="K12" i="51"/>
  <c r="K13" i="51"/>
  <c r="K14" i="51"/>
  <c r="K15" i="51"/>
  <c r="K16" i="51"/>
  <c r="K17" i="51"/>
  <c r="K18" i="51"/>
  <c r="K19" i="51"/>
  <c r="K20" i="51"/>
  <c r="K21" i="51"/>
  <c r="K22" i="51"/>
  <c r="K23" i="51"/>
  <c r="K24" i="51"/>
  <c r="K25" i="51"/>
  <c r="K26" i="51"/>
  <c r="K27" i="51"/>
  <c r="K28" i="51"/>
  <c r="K29" i="51"/>
  <c r="K30" i="51"/>
  <c r="K31" i="51"/>
  <c r="K32" i="51"/>
  <c r="K33" i="51"/>
  <c r="K34" i="51"/>
  <c r="K35" i="51"/>
  <c r="K36" i="51"/>
  <c r="K37" i="51"/>
  <c r="K38" i="51"/>
  <c r="K39" i="51"/>
  <c r="K40" i="51"/>
  <c r="K41" i="51"/>
  <c r="K42" i="51"/>
  <c r="K43" i="51"/>
  <c r="K44" i="51"/>
  <c r="K45" i="51"/>
  <c r="K46" i="51"/>
  <c r="K47" i="51"/>
  <c r="K48" i="51"/>
  <c r="K49" i="51"/>
  <c r="K50" i="51"/>
  <c r="K51" i="51"/>
  <c r="K52" i="51"/>
  <c r="K53" i="51"/>
  <c r="K54" i="51"/>
  <c r="K55" i="51"/>
  <c r="K56" i="51"/>
  <c r="K57" i="51"/>
  <c r="K58" i="51"/>
  <c r="K59" i="51"/>
  <c r="K60" i="51"/>
  <c r="K61" i="51"/>
  <c r="K62" i="51"/>
  <c r="K63" i="51"/>
  <c r="K64" i="51"/>
  <c r="K65" i="51"/>
  <c r="K66" i="51"/>
  <c r="K67" i="51"/>
  <c r="K68" i="51"/>
  <c r="K69" i="51"/>
  <c r="K70" i="51"/>
  <c r="K71" i="51"/>
  <c r="K72" i="51"/>
  <c r="K73" i="51"/>
  <c r="K74" i="51"/>
  <c r="K75" i="51"/>
  <c r="K76" i="51"/>
  <c r="K77" i="51"/>
  <c r="K78" i="51"/>
  <c r="K79" i="51"/>
  <c r="K80" i="51"/>
  <c r="K81" i="51"/>
  <c r="K82" i="51"/>
  <c r="K83" i="51"/>
  <c r="K84" i="51"/>
  <c r="K85" i="51"/>
  <c r="K86" i="51"/>
  <c r="K87" i="51"/>
  <c r="K88" i="51"/>
  <c r="K89" i="51"/>
  <c r="K90" i="51"/>
  <c r="K91" i="51"/>
  <c r="K92" i="51"/>
  <c r="K93" i="51"/>
  <c r="K94" i="51"/>
  <c r="K95" i="51"/>
  <c r="K96" i="51"/>
  <c r="K97" i="51"/>
  <c r="K98" i="51"/>
  <c r="K99" i="51"/>
  <c r="K100" i="51"/>
  <c r="K101" i="51"/>
  <c r="K102" i="51"/>
  <c r="K103" i="51"/>
  <c r="K104" i="51"/>
  <c r="K105" i="51"/>
  <c r="K106" i="51"/>
  <c r="K107" i="51"/>
  <c r="K108" i="51"/>
  <c r="K109" i="51"/>
  <c r="K110" i="51"/>
  <c r="K111" i="51"/>
  <c r="K112" i="51"/>
  <c r="K113" i="51"/>
  <c r="K114" i="51"/>
  <c r="K115" i="51"/>
  <c r="K116" i="51"/>
  <c r="K117" i="51"/>
  <c r="K118" i="51"/>
  <c r="K119" i="51"/>
  <c r="K120" i="51"/>
  <c r="K121" i="51"/>
  <c r="K122" i="51"/>
  <c r="K123" i="51"/>
  <c r="K124" i="51"/>
  <c r="K125" i="51"/>
  <c r="K126" i="51"/>
  <c r="K127" i="51"/>
  <c r="K128" i="51"/>
  <c r="K129" i="51"/>
  <c r="K130" i="51"/>
  <c r="K131" i="51"/>
  <c r="K132" i="51"/>
  <c r="K133" i="51"/>
  <c r="K134" i="51"/>
  <c r="K135" i="51"/>
  <c r="K136" i="51"/>
  <c r="K137" i="51"/>
  <c r="K138" i="51"/>
  <c r="K139" i="51"/>
  <c r="K140" i="51"/>
  <c r="K141" i="51"/>
  <c r="K142" i="51"/>
  <c r="K143" i="51"/>
  <c r="K144" i="51"/>
  <c r="K145" i="51"/>
  <c r="K146" i="51"/>
  <c r="K147" i="51"/>
  <c r="K148" i="51"/>
  <c r="K149" i="51"/>
  <c r="K150" i="51"/>
  <c r="K151" i="51"/>
  <c r="K152" i="51"/>
  <c r="K153" i="51"/>
  <c r="K154" i="51"/>
  <c r="K155" i="51"/>
  <c r="K156" i="51"/>
  <c r="K157" i="51"/>
  <c r="K158" i="51"/>
  <c r="K159" i="51"/>
  <c r="K160" i="51"/>
  <c r="K161" i="51"/>
  <c r="K162" i="51"/>
  <c r="K163" i="51"/>
  <c r="K164" i="51"/>
  <c r="K165" i="51"/>
  <c r="K166" i="51"/>
  <c r="K167" i="51"/>
  <c r="K168" i="51"/>
  <c r="K169" i="51"/>
  <c r="K170" i="51"/>
  <c r="K171" i="51"/>
  <c r="K172" i="51"/>
  <c r="K173" i="51"/>
  <c r="K174" i="51"/>
  <c r="K175" i="51"/>
  <c r="K176" i="51"/>
  <c r="K177" i="51"/>
  <c r="K178" i="51"/>
  <c r="K179" i="51"/>
  <c r="K180" i="51"/>
  <c r="K181" i="51"/>
  <c r="K182" i="51"/>
  <c r="K183" i="51"/>
  <c r="K184" i="51"/>
  <c r="K185" i="51"/>
  <c r="K186" i="51"/>
  <c r="K187" i="51"/>
  <c r="K188" i="51"/>
  <c r="K189" i="51"/>
  <c r="K190" i="51"/>
  <c r="K191" i="51"/>
  <c r="K192" i="51"/>
  <c r="K193" i="51"/>
  <c r="K194" i="51"/>
  <c r="K195" i="51"/>
  <c r="K196" i="51"/>
  <c r="K197" i="51"/>
  <c r="K198" i="51"/>
  <c r="K199" i="51"/>
  <c r="K200" i="51"/>
  <c r="K201" i="51"/>
  <c r="K202" i="51"/>
  <c r="K203" i="51"/>
  <c r="K204" i="51"/>
  <c r="K205" i="51"/>
  <c r="K206" i="51"/>
  <c r="K207" i="51"/>
  <c r="K208" i="51"/>
  <c r="K209" i="51"/>
  <c r="K210" i="51"/>
  <c r="K211" i="51"/>
  <c r="K212" i="51"/>
  <c r="K213" i="51"/>
  <c r="K214" i="51"/>
  <c r="K215" i="51"/>
  <c r="K216" i="51"/>
  <c r="K217" i="51"/>
  <c r="K218" i="51"/>
  <c r="K219" i="51"/>
  <c r="K220" i="51"/>
  <c r="K221" i="51"/>
  <c r="K222" i="51"/>
  <c r="K223" i="51"/>
  <c r="K224" i="51"/>
  <c r="K225" i="51"/>
  <c r="K226" i="51"/>
  <c r="K227" i="51"/>
  <c r="K228" i="51"/>
  <c r="K229" i="51"/>
  <c r="K230" i="51"/>
  <c r="K231" i="51"/>
  <c r="K232" i="51"/>
  <c r="K233" i="51"/>
  <c r="K234" i="51"/>
  <c r="K235" i="51"/>
  <c r="K236" i="51"/>
  <c r="K237" i="51"/>
  <c r="K238" i="51"/>
  <c r="K239" i="51"/>
  <c r="K240" i="51"/>
  <c r="K241" i="51"/>
  <c r="K242" i="51"/>
  <c r="K243" i="51"/>
  <c r="K244" i="51"/>
  <c r="K245" i="51"/>
  <c r="K246" i="51"/>
  <c r="K247" i="51"/>
  <c r="K248" i="51"/>
  <c r="K249" i="51"/>
  <c r="K250" i="51"/>
  <c r="L8" i="51"/>
  <c r="L9" i="51"/>
  <c r="L10" i="51"/>
  <c r="L11" i="51"/>
  <c r="L12" i="51"/>
  <c r="L13" i="51"/>
  <c r="L14" i="51"/>
  <c r="L15" i="51"/>
  <c r="L16" i="51"/>
  <c r="L17" i="51"/>
  <c r="L18" i="51"/>
  <c r="L19" i="51"/>
  <c r="L20" i="51"/>
  <c r="L21" i="51"/>
  <c r="L22" i="51"/>
  <c r="L23" i="51"/>
  <c r="L24" i="51"/>
  <c r="L25" i="51"/>
  <c r="L26" i="51"/>
  <c r="L27" i="51"/>
  <c r="L28" i="51"/>
  <c r="L29" i="51"/>
  <c r="L30" i="51"/>
  <c r="L31" i="51"/>
  <c r="L32" i="51"/>
  <c r="L33" i="51"/>
  <c r="L34" i="51"/>
  <c r="L35" i="51"/>
  <c r="L36" i="51"/>
  <c r="L37" i="51"/>
  <c r="L38" i="51"/>
  <c r="L39" i="51"/>
  <c r="L40" i="51"/>
  <c r="L41" i="51"/>
  <c r="L42" i="51"/>
  <c r="L43" i="51"/>
  <c r="L44" i="51"/>
  <c r="L45" i="51"/>
  <c r="L46" i="51"/>
  <c r="L47" i="51"/>
  <c r="L48" i="51"/>
  <c r="L49" i="51"/>
  <c r="L50" i="51"/>
  <c r="L51" i="51"/>
  <c r="L52" i="51"/>
  <c r="L53" i="51"/>
  <c r="L54" i="51"/>
  <c r="L55" i="51"/>
  <c r="L56" i="51"/>
  <c r="L57" i="51"/>
  <c r="L58" i="51"/>
  <c r="L59" i="51"/>
  <c r="L60" i="51"/>
  <c r="L61" i="51"/>
  <c r="L62" i="51"/>
  <c r="L63" i="51"/>
  <c r="L64" i="51"/>
  <c r="L65" i="51"/>
  <c r="L66" i="51"/>
  <c r="L67" i="51"/>
  <c r="L68" i="51"/>
  <c r="L69" i="51"/>
  <c r="L70" i="51"/>
  <c r="L71" i="51"/>
  <c r="L72" i="51"/>
  <c r="L73" i="51"/>
  <c r="L74" i="51"/>
  <c r="L75" i="51"/>
  <c r="L76" i="51"/>
  <c r="L77" i="51"/>
  <c r="L78" i="51"/>
  <c r="L79" i="51"/>
  <c r="L80" i="51"/>
  <c r="L81" i="51"/>
  <c r="L82" i="51"/>
  <c r="L83" i="51"/>
  <c r="L84" i="51"/>
  <c r="L85" i="51"/>
  <c r="L86" i="51"/>
  <c r="L87" i="51"/>
  <c r="L88" i="51"/>
  <c r="L89" i="51"/>
  <c r="L90" i="51"/>
  <c r="L91" i="51"/>
  <c r="L92" i="51"/>
  <c r="L93" i="51"/>
  <c r="L94" i="51"/>
  <c r="L95" i="51"/>
  <c r="L96" i="51"/>
  <c r="L97" i="51"/>
  <c r="L98" i="51"/>
  <c r="L99" i="51"/>
  <c r="L100" i="51"/>
  <c r="L101" i="51"/>
  <c r="L102" i="51"/>
  <c r="L103" i="51"/>
  <c r="L104" i="51"/>
  <c r="L105" i="51"/>
  <c r="L106" i="51"/>
  <c r="L107" i="51"/>
  <c r="L108" i="51"/>
  <c r="L109" i="51"/>
  <c r="L110" i="51"/>
  <c r="L111" i="51"/>
  <c r="L112" i="51"/>
  <c r="L113" i="51"/>
  <c r="L114" i="51"/>
  <c r="L115" i="51"/>
  <c r="L116" i="51"/>
  <c r="L117" i="51"/>
  <c r="L118" i="51"/>
  <c r="L119" i="51"/>
  <c r="L120" i="51"/>
  <c r="L121" i="51"/>
  <c r="L122" i="51"/>
  <c r="L123" i="51"/>
  <c r="L124" i="51"/>
  <c r="L125" i="51"/>
  <c r="L126" i="51"/>
  <c r="L127" i="51"/>
  <c r="L128" i="51"/>
  <c r="L129" i="51"/>
  <c r="L130" i="51"/>
  <c r="L131" i="51"/>
  <c r="L132" i="51"/>
  <c r="L133" i="51"/>
  <c r="L134" i="51"/>
  <c r="L135" i="51"/>
  <c r="L136" i="51"/>
  <c r="L137" i="51"/>
  <c r="L138" i="51"/>
  <c r="L139" i="51"/>
  <c r="L140" i="51"/>
  <c r="L141" i="51"/>
  <c r="L142" i="51"/>
  <c r="L143" i="51"/>
  <c r="L144" i="51"/>
  <c r="L145" i="51"/>
  <c r="L146" i="51"/>
  <c r="L147" i="51"/>
  <c r="L148" i="51"/>
  <c r="L149" i="51"/>
  <c r="L150" i="51"/>
  <c r="L151" i="51"/>
  <c r="L152" i="51"/>
  <c r="L153" i="51"/>
  <c r="L154" i="51"/>
  <c r="L155" i="51"/>
  <c r="L156" i="51"/>
  <c r="L157" i="51"/>
  <c r="L158" i="51"/>
  <c r="L159" i="51"/>
  <c r="L160" i="51"/>
  <c r="L161" i="51"/>
  <c r="L162" i="51"/>
  <c r="L163" i="51"/>
  <c r="L164" i="51"/>
  <c r="L165" i="51"/>
  <c r="L166" i="51"/>
  <c r="L167" i="51"/>
  <c r="L168" i="51"/>
  <c r="L169" i="51"/>
  <c r="L170" i="51"/>
  <c r="L171" i="51"/>
  <c r="L172" i="51"/>
  <c r="L173" i="51"/>
  <c r="L174" i="51"/>
  <c r="L175" i="51"/>
  <c r="L176" i="51"/>
  <c r="L177" i="51"/>
  <c r="L178" i="51"/>
  <c r="L179" i="51"/>
  <c r="L180" i="51"/>
  <c r="L181" i="51"/>
  <c r="L182" i="51"/>
  <c r="L183" i="51"/>
  <c r="L184" i="51"/>
  <c r="L185" i="51"/>
  <c r="L186" i="51"/>
  <c r="L187" i="51"/>
  <c r="L188" i="51"/>
  <c r="L189" i="51"/>
  <c r="L190" i="51"/>
  <c r="L191" i="51"/>
  <c r="L192" i="51"/>
  <c r="L193" i="51"/>
  <c r="L194" i="51"/>
  <c r="L195" i="51"/>
  <c r="L196" i="51"/>
  <c r="L197" i="51"/>
  <c r="L198" i="51"/>
  <c r="L199" i="51"/>
  <c r="L200" i="51"/>
  <c r="L201" i="51"/>
  <c r="L202" i="51"/>
  <c r="L203" i="51"/>
  <c r="L204" i="51"/>
  <c r="L205" i="51"/>
  <c r="L206" i="51"/>
  <c r="L207" i="51"/>
  <c r="L208" i="51"/>
  <c r="L209" i="51"/>
  <c r="L210" i="51"/>
  <c r="L211" i="51"/>
  <c r="L212" i="51"/>
  <c r="L213" i="51"/>
  <c r="L214" i="51"/>
  <c r="L215" i="51"/>
  <c r="L216" i="51"/>
  <c r="L217" i="51"/>
  <c r="L218" i="51"/>
  <c r="L219" i="51"/>
  <c r="L220" i="51"/>
  <c r="L221" i="51"/>
  <c r="L222" i="51"/>
  <c r="L223" i="51"/>
  <c r="L224" i="51"/>
  <c r="L225" i="51"/>
  <c r="L226" i="51"/>
  <c r="L227" i="51"/>
  <c r="L228" i="51"/>
  <c r="L229" i="51"/>
  <c r="L230" i="51"/>
  <c r="L231" i="51"/>
  <c r="L232" i="51"/>
  <c r="L233" i="51"/>
  <c r="L234" i="51"/>
  <c r="L235" i="51"/>
  <c r="L236" i="51"/>
  <c r="L237" i="51"/>
  <c r="L238" i="51"/>
  <c r="L239" i="51"/>
  <c r="L240" i="51"/>
  <c r="L241" i="51"/>
  <c r="L242" i="51"/>
  <c r="L243" i="51"/>
  <c r="L244" i="51"/>
  <c r="L245" i="51"/>
  <c r="L246" i="51"/>
  <c r="L247" i="51"/>
  <c r="L248" i="51"/>
  <c r="L249" i="51"/>
  <c r="L250" i="51"/>
  <c r="M15" i="51"/>
  <c r="M23" i="51"/>
  <c r="M25" i="51"/>
  <c r="M27" i="51"/>
  <c r="M28" i="51"/>
  <c r="M29" i="51"/>
  <c r="M30" i="51"/>
  <c r="M31" i="51"/>
  <c r="M32" i="51"/>
  <c r="M33" i="51"/>
  <c r="M38" i="51"/>
  <c r="M40" i="51"/>
  <c r="M45" i="51"/>
  <c r="M47" i="51"/>
  <c r="M50" i="51"/>
  <c r="M55" i="51"/>
  <c r="M58" i="51"/>
  <c r="M59" i="51"/>
  <c r="M61" i="51"/>
  <c r="M62" i="51"/>
  <c r="M67" i="51"/>
  <c r="M70" i="51"/>
  <c r="M71" i="51"/>
  <c r="M73" i="51"/>
  <c r="M75" i="51"/>
  <c r="M80" i="51"/>
  <c r="M81" i="51"/>
  <c r="M82" i="51"/>
  <c r="M93" i="51"/>
  <c r="M95" i="51"/>
  <c r="M102" i="51"/>
  <c r="M103" i="51"/>
  <c r="M111" i="51"/>
  <c r="M113" i="51"/>
  <c r="M115" i="51"/>
  <c r="M120" i="51"/>
  <c r="M121" i="51"/>
  <c r="M122" i="51"/>
  <c r="M125" i="51"/>
  <c r="M135" i="51"/>
  <c r="M140" i="51"/>
  <c r="M141" i="51"/>
  <c r="M142" i="51"/>
  <c r="M143" i="51"/>
  <c r="M144" i="51"/>
  <c r="M146" i="51"/>
  <c r="M147" i="51"/>
  <c r="M148" i="51"/>
  <c r="M150" i="51"/>
  <c r="M155" i="51"/>
  <c r="M160" i="51"/>
  <c r="M161" i="51"/>
  <c r="M162" i="51"/>
  <c r="M165" i="51"/>
  <c r="M170" i="51"/>
  <c r="M180" i="51"/>
  <c r="M181" i="51"/>
  <c r="M183" i="51"/>
  <c r="M184" i="51"/>
  <c r="M185" i="51"/>
  <c r="M186" i="51"/>
  <c r="M187" i="51"/>
  <c r="M188" i="51"/>
  <c r="M189" i="51"/>
  <c r="M193" i="51"/>
  <c r="M195" i="51"/>
  <c r="M199" i="51"/>
  <c r="M200" i="51"/>
  <c r="M202" i="51"/>
  <c r="M207" i="51"/>
  <c r="M209" i="51"/>
  <c r="M210" i="51"/>
  <c r="M213" i="51"/>
  <c r="M221" i="51"/>
  <c r="M227" i="51"/>
  <c r="M228" i="51"/>
  <c r="M230" i="51"/>
  <c r="M235" i="51"/>
  <c r="M244" i="51"/>
  <c r="M247" i="51"/>
  <c r="M249" i="51"/>
  <c r="M250" i="51"/>
  <c r="R31" i="51"/>
  <c r="R40" i="51"/>
  <c r="R58" i="51"/>
  <c r="R67" i="51"/>
  <c r="R73" i="51"/>
  <c r="R75" i="51"/>
  <c r="R93" i="51"/>
  <c r="R180" i="51"/>
  <c r="R200" i="51"/>
  <c r="R213" i="51"/>
  <c r="R221" i="51"/>
  <c r="R227" i="51"/>
  <c r="R247" i="51"/>
  <c r="H4" i="50"/>
  <c r="H5" i="50"/>
  <c r="H6" i="50"/>
  <c r="H7" i="50"/>
  <c r="H8" i="50"/>
  <c r="H9" i="50"/>
  <c r="H10" i="50"/>
  <c r="H11" i="50"/>
  <c r="H12" i="50"/>
  <c r="H13" i="50"/>
  <c r="H14" i="50"/>
  <c r="H15" i="50"/>
  <c r="H16" i="50"/>
  <c r="H17" i="50"/>
  <c r="H18" i="50"/>
  <c r="H19" i="50"/>
  <c r="H20" i="50"/>
  <c r="H21" i="50"/>
  <c r="H22" i="50"/>
  <c r="H23" i="50"/>
  <c r="H24" i="50"/>
  <c r="H25" i="50"/>
  <c r="H26" i="50"/>
  <c r="H27" i="50"/>
  <c r="H28" i="50"/>
  <c r="H29" i="50"/>
  <c r="H30" i="50"/>
  <c r="H31" i="50"/>
  <c r="H32" i="50"/>
  <c r="H33" i="50"/>
  <c r="H34" i="50"/>
  <c r="H35" i="50"/>
  <c r="H36" i="50"/>
  <c r="H37" i="50"/>
  <c r="H38" i="50"/>
  <c r="H39" i="50"/>
  <c r="H40" i="50"/>
  <c r="H41" i="50"/>
  <c r="H42" i="50"/>
  <c r="H43" i="50"/>
  <c r="H44" i="50"/>
  <c r="H45" i="50"/>
  <c r="H46" i="50"/>
  <c r="H47" i="50"/>
  <c r="H48" i="50"/>
  <c r="H49" i="50"/>
  <c r="H50" i="50"/>
  <c r="H51" i="50"/>
  <c r="H52" i="50"/>
  <c r="H53" i="50"/>
  <c r="H54" i="50"/>
  <c r="H55" i="50"/>
  <c r="H56" i="50"/>
  <c r="H57" i="50"/>
  <c r="H58" i="50"/>
  <c r="H59" i="50"/>
  <c r="H60" i="50"/>
  <c r="H61" i="50"/>
  <c r="H62" i="50"/>
  <c r="H63" i="50"/>
  <c r="H64" i="50"/>
  <c r="H65" i="50"/>
  <c r="H66" i="50"/>
  <c r="H67" i="50"/>
  <c r="H68" i="50"/>
  <c r="H69" i="50"/>
  <c r="H70" i="50"/>
  <c r="H71" i="50"/>
  <c r="H72" i="50"/>
  <c r="H73" i="50"/>
  <c r="H74" i="50"/>
  <c r="H75" i="50"/>
  <c r="H76" i="50"/>
  <c r="H77" i="50"/>
  <c r="H78" i="50"/>
  <c r="H79" i="50"/>
  <c r="H80" i="50"/>
  <c r="H81" i="50"/>
  <c r="H82" i="50"/>
  <c r="H83" i="50"/>
  <c r="H84" i="50"/>
  <c r="H85" i="50"/>
  <c r="H86" i="50"/>
  <c r="H87" i="50"/>
  <c r="H88" i="50"/>
  <c r="H89" i="50"/>
  <c r="H90" i="50"/>
  <c r="H91" i="50"/>
  <c r="H92" i="50"/>
  <c r="H93" i="50"/>
  <c r="H94" i="50"/>
  <c r="H95" i="50"/>
  <c r="H96" i="50"/>
  <c r="H97" i="50"/>
  <c r="H98" i="50"/>
  <c r="H99" i="50"/>
  <c r="H100" i="50"/>
  <c r="H101" i="50"/>
  <c r="H102" i="50"/>
  <c r="H103" i="50"/>
  <c r="H104" i="50"/>
  <c r="H105" i="50"/>
  <c r="H106" i="50"/>
  <c r="H107" i="50"/>
  <c r="H108" i="50"/>
  <c r="H109" i="50"/>
  <c r="H110" i="50"/>
  <c r="H111" i="50"/>
  <c r="H112" i="50"/>
  <c r="H113" i="50"/>
  <c r="H114" i="50"/>
  <c r="H115" i="50"/>
  <c r="H116" i="50"/>
  <c r="H117" i="50"/>
  <c r="H118" i="50"/>
  <c r="H119" i="50"/>
  <c r="H120" i="50"/>
  <c r="H121" i="50"/>
  <c r="H122" i="50"/>
  <c r="H123" i="50"/>
  <c r="H124" i="50"/>
  <c r="H125" i="50"/>
  <c r="H126" i="50"/>
  <c r="H127" i="50"/>
  <c r="H128" i="50"/>
  <c r="H129" i="50"/>
  <c r="H130" i="50"/>
  <c r="H131" i="50"/>
  <c r="H132" i="50"/>
  <c r="H133" i="50"/>
  <c r="H134" i="50"/>
  <c r="H135" i="50"/>
  <c r="H136" i="50"/>
  <c r="H137" i="50"/>
  <c r="H138" i="50"/>
  <c r="H139" i="50"/>
  <c r="H140" i="50"/>
  <c r="H141" i="50"/>
  <c r="H142" i="50"/>
  <c r="H143" i="50"/>
  <c r="H144" i="50"/>
  <c r="H145" i="50"/>
  <c r="H146" i="50"/>
  <c r="H147" i="50"/>
  <c r="H148" i="50"/>
  <c r="H149" i="50"/>
  <c r="H150" i="50"/>
  <c r="H151" i="50"/>
  <c r="H152" i="50"/>
  <c r="H153" i="50"/>
  <c r="H154" i="50"/>
  <c r="H155" i="50"/>
  <c r="H156" i="50"/>
  <c r="H157" i="50"/>
  <c r="H158" i="50"/>
  <c r="H159" i="50"/>
  <c r="H160" i="50"/>
  <c r="H161" i="50"/>
  <c r="H162" i="50"/>
  <c r="H163" i="50"/>
  <c r="H164" i="50"/>
  <c r="H165" i="50"/>
  <c r="H166" i="50"/>
  <c r="H167" i="50"/>
  <c r="H168" i="50"/>
  <c r="H169" i="50"/>
  <c r="H170" i="50"/>
  <c r="H171" i="50"/>
  <c r="H172" i="50"/>
  <c r="H173" i="50"/>
  <c r="H174" i="50"/>
  <c r="H175" i="50"/>
  <c r="H176" i="50"/>
  <c r="H177" i="50"/>
  <c r="H178" i="50"/>
  <c r="H179" i="50"/>
  <c r="H180" i="50"/>
  <c r="H181" i="50"/>
  <c r="H182" i="50"/>
  <c r="H183" i="50"/>
  <c r="H184" i="50"/>
  <c r="H185" i="50"/>
  <c r="H186" i="50"/>
  <c r="H187" i="50"/>
  <c r="H188" i="50"/>
  <c r="H189" i="50"/>
  <c r="H190" i="50"/>
  <c r="H191" i="50"/>
  <c r="H192" i="50"/>
  <c r="H193" i="50"/>
  <c r="H194" i="50"/>
  <c r="H195" i="50"/>
  <c r="H196" i="50"/>
  <c r="H197" i="50"/>
  <c r="H198" i="50"/>
  <c r="H199" i="50"/>
  <c r="H200" i="50"/>
  <c r="H201" i="50"/>
  <c r="H202" i="50"/>
  <c r="H203" i="50"/>
  <c r="H204" i="50"/>
  <c r="H205" i="50"/>
  <c r="H206" i="50"/>
  <c r="H207" i="50"/>
  <c r="H208" i="50"/>
  <c r="H209" i="50"/>
  <c r="H210" i="50"/>
  <c r="H211" i="50"/>
  <c r="H212" i="50"/>
  <c r="H213" i="50"/>
  <c r="H214" i="50"/>
  <c r="H215" i="50"/>
  <c r="H216" i="50"/>
  <c r="H217" i="50"/>
  <c r="H218" i="50"/>
  <c r="H219" i="50"/>
  <c r="H220" i="50"/>
  <c r="H221" i="50"/>
  <c r="H222" i="50"/>
  <c r="H223" i="50"/>
  <c r="H224" i="50"/>
  <c r="H225" i="50"/>
  <c r="H226" i="50"/>
  <c r="H227" i="50"/>
  <c r="H228" i="50"/>
  <c r="H229" i="50"/>
  <c r="H230" i="50"/>
  <c r="H231" i="50"/>
  <c r="H232" i="50"/>
  <c r="H233" i="50"/>
  <c r="H234" i="50"/>
  <c r="H235" i="50"/>
  <c r="H236" i="50"/>
  <c r="H237" i="50"/>
  <c r="H238" i="50"/>
  <c r="H239" i="50"/>
  <c r="H240" i="50"/>
  <c r="H241" i="50"/>
  <c r="H242" i="50"/>
  <c r="H243" i="50"/>
  <c r="H244" i="50"/>
  <c r="H245" i="50"/>
  <c r="H246" i="50"/>
  <c r="H247" i="50"/>
  <c r="H248" i="50"/>
  <c r="H249" i="50"/>
  <c r="H250" i="50"/>
  <c r="K4" i="50"/>
  <c r="L4" i="50" s="1"/>
  <c r="K5" i="50"/>
  <c r="L5" i="50" s="1"/>
  <c r="K6" i="50"/>
  <c r="K7" i="50"/>
  <c r="K8" i="50"/>
  <c r="K9" i="50"/>
  <c r="L9" i="50" s="1"/>
  <c r="K10" i="50"/>
  <c r="L10" i="50" s="1"/>
  <c r="K11" i="50"/>
  <c r="K12" i="50"/>
  <c r="L12" i="50" s="1"/>
  <c r="R12" i="50" s="1"/>
  <c r="K13" i="50"/>
  <c r="K14" i="50"/>
  <c r="K15" i="50"/>
  <c r="K16" i="50"/>
  <c r="K17" i="50"/>
  <c r="K18" i="50"/>
  <c r="K19" i="50"/>
  <c r="K20" i="50"/>
  <c r="K21" i="50"/>
  <c r="K22" i="50"/>
  <c r="K23" i="50"/>
  <c r="K24" i="50"/>
  <c r="K25" i="50"/>
  <c r="K26" i="50"/>
  <c r="K27" i="50"/>
  <c r="K28" i="50"/>
  <c r="K29" i="50"/>
  <c r="K30" i="50"/>
  <c r="K31" i="50"/>
  <c r="K32" i="50"/>
  <c r="K33" i="50"/>
  <c r="K34" i="50"/>
  <c r="K35" i="50"/>
  <c r="K36" i="50"/>
  <c r="K37" i="50"/>
  <c r="K38" i="50"/>
  <c r="K39" i="50"/>
  <c r="K40" i="50"/>
  <c r="K41" i="50"/>
  <c r="K42" i="50"/>
  <c r="K43" i="50"/>
  <c r="K44" i="50"/>
  <c r="K45" i="50"/>
  <c r="K46" i="50"/>
  <c r="K47" i="50"/>
  <c r="K48" i="50"/>
  <c r="K49" i="50"/>
  <c r="K50" i="50"/>
  <c r="K51" i="50"/>
  <c r="K52" i="50"/>
  <c r="K53" i="50"/>
  <c r="K54" i="50"/>
  <c r="K55" i="50"/>
  <c r="K56" i="50"/>
  <c r="K57" i="50"/>
  <c r="K58" i="50"/>
  <c r="K59" i="50"/>
  <c r="K60" i="50"/>
  <c r="K61" i="50"/>
  <c r="K62" i="50"/>
  <c r="K63" i="50"/>
  <c r="K64" i="50"/>
  <c r="K65" i="50"/>
  <c r="K66" i="50"/>
  <c r="K67" i="50"/>
  <c r="K68" i="50"/>
  <c r="K69" i="50"/>
  <c r="K70" i="50"/>
  <c r="K71" i="50"/>
  <c r="K72" i="50"/>
  <c r="K73" i="50"/>
  <c r="K74" i="50"/>
  <c r="K75" i="50"/>
  <c r="K76" i="50"/>
  <c r="K77" i="50"/>
  <c r="K78" i="50"/>
  <c r="K79" i="50"/>
  <c r="K80" i="50"/>
  <c r="K81" i="50"/>
  <c r="K82" i="50"/>
  <c r="K83" i="50"/>
  <c r="K84" i="50"/>
  <c r="K85" i="50"/>
  <c r="K86" i="50"/>
  <c r="K87" i="50"/>
  <c r="K88" i="50"/>
  <c r="K89" i="50"/>
  <c r="K90" i="50"/>
  <c r="K91" i="50"/>
  <c r="K92" i="50"/>
  <c r="K93" i="50"/>
  <c r="K94" i="50"/>
  <c r="K95" i="50"/>
  <c r="K96" i="50"/>
  <c r="K97" i="50"/>
  <c r="K98" i="50"/>
  <c r="K99" i="50"/>
  <c r="K100" i="50"/>
  <c r="K101" i="50"/>
  <c r="K102" i="50"/>
  <c r="K103" i="50"/>
  <c r="K104" i="50"/>
  <c r="K105" i="50"/>
  <c r="K106" i="50"/>
  <c r="K107" i="50"/>
  <c r="K108" i="50"/>
  <c r="K109" i="50"/>
  <c r="K110" i="50"/>
  <c r="K111" i="50"/>
  <c r="K112" i="50"/>
  <c r="K113" i="50"/>
  <c r="K114" i="50"/>
  <c r="K115" i="50"/>
  <c r="K116" i="50"/>
  <c r="K117" i="50"/>
  <c r="K118" i="50"/>
  <c r="K119" i="50"/>
  <c r="K120" i="50"/>
  <c r="K121" i="50"/>
  <c r="K122" i="50"/>
  <c r="K123" i="50"/>
  <c r="K124" i="50"/>
  <c r="K125" i="50"/>
  <c r="K126" i="50"/>
  <c r="K127" i="50"/>
  <c r="K128" i="50"/>
  <c r="K129" i="50"/>
  <c r="K130" i="50"/>
  <c r="K131" i="50"/>
  <c r="K132" i="50"/>
  <c r="K133" i="50"/>
  <c r="K134" i="50"/>
  <c r="K135" i="50"/>
  <c r="K136" i="50"/>
  <c r="K137" i="50"/>
  <c r="K138" i="50"/>
  <c r="K139" i="50"/>
  <c r="K140" i="50"/>
  <c r="K141" i="50"/>
  <c r="K142" i="50"/>
  <c r="K143" i="50"/>
  <c r="K144" i="50"/>
  <c r="K145" i="50"/>
  <c r="K146" i="50"/>
  <c r="K147" i="50"/>
  <c r="K148" i="50"/>
  <c r="K149" i="50"/>
  <c r="K150" i="50"/>
  <c r="K151" i="50"/>
  <c r="K152" i="50"/>
  <c r="K153" i="50"/>
  <c r="K154" i="50"/>
  <c r="K155" i="50"/>
  <c r="K156" i="50"/>
  <c r="K157" i="50"/>
  <c r="K158" i="50"/>
  <c r="K159" i="50"/>
  <c r="K160" i="50"/>
  <c r="K161" i="50"/>
  <c r="K162" i="50"/>
  <c r="K163" i="50"/>
  <c r="K164" i="50"/>
  <c r="K165" i="50"/>
  <c r="K166" i="50"/>
  <c r="K167" i="50"/>
  <c r="K168" i="50"/>
  <c r="K169" i="50"/>
  <c r="K170" i="50"/>
  <c r="K171" i="50"/>
  <c r="K172" i="50"/>
  <c r="K173" i="50"/>
  <c r="K174" i="50"/>
  <c r="K175" i="50"/>
  <c r="K176" i="50"/>
  <c r="K177" i="50"/>
  <c r="K178" i="50"/>
  <c r="K179" i="50"/>
  <c r="K180" i="50"/>
  <c r="K181" i="50"/>
  <c r="K182" i="50"/>
  <c r="K183" i="50"/>
  <c r="K184" i="50"/>
  <c r="K185" i="50"/>
  <c r="K186" i="50"/>
  <c r="K187" i="50"/>
  <c r="K188" i="50"/>
  <c r="K189" i="50"/>
  <c r="K190" i="50"/>
  <c r="K191" i="50"/>
  <c r="K192" i="50"/>
  <c r="K193" i="50"/>
  <c r="K194" i="50"/>
  <c r="K195" i="50"/>
  <c r="K196" i="50"/>
  <c r="K197" i="50"/>
  <c r="K198" i="50"/>
  <c r="K199" i="50"/>
  <c r="K200" i="50"/>
  <c r="K201" i="50"/>
  <c r="K202" i="50"/>
  <c r="K203" i="50"/>
  <c r="K204" i="50"/>
  <c r="K205" i="50"/>
  <c r="K206" i="50"/>
  <c r="K207" i="50"/>
  <c r="K208" i="50"/>
  <c r="K209" i="50"/>
  <c r="K210" i="50"/>
  <c r="K211" i="50"/>
  <c r="K212" i="50"/>
  <c r="K213" i="50"/>
  <c r="K214" i="50"/>
  <c r="K215" i="50"/>
  <c r="K216" i="50"/>
  <c r="K217" i="50"/>
  <c r="K218" i="50"/>
  <c r="K219" i="50"/>
  <c r="K220" i="50"/>
  <c r="K221" i="50"/>
  <c r="K222" i="50"/>
  <c r="K223" i="50"/>
  <c r="K224" i="50"/>
  <c r="K225" i="50"/>
  <c r="K226" i="50"/>
  <c r="K227" i="50"/>
  <c r="K228" i="50"/>
  <c r="K229" i="50"/>
  <c r="K230" i="50"/>
  <c r="K231" i="50"/>
  <c r="K232" i="50"/>
  <c r="K233" i="50"/>
  <c r="K234" i="50"/>
  <c r="K235" i="50"/>
  <c r="K236" i="50"/>
  <c r="K237" i="50"/>
  <c r="K238" i="50"/>
  <c r="K239" i="50"/>
  <c r="K240" i="50"/>
  <c r="K241" i="50"/>
  <c r="K242" i="50"/>
  <c r="K243" i="50"/>
  <c r="K244" i="50"/>
  <c r="K245" i="50"/>
  <c r="K246" i="50"/>
  <c r="K247" i="50"/>
  <c r="K248" i="50"/>
  <c r="K249" i="50"/>
  <c r="K250" i="50"/>
  <c r="L6" i="50"/>
  <c r="L7" i="50"/>
  <c r="L8" i="50"/>
  <c r="L11" i="50"/>
  <c r="L13" i="50"/>
  <c r="L14" i="50"/>
  <c r="L15" i="50"/>
  <c r="L16" i="50"/>
  <c r="L17" i="50"/>
  <c r="L18" i="50"/>
  <c r="L19" i="50"/>
  <c r="L20" i="50"/>
  <c r="L21" i="50"/>
  <c r="L22" i="50"/>
  <c r="L23" i="50"/>
  <c r="L24" i="50"/>
  <c r="L25" i="50"/>
  <c r="L26" i="50"/>
  <c r="L27" i="50"/>
  <c r="L28" i="50"/>
  <c r="L29" i="50"/>
  <c r="L30" i="50"/>
  <c r="L31" i="50"/>
  <c r="L32" i="50"/>
  <c r="L33" i="50"/>
  <c r="L34" i="50"/>
  <c r="L35" i="50"/>
  <c r="L36" i="50"/>
  <c r="L37" i="50"/>
  <c r="L38" i="50"/>
  <c r="L39" i="50"/>
  <c r="L40" i="50"/>
  <c r="L41" i="50"/>
  <c r="L42" i="50"/>
  <c r="L43" i="50"/>
  <c r="L44" i="50"/>
  <c r="L45" i="50"/>
  <c r="L46" i="50"/>
  <c r="L47" i="50"/>
  <c r="L48" i="50"/>
  <c r="L49" i="50"/>
  <c r="L50" i="50"/>
  <c r="L51" i="50"/>
  <c r="L52" i="50"/>
  <c r="L53" i="50"/>
  <c r="L54" i="50"/>
  <c r="L55" i="50"/>
  <c r="L56" i="50"/>
  <c r="L57" i="50"/>
  <c r="L58" i="50"/>
  <c r="L59" i="50"/>
  <c r="L60" i="50"/>
  <c r="L61" i="50"/>
  <c r="L62" i="50"/>
  <c r="L63" i="50"/>
  <c r="L64" i="50"/>
  <c r="L65" i="50"/>
  <c r="L66" i="50"/>
  <c r="L67" i="50"/>
  <c r="L68" i="50"/>
  <c r="L69" i="50"/>
  <c r="L70" i="50"/>
  <c r="L71" i="50"/>
  <c r="L72" i="50"/>
  <c r="L73" i="50"/>
  <c r="L74" i="50"/>
  <c r="L75" i="50"/>
  <c r="L76" i="50"/>
  <c r="L77" i="50"/>
  <c r="L78" i="50"/>
  <c r="L79" i="50"/>
  <c r="L80" i="50"/>
  <c r="L81" i="50"/>
  <c r="L82" i="50"/>
  <c r="L83" i="50"/>
  <c r="L84" i="50"/>
  <c r="L85" i="50"/>
  <c r="L86" i="50"/>
  <c r="L87" i="50"/>
  <c r="L88" i="50"/>
  <c r="L89" i="50"/>
  <c r="L90" i="50"/>
  <c r="L91" i="50"/>
  <c r="L92" i="50"/>
  <c r="L93" i="50"/>
  <c r="L94" i="50"/>
  <c r="L95" i="50"/>
  <c r="L96" i="50"/>
  <c r="L97" i="50"/>
  <c r="L98" i="50"/>
  <c r="L99" i="50"/>
  <c r="L100" i="50"/>
  <c r="L101" i="50"/>
  <c r="L102" i="50"/>
  <c r="L103" i="50"/>
  <c r="L104" i="50"/>
  <c r="L105" i="50"/>
  <c r="L106" i="50"/>
  <c r="L107" i="50"/>
  <c r="L108" i="50"/>
  <c r="L109" i="50"/>
  <c r="L110" i="50"/>
  <c r="L111" i="50"/>
  <c r="L112" i="50"/>
  <c r="L113" i="50"/>
  <c r="L114" i="50"/>
  <c r="L115" i="50"/>
  <c r="L116" i="50"/>
  <c r="L117" i="50"/>
  <c r="L118" i="50"/>
  <c r="L119" i="50"/>
  <c r="L120" i="50"/>
  <c r="L121" i="50"/>
  <c r="L122" i="50"/>
  <c r="L123" i="50"/>
  <c r="L124" i="50"/>
  <c r="L125" i="50"/>
  <c r="L126" i="50"/>
  <c r="L127" i="50"/>
  <c r="L128" i="50"/>
  <c r="L129" i="50"/>
  <c r="L130" i="50"/>
  <c r="L131" i="50"/>
  <c r="L132" i="50"/>
  <c r="L133" i="50"/>
  <c r="L134" i="50"/>
  <c r="L135" i="50"/>
  <c r="L136" i="50"/>
  <c r="L137" i="50"/>
  <c r="L138" i="50"/>
  <c r="L139" i="50"/>
  <c r="L140" i="50"/>
  <c r="L141" i="50"/>
  <c r="L142" i="50"/>
  <c r="L143" i="50"/>
  <c r="L144" i="50"/>
  <c r="L145" i="50"/>
  <c r="L146" i="50"/>
  <c r="L147" i="50"/>
  <c r="L148" i="50"/>
  <c r="L149" i="50"/>
  <c r="L150" i="50"/>
  <c r="L151" i="50"/>
  <c r="L152" i="50"/>
  <c r="L153" i="50"/>
  <c r="L154" i="50"/>
  <c r="L155" i="50"/>
  <c r="L156" i="50"/>
  <c r="L157" i="50"/>
  <c r="L158" i="50"/>
  <c r="L159" i="50"/>
  <c r="L160" i="50"/>
  <c r="L161" i="50"/>
  <c r="L162" i="50"/>
  <c r="L163" i="50"/>
  <c r="L164" i="50"/>
  <c r="L165" i="50"/>
  <c r="L166" i="50"/>
  <c r="L167" i="50"/>
  <c r="L168" i="50"/>
  <c r="L169" i="50"/>
  <c r="L170" i="50"/>
  <c r="L171" i="50"/>
  <c r="L172" i="50"/>
  <c r="L173" i="50"/>
  <c r="L174" i="50"/>
  <c r="L175" i="50"/>
  <c r="L176" i="50"/>
  <c r="L177" i="50"/>
  <c r="L178" i="50"/>
  <c r="L179" i="50"/>
  <c r="L180" i="50"/>
  <c r="L181" i="50"/>
  <c r="L182" i="50"/>
  <c r="L183" i="50"/>
  <c r="L184" i="50"/>
  <c r="L185" i="50"/>
  <c r="L186" i="50"/>
  <c r="L187" i="50"/>
  <c r="L188" i="50"/>
  <c r="L189" i="50"/>
  <c r="L190" i="50"/>
  <c r="L191" i="50"/>
  <c r="L192" i="50"/>
  <c r="L193" i="50"/>
  <c r="L194" i="50"/>
  <c r="L195" i="50"/>
  <c r="L196" i="50"/>
  <c r="L197" i="50"/>
  <c r="L198" i="50"/>
  <c r="L199" i="50"/>
  <c r="L200" i="50"/>
  <c r="L201" i="50"/>
  <c r="L202" i="50"/>
  <c r="L203" i="50"/>
  <c r="L204" i="50"/>
  <c r="L205" i="50"/>
  <c r="L206" i="50"/>
  <c r="L207" i="50"/>
  <c r="L208" i="50"/>
  <c r="L209" i="50"/>
  <c r="L210" i="50"/>
  <c r="L211" i="50"/>
  <c r="L212" i="50"/>
  <c r="L213" i="50"/>
  <c r="L214" i="50"/>
  <c r="L215" i="50"/>
  <c r="L216" i="50"/>
  <c r="L217" i="50"/>
  <c r="L218" i="50"/>
  <c r="L219" i="50"/>
  <c r="L220" i="50"/>
  <c r="L221" i="50"/>
  <c r="L222" i="50"/>
  <c r="L223" i="50"/>
  <c r="L224" i="50"/>
  <c r="L225" i="50"/>
  <c r="L226" i="50"/>
  <c r="L227" i="50"/>
  <c r="L228" i="50"/>
  <c r="L229" i="50"/>
  <c r="L230" i="50"/>
  <c r="L231" i="50"/>
  <c r="L232" i="50"/>
  <c r="L233" i="50"/>
  <c r="L234" i="50"/>
  <c r="L235" i="50"/>
  <c r="L236" i="50"/>
  <c r="L237" i="50"/>
  <c r="L238" i="50"/>
  <c r="L239" i="50"/>
  <c r="L240" i="50"/>
  <c r="L241" i="50"/>
  <c r="L242" i="50"/>
  <c r="L243" i="50"/>
  <c r="L244" i="50"/>
  <c r="L245" i="50"/>
  <c r="L246" i="50"/>
  <c r="L247" i="50"/>
  <c r="L248" i="50"/>
  <c r="L249" i="50"/>
  <c r="L250" i="50"/>
  <c r="M5" i="50"/>
  <c r="M6" i="50"/>
  <c r="M7" i="50"/>
  <c r="M11" i="50"/>
  <c r="M12" i="50"/>
  <c r="M14" i="50"/>
  <c r="M15" i="50"/>
  <c r="M16" i="50"/>
  <c r="M25" i="50"/>
  <c r="M27" i="50"/>
  <c r="M28" i="50"/>
  <c r="M29" i="50"/>
  <c r="M30" i="50"/>
  <c r="M32" i="50"/>
  <c r="M33" i="50"/>
  <c r="M34" i="50"/>
  <c r="M43" i="50"/>
  <c r="M48" i="50"/>
  <c r="M52" i="50"/>
  <c r="M54" i="50"/>
  <c r="M55" i="50"/>
  <c r="M56" i="50"/>
  <c r="M57" i="50"/>
  <c r="M58" i="50"/>
  <c r="M60" i="50"/>
  <c r="M65" i="50"/>
  <c r="M66" i="50"/>
  <c r="M67" i="50"/>
  <c r="M70" i="50"/>
  <c r="M72" i="50"/>
  <c r="M73" i="50"/>
  <c r="M74" i="50"/>
  <c r="M75" i="50"/>
  <c r="M76" i="50"/>
  <c r="M84" i="50"/>
  <c r="M85" i="50"/>
  <c r="M86" i="50"/>
  <c r="M92" i="50"/>
  <c r="M94" i="50"/>
  <c r="M95" i="50"/>
  <c r="M96" i="50"/>
  <c r="M98" i="50"/>
  <c r="M105" i="50"/>
  <c r="M106" i="50"/>
  <c r="M107" i="50"/>
  <c r="M109" i="50"/>
  <c r="M114" i="50"/>
  <c r="M115" i="50"/>
  <c r="M116" i="50"/>
  <c r="M125" i="50"/>
  <c r="M126" i="50"/>
  <c r="M128" i="50"/>
  <c r="M131" i="50"/>
  <c r="M135" i="50"/>
  <c r="M136" i="50"/>
  <c r="M143" i="50"/>
  <c r="M144" i="50"/>
  <c r="M149" i="50"/>
  <c r="M151" i="50"/>
  <c r="M152" i="50"/>
  <c r="M163" i="50"/>
  <c r="M164" i="50"/>
  <c r="M169" i="50"/>
  <c r="M170" i="50"/>
  <c r="M174" i="50"/>
  <c r="M175" i="50"/>
  <c r="M184" i="50"/>
  <c r="M185" i="50"/>
  <c r="M191" i="50"/>
  <c r="M192" i="50"/>
  <c r="M193" i="50"/>
  <c r="M194" i="50"/>
  <c r="M196" i="50"/>
  <c r="M197" i="50"/>
  <c r="M205" i="50"/>
  <c r="M206" i="50"/>
  <c r="M208" i="50"/>
  <c r="M210" i="50"/>
  <c r="M214" i="50"/>
  <c r="M215" i="50"/>
  <c r="M216" i="50"/>
  <c r="M230" i="50"/>
  <c r="M235" i="50"/>
  <c r="M236" i="50"/>
  <c r="M237" i="50"/>
  <c r="M240" i="50"/>
  <c r="M245" i="50"/>
  <c r="M246" i="50"/>
  <c r="M247" i="50"/>
  <c r="M248" i="50"/>
  <c r="M249" i="50"/>
  <c r="M250" i="50"/>
  <c r="R16" i="50"/>
  <c r="R27" i="50"/>
  <c r="R34" i="50"/>
  <c r="R36" i="50"/>
  <c r="R52" i="50"/>
  <c r="R54" i="50"/>
  <c r="R56" i="50"/>
  <c r="R75" i="50"/>
  <c r="R85" i="50"/>
  <c r="R86" i="50"/>
  <c r="R105" i="50"/>
  <c r="R129" i="50"/>
  <c r="R135" i="50"/>
  <c r="R169" i="50"/>
  <c r="R170" i="50"/>
  <c r="R174" i="50"/>
  <c r="R175" i="50"/>
  <c r="R192" i="50"/>
  <c r="R205" i="50"/>
  <c r="R245" i="50"/>
  <c r="R246" i="50"/>
  <c r="R248" i="50"/>
  <c r="R249" i="50"/>
  <c r="H4" i="46"/>
  <c r="H5" i="46"/>
  <c r="H6" i="46"/>
  <c r="H7" i="46"/>
  <c r="H8" i="46"/>
  <c r="H9" i="46"/>
  <c r="H10" i="46"/>
  <c r="H11" i="46"/>
  <c r="H12" i="46"/>
  <c r="H13" i="46"/>
  <c r="H14" i="46"/>
  <c r="H15" i="46"/>
  <c r="H16" i="46"/>
  <c r="H17" i="46"/>
  <c r="H18" i="46"/>
  <c r="H19" i="46"/>
  <c r="H20" i="46"/>
  <c r="H21" i="46"/>
  <c r="H22" i="46"/>
  <c r="H23" i="46"/>
  <c r="H24" i="46"/>
  <c r="H25" i="46"/>
  <c r="H26" i="46"/>
  <c r="H27" i="46"/>
  <c r="H28" i="46"/>
  <c r="H29" i="46"/>
  <c r="H30" i="46"/>
  <c r="H31" i="46"/>
  <c r="H32" i="46"/>
  <c r="H33" i="46"/>
  <c r="H34" i="46"/>
  <c r="H35" i="46"/>
  <c r="H36" i="46"/>
  <c r="H37" i="46"/>
  <c r="H38" i="46"/>
  <c r="H39" i="46"/>
  <c r="H40" i="46"/>
  <c r="H41" i="46"/>
  <c r="H42" i="46"/>
  <c r="H43" i="46"/>
  <c r="H44" i="46"/>
  <c r="H45" i="46"/>
  <c r="H46" i="46"/>
  <c r="H47" i="46"/>
  <c r="H48" i="46"/>
  <c r="H49" i="46"/>
  <c r="H50" i="46"/>
  <c r="H51" i="46"/>
  <c r="H52" i="46"/>
  <c r="H53" i="46"/>
  <c r="H54" i="46"/>
  <c r="H55" i="46"/>
  <c r="H56" i="46"/>
  <c r="H57" i="46"/>
  <c r="H58" i="46"/>
  <c r="H59" i="46"/>
  <c r="H60" i="46"/>
  <c r="H61" i="46"/>
  <c r="H62" i="46"/>
  <c r="H63" i="46"/>
  <c r="H64" i="46"/>
  <c r="H65" i="46"/>
  <c r="H66" i="46"/>
  <c r="H67" i="46"/>
  <c r="H68" i="46"/>
  <c r="H69" i="46"/>
  <c r="H70" i="46"/>
  <c r="H71" i="46"/>
  <c r="H72" i="46"/>
  <c r="H73" i="46"/>
  <c r="H74" i="46"/>
  <c r="H75" i="46"/>
  <c r="H76" i="46"/>
  <c r="H77" i="46"/>
  <c r="H78" i="46"/>
  <c r="H79" i="46"/>
  <c r="H80" i="46"/>
  <c r="H81" i="46"/>
  <c r="H82" i="46"/>
  <c r="H83" i="46"/>
  <c r="H84" i="46"/>
  <c r="H85" i="46"/>
  <c r="H86" i="46"/>
  <c r="H87" i="46"/>
  <c r="H88" i="46"/>
  <c r="H89" i="46"/>
  <c r="H90" i="46"/>
  <c r="H91" i="46"/>
  <c r="H92" i="46"/>
  <c r="H93" i="46"/>
  <c r="H94" i="46"/>
  <c r="H95" i="46"/>
  <c r="H96" i="46"/>
  <c r="H97" i="46"/>
  <c r="H98" i="46"/>
  <c r="H99" i="46"/>
  <c r="H100" i="46"/>
  <c r="H101" i="46"/>
  <c r="H102" i="46"/>
  <c r="H103" i="46"/>
  <c r="H104" i="46"/>
  <c r="H105" i="46"/>
  <c r="H106" i="46"/>
  <c r="H107" i="46"/>
  <c r="H108" i="46"/>
  <c r="H109" i="46"/>
  <c r="H110" i="46"/>
  <c r="H111" i="46"/>
  <c r="H112" i="46"/>
  <c r="H113" i="46"/>
  <c r="H114" i="46"/>
  <c r="H115" i="46"/>
  <c r="H116" i="46"/>
  <c r="H117" i="46"/>
  <c r="H118" i="46"/>
  <c r="H119" i="46"/>
  <c r="H120" i="46"/>
  <c r="H121" i="46"/>
  <c r="H122" i="46"/>
  <c r="H123" i="46"/>
  <c r="H124" i="46"/>
  <c r="H125" i="46"/>
  <c r="H126" i="46"/>
  <c r="H127" i="46"/>
  <c r="H128" i="46"/>
  <c r="H129" i="46"/>
  <c r="H130" i="46"/>
  <c r="H131" i="46"/>
  <c r="H132" i="46"/>
  <c r="H133" i="46"/>
  <c r="H134" i="46"/>
  <c r="H135" i="46"/>
  <c r="H136" i="46"/>
  <c r="H137" i="46"/>
  <c r="H138" i="46"/>
  <c r="H139" i="46"/>
  <c r="H140" i="46"/>
  <c r="H141" i="46"/>
  <c r="H142" i="46"/>
  <c r="H143" i="46"/>
  <c r="H144" i="46"/>
  <c r="H145" i="46"/>
  <c r="H146" i="46"/>
  <c r="H147" i="46"/>
  <c r="H148" i="46"/>
  <c r="H149" i="46"/>
  <c r="H150" i="46"/>
  <c r="H151" i="46"/>
  <c r="H152" i="46"/>
  <c r="H153" i="46"/>
  <c r="H154" i="46"/>
  <c r="H155" i="46"/>
  <c r="H156" i="46"/>
  <c r="H157" i="46"/>
  <c r="H158" i="46"/>
  <c r="H159" i="46"/>
  <c r="H160" i="46"/>
  <c r="H161" i="46"/>
  <c r="H162" i="46"/>
  <c r="H163" i="46"/>
  <c r="H164" i="46"/>
  <c r="H165" i="46"/>
  <c r="H166" i="46"/>
  <c r="H167" i="46"/>
  <c r="H168" i="46"/>
  <c r="H169" i="46"/>
  <c r="H170" i="46"/>
  <c r="H171" i="46"/>
  <c r="H172" i="46"/>
  <c r="H173" i="46"/>
  <c r="H174" i="46"/>
  <c r="H175" i="46"/>
  <c r="H176" i="46"/>
  <c r="H177" i="46"/>
  <c r="H178" i="46"/>
  <c r="H179" i="46"/>
  <c r="H180" i="46"/>
  <c r="H181" i="46"/>
  <c r="H182" i="46"/>
  <c r="H183" i="46"/>
  <c r="H184" i="46"/>
  <c r="H185" i="46"/>
  <c r="H186" i="46"/>
  <c r="H187" i="46"/>
  <c r="H188" i="46"/>
  <c r="H189" i="46"/>
  <c r="H190" i="46"/>
  <c r="H191" i="46"/>
  <c r="H192" i="46"/>
  <c r="H193" i="46"/>
  <c r="H194" i="46"/>
  <c r="H195" i="46"/>
  <c r="H196" i="46"/>
  <c r="H197" i="46"/>
  <c r="H198" i="46"/>
  <c r="H199" i="46"/>
  <c r="H200" i="46"/>
  <c r="H201" i="46"/>
  <c r="H202" i="46"/>
  <c r="H203" i="46"/>
  <c r="H204" i="46"/>
  <c r="H205" i="46"/>
  <c r="H206" i="46"/>
  <c r="H207" i="46"/>
  <c r="H208" i="46"/>
  <c r="H209" i="46"/>
  <c r="H210" i="46"/>
  <c r="H211" i="46"/>
  <c r="H212" i="46"/>
  <c r="H213" i="46"/>
  <c r="H214" i="46"/>
  <c r="H215" i="46"/>
  <c r="H216" i="46"/>
  <c r="H217" i="46"/>
  <c r="H218" i="46"/>
  <c r="H219" i="46"/>
  <c r="H220" i="46"/>
  <c r="H221" i="46"/>
  <c r="H222" i="46"/>
  <c r="H223" i="46"/>
  <c r="H224" i="46"/>
  <c r="H225" i="46"/>
  <c r="H226" i="46"/>
  <c r="H227" i="46"/>
  <c r="H228" i="46"/>
  <c r="H229" i="46"/>
  <c r="H230" i="46"/>
  <c r="H231" i="46"/>
  <c r="H232" i="46"/>
  <c r="H233" i="46"/>
  <c r="H234" i="46"/>
  <c r="H235" i="46"/>
  <c r="H236" i="46"/>
  <c r="H237" i="46"/>
  <c r="H238" i="46"/>
  <c r="H239" i="46"/>
  <c r="H240" i="46"/>
  <c r="H241" i="46"/>
  <c r="H242" i="46"/>
  <c r="H243" i="46"/>
  <c r="H244" i="46"/>
  <c r="H245" i="46"/>
  <c r="H246" i="46"/>
  <c r="H247" i="46"/>
  <c r="H248" i="46"/>
  <c r="H249" i="46"/>
  <c r="H250" i="46"/>
  <c r="K4" i="46"/>
  <c r="K5" i="46"/>
  <c r="K6" i="46"/>
  <c r="K7" i="46"/>
  <c r="K8" i="46"/>
  <c r="K9" i="46"/>
  <c r="K10" i="46"/>
  <c r="K11" i="46"/>
  <c r="K12" i="46"/>
  <c r="K13" i="46"/>
  <c r="K14" i="46"/>
  <c r="K15" i="46"/>
  <c r="K16" i="46"/>
  <c r="K17" i="46"/>
  <c r="K18" i="46"/>
  <c r="K19" i="46"/>
  <c r="K20" i="46"/>
  <c r="K21" i="46"/>
  <c r="K22" i="46"/>
  <c r="K23" i="46"/>
  <c r="K24" i="46"/>
  <c r="K25" i="46"/>
  <c r="K26" i="46"/>
  <c r="K27" i="46"/>
  <c r="K28" i="46"/>
  <c r="K29" i="46"/>
  <c r="K30" i="46"/>
  <c r="K31" i="46"/>
  <c r="K32" i="46"/>
  <c r="K33" i="46"/>
  <c r="K34" i="46"/>
  <c r="K35" i="46"/>
  <c r="K36" i="46"/>
  <c r="K37" i="46"/>
  <c r="K38" i="46"/>
  <c r="K39" i="46"/>
  <c r="K40" i="46"/>
  <c r="K41" i="46"/>
  <c r="K42" i="46"/>
  <c r="K43" i="46"/>
  <c r="K44" i="46"/>
  <c r="K45" i="46"/>
  <c r="K46" i="46"/>
  <c r="K47" i="46"/>
  <c r="K48" i="46"/>
  <c r="K49" i="46"/>
  <c r="K50" i="46"/>
  <c r="K51" i="46"/>
  <c r="K52" i="46"/>
  <c r="K53" i="46"/>
  <c r="K54" i="46"/>
  <c r="K55" i="46"/>
  <c r="K56" i="46"/>
  <c r="K57" i="46"/>
  <c r="K58" i="46"/>
  <c r="K59" i="46"/>
  <c r="K60" i="46"/>
  <c r="K61" i="46"/>
  <c r="K62" i="46"/>
  <c r="K63" i="46"/>
  <c r="K64" i="46"/>
  <c r="K65" i="46"/>
  <c r="K66" i="46"/>
  <c r="K67" i="46"/>
  <c r="K68" i="46"/>
  <c r="K69" i="46"/>
  <c r="K70" i="46"/>
  <c r="K71" i="46"/>
  <c r="K72" i="46"/>
  <c r="K73" i="46"/>
  <c r="K74" i="46"/>
  <c r="K75" i="46"/>
  <c r="K76" i="46"/>
  <c r="K77" i="46"/>
  <c r="K78" i="46"/>
  <c r="K79" i="46"/>
  <c r="K80" i="46"/>
  <c r="K81" i="46"/>
  <c r="K82" i="46"/>
  <c r="K83" i="46"/>
  <c r="K84" i="46"/>
  <c r="K85" i="46"/>
  <c r="K86" i="46"/>
  <c r="K87" i="46"/>
  <c r="K88" i="46"/>
  <c r="K89" i="46"/>
  <c r="K90" i="46"/>
  <c r="K91" i="46"/>
  <c r="K92" i="46"/>
  <c r="K93" i="46"/>
  <c r="K94" i="46"/>
  <c r="K95" i="46"/>
  <c r="K96" i="46"/>
  <c r="K97" i="46"/>
  <c r="K98" i="46"/>
  <c r="K99" i="46"/>
  <c r="K100" i="46"/>
  <c r="K101" i="46"/>
  <c r="K102" i="46"/>
  <c r="K103" i="46"/>
  <c r="K104" i="46"/>
  <c r="K105" i="46"/>
  <c r="K106" i="46"/>
  <c r="K107" i="46"/>
  <c r="K108" i="46"/>
  <c r="K109" i="46"/>
  <c r="K110" i="46"/>
  <c r="K111" i="46"/>
  <c r="K112" i="46"/>
  <c r="K113" i="46"/>
  <c r="K114" i="46"/>
  <c r="K115" i="46"/>
  <c r="K116" i="46"/>
  <c r="K117" i="46"/>
  <c r="K118" i="46"/>
  <c r="K119" i="46"/>
  <c r="K120" i="46"/>
  <c r="K121" i="46"/>
  <c r="K122" i="46"/>
  <c r="K123" i="46"/>
  <c r="K124" i="46"/>
  <c r="K125" i="46"/>
  <c r="K126" i="46"/>
  <c r="K127" i="46"/>
  <c r="K128" i="46"/>
  <c r="K129" i="46"/>
  <c r="K130" i="46"/>
  <c r="K131" i="46"/>
  <c r="K132" i="46"/>
  <c r="K133" i="46"/>
  <c r="K134" i="46"/>
  <c r="K135" i="46"/>
  <c r="K136" i="46"/>
  <c r="K137" i="46"/>
  <c r="K138" i="46"/>
  <c r="K139" i="46"/>
  <c r="K140" i="46"/>
  <c r="K141" i="46"/>
  <c r="K142" i="46"/>
  <c r="K143" i="46"/>
  <c r="K144" i="46"/>
  <c r="K145" i="46"/>
  <c r="K146" i="46"/>
  <c r="K147" i="46"/>
  <c r="K148" i="46"/>
  <c r="K149" i="46"/>
  <c r="K150" i="46"/>
  <c r="K151" i="46"/>
  <c r="K152" i="46"/>
  <c r="K153" i="46"/>
  <c r="K154" i="46"/>
  <c r="K155" i="46"/>
  <c r="K156" i="46"/>
  <c r="K157" i="46"/>
  <c r="K158" i="46"/>
  <c r="K159" i="46"/>
  <c r="K160" i="46"/>
  <c r="K161" i="46"/>
  <c r="K162" i="46"/>
  <c r="K163" i="46"/>
  <c r="K164" i="46"/>
  <c r="K165" i="46"/>
  <c r="K166" i="46"/>
  <c r="K167" i="46"/>
  <c r="K168" i="46"/>
  <c r="K169" i="46"/>
  <c r="K170" i="46"/>
  <c r="K171" i="46"/>
  <c r="K172" i="46"/>
  <c r="K173" i="46"/>
  <c r="K174" i="46"/>
  <c r="K175" i="46"/>
  <c r="K176" i="46"/>
  <c r="K177" i="46"/>
  <c r="K178" i="46"/>
  <c r="K179" i="46"/>
  <c r="K180" i="46"/>
  <c r="K181" i="46"/>
  <c r="K182" i="46"/>
  <c r="K183" i="46"/>
  <c r="K184" i="46"/>
  <c r="K185" i="46"/>
  <c r="K186" i="46"/>
  <c r="K187" i="46"/>
  <c r="K188" i="46"/>
  <c r="K189" i="46"/>
  <c r="K190" i="46"/>
  <c r="K191" i="46"/>
  <c r="K192" i="46"/>
  <c r="K193" i="46"/>
  <c r="K194" i="46"/>
  <c r="K195" i="46"/>
  <c r="K196" i="46"/>
  <c r="K197" i="46"/>
  <c r="K198" i="46"/>
  <c r="K199" i="46"/>
  <c r="K200" i="46"/>
  <c r="K201" i="46"/>
  <c r="K202" i="46"/>
  <c r="K203" i="46"/>
  <c r="K204" i="46"/>
  <c r="K205" i="46"/>
  <c r="K206" i="46"/>
  <c r="K207" i="46"/>
  <c r="K208" i="46"/>
  <c r="K209" i="46"/>
  <c r="K210" i="46"/>
  <c r="K211" i="46"/>
  <c r="K212" i="46"/>
  <c r="K213" i="46"/>
  <c r="K214" i="46"/>
  <c r="K215" i="46"/>
  <c r="K216" i="46"/>
  <c r="K217" i="46"/>
  <c r="K218" i="46"/>
  <c r="K219" i="46"/>
  <c r="K220" i="46"/>
  <c r="K221" i="46"/>
  <c r="K222" i="46"/>
  <c r="K223" i="46"/>
  <c r="K224" i="46"/>
  <c r="K225" i="46"/>
  <c r="K226" i="46"/>
  <c r="K227" i="46"/>
  <c r="K228" i="46"/>
  <c r="K229" i="46"/>
  <c r="K230" i="46"/>
  <c r="K231" i="46"/>
  <c r="K232" i="46"/>
  <c r="K233" i="46"/>
  <c r="K234" i="46"/>
  <c r="K235" i="46"/>
  <c r="K236" i="46"/>
  <c r="K237" i="46"/>
  <c r="K238" i="46"/>
  <c r="K239" i="46"/>
  <c r="K240" i="46"/>
  <c r="K241" i="46"/>
  <c r="K242" i="46"/>
  <c r="K243" i="46"/>
  <c r="K244" i="46"/>
  <c r="K245" i="46"/>
  <c r="K246" i="46"/>
  <c r="K247" i="46"/>
  <c r="K248" i="46"/>
  <c r="K249" i="46"/>
  <c r="K250" i="46"/>
  <c r="L4" i="46"/>
  <c r="L5" i="46"/>
  <c r="L6" i="46"/>
  <c r="L7" i="46"/>
  <c r="L8" i="46"/>
  <c r="L9" i="46"/>
  <c r="L10" i="46"/>
  <c r="L11" i="46"/>
  <c r="L12" i="46"/>
  <c r="L13" i="46"/>
  <c r="L14" i="46"/>
  <c r="L15" i="46"/>
  <c r="L16" i="46"/>
  <c r="L17" i="46"/>
  <c r="L18" i="46"/>
  <c r="L19" i="46"/>
  <c r="L20" i="46"/>
  <c r="L21" i="46"/>
  <c r="L22" i="46"/>
  <c r="L23" i="46"/>
  <c r="L24" i="46"/>
  <c r="L25" i="46"/>
  <c r="L26" i="46"/>
  <c r="L27" i="46"/>
  <c r="L28" i="46"/>
  <c r="L29" i="46"/>
  <c r="L30" i="46"/>
  <c r="L31" i="46"/>
  <c r="L32" i="46"/>
  <c r="L33" i="46"/>
  <c r="L34" i="46"/>
  <c r="L35" i="46"/>
  <c r="L36" i="46"/>
  <c r="L37" i="46"/>
  <c r="L38" i="46"/>
  <c r="L39" i="46"/>
  <c r="L40" i="46"/>
  <c r="L41" i="46"/>
  <c r="L42" i="46"/>
  <c r="L43" i="46"/>
  <c r="L44" i="46"/>
  <c r="L45" i="46"/>
  <c r="L46" i="46"/>
  <c r="L47" i="46"/>
  <c r="L48" i="46"/>
  <c r="L49" i="46"/>
  <c r="L50" i="46"/>
  <c r="L51" i="46"/>
  <c r="L52" i="46"/>
  <c r="L53" i="46"/>
  <c r="L54" i="46"/>
  <c r="L55" i="46"/>
  <c r="L56" i="46"/>
  <c r="L57" i="46"/>
  <c r="L58" i="46"/>
  <c r="L59" i="46"/>
  <c r="L60" i="46"/>
  <c r="L61" i="46"/>
  <c r="L62" i="46"/>
  <c r="L63" i="46"/>
  <c r="L64" i="46"/>
  <c r="L65" i="46"/>
  <c r="L66" i="46"/>
  <c r="L67" i="46"/>
  <c r="L68" i="46"/>
  <c r="L69" i="46"/>
  <c r="L70" i="46"/>
  <c r="L71" i="46"/>
  <c r="L72" i="46"/>
  <c r="L73" i="46"/>
  <c r="L74" i="46"/>
  <c r="L75" i="46"/>
  <c r="L76" i="46"/>
  <c r="L77" i="46"/>
  <c r="L78" i="46"/>
  <c r="L79" i="46"/>
  <c r="L80" i="46"/>
  <c r="L81" i="46"/>
  <c r="L82" i="46"/>
  <c r="L83" i="46"/>
  <c r="L84" i="46"/>
  <c r="L85" i="46"/>
  <c r="L86" i="46"/>
  <c r="L87" i="46"/>
  <c r="L88" i="46"/>
  <c r="L89" i="46"/>
  <c r="L90" i="46"/>
  <c r="L91" i="46"/>
  <c r="L92" i="46"/>
  <c r="L93" i="46"/>
  <c r="L94" i="46"/>
  <c r="L95" i="46"/>
  <c r="L96" i="46"/>
  <c r="L97" i="46"/>
  <c r="L98" i="46"/>
  <c r="L99" i="46"/>
  <c r="L100" i="46"/>
  <c r="L101" i="46"/>
  <c r="L102" i="46"/>
  <c r="L103" i="46"/>
  <c r="L104" i="46"/>
  <c r="L105" i="46"/>
  <c r="L106" i="46"/>
  <c r="L107" i="46"/>
  <c r="L108" i="46"/>
  <c r="L109" i="46"/>
  <c r="L110" i="46"/>
  <c r="L111" i="46"/>
  <c r="L112" i="46"/>
  <c r="L113" i="46"/>
  <c r="L114" i="46"/>
  <c r="L115" i="46"/>
  <c r="L116" i="46"/>
  <c r="L117" i="46"/>
  <c r="L118" i="46"/>
  <c r="L119" i="46"/>
  <c r="L120" i="46"/>
  <c r="L121" i="46"/>
  <c r="L122" i="46"/>
  <c r="L123" i="46"/>
  <c r="L124" i="46"/>
  <c r="L125" i="46"/>
  <c r="L126" i="46"/>
  <c r="L127" i="46"/>
  <c r="L128" i="46"/>
  <c r="L129" i="46"/>
  <c r="L130" i="46"/>
  <c r="L131" i="46"/>
  <c r="L132" i="46"/>
  <c r="L133" i="46"/>
  <c r="L134" i="46"/>
  <c r="L135" i="46"/>
  <c r="L136" i="46"/>
  <c r="L137" i="46"/>
  <c r="L138" i="46"/>
  <c r="L139" i="46"/>
  <c r="L140" i="46"/>
  <c r="L141" i="46"/>
  <c r="L142" i="46"/>
  <c r="L143" i="46"/>
  <c r="L144" i="46"/>
  <c r="L145" i="46"/>
  <c r="L146" i="46"/>
  <c r="L147" i="46"/>
  <c r="L148" i="46"/>
  <c r="L149" i="46"/>
  <c r="L150" i="46"/>
  <c r="L151" i="46"/>
  <c r="L152" i="46"/>
  <c r="L153" i="46"/>
  <c r="L154" i="46"/>
  <c r="L155" i="46"/>
  <c r="L156" i="46"/>
  <c r="L157" i="46"/>
  <c r="L158" i="46"/>
  <c r="L159" i="46"/>
  <c r="L160" i="46"/>
  <c r="L161" i="46"/>
  <c r="L162" i="46"/>
  <c r="L163" i="46"/>
  <c r="L164" i="46"/>
  <c r="L165" i="46"/>
  <c r="L166" i="46"/>
  <c r="L167" i="46"/>
  <c r="L168" i="46"/>
  <c r="L169" i="46"/>
  <c r="L170" i="46"/>
  <c r="L171" i="46"/>
  <c r="L172" i="46"/>
  <c r="L173" i="46"/>
  <c r="L174" i="46"/>
  <c r="L175" i="46"/>
  <c r="L176" i="46"/>
  <c r="L177" i="46"/>
  <c r="L178" i="46"/>
  <c r="L179" i="46"/>
  <c r="L180" i="46"/>
  <c r="L181" i="46"/>
  <c r="L182" i="46"/>
  <c r="L183" i="46"/>
  <c r="L184" i="46"/>
  <c r="L185" i="46"/>
  <c r="L186" i="46"/>
  <c r="L187" i="46"/>
  <c r="L188" i="46"/>
  <c r="L189" i="46"/>
  <c r="L190" i="46"/>
  <c r="L191" i="46"/>
  <c r="L192" i="46"/>
  <c r="L193" i="46"/>
  <c r="L194" i="46"/>
  <c r="L195" i="46"/>
  <c r="L196" i="46"/>
  <c r="L197" i="46"/>
  <c r="L198" i="46"/>
  <c r="L199" i="46"/>
  <c r="L200" i="46"/>
  <c r="L201" i="46"/>
  <c r="L202" i="46"/>
  <c r="L203" i="46"/>
  <c r="L204" i="46"/>
  <c r="L205" i="46"/>
  <c r="L206" i="46"/>
  <c r="L207" i="46"/>
  <c r="L208" i="46"/>
  <c r="L209" i="46"/>
  <c r="L210" i="46"/>
  <c r="L211" i="46"/>
  <c r="L212" i="46"/>
  <c r="L213" i="46"/>
  <c r="L214" i="46"/>
  <c r="L215" i="46"/>
  <c r="L216" i="46"/>
  <c r="L217" i="46"/>
  <c r="L218" i="46"/>
  <c r="L219" i="46"/>
  <c r="L220" i="46"/>
  <c r="L221" i="46"/>
  <c r="L222" i="46"/>
  <c r="L223" i="46"/>
  <c r="L224" i="46"/>
  <c r="L225" i="46"/>
  <c r="L226" i="46"/>
  <c r="L227" i="46"/>
  <c r="L228" i="46"/>
  <c r="L229" i="46"/>
  <c r="L230" i="46"/>
  <c r="L231" i="46"/>
  <c r="L232" i="46"/>
  <c r="L233" i="46"/>
  <c r="L234" i="46"/>
  <c r="L235" i="46"/>
  <c r="L236" i="46"/>
  <c r="L237" i="46"/>
  <c r="L238" i="46"/>
  <c r="L239" i="46"/>
  <c r="L240" i="46"/>
  <c r="L241" i="46"/>
  <c r="L242" i="46"/>
  <c r="L243" i="46"/>
  <c r="L244" i="46"/>
  <c r="L245" i="46"/>
  <c r="L246" i="46"/>
  <c r="L247" i="46"/>
  <c r="L248" i="46"/>
  <c r="L249" i="46"/>
  <c r="L250" i="46"/>
  <c r="M5" i="46"/>
  <c r="M8" i="46"/>
  <c r="M10" i="46"/>
  <c r="M11" i="46"/>
  <c r="M14" i="46"/>
  <c r="M15" i="46"/>
  <c r="M25" i="46"/>
  <c r="M28" i="46"/>
  <c r="M29" i="46"/>
  <c r="M30" i="46"/>
  <c r="M31" i="46"/>
  <c r="M33" i="46"/>
  <c r="M34" i="46"/>
  <c r="M35" i="46"/>
  <c r="M40" i="46"/>
  <c r="M48" i="46"/>
  <c r="M50" i="46"/>
  <c r="M51" i="46"/>
  <c r="M53" i="46"/>
  <c r="M54" i="46"/>
  <c r="M55" i="46"/>
  <c r="M56" i="46"/>
  <c r="M57" i="46"/>
  <c r="M61" i="46"/>
  <c r="M63" i="46"/>
  <c r="M69" i="46"/>
  <c r="M70" i="46"/>
  <c r="M71" i="46"/>
  <c r="M73" i="46"/>
  <c r="M74" i="46"/>
  <c r="M75" i="46"/>
  <c r="M76" i="46"/>
  <c r="M79" i="46"/>
  <c r="M91" i="46"/>
  <c r="M93" i="46"/>
  <c r="M94" i="46"/>
  <c r="M95" i="46"/>
  <c r="M96" i="46"/>
  <c r="M97" i="46"/>
  <c r="M100" i="46"/>
  <c r="M103" i="46"/>
  <c r="M105" i="46"/>
  <c r="M113" i="46"/>
  <c r="M115" i="46"/>
  <c r="M117" i="46"/>
  <c r="M122" i="46"/>
  <c r="M125" i="46"/>
  <c r="M135" i="46"/>
  <c r="M136" i="46"/>
  <c r="M137" i="46"/>
  <c r="M142" i="46"/>
  <c r="M143" i="46"/>
  <c r="M145" i="46"/>
  <c r="M149" i="46"/>
  <c r="M150" i="46"/>
  <c r="M151" i="46"/>
  <c r="M153" i="46"/>
  <c r="M154" i="46"/>
  <c r="M157" i="46"/>
  <c r="M169" i="46"/>
  <c r="M172" i="46"/>
  <c r="M173" i="46"/>
  <c r="M179" i="46"/>
  <c r="M180" i="46"/>
  <c r="M181" i="46"/>
  <c r="M183" i="46"/>
  <c r="M185" i="46"/>
  <c r="M188" i="46"/>
  <c r="M189" i="46"/>
  <c r="M190" i="46"/>
  <c r="M191" i="46"/>
  <c r="M193" i="46"/>
  <c r="M194" i="46"/>
  <c r="M195" i="46"/>
  <c r="M201" i="46"/>
  <c r="M208" i="46"/>
  <c r="M209" i="46"/>
  <c r="M210" i="46"/>
  <c r="M211" i="46"/>
  <c r="M213" i="46"/>
  <c r="M215" i="46"/>
  <c r="M217" i="46"/>
  <c r="M223" i="46"/>
  <c r="M225" i="46"/>
  <c r="M228" i="46"/>
  <c r="M229" i="46"/>
  <c r="M230" i="46"/>
  <c r="M231" i="46"/>
  <c r="M233" i="46"/>
  <c r="M234" i="46"/>
  <c r="M235" i="46"/>
  <c r="M245" i="46"/>
  <c r="M248" i="46"/>
  <c r="R11" i="46"/>
  <c r="R35" i="46"/>
  <c r="R75" i="46"/>
  <c r="R79" i="46"/>
  <c r="R91" i="46"/>
  <c r="R93" i="46"/>
  <c r="R95" i="46"/>
  <c r="R157" i="46"/>
  <c r="R171" i="46"/>
  <c r="R175" i="46"/>
  <c r="R223" i="46"/>
  <c r="R231" i="46"/>
  <c r="C5" i="49"/>
  <c r="C6" i="49"/>
  <c r="L6" i="49" s="1"/>
  <c r="C7" i="49"/>
  <c r="L7" i="49" s="1"/>
  <c r="C8" i="49"/>
  <c r="C9" i="49"/>
  <c r="L9" i="49" s="1"/>
  <c r="C10" i="49"/>
  <c r="L10" i="49" s="1"/>
  <c r="C11" i="49"/>
  <c r="C12" i="49"/>
  <c r="L12" i="49" s="1"/>
  <c r="C13" i="49"/>
  <c r="C14" i="49"/>
  <c r="C15" i="49"/>
  <c r="L15" i="49" s="1"/>
  <c r="C16" i="49"/>
  <c r="L16" i="49" s="1"/>
  <c r="C17" i="49"/>
  <c r="L17" i="49" s="1"/>
  <c r="C18" i="49"/>
  <c r="L18" i="49" s="1"/>
  <c r="C19" i="49"/>
  <c r="L19" i="49" s="1"/>
  <c r="C20" i="49"/>
  <c r="C21" i="49"/>
  <c r="L21" i="49" s="1"/>
  <c r="C22" i="49"/>
  <c r="L22" i="49" s="1"/>
  <c r="C23" i="49"/>
  <c r="L23" i="49" s="1"/>
  <c r="C24" i="49"/>
  <c r="L24" i="49" s="1"/>
  <c r="C25" i="49"/>
  <c r="L25" i="49" s="1"/>
  <c r="C26" i="49"/>
  <c r="C27" i="49"/>
  <c r="C28" i="49"/>
  <c r="L28" i="49" s="1"/>
  <c r="C29" i="49"/>
  <c r="L29" i="49" s="1"/>
  <c r="C30" i="49"/>
  <c r="C31" i="49"/>
  <c r="L31" i="49" s="1"/>
  <c r="L33" i="49"/>
  <c r="C34" i="49"/>
  <c r="C35" i="49"/>
  <c r="L35" i="49" s="1"/>
  <c r="C36" i="49"/>
  <c r="L36" i="49" s="1"/>
  <c r="C37" i="49"/>
  <c r="C38" i="49"/>
  <c r="C39" i="49"/>
  <c r="L39" i="49" s="1"/>
  <c r="C40" i="49"/>
  <c r="L40" i="49" s="1"/>
  <c r="C41" i="49"/>
  <c r="L41" i="49" s="1"/>
  <c r="C42" i="49"/>
  <c r="C43" i="49"/>
  <c r="L43" i="49" s="1"/>
  <c r="C44" i="49"/>
  <c r="L44" i="49" s="1"/>
  <c r="C45" i="49"/>
  <c r="L45" i="49" s="1"/>
  <c r="C46" i="49"/>
  <c r="C47" i="49"/>
  <c r="L47" i="49" s="1"/>
  <c r="C48" i="49"/>
  <c r="L48" i="49" s="1"/>
  <c r="C49" i="49"/>
  <c r="L49" i="49" s="1"/>
  <c r="C50" i="49"/>
  <c r="C51" i="49"/>
  <c r="L51" i="49" s="1"/>
  <c r="C52" i="49"/>
  <c r="L52" i="49" s="1"/>
  <c r="C53" i="49"/>
  <c r="C54" i="49"/>
  <c r="C55" i="49"/>
  <c r="L55" i="49" s="1"/>
  <c r="C56" i="49"/>
  <c r="L56" i="49" s="1"/>
  <c r="C57" i="49"/>
  <c r="L57" i="49" s="1"/>
  <c r="C58" i="49"/>
  <c r="C59" i="49"/>
  <c r="L59" i="49" s="1"/>
  <c r="C60" i="49"/>
  <c r="C61" i="49"/>
  <c r="L61" i="49" s="1"/>
  <c r="C62" i="49"/>
  <c r="C63" i="49"/>
  <c r="L63" i="49" s="1"/>
  <c r="C64" i="49"/>
  <c r="L64" i="49" s="1"/>
  <c r="C65" i="49"/>
  <c r="L65" i="49" s="1"/>
  <c r="C66" i="49"/>
  <c r="C67" i="49"/>
  <c r="L67" i="49" s="1"/>
  <c r="C68" i="49"/>
  <c r="C69" i="49"/>
  <c r="C70" i="49"/>
  <c r="C71" i="49"/>
  <c r="L71" i="49" s="1"/>
  <c r="C72" i="49"/>
  <c r="L72" i="49" s="1"/>
  <c r="C73" i="49"/>
  <c r="L73" i="49" s="1"/>
  <c r="C74" i="49"/>
  <c r="C75" i="49"/>
  <c r="L75" i="49" s="1"/>
  <c r="C76" i="49"/>
  <c r="L76" i="49" s="1"/>
  <c r="C77" i="49"/>
  <c r="L77" i="49" s="1"/>
  <c r="C78" i="49"/>
  <c r="C79" i="49"/>
  <c r="C80" i="49"/>
  <c r="L80" i="49" s="1"/>
  <c r="C81" i="49"/>
  <c r="L81" i="49" s="1"/>
  <c r="C82" i="49"/>
  <c r="C83" i="49"/>
  <c r="L83" i="49" s="1"/>
  <c r="C84" i="49"/>
  <c r="C85" i="49"/>
  <c r="C86" i="49"/>
  <c r="C87" i="49"/>
  <c r="L87" i="49" s="1"/>
  <c r="C88" i="49"/>
  <c r="C89" i="49"/>
  <c r="L89" i="49" s="1"/>
  <c r="C90" i="49"/>
  <c r="C91" i="49"/>
  <c r="L91" i="49" s="1"/>
  <c r="C92" i="49"/>
  <c r="L92" i="49" s="1"/>
  <c r="C93" i="49"/>
  <c r="L93" i="49" s="1"/>
  <c r="C94" i="49"/>
  <c r="C95" i="49"/>
  <c r="L95" i="49" s="1"/>
  <c r="C96" i="49"/>
  <c r="L96" i="49" s="1"/>
  <c r="C97" i="49"/>
  <c r="L97" i="49" s="1"/>
  <c r="C98" i="49"/>
  <c r="C99" i="49"/>
  <c r="L99" i="49" s="1"/>
  <c r="C100" i="49"/>
  <c r="L100" i="49" s="1"/>
  <c r="C101" i="49"/>
  <c r="C102" i="49"/>
  <c r="C103" i="49"/>
  <c r="L103" i="49" s="1"/>
  <c r="C104" i="49"/>
  <c r="C105" i="49"/>
  <c r="L105" i="49" s="1"/>
  <c r="C106" i="49"/>
  <c r="C107" i="49"/>
  <c r="L107" i="49" s="1"/>
  <c r="C108" i="49"/>
  <c r="L108" i="49" s="1"/>
  <c r="C109" i="49"/>
  <c r="L109" i="49" s="1"/>
  <c r="C110" i="49"/>
  <c r="C111" i="49"/>
  <c r="L111" i="49" s="1"/>
  <c r="C112" i="49"/>
  <c r="C113" i="49"/>
  <c r="L113" i="49" s="1"/>
  <c r="C114" i="49"/>
  <c r="C115" i="49"/>
  <c r="L115" i="49" s="1"/>
  <c r="C116" i="49"/>
  <c r="L116" i="49" s="1"/>
  <c r="C117" i="49"/>
  <c r="C118" i="49"/>
  <c r="C119" i="49"/>
  <c r="L119" i="49" s="1"/>
  <c r="C120" i="49"/>
  <c r="L120" i="49" s="1"/>
  <c r="C121" i="49"/>
  <c r="L121" i="49" s="1"/>
  <c r="C122" i="49"/>
  <c r="C123" i="49"/>
  <c r="C124" i="49"/>
  <c r="L124" i="49" s="1"/>
  <c r="C125" i="49"/>
  <c r="L125" i="49" s="1"/>
  <c r="C126" i="49"/>
  <c r="C127" i="49"/>
  <c r="C128" i="49"/>
  <c r="L128" i="49" s="1"/>
  <c r="C129" i="49"/>
  <c r="L129" i="49" s="1"/>
  <c r="C130" i="49"/>
  <c r="C131" i="49"/>
  <c r="L131" i="49" s="1"/>
  <c r="C132" i="49"/>
  <c r="C133" i="49"/>
  <c r="C134" i="49"/>
  <c r="C135" i="49"/>
  <c r="L135" i="49" s="1"/>
  <c r="C136" i="49"/>
  <c r="L136" i="49" s="1"/>
  <c r="C137" i="49"/>
  <c r="L137" i="49" s="1"/>
  <c r="C138" i="49"/>
  <c r="C139" i="49"/>
  <c r="L139" i="49" s="1"/>
  <c r="C140" i="49"/>
  <c r="L140" i="49" s="1"/>
  <c r="C141" i="49"/>
  <c r="L141" i="49" s="1"/>
  <c r="C142" i="49"/>
  <c r="C143" i="49"/>
  <c r="C144" i="49"/>
  <c r="L144" i="49" s="1"/>
  <c r="C145" i="49"/>
  <c r="L145" i="49" s="1"/>
  <c r="C146" i="49"/>
  <c r="C147" i="49"/>
  <c r="L147" i="49" s="1"/>
  <c r="C148" i="49"/>
  <c r="C149" i="49"/>
  <c r="C150" i="49"/>
  <c r="C151" i="49"/>
  <c r="L151" i="49" s="1"/>
  <c r="C152" i="49"/>
  <c r="L152" i="49" s="1"/>
  <c r="C153" i="49"/>
  <c r="L153" i="49" s="1"/>
  <c r="C154" i="49"/>
  <c r="C155" i="49"/>
  <c r="L155" i="49" s="1"/>
  <c r="C156" i="49"/>
  <c r="C157" i="49"/>
  <c r="L157" i="49" s="1"/>
  <c r="C158" i="49"/>
  <c r="C159" i="49"/>
  <c r="L159" i="49" s="1"/>
  <c r="C160" i="49"/>
  <c r="L160" i="49" s="1"/>
  <c r="C161" i="49"/>
  <c r="L161" i="49" s="1"/>
  <c r="C162" i="49"/>
  <c r="C163" i="49"/>
  <c r="L163" i="49" s="1"/>
  <c r="C164" i="49"/>
  <c r="L164" i="49" s="1"/>
  <c r="C165" i="49"/>
  <c r="C166" i="49"/>
  <c r="C167" i="49"/>
  <c r="L167" i="49" s="1"/>
  <c r="C168" i="49"/>
  <c r="C169" i="49"/>
  <c r="L169" i="49" s="1"/>
  <c r="C170" i="49"/>
  <c r="C171" i="49"/>
  <c r="C172" i="49"/>
  <c r="L172" i="49" s="1"/>
  <c r="C173" i="49"/>
  <c r="L173" i="49" s="1"/>
  <c r="C174" i="49"/>
  <c r="C175" i="49"/>
  <c r="L175" i="49" s="1"/>
  <c r="C176" i="49"/>
  <c r="C177" i="49"/>
  <c r="L177" i="49" s="1"/>
  <c r="C178" i="49"/>
  <c r="C179" i="49"/>
  <c r="L179" i="49" s="1"/>
  <c r="C180" i="49"/>
  <c r="L180" i="49" s="1"/>
  <c r="C181" i="49"/>
  <c r="C182" i="49"/>
  <c r="C183" i="49"/>
  <c r="L183" i="49" s="1"/>
  <c r="C184" i="49"/>
  <c r="L184" i="49" s="1"/>
  <c r="C185" i="49"/>
  <c r="L185" i="49" s="1"/>
  <c r="C186" i="49"/>
  <c r="C187" i="49"/>
  <c r="L187" i="49" s="1"/>
  <c r="C188" i="49"/>
  <c r="L188" i="49" s="1"/>
  <c r="C189" i="49"/>
  <c r="L189" i="49" s="1"/>
  <c r="C190" i="49"/>
  <c r="C191" i="49"/>
  <c r="L191" i="49" s="1"/>
  <c r="C192" i="49"/>
  <c r="C193" i="49"/>
  <c r="L193" i="49" s="1"/>
  <c r="C194" i="49"/>
  <c r="C195" i="49"/>
  <c r="L195" i="49" s="1"/>
  <c r="C196" i="49"/>
  <c r="L196" i="49" s="1"/>
  <c r="C197" i="49"/>
  <c r="C198" i="49"/>
  <c r="C199" i="49"/>
  <c r="C200" i="49"/>
  <c r="C201" i="49"/>
  <c r="L201" i="49" s="1"/>
  <c r="C202" i="49"/>
  <c r="C203" i="49"/>
  <c r="L203" i="49" s="1"/>
  <c r="C204" i="49"/>
  <c r="L204" i="49" s="1"/>
  <c r="C205" i="49"/>
  <c r="L205" i="49" s="1"/>
  <c r="C206" i="49"/>
  <c r="C207" i="49"/>
  <c r="L207" i="49" s="1"/>
  <c r="C208" i="49"/>
  <c r="L208" i="49" s="1"/>
  <c r="C209" i="49"/>
  <c r="L209" i="49" s="1"/>
  <c r="C210" i="49"/>
  <c r="C211" i="49"/>
  <c r="L211" i="49" s="1"/>
  <c r="C212" i="49"/>
  <c r="C213" i="49"/>
  <c r="C214" i="49"/>
  <c r="C215" i="49"/>
  <c r="C216" i="49"/>
  <c r="C217" i="49"/>
  <c r="L217" i="49" s="1"/>
  <c r="C218" i="49"/>
  <c r="C219" i="49"/>
  <c r="L219" i="49" s="1"/>
  <c r="C220" i="49"/>
  <c r="C221" i="49"/>
  <c r="L221" i="49" s="1"/>
  <c r="C222" i="49"/>
  <c r="C223" i="49"/>
  <c r="L223" i="49" s="1"/>
  <c r="C224" i="49"/>
  <c r="L224" i="49" s="1"/>
  <c r="C225" i="49"/>
  <c r="L225" i="49" s="1"/>
  <c r="C226" i="49"/>
  <c r="C227" i="49"/>
  <c r="L227" i="49" s="1"/>
  <c r="C228" i="49"/>
  <c r="L228" i="49" s="1"/>
  <c r="C229" i="49"/>
  <c r="C230" i="49"/>
  <c r="C231" i="49"/>
  <c r="L231" i="49" s="1"/>
  <c r="C232" i="49"/>
  <c r="L232" i="49" s="1"/>
  <c r="C233" i="49"/>
  <c r="L233" i="49" s="1"/>
  <c r="C234" i="49"/>
  <c r="C235" i="49"/>
  <c r="L235" i="49" s="1"/>
  <c r="C236" i="49"/>
  <c r="C237" i="49"/>
  <c r="L237" i="49" s="1"/>
  <c r="C238" i="49"/>
  <c r="C239" i="49"/>
  <c r="L239" i="49" s="1"/>
  <c r="C240" i="49"/>
  <c r="L240" i="49" s="1"/>
  <c r="C241" i="49"/>
  <c r="L241" i="49" s="1"/>
  <c r="C242" i="49"/>
  <c r="C243" i="49"/>
  <c r="L243" i="49" s="1"/>
  <c r="C244" i="49"/>
  <c r="C245" i="49"/>
  <c r="C246" i="49"/>
  <c r="C247" i="49"/>
  <c r="L247" i="49" s="1"/>
  <c r="C248" i="49"/>
  <c r="L248" i="49" s="1"/>
  <c r="C249" i="49"/>
  <c r="L249" i="49" s="1"/>
  <c r="C250" i="49"/>
  <c r="I5" i="49"/>
  <c r="I6" i="49"/>
  <c r="I7" i="49"/>
  <c r="I8" i="49"/>
  <c r="I9" i="49"/>
  <c r="I10" i="49"/>
  <c r="I11" i="49"/>
  <c r="I12" i="49"/>
  <c r="I13" i="49"/>
  <c r="I14" i="49"/>
  <c r="I15" i="49"/>
  <c r="I16" i="49"/>
  <c r="I17" i="49"/>
  <c r="I18" i="49"/>
  <c r="I19" i="49"/>
  <c r="I20" i="49"/>
  <c r="I21" i="49"/>
  <c r="I22" i="49"/>
  <c r="I23" i="49"/>
  <c r="I24" i="49"/>
  <c r="I25" i="49"/>
  <c r="I26" i="49"/>
  <c r="I27" i="49"/>
  <c r="I28" i="49"/>
  <c r="I29" i="49"/>
  <c r="I30" i="49"/>
  <c r="I31" i="49"/>
  <c r="I32" i="49"/>
  <c r="I33" i="49"/>
  <c r="I34" i="49"/>
  <c r="Y34" i="49" s="1"/>
  <c r="I35" i="49"/>
  <c r="I36" i="49"/>
  <c r="I37" i="49"/>
  <c r="I38" i="49"/>
  <c r="I39" i="49"/>
  <c r="I40" i="49"/>
  <c r="I41" i="49"/>
  <c r="Y41" i="49" s="1"/>
  <c r="I42" i="49"/>
  <c r="I43" i="49"/>
  <c r="P43" i="49" s="1"/>
  <c r="Z43" i="49" s="1"/>
  <c r="I44" i="49"/>
  <c r="I45" i="49"/>
  <c r="Y45" i="49" s="1"/>
  <c r="I46" i="49"/>
  <c r="I47" i="49"/>
  <c r="I48" i="49"/>
  <c r="I49" i="49"/>
  <c r="I50" i="49"/>
  <c r="I51" i="49"/>
  <c r="I52" i="49"/>
  <c r="I53" i="49"/>
  <c r="I54" i="49"/>
  <c r="I55" i="49"/>
  <c r="I56" i="49"/>
  <c r="I57" i="49"/>
  <c r="I58" i="49"/>
  <c r="I59" i="49"/>
  <c r="I60" i="49"/>
  <c r="I61" i="49"/>
  <c r="I62" i="49"/>
  <c r="I63" i="49"/>
  <c r="I64" i="49"/>
  <c r="I65" i="49"/>
  <c r="I66" i="49"/>
  <c r="I67" i="49"/>
  <c r="I68" i="49"/>
  <c r="I69" i="49"/>
  <c r="I70" i="49"/>
  <c r="I71" i="49"/>
  <c r="I72" i="49"/>
  <c r="I73" i="49"/>
  <c r="I74" i="49"/>
  <c r="I75" i="49"/>
  <c r="I76" i="49"/>
  <c r="I77" i="49"/>
  <c r="I78" i="49"/>
  <c r="I79" i="49"/>
  <c r="I80" i="49"/>
  <c r="I81" i="49"/>
  <c r="I82" i="49"/>
  <c r="I83" i="49"/>
  <c r="I84" i="49"/>
  <c r="I85" i="49"/>
  <c r="I86" i="49"/>
  <c r="I87" i="49"/>
  <c r="I88" i="49"/>
  <c r="I89" i="49"/>
  <c r="I90" i="49"/>
  <c r="I91" i="49"/>
  <c r="I92" i="49"/>
  <c r="I93" i="49"/>
  <c r="I94" i="49"/>
  <c r="I95" i="49"/>
  <c r="I96" i="49"/>
  <c r="I97" i="49"/>
  <c r="I98" i="49"/>
  <c r="I99" i="49"/>
  <c r="I100" i="49"/>
  <c r="I101" i="49"/>
  <c r="I102" i="49"/>
  <c r="I103" i="49"/>
  <c r="I104" i="49"/>
  <c r="I105" i="49"/>
  <c r="I106" i="49"/>
  <c r="I107" i="49"/>
  <c r="I108" i="49"/>
  <c r="I109" i="49"/>
  <c r="I110" i="49"/>
  <c r="I111" i="49"/>
  <c r="I112" i="49"/>
  <c r="I113" i="49"/>
  <c r="I114" i="49"/>
  <c r="I115" i="49"/>
  <c r="I116" i="49"/>
  <c r="I117" i="49"/>
  <c r="I118" i="49"/>
  <c r="I119" i="49"/>
  <c r="I120" i="49"/>
  <c r="I121" i="49"/>
  <c r="I122" i="49"/>
  <c r="I123" i="49"/>
  <c r="I124" i="49"/>
  <c r="I125" i="49"/>
  <c r="I126" i="49"/>
  <c r="I127" i="49"/>
  <c r="I128" i="49"/>
  <c r="I129" i="49"/>
  <c r="I130" i="49"/>
  <c r="I131" i="49"/>
  <c r="I132" i="49"/>
  <c r="I133" i="49"/>
  <c r="I134" i="49"/>
  <c r="I135" i="49"/>
  <c r="I136" i="49"/>
  <c r="I137" i="49"/>
  <c r="I138" i="49"/>
  <c r="I139" i="49"/>
  <c r="I140" i="49"/>
  <c r="I141" i="49"/>
  <c r="I142" i="49"/>
  <c r="I143" i="49"/>
  <c r="I144" i="49"/>
  <c r="I145" i="49"/>
  <c r="I146" i="49"/>
  <c r="I147" i="49"/>
  <c r="I148" i="49"/>
  <c r="I149" i="49"/>
  <c r="I150" i="49"/>
  <c r="I151" i="49"/>
  <c r="I152" i="49"/>
  <c r="I153" i="49"/>
  <c r="I154" i="49"/>
  <c r="I155" i="49"/>
  <c r="I156" i="49"/>
  <c r="I157" i="49"/>
  <c r="I158" i="49"/>
  <c r="I159" i="49"/>
  <c r="I160" i="49"/>
  <c r="I161" i="49"/>
  <c r="I162" i="49"/>
  <c r="I163" i="49"/>
  <c r="I164" i="49"/>
  <c r="I165" i="49"/>
  <c r="I166" i="49"/>
  <c r="I167" i="49"/>
  <c r="I168" i="49"/>
  <c r="I169" i="49"/>
  <c r="I170" i="49"/>
  <c r="I171" i="49"/>
  <c r="I172" i="49"/>
  <c r="I173" i="49"/>
  <c r="I174" i="49"/>
  <c r="I175" i="49"/>
  <c r="I176" i="49"/>
  <c r="I177" i="49"/>
  <c r="I178" i="49"/>
  <c r="I179" i="49"/>
  <c r="I180" i="49"/>
  <c r="I181" i="49"/>
  <c r="I182" i="49"/>
  <c r="I183" i="49"/>
  <c r="I184" i="49"/>
  <c r="I185" i="49"/>
  <c r="I186" i="49"/>
  <c r="I187" i="49"/>
  <c r="I188" i="49"/>
  <c r="I189" i="49"/>
  <c r="I190" i="49"/>
  <c r="I191" i="49"/>
  <c r="I192" i="49"/>
  <c r="I193" i="49"/>
  <c r="I194" i="49"/>
  <c r="I195" i="49"/>
  <c r="I196" i="49"/>
  <c r="I197" i="49"/>
  <c r="I198" i="49"/>
  <c r="I199" i="49"/>
  <c r="I200" i="49"/>
  <c r="I201" i="49"/>
  <c r="I202" i="49"/>
  <c r="I203" i="49"/>
  <c r="I204" i="49"/>
  <c r="I205" i="49"/>
  <c r="I206" i="49"/>
  <c r="I207" i="49"/>
  <c r="I208" i="49"/>
  <c r="I209" i="49"/>
  <c r="I210" i="49"/>
  <c r="I211" i="49"/>
  <c r="I212" i="49"/>
  <c r="I213" i="49"/>
  <c r="I214" i="49"/>
  <c r="I215" i="49"/>
  <c r="I216" i="49"/>
  <c r="I217" i="49"/>
  <c r="I218" i="49"/>
  <c r="I219" i="49"/>
  <c r="I220" i="49"/>
  <c r="I221" i="49"/>
  <c r="I222" i="49"/>
  <c r="I223" i="49"/>
  <c r="I224" i="49"/>
  <c r="I225" i="49"/>
  <c r="I226" i="49"/>
  <c r="I227" i="49"/>
  <c r="I228" i="49"/>
  <c r="I229" i="49"/>
  <c r="I230" i="49"/>
  <c r="I231" i="49"/>
  <c r="I232" i="49"/>
  <c r="I233" i="49"/>
  <c r="I234" i="49"/>
  <c r="I235" i="49"/>
  <c r="I236" i="49"/>
  <c r="I237" i="49"/>
  <c r="I238" i="49"/>
  <c r="I239" i="49"/>
  <c r="I240" i="49"/>
  <c r="I241" i="49"/>
  <c r="I242" i="49"/>
  <c r="I243" i="49"/>
  <c r="I244" i="49"/>
  <c r="I245" i="49"/>
  <c r="I246" i="49"/>
  <c r="I247" i="49"/>
  <c r="I248" i="49"/>
  <c r="I249" i="49"/>
  <c r="I250" i="49"/>
  <c r="L8" i="49"/>
  <c r="L11" i="49"/>
  <c r="M11" i="49" s="1"/>
  <c r="L27" i="49"/>
  <c r="M27" i="49" s="1"/>
  <c r="L32" i="49"/>
  <c r="L60" i="49"/>
  <c r="L68" i="49"/>
  <c r="L88" i="49"/>
  <c r="L104" i="49"/>
  <c r="L112" i="49"/>
  <c r="L123" i="49"/>
  <c r="L132" i="49"/>
  <c r="L148" i="49"/>
  <c r="L156" i="49"/>
  <c r="L176" i="49"/>
  <c r="L192" i="49"/>
  <c r="L200" i="49"/>
  <c r="L220" i="49"/>
  <c r="L236" i="49"/>
  <c r="L244" i="49"/>
  <c r="M52" i="49"/>
  <c r="M55" i="49"/>
  <c r="M56" i="49"/>
  <c r="M72" i="49"/>
  <c r="M99" i="49"/>
  <c r="M100" i="49"/>
  <c r="M104" i="49"/>
  <c r="M120" i="49"/>
  <c r="M121" i="49"/>
  <c r="M136" i="49"/>
  <c r="M148" i="49"/>
  <c r="M159" i="49"/>
  <c r="M164" i="49"/>
  <c r="M184" i="49"/>
  <c r="M187" i="49"/>
  <c r="M200" i="49"/>
  <c r="M227" i="49"/>
  <c r="X227" i="49" s="1"/>
  <c r="M228" i="49"/>
  <c r="X228" i="49" s="1"/>
  <c r="M232" i="49"/>
  <c r="M248" i="49"/>
  <c r="P8" i="49"/>
  <c r="P9" i="49"/>
  <c r="P10" i="49"/>
  <c r="P11" i="49"/>
  <c r="P12" i="49"/>
  <c r="P13" i="49"/>
  <c r="P14" i="49"/>
  <c r="P15" i="49"/>
  <c r="P16" i="49"/>
  <c r="P17" i="49"/>
  <c r="P18" i="49"/>
  <c r="Z18" i="49" s="1"/>
  <c r="P19" i="49"/>
  <c r="Z19" i="49" s="1"/>
  <c r="P20" i="49"/>
  <c r="Z20" i="49" s="1"/>
  <c r="P21" i="49"/>
  <c r="Z21" i="49" s="1"/>
  <c r="P24" i="49"/>
  <c r="P25" i="49"/>
  <c r="P26" i="49"/>
  <c r="P27" i="49"/>
  <c r="P28" i="49"/>
  <c r="P29" i="49"/>
  <c r="P35" i="49"/>
  <c r="Z35" i="49" s="1"/>
  <c r="P36" i="49"/>
  <c r="Z36" i="49" s="1"/>
  <c r="P37" i="49"/>
  <c r="Z37" i="49" s="1"/>
  <c r="P38" i="49"/>
  <c r="Z38" i="49" s="1"/>
  <c r="P39" i="49"/>
  <c r="P40" i="49"/>
  <c r="P44" i="49"/>
  <c r="Z44" i="49" s="1"/>
  <c r="P45" i="49"/>
  <c r="P46" i="49"/>
  <c r="P47" i="49"/>
  <c r="P48" i="49"/>
  <c r="P49" i="49"/>
  <c r="P50" i="49"/>
  <c r="P51" i="49"/>
  <c r="P52" i="49"/>
  <c r="P53" i="49"/>
  <c r="P54" i="49"/>
  <c r="P55" i="49"/>
  <c r="P56" i="49"/>
  <c r="P57" i="49"/>
  <c r="P58" i="49"/>
  <c r="P59" i="49"/>
  <c r="P60" i="49"/>
  <c r="P61" i="49"/>
  <c r="P62" i="49"/>
  <c r="P63" i="49"/>
  <c r="P64" i="49"/>
  <c r="P65" i="49"/>
  <c r="P66" i="49"/>
  <c r="P67" i="49"/>
  <c r="P68" i="49"/>
  <c r="P69" i="49"/>
  <c r="P70" i="49"/>
  <c r="P71" i="49"/>
  <c r="P72" i="49"/>
  <c r="P73" i="49"/>
  <c r="P74" i="49"/>
  <c r="P75" i="49"/>
  <c r="P76" i="49"/>
  <c r="P77" i="49"/>
  <c r="P78" i="49"/>
  <c r="P79" i="49"/>
  <c r="P80" i="49"/>
  <c r="P81" i="49"/>
  <c r="P82" i="49"/>
  <c r="P83" i="49"/>
  <c r="P84" i="49"/>
  <c r="P85" i="49"/>
  <c r="P86" i="49"/>
  <c r="P87" i="49"/>
  <c r="P88" i="49"/>
  <c r="P89" i="49"/>
  <c r="P90" i="49"/>
  <c r="P91" i="49"/>
  <c r="P92" i="49"/>
  <c r="P93" i="49"/>
  <c r="P94" i="49"/>
  <c r="P95" i="49"/>
  <c r="P96" i="49"/>
  <c r="P97" i="49"/>
  <c r="P98" i="49"/>
  <c r="P99" i="49"/>
  <c r="P100" i="49"/>
  <c r="P101" i="49"/>
  <c r="P102" i="49"/>
  <c r="P103" i="49"/>
  <c r="P104" i="49"/>
  <c r="P105" i="49"/>
  <c r="P106" i="49"/>
  <c r="P107" i="49"/>
  <c r="P108" i="49"/>
  <c r="P109" i="49"/>
  <c r="P110" i="49"/>
  <c r="P111" i="49"/>
  <c r="P112" i="49"/>
  <c r="P113" i="49"/>
  <c r="P114" i="49"/>
  <c r="P115" i="49"/>
  <c r="P116" i="49"/>
  <c r="P117" i="49"/>
  <c r="P118" i="49"/>
  <c r="P119" i="49"/>
  <c r="P120" i="49"/>
  <c r="P121" i="49"/>
  <c r="P122" i="49"/>
  <c r="P123" i="49"/>
  <c r="P124" i="49"/>
  <c r="P125" i="49"/>
  <c r="P126" i="49"/>
  <c r="P127" i="49"/>
  <c r="P128" i="49"/>
  <c r="P129" i="49"/>
  <c r="P130" i="49"/>
  <c r="P131" i="49"/>
  <c r="P132" i="49"/>
  <c r="P133" i="49"/>
  <c r="P134" i="49"/>
  <c r="P135" i="49"/>
  <c r="P136" i="49"/>
  <c r="P137" i="49"/>
  <c r="P138" i="49"/>
  <c r="P139" i="49"/>
  <c r="P140" i="49"/>
  <c r="P141" i="49"/>
  <c r="P142" i="49"/>
  <c r="P143" i="49"/>
  <c r="P144" i="49"/>
  <c r="P145" i="49"/>
  <c r="P146" i="49"/>
  <c r="P147" i="49"/>
  <c r="P148" i="49"/>
  <c r="P149" i="49"/>
  <c r="P150" i="49"/>
  <c r="P151" i="49"/>
  <c r="P152" i="49"/>
  <c r="P153" i="49"/>
  <c r="P154" i="49"/>
  <c r="P155" i="49"/>
  <c r="P156" i="49"/>
  <c r="P157" i="49"/>
  <c r="P158" i="49"/>
  <c r="P159" i="49"/>
  <c r="P160" i="49"/>
  <c r="P161" i="49"/>
  <c r="P162" i="49"/>
  <c r="P163" i="49"/>
  <c r="P164" i="49"/>
  <c r="P165" i="49"/>
  <c r="P166" i="49"/>
  <c r="P167" i="49"/>
  <c r="P168" i="49"/>
  <c r="P169" i="49"/>
  <c r="P170" i="49"/>
  <c r="P171" i="49"/>
  <c r="P172" i="49"/>
  <c r="P173" i="49"/>
  <c r="P174" i="49"/>
  <c r="P175" i="49"/>
  <c r="P176" i="49"/>
  <c r="P177" i="49"/>
  <c r="P178" i="49"/>
  <c r="P179" i="49"/>
  <c r="P180" i="49"/>
  <c r="P181" i="49"/>
  <c r="P182" i="49"/>
  <c r="P183" i="49"/>
  <c r="P184" i="49"/>
  <c r="P185" i="49"/>
  <c r="P186" i="49"/>
  <c r="P187" i="49"/>
  <c r="P188" i="49"/>
  <c r="P189" i="49"/>
  <c r="P190" i="49"/>
  <c r="P191" i="49"/>
  <c r="P192" i="49"/>
  <c r="P193" i="49"/>
  <c r="P194" i="49"/>
  <c r="P195" i="49"/>
  <c r="P196" i="49"/>
  <c r="P197" i="49"/>
  <c r="P198" i="49"/>
  <c r="P199" i="49"/>
  <c r="P200" i="49"/>
  <c r="P201" i="49"/>
  <c r="P202" i="49"/>
  <c r="P203" i="49"/>
  <c r="P204" i="49"/>
  <c r="P205" i="49"/>
  <c r="P206" i="49"/>
  <c r="P207" i="49"/>
  <c r="P208" i="49"/>
  <c r="P209" i="49"/>
  <c r="P210" i="49"/>
  <c r="P211" i="49"/>
  <c r="P212" i="49"/>
  <c r="P213" i="49"/>
  <c r="P214" i="49"/>
  <c r="P215" i="49"/>
  <c r="P216" i="49"/>
  <c r="P217" i="49"/>
  <c r="P218" i="49"/>
  <c r="P219" i="49"/>
  <c r="P220" i="49"/>
  <c r="P221" i="49"/>
  <c r="P222" i="49"/>
  <c r="P223" i="49"/>
  <c r="P224" i="49"/>
  <c r="P225" i="49"/>
  <c r="P226" i="49"/>
  <c r="P227" i="49"/>
  <c r="P228" i="49"/>
  <c r="P229" i="49"/>
  <c r="P230" i="49"/>
  <c r="P231" i="49"/>
  <c r="P232" i="49"/>
  <c r="P233" i="49"/>
  <c r="P234" i="49"/>
  <c r="P235" i="49"/>
  <c r="P236" i="49"/>
  <c r="P237" i="49"/>
  <c r="P238" i="49"/>
  <c r="P239" i="49"/>
  <c r="P240" i="49"/>
  <c r="P241" i="49"/>
  <c r="P242" i="49"/>
  <c r="P243" i="49"/>
  <c r="P244" i="49"/>
  <c r="P245" i="49"/>
  <c r="P246" i="49"/>
  <c r="P247" i="49"/>
  <c r="P248" i="49"/>
  <c r="P249" i="49"/>
  <c r="P250" i="49"/>
  <c r="R6" i="49"/>
  <c r="R8" i="49"/>
  <c r="R9" i="49"/>
  <c r="R10" i="49"/>
  <c r="R19" i="49"/>
  <c r="R20" i="49"/>
  <c r="R26" i="49"/>
  <c r="R27" i="49"/>
  <c r="R29" i="49"/>
  <c r="R30" i="49"/>
  <c r="R31" i="49"/>
  <c r="R32" i="49"/>
  <c r="R34" i="49"/>
  <c r="R40" i="49"/>
  <c r="R42" i="49"/>
  <c r="R48" i="49"/>
  <c r="R49" i="49"/>
  <c r="R50" i="49"/>
  <c r="R52" i="49"/>
  <c r="R53" i="49"/>
  <c r="R54" i="49"/>
  <c r="R56" i="49"/>
  <c r="R59" i="49"/>
  <c r="R60" i="49"/>
  <c r="R63" i="49"/>
  <c r="R64" i="49"/>
  <c r="R69" i="49"/>
  <c r="R70" i="49"/>
  <c r="R73" i="49"/>
  <c r="R74" i="49"/>
  <c r="R83" i="49"/>
  <c r="R91" i="49"/>
  <c r="R92" i="49"/>
  <c r="R93" i="49"/>
  <c r="R94" i="49"/>
  <c r="R95" i="49"/>
  <c r="R96" i="49"/>
  <c r="R100" i="49"/>
  <c r="R103" i="49"/>
  <c r="R106" i="49"/>
  <c r="R107" i="49"/>
  <c r="R108" i="49"/>
  <c r="R109" i="49"/>
  <c r="R110" i="49"/>
  <c r="R113" i="49"/>
  <c r="R114" i="49"/>
  <c r="R115" i="49"/>
  <c r="R116" i="49"/>
  <c r="R125" i="49"/>
  <c r="R126" i="49"/>
  <c r="R129" i="49"/>
  <c r="R130" i="49"/>
  <c r="R135" i="49"/>
  <c r="R136" i="49"/>
  <c r="R138" i="49"/>
  <c r="R139" i="49"/>
  <c r="R140" i="49"/>
  <c r="R141" i="49"/>
  <c r="R147" i="49"/>
  <c r="R148" i="49"/>
  <c r="R149" i="49"/>
  <c r="R151" i="49"/>
  <c r="R152" i="49"/>
  <c r="R160" i="49"/>
  <c r="R163" i="49"/>
  <c r="R164" i="49"/>
  <c r="R166" i="49"/>
  <c r="R167" i="49"/>
  <c r="R168" i="49"/>
  <c r="R169" i="49"/>
  <c r="R170" i="49"/>
  <c r="R171" i="49"/>
  <c r="R174" i="49"/>
  <c r="R180" i="49"/>
  <c r="R183" i="49"/>
  <c r="R188" i="49"/>
  <c r="R189" i="49"/>
  <c r="R190" i="49"/>
  <c r="R191" i="49"/>
  <c r="R192" i="49"/>
  <c r="R193" i="49"/>
  <c r="R194" i="49"/>
  <c r="R195" i="49"/>
  <c r="R196" i="49"/>
  <c r="R201" i="49"/>
  <c r="R202" i="49"/>
  <c r="R203" i="49"/>
  <c r="R204" i="49"/>
  <c r="R205" i="49"/>
  <c r="R206" i="49"/>
  <c r="R207" i="49"/>
  <c r="R213" i="49"/>
  <c r="R214" i="49"/>
  <c r="R215" i="49"/>
  <c r="R216" i="49"/>
  <c r="R223" i="49"/>
  <c r="R226" i="49"/>
  <c r="R227" i="49"/>
  <c r="R228" i="49"/>
  <c r="R229" i="49"/>
  <c r="R231" i="49"/>
  <c r="R232" i="49"/>
  <c r="R239" i="49"/>
  <c r="R240" i="49"/>
  <c r="R245" i="49"/>
  <c r="R246" i="49"/>
  <c r="R247" i="49"/>
  <c r="R248" i="49"/>
  <c r="R249" i="49"/>
  <c r="R250" i="49"/>
  <c r="Z8" i="49"/>
  <c r="Z9" i="49"/>
  <c r="Z10" i="49"/>
  <c r="Z11" i="49"/>
  <c r="Z12" i="49"/>
  <c r="Z13" i="49"/>
  <c r="Z14" i="49"/>
  <c r="Z15" i="49"/>
  <c r="Z16" i="49"/>
  <c r="Z17" i="49"/>
  <c r="Z24" i="49"/>
  <c r="Z25" i="49"/>
  <c r="Z26" i="49"/>
  <c r="Z27" i="49"/>
  <c r="Z28" i="49"/>
  <c r="Z29" i="49"/>
  <c r="Z32" i="49"/>
  <c r="Z33" i="49"/>
  <c r="Z39" i="49"/>
  <c r="Z40" i="49"/>
  <c r="Z45" i="49"/>
  <c r="Z46" i="49"/>
  <c r="Z47" i="49"/>
  <c r="Z48" i="49"/>
  <c r="Z49" i="49"/>
  <c r="Z50" i="49"/>
  <c r="Z51" i="49"/>
  <c r="Z52" i="49"/>
  <c r="Z53" i="49"/>
  <c r="Z54" i="49"/>
  <c r="Z55" i="49"/>
  <c r="Z56" i="49"/>
  <c r="Z57" i="49"/>
  <c r="Z58" i="49"/>
  <c r="Z59" i="49"/>
  <c r="Z60" i="49"/>
  <c r="Z61" i="49"/>
  <c r="Z62" i="49"/>
  <c r="Z63" i="49"/>
  <c r="Z64" i="49"/>
  <c r="Z65" i="49"/>
  <c r="Z66" i="49"/>
  <c r="Z67" i="49"/>
  <c r="Z68" i="49"/>
  <c r="Z69" i="49"/>
  <c r="Z70" i="49"/>
  <c r="Z71" i="49"/>
  <c r="Z72" i="49"/>
  <c r="Z73" i="49"/>
  <c r="Z74" i="49"/>
  <c r="Z75" i="49"/>
  <c r="Z76" i="49"/>
  <c r="Z77" i="49"/>
  <c r="Z78" i="49"/>
  <c r="Z79" i="49"/>
  <c r="Z80" i="49"/>
  <c r="Z81" i="49"/>
  <c r="Z82" i="49"/>
  <c r="Z83" i="49"/>
  <c r="Z84" i="49"/>
  <c r="Z85" i="49"/>
  <c r="Z86" i="49"/>
  <c r="Z87" i="49"/>
  <c r="Z88" i="49"/>
  <c r="Z89" i="49"/>
  <c r="Z90" i="49"/>
  <c r="Z91" i="49"/>
  <c r="Z92" i="49"/>
  <c r="Z93" i="49"/>
  <c r="Z94" i="49"/>
  <c r="Z95" i="49"/>
  <c r="Z96" i="49"/>
  <c r="Z97" i="49"/>
  <c r="Z98" i="49"/>
  <c r="Z99" i="49"/>
  <c r="Z100" i="49"/>
  <c r="Z101" i="49"/>
  <c r="Z102" i="49"/>
  <c r="Z103" i="49"/>
  <c r="Z104" i="49"/>
  <c r="Z105" i="49"/>
  <c r="Z106" i="49"/>
  <c r="Z107" i="49"/>
  <c r="Z108" i="49"/>
  <c r="Z109" i="49"/>
  <c r="Z110" i="49"/>
  <c r="Z111" i="49"/>
  <c r="Z112" i="49"/>
  <c r="Z113" i="49"/>
  <c r="Z114" i="49"/>
  <c r="Z115" i="49"/>
  <c r="Z116" i="49"/>
  <c r="Z117" i="49"/>
  <c r="Z118" i="49"/>
  <c r="Z119" i="49"/>
  <c r="Z120" i="49"/>
  <c r="Z121" i="49"/>
  <c r="Z122" i="49"/>
  <c r="Z123" i="49"/>
  <c r="Z124" i="49"/>
  <c r="Z125" i="49"/>
  <c r="Z126" i="49"/>
  <c r="Z127" i="49"/>
  <c r="Z128" i="49"/>
  <c r="Z129" i="49"/>
  <c r="Z130" i="49"/>
  <c r="Z131" i="49"/>
  <c r="Z132" i="49"/>
  <c r="Z133" i="49"/>
  <c r="Z134" i="49"/>
  <c r="Z135" i="49"/>
  <c r="Z136" i="49"/>
  <c r="Z137" i="49"/>
  <c r="Z138" i="49"/>
  <c r="Z139" i="49"/>
  <c r="Z140" i="49"/>
  <c r="Z141" i="49"/>
  <c r="Z142" i="49"/>
  <c r="Z143" i="49"/>
  <c r="Z144" i="49"/>
  <c r="Z145" i="49"/>
  <c r="Z146" i="49"/>
  <c r="Z147" i="49"/>
  <c r="Z148" i="49"/>
  <c r="Z149" i="49"/>
  <c r="Z150" i="49"/>
  <c r="Z151" i="49"/>
  <c r="Z152" i="49"/>
  <c r="Z153" i="49"/>
  <c r="Z154" i="49"/>
  <c r="Z155" i="49"/>
  <c r="Z156" i="49"/>
  <c r="Z157" i="49"/>
  <c r="Z158" i="49"/>
  <c r="Z159" i="49"/>
  <c r="Z160" i="49"/>
  <c r="Z161" i="49"/>
  <c r="Z162" i="49"/>
  <c r="Z163" i="49"/>
  <c r="Z164" i="49"/>
  <c r="Z165" i="49"/>
  <c r="Z166" i="49"/>
  <c r="Z167" i="49"/>
  <c r="Z168" i="49"/>
  <c r="Z169" i="49"/>
  <c r="Z170" i="49"/>
  <c r="Z171" i="49"/>
  <c r="Z172" i="49"/>
  <c r="Z173" i="49"/>
  <c r="Z174" i="49"/>
  <c r="Z175" i="49"/>
  <c r="Z176" i="49"/>
  <c r="Z177" i="49"/>
  <c r="Z178" i="49"/>
  <c r="Z179" i="49"/>
  <c r="Z180" i="49"/>
  <c r="Z181" i="49"/>
  <c r="Z182" i="49"/>
  <c r="Z183" i="49"/>
  <c r="Z184" i="49"/>
  <c r="Z185" i="49"/>
  <c r="Z186" i="49"/>
  <c r="Z187" i="49"/>
  <c r="Z188" i="49"/>
  <c r="Z189" i="49"/>
  <c r="Z190" i="49"/>
  <c r="Z191" i="49"/>
  <c r="Z192" i="49"/>
  <c r="Z193" i="49"/>
  <c r="Z194" i="49"/>
  <c r="Z195" i="49"/>
  <c r="Z196" i="49"/>
  <c r="Z197" i="49"/>
  <c r="Z198" i="49"/>
  <c r="Z199" i="49"/>
  <c r="Z200" i="49"/>
  <c r="Z201" i="49"/>
  <c r="Z202" i="49"/>
  <c r="Z203" i="49"/>
  <c r="Z204" i="49"/>
  <c r="Z205" i="49"/>
  <c r="Z206" i="49"/>
  <c r="Z207" i="49"/>
  <c r="Z208" i="49"/>
  <c r="Z209" i="49"/>
  <c r="Z210" i="49"/>
  <c r="Z211" i="49"/>
  <c r="Z212" i="49"/>
  <c r="Z213" i="49"/>
  <c r="Z214" i="49"/>
  <c r="Z215" i="49"/>
  <c r="Z216" i="49"/>
  <c r="Z217" i="49"/>
  <c r="Z218" i="49"/>
  <c r="Z219" i="49"/>
  <c r="Z220" i="49"/>
  <c r="Z221" i="49"/>
  <c r="Z222" i="49"/>
  <c r="Z223" i="49"/>
  <c r="Z224" i="49"/>
  <c r="Z225" i="49"/>
  <c r="Z226" i="49"/>
  <c r="Z227" i="49"/>
  <c r="Z228" i="49"/>
  <c r="Z229" i="49"/>
  <c r="Z230" i="49"/>
  <c r="Z231" i="49"/>
  <c r="Z232" i="49"/>
  <c r="Z233" i="49"/>
  <c r="Z234" i="49"/>
  <c r="Z235" i="49"/>
  <c r="Z236" i="49"/>
  <c r="Z237" i="49"/>
  <c r="Z238" i="49"/>
  <c r="Z239" i="49"/>
  <c r="Z240" i="49"/>
  <c r="Z241" i="49"/>
  <c r="Z242" i="49"/>
  <c r="Z243" i="49"/>
  <c r="Z244" i="49"/>
  <c r="Z245" i="49"/>
  <c r="Z246" i="49"/>
  <c r="Z247" i="49"/>
  <c r="Z248" i="49"/>
  <c r="Z249" i="49"/>
  <c r="Z250" i="49"/>
  <c r="C15" i="48"/>
  <c r="C16" i="48"/>
  <c r="C17" i="48"/>
  <c r="L17" i="48" s="1"/>
  <c r="C18" i="48"/>
  <c r="L18" i="48" s="1"/>
  <c r="C19" i="48"/>
  <c r="L19" i="48" s="1"/>
  <c r="C20" i="48"/>
  <c r="L20" i="48" s="1"/>
  <c r="C21" i="48"/>
  <c r="L21" i="48" s="1"/>
  <c r="C22" i="48"/>
  <c r="C23" i="48"/>
  <c r="C24" i="48"/>
  <c r="L24" i="48" s="1"/>
  <c r="C25" i="48"/>
  <c r="L25" i="48" s="1"/>
  <c r="C26" i="48"/>
  <c r="L26" i="48" s="1"/>
  <c r="C27" i="48"/>
  <c r="L27" i="48" s="1"/>
  <c r="C28" i="48"/>
  <c r="L28" i="48" s="1"/>
  <c r="C29" i="48"/>
  <c r="L29" i="48" s="1"/>
  <c r="C30" i="48"/>
  <c r="L30" i="48" s="1"/>
  <c r="C31" i="48"/>
  <c r="L31" i="48" s="1"/>
  <c r="C32" i="48"/>
  <c r="L32" i="48" s="1"/>
  <c r="C33" i="48"/>
  <c r="L33" i="48" s="1"/>
  <c r="C34" i="48"/>
  <c r="L34" i="48" s="1"/>
  <c r="C35" i="48"/>
  <c r="C36" i="48"/>
  <c r="L36" i="48" s="1"/>
  <c r="C37" i="48"/>
  <c r="C38" i="48"/>
  <c r="L38" i="48" s="1"/>
  <c r="C39" i="48"/>
  <c r="C40" i="48"/>
  <c r="L40" i="48" s="1"/>
  <c r="C41" i="48"/>
  <c r="C42" i="48"/>
  <c r="C43" i="48"/>
  <c r="C44" i="48"/>
  <c r="C45" i="48"/>
  <c r="C46" i="48"/>
  <c r="L46" i="48" s="1"/>
  <c r="C47" i="48"/>
  <c r="L47" i="48" s="1"/>
  <c r="C48" i="48"/>
  <c r="L48" i="48" s="1"/>
  <c r="C49" i="48"/>
  <c r="L49" i="48" s="1"/>
  <c r="C50" i="48"/>
  <c r="L50" i="48" s="1"/>
  <c r="C51" i="48"/>
  <c r="L51" i="48" s="1"/>
  <c r="C52" i="48"/>
  <c r="L52" i="48" s="1"/>
  <c r="C53" i="48"/>
  <c r="L53" i="48" s="1"/>
  <c r="L54" i="48"/>
  <c r="L55" i="48"/>
  <c r="C62" i="48"/>
  <c r="L62" i="48" s="1"/>
  <c r="C63" i="48"/>
  <c r="C64" i="48"/>
  <c r="C65" i="48"/>
  <c r="C66" i="48"/>
  <c r="L66" i="48" s="1"/>
  <c r="C67" i="48"/>
  <c r="C68" i="48"/>
  <c r="L68" i="48" s="1"/>
  <c r="C69" i="48"/>
  <c r="L69" i="48" s="1"/>
  <c r="C70" i="48"/>
  <c r="L70" i="48" s="1"/>
  <c r="C71" i="48"/>
  <c r="C72" i="48"/>
  <c r="L72" i="48" s="1"/>
  <c r="C73" i="48"/>
  <c r="L73" i="48" s="1"/>
  <c r="C74" i="48"/>
  <c r="L74" i="48" s="1"/>
  <c r="C75" i="48"/>
  <c r="L75" i="48" s="1"/>
  <c r="C76" i="48"/>
  <c r="L76" i="48" s="1"/>
  <c r="C77" i="48"/>
  <c r="C78" i="48"/>
  <c r="L78" i="48" s="1"/>
  <c r="C79" i="48"/>
  <c r="L79" i="48" s="1"/>
  <c r="C81" i="48"/>
  <c r="L81" i="48" s="1"/>
  <c r="C82" i="48"/>
  <c r="C83" i="48"/>
  <c r="L83" i="48" s="1"/>
  <c r="C84" i="48"/>
  <c r="C85" i="48"/>
  <c r="C86" i="48"/>
  <c r="C87" i="48"/>
  <c r="L87" i="48" s="1"/>
  <c r="C88" i="48"/>
  <c r="C89" i="48"/>
  <c r="C90" i="48"/>
  <c r="L90" i="48" s="1"/>
  <c r="C91" i="48"/>
  <c r="L91" i="48" s="1"/>
  <c r="C92" i="48"/>
  <c r="L92" i="48" s="1"/>
  <c r="C93" i="48"/>
  <c r="L93" i="48" s="1"/>
  <c r="C94" i="48"/>
  <c r="L94" i="48" s="1"/>
  <c r="C95" i="48"/>
  <c r="L95" i="48" s="1"/>
  <c r="C96" i="48"/>
  <c r="L96" i="48" s="1"/>
  <c r="C97" i="48"/>
  <c r="L97" i="48" s="1"/>
  <c r="C98" i="48"/>
  <c r="L98" i="48" s="1"/>
  <c r="C99" i="48"/>
  <c r="L99" i="48" s="1"/>
  <c r="C100" i="48"/>
  <c r="L100" i="48" s="1"/>
  <c r="C101" i="48"/>
  <c r="L101" i="48" s="1"/>
  <c r="C102" i="48"/>
  <c r="L102" i="48" s="1"/>
  <c r="C103" i="48"/>
  <c r="L103" i="48" s="1"/>
  <c r="C104" i="48"/>
  <c r="L104" i="48" s="1"/>
  <c r="C105" i="48"/>
  <c r="L105" i="48" s="1"/>
  <c r="C106" i="48"/>
  <c r="L106" i="48" s="1"/>
  <c r="C107" i="48"/>
  <c r="L107" i="48" s="1"/>
  <c r="C108" i="48"/>
  <c r="C109" i="48"/>
  <c r="L109" i="48" s="1"/>
  <c r="C110" i="48"/>
  <c r="C111" i="48"/>
  <c r="C112" i="48"/>
  <c r="L112" i="48" s="1"/>
  <c r="C113" i="48"/>
  <c r="L113" i="48" s="1"/>
  <c r="C114" i="48"/>
  <c r="L114" i="48" s="1"/>
  <c r="C115" i="48"/>
  <c r="L115" i="48" s="1"/>
  <c r="C116" i="48"/>
  <c r="L116" i="48" s="1"/>
  <c r="C117" i="48"/>
  <c r="L117" i="48" s="1"/>
  <c r="C118" i="48"/>
  <c r="L118" i="48" s="1"/>
  <c r="C119" i="48"/>
  <c r="C120" i="48"/>
  <c r="L120" i="48" s="1"/>
  <c r="C121" i="48"/>
  <c r="C122" i="48"/>
  <c r="C123" i="48"/>
  <c r="C124" i="48"/>
  <c r="L124" i="48" s="1"/>
  <c r="C125" i="48"/>
  <c r="C126" i="48"/>
  <c r="L126" i="48" s="1"/>
  <c r="C127" i="48"/>
  <c r="L127" i="48" s="1"/>
  <c r="C128" i="48"/>
  <c r="L128" i="48" s="1"/>
  <c r="C129" i="48"/>
  <c r="L129" i="48" s="1"/>
  <c r="C130" i="48"/>
  <c r="C131" i="48"/>
  <c r="L131" i="48" s="1"/>
  <c r="C132" i="48"/>
  <c r="L132" i="48" s="1"/>
  <c r="C133" i="48"/>
  <c r="L133" i="48" s="1"/>
  <c r="C134" i="48"/>
  <c r="L134" i="48" s="1"/>
  <c r="C135" i="48"/>
  <c r="L135" i="48" s="1"/>
  <c r="C136" i="48"/>
  <c r="L136" i="48" s="1"/>
  <c r="C137" i="48"/>
  <c r="L137" i="48" s="1"/>
  <c r="C138" i="48"/>
  <c r="L138" i="48" s="1"/>
  <c r="C139" i="48"/>
  <c r="L139" i="48" s="1"/>
  <c r="C140" i="48"/>
  <c r="L140" i="48" s="1"/>
  <c r="C141" i="48"/>
  <c r="C142" i="48"/>
  <c r="L142" i="48" s="1"/>
  <c r="C143" i="48"/>
  <c r="L143" i="48" s="1"/>
  <c r="C144" i="48"/>
  <c r="L144" i="48" s="1"/>
  <c r="C145" i="48"/>
  <c r="C146" i="48"/>
  <c r="C147" i="48"/>
  <c r="C148" i="48"/>
  <c r="C149" i="48"/>
  <c r="C150" i="48"/>
  <c r="C151" i="48"/>
  <c r="C152" i="48"/>
  <c r="C153" i="48"/>
  <c r="C154" i="48"/>
  <c r="C155" i="48"/>
  <c r="L155" i="48" s="1"/>
  <c r="C156" i="48"/>
  <c r="L156" i="48" s="1"/>
  <c r="C157" i="48"/>
  <c r="L157" i="48" s="1"/>
  <c r="C158" i="48"/>
  <c r="L158" i="48" s="1"/>
  <c r="C159" i="48"/>
  <c r="L159" i="48" s="1"/>
  <c r="C160" i="48"/>
  <c r="L160" i="48" s="1"/>
  <c r="C161" i="48"/>
  <c r="L161" i="48" s="1"/>
  <c r="C162" i="48"/>
  <c r="L162" i="48" s="1"/>
  <c r="C163" i="48"/>
  <c r="L163" i="48" s="1"/>
  <c r="C164" i="48"/>
  <c r="L164" i="48" s="1"/>
  <c r="C165" i="48"/>
  <c r="C166" i="48"/>
  <c r="L166" i="48" s="1"/>
  <c r="C167" i="48"/>
  <c r="L167" i="48" s="1"/>
  <c r="C168" i="48"/>
  <c r="C169" i="48"/>
  <c r="L169" i="48" s="1"/>
  <c r="C170" i="48"/>
  <c r="L170" i="48" s="1"/>
  <c r="C171" i="48"/>
  <c r="L171" i="48" s="1"/>
  <c r="C172" i="48"/>
  <c r="L172" i="48" s="1"/>
  <c r="C173" i="48"/>
  <c r="L173" i="48" s="1"/>
  <c r="C174" i="48"/>
  <c r="C175" i="48"/>
  <c r="C176" i="48"/>
  <c r="C177" i="48"/>
  <c r="C178" i="48"/>
  <c r="L178" i="48" s="1"/>
  <c r="C179" i="48"/>
  <c r="L179" i="48" s="1"/>
  <c r="C180" i="48"/>
  <c r="L180" i="48" s="1"/>
  <c r="C181" i="48"/>
  <c r="L181" i="48" s="1"/>
  <c r="C182" i="48"/>
  <c r="L182" i="48" s="1"/>
  <c r="C183" i="48"/>
  <c r="L183" i="48" s="1"/>
  <c r="C184" i="48"/>
  <c r="C185" i="48"/>
  <c r="L185" i="48" s="1"/>
  <c r="C186" i="48"/>
  <c r="L186" i="48" s="1"/>
  <c r="C187" i="48"/>
  <c r="L187" i="48" s="1"/>
  <c r="C188" i="48"/>
  <c r="C189" i="48"/>
  <c r="L189" i="48" s="1"/>
  <c r="C190" i="48"/>
  <c r="L190" i="48" s="1"/>
  <c r="C191" i="48"/>
  <c r="C192" i="48"/>
  <c r="C193" i="48"/>
  <c r="L193" i="48" s="1"/>
  <c r="C194" i="48"/>
  <c r="C195" i="48"/>
  <c r="C196" i="48"/>
  <c r="C197" i="48"/>
  <c r="L197" i="48" s="1"/>
  <c r="C198" i="48"/>
  <c r="L198" i="48" s="1"/>
  <c r="C199" i="48"/>
  <c r="L199" i="48" s="1"/>
  <c r="C200" i="48"/>
  <c r="L200" i="48" s="1"/>
  <c r="C201" i="48"/>
  <c r="L201" i="48" s="1"/>
  <c r="C202" i="48"/>
  <c r="L202" i="48" s="1"/>
  <c r="C203" i="48"/>
  <c r="L203" i="48" s="1"/>
  <c r="C204" i="48"/>
  <c r="C205" i="48"/>
  <c r="L205" i="48" s="1"/>
  <c r="C206" i="48"/>
  <c r="C207" i="48"/>
  <c r="L207" i="48" s="1"/>
  <c r="C208" i="48"/>
  <c r="C209" i="48"/>
  <c r="C210" i="48"/>
  <c r="C211" i="48"/>
  <c r="C212" i="48"/>
  <c r="C213" i="48"/>
  <c r="C214" i="48"/>
  <c r="C215" i="48"/>
  <c r="C216" i="48"/>
  <c r="C217" i="48"/>
  <c r="L217" i="48" s="1"/>
  <c r="C218" i="48"/>
  <c r="L218" i="48" s="1"/>
  <c r="C219" i="48"/>
  <c r="C220" i="48"/>
  <c r="L220" i="48" s="1"/>
  <c r="C221" i="48"/>
  <c r="C222" i="48"/>
  <c r="L222" i="48" s="1"/>
  <c r="C223" i="48"/>
  <c r="L223" i="48" s="1"/>
  <c r="C224" i="48"/>
  <c r="L224" i="48" s="1"/>
  <c r="C225" i="48"/>
  <c r="L225" i="48" s="1"/>
  <c r="C226" i="48"/>
  <c r="L226" i="48" s="1"/>
  <c r="C227" i="48"/>
  <c r="L227" i="48" s="1"/>
  <c r="C228" i="48"/>
  <c r="C229" i="48"/>
  <c r="L229" i="48" s="1"/>
  <c r="C230" i="48"/>
  <c r="L230" i="48" s="1"/>
  <c r="C231" i="48"/>
  <c r="L231" i="48" s="1"/>
  <c r="C232" i="48"/>
  <c r="C233" i="48"/>
  <c r="L233" i="48" s="1"/>
  <c r="C234" i="48"/>
  <c r="L234" i="48" s="1"/>
  <c r="C235" i="48"/>
  <c r="L235" i="48" s="1"/>
  <c r="C236" i="48"/>
  <c r="C237" i="48"/>
  <c r="C238" i="48"/>
  <c r="L238" i="48" s="1"/>
  <c r="C239" i="48"/>
  <c r="L239" i="48" s="1"/>
  <c r="C240" i="48"/>
  <c r="L240" i="48" s="1"/>
  <c r="C241" i="48"/>
  <c r="L241" i="48" s="1"/>
  <c r="C242" i="48"/>
  <c r="C243" i="48"/>
  <c r="L243" i="48" s="1"/>
  <c r="C244" i="48"/>
  <c r="L244" i="48" s="1"/>
  <c r="C245" i="48"/>
  <c r="L245" i="48" s="1"/>
  <c r="C246" i="48"/>
  <c r="C247" i="48"/>
  <c r="L247" i="48" s="1"/>
  <c r="C248" i="48"/>
  <c r="L248" i="48" s="1"/>
  <c r="C249" i="48"/>
  <c r="L249" i="48" s="1"/>
  <c r="C250" i="48"/>
  <c r="L250" i="48" s="1"/>
  <c r="I15" i="48"/>
  <c r="I16" i="48"/>
  <c r="I17" i="48"/>
  <c r="I18" i="48"/>
  <c r="I19" i="48"/>
  <c r="I20" i="48"/>
  <c r="I21" i="48"/>
  <c r="I22" i="48"/>
  <c r="I23" i="48"/>
  <c r="I24" i="48"/>
  <c r="I25" i="48"/>
  <c r="I26" i="48"/>
  <c r="I27" i="48"/>
  <c r="I28" i="48"/>
  <c r="I29" i="48"/>
  <c r="I30" i="48"/>
  <c r="I31" i="48"/>
  <c r="I32" i="48"/>
  <c r="I33" i="48"/>
  <c r="I34" i="48"/>
  <c r="I35" i="48"/>
  <c r="I36" i="48"/>
  <c r="I37" i="48"/>
  <c r="I38" i="48"/>
  <c r="I39" i="48"/>
  <c r="I40" i="48"/>
  <c r="I41" i="48"/>
  <c r="I42" i="48"/>
  <c r="I43" i="48"/>
  <c r="I44" i="48"/>
  <c r="I45" i="48"/>
  <c r="I46" i="48"/>
  <c r="I47" i="48"/>
  <c r="I48" i="48"/>
  <c r="I49" i="48"/>
  <c r="I50" i="48"/>
  <c r="I51" i="48"/>
  <c r="I52" i="48"/>
  <c r="I53" i="48"/>
  <c r="I54" i="48"/>
  <c r="M54" i="48" s="1"/>
  <c r="I55" i="48"/>
  <c r="M55" i="48" s="1"/>
  <c r="I56" i="48"/>
  <c r="P56" i="48" s="1"/>
  <c r="Z56" i="48" s="1"/>
  <c r="I57" i="48"/>
  <c r="P57" i="48" s="1"/>
  <c r="Z57" i="48" s="1"/>
  <c r="I58" i="48"/>
  <c r="P58" i="48" s="1"/>
  <c r="Z58" i="48" s="1"/>
  <c r="I59" i="48"/>
  <c r="I60" i="48"/>
  <c r="P60" i="48" s="1"/>
  <c r="Z60" i="48" s="1"/>
  <c r="I61" i="48"/>
  <c r="P61" i="48" s="1"/>
  <c r="Z61" i="48" s="1"/>
  <c r="I62" i="48"/>
  <c r="P62" i="48" s="1"/>
  <c r="Z62" i="48" s="1"/>
  <c r="I63" i="48"/>
  <c r="P63" i="48" s="1"/>
  <c r="Z63" i="48" s="1"/>
  <c r="I64" i="48"/>
  <c r="P64" i="48" s="1"/>
  <c r="Z64" i="48" s="1"/>
  <c r="I65" i="48"/>
  <c r="P65" i="48" s="1"/>
  <c r="Z65" i="48" s="1"/>
  <c r="I66" i="48"/>
  <c r="I67" i="48"/>
  <c r="I68" i="48"/>
  <c r="I69" i="48"/>
  <c r="I70" i="48"/>
  <c r="I71" i="48"/>
  <c r="I72" i="48"/>
  <c r="Y72" i="48" s="1"/>
  <c r="I73" i="48"/>
  <c r="I74" i="48"/>
  <c r="I75" i="48"/>
  <c r="I76" i="48"/>
  <c r="I77" i="48"/>
  <c r="I78" i="48"/>
  <c r="I79" i="48"/>
  <c r="I80" i="48"/>
  <c r="I81" i="48"/>
  <c r="I82" i="48"/>
  <c r="I83" i="48"/>
  <c r="I84" i="48"/>
  <c r="I85" i="48"/>
  <c r="I86" i="48"/>
  <c r="P86" i="48" s="1"/>
  <c r="Z86" i="48" s="1"/>
  <c r="I87" i="48"/>
  <c r="P87" i="48" s="1"/>
  <c r="Z87" i="48" s="1"/>
  <c r="I88" i="48"/>
  <c r="P88" i="48" s="1"/>
  <c r="Z88" i="48" s="1"/>
  <c r="I89" i="48"/>
  <c r="P89" i="48" s="1"/>
  <c r="Z89" i="48" s="1"/>
  <c r="I90" i="48"/>
  <c r="I91" i="48"/>
  <c r="M91" i="48" s="1"/>
  <c r="I92" i="48"/>
  <c r="M92" i="48" s="1"/>
  <c r="I93" i="48"/>
  <c r="M93" i="48" s="1"/>
  <c r="I94" i="48"/>
  <c r="I95" i="48"/>
  <c r="I96" i="48"/>
  <c r="I97" i="48"/>
  <c r="I98" i="48"/>
  <c r="I99" i="48"/>
  <c r="I100" i="48"/>
  <c r="I101" i="48"/>
  <c r="I102" i="48"/>
  <c r="I103" i="48"/>
  <c r="P103" i="48" s="1"/>
  <c r="Z103" i="48" s="1"/>
  <c r="I104" i="48"/>
  <c r="P104" i="48" s="1"/>
  <c r="I105" i="48"/>
  <c r="P105" i="48" s="1"/>
  <c r="I106" i="48"/>
  <c r="P106" i="48" s="1"/>
  <c r="Z106" i="48" s="1"/>
  <c r="I107" i="48"/>
  <c r="P107" i="48" s="1"/>
  <c r="Z107" i="48" s="1"/>
  <c r="I108" i="48"/>
  <c r="P108" i="48" s="1"/>
  <c r="Z108" i="48" s="1"/>
  <c r="I109" i="48"/>
  <c r="P109" i="48" s="1"/>
  <c r="Z109" i="48" s="1"/>
  <c r="I110" i="48"/>
  <c r="P110" i="48" s="1"/>
  <c r="Z110" i="48" s="1"/>
  <c r="I111" i="48"/>
  <c r="P111" i="48" s="1"/>
  <c r="Z111" i="48" s="1"/>
  <c r="I112" i="48"/>
  <c r="I113" i="48"/>
  <c r="I114" i="48"/>
  <c r="M114" i="48" s="1"/>
  <c r="I115" i="48"/>
  <c r="I116" i="48"/>
  <c r="M116" i="48" s="1"/>
  <c r="I117" i="48"/>
  <c r="M117" i="48" s="1"/>
  <c r="I118" i="48"/>
  <c r="I119" i="48"/>
  <c r="I120" i="48"/>
  <c r="I121" i="48"/>
  <c r="I122" i="48"/>
  <c r="I123" i="48"/>
  <c r="I124" i="48"/>
  <c r="I125" i="48"/>
  <c r="I126" i="48"/>
  <c r="P126" i="48" s="1"/>
  <c r="I127" i="48"/>
  <c r="P127" i="48" s="1"/>
  <c r="I128" i="48"/>
  <c r="P128" i="48" s="1"/>
  <c r="Z128" i="48" s="1"/>
  <c r="I129" i="48"/>
  <c r="P129" i="48" s="1"/>
  <c r="Z129" i="48" s="1"/>
  <c r="I130" i="48"/>
  <c r="P130" i="48" s="1"/>
  <c r="Z130" i="48" s="1"/>
  <c r="I131" i="48"/>
  <c r="P131" i="48" s="1"/>
  <c r="Z131" i="48" s="1"/>
  <c r="I132" i="48"/>
  <c r="P132" i="48" s="1"/>
  <c r="Z132" i="48" s="1"/>
  <c r="I133" i="48"/>
  <c r="P133" i="48" s="1"/>
  <c r="Z133" i="48" s="1"/>
  <c r="I134" i="48"/>
  <c r="I135" i="48"/>
  <c r="I136" i="48"/>
  <c r="I137" i="48"/>
  <c r="I138" i="48"/>
  <c r="I139" i="48"/>
  <c r="I140" i="48"/>
  <c r="I141" i="48"/>
  <c r="I142" i="48"/>
  <c r="I143" i="48"/>
  <c r="I144" i="48"/>
  <c r="I145" i="48"/>
  <c r="I146" i="48"/>
  <c r="I147" i="48"/>
  <c r="I148" i="48"/>
  <c r="P148" i="48" s="1"/>
  <c r="Z148" i="48" s="1"/>
  <c r="I149" i="48"/>
  <c r="P149" i="48" s="1"/>
  <c r="Z149" i="48" s="1"/>
  <c r="I150" i="48"/>
  <c r="P150" i="48" s="1"/>
  <c r="Z150" i="48" s="1"/>
  <c r="I151" i="48"/>
  <c r="P151" i="48" s="1"/>
  <c r="Z151" i="48" s="1"/>
  <c r="I152" i="48"/>
  <c r="P152" i="48" s="1"/>
  <c r="Z152" i="48" s="1"/>
  <c r="I153" i="48"/>
  <c r="P153" i="48" s="1"/>
  <c r="Z153" i="48" s="1"/>
  <c r="I154" i="48"/>
  <c r="P154" i="48" s="1"/>
  <c r="Z154" i="48" s="1"/>
  <c r="I155" i="48"/>
  <c r="I156" i="48"/>
  <c r="I157" i="48"/>
  <c r="M157" i="48" s="1"/>
  <c r="I158" i="48"/>
  <c r="I159" i="48"/>
  <c r="I160" i="48"/>
  <c r="I161" i="48"/>
  <c r="I162" i="48"/>
  <c r="I163" i="48"/>
  <c r="I164" i="48"/>
  <c r="I165" i="48"/>
  <c r="I166" i="48"/>
  <c r="I167" i="48"/>
  <c r="I168" i="48"/>
  <c r="I169" i="48"/>
  <c r="I170" i="48"/>
  <c r="P170" i="48" s="1"/>
  <c r="Z170" i="48" s="1"/>
  <c r="I171" i="48"/>
  <c r="P171" i="48" s="1"/>
  <c r="Z171" i="48" s="1"/>
  <c r="I172" i="48"/>
  <c r="P172" i="48" s="1"/>
  <c r="Z172" i="48" s="1"/>
  <c r="I173" i="48"/>
  <c r="P173" i="48" s="1"/>
  <c r="Z173" i="48" s="1"/>
  <c r="I174" i="48"/>
  <c r="P174" i="48" s="1"/>
  <c r="Z174" i="48" s="1"/>
  <c r="I175" i="48"/>
  <c r="P175" i="48" s="1"/>
  <c r="Z175" i="48" s="1"/>
  <c r="I176" i="48"/>
  <c r="P176" i="48" s="1"/>
  <c r="Z176" i="48" s="1"/>
  <c r="I177" i="48"/>
  <c r="P177" i="48" s="1"/>
  <c r="Z177" i="48" s="1"/>
  <c r="I178" i="48"/>
  <c r="I179" i="48"/>
  <c r="M179" i="48" s="1"/>
  <c r="I180" i="48"/>
  <c r="M180" i="48" s="1"/>
  <c r="I181" i="48"/>
  <c r="M181" i="48" s="1"/>
  <c r="I182" i="48"/>
  <c r="I183" i="48"/>
  <c r="I184" i="48"/>
  <c r="I185" i="48"/>
  <c r="I186" i="48"/>
  <c r="I187" i="48"/>
  <c r="I188" i="48"/>
  <c r="I189" i="48"/>
  <c r="I190" i="48"/>
  <c r="P190" i="48" s="1"/>
  <c r="I191" i="48"/>
  <c r="P191" i="48" s="1"/>
  <c r="I192" i="48"/>
  <c r="P192" i="48" s="1"/>
  <c r="I193" i="48"/>
  <c r="P193" i="48" s="1"/>
  <c r="I194" i="48"/>
  <c r="P194" i="48" s="1"/>
  <c r="Z194" i="48" s="1"/>
  <c r="I195" i="48"/>
  <c r="P195" i="48" s="1"/>
  <c r="Z195" i="48" s="1"/>
  <c r="I196" i="48"/>
  <c r="P196" i="48" s="1"/>
  <c r="Z196" i="48" s="1"/>
  <c r="I197" i="48"/>
  <c r="P197" i="48" s="1"/>
  <c r="Z197" i="48" s="1"/>
  <c r="I198" i="48"/>
  <c r="P198" i="48" s="1"/>
  <c r="Z198" i="48" s="1"/>
  <c r="I199" i="48"/>
  <c r="P199" i="48" s="1"/>
  <c r="Z199" i="48" s="1"/>
  <c r="I200" i="48"/>
  <c r="I201" i="48"/>
  <c r="I202" i="48"/>
  <c r="M202" i="48" s="1"/>
  <c r="I203" i="48"/>
  <c r="M203" i="48" s="1"/>
  <c r="I204" i="48"/>
  <c r="I205" i="48"/>
  <c r="M205" i="48" s="1"/>
  <c r="I206" i="48"/>
  <c r="I207" i="48"/>
  <c r="I208" i="48"/>
  <c r="I209" i="48"/>
  <c r="I210" i="48"/>
  <c r="I211" i="48"/>
  <c r="I212" i="48"/>
  <c r="I213" i="48"/>
  <c r="I214" i="48"/>
  <c r="P214" i="48" s="1"/>
  <c r="I215" i="48"/>
  <c r="P215" i="48" s="1"/>
  <c r="I216" i="48"/>
  <c r="P216" i="48" s="1"/>
  <c r="Z216" i="48" s="1"/>
  <c r="I217" i="48"/>
  <c r="P217" i="48" s="1"/>
  <c r="Z217" i="48" s="1"/>
  <c r="I218" i="48"/>
  <c r="P218" i="48" s="1"/>
  <c r="Z218" i="48" s="1"/>
  <c r="I219" i="48"/>
  <c r="P219" i="48" s="1"/>
  <c r="Z219" i="48" s="1"/>
  <c r="I220" i="48"/>
  <c r="P220" i="48" s="1"/>
  <c r="Z220" i="48" s="1"/>
  <c r="I221" i="48"/>
  <c r="P221" i="48" s="1"/>
  <c r="Z221" i="48" s="1"/>
  <c r="I222" i="48"/>
  <c r="I223" i="48"/>
  <c r="I224" i="48"/>
  <c r="I225" i="48"/>
  <c r="I226" i="48"/>
  <c r="I227" i="48"/>
  <c r="I228" i="48"/>
  <c r="I229" i="48"/>
  <c r="I230" i="48"/>
  <c r="I231" i="48"/>
  <c r="I232" i="48"/>
  <c r="I233" i="48"/>
  <c r="I234" i="48"/>
  <c r="I235" i="48"/>
  <c r="I236" i="48"/>
  <c r="P236" i="48" s="1"/>
  <c r="I237" i="48"/>
  <c r="P237" i="48" s="1"/>
  <c r="I238" i="48"/>
  <c r="P238" i="48" s="1"/>
  <c r="Z238" i="48" s="1"/>
  <c r="I239" i="48"/>
  <c r="P239" i="48" s="1"/>
  <c r="Z239" i="48" s="1"/>
  <c r="I240" i="48"/>
  <c r="I241" i="48"/>
  <c r="P241" i="48" s="1"/>
  <c r="Z241" i="48" s="1"/>
  <c r="I242" i="48"/>
  <c r="I243" i="48"/>
  <c r="I244" i="48"/>
  <c r="I245" i="48"/>
  <c r="M245" i="48" s="1"/>
  <c r="I246" i="48"/>
  <c r="I247" i="48"/>
  <c r="I248" i="48"/>
  <c r="I249" i="48"/>
  <c r="I250" i="48"/>
  <c r="L71" i="48"/>
  <c r="L204" i="48"/>
  <c r="L246" i="48"/>
  <c r="M104" i="48"/>
  <c r="M106" i="48"/>
  <c r="M229" i="48"/>
  <c r="M234" i="48"/>
  <c r="P15" i="48"/>
  <c r="Z15" i="48" s="1"/>
  <c r="P16" i="48"/>
  <c r="Z16" i="48" s="1"/>
  <c r="P18" i="48"/>
  <c r="Z18" i="48" s="1"/>
  <c r="P23" i="48"/>
  <c r="Z23" i="48" s="1"/>
  <c r="P30" i="48"/>
  <c r="Z30" i="48" s="1"/>
  <c r="P31" i="48"/>
  <c r="Z31" i="48" s="1"/>
  <c r="P32" i="48"/>
  <c r="Z32" i="48" s="1"/>
  <c r="P33" i="48"/>
  <c r="Z33" i="48" s="1"/>
  <c r="P34" i="48"/>
  <c r="Z34" i="48" s="1"/>
  <c r="P35" i="48"/>
  <c r="Z35" i="48" s="1"/>
  <c r="P36" i="48"/>
  <c r="Z36" i="48" s="1"/>
  <c r="P52" i="48"/>
  <c r="Z52" i="48" s="1"/>
  <c r="P53" i="48"/>
  <c r="P59" i="48"/>
  <c r="Z59" i="48" s="1"/>
  <c r="P74" i="48"/>
  <c r="P75" i="48"/>
  <c r="P76" i="48"/>
  <c r="P77" i="48"/>
  <c r="Z77" i="48" s="1"/>
  <c r="P78" i="48"/>
  <c r="Z78" i="48" s="1"/>
  <c r="P79" i="48"/>
  <c r="Z79" i="48" s="1"/>
  <c r="P80" i="48"/>
  <c r="Z80" i="48" s="1"/>
  <c r="P81" i="48"/>
  <c r="P96" i="48"/>
  <c r="P97" i="48"/>
  <c r="P98" i="48"/>
  <c r="P99" i="48"/>
  <c r="P100" i="48"/>
  <c r="P101" i="48"/>
  <c r="P102" i="48"/>
  <c r="P118" i="48"/>
  <c r="Z118" i="48" s="1"/>
  <c r="P119" i="48"/>
  <c r="Z119" i="48" s="1"/>
  <c r="P120" i="48"/>
  <c r="Z120" i="48" s="1"/>
  <c r="P121" i="48"/>
  <c r="Z121" i="48" s="1"/>
  <c r="P122" i="48"/>
  <c r="Z122" i="48" s="1"/>
  <c r="P123" i="48"/>
  <c r="Z123" i="48" s="1"/>
  <c r="P124" i="48"/>
  <c r="P125" i="48"/>
  <c r="Z125" i="48" s="1"/>
  <c r="P140" i="48"/>
  <c r="P141" i="48"/>
  <c r="Z141" i="48" s="1"/>
  <c r="P142" i="48"/>
  <c r="Z142" i="48" s="1"/>
  <c r="P143" i="48"/>
  <c r="Z143" i="48" s="1"/>
  <c r="P144" i="48"/>
  <c r="Z144" i="48" s="1"/>
  <c r="P145" i="48"/>
  <c r="Z145" i="48" s="1"/>
  <c r="P146" i="48"/>
  <c r="Z146" i="48" s="1"/>
  <c r="P147" i="48"/>
  <c r="Z147" i="48" s="1"/>
  <c r="P155" i="48"/>
  <c r="Z155" i="48" s="1"/>
  <c r="P159" i="48"/>
  <c r="Z159" i="48" s="1"/>
  <c r="P162" i="48"/>
  <c r="P163" i="48"/>
  <c r="P164" i="48"/>
  <c r="P165" i="48"/>
  <c r="P166" i="48"/>
  <c r="P167" i="48"/>
  <c r="P168" i="48"/>
  <c r="Z168" i="48" s="1"/>
  <c r="P169" i="48"/>
  <c r="Z169" i="48" s="1"/>
  <c r="P184" i="48"/>
  <c r="Z184" i="48" s="1"/>
  <c r="P185" i="48"/>
  <c r="P186" i="48"/>
  <c r="P187" i="48"/>
  <c r="P188" i="48"/>
  <c r="P189" i="48"/>
  <c r="P202" i="48"/>
  <c r="Z202" i="48" s="1"/>
  <c r="P203" i="48"/>
  <c r="Z203" i="48" s="1"/>
  <c r="P206" i="48"/>
  <c r="Z206" i="48" s="1"/>
  <c r="P207" i="48"/>
  <c r="Z207" i="48" s="1"/>
  <c r="P208" i="48"/>
  <c r="Z208" i="48" s="1"/>
  <c r="P209" i="48"/>
  <c r="Z209" i="48" s="1"/>
  <c r="P210" i="48"/>
  <c r="P211" i="48"/>
  <c r="Z211" i="48" s="1"/>
  <c r="P212" i="48"/>
  <c r="Z212" i="48" s="1"/>
  <c r="P213" i="48"/>
  <c r="Z213" i="48" s="1"/>
  <c r="P228" i="48"/>
  <c r="Z228" i="48" s="1"/>
  <c r="P229" i="48"/>
  <c r="Z229" i="48" s="1"/>
  <c r="P230" i="48"/>
  <c r="Z230" i="48" s="1"/>
  <c r="P231" i="48"/>
  <c r="Z231" i="48" s="1"/>
  <c r="P232" i="48"/>
  <c r="Z232" i="48" s="1"/>
  <c r="P233" i="48"/>
  <c r="Z233" i="48" s="1"/>
  <c r="P234" i="48"/>
  <c r="Z234" i="48" s="1"/>
  <c r="P235" i="48"/>
  <c r="Z235" i="48" s="1"/>
  <c r="P240" i="48"/>
  <c r="Z240" i="48" s="1"/>
  <c r="P242" i="48"/>
  <c r="Z242" i="48" s="1"/>
  <c r="P243" i="48"/>
  <c r="Z243" i="48" s="1"/>
  <c r="P245" i="48"/>
  <c r="Z245" i="48" s="1"/>
  <c r="P246" i="48"/>
  <c r="Z246" i="48" s="1"/>
  <c r="P250" i="48"/>
  <c r="R20" i="48"/>
  <c r="R40" i="48"/>
  <c r="R41" i="48"/>
  <c r="R51" i="48"/>
  <c r="R59" i="48"/>
  <c r="R69" i="48"/>
  <c r="R71" i="48"/>
  <c r="R72" i="48"/>
  <c r="R81" i="48"/>
  <c r="R84" i="48"/>
  <c r="R89" i="48"/>
  <c r="R91" i="48"/>
  <c r="R99" i="48"/>
  <c r="R100" i="48"/>
  <c r="R103" i="48"/>
  <c r="R107" i="48"/>
  <c r="R109" i="48"/>
  <c r="R111" i="48"/>
  <c r="R117" i="48"/>
  <c r="R118" i="48"/>
  <c r="R119" i="48"/>
  <c r="R121" i="48"/>
  <c r="R122" i="48"/>
  <c r="R129" i="48"/>
  <c r="R130" i="48"/>
  <c r="R144" i="48"/>
  <c r="R147" i="48"/>
  <c r="R151" i="48"/>
  <c r="R152" i="48"/>
  <c r="R157" i="48"/>
  <c r="R159" i="48"/>
  <c r="R160" i="48"/>
  <c r="R161" i="48"/>
  <c r="R162" i="48"/>
  <c r="R163" i="48"/>
  <c r="R165" i="48"/>
  <c r="R169" i="48"/>
  <c r="R172" i="48"/>
  <c r="R177" i="48"/>
  <c r="R187" i="48"/>
  <c r="R196" i="48"/>
  <c r="R199" i="48"/>
  <c r="R201" i="48"/>
  <c r="R202" i="48"/>
  <c r="R203" i="48"/>
  <c r="R204" i="48"/>
  <c r="R207" i="48"/>
  <c r="R209" i="48"/>
  <c r="R210" i="48"/>
  <c r="R211" i="48"/>
  <c r="R216" i="48"/>
  <c r="R217" i="48"/>
  <c r="R219" i="48"/>
  <c r="R223" i="48"/>
  <c r="R232" i="48"/>
  <c r="R239" i="48"/>
  <c r="R240" i="48"/>
  <c r="R241" i="48"/>
  <c r="R243" i="48"/>
  <c r="R245" i="48"/>
  <c r="R247" i="48"/>
  <c r="R249" i="48"/>
  <c r="R250" i="48"/>
  <c r="Z53" i="48"/>
  <c r="Z74" i="48"/>
  <c r="Z75" i="48"/>
  <c r="Z76" i="48"/>
  <c r="Z81" i="48"/>
  <c r="Z96" i="48"/>
  <c r="Z97" i="48"/>
  <c r="Z98" i="48"/>
  <c r="Z99" i="48"/>
  <c r="Z100" i="48"/>
  <c r="Z101" i="48"/>
  <c r="Z102" i="48"/>
  <c r="Z104" i="48"/>
  <c r="Z105" i="48"/>
  <c r="Z124" i="48"/>
  <c r="Z126" i="48"/>
  <c r="Z127" i="48"/>
  <c r="Z140" i="48"/>
  <c r="Z162" i="48"/>
  <c r="Z163" i="48"/>
  <c r="Z164" i="48"/>
  <c r="Z165" i="48"/>
  <c r="Z166" i="48"/>
  <c r="Z167" i="48"/>
  <c r="Z185" i="48"/>
  <c r="Z186" i="48"/>
  <c r="Z187" i="48"/>
  <c r="Z188" i="48"/>
  <c r="Z189" i="48"/>
  <c r="Z190" i="48"/>
  <c r="Z191" i="48"/>
  <c r="Z192" i="48"/>
  <c r="Z193" i="48"/>
  <c r="Z210" i="48"/>
  <c r="Z214" i="48"/>
  <c r="Z215" i="48"/>
  <c r="Z236" i="48"/>
  <c r="Z237" i="48"/>
  <c r="Z250" i="48"/>
  <c r="C11" i="47"/>
  <c r="L11" i="47" s="1"/>
  <c r="C12" i="47"/>
  <c r="L12" i="47" s="1"/>
  <c r="C13" i="47"/>
  <c r="L13" i="47" s="1"/>
  <c r="C14" i="47"/>
  <c r="C22" i="47"/>
  <c r="L22" i="47" s="1"/>
  <c r="C23" i="47"/>
  <c r="L23" i="47" s="1"/>
  <c r="C24" i="47"/>
  <c r="L24" i="47" s="1"/>
  <c r="C25" i="47"/>
  <c r="L25" i="47" s="1"/>
  <c r="C26" i="47"/>
  <c r="L26" i="47" s="1"/>
  <c r="C27" i="47"/>
  <c r="L27" i="47" s="1"/>
  <c r="C28" i="47"/>
  <c r="L28" i="47" s="1"/>
  <c r="C29" i="47"/>
  <c r="L29" i="47" s="1"/>
  <c r="C30" i="47"/>
  <c r="L30" i="47" s="1"/>
  <c r="M30" i="47" s="1"/>
  <c r="C31" i="47"/>
  <c r="L31" i="47" s="1"/>
  <c r="C32" i="47"/>
  <c r="C33" i="47"/>
  <c r="L33" i="47" s="1"/>
  <c r="C34" i="47"/>
  <c r="L34" i="47" s="1"/>
  <c r="M34" i="47" s="1"/>
  <c r="C35" i="47"/>
  <c r="L35" i="47" s="1"/>
  <c r="C36" i="47"/>
  <c r="L36" i="47" s="1"/>
  <c r="C37" i="47"/>
  <c r="L37" i="47" s="1"/>
  <c r="C38" i="47"/>
  <c r="L38" i="47" s="1"/>
  <c r="C39" i="47"/>
  <c r="L39" i="47" s="1"/>
  <c r="C40" i="47"/>
  <c r="L40" i="47" s="1"/>
  <c r="C41" i="47"/>
  <c r="L41" i="47" s="1"/>
  <c r="C42" i="47"/>
  <c r="L42" i="47" s="1"/>
  <c r="C43" i="47"/>
  <c r="C44" i="47"/>
  <c r="L44" i="47" s="1"/>
  <c r="C45" i="47"/>
  <c r="L45" i="47" s="1"/>
  <c r="C46" i="47"/>
  <c r="L46" i="47" s="1"/>
  <c r="C47" i="47"/>
  <c r="L47" i="47" s="1"/>
  <c r="C48" i="47"/>
  <c r="C49" i="47"/>
  <c r="L49" i="47" s="1"/>
  <c r="C50" i="47"/>
  <c r="C51" i="47"/>
  <c r="L51" i="47" s="1"/>
  <c r="C58" i="47"/>
  <c r="C59" i="47"/>
  <c r="C60" i="47"/>
  <c r="L60" i="47" s="1"/>
  <c r="C61" i="47"/>
  <c r="L61" i="47" s="1"/>
  <c r="C64" i="47"/>
  <c r="L64" i="47" s="1"/>
  <c r="C65" i="47"/>
  <c r="L65" i="47" s="1"/>
  <c r="C66" i="47"/>
  <c r="C67" i="47"/>
  <c r="L67" i="47" s="1"/>
  <c r="C68" i="47"/>
  <c r="L68" i="47" s="1"/>
  <c r="C69" i="47"/>
  <c r="L69" i="47" s="1"/>
  <c r="C70" i="47"/>
  <c r="L70" i="47" s="1"/>
  <c r="C71" i="47"/>
  <c r="L71" i="47" s="1"/>
  <c r="C72" i="47"/>
  <c r="L72" i="47" s="1"/>
  <c r="C73" i="47"/>
  <c r="L73" i="47" s="1"/>
  <c r="C74" i="47"/>
  <c r="C75" i="47"/>
  <c r="L75" i="47" s="1"/>
  <c r="C76" i="47"/>
  <c r="L76" i="47" s="1"/>
  <c r="C77" i="47"/>
  <c r="L77" i="47" s="1"/>
  <c r="C78" i="47"/>
  <c r="C79" i="47"/>
  <c r="L79" i="47" s="1"/>
  <c r="C80" i="47"/>
  <c r="L80" i="47" s="1"/>
  <c r="C81" i="47"/>
  <c r="L81" i="47" s="1"/>
  <c r="C82" i="47"/>
  <c r="C83" i="47"/>
  <c r="L83" i="47" s="1"/>
  <c r="C84" i="47"/>
  <c r="L84" i="47" s="1"/>
  <c r="C85" i="47"/>
  <c r="L85" i="47" s="1"/>
  <c r="C87" i="47"/>
  <c r="L87" i="47" s="1"/>
  <c r="C88" i="47"/>
  <c r="L89" i="47"/>
  <c r="L92" i="47"/>
  <c r="L93" i="47"/>
  <c r="L94" i="47"/>
  <c r="L97" i="47"/>
  <c r="L98" i="47"/>
  <c r="L99" i="47"/>
  <c r="L100" i="47"/>
  <c r="C101" i="47"/>
  <c r="L101" i="47" s="1"/>
  <c r="C102" i="47"/>
  <c r="L102" i="47" s="1"/>
  <c r="C103" i="47"/>
  <c r="L103" i="47" s="1"/>
  <c r="C104" i="47"/>
  <c r="L104" i="47" s="1"/>
  <c r="C105" i="47"/>
  <c r="L105" i="47" s="1"/>
  <c r="C106" i="47"/>
  <c r="L106" i="47" s="1"/>
  <c r="C107" i="47"/>
  <c r="L107" i="47" s="1"/>
  <c r="C108" i="47"/>
  <c r="L108" i="47" s="1"/>
  <c r="C109" i="47"/>
  <c r="L109" i="47" s="1"/>
  <c r="C110" i="47"/>
  <c r="L110" i="47" s="1"/>
  <c r="C111" i="47"/>
  <c r="L111" i="47" s="1"/>
  <c r="C112" i="47"/>
  <c r="L112" i="47" s="1"/>
  <c r="C113" i="47"/>
  <c r="L113" i="47" s="1"/>
  <c r="C114" i="47"/>
  <c r="L114" i="47" s="1"/>
  <c r="C115" i="47"/>
  <c r="L115" i="47" s="1"/>
  <c r="C116" i="47"/>
  <c r="L116" i="47" s="1"/>
  <c r="C117" i="47"/>
  <c r="L117" i="47" s="1"/>
  <c r="C118" i="47"/>
  <c r="C119" i="47"/>
  <c r="L119" i="47" s="1"/>
  <c r="C120" i="47"/>
  <c r="L120" i="47" s="1"/>
  <c r="C121" i="47"/>
  <c r="L121" i="47" s="1"/>
  <c r="C122" i="47"/>
  <c r="L122" i="47" s="1"/>
  <c r="C123" i="47"/>
  <c r="C124" i="47"/>
  <c r="L124" i="47" s="1"/>
  <c r="C125" i="47"/>
  <c r="L125" i="47" s="1"/>
  <c r="C126" i="47"/>
  <c r="C127" i="47"/>
  <c r="L127" i="47" s="1"/>
  <c r="C128" i="47"/>
  <c r="C129" i="47"/>
  <c r="L129" i="47" s="1"/>
  <c r="C130" i="47"/>
  <c r="L130" i="47" s="1"/>
  <c r="C131" i="47"/>
  <c r="L131" i="47" s="1"/>
  <c r="C132" i="47"/>
  <c r="L132" i="47" s="1"/>
  <c r="C133" i="47"/>
  <c r="L133" i="47" s="1"/>
  <c r="C134" i="47"/>
  <c r="L134" i="47" s="1"/>
  <c r="C135" i="47"/>
  <c r="L135" i="47" s="1"/>
  <c r="C136" i="47"/>
  <c r="L136" i="47" s="1"/>
  <c r="C137" i="47"/>
  <c r="L137" i="47" s="1"/>
  <c r="C138" i="47"/>
  <c r="L138" i="47" s="1"/>
  <c r="C139" i="47"/>
  <c r="L139" i="47" s="1"/>
  <c r="C140" i="47"/>
  <c r="L140" i="47" s="1"/>
  <c r="C141" i="47"/>
  <c r="C142" i="47"/>
  <c r="L142" i="47" s="1"/>
  <c r="C143" i="47"/>
  <c r="C144" i="47"/>
  <c r="C145" i="47"/>
  <c r="C146" i="47"/>
  <c r="L146" i="47" s="1"/>
  <c r="C147" i="47"/>
  <c r="L147" i="47" s="1"/>
  <c r="C148" i="47"/>
  <c r="C149" i="47"/>
  <c r="L149" i="47" s="1"/>
  <c r="C150" i="47"/>
  <c r="L150" i="47" s="1"/>
  <c r="C151" i="47"/>
  <c r="L151" i="47" s="1"/>
  <c r="C152" i="47"/>
  <c r="C153" i="47"/>
  <c r="L153" i="47" s="1"/>
  <c r="C154" i="47"/>
  <c r="L154" i="47" s="1"/>
  <c r="C155" i="47"/>
  <c r="L155" i="47" s="1"/>
  <c r="C156" i="47"/>
  <c r="L156" i="47" s="1"/>
  <c r="C157" i="47"/>
  <c r="L157" i="47" s="1"/>
  <c r="C158" i="47"/>
  <c r="L158" i="47" s="1"/>
  <c r="C159" i="47"/>
  <c r="L159" i="47" s="1"/>
  <c r="C160" i="47"/>
  <c r="L160" i="47" s="1"/>
  <c r="C161" i="47"/>
  <c r="L161" i="47" s="1"/>
  <c r="C162" i="47"/>
  <c r="L162" i="47" s="1"/>
  <c r="C163" i="47"/>
  <c r="L163" i="47" s="1"/>
  <c r="C164" i="47"/>
  <c r="C165" i="47"/>
  <c r="C166" i="47"/>
  <c r="C167" i="47"/>
  <c r="C168" i="47"/>
  <c r="L168" i="47" s="1"/>
  <c r="C169" i="47"/>
  <c r="L169" i="47" s="1"/>
  <c r="C170" i="47"/>
  <c r="C171" i="47"/>
  <c r="L171" i="47" s="1"/>
  <c r="C172" i="47"/>
  <c r="C173" i="47"/>
  <c r="L173" i="47" s="1"/>
  <c r="C174" i="47"/>
  <c r="L174" i="47" s="1"/>
  <c r="C175" i="47"/>
  <c r="L175" i="47" s="1"/>
  <c r="C176" i="47"/>
  <c r="L176" i="47" s="1"/>
  <c r="C177" i="47"/>
  <c r="L177" i="47" s="1"/>
  <c r="C178" i="47"/>
  <c r="L178" i="47" s="1"/>
  <c r="C179" i="47"/>
  <c r="L179" i="47" s="1"/>
  <c r="C180" i="47"/>
  <c r="L180" i="47" s="1"/>
  <c r="C181" i="47"/>
  <c r="C182" i="47"/>
  <c r="L182" i="47" s="1"/>
  <c r="C183" i="47"/>
  <c r="C184" i="47"/>
  <c r="C185" i="47"/>
  <c r="C186" i="47"/>
  <c r="L186" i="47" s="1"/>
  <c r="C187" i="47"/>
  <c r="C188" i="47"/>
  <c r="C189" i="47"/>
  <c r="C190" i="47"/>
  <c r="L190" i="47" s="1"/>
  <c r="C191" i="47"/>
  <c r="L191" i="47" s="1"/>
  <c r="C192" i="47"/>
  <c r="C193" i="47"/>
  <c r="L193" i="47" s="1"/>
  <c r="C194" i="47"/>
  <c r="L194" i="47" s="1"/>
  <c r="C195" i="47"/>
  <c r="L195" i="47" s="1"/>
  <c r="C196" i="47"/>
  <c r="L196" i="47" s="1"/>
  <c r="C197" i="47"/>
  <c r="C198" i="47"/>
  <c r="L198" i="47" s="1"/>
  <c r="C199" i="47"/>
  <c r="L199" i="47" s="1"/>
  <c r="C200" i="47"/>
  <c r="L200" i="47" s="1"/>
  <c r="C201" i="47"/>
  <c r="L201" i="47" s="1"/>
  <c r="C202" i="47"/>
  <c r="L202" i="47" s="1"/>
  <c r="C203" i="47"/>
  <c r="C204" i="47"/>
  <c r="L204" i="47" s="1"/>
  <c r="C205" i="47"/>
  <c r="C206" i="47"/>
  <c r="L206" i="47" s="1"/>
  <c r="C207" i="47"/>
  <c r="L207" i="47" s="1"/>
  <c r="C208" i="47"/>
  <c r="C209" i="47"/>
  <c r="C210" i="47"/>
  <c r="C211" i="47"/>
  <c r="C212" i="47"/>
  <c r="L212" i="47" s="1"/>
  <c r="C213" i="47"/>
  <c r="L213" i="47" s="1"/>
  <c r="C214" i="47"/>
  <c r="C215" i="47"/>
  <c r="L215" i="47" s="1"/>
  <c r="C216" i="47"/>
  <c r="C217" i="47"/>
  <c r="L217" i="47" s="1"/>
  <c r="C218" i="47"/>
  <c r="C219" i="47"/>
  <c r="L219" i="47" s="1"/>
  <c r="C220" i="47"/>
  <c r="L220" i="47" s="1"/>
  <c r="C221" i="47"/>
  <c r="L221" i="47" s="1"/>
  <c r="C222" i="47"/>
  <c r="L222" i="47" s="1"/>
  <c r="C223" i="47"/>
  <c r="L223" i="47" s="1"/>
  <c r="C224" i="47"/>
  <c r="C225" i="47"/>
  <c r="C226" i="47"/>
  <c r="L226" i="47" s="1"/>
  <c r="C227" i="47"/>
  <c r="L227" i="47" s="1"/>
  <c r="C228" i="47"/>
  <c r="L228" i="47" s="1"/>
  <c r="C229" i="47"/>
  <c r="L229" i="47" s="1"/>
  <c r="C230" i="47"/>
  <c r="L230" i="47" s="1"/>
  <c r="C231" i="47"/>
  <c r="C232" i="47"/>
  <c r="C233" i="47"/>
  <c r="C234" i="47"/>
  <c r="C235" i="47"/>
  <c r="L235" i="47" s="1"/>
  <c r="C236" i="47"/>
  <c r="C237" i="47"/>
  <c r="C238" i="47"/>
  <c r="L238" i="47" s="1"/>
  <c r="C239" i="47"/>
  <c r="L239" i="47" s="1"/>
  <c r="C240" i="47"/>
  <c r="L240" i="47" s="1"/>
  <c r="C241" i="47"/>
  <c r="L241" i="47" s="1"/>
  <c r="C242" i="47"/>
  <c r="L242" i="47" s="1"/>
  <c r="C243" i="47"/>
  <c r="L243" i="47" s="1"/>
  <c r="C244" i="47"/>
  <c r="L244" i="47" s="1"/>
  <c r="C245" i="47"/>
  <c r="L245" i="47" s="1"/>
  <c r="C246" i="47"/>
  <c r="L246" i="47" s="1"/>
  <c r="C247" i="47"/>
  <c r="C248" i="47"/>
  <c r="L248" i="47" s="1"/>
  <c r="C249" i="47"/>
  <c r="C250" i="47"/>
  <c r="I11" i="47"/>
  <c r="P11" i="47" s="1"/>
  <c r="I12" i="47"/>
  <c r="P12" i="47" s="1"/>
  <c r="I13" i="47"/>
  <c r="P13" i="47" s="1"/>
  <c r="I14" i="47"/>
  <c r="P14" i="47" s="1"/>
  <c r="I15" i="47"/>
  <c r="P15" i="47" s="1"/>
  <c r="Z15" i="47" s="1"/>
  <c r="I16" i="47"/>
  <c r="P16" i="47" s="1"/>
  <c r="I17" i="47"/>
  <c r="P17" i="47" s="1"/>
  <c r="I18" i="47"/>
  <c r="P18" i="47" s="1"/>
  <c r="Z18" i="47" s="1"/>
  <c r="I19" i="47"/>
  <c r="P19" i="47" s="1"/>
  <c r="I20" i="47"/>
  <c r="P20" i="47" s="1"/>
  <c r="I21" i="47"/>
  <c r="P21" i="47" s="1"/>
  <c r="I22" i="47"/>
  <c r="P22" i="47" s="1"/>
  <c r="I23" i="47"/>
  <c r="P23" i="47" s="1"/>
  <c r="I24" i="47"/>
  <c r="P24" i="47" s="1"/>
  <c r="I25" i="47"/>
  <c r="P25" i="47" s="1"/>
  <c r="I26" i="47"/>
  <c r="I27" i="47"/>
  <c r="P27" i="47" s="1"/>
  <c r="I28" i="47"/>
  <c r="P28" i="47" s="1"/>
  <c r="I29" i="47"/>
  <c r="P29" i="47" s="1"/>
  <c r="Z29" i="47" s="1"/>
  <c r="I30" i="47"/>
  <c r="P30" i="47" s="1"/>
  <c r="I31" i="47"/>
  <c r="P31" i="47" s="1"/>
  <c r="I32" i="47"/>
  <c r="P32" i="47" s="1"/>
  <c r="I33" i="47"/>
  <c r="P33" i="47" s="1"/>
  <c r="I34" i="47"/>
  <c r="P34" i="47" s="1"/>
  <c r="Z34" i="47" s="1"/>
  <c r="I35" i="47"/>
  <c r="P35" i="47" s="1"/>
  <c r="Z35" i="47" s="1"/>
  <c r="I36" i="47"/>
  <c r="P36" i="47" s="1"/>
  <c r="Z36" i="47" s="1"/>
  <c r="I37" i="47"/>
  <c r="P37" i="47" s="1"/>
  <c r="Z37" i="47" s="1"/>
  <c r="I38" i="47"/>
  <c r="P38" i="47" s="1"/>
  <c r="Z38" i="47" s="1"/>
  <c r="I39" i="47"/>
  <c r="P39" i="47" s="1"/>
  <c r="Z39" i="47" s="1"/>
  <c r="I40" i="47"/>
  <c r="P40" i="47" s="1"/>
  <c r="Z40" i="47" s="1"/>
  <c r="I41" i="47"/>
  <c r="P41" i="47" s="1"/>
  <c r="I42" i="47"/>
  <c r="P42" i="47" s="1"/>
  <c r="I43" i="47"/>
  <c r="P43" i="47" s="1"/>
  <c r="Z43" i="47" s="1"/>
  <c r="I44" i="47"/>
  <c r="P44" i="47" s="1"/>
  <c r="Z44" i="47" s="1"/>
  <c r="I45" i="47"/>
  <c r="P45" i="47" s="1"/>
  <c r="Z45" i="47" s="1"/>
  <c r="I46" i="47"/>
  <c r="P46" i="47" s="1"/>
  <c r="I47" i="47"/>
  <c r="P47" i="47" s="1"/>
  <c r="I48" i="47"/>
  <c r="P48" i="47" s="1"/>
  <c r="I49" i="47"/>
  <c r="P49" i="47" s="1"/>
  <c r="I50" i="47"/>
  <c r="P50" i="47" s="1"/>
  <c r="I51" i="47"/>
  <c r="I52" i="47"/>
  <c r="P52" i="47" s="1"/>
  <c r="I53" i="47"/>
  <c r="P53" i="47" s="1"/>
  <c r="I54" i="47"/>
  <c r="P54" i="47" s="1"/>
  <c r="Z54" i="47" s="1"/>
  <c r="I55" i="47"/>
  <c r="P55" i="47" s="1"/>
  <c r="Z55" i="47" s="1"/>
  <c r="I56" i="47"/>
  <c r="P56" i="47" s="1"/>
  <c r="Z56" i="47" s="1"/>
  <c r="I57" i="47"/>
  <c r="P57" i="47" s="1"/>
  <c r="Z57" i="47" s="1"/>
  <c r="I58" i="47"/>
  <c r="P58" i="47" s="1"/>
  <c r="Z58" i="47" s="1"/>
  <c r="I59" i="47"/>
  <c r="P59" i="47" s="1"/>
  <c r="Z59" i="47" s="1"/>
  <c r="I60" i="47"/>
  <c r="P60" i="47" s="1"/>
  <c r="Z60" i="47" s="1"/>
  <c r="I61" i="47"/>
  <c r="P61" i="47" s="1"/>
  <c r="Z61" i="47" s="1"/>
  <c r="I62" i="47"/>
  <c r="P62" i="47" s="1"/>
  <c r="Z62" i="47" s="1"/>
  <c r="I63" i="47"/>
  <c r="P63" i="47" s="1"/>
  <c r="Z63" i="47" s="1"/>
  <c r="I64" i="47"/>
  <c r="P64" i="47" s="1"/>
  <c r="I65" i="47"/>
  <c r="P65" i="47" s="1"/>
  <c r="Z65" i="47" s="1"/>
  <c r="I66" i="47"/>
  <c r="P66" i="47" s="1"/>
  <c r="Z66" i="47" s="1"/>
  <c r="I67" i="47"/>
  <c r="P67" i="47" s="1"/>
  <c r="Z67" i="47" s="1"/>
  <c r="I68" i="47"/>
  <c r="P68" i="47" s="1"/>
  <c r="I69" i="47"/>
  <c r="P69" i="47" s="1"/>
  <c r="I70" i="47"/>
  <c r="P70" i="47" s="1"/>
  <c r="I71" i="47"/>
  <c r="P71" i="47" s="1"/>
  <c r="I72" i="47"/>
  <c r="I73" i="47"/>
  <c r="I74" i="47"/>
  <c r="AA74" i="47" s="1"/>
  <c r="I75" i="47"/>
  <c r="P75" i="47" s="1"/>
  <c r="Z75" i="47" s="1"/>
  <c r="I76" i="47"/>
  <c r="P76" i="47" s="1"/>
  <c r="Z76" i="47" s="1"/>
  <c r="I77" i="47"/>
  <c r="I78" i="47"/>
  <c r="P78" i="47" s="1"/>
  <c r="Z78" i="47" s="1"/>
  <c r="I79" i="47"/>
  <c r="P79" i="47" s="1"/>
  <c r="Z79" i="47" s="1"/>
  <c r="I80" i="47"/>
  <c r="I81" i="47"/>
  <c r="I82" i="47"/>
  <c r="I83" i="47"/>
  <c r="I84" i="47"/>
  <c r="I85" i="47"/>
  <c r="I86" i="47"/>
  <c r="P86" i="47" s="1"/>
  <c r="Z86" i="47" s="1"/>
  <c r="I87" i="47"/>
  <c r="P87" i="47" s="1"/>
  <c r="Z87" i="47" s="1"/>
  <c r="I88" i="47"/>
  <c r="P88" i="47" s="1"/>
  <c r="Z88" i="47" s="1"/>
  <c r="I89" i="47"/>
  <c r="P89" i="47" s="1"/>
  <c r="Z89" i="47" s="1"/>
  <c r="I90" i="47"/>
  <c r="P90" i="47" s="1"/>
  <c r="Z90" i="47" s="1"/>
  <c r="I91" i="47"/>
  <c r="P91" i="47" s="1"/>
  <c r="Z91" i="47" s="1"/>
  <c r="I92" i="47"/>
  <c r="P92" i="47" s="1"/>
  <c r="Z92" i="47" s="1"/>
  <c r="I93" i="47"/>
  <c r="P93" i="47" s="1"/>
  <c r="Z93" i="47" s="1"/>
  <c r="I94" i="47"/>
  <c r="P94" i="47" s="1"/>
  <c r="I95" i="47"/>
  <c r="I96" i="47"/>
  <c r="P96" i="47" s="1"/>
  <c r="I97" i="47"/>
  <c r="I98" i="47"/>
  <c r="I99" i="47"/>
  <c r="P99" i="47" s="1"/>
  <c r="Z99" i="47" s="1"/>
  <c r="I100" i="47"/>
  <c r="I101" i="47"/>
  <c r="P101" i="47" s="1"/>
  <c r="Z101" i="47" s="1"/>
  <c r="I102" i="47"/>
  <c r="P102" i="47" s="1"/>
  <c r="Z102" i="47" s="1"/>
  <c r="I103" i="47"/>
  <c r="P103" i="47" s="1"/>
  <c r="Z103" i="47" s="1"/>
  <c r="I104" i="47"/>
  <c r="P104" i="47" s="1"/>
  <c r="Z104" i="47" s="1"/>
  <c r="I105" i="47"/>
  <c r="P105" i="47" s="1"/>
  <c r="Z105" i="47" s="1"/>
  <c r="I106" i="47"/>
  <c r="P106" i="47" s="1"/>
  <c r="Z106" i="47" s="1"/>
  <c r="I107" i="47"/>
  <c r="P107" i="47" s="1"/>
  <c r="Z107" i="47" s="1"/>
  <c r="I108" i="47"/>
  <c r="P108" i="47" s="1"/>
  <c r="Z108" i="47" s="1"/>
  <c r="I109" i="47"/>
  <c r="P109" i="47" s="1"/>
  <c r="Z109" i="47" s="1"/>
  <c r="I110" i="47"/>
  <c r="P110" i="47" s="1"/>
  <c r="Z110" i="47" s="1"/>
  <c r="I111" i="47"/>
  <c r="P111" i="47" s="1"/>
  <c r="Z111" i="47" s="1"/>
  <c r="I112" i="47"/>
  <c r="P112" i="47" s="1"/>
  <c r="Z112" i="47" s="1"/>
  <c r="I113" i="47"/>
  <c r="P113" i="47" s="1"/>
  <c r="I114" i="47"/>
  <c r="P114" i="47" s="1"/>
  <c r="I115" i="47"/>
  <c r="P115" i="47" s="1"/>
  <c r="I116" i="47"/>
  <c r="P116" i="47" s="1"/>
  <c r="I117" i="47"/>
  <c r="P117" i="47" s="1"/>
  <c r="Z117" i="47" s="1"/>
  <c r="I118" i="47"/>
  <c r="P118" i="47" s="1"/>
  <c r="I119" i="47"/>
  <c r="P119" i="47" s="1"/>
  <c r="I120" i="47"/>
  <c r="P120" i="47" s="1"/>
  <c r="Z120" i="47" s="1"/>
  <c r="I121" i="47"/>
  <c r="P121" i="47" s="1"/>
  <c r="Z121" i="47" s="1"/>
  <c r="I122" i="47"/>
  <c r="P122" i="47" s="1"/>
  <c r="Z122" i="47" s="1"/>
  <c r="I123" i="47"/>
  <c r="P123" i="47" s="1"/>
  <c r="Z123" i="47" s="1"/>
  <c r="I124" i="47"/>
  <c r="P124" i="47" s="1"/>
  <c r="Z124" i="47" s="1"/>
  <c r="I125" i="47"/>
  <c r="P125" i="47" s="1"/>
  <c r="Z125" i="47" s="1"/>
  <c r="I126" i="47"/>
  <c r="P126" i="47" s="1"/>
  <c r="Z126" i="47" s="1"/>
  <c r="I127" i="47"/>
  <c r="P127" i="47" s="1"/>
  <c r="Z127" i="47" s="1"/>
  <c r="I128" i="47"/>
  <c r="P128" i="47" s="1"/>
  <c r="Z128" i="47" s="1"/>
  <c r="I129" i="47"/>
  <c r="P129" i="47" s="1"/>
  <c r="I130" i="47"/>
  <c r="P130" i="47" s="1"/>
  <c r="I131" i="47"/>
  <c r="P131" i="47" s="1"/>
  <c r="Z131" i="47" s="1"/>
  <c r="I132" i="47"/>
  <c r="P132" i="47" s="1"/>
  <c r="Z132" i="47" s="1"/>
  <c r="I133" i="47"/>
  <c r="P133" i="47" s="1"/>
  <c r="Z133" i="47" s="1"/>
  <c r="I134" i="47"/>
  <c r="P134" i="47" s="1"/>
  <c r="I135" i="47"/>
  <c r="P135" i="47" s="1"/>
  <c r="I136" i="47"/>
  <c r="P136" i="47" s="1"/>
  <c r="I137" i="47"/>
  <c r="P137" i="47" s="1"/>
  <c r="I138" i="47"/>
  <c r="P138" i="47" s="1"/>
  <c r="I139" i="47"/>
  <c r="P139" i="47" s="1"/>
  <c r="Z139" i="47" s="1"/>
  <c r="I140" i="47"/>
  <c r="P140" i="47" s="1"/>
  <c r="I141" i="47"/>
  <c r="P141" i="47" s="1"/>
  <c r="I142" i="47"/>
  <c r="P142" i="47" s="1"/>
  <c r="Z142" i="47" s="1"/>
  <c r="I143" i="47"/>
  <c r="P143" i="47" s="1"/>
  <c r="Z143" i="47" s="1"/>
  <c r="I144" i="47"/>
  <c r="P144" i="47" s="1"/>
  <c r="Z144" i="47" s="1"/>
  <c r="I145" i="47"/>
  <c r="P145" i="47" s="1"/>
  <c r="Z145" i="47" s="1"/>
  <c r="I146" i="47"/>
  <c r="P146" i="47" s="1"/>
  <c r="Z146" i="47" s="1"/>
  <c r="I147" i="47"/>
  <c r="P147" i="47" s="1"/>
  <c r="Z147" i="47" s="1"/>
  <c r="I148" i="47"/>
  <c r="P148" i="47" s="1"/>
  <c r="Z148" i="47" s="1"/>
  <c r="I149" i="47"/>
  <c r="P149" i="47" s="1"/>
  <c r="Z149" i="47" s="1"/>
  <c r="I150" i="47"/>
  <c r="P150" i="47" s="1"/>
  <c r="Z150" i="47" s="1"/>
  <c r="I151" i="47"/>
  <c r="P151" i="47" s="1"/>
  <c r="I152" i="47"/>
  <c r="P152" i="47" s="1"/>
  <c r="I153" i="47"/>
  <c r="P153" i="47" s="1"/>
  <c r="Z153" i="47" s="1"/>
  <c r="I154" i="47"/>
  <c r="P154" i="47" s="1"/>
  <c r="Z154" i="47" s="1"/>
  <c r="I155" i="47"/>
  <c r="P155" i="47" s="1"/>
  <c r="Z155" i="47" s="1"/>
  <c r="I156" i="47"/>
  <c r="P156" i="47" s="1"/>
  <c r="I157" i="47"/>
  <c r="P157" i="47" s="1"/>
  <c r="I158" i="47"/>
  <c r="P158" i="47" s="1"/>
  <c r="I159" i="47"/>
  <c r="P159" i="47" s="1"/>
  <c r="I160" i="47"/>
  <c r="P160" i="47" s="1"/>
  <c r="I161" i="47"/>
  <c r="P161" i="47" s="1"/>
  <c r="Z161" i="47" s="1"/>
  <c r="I162" i="47"/>
  <c r="P162" i="47" s="1"/>
  <c r="I163" i="47"/>
  <c r="P163" i="47" s="1"/>
  <c r="I164" i="47"/>
  <c r="P164" i="47" s="1"/>
  <c r="Z164" i="47" s="1"/>
  <c r="I165" i="47"/>
  <c r="P165" i="47" s="1"/>
  <c r="Z165" i="47" s="1"/>
  <c r="I166" i="47"/>
  <c r="P166" i="47" s="1"/>
  <c r="Z166" i="47" s="1"/>
  <c r="I167" i="47"/>
  <c r="P167" i="47" s="1"/>
  <c r="Z167" i="47" s="1"/>
  <c r="I168" i="47"/>
  <c r="P168" i="47" s="1"/>
  <c r="Z168" i="47" s="1"/>
  <c r="I169" i="47"/>
  <c r="P169" i="47" s="1"/>
  <c r="Z169" i="47" s="1"/>
  <c r="I170" i="47"/>
  <c r="P170" i="47" s="1"/>
  <c r="Z170" i="47" s="1"/>
  <c r="I171" i="47"/>
  <c r="P171" i="47" s="1"/>
  <c r="Z171" i="47" s="1"/>
  <c r="I172" i="47"/>
  <c r="P172" i="47" s="1"/>
  <c r="Z172" i="47" s="1"/>
  <c r="I173" i="47"/>
  <c r="P173" i="47" s="1"/>
  <c r="I174" i="47"/>
  <c r="P174" i="47" s="1"/>
  <c r="I175" i="47"/>
  <c r="P175" i="47" s="1"/>
  <c r="Z175" i="47" s="1"/>
  <c r="I176" i="47"/>
  <c r="P176" i="47" s="1"/>
  <c r="Z176" i="47" s="1"/>
  <c r="I177" i="47"/>
  <c r="P177" i="47" s="1"/>
  <c r="Z177" i="47" s="1"/>
  <c r="I178" i="47"/>
  <c r="P178" i="47" s="1"/>
  <c r="I179" i="47"/>
  <c r="P179" i="47" s="1"/>
  <c r="I180" i="47"/>
  <c r="P180" i="47" s="1"/>
  <c r="I181" i="47"/>
  <c r="P181" i="47" s="1"/>
  <c r="I182" i="47"/>
  <c r="P182" i="47" s="1"/>
  <c r="I183" i="47"/>
  <c r="P183" i="47" s="1"/>
  <c r="Z183" i="47" s="1"/>
  <c r="I184" i="47"/>
  <c r="P184" i="47" s="1"/>
  <c r="I185" i="47"/>
  <c r="P185" i="47" s="1"/>
  <c r="I186" i="47"/>
  <c r="P186" i="47" s="1"/>
  <c r="Z186" i="47" s="1"/>
  <c r="I187" i="47"/>
  <c r="P187" i="47" s="1"/>
  <c r="Z187" i="47" s="1"/>
  <c r="I188" i="47"/>
  <c r="P188" i="47" s="1"/>
  <c r="Z188" i="47" s="1"/>
  <c r="I189" i="47"/>
  <c r="P189" i="47" s="1"/>
  <c r="Z189" i="47" s="1"/>
  <c r="I190" i="47"/>
  <c r="P190" i="47" s="1"/>
  <c r="Z190" i="47" s="1"/>
  <c r="I191" i="47"/>
  <c r="P191" i="47" s="1"/>
  <c r="Z191" i="47" s="1"/>
  <c r="I192" i="47"/>
  <c r="P192" i="47" s="1"/>
  <c r="Z192" i="47" s="1"/>
  <c r="I193" i="47"/>
  <c r="P193" i="47" s="1"/>
  <c r="Z193" i="47" s="1"/>
  <c r="I194" i="47"/>
  <c r="P194" i="47" s="1"/>
  <c r="Z194" i="47" s="1"/>
  <c r="I195" i="47"/>
  <c r="P195" i="47" s="1"/>
  <c r="I196" i="47"/>
  <c r="P196" i="47" s="1"/>
  <c r="I197" i="47"/>
  <c r="P197" i="47" s="1"/>
  <c r="Z197" i="47" s="1"/>
  <c r="I198" i="47"/>
  <c r="P198" i="47" s="1"/>
  <c r="Z198" i="47" s="1"/>
  <c r="I199" i="47"/>
  <c r="P199" i="47" s="1"/>
  <c r="Z199" i="47" s="1"/>
  <c r="I200" i="47"/>
  <c r="P200" i="47" s="1"/>
  <c r="I201" i="47"/>
  <c r="P201" i="47" s="1"/>
  <c r="I202" i="47"/>
  <c r="P202" i="47" s="1"/>
  <c r="I203" i="47"/>
  <c r="P203" i="47" s="1"/>
  <c r="I204" i="47"/>
  <c r="P204" i="47" s="1"/>
  <c r="I205" i="47"/>
  <c r="P205" i="47" s="1"/>
  <c r="Z205" i="47" s="1"/>
  <c r="I206" i="47"/>
  <c r="P206" i="47" s="1"/>
  <c r="I207" i="47"/>
  <c r="P207" i="47" s="1"/>
  <c r="I208" i="47"/>
  <c r="P208" i="47" s="1"/>
  <c r="Z208" i="47" s="1"/>
  <c r="I209" i="47"/>
  <c r="P209" i="47" s="1"/>
  <c r="Z209" i="47" s="1"/>
  <c r="I210" i="47"/>
  <c r="P210" i="47" s="1"/>
  <c r="Z210" i="47" s="1"/>
  <c r="I211" i="47"/>
  <c r="P211" i="47" s="1"/>
  <c r="Z211" i="47" s="1"/>
  <c r="I212" i="47"/>
  <c r="P212" i="47" s="1"/>
  <c r="Z212" i="47" s="1"/>
  <c r="I213" i="47"/>
  <c r="P213" i="47" s="1"/>
  <c r="Z213" i="47" s="1"/>
  <c r="I214" i="47"/>
  <c r="P214" i="47" s="1"/>
  <c r="Z214" i="47" s="1"/>
  <c r="I215" i="47"/>
  <c r="P215" i="47" s="1"/>
  <c r="Z215" i="47" s="1"/>
  <c r="I216" i="47"/>
  <c r="P216" i="47" s="1"/>
  <c r="Z216" i="47" s="1"/>
  <c r="I217" i="47"/>
  <c r="P217" i="47" s="1"/>
  <c r="I218" i="47"/>
  <c r="P218" i="47" s="1"/>
  <c r="I219" i="47"/>
  <c r="P219" i="47" s="1"/>
  <c r="Z219" i="47" s="1"/>
  <c r="I220" i="47"/>
  <c r="P220" i="47" s="1"/>
  <c r="Z220" i="47" s="1"/>
  <c r="I221" i="47"/>
  <c r="P221" i="47" s="1"/>
  <c r="Z221" i="47" s="1"/>
  <c r="I222" i="47"/>
  <c r="P222" i="47" s="1"/>
  <c r="I223" i="47"/>
  <c r="P223" i="47" s="1"/>
  <c r="I224" i="47"/>
  <c r="P224" i="47" s="1"/>
  <c r="I225" i="47"/>
  <c r="P225" i="47" s="1"/>
  <c r="I226" i="47"/>
  <c r="P226" i="47" s="1"/>
  <c r="I227" i="47"/>
  <c r="P227" i="47" s="1"/>
  <c r="Z227" i="47" s="1"/>
  <c r="I228" i="47"/>
  <c r="P228" i="47" s="1"/>
  <c r="I229" i="47"/>
  <c r="P229" i="47" s="1"/>
  <c r="I230" i="47"/>
  <c r="P230" i="47" s="1"/>
  <c r="Z230" i="47" s="1"/>
  <c r="I231" i="47"/>
  <c r="P231" i="47" s="1"/>
  <c r="Z231" i="47" s="1"/>
  <c r="I232" i="47"/>
  <c r="P232" i="47" s="1"/>
  <c r="Z232" i="47" s="1"/>
  <c r="I233" i="47"/>
  <c r="P233" i="47" s="1"/>
  <c r="Z233" i="47" s="1"/>
  <c r="I234" i="47"/>
  <c r="P234" i="47" s="1"/>
  <c r="Z234" i="47" s="1"/>
  <c r="I235" i="47"/>
  <c r="P235" i="47" s="1"/>
  <c r="Z235" i="47" s="1"/>
  <c r="I236" i="47"/>
  <c r="P236" i="47" s="1"/>
  <c r="Z236" i="47" s="1"/>
  <c r="I237" i="47"/>
  <c r="P237" i="47" s="1"/>
  <c r="Z237" i="47" s="1"/>
  <c r="I238" i="47"/>
  <c r="P238" i="47" s="1"/>
  <c r="Z238" i="47" s="1"/>
  <c r="I239" i="47"/>
  <c r="P239" i="47" s="1"/>
  <c r="I240" i="47"/>
  <c r="P240" i="47" s="1"/>
  <c r="I241" i="47"/>
  <c r="P241" i="47" s="1"/>
  <c r="Z241" i="47" s="1"/>
  <c r="I242" i="47"/>
  <c r="P242" i="47" s="1"/>
  <c r="Z242" i="47" s="1"/>
  <c r="I243" i="47"/>
  <c r="P243" i="47" s="1"/>
  <c r="Z243" i="47" s="1"/>
  <c r="I244" i="47"/>
  <c r="P244" i="47" s="1"/>
  <c r="I245" i="47"/>
  <c r="P245" i="47" s="1"/>
  <c r="I246" i="47"/>
  <c r="P246" i="47" s="1"/>
  <c r="I247" i="47"/>
  <c r="P247" i="47" s="1"/>
  <c r="I248" i="47"/>
  <c r="P248" i="47" s="1"/>
  <c r="I249" i="47"/>
  <c r="P249" i="47" s="1"/>
  <c r="Z249" i="47" s="1"/>
  <c r="I250" i="47"/>
  <c r="P250" i="47" s="1"/>
  <c r="L15" i="47"/>
  <c r="L16" i="47"/>
  <c r="L17" i="47"/>
  <c r="L18" i="47"/>
  <c r="L19" i="47"/>
  <c r="L20" i="47"/>
  <c r="L21" i="47"/>
  <c r="L32" i="47"/>
  <c r="L48" i="47"/>
  <c r="M48" i="47" s="1"/>
  <c r="L50" i="47"/>
  <c r="L52" i="47"/>
  <c r="M52" i="47" s="1"/>
  <c r="L53" i="47"/>
  <c r="M53" i="47" s="1"/>
  <c r="X53" i="47" s="1"/>
  <c r="L54" i="47"/>
  <c r="M54" i="47" s="1"/>
  <c r="L55" i="47"/>
  <c r="M55" i="47" s="1"/>
  <c r="L56" i="47"/>
  <c r="M56" i="47" s="1"/>
  <c r="L57" i="47"/>
  <c r="M57" i="47" s="1"/>
  <c r="X57" i="47" s="1"/>
  <c r="L59" i="47"/>
  <c r="M59" i="47" s="1"/>
  <c r="L74" i="47"/>
  <c r="M74" i="47" s="1"/>
  <c r="L86" i="47"/>
  <c r="L95" i="47"/>
  <c r="L96" i="47"/>
  <c r="L128" i="47"/>
  <c r="L152" i="47"/>
  <c r="L164" i="47"/>
  <c r="L172" i="47"/>
  <c r="L184" i="47"/>
  <c r="L208" i="47"/>
  <c r="L216" i="47"/>
  <c r="M29" i="47"/>
  <c r="X29" i="47" s="1"/>
  <c r="M95" i="47"/>
  <c r="M96" i="47"/>
  <c r="M112" i="47"/>
  <c r="M119" i="47"/>
  <c r="M128" i="47"/>
  <c r="M134" i="47"/>
  <c r="M151" i="47"/>
  <c r="X151" i="47" s="1"/>
  <c r="M191" i="47"/>
  <c r="M219" i="47"/>
  <c r="M241" i="47"/>
  <c r="X241" i="47" s="1"/>
  <c r="M244" i="47"/>
  <c r="Z11" i="47"/>
  <c r="Z12" i="47"/>
  <c r="Z14" i="47"/>
  <c r="Z24" i="47"/>
  <c r="R11" i="47"/>
  <c r="R13" i="47"/>
  <c r="R18" i="47"/>
  <c r="R28" i="47"/>
  <c r="R29" i="47"/>
  <c r="R31" i="47"/>
  <c r="R32" i="47"/>
  <c r="R33" i="47"/>
  <c r="R34" i="47"/>
  <c r="R35" i="47"/>
  <c r="R36" i="47"/>
  <c r="R38" i="47"/>
  <c r="R39" i="47"/>
  <c r="R40" i="47"/>
  <c r="R41" i="47"/>
  <c r="R43" i="47"/>
  <c r="R47" i="47"/>
  <c r="R48" i="47"/>
  <c r="R49" i="47"/>
  <c r="R50" i="47"/>
  <c r="R51" i="47"/>
  <c r="R53" i="47"/>
  <c r="R54" i="47"/>
  <c r="R55" i="47"/>
  <c r="R56" i="47"/>
  <c r="R57" i="47"/>
  <c r="R58" i="47"/>
  <c r="R60" i="47"/>
  <c r="R61" i="47"/>
  <c r="R62" i="47"/>
  <c r="R63" i="47"/>
  <c r="R65" i="47"/>
  <c r="R69" i="47"/>
  <c r="R70" i="47"/>
  <c r="R71" i="47"/>
  <c r="R77" i="47"/>
  <c r="R79" i="47"/>
  <c r="R80" i="47"/>
  <c r="R87" i="47"/>
  <c r="R91" i="47"/>
  <c r="R94" i="47"/>
  <c r="R95" i="47"/>
  <c r="R96" i="47"/>
  <c r="R98" i="47"/>
  <c r="R99" i="47"/>
  <c r="R100" i="47"/>
  <c r="R104" i="47"/>
  <c r="R109" i="47"/>
  <c r="R113" i="47"/>
  <c r="R114" i="47"/>
  <c r="R115" i="47"/>
  <c r="R116" i="47"/>
  <c r="R118" i="47"/>
  <c r="R119" i="47"/>
  <c r="R120" i="47"/>
  <c r="R121" i="47"/>
  <c r="R122" i="47"/>
  <c r="R123" i="47"/>
  <c r="R124" i="47"/>
  <c r="R127" i="47"/>
  <c r="R131" i="47"/>
  <c r="R135" i="47"/>
  <c r="R136" i="47"/>
  <c r="R138" i="47"/>
  <c r="R141" i="47"/>
  <c r="R142" i="47"/>
  <c r="R143" i="47"/>
  <c r="R144" i="47"/>
  <c r="R151" i="47"/>
  <c r="R153" i="47"/>
  <c r="R158" i="47"/>
  <c r="R159" i="47"/>
  <c r="R160" i="47"/>
  <c r="R163" i="47"/>
  <c r="R165" i="47"/>
  <c r="R166" i="47"/>
  <c r="R167" i="47"/>
  <c r="R171" i="47"/>
  <c r="R175" i="47"/>
  <c r="R179" i="47"/>
  <c r="R180" i="47"/>
  <c r="R181" i="47"/>
  <c r="R182" i="47"/>
  <c r="R183" i="47"/>
  <c r="R184" i="47"/>
  <c r="R185" i="47"/>
  <c r="R187" i="47"/>
  <c r="R188" i="47"/>
  <c r="R189" i="47"/>
  <c r="R190" i="47"/>
  <c r="R193" i="47"/>
  <c r="R195" i="47"/>
  <c r="R197" i="47"/>
  <c r="R201" i="47"/>
  <c r="R202" i="47"/>
  <c r="R203" i="47"/>
  <c r="R204" i="47"/>
  <c r="R205" i="47"/>
  <c r="R206" i="47"/>
  <c r="R207" i="47"/>
  <c r="R208" i="47"/>
  <c r="R209" i="47"/>
  <c r="R210" i="47"/>
  <c r="R215" i="47"/>
  <c r="R216" i="47"/>
  <c r="R217" i="47"/>
  <c r="R223" i="47"/>
  <c r="R224" i="47"/>
  <c r="R225" i="47"/>
  <c r="R226" i="47"/>
  <c r="R229" i="47"/>
  <c r="R230" i="47"/>
  <c r="R231" i="47"/>
  <c r="R232" i="47"/>
  <c r="R233" i="47"/>
  <c r="R235" i="47"/>
  <c r="R236" i="47"/>
  <c r="R237" i="47"/>
  <c r="R241" i="47"/>
  <c r="R247" i="47"/>
  <c r="R248" i="47"/>
  <c r="R249" i="47"/>
  <c r="Z28" i="47"/>
  <c r="Z30" i="47"/>
  <c r="Z31" i="47"/>
  <c r="Z32" i="47"/>
  <c r="Z41" i="47"/>
  <c r="Z42" i="47"/>
  <c r="Z46" i="47"/>
  <c r="Z47" i="47"/>
  <c r="Z48" i="47"/>
  <c r="Z49" i="47"/>
  <c r="Z50" i="47"/>
  <c r="Z52" i="47"/>
  <c r="Z53" i="47"/>
  <c r="Z64" i="47"/>
  <c r="Z68" i="47"/>
  <c r="Z69" i="47"/>
  <c r="Z70" i="47"/>
  <c r="Z71" i="47"/>
  <c r="Z94" i="47"/>
  <c r="Z96" i="47"/>
  <c r="Z113" i="47"/>
  <c r="Z114" i="47"/>
  <c r="Z115" i="47"/>
  <c r="Z116" i="47"/>
  <c r="Z118" i="47"/>
  <c r="Z119" i="47"/>
  <c r="Z129" i="47"/>
  <c r="Z130" i="47"/>
  <c r="Z134" i="47"/>
  <c r="Z135" i="47"/>
  <c r="Z136" i="47"/>
  <c r="Z137" i="47"/>
  <c r="Z138" i="47"/>
  <c r="Z140" i="47"/>
  <c r="Z141" i="47"/>
  <c r="Z151" i="47"/>
  <c r="Z152" i="47"/>
  <c r="Z156" i="47"/>
  <c r="Z157" i="47"/>
  <c r="Z158" i="47"/>
  <c r="Z159" i="47"/>
  <c r="Z160" i="47"/>
  <c r="Z162" i="47"/>
  <c r="Z163" i="47"/>
  <c r="Z173" i="47"/>
  <c r="Z174" i="47"/>
  <c r="Z178" i="47"/>
  <c r="Z179" i="47"/>
  <c r="Z180" i="47"/>
  <c r="Z181" i="47"/>
  <c r="Z182" i="47"/>
  <c r="Z184" i="47"/>
  <c r="Z185" i="47"/>
  <c r="Z195" i="47"/>
  <c r="Z196" i="47"/>
  <c r="Z200" i="47"/>
  <c r="Z201" i="47"/>
  <c r="Z202" i="47"/>
  <c r="Z203" i="47"/>
  <c r="Z204" i="47"/>
  <c r="Z206" i="47"/>
  <c r="Z207" i="47"/>
  <c r="Z217" i="47"/>
  <c r="Z218" i="47"/>
  <c r="Z222" i="47"/>
  <c r="Z223" i="47"/>
  <c r="Z224" i="47"/>
  <c r="Z225" i="47"/>
  <c r="Z226" i="47"/>
  <c r="Z228" i="47"/>
  <c r="Z229" i="47"/>
  <c r="Z239" i="47"/>
  <c r="Z240" i="47"/>
  <c r="Z244" i="47"/>
  <c r="Z245" i="47"/>
  <c r="Z246" i="47"/>
  <c r="Z247" i="47"/>
  <c r="Z248" i="47"/>
  <c r="Z250" i="47"/>
  <c r="C4" i="49"/>
  <c r="L4" i="49" s="1"/>
  <c r="I4" i="49"/>
  <c r="P4" i="49"/>
  <c r="Z4" i="49"/>
  <c r="C4" i="48"/>
  <c r="C5" i="48"/>
  <c r="C6" i="48"/>
  <c r="C7" i="48"/>
  <c r="C8" i="48"/>
  <c r="C9" i="48"/>
  <c r="C10" i="48"/>
  <c r="L10" i="48" s="1"/>
  <c r="C11" i="48"/>
  <c r="L11" i="48" s="1"/>
  <c r="C12" i="48"/>
  <c r="L12" i="48" s="1"/>
  <c r="C13" i="48"/>
  <c r="L13" i="48" s="1"/>
  <c r="C14" i="48"/>
  <c r="L14" i="48" s="1"/>
  <c r="I4" i="48"/>
  <c r="I5" i="48"/>
  <c r="I6" i="48"/>
  <c r="I7" i="48"/>
  <c r="I8" i="48"/>
  <c r="I9" i="48"/>
  <c r="I10" i="48"/>
  <c r="I11" i="48"/>
  <c r="I12" i="48"/>
  <c r="I13" i="48"/>
  <c r="I14" i="48"/>
  <c r="P5" i="48"/>
  <c r="Z5" i="48" s="1"/>
  <c r="P6" i="48"/>
  <c r="Z6" i="48" s="1"/>
  <c r="Z14" i="48"/>
  <c r="C4" i="47"/>
  <c r="C5" i="47"/>
  <c r="C6" i="47"/>
  <c r="C7" i="47"/>
  <c r="C8" i="47"/>
  <c r="C9" i="47"/>
  <c r="C10" i="47"/>
  <c r="M10" i="47" s="1"/>
  <c r="X10" i="47" s="1"/>
  <c r="I4" i="47"/>
  <c r="P4" i="47" s="1"/>
  <c r="I5" i="47"/>
  <c r="P5" i="47" s="1"/>
  <c r="I6" i="47"/>
  <c r="P6" i="47" s="1"/>
  <c r="I7" i="47"/>
  <c r="P7" i="47" s="1"/>
  <c r="I8" i="47"/>
  <c r="P8" i="47" s="1"/>
  <c r="I9" i="47"/>
  <c r="P9" i="47" s="1"/>
  <c r="I10" i="47"/>
  <c r="P10" i="47" s="1"/>
  <c r="R5" i="47"/>
  <c r="R6" i="47"/>
  <c r="R7" i="47"/>
  <c r="R9" i="47"/>
  <c r="R10" i="47"/>
  <c r="Z4" i="47"/>
  <c r="Z5" i="47"/>
  <c r="Z6" i="47"/>
  <c r="Z8" i="47"/>
  <c r="Z9" i="47"/>
  <c r="Z10" i="47"/>
  <c r="H9" i="52"/>
  <c r="K9" i="52"/>
  <c r="M9" i="52"/>
  <c r="H8" i="52"/>
  <c r="S8" i="52" s="1"/>
  <c r="K8" i="52"/>
  <c r="M8" i="52"/>
  <c r="H7" i="52"/>
  <c r="K7" i="52"/>
  <c r="H6" i="52"/>
  <c r="L6" i="52" s="1"/>
  <c r="K6" i="52"/>
  <c r="M6" i="52"/>
  <c r="H5" i="52"/>
  <c r="S5" i="52" s="1"/>
  <c r="K5" i="52"/>
  <c r="M5" i="52"/>
  <c r="H4" i="52"/>
  <c r="S4" i="52" s="1"/>
  <c r="K4" i="52"/>
  <c r="M4" i="52"/>
  <c r="B12" i="66" a="1"/>
  <c r="B23" i="66" a="1"/>
  <c r="B21" i="66" a="1"/>
  <c r="B22" i="66" a="1"/>
  <c r="Y112" i="47" l="1"/>
  <c r="AA110" i="47"/>
  <c r="Y44" i="49"/>
  <c r="S81" i="52"/>
  <c r="Y111" i="47"/>
  <c r="AA113" i="47"/>
  <c r="AA109" i="47"/>
  <c r="AA89" i="48"/>
  <c r="AA45" i="49"/>
  <c r="S83" i="52"/>
  <c r="Y110" i="47"/>
  <c r="AA112" i="47"/>
  <c r="AA111" i="47"/>
  <c r="AA88" i="48"/>
  <c r="Y88" i="48"/>
  <c r="AA87" i="48"/>
  <c r="AA86" i="48"/>
  <c r="L82" i="52"/>
  <c r="Y108" i="47"/>
  <c r="AA108" i="47"/>
  <c r="AA107" i="47"/>
  <c r="Y106" i="47"/>
  <c r="AA106" i="47"/>
  <c r="AA105" i="47"/>
  <c r="AA104" i="47"/>
  <c r="AA44" i="49"/>
  <c r="AA43" i="49"/>
  <c r="AA42" i="49"/>
  <c r="P42" i="49"/>
  <c r="Z42" i="49" s="1"/>
  <c r="AA103" i="47"/>
  <c r="AA102" i="47"/>
  <c r="AA101" i="47"/>
  <c r="L37" i="55"/>
  <c r="M219" i="49"/>
  <c r="M155" i="49"/>
  <c r="M75" i="49"/>
  <c r="M107" i="47"/>
  <c r="Y107" i="47" s="1"/>
  <c r="M98" i="48"/>
  <c r="M69" i="48"/>
  <c r="S45" i="62"/>
  <c r="M207" i="47"/>
  <c r="M175" i="47"/>
  <c r="M206" i="47"/>
  <c r="M174" i="47"/>
  <c r="M63" i="47"/>
  <c r="X63" i="47" s="1"/>
  <c r="M211" i="49"/>
  <c r="M179" i="49"/>
  <c r="M43" i="49"/>
  <c r="L9" i="52"/>
  <c r="M229" i="47"/>
  <c r="M193" i="47"/>
  <c r="M161" i="47"/>
  <c r="M127" i="47"/>
  <c r="M103" i="47"/>
  <c r="Y103" i="47" s="1"/>
  <c r="M45" i="47"/>
  <c r="P55" i="48"/>
  <c r="Z55" i="48" s="1"/>
  <c r="M218" i="48"/>
  <c r="P85" i="48"/>
  <c r="Z85" i="48" s="1"/>
  <c r="AA85" i="48"/>
  <c r="P84" i="48"/>
  <c r="Z84" i="48" s="1"/>
  <c r="AA84" i="48"/>
  <c r="P83" i="48"/>
  <c r="Z83" i="48" s="1"/>
  <c r="AA83" i="48"/>
  <c r="P100" i="47"/>
  <c r="Z100" i="47" s="1"/>
  <c r="AA100" i="47"/>
  <c r="P98" i="47"/>
  <c r="Z98" i="47" s="1"/>
  <c r="AA98" i="47"/>
  <c r="AA99" i="47"/>
  <c r="Y99" i="47"/>
  <c r="P97" i="47"/>
  <c r="Z97" i="47" s="1"/>
  <c r="AA97" i="47"/>
  <c r="P95" i="47"/>
  <c r="Z95" i="47" s="1"/>
  <c r="AA95" i="47"/>
  <c r="AA96" i="47"/>
  <c r="Y95" i="47"/>
  <c r="Y96" i="47"/>
  <c r="M227" i="47"/>
  <c r="M216" i="47"/>
  <c r="M215" i="47"/>
  <c r="M184" i="47"/>
  <c r="X184" i="47" s="1"/>
  <c r="M183" i="47"/>
  <c r="M163" i="47"/>
  <c r="M131" i="47"/>
  <c r="M118" i="47"/>
  <c r="L219" i="52"/>
  <c r="L195" i="52"/>
  <c r="L194" i="52"/>
  <c r="L178" i="52"/>
  <c r="L146" i="52"/>
  <c r="L138" i="52"/>
  <c r="L131" i="52"/>
  <c r="L126" i="52"/>
  <c r="L114" i="52"/>
  <c r="L90" i="52"/>
  <c r="S90" i="52" s="1"/>
  <c r="L47" i="52"/>
  <c r="R47" i="52" s="1"/>
  <c r="L30" i="52"/>
  <c r="L224" i="57"/>
  <c r="R224" i="57" s="1"/>
  <c r="L188" i="57"/>
  <c r="L187" i="57"/>
  <c r="L164" i="57"/>
  <c r="L163" i="57"/>
  <c r="L140" i="57"/>
  <c r="L139" i="57"/>
  <c r="L116" i="57"/>
  <c r="L115" i="57"/>
  <c r="L91" i="57"/>
  <c r="L75" i="57"/>
  <c r="L67" i="57"/>
  <c r="L24" i="57"/>
  <c r="L23" i="57"/>
  <c r="L218" i="62"/>
  <c r="AA41" i="49"/>
  <c r="P41" i="49"/>
  <c r="Z41" i="49" s="1"/>
  <c r="M238" i="47"/>
  <c r="M222" i="47"/>
  <c r="M146" i="47"/>
  <c r="L118" i="47"/>
  <c r="M231" i="48"/>
  <c r="M240" i="47"/>
  <c r="M228" i="47"/>
  <c r="M196" i="47"/>
  <c r="M168" i="47"/>
  <c r="M150" i="47"/>
  <c r="M102" i="47"/>
  <c r="Y102" i="47" s="1"/>
  <c r="L183" i="47"/>
  <c r="M100" i="48"/>
  <c r="M209" i="49"/>
  <c r="M185" i="49"/>
  <c r="M163" i="49"/>
  <c r="M147" i="49"/>
  <c r="M93" i="49"/>
  <c r="M65" i="49"/>
  <c r="L243" i="52"/>
  <c r="L239" i="52"/>
  <c r="L235" i="52"/>
  <c r="L223" i="52"/>
  <c r="L199" i="52"/>
  <c r="L179" i="52"/>
  <c r="L147" i="52"/>
  <c r="L107" i="52"/>
  <c r="R107" i="52" s="1"/>
  <c r="S43" i="62"/>
  <c r="M239" i="47"/>
  <c r="M195" i="47"/>
  <c r="M147" i="47"/>
  <c r="M86" i="47"/>
  <c r="M164" i="48"/>
  <c r="M99" i="48"/>
  <c r="M205" i="49"/>
  <c r="M141" i="49"/>
  <c r="M77" i="49"/>
  <c r="M61" i="49"/>
  <c r="M45" i="49"/>
  <c r="L250" i="52"/>
  <c r="L246" i="52"/>
  <c r="L238" i="52"/>
  <c r="L226" i="52"/>
  <c r="L206" i="52"/>
  <c r="L202" i="52"/>
  <c r="L162" i="52"/>
  <c r="L158" i="52"/>
  <c r="L106" i="52"/>
  <c r="L7" i="51"/>
  <c r="L5" i="51"/>
  <c r="S25" i="52"/>
  <c r="S76" i="52"/>
  <c r="P82" i="48"/>
  <c r="Z82" i="48" s="1"/>
  <c r="AA82" i="48"/>
  <c r="AA81" i="48"/>
  <c r="AA80" i="48"/>
  <c r="S74" i="52"/>
  <c r="AA40" i="49"/>
  <c r="Y40" i="49"/>
  <c r="AA39" i="49"/>
  <c r="Y39" i="49"/>
  <c r="M250" i="47"/>
  <c r="M249" i="47"/>
  <c r="M237" i="47"/>
  <c r="M234" i="47"/>
  <c r="M218" i="47"/>
  <c r="M217" i="47"/>
  <c r="X217" i="47" s="1"/>
  <c r="M205" i="47"/>
  <c r="M197" i="47"/>
  <c r="X197" i="47" s="1"/>
  <c r="M190" i="47"/>
  <c r="M185" i="47"/>
  <c r="M172" i="47"/>
  <c r="M171" i="47"/>
  <c r="M152" i="47"/>
  <c r="M141" i="47"/>
  <c r="X141" i="47" s="1"/>
  <c r="M139" i="47"/>
  <c r="M80" i="47"/>
  <c r="M75" i="47"/>
  <c r="M64" i="47"/>
  <c r="M44" i="47"/>
  <c r="M40" i="47"/>
  <c r="M28" i="47"/>
  <c r="X28" i="47" s="1"/>
  <c r="M243" i="49"/>
  <c r="M223" i="49"/>
  <c r="M199" i="49"/>
  <c r="M143" i="49"/>
  <c r="M123" i="49"/>
  <c r="M111" i="49"/>
  <c r="M87" i="49"/>
  <c r="M79" i="49"/>
  <c r="M35" i="49"/>
  <c r="M24" i="49"/>
  <c r="M15" i="49"/>
  <c r="L247" i="52"/>
  <c r="L191" i="52"/>
  <c r="L175" i="52"/>
  <c r="L159" i="52"/>
  <c r="L155" i="52"/>
  <c r="L151" i="52"/>
  <c r="L127" i="52"/>
  <c r="L103" i="52"/>
  <c r="L94" i="52"/>
  <c r="L83" i="52"/>
  <c r="S72" i="52"/>
  <c r="S73" i="52"/>
  <c r="S66" i="52"/>
  <c r="L235" i="57"/>
  <c r="L232" i="57"/>
  <c r="L231" i="57"/>
  <c r="L223" i="57"/>
  <c r="L208" i="57"/>
  <c r="R208" i="57" s="1"/>
  <c r="L207" i="57"/>
  <c r="L204" i="57"/>
  <c r="L199" i="57"/>
  <c r="L196" i="57"/>
  <c r="L184" i="57"/>
  <c r="L183" i="57"/>
  <c r="L180" i="57"/>
  <c r="L175" i="57"/>
  <c r="L160" i="57"/>
  <c r="L159" i="57"/>
  <c r="L155" i="57"/>
  <c r="L143" i="57"/>
  <c r="L136" i="57"/>
  <c r="L135" i="57"/>
  <c r="L132" i="57"/>
  <c r="L119" i="57"/>
  <c r="L112" i="57"/>
  <c r="L108" i="57"/>
  <c r="L100" i="57"/>
  <c r="L96" i="57"/>
  <c r="L95" i="57"/>
  <c r="L88" i="57"/>
  <c r="L77" i="57"/>
  <c r="L76" i="57"/>
  <c r="L71" i="57"/>
  <c r="L59" i="57"/>
  <c r="L56" i="57"/>
  <c r="L55" i="57"/>
  <c r="L47" i="57"/>
  <c r="L31" i="57"/>
  <c r="L28" i="57"/>
  <c r="L27" i="57"/>
  <c r="L15" i="57"/>
  <c r="R15" i="57" s="1"/>
  <c r="L12" i="57"/>
  <c r="L4" i="57"/>
  <c r="L204" i="62"/>
  <c r="S39" i="62"/>
  <c r="S32" i="62"/>
  <c r="L71" i="52"/>
  <c r="L70" i="52"/>
  <c r="S70" i="52" s="1"/>
  <c r="AA94" i="47"/>
  <c r="Y94" i="47"/>
  <c r="AA90" i="47"/>
  <c r="AA89" i="47"/>
  <c r="AA93" i="47"/>
  <c r="AA92" i="47"/>
  <c r="AA91" i="47"/>
  <c r="AA88" i="47"/>
  <c r="AA87" i="47"/>
  <c r="M87" i="47"/>
  <c r="Y87" i="47"/>
  <c r="L67" i="52"/>
  <c r="S38" i="62"/>
  <c r="L8" i="52"/>
  <c r="M213" i="47"/>
  <c r="M178" i="47"/>
  <c r="M149" i="47"/>
  <c r="M130" i="47"/>
  <c r="X130" i="47" s="1"/>
  <c r="M117" i="47"/>
  <c r="M68" i="47"/>
  <c r="M231" i="49"/>
  <c r="X231" i="49" s="1"/>
  <c r="M135" i="49"/>
  <c r="M103" i="49"/>
  <c r="L199" i="49"/>
  <c r="L79" i="49"/>
  <c r="M212" i="47"/>
  <c r="X212" i="47" s="1"/>
  <c r="M194" i="47"/>
  <c r="M162" i="47"/>
  <c r="M129" i="47"/>
  <c r="X129" i="47" s="1"/>
  <c r="M97" i="47"/>
  <c r="Y97" i="47" s="1"/>
  <c r="M65" i="47"/>
  <c r="M33" i="47"/>
  <c r="X33" i="47" s="1"/>
  <c r="L218" i="47"/>
  <c r="L205" i="47"/>
  <c r="L185" i="47"/>
  <c r="L90" i="47"/>
  <c r="M90" i="47" s="1"/>
  <c r="Y90" i="47" s="1"/>
  <c r="M230" i="48"/>
  <c r="M207" i="49"/>
  <c r="M183" i="49"/>
  <c r="M153" i="49"/>
  <c r="M109" i="47"/>
  <c r="Y109" i="47" s="1"/>
  <c r="L237" i="47"/>
  <c r="S40" i="62"/>
  <c r="L197" i="47"/>
  <c r="M156" i="47"/>
  <c r="X156" i="47" s="1"/>
  <c r="M108" i="47"/>
  <c r="S34" i="62"/>
  <c r="M177" i="49"/>
  <c r="M140" i="47"/>
  <c r="M125" i="47"/>
  <c r="X125" i="47" s="1"/>
  <c r="M62" i="47"/>
  <c r="M167" i="49"/>
  <c r="M145" i="49"/>
  <c r="X145" i="49" s="1"/>
  <c r="M119" i="49"/>
  <c r="M10" i="49"/>
  <c r="L176" i="62"/>
  <c r="M173" i="47"/>
  <c r="L234" i="47"/>
  <c r="M96" i="48"/>
  <c r="M113" i="48"/>
  <c r="M225" i="49"/>
  <c r="X225" i="49" s="1"/>
  <c r="M95" i="49"/>
  <c r="M63" i="49"/>
  <c r="L143" i="49"/>
  <c r="M153" i="47"/>
  <c r="L250" i="47"/>
  <c r="M235" i="47"/>
  <c r="M200" i="47"/>
  <c r="M124" i="47"/>
  <c r="M106" i="47"/>
  <c r="M61" i="47"/>
  <c r="X61" i="47" s="1"/>
  <c r="L249" i="47"/>
  <c r="L141" i="47"/>
  <c r="M19" i="47"/>
  <c r="Y19" i="47" s="1"/>
  <c r="M142" i="48"/>
  <c r="M183" i="48"/>
  <c r="X183" i="48" s="1"/>
  <c r="M159" i="48"/>
  <c r="X159" i="48" s="1"/>
  <c r="M95" i="48"/>
  <c r="M221" i="49"/>
  <c r="M189" i="49"/>
  <c r="M113" i="49"/>
  <c r="X113" i="49" s="1"/>
  <c r="M57" i="49"/>
  <c r="X57" i="49" s="1"/>
  <c r="L65" i="52"/>
  <c r="S33" i="62"/>
  <c r="M169" i="47"/>
  <c r="M105" i="47"/>
  <c r="Y105" i="47" s="1"/>
  <c r="M81" i="47"/>
  <c r="M246" i="48"/>
  <c r="M182" i="48"/>
  <c r="M158" i="48"/>
  <c r="X158" i="48" s="1"/>
  <c r="M94" i="48"/>
  <c r="M241" i="49"/>
  <c r="M7" i="47"/>
  <c r="X7" i="47" s="1"/>
  <c r="M6" i="47"/>
  <c r="M6" i="48"/>
  <c r="AA85" i="47"/>
  <c r="P85" i="47"/>
  <c r="Y85" i="47"/>
  <c r="AA84" i="47"/>
  <c r="P84" i="47"/>
  <c r="Z84" i="47" s="1"/>
  <c r="Y84" i="47"/>
  <c r="AA83" i="47"/>
  <c r="P83" i="47"/>
  <c r="Z83" i="47" s="1"/>
  <c r="Y83" i="47"/>
  <c r="P82" i="47"/>
  <c r="P81" i="47"/>
  <c r="Z81" i="47" s="1"/>
  <c r="P77" i="47"/>
  <c r="P51" i="47"/>
  <c r="Z51" i="47" s="1"/>
  <c r="AA75" i="47"/>
  <c r="P26" i="47"/>
  <c r="Z26" i="47" s="1"/>
  <c r="M247" i="47"/>
  <c r="M236" i="47"/>
  <c r="M233" i="47"/>
  <c r="M232" i="47"/>
  <c r="M231" i="47"/>
  <c r="M230" i="47"/>
  <c r="M225" i="47"/>
  <c r="X225" i="47" s="1"/>
  <c r="M224" i="47"/>
  <c r="M214" i="47"/>
  <c r="M211" i="47"/>
  <c r="M210" i="47"/>
  <c r="M209" i="47"/>
  <c r="X209" i="47" s="1"/>
  <c r="M208" i="47"/>
  <c r="M203" i="47"/>
  <c r="X203" i="47" s="1"/>
  <c r="M192" i="47"/>
  <c r="X192" i="47" s="1"/>
  <c r="M189" i="47"/>
  <c r="M188" i="47"/>
  <c r="M187" i="47"/>
  <c r="M186" i="47"/>
  <c r="M181" i="47"/>
  <c r="X181" i="47" s="1"/>
  <c r="M170" i="47"/>
  <c r="M167" i="47"/>
  <c r="M166" i="47"/>
  <c r="X166" i="47" s="1"/>
  <c r="M165" i="47"/>
  <c r="M164" i="47"/>
  <c r="M148" i="47"/>
  <c r="M145" i="47"/>
  <c r="M144" i="47"/>
  <c r="X144" i="47" s="1"/>
  <c r="M143" i="47"/>
  <c r="X143" i="47" s="1"/>
  <c r="M142" i="47"/>
  <c r="X142" i="47" s="1"/>
  <c r="M126" i="47"/>
  <c r="M123" i="47"/>
  <c r="X123" i="47" s="1"/>
  <c r="M122" i="47"/>
  <c r="M120" i="47"/>
  <c r="M115" i="47"/>
  <c r="X115" i="47" s="1"/>
  <c r="M114" i="47"/>
  <c r="X114" i="47" s="1"/>
  <c r="M111" i="47"/>
  <c r="M98" i="47"/>
  <c r="M83" i="47"/>
  <c r="X83" i="47" s="1"/>
  <c r="M50" i="47"/>
  <c r="M46" i="47"/>
  <c r="M38" i="47"/>
  <c r="X38" i="47" s="1"/>
  <c r="M32" i="47"/>
  <c r="AA78" i="48"/>
  <c r="AA77" i="48"/>
  <c r="AA76" i="48"/>
  <c r="AA75" i="48"/>
  <c r="AA74" i="48"/>
  <c r="Y73" i="48"/>
  <c r="AA73" i="48"/>
  <c r="Y70" i="48"/>
  <c r="P67" i="48"/>
  <c r="Z67" i="48" s="1"/>
  <c r="AA67" i="48"/>
  <c r="P66" i="48"/>
  <c r="Z66" i="48" s="1"/>
  <c r="AA66" i="48"/>
  <c r="Y38" i="49"/>
  <c r="AA38" i="49"/>
  <c r="Z33" i="47"/>
  <c r="M247" i="49"/>
  <c r="M244" i="49"/>
  <c r="M216" i="49"/>
  <c r="X216" i="49" s="1"/>
  <c r="M215" i="49"/>
  <c r="M212" i="49"/>
  <c r="M203" i="49"/>
  <c r="M175" i="49"/>
  <c r="M171" i="49"/>
  <c r="X171" i="49" s="1"/>
  <c r="M168" i="49"/>
  <c r="M132" i="49"/>
  <c r="M131" i="49"/>
  <c r="M127" i="49"/>
  <c r="M115" i="49"/>
  <c r="M91" i="49"/>
  <c r="M88" i="49"/>
  <c r="M84" i="49"/>
  <c r="X84" i="49" s="1"/>
  <c r="M71" i="49"/>
  <c r="M68" i="49"/>
  <c r="X68" i="49" s="1"/>
  <c r="M67" i="49"/>
  <c r="X67" i="49" s="1"/>
  <c r="M47" i="49"/>
  <c r="M31" i="49"/>
  <c r="M19" i="49"/>
  <c r="M7" i="49"/>
  <c r="L98" i="52"/>
  <c r="R98" i="52" s="1"/>
  <c r="L63" i="52"/>
  <c r="S65" i="52"/>
  <c r="L248" i="57"/>
  <c r="R248" i="57" s="1"/>
  <c r="L247" i="57"/>
  <c r="L243" i="57"/>
  <c r="L239" i="57"/>
  <c r="L236" i="57"/>
  <c r="L228" i="57"/>
  <c r="L227" i="57"/>
  <c r="L216" i="57"/>
  <c r="L215" i="57"/>
  <c r="R215" i="57" s="1"/>
  <c r="L212" i="57"/>
  <c r="L211" i="57"/>
  <c r="L205" i="57"/>
  <c r="L200" i="57"/>
  <c r="L195" i="57"/>
  <c r="R195" i="57" s="1"/>
  <c r="L192" i="57"/>
  <c r="L191" i="57"/>
  <c r="L172" i="57"/>
  <c r="L171" i="57"/>
  <c r="L168" i="57"/>
  <c r="L167" i="57"/>
  <c r="L156" i="57"/>
  <c r="L151" i="57"/>
  <c r="R151" i="57" s="1"/>
  <c r="L148" i="57"/>
  <c r="L147" i="57"/>
  <c r="L128" i="57"/>
  <c r="R128" i="57" s="1"/>
  <c r="L127" i="57"/>
  <c r="L125" i="57"/>
  <c r="L124" i="57"/>
  <c r="L123" i="57"/>
  <c r="L111" i="57"/>
  <c r="R111" i="57" s="1"/>
  <c r="L107" i="57"/>
  <c r="L104" i="57"/>
  <c r="L103" i="57"/>
  <c r="R103" i="57" s="1"/>
  <c r="L92" i="57"/>
  <c r="L87" i="57"/>
  <c r="L84" i="57"/>
  <c r="R84" i="57" s="1"/>
  <c r="L83" i="57"/>
  <c r="R83" i="57" s="1"/>
  <c r="L80" i="57"/>
  <c r="L79" i="57"/>
  <c r="L64" i="57"/>
  <c r="L63" i="57"/>
  <c r="R63" i="57" s="1"/>
  <c r="L60" i="57"/>
  <c r="L51" i="57"/>
  <c r="L44" i="57"/>
  <c r="L43" i="57"/>
  <c r="L40" i="57"/>
  <c r="R40" i="57" s="1"/>
  <c r="L39" i="57"/>
  <c r="L36" i="57"/>
  <c r="L35" i="57"/>
  <c r="R35" i="57" s="1"/>
  <c r="L20" i="57"/>
  <c r="L19" i="57"/>
  <c r="L16" i="57"/>
  <c r="L7" i="57"/>
  <c r="L234" i="62"/>
  <c r="S35" i="62"/>
  <c r="S24" i="62"/>
  <c r="S28" i="62"/>
  <c r="AA79" i="48"/>
  <c r="M76" i="48"/>
  <c r="Y76" i="48" s="1"/>
  <c r="M85" i="47"/>
  <c r="Y86" i="47" s="1"/>
  <c r="L82" i="47"/>
  <c r="M82" i="47" s="1"/>
  <c r="M84" i="47"/>
  <c r="X84" i="47" s="1"/>
  <c r="P80" i="47"/>
  <c r="AA79" i="47"/>
  <c r="M79" i="47"/>
  <c r="Y76" i="47"/>
  <c r="Y80" i="47"/>
  <c r="S63" i="52"/>
  <c r="AA72" i="48"/>
  <c r="AA70" i="48"/>
  <c r="AA78" i="47"/>
  <c r="Y78" i="47"/>
  <c r="AA77" i="47"/>
  <c r="Y77" i="47"/>
  <c r="AA76" i="47"/>
  <c r="S19" i="62"/>
  <c r="AA37" i="49"/>
  <c r="AA36" i="49"/>
  <c r="AA35" i="49"/>
  <c r="P34" i="49"/>
  <c r="Z34" i="49" s="1"/>
  <c r="AA34" i="49"/>
  <c r="L7" i="52"/>
  <c r="L211" i="52"/>
  <c r="L167" i="52"/>
  <c r="L123" i="52"/>
  <c r="R123" i="52" s="1"/>
  <c r="L79" i="52"/>
  <c r="L210" i="52"/>
  <c r="L166" i="52"/>
  <c r="R166" i="52" s="1"/>
  <c r="L122" i="52"/>
  <c r="L78" i="52"/>
  <c r="L34" i="52"/>
  <c r="R34" i="52" s="1"/>
  <c r="L231" i="52"/>
  <c r="L187" i="52"/>
  <c r="R187" i="52" s="1"/>
  <c r="L143" i="52"/>
  <c r="R143" i="52" s="1"/>
  <c r="L99" i="52"/>
  <c r="L230" i="52"/>
  <c r="R230" i="52" s="1"/>
  <c r="L186" i="52"/>
  <c r="L142" i="52"/>
  <c r="L54" i="52"/>
  <c r="R54" i="52" s="1"/>
  <c r="L207" i="52"/>
  <c r="R207" i="52" s="1"/>
  <c r="L163" i="52"/>
  <c r="R163" i="52" s="1"/>
  <c r="L119" i="52"/>
  <c r="R119" i="52" s="1"/>
  <c r="L75" i="52"/>
  <c r="R75" i="52" s="1"/>
  <c r="L227" i="52"/>
  <c r="R227" i="52" s="1"/>
  <c r="L183" i="52"/>
  <c r="L139" i="52"/>
  <c r="L95" i="52"/>
  <c r="L24" i="52"/>
  <c r="L242" i="52"/>
  <c r="R242" i="52" s="1"/>
  <c r="L198" i="52"/>
  <c r="L154" i="52"/>
  <c r="L110" i="52"/>
  <c r="R110" i="52" s="1"/>
  <c r="L66" i="52"/>
  <c r="L218" i="52"/>
  <c r="L174" i="52"/>
  <c r="L130" i="52"/>
  <c r="L86" i="52"/>
  <c r="R86" i="52" s="1"/>
  <c r="L58" i="52"/>
  <c r="S58" i="52" s="1"/>
  <c r="P74" i="47"/>
  <c r="Z74" i="47" s="1"/>
  <c r="Y74" i="47"/>
  <c r="P73" i="47"/>
  <c r="Z73" i="47" s="1"/>
  <c r="M73" i="47"/>
  <c r="Y73" i="47" s="1"/>
  <c r="P72" i="47"/>
  <c r="Z72" i="47" s="1"/>
  <c r="L59" i="52"/>
  <c r="R59" i="52" s="1"/>
  <c r="AA65" i="48"/>
  <c r="Y64" i="48"/>
  <c r="AA64" i="48"/>
  <c r="S36" i="62"/>
  <c r="L29" i="55"/>
  <c r="L247" i="47"/>
  <c r="M83" i="49"/>
  <c r="L181" i="47"/>
  <c r="L224" i="47"/>
  <c r="M162" i="48"/>
  <c r="M81" i="49"/>
  <c r="M39" i="49"/>
  <c r="M248" i="47"/>
  <c r="M226" i="47"/>
  <c r="M204" i="47"/>
  <c r="M182" i="47"/>
  <c r="X182" i="47" s="1"/>
  <c r="M160" i="47"/>
  <c r="X160" i="47" s="1"/>
  <c r="M138" i="47"/>
  <c r="M116" i="47"/>
  <c r="M94" i="47"/>
  <c r="X94" i="47" s="1"/>
  <c r="M72" i="47"/>
  <c r="X72" i="47" s="1"/>
  <c r="M144" i="48"/>
  <c r="X144" i="48" s="1"/>
  <c r="M161" i="49"/>
  <c r="X161" i="49" s="1"/>
  <c r="M36" i="49"/>
  <c r="Y36" i="49" s="1"/>
  <c r="L203" i="47"/>
  <c r="L66" i="47"/>
  <c r="M66" i="47" s="1"/>
  <c r="M143" i="48"/>
  <c r="M246" i="47"/>
  <c r="X246" i="47" s="1"/>
  <c r="M202" i="47"/>
  <c r="M180" i="47"/>
  <c r="M158" i="47"/>
  <c r="X158" i="47" s="1"/>
  <c r="M136" i="47"/>
  <c r="M92" i="47"/>
  <c r="M70" i="47"/>
  <c r="Y70" i="47" s="1"/>
  <c r="L236" i="47"/>
  <c r="L214" i="47"/>
  <c r="L192" i="47"/>
  <c r="L170" i="47"/>
  <c r="L148" i="47"/>
  <c r="L123" i="47"/>
  <c r="L91" i="47"/>
  <c r="M91" i="47" s="1"/>
  <c r="M157" i="49"/>
  <c r="M116" i="49"/>
  <c r="X116" i="49" s="1"/>
  <c r="M33" i="49"/>
  <c r="X33" i="49" s="1"/>
  <c r="L215" i="49"/>
  <c r="L171" i="49"/>
  <c r="L127" i="49"/>
  <c r="L19" i="52"/>
  <c r="L26" i="62"/>
  <c r="R26" i="62" s="1"/>
  <c r="M245" i="47"/>
  <c r="M223" i="47"/>
  <c r="M201" i="47"/>
  <c r="X201" i="47" s="1"/>
  <c r="M179" i="47"/>
  <c r="X179" i="47" s="1"/>
  <c r="M157" i="47"/>
  <c r="M135" i="47"/>
  <c r="M113" i="47"/>
  <c r="M69" i="47"/>
  <c r="Y69" i="47" s="1"/>
  <c r="M37" i="47"/>
  <c r="M118" i="48"/>
  <c r="M239" i="49"/>
  <c r="X239" i="49" s="1"/>
  <c r="M196" i="49"/>
  <c r="X196" i="49" s="1"/>
  <c r="L212" i="49"/>
  <c r="L168" i="49"/>
  <c r="M90" i="48"/>
  <c r="M17" i="49"/>
  <c r="X17" i="49" s="1"/>
  <c r="L225" i="47"/>
  <c r="M159" i="47"/>
  <c r="X159" i="47" s="1"/>
  <c r="M71" i="47"/>
  <c r="X71" i="47" s="1"/>
  <c r="L216" i="49"/>
  <c r="L84" i="49"/>
  <c r="M36" i="47"/>
  <c r="M156" i="48"/>
  <c r="M68" i="48"/>
  <c r="X68" i="48" s="1"/>
  <c r="M243" i="47"/>
  <c r="X243" i="47" s="1"/>
  <c r="M199" i="47"/>
  <c r="M177" i="47"/>
  <c r="X177" i="47" s="1"/>
  <c r="M133" i="47"/>
  <c r="M89" i="47"/>
  <c r="Y89" i="47" s="1"/>
  <c r="M67" i="47"/>
  <c r="Y67" i="47" s="1"/>
  <c r="L211" i="47"/>
  <c r="L167" i="47"/>
  <c r="M235" i="49"/>
  <c r="M193" i="49"/>
  <c r="X193" i="49" s="1"/>
  <c r="M152" i="49"/>
  <c r="X152" i="49" s="1"/>
  <c r="L51" i="52"/>
  <c r="R51" i="52" s="1"/>
  <c r="M163" i="48"/>
  <c r="X163" i="48" s="1"/>
  <c r="M40" i="49"/>
  <c r="X40" i="49" s="1"/>
  <c r="M137" i="47"/>
  <c r="X137" i="47" s="1"/>
  <c r="M93" i="47"/>
  <c r="M41" i="47"/>
  <c r="X41" i="47" s="1"/>
  <c r="L126" i="47"/>
  <c r="L58" i="47"/>
  <c r="M58" i="47" s="1"/>
  <c r="L88" i="47"/>
  <c r="M88" i="47" s="1"/>
  <c r="X88" i="47" s="1"/>
  <c r="M178" i="48"/>
  <c r="M237" i="49"/>
  <c r="M221" i="47"/>
  <c r="M155" i="47"/>
  <c r="X155" i="47" s="1"/>
  <c r="L233" i="47"/>
  <c r="L189" i="47"/>
  <c r="L145" i="47"/>
  <c r="M4" i="49"/>
  <c r="M242" i="47"/>
  <c r="M220" i="47"/>
  <c r="M198" i="47"/>
  <c r="M176" i="47"/>
  <c r="X176" i="47" s="1"/>
  <c r="M154" i="47"/>
  <c r="M132" i="47"/>
  <c r="M110" i="47"/>
  <c r="X110" i="47" s="1"/>
  <c r="L232" i="47"/>
  <c r="L210" i="47"/>
  <c r="L188" i="47"/>
  <c r="L166" i="47"/>
  <c r="L144" i="47"/>
  <c r="M103" i="48"/>
  <c r="X103" i="48" s="1"/>
  <c r="M191" i="49"/>
  <c r="M151" i="49"/>
  <c r="M109" i="49"/>
  <c r="M9" i="49"/>
  <c r="L50" i="52"/>
  <c r="R50" i="52" s="1"/>
  <c r="M244" i="48"/>
  <c r="M195" i="49"/>
  <c r="L231" i="47"/>
  <c r="L209" i="47"/>
  <c r="L187" i="47"/>
  <c r="L165" i="47"/>
  <c r="L143" i="47"/>
  <c r="M250" i="48"/>
  <c r="M102" i="48"/>
  <c r="M107" i="49"/>
  <c r="X107" i="49" s="1"/>
  <c r="M59" i="49"/>
  <c r="M104" i="47"/>
  <c r="Y104" i="47" s="1"/>
  <c r="L78" i="47"/>
  <c r="M78" i="47" s="1"/>
  <c r="X78" i="47" s="1"/>
  <c r="M220" i="48"/>
  <c r="X220" i="48" s="1"/>
  <c r="M79" i="48"/>
  <c r="Y79" i="48" s="1"/>
  <c r="M180" i="49"/>
  <c r="M139" i="49"/>
  <c r="M97" i="49"/>
  <c r="X97" i="49" s="1"/>
  <c r="L31" i="52"/>
  <c r="S10" i="62"/>
  <c r="M75" i="48"/>
  <c r="Y75" i="48" s="1"/>
  <c r="M101" i="47"/>
  <c r="X101" i="47" s="1"/>
  <c r="P54" i="48"/>
  <c r="Z54" i="48" s="1"/>
  <c r="M197" i="48"/>
  <c r="M74" i="48"/>
  <c r="Y74" i="48" s="1"/>
  <c r="M51" i="49"/>
  <c r="X51" i="49" s="1"/>
  <c r="M207" i="48"/>
  <c r="M217" i="49"/>
  <c r="M100" i="47"/>
  <c r="M190" i="48"/>
  <c r="M173" i="49"/>
  <c r="M89" i="49"/>
  <c r="M49" i="49"/>
  <c r="X49" i="49" s="1"/>
  <c r="M121" i="47"/>
  <c r="X121" i="47" s="1"/>
  <c r="M99" i="47"/>
  <c r="X99" i="47" s="1"/>
  <c r="M77" i="47"/>
  <c r="M167" i="48"/>
  <c r="X167" i="48" s="1"/>
  <c r="M53" i="48"/>
  <c r="M129" i="49"/>
  <c r="L172" i="62"/>
  <c r="M76" i="47"/>
  <c r="M166" i="48"/>
  <c r="M52" i="48"/>
  <c r="M49" i="47"/>
  <c r="M249" i="49"/>
  <c r="X249" i="49" s="1"/>
  <c r="M125" i="49"/>
  <c r="AA71" i="47"/>
  <c r="Y71" i="47"/>
  <c r="AA70" i="47"/>
  <c r="AA69" i="47"/>
  <c r="AA68" i="47"/>
  <c r="Y68" i="47"/>
  <c r="AA67" i="47"/>
  <c r="AA66" i="47"/>
  <c r="AA65" i="47"/>
  <c r="Y65" i="47"/>
  <c r="AA64" i="47"/>
  <c r="Y64" i="47"/>
  <c r="P7" i="49"/>
  <c r="Z7" i="49" s="1"/>
  <c r="Z7" i="47"/>
  <c r="AA63" i="47"/>
  <c r="Y63" i="47"/>
  <c r="AA33" i="49"/>
  <c r="Y33" i="49"/>
  <c r="M9" i="47"/>
  <c r="X9" i="47" s="1"/>
  <c r="M8" i="47"/>
  <c r="M5" i="47"/>
  <c r="M4" i="47"/>
  <c r="M8" i="48"/>
  <c r="M60" i="47"/>
  <c r="Y60" i="47" s="1"/>
  <c r="M51" i="47"/>
  <c r="Y75" i="47" s="1"/>
  <c r="M42" i="47"/>
  <c r="M39" i="47"/>
  <c r="Y39" i="47" s="1"/>
  <c r="M35" i="47"/>
  <c r="X35" i="47" s="1"/>
  <c r="M27" i="47"/>
  <c r="X27" i="47" s="1"/>
  <c r="M250" i="49"/>
  <c r="X250" i="49" s="1"/>
  <c r="M246" i="49"/>
  <c r="M245" i="49"/>
  <c r="M242" i="49"/>
  <c r="M240" i="49"/>
  <c r="M238" i="49"/>
  <c r="X238" i="49" s="1"/>
  <c r="M236" i="49"/>
  <c r="M234" i="49"/>
  <c r="M230" i="49"/>
  <c r="X230" i="49" s="1"/>
  <c r="M229" i="49"/>
  <c r="M226" i="49"/>
  <c r="M224" i="49"/>
  <c r="M222" i="49"/>
  <c r="M220" i="49"/>
  <c r="M218" i="49"/>
  <c r="M214" i="49"/>
  <c r="M213" i="49"/>
  <c r="M210" i="49"/>
  <c r="X210" i="49" s="1"/>
  <c r="M208" i="49"/>
  <c r="M206" i="49"/>
  <c r="X206" i="49" s="1"/>
  <c r="M204" i="49"/>
  <c r="X204" i="49" s="1"/>
  <c r="M202" i="49"/>
  <c r="X202" i="49" s="1"/>
  <c r="M198" i="49"/>
  <c r="M197" i="49"/>
  <c r="M194" i="49"/>
  <c r="X194" i="49" s="1"/>
  <c r="M192" i="49"/>
  <c r="X192" i="49" s="1"/>
  <c r="M190" i="49"/>
  <c r="M188" i="49"/>
  <c r="M186" i="49"/>
  <c r="M182" i="49"/>
  <c r="X182" i="49" s="1"/>
  <c r="M181" i="49"/>
  <c r="M178" i="49"/>
  <c r="M176" i="49"/>
  <c r="X176" i="49" s="1"/>
  <c r="M174" i="49"/>
  <c r="M172" i="49"/>
  <c r="M170" i="49"/>
  <c r="X170" i="49" s="1"/>
  <c r="M166" i="49"/>
  <c r="M165" i="49"/>
  <c r="X165" i="49" s="1"/>
  <c r="M162" i="49"/>
  <c r="M160" i="49"/>
  <c r="M158" i="49"/>
  <c r="M156" i="49"/>
  <c r="X156" i="49" s="1"/>
  <c r="M154" i="49"/>
  <c r="X154" i="49" s="1"/>
  <c r="M150" i="49"/>
  <c r="X150" i="49" s="1"/>
  <c r="M149" i="49"/>
  <c r="M146" i="49"/>
  <c r="X146" i="49" s="1"/>
  <c r="M144" i="49"/>
  <c r="M142" i="49"/>
  <c r="X142" i="49" s="1"/>
  <c r="M140" i="49"/>
  <c r="X140" i="49" s="1"/>
  <c r="M138" i="49"/>
  <c r="M134" i="49"/>
  <c r="M133" i="49"/>
  <c r="M130" i="49"/>
  <c r="X130" i="49" s="1"/>
  <c r="M128" i="49"/>
  <c r="X128" i="49" s="1"/>
  <c r="M126" i="49"/>
  <c r="M124" i="49"/>
  <c r="M122" i="49"/>
  <c r="X122" i="49" s="1"/>
  <c r="M118" i="49"/>
  <c r="M117" i="49"/>
  <c r="M114" i="49"/>
  <c r="M112" i="49"/>
  <c r="M110" i="49"/>
  <c r="X110" i="49" s="1"/>
  <c r="M108" i="49"/>
  <c r="M106" i="49"/>
  <c r="M102" i="49"/>
  <c r="X102" i="49" s="1"/>
  <c r="M101" i="49"/>
  <c r="X101" i="49" s="1"/>
  <c r="M98" i="49"/>
  <c r="M96" i="49"/>
  <c r="M94" i="49"/>
  <c r="M92" i="49"/>
  <c r="X92" i="49" s="1"/>
  <c r="M90" i="49"/>
  <c r="M86" i="49"/>
  <c r="M85" i="49"/>
  <c r="X85" i="49" s="1"/>
  <c r="M82" i="49"/>
  <c r="M80" i="49"/>
  <c r="M78" i="49"/>
  <c r="M76" i="49"/>
  <c r="M74" i="49"/>
  <c r="X74" i="49" s="1"/>
  <c r="M70" i="49"/>
  <c r="X70" i="49" s="1"/>
  <c r="M69" i="49"/>
  <c r="M66" i="49"/>
  <c r="X66" i="49" s="1"/>
  <c r="M64" i="49"/>
  <c r="M62" i="49"/>
  <c r="M60" i="49"/>
  <c r="M58" i="49"/>
  <c r="M54" i="49"/>
  <c r="X54" i="49" s="1"/>
  <c r="M53" i="49"/>
  <c r="X53" i="49" s="1"/>
  <c r="M50" i="49"/>
  <c r="X50" i="49" s="1"/>
  <c r="M48" i="49"/>
  <c r="X48" i="49" s="1"/>
  <c r="M46" i="49"/>
  <c r="M44" i="49"/>
  <c r="M32" i="49"/>
  <c r="M29" i="49"/>
  <c r="X29" i="49" s="1"/>
  <c r="M28" i="49"/>
  <c r="X28" i="49" s="1"/>
  <c r="M25" i="49"/>
  <c r="Y25" i="49" s="1"/>
  <c r="M18" i="49"/>
  <c r="Y18" i="49" s="1"/>
  <c r="M12" i="49"/>
  <c r="L249" i="52"/>
  <c r="R249" i="52" s="1"/>
  <c r="L248" i="52"/>
  <c r="R248" i="52" s="1"/>
  <c r="L245" i="52"/>
  <c r="L244" i="52"/>
  <c r="R244" i="52" s="1"/>
  <c r="L241" i="52"/>
  <c r="R241" i="52" s="1"/>
  <c r="L240" i="52"/>
  <c r="R240" i="52" s="1"/>
  <c r="L237" i="52"/>
  <c r="R237" i="52" s="1"/>
  <c r="L236" i="52"/>
  <c r="R236" i="52" s="1"/>
  <c r="L233" i="52"/>
  <c r="R233" i="52" s="1"/>
  <c r="L232" i="52"/>
  <c r="R232" i="52" s="1"/>
  <c r="L229" i="52"/>
  <c r="L228" i="52"/>
  <c r="R228" i="52" s="1"/>
  <c r="L225" i="52"/>
  <c r="L224" i="52"/>
  <c r="L221" i="52"/>
  <c r="R221" i="52" s="1"/>
  <c r="L220" i="52"/>
  <c r="L217" i="52"/>
  <c r="L216" i="52"/>
  <c r="L213" i="52"/>
  <c r="L212" i="52"/>
  <c r="L209" i="52"/>
  <c r="L208" i="52"/>
  <c r="L205" i="52"/>
  <c r="R205" i="52" s="1"/>
  <c r="L204" i="52"/>
  <c r="L201" i="52"/>
  <c r="L200" i="52"/>
  <c r="R200" i="52" s="1"/>
  <c r="L197" i="52"/>
  <c r="R197" i="52" s="1"/>
  <c r="L196" i="52"/>
  <c r="R196" i="52" s="1"/>
  <c r="L193" i="52"/>
  <c r="R193" i="52" s="1"/>
  <c r="L192" i="52"/>
  <c r="R192" i="52" s="1"/>
  <c r="L189" i="52"/>
  <c r="R189" i="52" s="1"/>
  <c r="L188" i="52"/>
  <c r="R188" i="52" s="1"/>
  <c r="L185" i="52"/>
  <c r="L184" i="52"/>
  <c r="L181" i="52"/>
  <c r="L180" i="52"/>
  <c r="R180" i="52" s="1"/>
  <c r="L177" i="52"/>
  <c r="L176" i="52"/>
  <c r="L173" i="52"/>
  <c r="R173" i="52" s="1"/>
  <c r="L172" i="52"/>
  <c r="R172" i="52" s="1"/>
  <c r="L169" i="52"/>
  <c r="L168" i="52"/>
  <c r="L165" i="52"/>
  <c r="L164" i="52"/>
  <c r="R164" i="52" s="1"/>
  <c r="L161" i="52"/>
  <c r="R161" i="52" s="1"/>
  <c r="L160" i="52"/>
  <c r="L157" i="52"/>
  <c r="R157" i="52" s="1"/>
  <c r="L156" i="52"/>
  <c r="R156" i="52" s="1"/>
  <c r="L153" i="52"/>
  <c r="R153" i="52" s="1"/>
  <c r="L152" i="52"/>
  <c r="L149" i="52"/>
  <c r="R149" i="52" s="1"/>
  <c r="L148" i="52"/>
  <c r="R148" i="52" s="1"/>
  <c r="L145" i="52"/>
  <c r="R145" i="52" s="1"/>
  <c r="L144" i="52"/>
  <c r="R144" i="52" s="1"/>
  <c r="L141" i="52"/>
  <c r="R141" i="52" s="1"/>
  <c r="L140" i="52"/>
  <c r="L137" i="52"/>
  <c r="L136" i="52"/>
  <c r="L133" i="52"/>
  <c r="L132" i="52"/>
  <c r="R132" i="52" s="1"/>
  <c r="L129" i="52"/>
  <c r="L128" i="52"/>
  <c r="L125" i="52"/>
  <c r="L124" i="52"/>
  <c r="L121" i="52"/>
  <c r="L120" i="52"/>
  <c r="R120" i="52" s="1"/>
  <c r="L117" i="52"/>
  <c r="R117" i="52" s="1"/>
  <c r="L116" i="52"/>
  <c r="R116" i="52" s="1"/>
  <c r="L113" i="52"/>
  <c r="L112" i="52"/>
  <c r="R112" i="52" s="1"/>
  <c r="L109" i="52"/>
  <c r="R109" i="52" s="1"/>
  <c r="L108" i="52"/>
  <c r="R108" i="52" s="1"/>
  <c r="L105" i="52"/>
  <c r="R105" i="52" s="1"/>
  <c r="L104" i="52"/>
  <c r="R104" i="52" s="1"/>
  <c r="L101" i="52"/>
  <c r="R101" i="52" s="1"/>
  <c r="L100" i="52"/>
  <c r="R100" i="52" s="1"/>
  <c r="L97" i="52"/>
  <c r="L96" i="52"/>
  <c r="L93" i="52"/>
  <c r="R93" i="52" s="1"/>
  <c r="L92" i="52"/>
  <c r="R92" i="52" s="1"/>
  <c r="L89" i="52"/>
  <c r="S89" i="52" s="1"/>
  <c r="L88" i="52"/>
  <c r="S88" i="52" s="1"/>
  <c r="L85" i="52"/>
  <c r="L84" i="52"/>
  <c r="R84" i="52" s="1"/>
  <c r="L81" i="52"/>
  <c r="L80" i="52"/>
  <c r="R80" i="52" s="1"/>
  <c r="L77" i="52"/>
  <c r="R77" i="52" s="1"/>
  <c r="L76" i="52"/>
  <c r="L73" i="52"/>
  <c r="R73" i="52" s="1"/>
  <c r="L72" i="52"/>
  <c r="L69" i="52"/>
  <c r="L68" i="52"/>
  <c r="R68" i="52" s="1"/>
  <c r="L64" i="52"/>
  <c r="L62" i="52"/>
  <c r="R62" i="52" s="1"/>
  <c r="L61" i="52"/>
  <c r="R61" i="52" s="1"/>
  <c r="L60" i="52"/>
  <c r="R60" i="52" s="1"/>
  <c r="L57" i="52"/>
  <c r="R57" i="52" s="1"/>
  <c r="L56" i="52"/>
  <c r="S56" i="52" s="1"/>
  <c r="L52" i="52"/>
  <c r="L48" i="52"/>
  <c r="L46" i="52"/>
  <c r="L45" i="52"/>
  <c r="L44" i="52"/>
  <c r="R44" i="52" s="1"/>
  <c r="L38" i="52"/>
  <c r="L37" i="52"/>
  <c r="L250" i="57"/>
  <c r="L249" i="57"/>
  <c r="L246" i="57"/>
  <c r="R246" i="57" s="1"/>
  <c r="L245" i="57"/>
  <c r="L242" i="57"/>
  <c r="L241" i="57"/>
  <c r="R241" i="57" s="1"/>
  <c r="L238" i="57"/>
  <c r="L237" i="57"/>
  <c r="L234" i="57"/>
  <c r="L233" i="57"/>
  <c r="L230" i="57"/>
  <c r="R230" i="57" s="1"/>
  <c r="L229" i="57"/>
  <c r="R229" i="57" s="1"/>
  <c r="L226" i="57"/>
  <c r="R226" i="57" s="1"/>
  <c r="L222" i="57"/>
  <c r="R222" i="57" s="1"/>
  <c r="L221" i="57"/>
  <c r="L218" i="57"/>
  <c r="L217" i="57"/>
  <c r="L214" i="57"/>
  <c r="L213" i="57"/>
  <c r="R213" i="57" s="1"/>
  <c r="L210" i="57"/>
  <c r="L209" i="57"/>
  <c r="L206" i="57"/>
  <c r="R206" i="57" s="1"/>
  <c r="L202" i="57"/>
  <c r="L201" i="57"/>
  <c r="L198" i="57"/>
  <c r="L197" i="57"/>
  <c r="L194" i="57"/>
  <c r="R194" i="57" s="1"/>
  <c r="L193" i="57"/>
  <c r="L190" i="57"/>
  <c r="L189" i="57"/>
  <c r="R189" i="57" s="1"/>
  <c r="L186" i="57"/>
  <c r="L185" i="57"/>
  <c r="R185" i="57" s="1"/>
  <c r="L182" i="57"/>
  <c r="L181" i="57"/>
  <c r="L178" i="57"/>
  <c r="R178" i="57" s="1"/>
  <c r="L177" i="57"/>
  <c r="R177" i="57" s="1"/>
  <c r="L174" i="57"/>
  <c r="L173" i="57"/>
  <c r="R173" i="57" s="1"/>
  <c r="L170" i="57"/>
  <c r="L169" i="57"/>
  <c r="L166" i="57"/>
  <c r="L165" i="57"/>
  <c r="L162" i="57"/>
  <c r="R162" i="57" s="1"/>
  <c r="L161" i="57"/>
  <c r="L158" i="57"/>
  <c r="L157" i="57"/>
  <c r="R157" i="57" s="1"/>
  <c r="L154" i="57"/>
  <c r="L153" i="57"/>
  <c r="L150" i="57"/>
  <c r="L149" i="57"/>
  <c r="L146" i="57"/>
  <c r="L145" i="57"/>
  <c r="R145" i="57" s="1"/>
  <c r="L142" i="57"/>
  <c r="L141" i="57"/>
  <c r="L138" i="57"/>
  <c r="L137" i="57"/>
  <c r="R137" i="57" s="1"/>
  <c r="L134" i="57"/>
  <c r="R134" i="57" s="1"/>
  <c r="L133" i="57"/>
  <c r="R133" i="57" s="1"/>
  <c r="L130" i="57"/>
  <c r="R130" i="57" s="1"/>
  <c r="L129" i="57"/>
  <c r="L126" i="57"/>
  <c r="L122" i="57"/>
  <c r="R122" i="57" s="1"/>
  <c r="L121" i="57"/>
  <c r="L118" i="57"/>
  <c r="L117" i="57"/>
  <c r="L114" i="57"/>
  <c r="L113" i="57"/>
  <c r="L110" i="57"/>
  <c r="L109" i="57"/>
  <c r="L106" i="57"/>
  <c r="R106" i="57" s="1"/>
  <c r="L105" i="57"/>
  <c r="L102" i="57"/>
  <c r="L101" i="57"/>
  <c r="L98" i="57"/>
  <c r="L94" i="57"/>
  <c r="R94" i="57" s="1"/>
  <c r="L93" i="57"/>
  <c r="L90" i="57"/>
  <c r="L89" i="57"/>
  <c r="R89" i="57" s="1"/>
  <c r="L86" i="57"/>
  <c r="R86" i="57" s="1"/>
  <c r="L85" i="57"/>
  <c r="R85" i="57" s="1"/>
  <c r="L82" i="57"/>
  <c r="L81" i="57"/>
  <c r="L78" i="57"/>
  <c r="L74" i="57"/>
  <c r="L73" i="57"/>
  <c r="L70" i="57"/>
  <c r="R70" i="57" s="1"/>
  <c r="L69" i="57"/>
  <c r="L66" i="57"/>
  <c r="L65" i="57"/>
  <c r="R65" i="57" s="1"/>
  <c r="L62" i="57"/>
  <c r="L61" i="57"/>
  <c r="L58" i="57"/>
  <c r="L57" i="57"/>
  <c r="L54" i="57"/>
  <c r="R54" i="57" s="1"/>
  <c r="L53" i="57"/>
  <c r="L50" i="57"/>
  <c r="L49" i="57"/>
  <c r="L46" i="57"/>
  <c r="L45" i="57"/>
  <c r="R45" i="57" s="1"/>
  <c r="L42" i="57"/>
  <c r="L41" i="57"/>
  <c r="L38" i="57"/>
  <c r="R38" i="57" s="1"/>
  <c r="L37" i="57"/>
  <c r="R37" i="57" s="1"/>
  <c r="L34" i="57"/>
  <c r="L33" i="57"/>
  <c r="L30" i="57"/>
  <c r="L29" i="57"/>
  <c r="L26" i="57"/>
  <c r="L25" i="57"/>
  <c r="L22" i="57"/>
  <c r="R22" i="57" s="1"/>
  <c r="L21" i="57"/>
  <c r="L18" i="57"/>
  <c r="L17" i="57"/>
  <c r="L14" i="57"/>
  <c r="L13" i="57"/>
  <c r="R13" i="57" s="1"/>
  <c r="L10" i="57"/>
  <c r="L9" i="57"/>
  <c r="L6" i="57"/>
  <c r="L5" i="57"/>
  <c r="L228" i="62"/>
  <c r="L205" i="62"/>
  <c r="L175" i="62"/>
  <c r="R175" i="62" s="1"/>
  <c r="L116" i="62"/>
  <c r="R116" i="62" s="1"/>
  <c r="S21" i="62"/>
  <c r="S30" i="62"/>
  <c r="AA31" i="49"/>
  <c r="P31" i="49"/>
  <c r="Y31" i="49"/>
  <c r="L53" i="52"/>
  <c r="L55" i="52"/>
  <c r="R55" i="52" s="1"/>
  <c r="S53" i="52"/>
  <c r="Y63" i="48"/>
  <c r="AA63" i="48"/>
  <c r="AA62" i="48"/>
  <c r="P30" i="49"/>
  <c r="Z30" i="49" s="1"/>
  <c r="L145" i="48"/>
  <c r="M145" i="48"/>
  <c r="L65" i="48"/>
  <c r="M65" i="48" s="1"/>
  <c r="X65" i="48" s="1"/>
  <c r="L165" i="48"/>
  <c r="M165" i="48"/>
  <c r="L141" i="48"/>
  <c r="M141" i="48"/>
  <c r="L77" i="48"/>
  <c r="M77" i="48" s="1"/>
  <c r="M13" i="48"/>
  <c r="X13" i="48" s="1"/>
  <c r="M233" i="48"/>
  <c r="M109" i="48"/>
  <c r="L232" i="48"/>
  <c r="M232" i="48"/>
  <c r="L228" i="48"/>
  <c r="M228" i="48"/>
  <c r="X228" i="48" s="1"/>
  <c r="L184" i="48"/>
  <c r="M184" i="48"/>
  <c r="X184" i="48" s="1"/>
  <c r="L168" i="48"/>
  <c r="M168" i="48"/>
  <c r="L108" i="48"/>
  <c r="M108" i="48"/>
  <c r="L80" i="48"/>
  <c r="M80" i="48"/>
  <c r="M16" i="49"/>
  <c r="L14" i="49"/>
  <c r="M14" i="49" s="1"/>
  <c r="X14" i="49" s="1"/>
  <c r="L13" i="49"/>
  <c r="M13" i="49" s="1"/>
  <c r="S49" i="52"/>
  <c r="L49" i="52"/>
  <c r="L43" i="47"/>
  <c r="M43" i="47" s="1"/>
  <c r="L35" i="48"/>
  <c r="M35" i="48" s="1"/>
  <c r="L246" i="49"/>
  <c r="L238" i="49"/>
  <c r="L230" i="49"/>
  <c r="L222" i="49"/>
  <c r="L214" i="49"/>
  <c r="L206" i="49"/>
  <c r="L202" i="49"/>
  <c r="L194" i="49"/>
  <c r="L186" i="49"/>
  <c r="L178" i="49"/>
  <c r="L170" i="49"/>
  <c r="L162" i="49"/>
  <c r="L154" i="49"/>
  <c r="L146" i="49"/>
  <c r="L138" i="49"/>
  <c r="L130" i="49"/>
  <c r="L122" i="49"/>
  <c r="L114" i="49"/>
  <c r="L106" i="49"/>
  <c r="L98" i="49"/>
  <c r="L90" i="49"/>
  <c r="L82" i="49"/>
  <c r="L74" i="49"/>
  <c r="L66" i="49"/>
  <c r="L62" i="49"/>
  <c r="L50" i="49"/>
  <c r="L42" i="49"/>
  <c r="M42" i="49" s="1"/>
  <c r="X42" i="49" s="1"/>
  <c r="L34" i="49"/>
  <c r="M34" i="49" s="1"/>
  <c r="X34" i="49" s="1"/>
  <c r="L30" i="49"/>
  <c r="M30" i="49" s="1"/>
  <c r="X30" i="49" s="1"/>
  <c r="L20" i="49"/>
  <c r="M20" i="49" s="1"/>
  <c r="M8" i="49"/>
  <c r="M189" i="48"/>
  <c r="L250" i="49"/>
  <c r="L242" i="49"/>
  <c r="L234" i="49"/>
  <c r="L226" i="49"/>
  <c r="L218" i="49"/>
  <c r="L210" i="49"/>
  <c r="L198" i="49"/>
  <c r="L190" i="49"/>
  <c r="L182" i="49"/>
  <c r="L174" i="49"/>
  <c r="L166" i="49"/>
  <c r="L158" i="49"/>
  <c r="L150" i="49"/>
  <c r="L142" i="49"/>
  <c r="L134" i="49"/>
  <c r="L126" i="49"/>
  <c r="L118" i="49"/>
  <c r="L110" i="49"/>
  <c r="L102" i="49"/>
  <c r="L94" i="49"/>
  <c r="L86" i="49"/>
  <c r="L78" i="49"/>
  <c r="L70" i="49"/>
  <c r="L58" i="49"/>
  <c r="L54" i="49"/>
  <c r="L46" i="49"/>
  <c r="L38" i="49"/>
  <c r="M38" i="49" s="1"/>
  <c r="X38" i="49" s="1"/>
  <c r="L26" i="49"/>
  <c r="M26" i="49" s="1"/>
  <c r="M47" i="47"/>
  <c r="M31" i="47"/>
  <c r="M140" i="48"/>
  <c r="M105" i="48"/>
  <c r="M101" i="48"/>
  <c r="X101" i="48" s="1"/>
  <c r="M97" i="48"/>
  <c r="X97" i="48" s="1"/>
  <c r="M233" i="49"/>
  <c r="X233" i="49" s="1"/>
  <c r="M201" i="49"/>
  <c r="M169" i="49"/>
  <c r="M137" i="49"/>
  <c r="X137" i="49" s="1"/>
  <c r="M105" i="49"/>
  <c r="M73" i="49"/>
  <c r="M41" i="49"/>
  <c r="X41" i="49" s="1"/>
  <c r="M21" i="49"/>
  <c r="Y21" i="49" s="1"/>
  <c r="L245" i="49"/>
  <c r="L229" i="49"/>
  <c r="L213" i="49"/>
  <c r="L197" i="49"/>
  <c r="L181" i="49"/>
  <c r="L165" i="49"/>
  <c r="L149" i="49"/>
  <c r="L133" i="49"/>
  <c r="L117" i="49"/>
  <c r="L101" i="49"/>
  <c r="L85" i="49"/>
  <c r="L69" i="49"/>
  <c r="L53" i="49"/>
  <c r="L37" i="49"/>
  <c r="M37" i="49" s="1"/>
  <c r="X37" i="49" s="1"/>
  <c r="L206" i="48"/>
  <c r="M206" i="48"/>
  <c r="L41" i="52"/>
  <c r="R41" i="52" s="1"/>
  <c r="L29" i="52"/>
  <c r="L250" i="62"/>
  <c r="L232" i="62"/>
  <c r="R232" i="62" s="1"/>
  <c r="L178" i="62"/>
  <c r="L150" i="62"/>
  <c r="L120" i="62"/>
  <c r="R120" i="62" s="1"/>
  <c r="L114" i="62"/>
  <c r="L22" i="52"/>
  <c r="L10" i="52"/>
  <c r="L236" i="62"/>
  <c r="L166" i="62"/>
  <c r="R166" i="62" s="1"/>
  <c r="L146" i="62"/>
  <c r="L110" i="62"/>
  <c r="S20" i="62"/>
  <c r="S18" i="62"/>
  <c r="L112" i="62"/>
  <c r="L40" i="62"/>
  <c r="R40" i="62" s="1"/>
  <c r="AA61" i="47"/>
  <c r="Y61" i="47"/>
  <c r="AA60" i="47"/>
  <c r="AA59" i="47"/>
  <c r="Y59" i="47"/>
  <c r="AA58" i="47"/>
  <c r="AA62" i="47"/>
  <c r="Y62" i="47"/>
  <c r="AA57" i="47"/>
  <c r="Y57" i="47"/>
  <c r="AA56" i="47"/>
  <c r="Y56" i="47"/>
  <c r="AA55" i="47"/>
  <c r="Y55" i="47"/>
  <c r="AA54" i="47"/>
  <c r="Y54" i="47"/>
  <c r="AA53" i="47"/>
  <c r="Y53" i="47"/>
  <c r="AA52" i="47"/>
  <c r="Y52" i="47"/>
  <c r="AA61" i="48"/>
  <c r="AA51" i="47"/>
  <c r="Y51" i="47"/>
  <c r="AA50" i="47"/>
  <c r="Y50" i="47"/>
  <c r="AA49" i="47"/>
  <c r="Y49" i="47"/>
  <c r="AA48" i="47"/>
  <c r="Y48" i="47"/>
  <c r="AA47" i="47"/>
  <c r="Y47" i="47"/>
  <c r="AA59" i="48"/>
  <c r="AA60" i="48"/>
  <c r="AA58" i="48"/>
  <c r="R211" i="56"/>
  <c r="R190" i="56"/>
  <c r="R167" i="56"/>
  <c r="R156" i="56"/>
  <c r="AA57" i="48"/>
  <c r="AA56" i="48"/>
  <c r="AA55" i="48"/>
  <c r="Y55" i="48"/>
  <c r="AA54" i="48"/>
  <c r="Y54" i="48"/>
  <c r="S26" i="62"/>
  <c r="AA29" i="49"/>
  <c r="Y29" i="49"/>
  <c r="AA28" i="49"/>
  <c r="Y28" i="49"/>
  <c r="AA4" i="49"/>
  <c r="Y26" i="49"/>
  <c r="AA26" i="49"/>
  <c r="AA25" i="49"/>
  <c r="AA23" i="49"/>
  <c r="AA21" i="49"/>
  <c r="AA20" i="49"/>
  <c r="AA19" i="49"/>
  <c r="AA18" i="49"/>
  <c r="AA16" i="49"/>
  <c r="AA24" i="49"/>
  <c r="AA15" i="49"/>
  <c r="Y14" i="49"/>
  <c r="AA14" i="49"/>
  <c r="AA13" i="49"/>
  <c r="AA17" i="49"/>
  <c r="AA12" i="49"/>
  <c r="AA11" i="49"/>
  <c r="AA9" i="49"/>
  <c r="AA10" i="49"/>
  <c r="AA5" i="49"/>
  <c r="AA7" i="49"/>
  <c r="AA8" i="49"/>
  <c r="Y4" i="49"/>
  <c r="P23" i="49"/>
  <c r="Y23" i="49"/>
  <c r="P22" i="49"/>
  <c r="Y19" i="49"/>
  <c r="Y16" i="49"/>
  <c r="Y24" i="49"/>
  <c r="Y15" i="49"/>
  <c r="Y13" i="49"/>
  <c r="Y12" i="49"/>
  <c r="Y11" i="49"/>
  <c r="Y9" i="49"/>
  <c r="Y10" i="49"/>
  <c r="P5" i="49"/>
  <c r="Z5" i="49" s="1"/>
  <c r="Y5" i="49"/>
  <c r="Y7" i="49"/>
  <c r="Y8" i="49"/>
  <c r="S47" i="52"/>
  <c r="S48" i="52"/>
  <c r="AA14" i="48"/>
  <c r="P13" i="48"/>
  <c r="Z13" i="48" s="1"/>
  <c r="AA13" i="48"/>
  <c r="Y13" i="48"/>
  <c r="P12" i="48"/>
  <c r="Z12" i="48" s="1"/>
  <c r="AA12" i="48"/>
  <c r="Y12" i="48"/>
  <c r="P11" i="48"/>
  <c r="Z11" i="48" s="1"/>
  <c r="AA11" i="48"/>
  <c r="Y11" i="48"/>
  <c r="P10" i="48"/>
  <c r="Z10" i="48" s="1"/>
  <c r="AA10" i="48"/>
  <c r="Y10" i="48"/>
  <c r="P9" i="48"/>
  <c r="Z9" i="48" s="1"/>
  <c r="AA9" i="48"/>
  <c r="Y9" i="48"/>
  <c r="P8" i="48"/>
  <c r="Z8" i="48" s="1"/>
  <c r="AA8" i="48"/>
  <c r="Y8" i="48"/>
  <c r="P7" i="48"/>
  <c r="Z7" i="48" s="1"/>
  <c r="AA7" i="48"/>
  <c r="AA6" i="48"/>
  <c r="Y6" i="48"/>
  <c r="M5" i="48"/>
  <c r="X5" i="48" s="1"/>
  <c r="AA5" i="48"/>
  <c r="Y5" i="48"/>
  <c r="M4" i="48"/>
  <c r="AA4" i="48"/>
  <c r="Y4" i="48"/>
  <c r="AA53" i="48"/>
  <c r="Y53" i="48"/>
  <c r="AA52" i="48"/>
  <c r="Y52" i="48"/>
  <c r="P45" i="48"/>
  <c r="Z45" i="48" s="1"/>
  <c r="P44" i="48"/>
  <c r="Z44" i="48" s="1"/>
  <c r="P43" i="48"/>
  <c r="Z43" i="48" s="1"/>
  <c r="P42" i="48"/>
  <c r="Z42" i="48" s="1"/>
  <c r="P41" i="48"/>
  <c r="Z41" i="48" s="1"/>
  <c r="AA41" i="48"/>
  <c r="Y41" i="48"/>
  <c r="P40" i="48"/>
  <c r="Z40" i="48" s="1"/>
  <c r="AA40" i="48"/>
  <c r="Y40" i="48"/>
  <c r="P39" i="48"/>
  <c r="Z39" i="48" s="1"/>
  <c r="P38" i="48"/>
  <c r="Z38" i="48" s="1"/>
  <c r="P37" i="48"/>
  <c r="Z37" i="48" s="1"/>
  <c r="AA36" i="48"/>
  <c r="AA35" i="48"/>
  <c r="AA34" i="48"/>
  <c r="AA33" i="48"/>
  <c r="AA32" i="48"/>
  <c r="AA31" i="48"/>
  <c r="AA30" i="48"/>
  <c r="P28" i="48"/>
  <c r="Z28" i="48" s="1"/>
  <c r="P27" i="48"/>
  <c r="Z27" i="48" s="1"/>
  <c r="AA27" i="48"/>
  <c r="Y27" i="48"/>
  <c r="P26" i="48"/>
  <c r="Z26" i="48" s="1"/>
  <c r="P25" i="48"/>
  <c r="Z25" i="48" s="1"/>
  <c r="P24" i="48"/>
  <c r="Z24" i="48" s="1"/>
  <c r="AA23" i="48"/>
  <c r="P22" i="48"/>
  <c r="Z22" i="48" s="1"/>
  <c r="P21" i="48"/>
  <c r="Z21" i="48" s="1"/>
  <c r="AA21" i="48"/>
  <c r="Y21" i="48"/>
  <c r="P20" i="48"/>
  <c r="Z20" i="48" s="1"/>
  <c r="P19" i="48"/>
  <c r="Z19" i="48" s="1"/>
  <c r="AA18" i="48"/>
  <c r="P17" i="48"/>
  <c r="Z17" i="48" s="1"/>
  <c r="AA16" i="48"/>
  <c r="Y16" i="48"/>
  <c r="AA15" i="48"/>
  <c r="Y15" i="48"/>
  <c r="AA10" i="47"/>
  <c r="Y10" i="47"/>
  <c r="AA9" i="47"/>
  <c r="Y9" i="47"/>
  <c r="AA8" i="47"/>
  <c r="Y8" i="47"/>
  <c r="AA7" i="47"/>
  <c r="Y7" i="47"/>
  <c r="AA6" i="47"/>
  <c r="AA11" i="47"/>
  <c r="AA29" i="47"/>
  <c r="AA42" i="47"/>
  <c r="Y6" i="47"/>
  <c r="Y11" i="47"/>
  <c r="Y29" i="47"/>
  <c r="Y42" i="47"/>
  <c r="AA5" i="47"/>
  <c r="Y5" i="47"/>
  <c r="AA4" i="47"/>
  <c r="Y4" i="47"/>
  <c r="AA46" i="47"/>
  <c r="Y46" i="47"/>
  <c r="AA44" i="47"/>
  <c r="Y44" i="47"/>
  <c r="AA39" i="47"/>
  <c r="AA38" i="47"/>
  <c r="Y38" i="47"/>
  <c r="AA37" i="47"/>
  <c r="Y37" i="47"/>
  <c r="AA36" i="47"/>
  <c r="AA41" i="47"/>
  <c r="Y36" i="47"/>
  <c r="Y41" i="47"/>
  <c r="AA35" i="47"/>
  <c r="AA40" i="47"/>
  <c r="Y35" i="47"/>
  <c r="Y40" i="47"/>
  <c r="AA34" i="47"/>
  <c r="Y34" i="47"/>
  <c r="AA33" i="47"/>
  <c r="Y33" i="47"/>
  <c r="AA32" i="47"/>
  <c r="Y32" i="47"/>
  <c r="AA31" i="47"/>
  <c r="Y31" i="47"/>
  <c r="AA30" i="47"/>
  <c r="AA43" i="47"/>
  <c r="Y30" i="47"/>
  <c r="Z27" i="47"/>
  <c r="AA27" i="47"/>
  <c r="AA28" i="47"/>
  <c r="Y27" i="47"/>
  <c r="Z25" i="47"/>
  <c r="AA25" i="47"/>
  <c r="AA24" i="47"/>
  <c r="AA26" i="47"/>
  <c r="Y24" i="47"/>
  <c r="Z23" i="47"/>
  <c r="AA23" i="47"/>
  <c r="Z22" i="47"/>
  <c r="AA22" i="47"/>
  <c r="Z21" i="47"/>
  <c r="AA21" i="47"/>
  <c r="Z20" i="47"/>
  <c r="AA20" i="47"/>
  <c r="Y20" i="47"/>
  <c r="Z19" i="47"/>
  <c r="AA18" i="47"/>
  <c r="Z17" i="47"/>
  <c r="Z16" i="47"/>
  <c r="AA15" i="47"/>
  <c r="Y15" i="47"/>
  <c r="AA14" i="47"/>
  <c r="Z13" i="47"/>
  <c r="AA13" i="47"/>
  <c r="AA12" i="47"/>
  <c r="AA45" i="47"/>
  <c r="Y12" i="47"/>
  <c r="Y45" i="47"/>
  <c r="S46" i="52"/>
  <c r="S45" i="52"/>
  <c r="S43" i="52"/>
  <c r="L246" i="55"/>
  <c r="L238" i="55"/>
  <c r="L230" i="55"/>
  <c r="L222" i="55"/>
  <c r="L214" i="55"/>
  <c r="L206" i="55"/>
  <c r="L198" i="55"/>
  <c r="L190" i="55"/>
  <c r="L182" i="55"/>
  <c r="L174" i="55"/>
  <c r="L166" i="55"/>
  <c r="L158" i="55"/>
  <c r="L150" i="55"/>
  <c r="L142" i="55"/>
  <c r="L134" i="55"/>
  <c r="L126" i="55"/>
  <c r="L118" i="55"/>
  <c r="R118" i="55" s="1"/>
  <c r="L110" i="55"/>
  <c r="L102" i="55"/>
  <c r="L94" i="55"/>
  <c r="L86" i="55"/>
  <c r="L78" i="55"/>
  <c r="L70" i="55"/>
  <c r="R70" i="55" s="1"/>
  <c r="L62" i="55"/>
  <c r="L54" i="55"/>
  <c r="L46" i="55"/>
  <c r="L38" i="55"/>
  <c r="R38" i="55" s="1"/>
  <c r="L30" i="55"/>
  <c r="L22" i="55"/>
  <c r="L14" i="55"/>
  <c r="L6" i="55"/>
  <c r="R237" i="55"/>
  <c r="R173" i="55"/>
  <c r="R133" i="55"/>
  <c r="R77" i="55"/>
  <c r="R53" i="55"/>
  <c r="S23" i="62"/>
  <c r="S22" i="62"/>
  <c r="R185" i="50"/>
  <c r="R155" i="50"/>
  <c r="R112" i="50"/>
  <c r="R110" i="50"/>
  <c r="S11" i="62"/>
  <c r="R241" i="51"/>
  <c r="R160" i="51"/>
  <c r="R151" i="51"/>
  <c r="R107" i="51"/>
  <c r="R61" i="51"/>
  <c r="R35" i="51"/>
  <c r="M51" i="48"/>
  <c r="Y51" i="48" s="1"/>
  <c r="S42" i="52"/>
  <c r="R205" i="57"/>
  <c r="R187" i="57"/>
  <c r="R46" i="57"/>
  <c r="R44" i="57"/>
  <c r="S6" i="52"/>
  <c r="S7" i="52"/>
  <c r="S9" i="52"/>
  <c r="S39" i="52"/>
  <c r="S38" i="52"/>
  <c r="S37" i="52"/>
  <c r="S36" i="52"/>
  <c r="S34" i="52"/>
  <c r="S33" i="52"/>
  <c r="S31" i="52"/>
  <c r="S30" i="52"/>
  <c r="S29" i="52"/>
  <c r="S24" i="52"/>
  <c r="S40" i="52"/>
  <c r="S15" i="52"/>
  <c r="S28" i="52"/>
  <c r="S10" i="52"/>
  <c r="S11" i="52"/>
  <c r="L40" i="52"/>
  <c r="L226" i="62"/>
  <c r="R226" i="62" s="1"/>
  <c r="L224" i="62"/>
  <c r="L222" i="62"/>
  <c r="L220" i="62"/>
  <c r="L200" i="62"/>
  <c r="R200" i="62" s="1"/>
  <c r="L198" i="62"/>
  <c r="R198" i="62" s="1"/>
  <c r="L174" i="62"/>
  <c r="L170" i="62"/>
  <c r="R170" i="62" s="1"/>
  <c r="L164" i="62"/>
  <c r="R164" i="62" s="1"/>
  <c r="L160" i="62"/>
  <c r="R160" i="62" s="1"/>
  <c r="L118" i="62"/>
  <c r="R118" i="62" s="1"/>
  <c r="L96" i="62"/>
  <c r="L55" i="62"/>
  <c r="R55" i="62" s="1"/>
  <c r="M23" i="49"/>
  <c r="M22" i="49"/>
  <c r="Y22" i="49" s="1"/>
  <c r="L238" i="62"/>
  <c r="L180" i="62"/>
  <c r="R180" i="62" s="1"/>
  <c r="L168" i="62"/>
  <c r="L95" i="62"/>
  <c r="R95" i="62" s="1"/>
  <c r="L214" i="62"/>
  <c r="L230" i="62"/>
  <c r="R230" i="62" s="1"/>
  <c r="L196" i="62"/>
  <c r="R196" i="62" s="1"/>
  <c r="L190" i="62"/>
  <c r="S16" i="62"/>
  <c r="L248" i="62"/>
  <c r="R248" i="62" s="1"/>
  <c r="L24" i="62"/>
  <c r="R24" i="62" s="1"/>
  <c r="L235" i="62"/>
  <c r="R235" i="62" s="1"/>
  <c r="L98" i="62"/>
  <c r="L154" i="62"/>
  <c r="R154" i="62" s="1"/>
  <c r="L194" i="62"/>
  <c r="R194" i="62" s="1"/>
  <c r="L188" i="62"/>
  <c r="R188" i="62" s="1"/>
  <c r="L35" i="62"/>
  <c r="R35" i="62" s="1"/>
  <c r="L145" i="62"/>
  <c r="R145" i="62" s="1"/>
  <c r="L65" i="62"/>
  <c r="R65" i="62" s="1"/>
  <c r="R39" i="61"/>
  <c r="L244" i="62"/>
  <c r="R244" i="62" s="1"/>
  <c r="L225" i="62"/>
  <c r="L216" i="62"/>
  <c r="R216" i="62" s="1"/>
  <c r="L206" i="62"/>
  <c r="L185" i="62"/>
  <c r="L182" i="62"/>
  <c r="R182" i="62" s="1"/>
  <c r="L156" i="62"/>
  <c r="L155" i="62"/>
  <c r="L144" i="62"/>
  <c r="L142" i="62"/>
  <c r="R142" i="62" s="1"/>
  <c r="L138" i="62"/>
  <c r="R138" i="62" s="1"/>
  <c r="L134" i="62"/>
  <c r="L128" i="62"/>
  <c r="R128" i="62" s="1"/>
  <c r="L126" i="62"/>
  <c r="R126" i="62" s="1"/>
  <c r="L124" i="62"/>
  <c r="R124" i="62" s="1"/>
  <c r="L102" i="62"/>
  <c r="R102" i="62" s="1"/>
  <c r="L100" i="62"/>
  <c r="R100" i="62" s="1"/>
  <c r="L88" i="62"/>
  <c r="R88" i="62" s="1"/>
  <c r="L86" i="62"/>
  <c r="R86" i="62" s="1"/>
  <c r="L85" i="62"/>
  <c r="L82" i="62"/>
  <c r="R82" i="62" s="1"/>
  <c r="L78" i="62"/>
  <c r="R78" i="62" s="1"/>
  <c r="L76" i="62"/>
  <c r="L74" i="62"/>
  <c r="R74" i="62" s="1"/>
  <c r="L66" i="62"/>
  <c r="L64" i="62"/>
  <c r="R64" i="62" s="1"/>
  <c r="L58" i="62"/>
  <c r="R58" i="62" s="1"/>
  <c r="L56" i="62"/>
  <c r="R56" i="62" s="1"/>
  <c r="L50" i="62"/>
  <c r="L48" i="62"/>
  <c r="R48" i="62" s="1"/>
  <c r="L36" i="62"/>
  <c r="R36" i="62" s="1"/>
  <c r="L34" i="62"/>
  <c r="R34" i="62" s="1"/>
  <c r="L28" i="62"/>
  <c r="R28" i="62" s="1"/>
  <c r="S17" i="62"/>
  <c r="L14" i="62"/>
  <c r="R14" i="62" s="1"/>
  <c r="L4" i="62"/>
  <c r="S4" i="62" s="1"/>
  <c r="S13" i="62"/>
  <c r="S15" i="62"/>
  <c r="S14" i="62"/>
  <c r="L15" i="55"/>
  <c r="R93" i="55"/>
  <c r="M53" i="55"/>
  <c r="R178" i="55"/>
  <c r="R193" i="55"/>
  <c r="R177" i="55"/>
  <c r="R153" i="55"/>
  <c r="R33" i="55"/>
  <c r="M133" i="55"/>
  <c r="R239" i="55"/>
  <c r="R191" i="55"/>
  <c r="R79" i="55"/>
  <c r="R195" i="55"/>
  <c r="R35" i="55"/>
  <c r="L12" i="62"/>
  <c r="R12" i="62" s="1"/>
  <c r="L10" i="62"/>
  <c r="L246" i="62"/>
  <c r="L42" i="62"/>
  <c r="L18" i="62"/>
  <c r="R18" i="62" s="1"/>
  <c r="L16" i="62"/>
  <c r="L210" i="62"/>
  <c r="R210" i="62" s="1"/>
  <c r="L208" i="62"/>
  <c r="R208" i="62" s="1"/>
  <c r="L186" i="62"/>
  <c r="R186" i="62" s="1"/>
  <c r="L184" i="62"/>
  <c r="R184" i="62" s="1"/>
  <c r="L148" i="62"/>
  <c r="L130" i="62"/>
  <c r="L115" i="62"/>
  <c r="R115" i="62" s="1"/>
  <c r="L90" i="62"/>
  <c r="R90" i="62" s="1"/>
  <c r="L68" i="62"/>
  <c r="R68" i="62" s="1"/>
  <c r="L44" i="62"/>
  <c r="L20" i="62"/>
  <c r="R20" i="62" s="1"/>
  <c r="L158" i="62"/>
  <c r="L132" i="62"/>
  <c r="R132" i="62" s="1"/>
  <c r="L106" i="62"/>
  <c r="L104" i="62"/>
  <c r="L94" i="62"/>
  <c r="R94" i="62" s="1"/>
  <c r="L70" i="62"/>
  <c r="L46" i="62"/>
  <c r="R46" i="62" s="1"/>
  <c r="L240" i="62"/>
  <c r="R240" i="62" s="1"/>
  <c r="L136" i="62"/>
  <c r="R136" i="62" s="1"/>
  <c r="L108" i="62"/>
  <c r="R108" i="62" s="1"/>
  <c r="L80" i="62"/>
  <c r="R80" i="62" s="1"/>
  <c r="L52" i="62"/>
  <c r="R52" i="62" s="1"/>
  <c r="L30" i="62"/>
  <c r="R30" i="62" s="1"/>
  <c r="L6" i="62"/>
  <c r="R6" i="62" s="1"/>
  <c r="L140" i="62"/>
  <c r="R140" i="62" s="1"/>
  <c r="L84" i="62"/>
  <c r="R84" i="62" s="1"/>
  <c r="L60" i="62"/>
  <c r="R60" i="62" s="1"/>
  <c r="L54" i="62"/>
  <c r="R54" i="62" s="1"/>
  <c r="L38" i="62"/>
  <c r="R38" i="62" s="1"/>
  <c r="L35" i="52"/>
  <c r="S35" i="52" s="1"/>
  <c r="L20" i="52"/>
  <c r="S20" i="52" s="1"/>
  <c r="L16" i="52"/>
  <c r="R16" i="52" s="1"/>
  <c r="L15" i="52"/>
  <c r="R15" i="52" s="1"/>
  <c r="L14" i="52"/>
  <c r="S14" i="52" s="1"/>
  <c r="L5" i="49"/>
  <c r="M5" i="49" s="1"/>
  <c r="X190" i="49"/>
  <c r="X168" i="49"/>
  <c r="X109" i="49"/>
  <c r="X90" i="49"/>
  <c r="M25" i="47"/>
  <c r="Y25" i="47" s="1"/>
  <c r="X190" i="47"/>
  <c r="X81" i="47"/>
  <c r="X73" i="47"/>
  <c r="X37" i="47"/>
  <c r="M9" i="48"/>
  <c r="X9" i="48" s="1"/>
  <c r="M7" i="48"/>
  <c r="Y7" i="48" s="1"/>
  <c r="M243" i="48"/>
  <c r="M242" i="48"/>
  <c r="M241" i="48"/>
  <c r="X241" i="48" s="1"/>
  <c r="M240" i="48"/>
  <c r="X240" i="48" s="1"/>
  <c r="M239" i="48"/>
  <c r="X239" i="48" s="1"/>
  <c r="M238" i="48"/>
  <c r="X238" i="48" s="1"/>
  <c r="M236" i="48"/>
  <c r="M221" i="48"/>
  <c r="X221" i="48" s="1"/>
  <c r="M219" i="48"/>
  <c r="M216" i="48"/>
  <c r="M214" i="48"/>
  <c r="X214" i="48" s="1"/>
  <c r="M212" i="48"/>
  <c r="X212" i="48" s="1"/>
  <c r="M211" i="48"/>
  <c r="M209" i="48"/>
  <c r="X209" i="48" s="1"/>
  <c r="M208" i="48"/>
  <c r="X208" i="48" s="1"/>
  <c r="M196" i="48"/>
  <c r="X196" i="48" s="1"/>
  <c r="M195" i="48"/>
  <c r="M194" i="48"/>
  <c r="M192" i="48"/>
  <c r="X192" i="48" s="1"/>
  <c r="M177" i="48"/>
  <c r="X177" i="48" s="1"/>
  <c r="M176" i="48"/>
  <c r="X176" i="48" s="1"/>
  <c r="M175" i="48"/>
  <c r="M174" i="48"/>
  <c r="M172" i="48"/>
  <c r="X172" i="48" s="1"/>
  <c r="M170" i="48"/>
  <c r="M154" i="48"/>
  <c r="X154" i="48" s="1"/>
  <c r="M153" i="48"/>
  <c r="X153" i="48" s="1"/>
  <c r="M152" i="48"/>
  <c r="X152" i="48" s="1"/>
  <c r="M151" i="48"/>
  <c r="M150" i="48"/>
  <c r="X150" i="48" s="1"/>
  <c r="M148" i="48"/>
  <c r="M146" i="48"/>
  <c r="X146" i="48" s="1"/>
  <c r="M132" i="48"/>
  <c r="X132" i="48" s="1"/>
  <c r="M131" i="48"/>
  <c r="X131" i="48" s="1"/>
  <c r="M130" i="48"/>
  <c r="X130" i="48" s="1"/>
  <c r="M129" i="48"/>
  <c r="X129" i="48" s="1"/>
  <c r="M128" i="48"/>
  <c r="M126" i="48"/>
  <c r="X126" i="48" s="1"/>
  <c r="M124" i="48"/>
  <c r="X124" i="48" s="1"/>
  <c r="M123" i="48"/>
  <c r="X123" i="48" s="1"/>
  <c r="M121" i="48"/>
  <c r="X121" i="48" s="1"/>
  <c r="M119" i="48"/>
  <c r="X119" i="48" s="1"/>
  <c r="M111" i="48"/>
  <c r="X111" i="48" s="1"/>
  <c r="M110" i="48"/>
  <c r="X110" i="48" s="1"/>
  <c r="M86" i="48"/>
  <c r="X86" i="48" s="1"/>
  <c r="M62" i="48"/>
  <c r="X62" i="48" s="1"/>
  <c r="M60" i="48"/>
  <c r="M31" i="48"/>
  <c r="Y31" i="48" s="1"/>
  <c r="M20" i="48"/>
  <c r="Y20" i="48" s="1"/>
  <c r="S8" i="62"/>
  <c r="L33" i="52"/>
  <c r="R33" i="52" s="1"/>
  <c r="L32" i="52"/>
  <c r="L28" i="52"/>
  <c r="L27" i="52"/>
  <c r="S27" i="52" s="1"/>
  <c r="L26" i="52"/>
  <c r="S26" i="52" s="1"/>
  <c r="L25" i="52"/>
  <c r="R25" i="52" s="1"/>
  <c r="L23" i="52"/>
  <c r="S23" i="52" s="1"/>
  <c r="L21" i="52"/>
  <c r="R21" i="52" s="1"/>
  <c r="L18" i="52"/>
  <c r="S18" i="52" s="1"/>
  <c r="L17" i="52"/>
  <c r="S17" i="52" s="1"/>
  <c r="L18" i="55"/>
  <c r="L17" i="55"/>
  <c r="R17" i="55" s="1"/>
  <c r="L8" i="62"/>
  <c r="M26" i="47"/>
  <c r="X26" i="47" s="1"/>
  <c r="P4" i="48"/>
  <c r="Z4" i="48" s="1"/>
  <c r="P244" i="48"/>
  <c r="Z244" i="48" s="1"/>
  <c r="M217" i="48"/>
  <c r="X217" i="48" s="1"/>
  <c r="M107" i="48"/>
  <c r="M66" i="48"/>
  <c r="L130" i="48"/>
  <c r="M247" i="48"/>
  <c r="X247" i="48" s="1"/>
  <c r="P247" i="48"/>
  <c r="Z247" i="48" s="1"/>
  <c r="M225" i="48"/>
  <c r="X225" i="48" s="1"/>
  <c r="P225" i="48"/>
  <c r="Z225" i="48" s="1"/>
  <c r="M137" i="48"/>
  <c r="X137" i="48" s="1"/>
  <c r="P137" i="48"/>
  <c r="Z137" i="48" s="1"/>
  <c r="M115" i="48"/>
  <c r="X115" i="48" s="1"/>
  <c r="P115" i="48"/>
  <c r="Z115" i="48" s="1"/>
  <c r="M71" i="48"/>
  <c r="X71" i="48" s="1"/>
  <c r="P71" i="48"/>
  <c r="Z71" i="48" s="1"/>
  <c r="M49" i="48"/>
  <c r="P49" i="48"/>
  <c r="M87" i="48"/>
  <c r="X87" i="48" s="1"/>
  <c r="P156" i="48"/>
  <c r="Z156" i="48" s="1"/>
  <c r="P113" i="48"/>
  <c r="Z113" i="48" s="1"/>
  <c r="M198" i="48"/>
  <c r="X198" i="48" s="1"/>
  <c r="M155" i="48"/>
  <c r="L236" i="48"/>
  <c r="M237" i="48"/>
  <c r="X237" i="48" s="1"/>
  <c r="L237" i="48"/>
  <c r="M215" i="48"/>
  <c r="L215" i="48"/>
  <c r="M149" i="48"/>
  <c r="X149" i="48" s="1"/>
  <c r="L149" i="48"/>
  <c r="L61" i="48"/>
  <c r="M61" i="48" s="1"/>
  <c r="L39" i="48"/>
  <c r="M39" i="48" s="1"/>
  <c r="L16" i="48"/>
  <c r="M16" i="48" s="1"/>
  <c r="X16" i="48" s="1"/>
  <c r="M50" i="48"/>
  <c r="X50" i="48" s="1"/>
  <c r="P50" i="48"/>
  <c r="P69" i="48"/>
  <c r="Z69" i="48" s="1"/>
  <c r="M213" i="48"/>
  <c r="X213" i="48" s="1"/>
  <c r="L213" i="48"/>
  <c r="L191" i="48"/>
  <c r="M191" i="48"/>
  <c r="X191" i="48" s="1"/>
  <c r="M147" i="48"/>
  <c r="X147" i="48" s="1"/>
  <c r="L147" i="48"/>
  <c r="M125" i="48"/>
  <c r="X125" i="48" s="1"/>
  <c r="L125" i="48"/>
  <c r="L59" i="48"/>
  <c r="M59" i="48" s="1"/>
  <c r="X59" i="48" s="1"/>
  <c r="L37" i="48"/>
  <c r="M37" i="48" s="1"/>
  <c r="L15" i="48"/>
  <c r="M15" i="48" s="1"/>
  <c r="X15" i="48" s="1"/>
  <c r="M204" i="48"/>
  <c r="X204" i="48" s="1"/>
  <c r="P204" i="48"/>
  <c r="Z204" i="48" s="1"/>
  <c r="M138" i="48"/>
  <c r="X138" i="48" s="1"/>
  <c r="P138" i="48"/>
  <c r="Z138" i="48" s="1"/>
  <c r="M14" i="48"/>
  <c r="M136" i="48"/>
  <c r="P136" i="48"/>
  <c r="Z136" i="48" s="1"/>
  <c r="P157" i="48"/>
  <c r="Z157" i="48" s="1"/>
  <c r="M199" i="48"/>
  <c r="X199" i="48" s="1"/>
  <c r="L88" i="48"/>
  <c r="M88" i="48" s="1"/>
  <c r="X88" i="48" s="1"/>
  <c r="M112" i="48"/>
  <c r="X112" i="48" s="1"/>
  <c r="P112" i="48"/>
  <c r="Z112" i="48" s="1"/>
  <c r="M11" i="48"/>
  <c r="X11" i="48" s="1"/>
  <c r="L194" i="48"/>
  <c r="L44" i="48"/>
  <c r="M44" i="48" s="1"/>
  <c r="Y44" i="48" s="1"/>
  <c r="M43" i="48"/>
  <c r="Y43" i="48" s="1"/>
  <c r="L192" i="48"/>
  <c r="P182" i="48"/>
  <c r="Z182" i="48" s="1"/>
  <c r="M193" i="48"/>
  <c r="X193" i="48" s="1"/>
  <c r="M42" i="48"/>
  <c r="Y42" i="48" s="1"/>
  <c r="L152" i="48"/>
  <c r="M210" i="48"/>
  <c r="X210" i="48" s="1"/>
  <c r="L210" i="48"/>
  <c r="L188" i="48"/>
  <c r="M188" i="48"/>
  <c r="X188" i="48" s="1"/>
  <c r="M122" i="48"/>
  <c r="L122" i="48"/>
  <c r="L56" i="48"/>
  <c r="M56" i="48" s="1"/>
  <c r="Y56" i="48" s="1"/>
  <c r="P181" i="48"/>
  <c r="Z181" i="48" s="1"/>
  <c r="M41" i="48"/>
  <c r="X41" i="48" s="1"/>
  <c r="L151" i="48"/>
  <c r="M249" i="48"/>
  <c r="X249" i="48" s="1"/>
  <c r="P249" i="48"/>
  <c r="Z249" i="48" s="1"/>
  <c r="M161" i="48"/>
  <c r="X161" i="48" s="1"/>
  <c r="P161" i="48"/>
  <c r="Z161" i="48" s="1"/>
  <c r="M73" i="48"/>
  <c r="X73" i="48" s="1"/>
  <c r="P73" i="48"/>
  <c r="Z73" i="48" s="1"/>
  <c r="L242" i="48"/>
  <c r="M248" i="48"/>
  <c r="X248" i="48" s="1"/>
  <c r="P248" i="48"/>
  <c r="Z248" i="48" s="1"/>
  <c r="P117" i="48"/>
  <c r="Z117" i="48" s="1"/>
  <c r="M70" i="48"/>
  <c r="X70" i="48" s="1"/>
  <c r="P70" i="48"/>
  <c r="Z70" i="48" s="1"/>
  <c r="P114" i="48"/>
  <c r="Z114" i="48" s="1"/>
  <c r="M134" i="48"/>
  <c r="X134" i="48" s="1"/>
  <c r="P134" i="48"/>
  <c r="Z134" i="48" s="1"/>
  <c r="L86" i="48"/>
  <c r="L195" i="48"/>
  <c r="L85" i="48"/>
  <c r="M85" i="48" s="1"/>
  <c r="L45" i="48"/>
  <c r="M45" i="48" s="1"/>
  <c r="Y45" i="48" s="1"/>
  <c r="P68" i="48"/>
  <c r="Z68" i="48" s="1"/>
  <c r="L84" i="48"/>
  <c r="M84" i="48" s="1"/>
  <c r="P183" i="48"/>
  <c r="Z183" i="48" s="1"/>
  <c r="L153" i="48"/>
  <c r="L82" i="48"/>
  <c r="M82" i="48" s="1"/>
  <c r="P180" i="48"/>
  <c r="Z180" i="48" s="1"/>
  <c r="M235" i="48"/>
  <c r="X235" i="48" s="1"/>
  <c r="M133" i="48"/>
  <c r="M40" i="48"/>
  <c r="X40" i="48" s="1"/>
  <c r="L221" i="48"/>
  <c r="L150" i="48"/>
  <c r="L111" i="48"/>
  <c r="P179" i="48"/>
  <c r="Z179" i="48" s="1"/>
  <c r="P95" i="48"/>
  <c r="Z95" i="48" s="1"/>
  <c r="M83" i="48"/>
  <c r="M38" i="48"/>
  <c r="L148" i="48"/>
  <c r="L110" i="48"/>
  <c r="M139" i="48"/>
  <c r="X139" i="48" s="1"/>
  <c r="P139" i="48"/>
  <c r="Z139" i="48" s="1"/>
  <c r="P205" i="48"/>
  <c r="Z205" i="48" s="1"/>
  <c r="M226" i="48"/>
  <c r="X226" i="48" s="1"/>
  <c r="P226" i="48"/>
  <c r="Z226" i="48" s="1"/>
  <c r="M160" i="48"/>
  <c r="P160" i="48"/>
  <c r="Z160" i="48" s="1"/>
  <c r="P158" i="48"/>
  <c r="Z158" i="48" s="1"/>
  <c r="L89" i="48"/>
  <c r="M89" i="48" s="1"/>
  <c r="M201" i="48"/>
  <c r="X201" i="48" s="1"/>
  <c r="P201" i="48"/>
  <c r="Z201" i="48" s="1"/>
  <c r="M135" i="48"/>
  <c r="P135" i="48"/>
  <c r="Z135" i="48" s="1"/>
  <c r="M47" i="48"/>
  <c r="Y47" i="48" s="1"/>
  <c r="P47" i="48"/>
  <c r="M222" i="48"/>
  <c r="X222" i="48" s="1"/>
  <c r="P222" i="48"/>
  <c r="Z222" i="48" s="1"/>
  <c r="M200" i="48"/>
  <c r="P200" i="48"/>
  <c r="Z200" i="48" s="1"/>
  <c r="M46" i="48"/>
  <c r="Y46" i="48" s="1"/>
  <c r="P46" i="48"/>
  <c r="L196" i="48"/>
  <c r="P178" i="48"/>
  <c r="Z178" i="48" s="1"/>
  <c r="L219" i="48"/>
  <c r="P93" i="48"/>
  <c r="Z93" i="48" s="1"/>
  <c r="M173" i="48"/>
  <c r="X173" i="48" s="1"/>
  <c r="M81" i="48"/>
  <c r="P92" i="48"/>
  <c r="Z92" i="48" s="1"/>
  <c r="L177" i="48"/>
  <c r="L67" i="48"/>
  <c r="M67" i="48" s="1"/>
  <c r="P91" i="48"/>
  <c r="Z91" i="48" s="1"/>
  <c r="M171" i="48"/>
  <c r="X171" i="48" s="1"/>
  <c r="M127" i="48"/>
  <c r="X127" i="48" s="1"/>
  <c r="L216" i="48"/>
  <c r="L176" i="48"/>
  <c r="M227" i="48"/>
  <c r="P227" i="48"/>
  <c r="Z227" i="48" s="1"/>
  <c r="P29" i="48"/>
  <c r="M29" i="48"/>
  <c r="Y29" i="48" s="1"/>
  <c r="M72" i="48"/>
  <c r="X72" i="48" s="1"/>
  <c r="P72" i="48"/>
  <c r="Z72" i="48" s="1"/>
  <c r="M224" i="48"/>
  <c r="X224" i="48" s="1"/>
  <c r="P224" i="48"/>
  <c r="Z224" i="48" s="1"/>
  <c r="M48" i="48"/>
  <c r="Y48" i="48" s="1"/>
  <c r="P48" i="48"/>
  <c r="P116" i="48"/>
  <c r="Z116" i="48" s="1"/>
  <c r="M223" i="48"/>
  <c r="X223" i="48" s="1"/>
  <c r="P223" i="48"/>
  <c r="Z223" i="48" s="1"/>
  <c r="M12" i="48"/>
  <c r="X12" i="48" s="1"/>
  <c r="M10" i="48"/>
  <c r="X10" i="48" s="1"/>
  <c r="L154" i="48"/>
  <c r="P94" i="48"/>
  <c r="Z94" i="48" s="1"/>
  <c r="P90" i="48"/>
  <c r="Z90" i="48" s="1"/>
  <c r="M78" i="48"/>
  <c r="X78" i="48" s="1"/>
  <c r="L214" i="48"/>
  <c r="L175" i="48"/>
  <c r="P51" i="48"/>
  <c r="M169" i="48"/>
  <c r="X169" i="48" s="1"/>
  <c r="L174" i="48"/>
  <c r="L64" i="48"/>
  <c r="M64" i="48" s="1"/>
  <c r="X64" i="48" s="1"/>
  <c r="L63" i="48"/>
  <c r="M63" i="48" s="1"/>
  <c r="X63" i="48" s="1"/>
  <c r="L58" i="48"/>
  <c r="M58" i="48" s="1"/>
  <c r="L211" i="48"/>
  <c r="L123" i="48"/>
  <c r="M186" i="48"/>
  <c r="M18" i="48"/>
  <c r="Y18" i="48" s="1"/>
  <c r="X90" i="48"/>
  <c r="R90" i="48"/>
  <c r="L146" i="48"/>
  <c r="M187" i="48"/>
  <c r="X187" i="48" s="1"/>
  <c r="L57" i="48"/>
  <c r="M57" i="48" s="1"/>
  <c r="Y57" i="48" s="1"/>
  <c r="M185" i="48"/>
  <c r="X185" i="48" s="1"/>
  <c r="M17" i="48"/>
  <c r="L209" i="48"/>
  <c r="L121" i="48"/>
  <c r="L212" i="48"/>
  <c r="L208" i="48"/>
  <c r="M27" i="48"/>
  <c r="L119" i="48"/>
  <c r="M120" i="48"/>
  <c r="X120" i="48" s="1"/>
  <c r="M36" i="48"/>
  <c r="Y36" i="48" s="1"/>
  <c r="M34" i="48"/>
  <c r="M33" i="48"/>
  <c r="M32" i="48"/>
  <c r="Y32" i="48" s="1"/>
  <c r="M24" i="47"/>
  <c r="M23" i="47"/>
  <c r="M22" i="47"/>
  <c r="M30" i="48"/>
  <c r="M28" i="48"/>
  <c r="M6" i="49"/>
  <c r="Y6" i="49" s="1"/>
  <c r="P6" i="49"/>
  <c r="B22" i="66"/>
  <c r="B21" i="66"/>
  <c r="B23" i="66"/>
  <c r="B12" i="66"/>
  <c r="L10" i="55"/>
  <c r="L11" i="52"/>
  <c r="R11" i="52" s="1"/>
  <c r="M21" i="47"/>
  <c r="Y21" i="47" s="1"/>
  <c r="M20" i="47"/>
  <c r="X20" i="47" s="1"/>
  <c r="M18" i="47"/>
  <c r="Y18" i="47" s="1"/>
  <c r="M16" i="47"/>
  <c r="M15" i="47"/>
  <c r="X15" i="47" s="1"/>
  <c r="M17" i="47"/>
  <c r="L13" i="52"/>
  <c r="L12" i="52"/>
  <c r="S12" i="52" s="1"/>
  <c r="M26" i="48"/>
  <c r="Y26" i="48" s="1"/>
  <c r="M25" i="48"/>
  <c r="Y25" i="48" s="1"/>
  <c r="M24" i="48"/>
  <c r="Y24" i="48" s="1"/>
  <c r="L23" i="48"/>
  <c r="M23" i="48" s="1"/>
  <c r="L22" i="48"/>
  <c r="M22" i="48" s="1"/>
  <c r="M21" i="48"/>
  <c r="X21" i="48" s="1"/>
  <c r="L14" i="47"/>
  <c r="M14" i="47" s="1"/>
  <c r="M13" i="47"/>
  <c r="M12" i="47"/>
  <c r="X12" i="47" s="1"/>
  <c r="M11" i="47"/>
  <c r="X11" i="47" s="1"/>
  <c r="M19" i="48"/>
  <c r="M39" i="61"/>
  <c r="R155" i="61"/>
  <c r="R132" i="60"/>
  <c r="R112" i="60"/>
  <c r="M166" i="60"/>
  <c r="R186" i="60"/>
  <c r="R89" i="59"/>
  <c r="M193" i="59"/>
  <c r="M183" i="59"/>
  <c r="R107" i="58"/>
  <c r="M98" i="58"/>
  <c r="R88" i="58"/>
  <c r="R66" i="58"/>
  <c r="M127" i="58"/>
  <c r="R58" i="58"/>
  <c r="R167" i="58"/>
  <c r="M21" i="58"/>
  <c r="R145" i="58"/>
  <c r="M195" i="57"/>
  <c r="M46" i="57"/>
  <c r="R14" i="57"/>
  <c r="M205" i="57"/>
  <c r="R110" i="56"/>
  <c r="R90" i="56"/>
  <c r="M211" i="56"/>
  <c r="M167" i="56"/>
  <c r="M190" i="56"/>
  <c r="M156" i="56"/>
  <c r="R22" i="56"/>
  <c r="M79" i="55"/>
  <c r="M35" i="55"/>
  <c r="M239" i="55"/>
  <c r="M153" i="55"/>
  <c r="M237" i="55"/>
  <c r="M193" i="55"/>
  <c r="M191" i="55"/>
  <c r="M173" i="55"/>
  <c r="R37" i="55"/>
  <c r="R159" i="55"/>
  <c r="M241" i="54"/>
  <c r="M240" i="54"/>
  <c r="M24" i="54"/>
  <c r="M90" i="54"/>
  <c r="R222" i="51"/>
  <c r="M151" i="51"/>
  <c r="M107" i="51"/>
  <c r="R127" i="51"/>
  <c r="M241" i="51"/>
  <c r="R152" i="51"/>
  <c r="R87" i="51"/>
  <c r="M35" i="51"/>
  <c r="R168" i="50"/>
  <c r="M155" i="50"/>
  <c r="M110" i="50"/>
  <c r="M112" i="50"/>
  <c r="R45" i="50"/>
  <c r="M23" i="46"/>
  <c r="R43" i="46"/>
  <c r="R155" i="46"/>
  <c r="R102" i="49"/>
  <c r="R90" i="49"/>
  <c r="X112" i="49"/>
  <c r="R44" i="48"/>
  <c r="R43" i="48"/>
  <c r="X220" i="47"/>
  <c r="X221" i="47"/>
  <c r="R81" i="47"/>
  <c r="R37" i="47"/>
  <c r="R15" i="47"/>
  <c r="X161" i="47"/>
  <c r="R24" i="47"/>
  <c r="L249" i="62"/>
  <c r="R249" i="62" s="1"/>
  <c r="L247" i="62"/>
  <c r="R247" i="62" s="1"/>
  <c r="L245" i="62"/>
  <c r="R245" i="62" s="1"/>
  <c r="L243" i="62"/>
  <c r="R243" i="62" s="1"/>
  <c r="L242" i="62"/>
  <c r="R242" i="62" s="1"/>
  <c r="L241" i="62"/>
  <c r="R241" i="62" s="1"/>
  <c r="L239" i="62"/>
  <c r="R239" i="62" s="1"/>
  <c r="L237" i="62"/>
  <c r="R237" i="62" s="1"/>
  <c r="L233" i="62"/>
  <c r="R233" i="62" s="1"/>
  <c r="L231" i="62"/>
  <c r="R231" i="62" s="1"/>
  <c r="L229" i="62"/>
  <c r="R229" i="62" s="1"/>
  <c r="L227" i="62"/>
  <c r="R227" i="62" s="1"/>
  <c r="L223" i="62"/>
  <c r="R223" i="62" s="1"/>
  <c r="R222" i="62"/>
  <c r="L221" i="62"/>
  <c r="R221" i="62" s="1"/>
  <c r="L219" i="62"/>
  <c r="R219" i="62" s="1"/>
  <c r="L217" i="62"/>
  <c r="R217" i="62" s="1"/>
  <c r="L215" i="62"/>
  <c r="R215" i="62" s="1"/>
  <c r="L213" i="62"/>
  <c r="R213" i="62" s="1"/>
  <c r="L212" i="62"/>
  <c r="R212" i="62" s="1"/>
  <c r="L211" i="62"/>
  <c r="R211" i="62" s="1"/>
  <c r="L209" i="62"/>
  <c r="R209" i="62" s="1"/>
  <c r="L207" i="62"/>
  <c r="R207" i="62" s="1"/>
  <c r="L203" i="62"/>
  <c r="R203" i="62" s="1"/>
  <c r="L202" i="62"/>
  <c r="R202" i="62" s="1"/>
  <c r="L201" i="62"/>
  <c r="R201" i="62" s="1"/>
  <c r="L199" i="62"/>
  <c r="R199" i="62" s="1"/>
  <c r="L197" i="62"/>
  <c r="R197" i="62" s="1"/>
  <c r="L195" i="62"/>
  <c r="R195" i="62" s="1"/>
  <c r="L193" i="62"/>
  <c r="R193" i="62" s="1"/>
  <c r="L192" i="62"/>
  <c r="R192" i="62" s="1"/>
  <c r="L191" i="62"/>
  <c r="R191" i="62" s="1"/>
  <c r="L189" i="62"/>
  <c r="R189" i="62" s="1"/>
  <c r="L187" i="62"/>
  <c r="R187" i="62" s="1"/>
  <c r="L183" i="62"/>
  <c r="R183" i="62" s="1"/>
  <c r="L181" i="62"/>
  <c r="R181" i="62" s="1"/>
  <c r="L179" i="62"/>
  <c r="R179" i="62" s="1"/>
  <c r="L177" i="62"/>
  <c r="R177" i="62" s="1"/>
  <c r="L173" i="62"/>
  <c r="R173" i="62" s="1"/>
  <c r="R172" i="62"/>
  <c r="L171" i="62"/>
  <c r="R171" i="62" s="1"/>
  <c r="L169" i="62"/>
  <c r="R169" i="62" s="1"/>
  <c r="L167" i="62"/>
  <c r="R167" i="62" s="1"/>
  <c r="L165" i="62"/>
  <c r="R165" i="62" s="1"/>
  <c r="L163" i="62"/>
  <c r="R163" i="62" s="1"/>
  <c r="L162" i="62"/>
  <c r="R162" i="62" s="1"/>
  <c r="L161" i="62"/>
  <c r="R161" i="62" s="1"/>
  <c r="L159" i="62"/>
  <c r="R159" i="62" s="1"/>
  <c r="L157" i="62"/>
  <c r="R157" i="62" s="1"/>
  <c r="L153" i="62"/>
  <c r="R153" i="62" s="1"/>
  <c r="L152" i="62"/>
  <c r="R152" i="62" s="1"/>
  <c r="L151" i="62"/>
  <c r="R151" i="62" s="1"/>
  <c r="L149" i="62"/>
  <c r="R149" i="62" s="1"/>
  <c r="L147" i="62"/>
  <c r="R147" i="62" s="1"/>
  <c r="L143" i="62"/>
  <c r="R143" i="62" s="1"/>
  <c r="L141" i="62"/>
  <c r="R141" i="62" s="1"/>
  <c r="L139" i="62"/>
  <c r="R139" i="62" s="1"/>
  <c r="L137" i="62"/>
  <c r="R137" i="62" s="1"/>
  <c r="L135" i="62"/>
  <c r="R135" i="62" s="1"/>
  <c r="L133" i="62"/>
  <c r="R133" i="62" s="1"/>
  <c r="L131" i="62"/>
  <c r="R131" i="62" s="1"/>
  <c r="L129" i="62"/>
  <c r="R129" i="62" s="1"/>
  <c r="L127" i="62"/>
  <c r="R127" i="62" s="1"/>
  <c r="L125" i="62"/>
  <c r="R125" i="62" s="1"/>
  <c r="L123" i="62"/>
  <c r="R123" i="62" s="1"/>
  <c r="L122" i="62"/>
  <c r="R122" i="62" s="1"/>
  <c r="L121" i="62"/>
  <c r="R121" i="62" s="1"/>
  <c r="L119" i="62"/>
  <c r="R119" i="62" s="1"/>
  <c r="L117" i="62"/>
  <c r="R117" i="62" s="1"/>
  <c r="L113" i="62"/>
  <c r="R113" i="62" s="1"/>
  <c r="L111" i="62"/>
  <c r="R111" i="62" s="1"/>
  <c r="L109" i="62"/>
  <c r="R109" i="62" s="1"/>
  <c r="L107" i="62"/>
  <c r="R107" i="62" s="1"/>
  <c r="L105" i="62"/>
  <c r="R105" i="62" s="1"/>
  <c r="L103" i="62"/>
  <c r="R103" i="62" s="1"/>
  <c r="L101" i="62"/>
  <c r="R101" i="62" s="1"/>
  <c r="L99" i="62"/>
  <c r="R99" i="62" s="1"/>
  <c r="L97" i="62"/>
  <c r="R97" i="62" s="1"/>
  <c r="L93" i="62"/>
  <c r="R93" i="62" s="1"/>
  <c r="L92" i="62"/>
  <c r="R92" i="62" s="1"/>
  <c r="L91" i="62"/>
  <c r="R91" i="62" s="1"/>
  <c r="L89" i="62"/>
  <c r="R89" i="62" s="1"/>
  <c r="L87" i="62"/>
  <c r="R87" i="62" s="1"/>
  <c r="R85" i="62"/>
  <c r="L83" i="62"/>
  <c r="R83" i="62" s="1"/>
  <c r="L81" i="62"/>
  <c r="R81" i="62" s="1"/>
  <c r="L79" i="62"/>
  <c r="R79" i="62" s="1"/>
  <c r="L77" i="62"/>
  <c r="R77" i="62" s="1"/>
  <c r="L75" i="62"/>
  <c r="R75" i="62" s="1"/>
  <c r="L73" i="62"/>
  <c r="R73" i="62" s="1"/>
  <c r="L72" i="62"/>
  <c r="R72" i="62" s="1"/>
  <c r="L71" i="62"/>
  <c r="R71" i="62" s="1"/>
  <c r="L69" i="62"/>
  <c r="R69" i="62" s="1"/>
  <c r="L67" i="62"/>
  <c r="R67" i="62" s="1"/>
  <c r="L63" i="62"/>
  <c r="R63" i="62" s="1"/>
  <c r="L62" i="62"/>
  <c r="R62" i="62" s="1"/>
  <c r="L61" i="62"/>
  <c r="R61" i="62" s="1"/>
  <c r="L59" i="62"/>
  <c r="R59" i="62" s="1"/>
  <c r="L57" i="62"/>
  <c r="R57" i="62" s="1"/>
  <c r="L53" i="62"/>
  <c r="R53" i="62" s="1"/>
  <c r="L51" i="62"/>
  <c r="R51" i="62" s="1"/>
  <c r="L49" i="62"/>
  <c r="R49" i="62" s="1"/>
  <c r="L47" i="62"/>
  <c r="L45" i="62"/>
  <c r="R45" i="62" s="1"/>
  <c r="L43" i="62"/>
  <c r="R43" i="62" s="1"/>
  <c r="L41" i="62"/>
  <c r="R41" i="62" s="1"/>
  <c r="L39" i="62"/>
  <c r="R39" i="62" s="1"/>
  <c r="L37" i="62"/>
  <c r="R37" i="62" s="1"/>
  <c r="L33" i="62"/>
  <c r="R33" i="62" s="1"/>
  <c r="L32" i="62"/>
  <c r="R32" i="62" s="1"/>
  <c r="L31" i="62"/>
  <c r="L29" i="62"/>
  <c r="L27" i="62"/>
  <c r="R27" i="62" s="1"/>
  <c r="L25" i="62"/>
  <c r="L23" i="62"/>
  <c r="R23" i="62" s="1"/>
  <c r="L22" i="62"/>
  <c r="R22" i="62" s="1"/>
  <c r="L21" i="62"/>
  <c r="R21" i="62" s="1"/>
  <c r="L19" i="62"/>
  <c r="R19" i="62" s="1"/>
  <c r="L17" i="62"/>
  <c r="R17" i="62" s="1"/>
  <c r="L15" i="62"/>
  <c r="R15" i="62" s="1"/>
  <c r="L13" i="62"/>
  <c r="R13" i="62" s="1"/>
  <c r="L11" i="62"/>
  <c r="R11" i="62" s="1"/>
  <c r="L9" i="62"/>
  <c r="R173" i="56"/>
  <c r="R7" i="59"/>
  <c r="X133" i="49"/>
  <c r="R94" i="46"/>
  <c r="R109" i="54"/>
  <c r="R9" i="54"/>
  <c r="R172" i="56"/>
  <c r="R30" i="58"/>
  <c r="R228" i="59"/>
  <c r="R108" i="59"/>
  <c r="R181" i="61"/>
  <c r="R32" i="61"/>
  <c r="R148" i="62"/>
  <c r="X207" i="47"/>
  <c r="X87" i="47"/>
  <c r="X219" i="48"/>
  <c r="R174" i="46"/>
  <c r="R108" i="54"/>
  <c r="R8" i="54"/>
  <c r="R94" i="55"/>
  <c r="R36" i="56"/>
  <c r="R227" i="59"/>
  <c r="R105" i="59"/>
  <c r="R152" i="60"/>
  <c r="R32" i="60"/>
  <c r="R175" i="61"/>
  <c r="R15" i="61"/>
  <c r="X134" i="49"/>
  <c r="R190" i="46"/>
  <c r="R28" i="46"/>
  <c r="X205" i="47"/>
  <c r="X147" i="47"/>
  <c r="R10" i="46"/>
  <c r="R106" i="54"/>
  <c r="R209" i="54"/>
  <c r="R90" i="46"/>
  <c r="R169" i="46"/>
  <c r="R13" i="56"/>
  <c r="X248" i="47"/>
  <c r="X139" i="47"/>
  <c r="X179" i="48"/>
  <c r="X175" i="49"/>
  <c r="X12" i="49"/>
  <c r="R230" i="46"/>
  <c r="R152" i="50"/>
  <c r="R32" i="50"/>
  <c r="R207" i="51"/>
  <c r="R59" i="51"/>
  <c r="R243" i="52"/>
  <c r="R188" i="54"/>
  <c r="R80" i="54"/>
  <c r="R169" i="55"/>
  <c r="R239" i="56"/>
  <c r="R136" i="56"/>
  <c r="R184" i="57"/>
  <c r="R188" i="59"/>
  <c r="R87" i="59"/>
  <c r="R234" i="62"/>
  <c r="X187" i="47"/>
  <c r="R153" i="46"/>
  <c r="R73" i="46"/>
  <c r="X247" i="47"/>
  <c r="X186" i="47"/>
  <c r="X138" i="47"/>
  <c r="X174" i="49"/>
  <c r="R229" i="46"/>
  <c r="R151" i="46"/>
  <c r="R71" i="46"/>
  <c r="R149" i="50"/>
  <c r="R30" i="50"/>
  <c r="R42" i="52"/>
  <c r="R68" i="54"/>
  <c r="R165" i="55"/>
  <c r="R133" i="56"/>
  <c r="R25" i="57"/>
  <c r="R225" i="58"/>
  <c r="R97" i="58"/>
  <c r="R187" i="59"/>
  <c r="R84" i="59"/>
  <c r="R105" i="60"/>
  <c r="R135" i="61"/>
  <c r="R228" i="54"/>
  <c r="R88" i="59"/>
  <c r="X127" i="47"/>
  <c r="R29" i="50"/>
  <c r="R223" i="52"/>
  <c r="R51" i="54"/>
  <c r="R166" i="57"/>
  <c r="R24" i="57"/>
  <c r="R212" i="58"/>
  <c r="R69" i="59"/>
  <c r="R102" i="60"/>
  <c r="R132" i="61"/>
  <c r="R89" i="54"/>
  <c r="X67" i="47"/>
  <c r="X170" i="48"/>
  <c r="X173" i="49"/>
  <c r="X96" i="49"/>
  <c r="R228" i="46"/>
  <c r="R150" i="46"/>
  <c r="R70" i="46"/>
  <c r="R55" i="51"/>
  <c r="X242" i="47"/>
  <c r="X183" i="47"/>
  <c r="X124" i="47"/>
  <c r="X64" i="47"/>
  <c r="X172" i="49"/>
  <c r="X93" i="49"/>
  <c r="R225" i="46"/>
  <c r="R149" i="46"/>
  <c r="R69" i="46"/>
  <c r="R134" i="50"/>
  <c r="R179" i="51"/>
  <c r="R47" i="51"/>
  <c r="R220" i="52"/>
  <c r="R180" i="54"/>
  <c r="R49" i="54"/>
  <c r="R243" i="55"/>
  <c r="R155" i="55"/>
  <c r="R55" i="55"/>
  <c r="R213" i="56"/>
  <c r="R113" i="56"/>
  <c r="R165" i="57"/>
  <c r="R87" i="58"/>
  <c r="R173" i="59"/>
  <c r="R49" i="59"/>
  <c r="R242" i="60"/>
  <c r="R92" i="60"/>
  <c r="R115" i="61"/>
  <c r="R250" i="46"/>
  <c r="R148" i="46"/>
  <c r="R54" i="46"/>
  <c r="R250" i="50"/>
  <c r="R175" i="51"/>
  <c r="R210" i="52"/>
  <c r="R171" i="54"/>
  <c r="R48" i="54"/>
  <c r="R242" i="55"/>
  <c r="R212" i="56"/>
  <c r="R72" i="58"/>
  <c r="R168" i="59"/>
  <c r="R48" i="59"/>
  <c r="R241" i="60"/>
  <c r="R88" i="60"/>
  <c r="R95" i="61"/>
  <c r="R14" i="56"/>
  <c r="R213" i="46"/>
  <c r="R130" i="46"/>
  <c r="R53" i="46"/>
  <c r="R167" i="51"/>
  <c r="R96" i="56"/>
  <c r="R167" i="59"/>
  <c r="R47" i="59"/>
  <c r="R241" i="61"/>
  <c r="R162" i="51"/>
  <c r="R190" i="52"/>
  <c r="R149" i="54"/>
  <c r="R126" i="57"/>
  <c r="R6" i="57"/>
  <c r="R148" i="59"/>
  <c r="R232" i="60"/>
  <c r="R235" i="61"/>
  <c r="R229" i="54"/>
  <c r="R125" i="57"/>
  <c r="R5" i="57"/>
  <c r="R250" i="59"/>
  <c r="R147" i="59"/>
  <c r="R192" i="60"/>
  <c r="R69" i="60"/>
  <c r="R221" i="61"/>
  <c r="R81" i="61"/>
  <c r="R250" i="62"/>
  <c r="R158" i="62"/>
  <c r="X167" i="47"/>
  <c r="X234" i="49"/>
  <c r="X73" i="49"/>
  <c r="R51" i="46"/>
  <c r="X224" i="47"/>
  <c r="X165" i="47"/>
  <c r="X108" i="47"/>
  <c r="X50" i="47"/>
  <c r="X117" i="48"/>
  <c r="X232" i="49"/>
  <c r="R209" i="46"/>
  <c r="R111" i="46"/>
  <c r="R98" i="50"/>
  <c r="R21" i="51"/>
  <c r="R160" i="52"/>
  <c r="R145" i="54"/>
  <c r="R235" i="55"/>
  <c r="R129" i="55"/>
  <c r="R73" i="56"/>
  <c r="R120" i="57"/>
  <c r="R65" i="58"/>
  <c r="R249" i="59"/>
  <c r="R62" i="60"/>
  <c r="R213" i="61"/>
  <c r="R75" i="61"/>
  <c r="X228" i="47"/>
  <c r="R211" i="46"/>
  <c r="R210" i="46"/>
  <c r="X223" i="47"/>
  <c r="X164" i="47"/>
  <c r="X107" i="47"/>
  <c r="X47" i="47"/>
  <c r="R208" i="46"/>
  <c r="R110" i="46"/>
  <c r="R34" i="46"/>
  <c r="R230" i="50"/>
  <c r="R96" i="50"/>
  <c r="R15" i="51"/>
  <c r="R131" i="54"/>
  <c r="R21" i="54"/>
  <c r="R233" i="55"/>
  <c r="R119" i="55"/>
  <c r="R13" i="55"/>
  <c r="R187" i="56"/>
  <c r="R72" i="56"/>
  <c r="R245" i="57"/>
  <c r="R161" i="58"/>
  <c r="R61" i="58"/>
  <c r="R248" i="59"/>
  <c r="R129" i="59"/>
  <c r="R23" i="59"/>
  <c r="R173" i="60"/>
  <c r="R61" i="60"/>
  <c r="R212" i="61"/>
  <c r="R65" i="61"/>
  <c r="R170" i="46"/>
  <c r="R128" i="46"/>
  <c r="X167" i="49"/>
  <c r="R23" i="51"/>
  <c r="X222" i="47"/>
  <c r="X163" i="47"/>
  <c r="X103" i="47"/>
  <c r="X44" i="47"/>
  <c r="X250" i="48"/>
  <c r="X56" i="49"/>
  <c r="R193" i="46"/>
  <c r="R109" i="46"/>
  <c r="R33" i="46"/>
  <c r="R209" i="50"/>
  <c r="R89" i="50"/>
  <c r="R147" i="51"/>
  <c r="R7" i="51"/>
  <c r="R125" i="52"/>
  <c r="R130" i="54"/>
  <c r="R18" i="54"/>
  <c r="R213" i="55"/>
  <c r="R179" i="56"/>
  <c r="R55" i="56"/>
  <c r="R243" i="57"/>
  <c r="R105" i="57"/>
  <c r="R157" i="58"/>
  <c r="R247" i="59"/>
  <c r="R128" i="59"/>
  <c r="R10" i="59"/>
  <c r="R172" i="60"/>
  <c r="R52" i="60"/>
  <c r="R208" i="61"/>
  <c r="R61" i="61"/>
  <c r="R232" i="58"/>
  <c r="R74" i="46"/>
  <c r="X227" i="47"/>
  <c r="X111" i="47"/>
  <c r="R113" i="46"/>
  <c r="R148" i="54"/>
  <c r="X102" i="47"/>
  <c r="X99" i="48"/>
  <c r="R191" i="46"/>
  <c r="R108" i="46"/>
  <c r="R29" i="46"/>
  <c r="R141" i="51"/>
  <c r="R124" i="52"/>
  <c r="R245" i="54"/>
  <c r="R125" i="54"/>
  <c r="R11" i="54"/>
  <c r="R200" i="55"/>
  <c r="R113" i="55"/>
  <c r="R177" i="56"/>
  <c r="R53" i="56"/>
  <c r="R240" i="57"/>
  <c r="R97" i="57"/>
  <c r="R148" i="58"/>
  <c r="R243" i="59"/>
  <c r="R124" i="59"/>
  <c r="R9" i="59"/>
  <c r="R45" i="60"/>
  <c r="R201" i="61"/>
  <c r="R55" i="61"/>
  <c r="X195" i="47"/>
  <c r="X202" i="48"/>
  <c r="R183" i="61"/>
  <c r="X200" i="48"/>
  <c r="X241" i="49"/>
  <c r="R142" i="52"/>
  <c r="R187" i="54"/>
  <c r="R123" i="54"/>
  <c r="R138" i="55"/>
  <c r="R137" i="56"/>
  <c r="R250" i="58"/>
  <c r="R178" i="58"/>
  <c r="R52" i="58"/>
  <c r="R120" i="60"/>
  <c r="R204" i="62"/>
  <c r="X32" i="47"/>
  <c r="X60" i="48"/>
  <c r="X245" i="49"/>
  <c r="X191" i="47"/>
  <c r="X120" i="47"/>
  <c r="X60" i="47"/>
  <c r="X129" i="49"/>
  <c r="X226" i="47"/>
  <c r="X119" i="47"/>
  <c r="X59" i="47"/>
  <c r="R184" i="50"/>
  <c r="R107" i="50"/>
  <c r="R70" i="52"/>
  <c r="R121" i="54"/>
  <c r="R198" i="55"/>
  <c r="R43" i="57"/>
  <c r="R170" i="58"/>
  <c r="R103" i="58"/>
  <c r="R186" i="59"/>
  <c r="R182" i="60"/>
  <c r="R117" i="60"/>
  <c r="R60" i="60"/>
  <c r="R179" i="61"/>
  <c r="R91" i="61"/>
  <c r="R224" i="52"/>
  <c r="R146" i="52"/>
  <c r="R81" i="52"/>
  <c r="X40" i="47"/>
  <c r="R83" i="51"/>
  <c r="X188" i="47"/>
  <c r="X118" i="47"/>
  <c r="X80" i="47"/>
  <c r="X197" i="48"/>
  <c r="R176" i="50"/>
  <c r="R106" i="50"/>
  <c r="R46" i="50"/>
  <c r="R82" i="51"/>
  <c r="R126" i="52"/>
  <c r="R183" i="54"/>
  <c r="R45" i="54"/>
  <c r="R197" i="55"/>
  <c r="R135" i="56"/>
  <c r="R47" i="56"/>
  <c r="R203" i="57"/>
  <c r="R114" i="57"/>
  <c r="R42" i="57"/>
  <c r="R246" i="58"/>
  <c r="R40" i="58"/>
  <c r="R184" i="59"/>
  <c r="R46" i="59"/>
  <c r="R177" i="60"/>
  <c r="R113" i="60"/>
  <c r="R53" i="60"/>
  <c r="R87" i="61"/>
  <c r="R202" i="52"/>
  <c r="R122" i="52"/>
  <c r="R127" i="55"/>
  <c r="R67" i="55"/>
  <c r="R125" i="56"/>
  <c r="R160" i="58"/>
  <c r="R181" i="59"/>
  <c r="R243" i="61"/>
  <c r="X109" i="47"/>
  <c r="X76" i="47"/>
  <c r="X54" i="47"/>
  <c r="X34" i="47"/>
  <c r="X244" i="48"/>
  <c r="X104" i="48"/>
  <c r="X229" i="49"/>
  <c r="X169" i="49"/>
  <c r="X108" i="49"/>
  <c r="X35" i="49"/>
  <c r="R214" i="46"/>
  <c r="R154" i="46"/>
  <c r="R31" i="46"/>
  <c r="R247" i="50"/>
  <c r="R94" i="50"/>
  <c r="R66" i="51"/>
  <c r="R46" i="52"/>
  <c r="R169" i="54"/>
  <c r="R105" i="54"/>
  <c r="R120" i="55"/>
  <c r="R60" i="55"/>
  <c r="R178" i="56"/>
  <c r="R115" i="56"/>
  <c r="R35" i="56"/>
  <c r="R95" i="57"/>
  <c r="R17" i="57"/>
  <c r="R230" i="58"/>
  <c r="R158" i="58"/>
  <c r="R92" i="58"/>
  <c r="R242" i="59"/>
  <c r="R101" i="59"/>
  <c r="R28" i="59"/>
  <c r="R237" i="60"/>
  <c r="R37" i="60"/>
  <c r="R143" i="61"/>
  <c r="R71" i="61"/>
  <c r="R100" i="58"/>
  <c r="X75" i="47"/>
  <c r="R150" i="51"/>
  <c r="R161" i="54"/>
  <c r="R175" i="57"/>
  <c r="R21" i="59"/>
  <c r="R160" i="60"/>
  <c r="R97" i="60"/>
  <c r="X249" i="47"/>
  <c r="X216" i="47"/>
  <c r="X140" i="47"/>
  <c r="X51" i="47"/>
  <c r="X31" i="47"/>
  <c r="X164" i="48"/>
  <c r="X31" i="49"/>
  <c r="R240" i="50"/>
  <c r="R154" i="50"/>
  <c r="R28" i="50"/>
  <c r="R148" i="51"/>
  <c r="R182" i="52"/>
  <c r="R155" i="54"/>
  <c r="R238" i="55"/>
  <c r="R117" i="55"/>
  <c r="R97" i="56"/>
  <c r="R29" i="56"/>
  <c r="R242" i="57"/>
  <c r="R174" i="57"/>
  <c r="R78" i="58"/>
  <c r="R20" i="58"/>
  <c r="R155" i="59"/>
  <c r="R12" i="59"/>
  <c r="R226" i="60"/>
  <c r="R157" i="60"/>
  <c r="R28" i="60"/>
  <c r="R217" i="61"/>
  <c r="R140" i="61"/>
  <c r="X36" i="47"/>
  <c r="R223" i="60"/>
  <c r="R47" i="61"/>
  <c r="R216" i="50"/>
  <c r="R146" i="51"/>
  <c r="R170" i="52"/>
  <c r="R106" i="52"/>
  <c r="R223" i="54"/>
  <c r="R107" i="55"/>
  <c r="R238" i="56"/>
  <c r="R239" i="57"/>
  <c r="R77" i="57"/>
  <c r="R140" i="58"/>
  <c r="R70" i="58"/>
  <c r="R10" i="58"/>
  <c r="R222" i="59"/>
  <c r="R217" i="60"/>
  <c r="R148" i="60"/>
  <c r="X136" i="47"/>
  <c r="X68" i="47"/>
  <c r="X48" i="47"/>
  <c r="X20" i="48"/>
  <c r="X207" i="49"/>
  <c r="X149" i="49"/>
  <c r="X27" i="49"/>
  <c r="R195" i="46"/>
  <c r="R136" i="46"/>
  <c r="R14" i="46"/>
  <c r="R214" i="50"/>
  <c r="R74" i="50"/>
  <c r="R14" i="50"/>
  <c r="R202" i="51"/>
  <c r="R144" i="51"/>
  <c r="R44" i="51"/>
  <c r="R247" i="52"/>
  <c r="R167" i="52"/>
  <c r="R102" i="52"/>
  <c r="R24" i="52"/>
  <c r="R221" i="54"/>
  <c r="R147" i="54"/>
  <c r="R81" i="54"/>
  <c r="R160" i="55"/>
  <c r="R165" i="56"/>
  <c r="R17" i="56"/>
  <c r="R237" i="57"/>
  <c r="R163" i="57"/>
  <c r="R74" i="57"/>
  <c r="R138" i="58"/>
  <c r="R6" i="58"/>
  <c r="R221" i="59"/>
  <c r="R144" i="59"/>
  <c r="R86" i="59"/>
  <c r="R8" i="59"/>
  <c r="R206" i="60"/>
  <c r="R146" i="60"/>
  <c r="R82" i="60"/>
  <c r="R23" i="60"/>
  <c r="R211" i="61"/>
  <c r="R33" i="61"/>
  <c r="X116" i="47"/>
  <c r="X215" i="47"/>
  <c r="R22" i="52"/>
  <c r="X89" i="49"/>
  <c r="R134" i="46"/>
  <c r="R206" i="54"/>
  <c r="R158" i="55"/>
  <c r="R31" i="55"/>
  <c r="R202" i="60"/>
  <c r="R137" i="60"/>
  <c r="R74" i="60"/>
  <c r="R17" i="60"/>
  <c r="R125" i="61"/>
  <c r="R31" i="61"/>
  <c r="R248" i="55"/>
  <c r="R185" i="56"/>
  <c r="R240" i="58"/>
  <c r="R112" i="62"/>
  <c r="R103" i="54"/>
  <c r="X74" i="47"/>
  <c r="R149" i="51"/>
  <c r="R186" i="52"/>
  <c r="R22" i="46"/>
  <c r="R25" i="56"/>
  <c r="X211" i="47"/>
  <c r="X171" i="47"/>
  <c r="R15" i="46"/>
  <c r="X198" i="49"/>
  <c r="R135" i="46"/>
  <c r="R7" i="54"/>
  <c r="R85" i="56"/>
  <c r="R235" i="57"/>
  <c r="R22" i="60"/>
  <c r="X96" i="47"/>
  <c r="X46" i="47"/>
  <c r="X156" i="48"/>
  <c r="R67" i="50"/>
  <c r="R88" i="52"/>
  <c r="R143" i="54"/>
  <c r="R69" i="54"/>
  <c r="R6" i="54"/>
  <c r="R217" i="56"/>
  <c r="R142" i="59"/>
  <c r="X5" i="47"/>
  <c r="X237" i="47"/>
  <c r="X202" i="47"/>
  <c r="X131" i="47"/>
  <c r="X95" i="47"/>
  <c r="X65" i="47"/>
  <c r="X45" i="47"/>
  <c r="X216" i="48"/>
  <c r="X139" i="49"/>
  <c r="X11" i="49"/>
  <c r="R248" i="46"/>
  <c r="R131" i="46"/>
  <c r="R200" i="50"/>
  <c r="R128" i="50"/>
  <c r="R66" i="50"/>
  <c r="R6" i="50"/>
  <c r="R187" i="51"/>
  <c r="R121" i="51"/>
  <c r="R33" i="51"/>
  <c r="R155" i="52"/>
  <c r="R87" i="52"/>
  <c r="R19" i="52"/>
  <c r="R205" i="54"/>
  <c r="R141" i="54"/>
  <c r="R5" i="54"/>
  <c r="R217" i="55"/>
  <c r="R157" i="55"/>
  <c r="R29" i="55"/>
  <c r="R216" i="56"/>
  <c r="R225" i="57"/>
  <c r="R143" i="57"/>
  <c r="R192" i="58"/>
  <c r="R118" i="58"/>
  <c r="R202" i="59"/>
  <c r="R141" i="59"/>
  <c r="R201" i="60"/>
  <c r="R133" i="60"/>
  <c r="R10" i="60"/>
  <c r="R199" i="61"/>
  <c r="R119" i="61"/>
  <c r="R21" i="61"/>
  <c r="R114" i="62"/>
  <c r="R45" i="56"/>
  <c r="X56" i="47"/>
  <c r="R206" i="52"/>
  <c r="R182" i="59"/>
  <c r="X52" i="47"/>
  <c r="X175" i="47"/>
  <c r="X49" i="47"/>
  <c r="X160" i="48"/>
  <c r="X209" i="49"/>
  <c r="X135" i="47"/>
  <c r="R246" i="52"/>
  <c r="R232" i="55"/>
  <c r="R200" i="58"/>
  <c r="R203" i="60"/>
  <c r="R77" i="60"/>
  <c r="R131" i="61"/>
  <c r="X134" i="47"/>
  <c r="X141" i="49"/>
  <c r="R7" i="50"/>
  <c r="R193" i="51"/>
  <c r="R220" i="55"/>
  <c r="R234" i="57"/>
  <c r="R198" i="58"/>
  <c r="R81" i="59"/>
  <c r="R8" i="52"/>
  <c r="X236" i="47"/>
  <c r="X138" i="49"/>
  <c r="X9" i="49"/>
  <c r="R243" i="46"/>
  <c r="R188" i="46"/>
  <c r="R68" i="46"/>
  <c r="R196" i="50"/>
  <c r="R127" i="50"/>
  <c r="R65" i="50"/>
  <c r="R5" i="50"/>
  <c r="R184" i="51"/>
  <c r="R111" i="51"/>
  <c r="R32" i="51"/>
  <c r="R152" i="52"/>
  <c r="R201" i="54"/>
  <c r="R64" i="54"/>
  <c r="R91" i="55"/>
  <c r="R19" i="55"/>
  <c r="R214" i="56"/>
  <c r="R147" i="56"/>
  <c r="R71" i="56"/>
  <c r="R7" i="56"/>
  <c r="R142" i="57"/>
  <c r="R49" i="57"/>
  <c r="R190" i="58"/>
  <c r="R112" i="58"/>
  <c r="R63" i="58"/>
  <c r="R201" i="59"/>
  <c r="R138" i="59"/>
  <c r="R68" i="59"/>
  <c r="R200" i="60"/>
  <c r="R70" i="60"/>
  <c r="R4" i="60"/>
  <c r="R128" i="55"/>
  <c r="R80" i="50"/>
  <c r="R182" i="51"/>
  <c r="R18" i="55"/>
  <c r="R145" i="56"/>
  <c r="R5" i="56"/>
  <c r="R110" i="58"/>
  <c r="R137" i="59"/>
  <c r="R61" i="59"/>
  <c r="R197" i="60"/>
  <c r="R126" i="60"/>
  <c r="R187" i="61"/>
  <c r="R111" i="61"/>
  <c r="X55" i="47"/>
  <c r="R227" i="54"/>
  <c r="X157" i="48"/>
  <c r="R68" i="50"/>
  <c r="X235" i="47"/>
  <c r="X140" i="48"/>
  <c r="X7" i="49"/>
  <c r="R235" i="46"/>
  <c r="R185" i="46"/>
  <c r="R65" i="46"/>
  <c r="R194" i="50"/>
  <c r="R126" i="50"/>
  <c r="R60" i="50"/>
  <c r="R63" i="54"/>
  <c r="R212" i="55"/>
  <c r="R90" i="55"/>
  <c r="R67" i="56"/>
  <c r="R48" i="57"/>
  <c r="X231" i="47"/>
  <c r="X196" i="47"/>
  <c r="X62" i="47"/>
  <c r="X42" i="47"/>
  <c r="X203" i="48"/>
  <c r="X247" i="49"/>
  <c r="X189" i="49"/>
  <c r="X69" i="49"/>
  <c r="R234" i="46"/>
  <c r="R183" i="46"/>
  <c r="R115" i="46"/>
  <c r="R55" i="46"/>
  <c r="R193" i="50"/>
  <c r="R114" i="50"/>
  <c r="R58" i="50"/>
  <c r="R181" i="51"/>
  <c r="R101" i="51"/>
  <c r="R27" i="51"/>
  <c r="R226" i="52"/>
  <c r="R147" i="52"/>
  <c r="R82" i="52"/>
  <c r="R189" i="54"/>
  <c r="R129" i="54"/>
  <c r="R61" i="54"/>
  <c r="R211" i="55"/>
  <c r="R148" i="55"/>
  <c r="R89" i="55"/>
  <c r="R139" i="56"/>
  <c r="R62" i="56"/>
  <c r="R209" i="57"/>
  <c r="R131" i="57"/>
  <c r="R186" i="58"/>
  <c r="R60" i="58"/>
  <c r="R136" i="59"/>
  <c r="R53" i="59"/>
  <c r="R193" i="60"/>
  <c r="R123" i="60"/>
  <c r="R66" i="60"/>
  <c r="R184" i="61"/>
  <c r="R101" i="61"/>
  <c r="R7" i="61"/>
  <c r="R8" i="62"/>
  <c r="R185" i="49"/>
  <c r="X185" i="49"/>
  <c r="R85" i="49"/>
  <c r="M239" i="52"/>
  <c r="R239" i="52"/>
  <c r="M179" i="52"/>
  <c r="R179" i="52"/>
  <c r="M139" i="54"/>
  <c r="R139" i="54"/>
  <c r="M79" i="54"/>
  <c r="R79" i="54"/>
  <c r="M39" i="54"/>
  <c r="R39" i="54"/>
  <c r="R13" i="48"/>
  <c r="R205" i="48"/>
  <c r="X205" i="48"/>
  <c r="R145" i="48"/>
  <c r="X145" i="48"/>
  <c r="R85" i="48"/>
  <c r="R25" i="48"/>
  <c r="R244" i="49"/>
  <c r="X244" i="49"/>
  <c r="R184" i="49"/>
  <c r="X184" i="49"/>
  <c r="R84" i="49"/>
  <c r="M198" i="52"/>
  <c r="R198" i="52"/>
  <c r="M138" i="52"/>
  <c r="R138" i="52"/>
  <c r="M78" i="52"/>
  <c r="R78" i="52"/>
  <c r="M38" i="52"/>
  <c r="R38" i="52"/>
  <c r="M198" i="54"/>
  <c r="R198" i="54"/>
  <c r="M138" i="54"/>
  <c r="R138" i="54"/>
  <c r="M98" i="54"/>
  <c r="R98" i="54"/>
  <c r="R212" i="57"/>
  <c r="M71" i="57"/>
  <c r="R71" i="57"/>
  <c r="M11" i="57"/>
  <c r="R11" i="57"/>
  <c r="M155" i="58"/>
  <c r="R155" i="58"/>
  <c r="M95" i="58"/>
  <c r="R95" i="58"/>
  <c r="M148" i="61"/>
  <c r="R148" i="61"/>
  <c r="M108" i="61"/>
  <c r="R108" i="61"/>
  <c r="R124" i="50"/>
  <c r="M153" i="50"/>
  <c r="R153" i="50"/>
  <c r="M13" i="50"/>
  <c r="R13" i="50"/>
  <c r="M237" i="52"/>
  <c r="M217" i="52"/>
  <c r="R217" i="52"/>
  <c r="M177" i="52"/>
  <c r="R177" i="52"/>
  <c r="M137" i="52"/>
  <c r="R137" i="52"/>
  <c r="M97" i="52"/>
  <c r="R97" i="52"/>
  <c r="M77" i="52"/>
  <c r="M37" i="52"/>
  <c r="R37" i="52"/>
  <c r="M17" i="52"/>
  <c r="M249" i="56"/>
  <c r="R249" i="56"/>
  <c r="M189" i="56"/>
  <c r="R189" i="56"/>
  <c r="M149" i="56"/>
  <c r="R149" i="56"/>
  <c r="M109" i="56"/>
  <c r="R109" i="56"/>
  <c r="M69" i="56"/>
  <c r="R69" i="56"/>
  <c r="M49" i="56"/>
  <c r="R49" i="56"/>
  <c r="R211" i="57"/>
  <c r="M250" i="57"/>
  <c r="R250" i="57"/>
  <c r="M230" i="57"/>
  <c r="M190" i="57"/>
  <c r="R190" i="57"/>
  <c r="M170" i="57"/>
  <c r="R170" i="57"/>
  <c r="M150" i="57"/>
  <c r="R150" i="57"/>
  <c r="M130" i="57"/>
  <c r="M110" i="57"/>
  <c r="R110" i="57"/>
  <c r="M90" i="57"/>
  <c r="R90" i="57"/>
  <c r="M70" i="57"/>
  <c r="M50" i="57"/>
  <c r="R50" i="57"/>
  <c r="M30" i="57"/>
  <c r="R30" i="57"/>
  <c r="M10" i="57"/>
  <c r="R10" i="57"/>
  <c r="R225" i="49"/>
  <c r="R105" i="49"/>
  <c r="X105" i="49"/>
  <c r="M159" i="52"/>
  <c r="R159" i="52"/>
  <c r="M39" i="52"/>
  <c r="R39" i="52"/>
  <c r="M159" i="54"/>
  <c r="R159" i="54"/>
  <c r="M72" i="57"/>
  <c r="R72" i="57"/>
  <c r="R185" i="48"/>
  <c r="R224" i="49"/>
  <c r="X224" i="49"/>
  <c r="R104" i="49"/>
  <c r="X104" i="49"/>
  <c r="R44" i="49"/>
  <c r="X44" i="49"/>
  <c r="M58" i="52"/>
  <c r="M58" i="54"/>
  <c r="R58" i="54"/>
  <c r="M231" i="57"/>
  <c r="R231" i="57"/>
  <c r="M111" i="57"/>
  <c r="M51" i="57"/>
  <c r="R51" i="57"/>
  <c r="M75" i="58"/>
  <c r="R75" i="58"/>
  <c r="M15" i="58"/>
  <c r="R15" i="58"/>
  <c r="R94" i="59"/>
  <c r="M248" i="61"/>
  <c r="R248" i="61"/>
  <c r="X144" i="49"/>
  <c r="R242" i="49"/>
  <c r="X242" i="49"/>
  <c r="R222" i="49"/>
  <c r="X222" i="49"/>
  <c r="R182" i="49"/>
  <c r="R122" i="49"/>
  <c r="R82" i="49"/>
  <c r="X82" i="49"/>
  <c r="R62" i="49"/>
  <c r="X62" i="49"/>
  <c r="R184" i="56"/>
  <c r="M248" i="56"/>
  <c r="R248" i="56"/>
  <c r="M228" i="56"/>
  <c r="R228" i="56"/>
  <c r="M208" i="56"/>
  <c r="R208" i="56"/>
  <c r="M188" i="56"/>
  <c r="R188" i="56"/>
  <c r="M168" i="56"/>
  <c r="R168" i="56"/>
  <c r="M148" i="56"/>
  <c r="R148" i="56"/>
  <c r="M128" i="56"/>
  <c r="R128" i="56"/>
  <c r="M108" i="56"/>
  <c r="R108" i="56"/>
  <c r="M68" i="56"/>
  <c r="R68" i="56"/>
  <c r="M48" i="56"/>
  <c r="R48" i="56"/>
  <c r="M28" i="56"/>
  <c r="R28" i="56"/>
  <c r="M8" i="56"/>
  <c r="R8" i="56"/>
  <c r="R210" i="57"/>
  <c r="M249" i="57"/>
  <c r="R249" i="57"/>
  <c r="M229" i="57"/>
  <c r="M189" i="57"/>
  <c r="M129" i="57"/>
  <c r="R129" i="57"/>
  <c r="M69" i="57"/>
  <c r="R69" i="57"/>
  <c r="M29" i="57"/>
  <c r="R29" i="57"/>
  <c r="R165" i="49"/>
  <c r="M199" i="52"/>
  <c r="R199" i="52"/>
  <c r="M139" i="52"/>
  <c r="R139" i="52"/>
  <c r="M99" i="52"/>
  <c r="R99" i="52"/>
  <c r="M59" i="52"/>
  <c r="M179" i="54"/>
  <c r="R179" i="54"/>
  <c r="R225" i="48"/>
  <c r="R105" i="48"/>
  <c r="X105" i="48"/>
  <c r="R45" i="48"/>
  <c r="X45" i="48"/>
  <c r="M98" i="52"/>
  <c r="M18" i="52"/>
  <c r="M158" i="54"/>
  <c r="R158" i="54"/>
  <c r="M38" i="54"/>
  <c r="R38" i="54"/>
  <c r="M191" i="57"/>
  <c r="R191" i="57"/>
  <c r="M91" i="57"/>
  <c r="R91" i="57"/>
  <c r="M31" i="57"/>
  <c r="R31" i="57"/>
  <c r="M235" i="58"/>
  <c r="R235" i="58"/>
  <c r="M188" i="61"/>
  <c r="R188" i="61"/>
  <c r="R7" i="52"/>
  <c r="R222" i="48"/>
  <c r="R182" i="48"/>
  <c r="X182" i="48"/>
  <c r="R142" i="48"/>
  <c r="X142" i="48"/>
  <c r="R102" i="48"/>
  <c r="X102" i="48"/>
  <c r="R62" i="48"/>
  <c r="R22" i="48"/>
  <c r="R221" i="49"/>
  <c r="X221" i="49"/>
  <c r="R181" i="49"/>
  <c r="X181" i="49"/>
  <c r="R161" i="49"/>
  <c r="R121" i="49"/>
  <c r="X121" i="49"/>
  <c r="R81" i="49"/>
  <c r="X81" i="49"/>
  <c r="R61" i="49"/>
  <c r="X61" i="49"/>
  <c r="R41" i="49"/>
  <c r="M190" i="51"/>
  <c r="R190" i="51"/>
  <c r="M130" i="51"/>
  <c r="R130" i="51"/>
  <c r="M10" i="51"/>
  <c r="R10" i="51"/>
  <c r="R219" i="52"/>
  <c r="M55" i="54"/>
  <c r="R55" i="54"/>
  <c r="M225" i="55"/>
  <c r="R225" i="55"/>
  <c r="M205" i="55"/>
  <c r="R205" i="55"/>
  <c r="M105" i="55"/>
  <c r="R105" i="55"/>
  <c r="M65" i="55"/>
  <c r="R65" i="55"/>
  <c r="M45" i="55"/>
  <c r="R45" i="55"/>
  <c r="M25" i="55"/>
  <c r="R25" i="55"/>
  <c r="M5" i="55"/>
  <c r="R5" i="55"/>
  <c r="R182" i="56"/>
  <c r="M228" i="57"/>
  <c r="R228" i="57"/>
  <c r="M188" i="57"/>
  <c r="R188" i="57"/>
  <c r="M148" i="57"/>
  <c r="R148" i="57"/>
  <c r="M128" i="57"/>
  <c r="M108" i="57"/>
  <c r="R108" i="57"/>
  <c r="M88" i="57"/>
  <c r="R88" i="57"/>
  <c r="M68" i="57"/>
  <c r="R68" i="57"/>
  <c r="M28" i="57"/>
  <c r="R28" i="57"/>
  <c r="M8" i="57"/>
  <c r="R8" i="57"/>
  <c r="M109" i="51"/>
  <c r="R109" i="51"/>
  <c r="R99" i="49"/>
  <c r="X99" i="49"/>
  <c r="R79" i="49"/>
  <c r="X79" i="49"/>
  <c r="R39" i="49"/>
  <c r="X39" i="49"/>
  <c r="M248" i="51"/>
  <c r="R248" i="51"/>
  <c r="M208" i="51"/>
  <c r="R208" i="51"/>
  <c r="M168" i="51"/>
  <c r="R168" i="51"/>
  <c r="M128" i="51"/>
  <c r="R128" i="51"/>
  <c r="M88" i="51"/>
  <c r="R88" i="51"/>
  <c r="M48" i="51"/>
  <c r="R48" i="51"/>
  <c r="M8" i="51"/>
  <c r="R8" i="51"/>
  <c r="M213" i="52"/>
  <c r="R213" i="52"/>
  <c r="M73" i="52"/>
  <c r="M13" i="52"/>
  <c r="R44" i="55"/>
  <c r="M23" i="55"/>
  <c r="R23" i="55"/>
  <c r="R7" i="48"/>
  <c r="X193" i="47"/>
  <c r="R234" i="47"/>
  <c r="X234" i="47"/>
  <c r="R214" i="47"/>
  <c r="X214" i="47"/>
  <c r="R194" i="47"/>
  <c r="X194" i="47"/>
  <c r="R174" i="47"/>
  <c r="X174" i="47"/>
  <c r="R238" i="49"/>
  <c r="R218" i="49"/>
  <c r="X218" i="49"/>
  <c r="R178" i="49"/>
  <c r="X178" i="49"/>
  <c r="R158" i="49"/>
  <c r="X158" i="49"/>
  <c r="R118" i="49"/>
  <c r="X118" i="49"/>
  <c r="R98" i="49"/>
  <c r="X98" i="49"/>
  <c r="R78" i="49"/>
  <c r="X78" i="49"/>
  <c r="R18" i="49"/>
  <c r="X18" i="49"/>
  <c r="M202" i="46"/>
  <c r="R202" i="46"/>
  <c r="M182" i="46"/>
  <c r="R182" i="46"/>
  <c r="M162" i="46"/>
  <c r="R162" i="46"/>
  <c r="M102" i="46"/>
  <c r="R102" i="46"/>
  <c r="M82" i="46"/>
  <c r="R82" i="46"/>
  <c r="M62" i="46"/>
  <c r="R62" i="46"/>
  <c r="M42" i="46"/>
  <c r="R42" i="46"/>
  <c r="R189" i="51"/>
  <c r="R43" i="55"/>
  <c r="M182" i="55"/>
  <c r="R182" i="55"/>
  <c r="M162" i="55"/>
  <c r="R162" i="55"/>
  <c r="M142" i="55"/>
  <c r="R142" i="55"/>
  <c r="M22" i="55"/>
  <c r="R22" i="55"/>
  <c r="M204" i="56"/>
  <c r="R204" i="56"/>
  <c r="M164" i="56"/>
  <c r="R164" i="56"/>
  <c r="M124" i="56"/>
  <c r="R124" i="56"/>
  <c r="M84" i="56"/>
  <c r="R84" i="56"/>
  <c r="M44" i="56"/>
  <c r="R44" i="56"/>
  <c r="M24" i="56"/>
  <c r="R24" i="56"/>
  <c r="M4" i="56"/>
  <c r="R4" i="56"/>
  <c r="M249" i="58"/>
  <c r="R249" i="58"/>
  <c r="M209" i="58"/>
  <c r="R209" i="58"/>
  <c r="M189" i="58"/>
  <c r="R189" i="58"/>
  <c r="M169" i="58"/>
  <c r="R169" i="58"/>
  <c r="M149" i="58"/>
  <c r="R149" i="58"/>
  <c r="M129" i="58"/>
  <c r="R129" i="58"/>
  <c r="M109" i="58"/>
  <c r="R109" i="58"/>
  <c r="M89" i="58"/>
  <c r="R89" i="58"/>
  <c r="M69" i="58"/>
  <c r="R69" i="58"/>
  <c r="M49" i="58"/>
  <c r="R49" i="58"/>
  <c r="M29" i="58"/>
  <c r="R29" i="58"/>
  <c r="M9" i="58"/>
  <c r="R9" i="58"/>
  <c r="M163" i="62"/>
  <c r="R76" i="62"/>
  <c r="M69" i="51"/>
  <c r="R69" i="51"/>
  <c r="R219" i="49"/>
  <c r="X219" i="49"/>
  <c r="R119" i="49"/>
  <c r="X119" i="49"/>
  <c r="M108" i="51"/>
  <c r="R108" i="51"/>
  <c r="M68" i="51"/>
  <c r="R68" i="51"/>
  <c r="M233" i="52"/>
  <c r="M193" i="52"/>
  <c r="M173" i="52"/>
  <c r="M133" i="52"/>
  <c r="R133" i="52"/>
  <c r="M93" i="52"/>
  <c r="M53" i="52"/>
  <c r="R53" i="52"/>
  <c r="M33" i="52"/>
  <c r="M163" i="55"/>
  <c r="R163" i="55"/>
  <c r="R173" i="47"/>
  <c r="X173" i="47"/>
  <c r="R133" i="47"/>
  <c r="X133" i="47"/>
  <c r="X245" i="48"/>
  <c r="R238" i="48"/>
  <c r="R218" i="48"/>
  <c r="X218" i="48"/>
  <c r="R198" i="48"/>
  <c r="R178" i="48"/>
  <c r="X178" i="48"/>
  <c r="R138" i="48"/>
  <c r="R98" i="48"/>
  <c r="X98" i="48"/>
  <c r="R58" i="48"/>
  <c r="X58" i="48"/>
  <c r="R38" i="48"/>
  <c r="R18" i="48"/>
  <c r="R188" i="51"/>
  <c r="M246" i="51"/>
  <c r="R246" i="51"/>
  <c r="M226" i="51"/>
  <c r="R226" i="51"/>
  <c r="M206" i="51"/>
  <c r="R206" i="51"/>
  <c r="M166" i="51"/>
  <c r="R166" i="51"/>
  <c r="M126" i="51"/>
  <c r="R126" i="51"/>
  <c r="M106" i="51"/>
  <c r="R106" i="51"/>
  <c r="M86" i="51"/>
  <c r="R86" i="51"/>
  <c r="M46" i="51"/>
  <c r="R46" i="51"/>
  <c r="M26" i="51"/>
  <c r="R26" i="51"/>
  <c r="M6" i="51"/>
  <c r="R6" i="51"/>
  <c r="M248" i="58"/>
  <c r="R248" i="58"/>
  <c r="M208" i="58"/>
  <c r="R208" i="58"/>
  <c r="R101" i="48"/>
  <c r="M229" i="51"/>
  <c r="R229" i="51"/>
  <c r="M24" i="55"/>
  <c r="R24" i="55"/>
  <c r="R179" i="49"/>
  <c r="X179" i="49"/>
  <c r="R192" i="47"/>
  <c r="M245" i="51"/>
  <c r="R245" i="51"/>
  <c r="M105" i="51"/>
  <c r="R105" i="51"/>
  <c r="M202" i="56"/>
  <c r="R202" i="56"/>
  <c r="M122" i="56"/>
  <c r="R122" i="56"/>
  <c r="M214" i="60"/>
  <c r="R214" i="60"/>
  <c r="M194" i="60"/>
  <c r="R194" i="60"/>
  <c r="M174" i="60"/>
  <c r="R174" i="60"/>
  <c r="M154" i="60"/>
  <c r="R154" i="60"/>
  <c r="M134" i="60"/>
  <c r="R134" i="60"/>
  <c r="M94" i="60"/>
  <c r="R94" i="60"/>
  <c r="M54" i="60"/>
  <c r="R54" i="60"/>
  <c r="X189" i="47"/>
  <c r="X242" i="48"/>
  <c r="R176" i="48"/>
  <c r="R136" i="48"/>
  <c r="X136" i="48"/>
  <c r="R116" i="48"/>
  <c r="X116" i="48"/>
  <c r="R96" i="48"/>
  <c r="X96" i="48"/>
  <c r="R76" i="48"/>
  <c r="X76" i="48"/>
  <c r="R56" i="48"/>
  <c r="R16" i="48"/>
  <c r="R155" i="49"/>
  <c r="X155" i="49"/>
  <c r="M39" i="46"/>
  <c r="R39" i="46"/>
  <c r="R186" i="51"/>
  <c r="R143" i="51"/>
  <c r="M224" i="51"/>
  <c r="R224" i="51"/>
  <c r="M204" i="51"/>
  <c r="R204" i="51"/>
  <c r="M164" i="51"/>
  <c r="R164" i="51"/>
  <c r="M124" i="51"/>
  <c r="R124" i="51"/>
  <c r="M104" i="51"/>
  <c r="R104" i="51"/>
  <c r="M84" i="51"/>
  <c r="R84" i="51"/>
  <c r="M64" i="51"/>
  <c r="R64" i="51"/>
  <c r="M24" i="51"/>
  <c r="R24" i="51"/>
  <c r="M4" i="51"/>
  <c r="R4" i="51"/>
  <c r="R14" i="60"/>
  <c r="R37" i="61"/>
  <c r="M197" i="62"/>
  <c r="R106" i="62"/>
  <c r="M129" i="51"/>
  <c r="R129" i="51"/>
  <c r="M163" i="51"/>
  <c r="R163" i="51"/>
  <c r="R169" i="47"/>
  <c r="X169" i="47"/>
  <c r="R148" i="47"/>
  <c r="X148" i="47"/>
  <c r="R17" i="46"/>
  <c r="M236" i="46"/>
  <c r="R236" i="46"/>
  <c r="M156" i="46"/>
  <c r="R156" i="46"/>
  <c r="M36" i="46"/>
  <c r="R36" i="46"/>
  <c r="M218" i="56"/>
  <c r="R218" i="56"/>
  <c r="M158" i="56"/>
  <c r="R158" i="56"/>
  <c r="M118" i="56"/>
  <c r="R118" i="56"/>
  <c r="M98" i="56"/>
  <c r="R98" i="56"/>
  <c r="M58" i="56"/>
  <c r="R58" i="56"/>
  <c r="M38" i="56"/>
  <c r="R38" i="56"/>
  <c r="M18" i="56"/>
  <c r="R18" i="56"/>
  <c r="R175" i="58"/>
  <c r="M210" i="60"/>
  <c r="R210" i="60"/>
  <c r="M190" i="60"/>
  <c r="R190" i="60"/>
  <c r="M170" i="60"/>
  <c r="R170" i="60"/>
  <c r="M150" i="60"/>
  <c r="R150" i="60"/>
  <c r="M130" i="60"/>
  <c r="R130" i="60"/>
  <c r="M110" i="60"/>
  <c r="R110" i="60"/>
  <c r="M90" i="60"/>
  <c r="R90" i="60"/>
  <c r="M50" i="60"/>
  <c r="R50" i="60"/>
  <c r="M30" i="60"/>
  <c r="R30" i="60"/>
  <c r="R221" i="48"/>
  <c r="M169" i="51"/>
  <c r="R169" i="51"/>
  <c r="M89" i="51"/>
  <c r="R89" i="51"/>
  <c r="M9" i="51"/>
  <c r="R9" i="51"/>
  <c r="M224" i="55"/>
  <c r="R224" i="55"/>
  <c r="M204" i="55"/>
  <c r="R204" i="55"/>
  <c r="M184" i="55"/>
  <c r="R184" i="55"/>
  <c r="M104" i="55"/>
  <c r="R104" i="55"/>
  <c r="M64" i="55"/>
  <c r="R64" i="55"/>
  <c r="M4" i="55"/>
  <c r="R4" i="55"/>
  <c r="M194" i="59"/>
  <c r="R194" i="59"/>
  <c r="M154" i="59"/>
  <c r="R154" i="59"/>
  <c r="M114" i="59"/>
  <c r="R114" i="59"/>
  <c r="R159" i="49"/>
  <c r="X159" i="49"/>
  <c r="R172" i="47"/>
  <c r="X172" i="47"/>
  <c r="R152" i="47"/>
  <c r="X152" i="47"/>
  <c r="R132" i="47"/>
  <c r="X132" i="47"/>
  <c r="R92" i="47"/>
  <c r="M225" i="51"/>
  <c r="R225" i="51"/>
  <c r="M205" i="51"/>
  <c r="R205" i="51"/>
  <c r="M5" i="51"/>
  <c r="R5" i="51"/>
  <c r="R79" i="52"/>
  <c r="M242" i="56"/>
  <c r="R242" i="56"/>
  <c r="M162" i="56"/>
  <c r="R162" i="56"/>
  <c r="X70" i="47"/>
  <c r="R170" i="47"/>
  <c r="X170" i="47"/>
  <c r="M224" i="50"/>
  <c r="R224" i="50"/>
  <c r="M204" i="50"/>
  <c r="R204" i="50"/>
  <c r="M104" i="50"/>
  <c r="R104" i="50"/>
  <c r="M44" i="50"/>
  <c r="R44" i="50"/>
  <c r="M4" i="50"/>
  <c r="R4" i="50"/>
  <c r="R185" i="51"/>
  <c r="M243" i="51"/>
  <c r="R243" i="51"/>
  <c r="M63" i="51"/>
  <c r="R63" i="51"/>
  <c r="R59" i="54"/>
  <c r="X69" i="47"/>
  <c r="R149" i="47"/>
  <c r="X149" i="47"/>
  <c r="R129" i="47"/>
  <c r="X125" i="49"/>
  <c r="M197" i="46"/>
  <c r="R197" i="46"/>
  <c r="M223" i="50"/>
  <c r="R223" i="50"/>
  <c r="M203" i="50"/>
  <c r="R203" i="50"/>
  <c r="R118" i="52"/>
  <c r="M237" i="61"/>
  <c r="R237" i="61"/>
  <c r="M137" i="61"/>
  <c r="R137" i="61"/>
  <c r="M77" i="61"/>
  <c r="R77" i="61"/>
  <c r="M17" i="61"/>
  <c r="R17" i="61"/>
  <c r="X154" i="47"/>
  <c r="R168" i="47"/>
  <c r="X168" i="47"/>
  <c r="R128" i="47"/>
  <c r="X128" i="47"/>
  <c r="R88" i="47"/>
  <c r="X124" i="49"/>
  <c r="M116" i="46"/>
  <c r="R116" i="46"/>
  <c r="R33" i="50"/>
  <c r="R249" i="51"/>
  <c r="R183" i="51"/>
  <c r="X185" i="47"/>
  <c r="X153" i="47"/>
  <c r="X90" i="47"/>
  <c r="X122" i="48"/>
  <c r="X65" i="49"/>
  <c r="R16" i="46"/>
  <c r="R113" i="52"/>
  <c r="R84" i="55"/>
  <c r="M245" i="59"/>
  <c r="R245" i="59"/>
  <c r="M145" i="59"/>
  <c r="R145" i="59"/>
  <c r="M25" i="59"/>
  <c r="R25" i="59"/>
  <c r="M5" i="59"/>
  <c r="R5" i="59"/>
  <c r="M209" i="60"/>
  <c r="R209" i="60"/>
  <c r="M189" i="60"/>
  <c r="R189" i="60"/>
  <c r="M149" i="60"/>
  <c r="R149" i="60"/>
  <c r="M129" i="60"/>
  <c r="R129" i="60"/>
  <c r="M89" i="60"/>
  <c r="R89" i="60"/>
  <c r="M9" i="60"/>
  <c r="R9" i="60"/>
  <c r="M49" i="51"/>
  <c r="R49" i="51"/>
  <c r="X30" i="47"/>
  <c r="R110" i="47"/>
  <c r="M64" i="50"/>
  <c r="R64" i="50"/>
  <c r="M204" i="58"/>
  <c r="R204" i="58"/>
  <c r="M171" i="60"/>
  <c r="R171" i="60"/>
  <c r="M117" i="61"/>
  <c r="R117" i="61"/>
  <c r="X233" i="47"/>
  <c r="X89" i="47"/>
  <c r="R246" i="47"/>
  <c r="R126" i="47"/>
  <c r="X126" i="47"/>
  <c r="X236" i="48"/>
  <c r="X205" i="49"/>
  <c r="X64" i="49"/>
  <c r="R84" i="50"/>
  <c r="R244" i="51"/>
  <c r="M244" i="52"/>
  <c r="M204" i="52"/>
  <c r="R204" i="52"/>
  <c r="M144" i="52"/>
  <c r="M104" i="52"/>
  <c r="R88" i="56"/>
  <c r="R97" i="61"/>
  <c r="R181" i="48"/>
  <c r="X181" i="48"/>
  <c r="M158" i="46"/>
  <c r="R158" i="46"/>
  <c r="M77" i="46"/>
  <c r="R77" i="46"/>
  <c r="X210" i="47"/>
  <c r="R146" i="47"/>
  <c r="X146" i="47"/>
  <c r="R245" i="47"/>
  <c r="X245" i="47"/>
  <c r="R145" i="47"/>
  <c r="X145" i="47"/>
  <c r="R125" i="47"/>
  <c r="R105" i="47"/>
  <c r="X105" i="47"/>
  <c r="R85" i="47"/>
  <c r="X85" i="47"/>
  <c r="X165" i="48"/>
  <c r="X164" i="49"/>
  <c r="X59" i="49"/>
  <c r="R179" i="46"/>
  <c r="R103" i="51"/>
  <c r="R239" i="54"/>
  <c r="R169" i="57"/>
  <c r="R92" i="57"/>
  <c r="R114" i="60"/>
  <c r="M233" i="61"/>
  <c r="R233" i="61"/>
  <c r="M193" i="61"/>
  <c r="R193" i="61"/>
  <c r="M173" i="61"/>
  <c r="R173" i="61"/>
  <c r="M153" i="61"/>
  <c r="R153" i="61"/>
  <c r="M133" i="61"/>
  <c r="R133" i="61"/>
  <c r="M113" i="61"/>
  <c r="R113" i="61"/>
  <c r="M73" i="61"/>
  <c r="R73" i="61"/>
  <c r="M53" i="61"/>
  <c r="R53" i="61"/>
  <c r="R112" i="47"/>
  <c r="X112" i="47"/>
  <c r="M203" i="51"/>
  <c r="R203" i="51"/>
  <c r="X213" i="47"/>
  <c r="M91" i="60"/>
  <c r="R91" i="60"/>
  <c r="M177" i="61"/>
  <c r="R177" i="61"/>
  <c r="R106" i="47"/>
  <c r="X106" i="47"/>
  <c r="X232" i="47"/>
  <c r="X208" i="47"/>
  <c r="X86" i="47"/>
  <c r="X61" i="48"/>
  <c r="X162" i="49"/>
  <c r="X58" i="49"/>
  <c r="R178" i="46"/>
  <c r="R228" i="51"/>
  <c r="R29" i="51"/>
  <c r="R238" i="54"/>
  <c r="R168" i="57"/>
  <c r="R229" i="58"/>
  <c r="M232" i="61"/>
  <c r="R232" i="61"/>
  <c r="M192" i="61"/>
  <c r="R192" i="61"/>
  <c r="M172" i="61"/>
  <c r="R172" i="61"/>
  <c r="M112" i="61"/>
  <c r="R112" i="61"/>
  <c r="M72" i="61"/>
  <c r="R72" i="61"/>
  <c r="M52" i="61"/>
  <c r="R52" i="61"/>
  <c r="M12" i="61"/>
  <c r="R12" i="61"/>
  <c r="R250" i="47"/>
  <c r="X250" i="47"/>
  <c r="R150" i="47"/>
  <c r="X150" i="47"/>
  <c r="M123" i="51"/>
  <c r="R123" i="51"/>
  <c r="M183" i="50"/>
  <c r="R183" i="50"/>
  <c r="X230" i="47"/>
  <c r="X118" i="48"/>
  <c r="X201" i="49"/>
  <c r="R177" i="46"/>
  <c r="R28" i="51"/>
  <c r="M241" i="52"/>
  <c r="M201" i="52"/>
  <c r="R201" i="52"/>
  <c r="M181" i="52"/>
  <c r="R181" i="52"/>
  <c r="M121" i="52"/>
  <c r="R121" i="52"/>
  <c r="M101" i="52"/>
  <c r="M61" i="52"/>
  <c r="R245" i="55"/>
  <c r="R144" i="56"/>
  <c r="R228" i="58"/>
  <c r="R92" i="61"/>
  <c r="R141" i="48"/>
  <c r="X141" i="48"/>
  <c r="M144" i="55"/>
  <c r="R144" i="55"/>
  <c r="M43" i="51"/>
  <c r="R43" i="51"/>
  <c r="M37" i="46"/>
  <c r="R37" i="46"/>
  <c r="M83" i="50"/>
  <c r="R83" i="50"/>
  <c r="M197" i="61"/>
  <c r="R197" i="61"/>
  <c r="M57" i="61"/>
  <c r="R57" i="61"/>
  <c r="X6" i="48"/>
  <c r="X229" i="47"/>
  <c r="X206" i="47"/>
  <c r="X113" i="47"/>
  <c r="X162" i="48"/>
  <c r="X199" i="49"/>
  <c r="R176" i="46"/>
  <c r="R56" i="46"/>
  <c r="R73" i="50"/>
  <c r="R223" i="51"/>
  <c r="M240" i="52"/>
  <c r="M200" i="52"/>
  <c r="M180" i="52"/>
  <c r="M140" i="52"/>
  <c r="R140" i="52"/>
  <c r="M100" i="52"/>
  <c r="M60" i="52"/>
  <c r="M40" i="52"/>
  <c r="R40" i="52"/>
  <c r="M200" i="54"/>
  <c r="R200" i="54"/>
  <c r="M140" i="54"/>
  <c r="R140" i="54"/>
  <c r="M100" i="54"/>
  <c r="R100" i="54"/>
  <c r="M40" i="54"/>
  <c r="R40" i="54"/>
  <c r="R244" i="55"/>
  <c r="R142" i="56"/>
  <c r="R10" i="62"/>
  <c r="X6" i="47"/>
  <c r="R8" i="48"/>
  <c r="X8" i="48"/>
  <c r="X204" i="47"/>
  <c r="X180" i="47"/>
  <c r="R37" i="48"/>
  <c r="X91" i="49"/>
  <c r="R76" i="49"/>
  <c r="X76" i="49"/>
  <c r="R63" i="46"/>
  <c r="R172" i="50"/>
  <c r="R109" i="50"/>
  <c r="M215" i="52"/>
  <c r="R215" i="52"/>
  <c r="M175" i="52"/>
  <c r="R175" i="52"/>
  <c r="M95" i="52"/>
  <c r="R95" i="52"/>
  <c r="M35" i="52"/>
  <c r="R224" i="54"/>
  <c r="R163" i="54"/>
  <c r="R107" i="54"/>
  <c r="R170" i="55"/>
  <c r="M97" i="55"/>
  <c r="R97" i="55"/>
  <c r="M57" i="55"/>
  <c r="R57" i="55"/>
  <c r="R175" i="56"/>
  <c r="M240" i="56"/>
  <c r="R240" i="56"/>
  <c r="M120" i="56"/>
  <c r="R120" i="56"/>
  <c r="R202" i="57"/>
  <c r="R135" i="57"/>
  <c r="M223" i="57"/>
  <c r="R223" i="57"/>
  <c r="M183" i="57"/>
  <c r="R183" i="57"/>
  <c r="M123" i="57"/>
  <c r="R123" i="57"/>
  <c r="M103" i="57"/>
  <c r="M23" i="57"/>
  <c r="R23" i="57"/>
  <c r="R201" i="58"/>
  <c r="R45" i="58"/>
  <c r="R11" i="59"/>
  <c r="R144" i="62"/>
  <c r="R110" i="62"/>
  <c r="R75" i="49"/>
  <c r="X75" i="49"/>
  <c r="M174" i="52"/>
  <c r="R174" i="52"/>
  <c r="M134" i="52"/>
  <c r="R134" i="52"/>
  <c r="M74" i="52"/>
  <c r="R74" i="52"/>
  <c r="M216" i="55"/>
  <c r="R216" i="55"/>
  <c r="M136" i="55"/>
  <c r="R136" i="55"/>
  <c r="M76" i="55"/>
  <c r="R76" i="55"/>
  <c r="M16" i="55"/>
  <c r="R16" i="55"/>
  <c r="M19" i="56"/>
  <c r="R19" i="56"/>
  <c r="M62" i="57"/>
  <c r="R62" i="57"/>
  <c r="M22" i="57"/>
  <c r="M185" i="58"/>
  <c r="R185" i="58"/>
  <c r="M165" i="58"/>
  <c r="R165" i="58"/>
  <c r="M85" i="58"/>
  <c r="R85" i="58"/>
  <c r="M5" i="58"/>
  <c r="R5" i="58"/>
  <c r="M235" i="59"/>
  <c r="R235" i="59"/>
  <c r="M215" i="59"/>
  <c r="R215" i="59"/>
  <c r="M195" i="59"/>
  <c r="R195" i="59"/>
  <c r="M175" i="59"/>
  <c r="R175" i="59"/>
  <c r="M115" i="59"/>
  <c r="R115" i="59"/>
  <c r="M75" i="59"/>
  <c r="R75" i="59"/>
  <c r="M15" i="59"/>
  <c r="R15" i="59"/>
  <c r="M9" i="61"/>
  <c r="R9" i="61"/>
  <c r="X230" i="48"/>
  <c r="X190" i="48"/>
  <c r="X191" i="49"/>
  <c r="X88" i="49"/>
  <c r="R105" i="46"/>
  <c r="M232" i="50"/>
  <c r="R232" i="50"/>
  <c r="M132" i="50"/>
  <c r="R132" i="50"/>
  <c r="R113" i="51"/>
  <c r="M212" i="52"/>
  <c r="R212" i="52"/>
  <c r="M72" i="52"/>
  <c r="R72" i="52"/>
  <c r="R104" i="54"/>
  <c r="R47" i="54"/>
  <c r="R119" i="56"/>
  <c r="R15" i="56"/>
  <c r="M237" i="56"/>
  <c r="R237" i="56"/>
  <c r="M197" i="56"/>
  <c r="R197" i="56"/>
  <c r="M157" i="56"/>
  <c r="R157" i="56"/>
  <c r="M117" i="56"/>
  <c r="R117" i="56"/>
  <c r="M77" i="56"/>
  <c r="R77" i="56"/>
  <c r="M57" i="56"/>
  <c r="R57" i="56"/>
  <c r="M37" i="56"/>
  <c r="R37" i="56"/>
  <c r="M223" i="58"/>
  <c r="R223" i="58"/>
  <c r="M203" i="58"/>
  <c r="R203" i="58"/>
  <c r="M183" i="58"/>
  <c r="R183" i="58"/>
  <c r="M163" i="58"/>
  <c r="R163" i="58"/>
  <c r="M123" i="58"/>
  <c r="R123" i="58"/>
  <c r="M83" i="58"/>
  <c r="R83" i="58"/>
  <c r="M43" i="58"/>
  <c r="R43" i="58"/>
  <c r="R135" i="59"/>
  <c r="M44" i="60"/>
  <c r="R44" i="60"/>
  <c r="M107" i="61"/>
  <c r="R107" i="61"/>
  <c r="M67" i="61"/>
  <c r="R67" i="61"/>
  <c r="R178" i="62"/>
  <c r="R96" i="62"/>
  <c r="M48" i="61"/>
  <c r="R48" i="61"/>
  <c r="R8" i="47"/>
  <c r="X8" i="47"/>
  <c r="X200" i="47"/>
  <c r="X87" i="49"/>
  <c r="X55" i="49"/>
  <c r="X8" i="49"/>
  <c r="R212" i="49"/>
  <c r="X212" i="49"/>
  <c r="R132" i="49"/>
  <c r="X132" i="49"/>
  <c r="R72" i="49"/>
  <c r="X72" i="49"/>
  <c r="M249" i="46"/>
  <c r="R249" i="46"/>
  <c r="M129" i="46"/>
  <c r="R129" i="46"/>
  <c r="M89" i="46"/>
  <c r="R89" i="46"/>
  <c r="M49" i="46"/>
  <c r="R49" i="46"/>
  <c r="M9" i="46"/>
  <c r="R9" i="46"/>
  <c r="R208" i="50"/>
  <c r="R167" i="50"/>
  <c r="M248" i="54"/>
  <c r="R248" i="54"/>
  <c r="M208" i="54"/>
  <c r="R208" i="54"/>
  <c r="M168" i="54"/>
  <c r="R168" i="54"/>
  <c r="M128" i="54"/>
  <c r="R128" i="54"/>
  <c r="R116" i="55"/>
  <c r="R215" i="56"/>
  <c r="M236" i="56"/>
  <c r="R236" i="56"/>
  <c r="M116" i="56"/>
  <c r="R116" i="56"/>
  <c r="M76" i="56"/>
  <c r="R76" i="56"/>
  <c r="M56" i="56"/>
  <c r="R56" i="56"/>
  <c r="R75" i="57"/>
  <c r="M159" i="57"/>
  <c r="R159" i="57"/>
  <c r="M139" i="57"/>
  <c r="R139" i="57"/>
  <c r="M119" i="57"/>
  <c r="R119" i="57"/>
  <c r="M99" i="57"/>
  <c r="R99" i="57"/>
  <c r="M59" i="57"/>
  <c r="R59" i="57"/>
  <c r="M19" i="57"/>
  <c r="R19" i="57"/>
  <c r="R245" i="58"/>
  <c r="R141" i="58"/>
  <c r="M202" i="58"/>
  <c r="R202" i="58"/>
  <c r="M122" i="58"/>
  <c r="R122" i="58"/>
  <c r="R131" i="59"/>
  <c r="R182" i="61"/>
  <c r="R127" i="61"/>
  <c r="M226" i="61"/>
  <c r="R226" i="61"/>
  <c r="M186" i="61"/>
  <c r="R186" i="61"/>
  <c r="M86" i="61"/>
  <c r="R86" i="61"/>
  <c r="R238" i="62"/>
  <c r="R156" i="62"/>
  <c r="M250" i="52"/>
  <c r="R250" i="52"/>
  <c r="M150" i="52"/>
  <c r="R150" i="52"/>
  <c r="M30" i="52"/>
  <c r="R30" i="52"/>
  <c r="M10" i="52"/>
  <c r="R10" i="52"/>
  <c r="M207" i="54"/>
  <c r="R207" i="54"/>
  <c r="M127" i="54"/>
  <c r="R127" i="54"/>
  <c r="M87" i="54"/>
  <c r="R87" i="54"/>
  <c r="M235" i="56"/>
  <c r="R235" i="56"/>
  <c r="M155" i="56"/>
  <c r="R155" i="56"/>
  <c r="M95" i="56"/>
  <c r="R95" i="56"/>
  <c r="M75" i="56"/>
  <c r="R75" i="56"/>
  <c r="R182" i="57"/>
  <c r="M221" i="58"/>
  <c r="R221" i="58"/>
  <c r="M81" i="58"/>
  <c r="R81" i="58"/>
  <c r="M41" i="58"/>
  <c r="R41" i="58"/>
  <c r="M111" i="59"/>
  <c r="R111" i="59"/>
  <c r="M71" i="59"/>
  <c r="R71" i="59"/>
  <c r="M31" i="59"/>
  <c r="R31" i="59"/>
  <c r="M245" i="61"/>
  <c r="R245" i="61"/>
  <c r="M225" i="61"/>
  <c r="R225" i="61"/>
  <c r="M205" i="61"/>
  <c r="R205" i="61"/>
  <c r="M185" i="61"/>
  <c r="R185" i="61"/>
  <c r="M165" i="61"/>
  <c r="R165" i="61"/>
  <c r="M145" i="61"/>
  <c r="R145" i="61"/>
  <c r="M105" i="61"/>
  <c r="R105" i="61"/>
  <c r="M85" i="61"/>
  <c r="R85" i="61"/>
  <c r="M25" i="61"/>
  <c r="R25" i="61"/>
  <c r="R131" i="49"/>
  <c r="X131" i="49"/>
  <c r="R71" i="49"/>
  <c r="X71" i="49"/>
  <c r="R51" i="49"/>
  <c r="R207" i="50"/>
  <c r="M190" i="50"/>
  <c r="R190" i="50"/>
  <c r="M150" i="50"/>
  <c r="R150" i="50"/>
  <c r="M130" i="50"/>
  <c r="R130" i="50"/>
  <c r="M50" i="50"/>
  <c r="R50" i="50"/>
  <c r="M10" i="50"/>
  <c r="R10" i="50"/>
  <c r="X244" i="47"/>
  <c r="X104" i="47"/>
  <c r="X188" i="49"/>
  <c r="X151" i="49"/>
  <c r="X52" i="49"/>
  <c r="R189" i="46"/>
  <c r="R206" i="50"/>
  <c r="R48" i="50"/>
  <c r="M229" i="50"/>
  <c r="R229" i="50"/>
  <c r="M189" i="50"/>
  <c r="R189" i="50"/>
  <c r="M69" i="50"/>
  <c r="R69" i="50"/>
  <c r="M49" i="50"/>
  <c r="R49" i="50"/>
  <c r="M9" i="50"/>
  <c r="R9" i="50"/>
  <c r="R52" i="52"/>
  <c r="M171" i="55"/>
  <c r="R171" i="55"/>
  <c r="M51" i="55"/>
  <c r="R51" i="55"/>
  <c r="R179" i="57"/>
  <c r="M157" i="57"/>
  <c r="M137" i="57"/>
  <c r="M117" i="57"/>
  <c r="R117" i="57"/>
  <c r="R241" i="58"/>
  <c r="M220" i="58"/>
  <c r="R220" i="58"/>
  <c r="M180" i="58"/>
  <c r="R180" i="58"/>
  <c r="M120" i="58"/>
  <c r="R120" i="58"/>
  <c r="M80" i="58"/>
  <c r="R80" i="58"/>
  <c r="R55" i="59"/>
  <c r="M110" i="59"/>
  <c r="R110" i="59"/>
  <c r="M204" i="61"/>
  <c r="R204" i="61"/>
  <c r="M164" i="61"/>
  <c r="R164" i="61"/>
  <c r="M64" i="61"/>
  <c r="R64" i="61"/>
  <c r="M44" i="61"/>
  <c r="R44" i="61"/>
  <c r="M24" i="61"/>
  <c r="R24" i="61"/>
  <c r="M4" i="61"/>
  <c r="R4" i="61"/>
  <c r="R225" i="62"/>
  <c r="R70" i="48"/>
  <c r="R90" i="50"/>
  <c r="M228" i="50"/>
  <c r="R228" i="50"/>
  <c r="M188" i="50"/>
  <c r="R188" i="50"/>
  <c r="M148" i="50"/>
  <c r="R148" i="50"/>
  <c r="M108" i="50"/>
  <c r="R108" i="50"/>
  <c r="M88" i="50"/>
  <c r="R88" i="50"/>
  <c r="M8" i="50"/>
  <c r="R8" i="50"/>
  <c r="M190" i="55"/>
  <c r="R190" i="55"/>
  <c r="M150" i="55"/>
  <c r="R150" i="55"/>
  <c r="M50" i="55"/>
  <c r="R50" i="55"/>
  <c r="M240" i="60"/>
  <c r="R240" i="60"/>
  <c r="M220" i="60"/>
  <c r="R220" i="60"/>
  <c r="M180" i="60"/>
  <c r="R180" i="60"/>
  <c r="M140" i="60"/>
  <c r="R140" i="60"/>
  <c r="M100" i="60"/>
  <c r="R100" i="60"/>
  <c r="M40" i="60"/>
  <c r="R40" i="60"/>
  <c r="M20" i="60"/>
  <c r="R20" i="60"/>
  <c r="M203" i="61"/>
  <c r="R203" i="61"/>
  <c r="M163" i="61"/>
  <c r="R163" i="61"/>
  <c r="M63" i="61"/>
  <c r="R63" i="61"/>
  <c r="M23" i="61"/>
  <c r="R23" i="61"/>
  <c r="R239" i="47"/>
  <c r="X239" i="47"/>
  <c r="M227" i="50"/>
  <c r="R227" i="50"/>
  <c r="M187" i="50"/>
  <c r="R187" i="50"/>
  <c r="M147" i="50"/>
  <c r="R147" i="50"/>
  <c r="M87" i="50"/>
  <c r="R87" i="50"/>
  <c r="M47" i="50"/>
  <c r="R47" i="50"/>
  <c r="M173" i="51"/>
  <c r="R173" i="51"/>
  <c r="M133" i="51"/>
  <c r="R133" i="51"/>
  <c r="M53" i="51"/>
  <c r="R53" i="51"/>
  <c r="M13" i="51"/>
  <c r="R13" i="51"/>
  <c r="R130" i="52"/>
  <c r="R90" i="52"/>
  <c r="M244" i="54"/>
  <c r="R244" i="54"/>
  <c r="M204" i="54"/>
  <c r="R204" i="54"/>
  <c r="M164" i="54"/>
  <c r="R164" i="54"/>
  <c r="M144" i="54"/>
  <c r="R144" i="54"/>
  <c r="M124" i="54"/>
  <c r="R124" i="54"/>
  <c r="M84" i="54"/>
  <c r="R84" i="54"/>
  <c r="M44" i="54"/>
  <c r="R44" i="54"/>
  <c r="M4" i="54"/>
  <c r="R4" i="54"/>
  <c r="M149" i="55"/>
  <c r="R149" i="55"/>
  <c r="M69" i="55"/>
  <c r="R69" i="55"/>
  <c r="M9" i="55"/>
  <c r="R9" i="55"/>
  <c r="M215" i="57"/>
  <c r="R25" i="58"/>
  <c r="R51" i="59"/>
  <c r="M202" i="61"/>
  <c r="R202" i="61"/>
  <c r="M162" i="61"/>
  <c r="R162" i="61"/>
  <c r="M62" i="61"/>
  <c r="R62" i="61"/>
  <c r="M22" i="61"/>
  <c r="R22" i="61"/>
  <c r="M205" i="46"/>
  <c r="R205" i="46"/>
  <c r="M85" i="46"/>
  <c r="R85" i="46"/>
  <c r="R238" i="47"/>
  <c r="X238" i="47"/>
  <c r="X148" i="49"/>
  <c r="R187" i="49"/>
  <c r="X187" i="49"/>
  <c r="R127" i="49"/>
  <c r="X127" i="49"/>
  <c r="R47" i="49"/>
  <c r="X47" i="49"/>
  <c r="M226" i="50"/>
  <c r="R226" i="50"/>
  <c r="M186" i="50"/>
  <c r="R186" i="50"/>
  <c r="M166" i="50"/>
  <c r="R166" i="50"/>
  <c r="M146" i="50"/>
  <c r="R146" i="50"/>
  <c r="M26" i="50"/>
  <c r="R26" i="50"/>
  <c r="R153" i="51"/>
  <c r="M192" i="51"/>
  <c r="R192" i="51"/>
  <c r="M12" i="51"/>
  <c r="R12" i="51"/>
  <c r="R247" i="54"/>
  <c r="R88" i="54"/>
  <c r="R28" i="54"/>
  <c r="M243" i="54"/>
  <c r="R243" i="54"/>
  <c r="M203" i="54"/>
  <c r="R203" i="54"/>
  <c r="M83" i="54"/>
  <c r="R83" i="54"/>
  <c r="M43" i="54"/>
  <c r="R43" i="54"/>
  <c r="M23" i="54"/>
  <c r="R23" i="54"/>
  <c r="R156" i="55"/>
  <c r="R96" i="55"/>
  <c r="R49" i="55"/>
  <c r="M214" i="57"/>
  <c r="R214" i="57"/>
  <c r="M194" i="57"/>
  <c r="M154" i="57"/>
  <c r="R154" i="57"/>
  <c r="M34" i="57"/>
  <c r="R34" i="57"/>
  <c r="R181" i="58"/>
  <c r="R125" i="58"/>
  <c r="R23" i="58"/>
  <c r="M207" i="59"/>
  <c r="R207" i="59"/>
  <c r="M127" i="59"/>
  <c r="R127" i="59"/>
  <c r="M67" i="59"/>
  <c r="R67" i="59"/>
  <c r="M27" i="59"/>
  <c r="R27" i="59"/>
  <c r="R104" i="61"/>
  <c r="R45" i="61"/>
  <c r="R219" i="47"/>
  <c r="X219" i="47"/>
  <c r="R199" i="47"/>
  <c r="X199" i="47"/>
  <c r="R208" i="49"/>
  <c r="X208" i="49"/>
  <c r="R128" i="49"/>
  <c r="M165" i="46"/>
  <c r="R165" i="46"/>
  <c r="M45" i="46"/>
  <c r="R45" i="46"/>
  <c r="R218" i="47"/>
  <c r="X218" i="47"/>
  <c r="R198" i="47"/>
  <c r="X198" i="47"/>
  <c r="R178" i="47"/>
  <c r="X178" i="47"/>
  <c r="X240" i="47"/>
  <c r="X122" i="47"/>
  <c r="R177" i="47"/>
  <c r="R157" i="47"/>
  <c r="X157" i="47"/>
  <c r="R137" i="47"/>
  <c r="R117" i="47"/>
  <c r="X117" i="47"/>
  <c r="R97" i="47"/>
  <c r="X97" i="47"/>
  <c r="X248" i="49"/>
  <c r="X211" i="49"/>
  <c r="X147" i="49"/>
  <c r="X111" i="49"/>
  <c r="M203" i="46"/>
  <c r="R203" i="46"/>
  <c r="M163" i="46"/>
  <c r="R163" i="46"/>
  <c r="M123" i="46"/>
  <c r="R123" i="46"/>
  <c r="M83" i="46"/>
  <c r="R83" i="46"/>
  <c r="M225" i="50"/>
  <c r="R225" i="50"/>
  <c r="M145" i="50"/>
  <c r="R145" i="50"/>
  <c r="M231" i="51"/>
  <c r="R231" i="51"/>
  <c r="M191" i="51"/>
  <c r="R191" i="51"/>
  <c r="M171" i="51"/>
  <c r="R171" i="51"/>
  <c r="M131" i="51"/>
  <c r="R131" i="51"/>
  <c r="M51" i="51"/>
  <c r="R51" i="51"/>
  <c r="M11" i="51"/>
  <c r="R11" i="51"/>
  <c r="M245" i="52"/>
  <c r="R245" i="52"/>
  <c r="M105" i="52"/>
  <c r="R27" i="54"/>
  <c r="M247" i="55"/>
  <c r="R247" i="55"/>
  <c r="R195" i="56"/>
  <c r="R217" i="57"/>
  <c r="R115" i="57"/>
  <c r="R57" i="57"/>
  <c r="M233" i="57"/>
  <c r="R233" i="57"/>
  <c r="M193" i="57"/>
  <c r="R193" i="57"/>
  <c r="M153" i="57"/>
  <c r="R153" i="57"/>
  <c r="M73" i="57"/>
  <c r="R73" i="57"/>
  <c r="R121" i="58"/>
  <c r="R22" i="58"/>
  <c r="R107" i="59"/>
  <c r="M226" i="59"/>
  <c r="R226" i="59"/>
  <c r="M166" i="59"/>
  <c r="R166" i="59"/>
  <c r="M146" i="59"/>
  <c r="R146" i="59"/>
  <c r="M126" i="59"/>
  <c r="R126" i="59"/>
  <c r="M66" i="59"/>
  <c r="R66" i="59"/>
  <c r="M26" i="59"/>
  <c r="R26" i="59"/>
  <c r="M6" i="59"/>
  <c r="R6" i="59"/>
  <c r="R24" i="60"/>
  <c r="R227" i="61"/>
  <c r="R102" i="61"/>
  <c r="M114" i="46"/>
  <c r="R114" i="46"/>
  <c r="M201" i="51"/>
  <c r="R201" i="51"/>
  <c r="R211" i="54"/>
  <c r="M181" i="55"/>
  <c r="R181" i="55"/>
  <c r="M233" i="56"/>
  <c r="R233" i="56"/>
  <c r="M193" i="56"/>
  <c r="R193" i="56"/>
  <c r="M93" i="56"/>
  <c r="R93" i="56"/>
  <c r="R172" i="58"/>
  <c r="R132" i="58"/>
  <c r="M244" i="59"/>
  <c r="R244" i="59"/>
  <c r="M161" i="61"/>
  <c r="R161" i="61"/>
  <c r="M121" i="61"/>
  <c r="R121" i="61"/>
  <c r="M41" i="61"/>
  <c r="R41" i="61"/>
  <c r="R190" i="62"/>
  <c r="M120" i="50"/>
  <c r="R120" i="50"/>
  <c r="M100" i="51"/>
  <c r="R100" i="51"/>
  <c r="M20" i="51"/>
  <c r="R20" i="51"/>
  <c r="M228" i="52"/>
  <c r="M188" i="52"/>
  <c r="M180" i="55"/>
  <c r="R180" i="55"/>
  <c r="M140" i="55"/>
  <c r="R140" i="55"/>
  <c r="M100" i="55"/>
  <c r="R100" i="55"/>
  <c r="M40" i="55"/>
  <c r="R40" i="55"/>
  <c r="M192" i="56"/>
  <c r="R192" i="56"/>
  <c r="M132" i="56"/>
  <c r="R132" i="56"/>
  <c r="M186" i="57"/>
  <c r="R186" i="57"/>
  <c r="M86" i="57"/>
  <c r="M26" i="57"/>
  <c r="R26" i="57"/>
  <c r="M152" i="58"/>
  <c r="R152" i="58"/>
  <c r="M12" i="58"/>
  <c r="R12" i="58"/>
  <c r="M123" i="59"/>
  <c r="R123" i="59"/>
  <c r="M83" i="59"/>
  <c r="R83" i="59"/>
  <c r="M43" i="59"/>
  <c r="R43" i="59"/>
  <c r="M120" i="61"/>
  <c r="R120" i="61"/>
  <c r="M13" i="46"/>
  <c r="R13" i="46"/>
  <c r="M60" i="51"/>
  <c r="R60" i="51"/>
  <c r="X143" i="48"/>
  <c r="X213" i="49"/>
  <c r="X10" i="49"/>
  <c r="R173" i="46"/>
  <c r="R133" i="46"/>
  <c r="R88" i="46"/>
  <c r="R48" i="46"/>
  <c r="R15" i="50"/>
  <c r="M127" i="52"/>
  <c r="R127" i="52"/>
  <c r="M210" i="54"/>
  <c r="R210" i="54"/>
  <c r="R98" i="55"/>
  <c r="R20" i="55"/>
  <c r="M219" i="55"/>
  <c r="R219" i="55"/>
  <c r="M39" i="55"/>
  <c r="R39" i="55"/>
  <c r="M131" i="56"/>
  <c r="R131" i="56"/>
  <c r="R147" i="57"/>
  <c r="R207" i="58"/>
  <c r="R128" i="58"/>
  <c r="R90" i="58"/>
  <c r="R223" i="59"/>
  <c r="R78" i="59"/>
  <c r="M82" i="59"/>
  <c r="R82" i="59"/>
  <c r="M42" i="59"/>
  <c r="R42" i="59"/>
  <c r="R142" i="60"/>
  <c r="M46" i="60"/>
  <c r="R46" i="60"/>
  <c r="M6" i="60"/>
  <c r="R6" i="60"/>
  <c r="M159" i="61"/>
  <c r="R159" i="61"/>
  <c r="M79" i="61"/>
  <c r="R79" i="61"/>
  <c r="R104" i="62"/>
  <c r="X180" i="48"/>
  <c r="R8" i="46"/>
  <c r="R55" i="50"/>
  <c r="R103" i="52"/>
  <c r="M249" i="54"/>
  <c r="R249" i="54"/>
  <c r="M29" i="54"/>
  <c r="R29" i="54"/>
  <c r="M218" i="55"/>
  <c r="R218" i="55"/>
  <c r="M50" i="56"/>
  <c r="R50" i="56"/>
  <c r="R107" i="57"/>
  <c r="R168" i="58"/>
  <c r="M150" i="58"/>
  <c r="R150" i="58"/>
  <c r="R24" i="59"/>
  <c r="M241" i="59"/>
  <c r="R241" i="59"/>
  <c r="M121" i="59"/>
  <c r="R121" i="59"/>
  <c r="M108" i="58"/>
  <c r="R108" i="58"/>
  <c r="M48" i="58"/>
  <c r="R48" i="58"/>
  <c r="M8" i="58"/>
  <c r="R8" i="58"/>
  <c r="R228" i="62"/>
  <c r="M168" i="46"/>
  <c r="R168" i="46"/>
  <c r="M195" i="50"/>
  <c r="R195" i="50"/>
  <c r="M35" i="50"/>
  <c r="R35" i="50"/>
  <c r="R81" i="51"/>
  <c r="R128" i="52"/>
  <c r="R111" i="54"/>
  <c r="R31" i="54"/>
  <c r="M175" i="55"/>
  <c r="R175" i="55"/>
  <c r="M115" i="55"/>
  <c r="R115" i="55"/>
  <c r="M75" i="55"/>
  <c r="R75" i="55"/>
  <c r="R33" i="56"/>
  <c r="M87" i="56"/>
  <c r="R87" i="56"/>
  <c r="M27" i="56"/>
  <c r="R27" i="56"/>
  <c r="R66" i="57"/>
  <c r="M147" i="58"/>
  <c r="R147" i="58"/>
  <c r="M47" i="58"/>
  <c r="R47" i="58"/>
  <c r="M7" i="58"/>
  <c r="R7" i="58"/>
  <c r="R163" i="59"/>
  <c r="M198" i="59"/>
  <c r="R198" i="59"/>
  <c r="R85" i="60"/>
  <c r="M222" i="60"/>
  <c r="R222" i="60"/>
  <c r="R16" i="61"/>
  <c r="R42" i="62"/>
  <c r="X243" i="48"/>
  <c r="X100" i="48"/>
  <c r="X153" i="49"/>
  <c r="R194" i="46"/>
  <c r="R161" i="51"/>
  <c r="R80" i="51"/>
  <c r="R41" i="51"/>
  <c r="R28" i="52"/>
  <c r="M222" i="52"/>
  <c r="R222" i="52"/>
  <c r="R71" i="54"/>
  <c r="M225" i="54"/>
  <c r="R225" i="54"/>
  <c r="R215" i="55"/>
  <c r="R135" i="55"/>
  <c r="R15" i="55"/>
  <c r="R70" i="56"/>
  <c r="R32" i="58"/>
  <c r="M146" i="58"/>
  <c r="R146" i="58"/>
  <c r="M86" i="58"/>
  <c r="R86" i="58"/>
  <c r="R161" i="59"/>
  <c r="R63" i="59"/>
  <c r="R83" i="60"/>
  <c r="M219" i="62"/>
  <c r="R185" i="54"/>
  <c r="R65" i="54"/>
  <c r="R124" i="57"/>
  <c r="R56" i="60"/>
  <c r="R51" i="61"/>
  <c r="R206" i="62"/>
  <c r="R185" i="62"/>
  <c r="R168" i="62"/>
  <c r="R155" i="62"/>
  <c r="R149" i="59"/>
  <c r="R225" i="56"/>
  <c r="R29" i="59"/>
  <c r="R151" i="61"/>
  <c r="R205" i="62"/>
  <c r="M52" i="54"/>
  <c r="R52" i="54"/>
  <c r="R235" i="48"/>
  <c r="R215" i="48"/>
  <c r="X215" i="48"/>
  <c r="R195" i="48"/>
  <c r="X195" i="48"/>
  <c r="R175" i="48"/>
  <c r="X175" i="48"/>
  <c r="R155" i="48"/>
  <c r="X155" i="48"/>
  <c r="R135" i="48"/>
  <c r="X135" i="48"/>
  <c r="R115" i="48"/>
  <c r="R95" i="48"/>
  <c r="X95" i="48"/>
  <c r="R75" i="48"/>
  <c r="R55" i="48"/>
  <c r="X55" i="48"/>
  <c r="R35" i="48"/>
  <c r="R15" i="48"/>
  <c r="M239" i="46"/>
  <c r="R239" i="46"/>
  <c r="M219" i="46"/>
  <c r="R219" i="46"/>
  <c r="M199" i="46"/>
  <c r="R199" i="46"/>
  <c r="M159" i="46"/>
  <c r="R159" i="46"/>
  <c r="M139" i="46"/>
  <c r="R139" i="46"/>
  <c r="M119" i="46"/>
  <c r="R119" i="46"/>
  <c r="M99" i="46"/>
  <c r="R99" i="46"/>
  <c r="M59" i="46"/>
  <c r="R59" i="46"/>
  <c r="M19" i="46"/>
  <c r="R19" i="46"/>
  <c r="R177" i="50"/>
  <c r="M249" i="52"/>
  <c r="M229" i="52"/>
  <c r="R229" i="52"/>
  <c r="M209" i="52"/>
  <c r="R209" i="52"/>
  <c r="M189" i="52"/>
  <c r="M169" i="52"/>
  <c r="R169" i="52"/>
  <c r="M149" i="52"/>
  <c r="M129" i="52"/>
  <c r="R129" i="52"/>
  <c r="M109" i="52"/>
  <c r="M89" i="52"/>
  <c r="R89" i="52"/>
  <c r="M69" i="52"/>
  <c r="M49" i="52"/>
  <c r="M29" i="52"/>
  <c r="R29" i="52"/>
  <c r="R4" i="58"/>
  <c r="M231" i="58"/>
  <c r="R231" i="58"/>
  <c r="M211" i="58"/>
  <c r="R211" i="58"/>
  <c r="M191" i="58"/>
  <c r="R191" i="58"/>
  <c r="M171" i="58"/>
  <c r="R171" i="58"/>
  <c r="M151" i="58"/>
  <c r="R151" i="58"/>
  <c r="M131" i="58"/>
  <c r="R131" i="58"/>
  <c r="M111" i="58"/>
  <c r="R111" i="58"/>
  <c r="M91" i="58"/>
  <c r="R91" i="58"/>
  <c r="M71" i="58"/>
  <c r="R71" i="58"/>
  <c r="M51" i="58"/>
  <c r="R51" i="58"/>
  <c r="M31" i="58"/>
  <c r="R31" i="58"/>
  <c r="M11" i="58"/>
  <c r="R11" i="58"/>
  <c r="M240" i="46"/>
  <c r="R240" i="46"/>
  <c r="M152" i="54"/>
  <c r="R152" i="54"/>
  <c r="M72" i="54"/>
  <c r="R72" i="54"/>
  <c r="R234" i="48"/>
  <c r="X234" i="48"/>
  <c r="R214" i="48"/>
  <c r="R194" i="48"/>
  <c r="X194" i="48"/>
  <c r="R174" i="48"/>
  <c r="X174" i="48"/>
  <c r="R154" i="48"/>
  <c r="R114" i="48"/>
  <c r="X114" i="48"/>
  <c r="R94" i="48"/>
  <c r="X94" i="48"/>
  <c r="R74" i="48"/>
  <c r="X74" i="48"/>
  <c r="R54" i="48"/>
  <c r="X54" i="48"/>
  <c r="R34" i="48"/>
  <c r="R220" i="46"/>
  <c r="M238" i="46"/>
  <c r="R238" i="46"/>
  <c r="M198" i="46"/>
  <c r="R198" i="46"/>
  <c r="M138" i="46"/>
  <c r="R138" i="46"/>
  <c r="M118" i="46"/>
  <c r="R118" i="46"/>
  <c r="M98" i="46"/>
  <c r="R98" i="46"/>
  <c r="M78" i="46"/>
  <c r="R78" i="46"/>
  <c r="M58" i="46"/>
  <c r="R58" i="46"/>
  <c r="M18" i="46"/>
  <c r="R18" i="46"/>
  <c r="M241" i="55"/>
  <c r="R241" i="55"/>
  <c r="M221" i="55"/>
  <c r="R221" i="55"/>
  <c r="M161" i="55"/>
  <c r="R161" i="55"/>
  <c r="M141" i="55"/>
  <c r="R141" i="55"/>
  <c r="M101" i="55"/>
  <c r="R101" i="55"/>
  <c r="M81" i="55"/>
  <c r="R81" i="55"/>
  <c r="M41" i="55"/>
  <c r="R41" i="55"/>
  <c r="M21" i="55"/>
  <c r="R21" i="55"/>
  <c r="M234" i="56"/>
  <c r="R234" i="56"/>
  <c r="M194" i="56"/>
  <c r="R194" i="56"/>
  <c r="M174" i="56"/>
  <c r="R174" i="56"/>
  <c r="M154" i="56"/>
  <c r="R154" i="56"/>
  <c r="M134" i="56"/>
  <c r="R134" i="56"/>
  <c r="M114" i="56"/>
  <c r="R114" i="56"/>
  <c r="M94" i="56"/>
  <c r="R94" i="56"/>
  <c r="M74" i="56"/>
  <c r="R74" i="56"/>
  <c r="M54" i="56"/>
  <c r="R54" i="56"/>
  <c r="M34" i="56"/>
  <c r="R34" i="56"/>
  <c r="M200" i="46"/>
  <c r="R200" i="46"/>
  <c r="M80" i="46"/>
  <c r="R80" i="46"/>
  <c r="R73" i="54"/>
  <c r="M172" i="54"/>
  <c r="R172" i="54"/>
  <c r="R4" i="49"/>
  <c r="X4" i="49"/>
  <c r="X52" i="48"/>
  <c r="R134" i="48"/>
  <c r="R233" i="48"/>
  <c r="X233" i="48"/>
  <c r="R213" i="48"/>
  <c r="R193" i="48"/>
  <c r="R173" i="48"/>
  <c r="R153" i="48"/>
  <c r="R133" i="48"/>
  <c r="X133" i="48"/>
  <c r="R113" i="48"/>
  <c r="X113" i="48"/>
  <c r="R93" i="48"/>
  <c r="X93" i="48"/>
  <c r="R73" i="48"/>
  <c r="R53" i="48"/>
  <c r="X53" i="48"/>
  <c r="R33" i="48"/>
  <c r="R218" i="46"/>
  <c r="R32" i="54"/>
  <c r="R121" i="55"/>
  <c r="M101" i="46"/>
  <c r="R101" i="46"/>
  <c r="M231" i="50"/>
  <c r="R231" i="50"/>
  <c r="M31" i="50"/>
  <c r="R31" i="50"/>
  <c r="M231" i="52"/>
  <c r="R231" i="52"/>
  <c r="M91" i="52"/>
  <c r="R91" i="52"/>
  <c r="M213" i="54"/>
  <c r="R213" i="54"/>
  <c r="M13" i="54"/>
  <c r="R13" i="54"/>
  <c r="M140" i="46"/>
  <c r="R140" i="46"/>
  <c r="M20" i="46"/>
  <c r="R20" i="46"/>
  <c r="M112" i="54"/>
  <c r="R112" i="54"/>
  <c r="M12" i="54"/>
  <c r="R12" i="54"/>
  <c r="R217" i="49"/>
  <c r="X217" i="49"/>
  <c r="R197" i="49"/>
  <c r="X197" i="49"/>
  <c r="R177" i="49"/>
  <c r="X177" i="49"/>
  <c r="R157" i="49"/>
  <c r="X157" i="49"/>
  <c r="R137" i="49"/>
  <c r="R117" i="49"/>
  <c r="X117" i="49"/>
  <c r="R97" i="49"/>
  <c r="R77" i="49"/>
  <c r="X77" i="49"/>
  <c r="R57" i="49"/>
  <c r="R17" i="49"/>
  <c r="R36" i="49"/>
  <c r="R16" i="49"/>
  <c r="X16" i="49"/>
  <c r="R181" i="46"/>
  <c r="R237" i="50"/>
  <c r="R198" i="50"/>
  <c r="R131" i="50"/>
  <c r="R57" i="50"/>
  <c r="M225" i="52"/>
  <c r="R225" i="52"/>
  <c r="M205" i="52"/>
  <c r="M185" i="52"/>
  <c r="R185" i="52"/>
  <c r="M165" i="52"/>
  <c r="R165" i="52"/>
  <c r="M145" i="52"/>
  <c r="M85" i="52"/>
  <c r="R85" i="52"/>
  <c r="M65" i="52"/>
  <c r="R65" i="52"/>
  <c r="M45" i="52"/>
  <c r="R45" i="52"/>
  <c r="M25" i="52"/>
  <c r="R100" i="57"/>
  <c r="M92" i="54"/>
  <c r="R92" i="54"/>
  <c r="R37" i="49"/>
  <c r="R15" i="49"/>
  <c r="X15" i="49"/>
  <c r="R180" i="46"/>
  <c r="R112" i="46"/>
  <c r="R197" i="50"/>
  <c r="R173" i="54"/>
  <c r="R154" i="55"/>
  <c r="R64" i="58"/>
  <c r="M88" i="62"/>
  <c r="M120" i="46"/>
  <c r="R120" i="46"/>
  <c r="M192" i="54"/>
  <c r="R192" i="54"/>
  <c r="R237" i="49"/>
  <c r="X237" i="49"/>
  <c r="R14" i="49"/>
  <c r="R218" i="51"/>
  <c r="M219" i="51"/>
  <c r="R219" i="51"/>
  <c r="M159" i="51"/>
  <c r="R159" i="51"/>
  <c r="M139" i="51"/>
  <c r="R139" i="51"/>
  <c r="M119" i="51"/>
  <c r="R119" i="51"/>
  <c r="M99" i="51"/>
  <c r="R99" i="51"/>
  <c r="M79" i="51"/>
  <c r="R79" i="51"/>
  <c r="M39" i="51"/>
  <c r="R39" i="51"/>
  <c r="M19" i="51"/>
  <c r="R19" i="51"/>
  <c r="M53" i="62"/>
  <c r="R108" i="48"/>
  <c r="X108" i="48"/>
  <c r="M192" i="46"/>
  <c r="R192" i="46"/>
  <c r="M32" i="46"/>
  <c r="R32" i="46"/>
  <c r="M78" i="51"/>
  <c r="R78" i="51"/>
  <c r="M217" i="51"/>
  <c r="R217" i="51"/>
  <c r="M157" i="51"/>
  <c r="R157" i="51"/>
  <c r="M137" i="51"/>
  <c r="R137" i="51"/>
  <c r="M97" i="51"/>
  <c r="R97" i="51"/>
  <c r="M57" i="51"/>
  <c r="R57" i="51"/>
  <c r="M37" i="51"/>
  <c r="R37" i="51"/>
  <c r="M17" i="51"/>
  <c r="R17" i="51"/>
  <c r="M214" i="55"/>
  <c r="R214" i="55"/>
  <c r="M194" i="55"/>
  <c r="R194" i="55"/>
  <c r="M174" i="55"/>
  <c r="R174" i="55"/>
  <c r="M134" i="55"/>
  <c r="R134" i="55"/>
  <c r="M114" i="55"/>
  <c r="R114" i="55"/>
  <c r="M74" i="55"/>
  <c r="R74" i="55"/>
  <c r="M54" i="55"/>
  <c r="R54" i="55"/>
  <c r="M34" i="55"/>
  <c r="R34" i="55"/>
  <c r="M14" i="55"/>
  <c r="R14" i="55"/>
  <c r="M239" i="59"/>
  <c r="R239" i="59"/>
  <c r="M219" i="59"/>
  <c r="R219" i="59"/>
  <c r="M199" i="59"/>
  <c r="R199" i="59"/>
  <c r="M179" i="59"/>
  <c r="R179" i="59"/>
  <c r="M159" i="59"/>
  <c r="R159" i="59"/>
  <c r="M139" i="59"/>
  <c r="R139" i="59"/>
  <c r="M119" i="59"/>
  <c r="R119" i="59"/>
  <c r="M99" i="59"/>
  <c r="R99" i="59"/>
  <c r="M79" i="59"/>
  <c r="R79" i="59"/>
  <c r="M59" i="59"/>
  <c r="R59" i="59"/>
  <c r="M39" i="59"/>
  <c r="R39" i="59"/>
  <c r="M19" i="59"/>
  <c r="R19" i="59"/>
  <c r="M81" i="46"/>
  <c r="R81" i="46"/>
  <c r="M211" i="50"/>
  <c r="R211" i="50"/>
  <c r="M91" i="50"/>
  <c r="R91" i="50"/>
  <c r="M191" i="52"/>
  <c r="R191" i="52"/>
  <c r="M31" i="52"/>
  <c r="R31" i="52"/>
  <c r="M93" i="54"/>
  <c r="R93" i="54"/>
  <c r="R48" i="48"/>
  <c r="X48" i="48"/>
  <c r="M52" i="46"/>
  <c r="R52" i="46"/>
  <c r="M238" i="51"/>
  <c r="R238" i="51"/>
  <c r="M138" i="51"/>
  <c r="R138" i="51"/>
  <c r="M104" i="58"/>
  <c r="R104" i="58"/>
  <c r="M24" i="58"/>
  <c r="R24" i="58"/>
  <c r="M117" i="51"/>
  <c r="R117" i="51"/>
  <c r="M234" i="55"/>
  <c r="R234" i="55"/>
  <c r="R246" i="48"/>
  <c r="X246" i="48"/>
  <c r="R186" i="48"/>
  <c r="X186" i="48"/>
  <c r="R146" i="48"/>
  <c r="R106" i="48"/>
  <c r="X106" i="48"/>
  <c r="R86" i="48"/>
  <c r="R66" i="48"/>
  <c r="R26" i="48"/>
  <c r="X26" i="48"/>
  <c r="X195" i="49"/>
  <c r="X95" i="49"/>
  <c r="R38" i="46"/>
  <c r="M220" i="50"/>
  <c r="R220" i="50"/>
  <c r="M180" i="50"/>
  <c r="R180" i="50"/>
  <c r="M160" i="50"/>
  <c r="R160" i="50"/>
  <c r="M140" i="50"/>
  <c r="R140" i="50"/>
  <c r="M100" i="50"/>
  <c r="R100" i="50"/>
  <c r="M40" i="50"/>
  <c r="R40" i="50"/>
  <c r="M20" i="50"/>
  <c r="R20" i="50"/>
  <c r="M236" i="51"/>
  <c r="R236" i="51"/>
  <c r="M216" i="51"/>
  <c r="R216" i="51"/>
  <c r="M196" i="51"/>
  <c r="R196" i="51"/>
  <c r="M176" i="51"/>
  <c r="R176" i="51"/>
  <c r="M156" i="51"/>
  <c r="R156" i="51"/>
  <c r="M136" i="51"/>
  <c r="R136" i="51"/>
  <c r="M116" i="51"/>
  <c r="R116" i="51"/>
  <c r="M96" i="51"/>
  <c r="R96" i="51"/>
  <c r="M76" i="51"/>
  <c r="R76" i="51"/>
  <c r="M56" i="51"/>
  <c r="R56" i="51"/>
  <c r="M36" i="51"/>
  <c r="R36" i="51"/>
  <c r="M16" i="51"/>
  <c r="R16" i="51"/>
  <c r="M238" i="59"/>
  <c r="R238" i="59"/>
  <c r="M218" i="59"/>
  <c r="R218" i="59"/>
  <c r="M178" i="59"/>
  <c r="R178" i="59"/>
  <c r="M158" i="59"/>
  <c r="R158" i="59"/>
  <c r="M118" i="59"/>
  <c r="R118" i="59"/>
  <c r="R238" i="60"/>
  <c r="M141" i="46"/>
  <c r="R141" i="46"/>
  <c r="M21" i="46"/>
  <c r="R21" i="46"/>
  <c r="M71" i="50"/>
  <c r="R71" i="50"/>
  <c r="M171" i="52"/>
  <c r="R171" i="52"/>
  <c r="M71" i="52"/>
  <c r="R71" i="52"/>
  <c r="M160" i="46"/>
  <c r="R160" i="46"/>
  <c r="R248" i="48"/>
  <c r="R168" i="48"/>
  <c r="X168" i="48"/>
  <c r="R128" i="48"/>
  <c r="X128" i="48"/>
  <c r="R28" i="48"/>
  <c r="R40" i="46"/>
  <c r="M212" i="46"/>
  <c r="R212" i="46"/>
  <c r="M152" i="46"/>
  <c r="R152" i="46"/>
  <c r="M92" i="46"/>
  <c r="R92" i="46"/>
  <c r="M12" i="46"/>
  <c r="R12" i="46"/>
  <c r="M198" i="51"/>
  <c r="R198" i="51"/>
  <c r="M118" i="51"/>
  <c r="R118" i="51"/>
  <c r="M98" i="51"/>
  <c r="R98" i="51"/>
  <c r="M18" i="51"/>
  <c r="R18" i="51"/>
  <c r="R132" i="54"/>
  <c r="M244" i="58"/>
  <c r="R244" i="58"/>
  <c r="M224" i="58"/>
  <c r="R224" i="58"/>
  <c r="M184" i="58"/>
  <c r="R184" i="58"/>
  <c r="M164" i="58"/>
  <c r="R164" i="58"/>
  <c r="M44" i="58"/>
  <c r="R44" i="58"/>
  <c r="M237" i="51"/>
  <c r="R237" i="51"/>
  <c r="M197" i="51"/>
  <c r="R197" i="51"/>
  <c r="M177" i="51"/>
  <c r="R177" i="51"/>
  <c r="M77" i="51"/>
  <c r="R77" i="51"/>
  <c r="R5" i="48"/>
  <c r="R226" i="48"/>
  <c r="R206" i="48"/>
  <c r="X206" i="48"/>
  <c r="R166" i="48"/>
  <c r="X166" i="48"/>
  <c r="R126" i="48"/>
  <c r="R46" i="48"/>
  <c r="R4" i="48"/>
  <c r="X4" i="48"/>
  <c r="X94" i="49"/>
  <c r="R241" i="46"/>
  <c r="M239" i="50"/>
  <c r="R239" i="50"/>
  <c r="M219" i="50"/>
  <c r="R219" i="50"/>
  <c r="M199" i="50"/>
  <c r="R199" i="50"/>
  <c r="M179" i="50"/>
  <c r="R179" i="50"/>
  <c r="M159" i="50"/>
  <c r="R159" i="50"/>
  <c r="M139" i="50"/>
  <c r="R139" i="50"/>
  <c r="M119" i="50"/>
  <c r="R119" i="50"/>
  <c r="M99" i="50"/>
  <c r="R99" i="50"/>
  <c r="M79" i="50"/>
  <c r="R79" i="50"/>
  <c r="M59" i="50"/>
  <c r="R59" i="50"/>
  <c r="M39" i="50"/>
  <c r="R39" i="50"/>
  <c r="M19" i="50"/>
  <c r="R19" i="50"/>
  <c r="R53" i="54"/>
  <c r="M237" i="59"/>
  <c r="R237" i="59"/>
  <c r="M217" i="59"/>
  <c r="R217" i="59"/>
  <c r="M197" i="59"/>
  <c r="R197" i="59"/>
  <c r="M177" i="59"/>
  <c r="R177" i="59"/>
  <c r="M157" i="59"/>
  <c r="R157" i="59"/>
  <c r="M117" i="59"/>
  <c r="R117" i="59"/>
  <c r="M97" i="59"/>
  <c r="R97" i="59"/>
  <c r="M77" i="59"/>
  <c r="R77" i="59"/>
  <c r="M57" i="59"/>
  <c r="R57" i="59"/>
  <c r="M37" i="59"/>
  <c r="R37" i="59"/>
  <c r="M17" i="59"/>
  <c r="R17" i="59"/>
  <c r="M212" i="54"/>
  <c r="R212" i="54"/>
  <c r="M158" i="51"/>
  <c r="R158" i="51"/>
  <c r="R4" i="47"/>
  <c r="X4" i="47"/>
  <c r="R191" i="50"/>
  <c r="R11" i="50"/>
  <c r="M238" i="50"/>
  <c r="R238" i="50"/>
  <c r="M218" i="50"/>
  <c r="R218" i="50"/>
  <c r="M178" i="50"/>
  <c r="R178" i="50"/>
  <c r="M158" i="50"/>
  <c r="R158" i="50"/>
  <c r="M138" i="50"/>
  <c r="R138" i="50"/>
  <c r="M118" i="50"/>
  <c r="R118" i="50"/>
  <c r="M78" i="50"/>
  <c r="R78" i="50"/>
  <c r="M38" i="50"/>
  <c r="R38" i="50"/>
  <c r="M18" i="50"/>
  <c r="R18" i="50"/>
  <c r="R38" i="51"/>
  <c r="M236" i="59"/>
  <c r="R236" i="59"/>
  <c r="M216" i="59"/>
  <c r="R216" i="59"/>
  <c r="M176" i="59"/>
  <c r="R176" i="59"/>
  <c r="M156" i="59"/>
  <c r="R156" i="59"/>
  <c r="M116" i="59"/>
  <c r="R116" i="59"/>
  <c r="M96" i="59"/>
  <c r="R96" i="59"/>
  <c r="M76" i="59"/>
  <c r="R76" i="59"/>
  <c r="M56" i="59"/>
  <c r="R56" i="59"/>
  <c r="M36" i="59"/>
  <c r="R36" i="59"/>
  <c r="M16" i="59"/>
  <c r="R16" i="59"/>
  <c r="M177" i="62"/>
  <c r="M147" i="62"/>
  <c r="M121" i="46"/>
  <c r="R121" i="46"/>
  <c r="M171" i="50"/>
  <c r="R171" i="50"/>
  <c r="R228" i="48"/>
  <c r="M72" i="46"/>
  <c r="R72" i="46"/>
  <c r="M217" i="50"/>
  <c r="R217" i="50"/>
  <c r="R84" i="58"/>
  <c r="R6" i="52"/>
  <c r="X232" i="48"/>
  <c r="X32" i="48"/>
  <c r="X215" i="49"/>
  <c r="X115" i="49"/>
  <c r="R172" i="46"/>
  <c r="R178" i="51"/>
  <c r="M232" i="51"/>
  <c r="R232" i="51"/>
  <c r="M212" i="51"/>
  <c r="R212" i="51"/>
  <c r="M172" i="51"/>
  <c r="R172" i="51"/>
  <c r="M132" i="51"/>
  <c r="R132" i="51"/>
  <c r="M112" i="51"/>
  <c r="R112" i="51"/>
  <c r="M92" i="51"/>
  <c r="R92" i="51"/>
  <c r="M72" i="51"/>
  <c r="R72" i="51"/>
  <c r="M52" i="51"/>
  <c r="R52" i="51"/>
  <c r="R232" i="54"/>
  <c r="R208" i="48"/>
  <c r="X114" i="49"/>
  <c r="R151" i="50"/>
  <c r="R196" i="59"/>
  <c r="M218" i="60"/>
  <c r="R218" i="60"/>
  <c r="M198" i="60"/>
  <c r="R198" i="60"/>
  <c r="M178" i="60"/>
  <c r="R178" i="60"/>
  <c r="M158" i="60"/>
  <c r="R158" i="60"/>
  <c r="M138" i="60"/>
  <c r="R138" i="60"/>
  <c r="M118" i="60"/>
  <c r="R118" i="60"/>
  <c r="M98" i="60"/>
  <c r="R98" i="60"/>
  <c r="M78" i="60"/>
  <c r="R78" i="60"/>
  <c r="M58" i="60"/>
  <c r="R58" i="60"/>
  <c r="M38" i="60"/>
  <c r="R38" i="60"/>
  <c r="M18" i="60"/>
  <c r="R18" i="60"/>
  <c r="M200" i="57"/>
  <c r="R200" i="57"/>
  <c r="M180" i="57"/>
  <c r="R180" i="57"/>
  <c r="M80" i="57"/>
  <c r="R80" i="57"/>
  <c r="M60" i="57"/>
  <c r="R60" i="57"/>
  <c r="M40" i="57"/>
  <c r="M20" i="57"/>
  <c r="R20" i="57"/>
  <c r="M232" i="59"/>
  <c r="R232" i="59"/>
  <c r="M212" i="59"/>
  <c r="R212" i="59"/>
  <c r="M192" i="59"/>
  <c r="R192" i="59"/>
  <c r="M172" i="59"/>
  <c r="R172" i="59"/>
  <c r="M112" i="59"/>
  <c r="R112" i="59"/>
  <c r="M92" i="59"/>
  <c r="R92" i="59"/>
  <c r="M72" i="59"/>
  <c r="R72" i="59"/>
  <c r="M52" i="59"/>
  <c r="R52" i="59"/>
  <c r="M32" i="59"/>
  <c r="R32" i="59"/>
  <c r="M211" i="52"/>
  <c r="R211" i="52"/>
  <c r="M131" i="52"/>
  <c r="R131" i="52"/>
  <c r="M51" i="52"/>
  <c r="M233" i="54"/>
  <c r="R233" i="54"/>
  <c r="M133" i="54"/>
  <c r="R133" i="54"/>
  <c r="R148" i="48"/>
  <c r="X148" i="48"/>
  <c r="R88" i="48"/>
  <c r="M144" i="58"/>
  <c r="R144" i="58"/>
  <c r="R100" i="46"/>
  <c r="M137" i="50"/>
  <c r="R137" i="50"/>
  <c r="M97" i="50"/>
  <c r="R97" i="50"/>
  <c r="M37" i="50"/>
  <c r="R37" i="50"/>
  <c r="X162" i="47"/>
  <c r="M220" i="57"/>
  <c r="R220" i="57"/>
  <c r="M140" i="57"/>
  <c r="R140" i="57"/>
  <c r="M132" i="59"/>
  <c r="R132" i="59"/>
  <c r="X236" i="49"/>
  <c r="X136" i="49"/>
  <c r="R60" i="46"/>
  <c r="M233" i="50"/>
  <c r="R233" i="50"/>
  <c r="M213" i="50"/>
  <c r="R213" i="50"/>
  <c r="M173" i="50"/>
  <c r="R173" i="50"/>
  <c r="M133" i="50"/>
  <c r="R133" i="50"/>
  <c r="M113" i="50"/>
  <c r="R113" i="50"/>
  <c r="M93" i="50"/>
  <c r="R93" i="50"/>
  <c r="M53" i="50"/>
  <c r="R53" i="50"/>
  <c r="R153" i="54"/>
  <c r="M235" i="54"/>
  <c r="R235" i="54"/>
  <c r="M215" i="54"/>
  <c r="R215" i="54"/>
  <c r="M195" i="54"/>
  <c r="R195" i="54"/>
  <c r="M175" i="54"/>
  <c r="R175" i="54"/>
  <c r="M135" i="54"/>
  <c r="R135" i="54"/>
  <c r="M115" i="54"/>
  <c r="R115" i="54"/>
  <c r="M95" i="54"/>
  <c r="R95" i="54"/>
  <c r="M75" i="54"/>
  <c r="R75" i="54"/>
  <c r="M35" i="54"/>
  <c r="R35" i="54"/>
  <c r="M15" i="54"/>
  <c r="R15" i="54"/>
  <c r="M221" i="46"/>
  <c r="R221" i="46"/>
  <c r="M161" i="46"/>
  <c r="R161" i="46"/>
  <c r="M41" i="46"/>
  <c r="R41" i="46"/>
  <c r="M111" i="50"/>
  <c r="R111" i="50"/>
  <c r="M51" i="50"/>
  <c r="R51" i="50"/>
  <c r="M151" i="52"/>
  <c r="R151" i="52"/>
  <c r="M111" i="52"/>
  <c r="R111" i="52"/>
  <c r="M11" i="52"/>
  <c r="M193" i="54"/>
  <c r="R193" i="54"/>
  <c r="M113" i="54"/>
  <c r="R113" i="54"/>
  <c r="M33" i="54"/>
  <c r="R33" i="54"/>
  <c r="R188" i="48"/>
  <c r="R68" i="48"/>
  <c r="M232" i="46"/>
  <c r="R232" i="46"/>
  <c r="M124" i="58"/>
  <c r="R124" i="58"/>
  <c r="R201" i="46"/>
  <c r="M157" i="50"/>
  <c r="R157" i="50"/>
  <c r="M117" i="50"/>
  <c r="R117" i="50"/>
  <c r="M77" i="50"/>
  <c r="R77" i="50"/>
  <c r="M17" i="50"/>
  <c r="R17" i="50"/>
  <c r="X214" i="49"/>
  <c r="R132" i="46"/>
  <c r="R61" i="46"/>
  <c r="R239" i="51"/>
  <c r="R201" i="55"/>
  <c r="M160" i="57"/>
  <c r="R160" i="57"/>
  <c r="M152" i="59"/>
  <c r="R152" i="59"/>
  <c r="X92" i="48"/>
  <c r="X235" i="49"/>
  <c r="X135" i="49"/>
  <c r="R199" i="51"/>
  <c r="M234" i="54"/>
  <c r="R234" i="54"/>
  <c r="M214" i="54"/>
  <c r="R214" i="54"/>
  <c r="M194" i="54"/>
  <c r="R194" i="54"/>
  <c r="M174" i="54"/>
  <c r="R174" i="54"/>
  <c r="M154" i="54"/>
  <c r="R154" i="54"/>
  <c r="M134" i="54"/>
  <c r="R134" i="54"/>
  <c r="M114" i="54"/>
  <c r="R114" i="54"/>
  <c r="M94" i="54"/>
  <c r="R94" i="54"/>
  <c r="M74" i="54"/>
  <c r="R74" i="54"/>
  <c r="M54" i="54"/>
  <c r="R54" i="54"/>
  <c r="M34" i="54"/>
  <c r="R34" i="54"/>
  <c r="M14" i="54"/>
  <c r="R14" i="54"/>
  <c r="R61" i="55"/>
  <c r="M238" i="57"/>
  <c r="R238" i="57"/>
  <c r="M218" i="57"/>
  <c r="R218" i="57"/>
  <c r="M198" i="57"/>
  <c r="R198" i="57"/>
  <c r="M178" i="57"/>
  <c r="M158" i="57"/>
  <c r="R158" i="57"/>
  <c r="M138" i="57"/>
  <c r="R138" i="57"/>
  <c r="M118" i="57"/>
  <c r="R118" i="57"/>
  <c r="M98" i="57"/>
  <c r="R98" i="57"/>
  <c r="M78" i="57"/>
  <c r="R78" i="57"/>
  <c r="M58" i="57"/>
  <c r="R58" i="57"/>
  <c r="M38" i="57"/>
  <c r="M18" i="57"/>
  <c r="R18" i="57"/>
  <c r="M247" i="46"/>
  <c r="R247" i="46"/>
  <c r="M227" i="46"/>
  <c r="R227" i="46"/>
  <c r="M207" i="46"/>
  <c r="R207" i="46"/>
  <c r="M187" i="46"/>
  <c r="R187" i="46"/>
  <c r="M167" i="46"/>
  <c r="R167" i="46"/>
  <c r="M147" i="46"/>
  <c r="R147" i="46"/>
  <c r="M127" i="46"/>
  <c r="R127" i="46"/>
  <c r="M107" i="46"/>
  <c r="R107" i="46"/>
  <c r="M87" i="46"/>
  <c r="R87" i="46"/>
  <c r="M67" i="46"/>
  <c r="R67" i="46"/>
  <c r="M47" i="46"/>
  <c r="R47" i="46"/>
  <c r="M27" i="46"/>
  <c r="R27" i="46"/>
  <c r="M7" i="46"/>
  <c r="R7" i="46"/>
  <c r="R163" i="50"/>
  <c r="R90" i="51"/>
  <c r="R183" i="52"/>
  <c r="R166" i="54"/>
  <c r="R66" i="54"/>
  <c r="R52" i="55"/>
  <c r="M207" i="55"/>
  <c r="R207" i="55"/>
  <c r="M187" i="55"/>
  <c r="R187" i="55"/>
  <c r="M167" i="55"/>
  <c r="R167" i="55"/>
  <c r="M147" i="55"/>
  <c r="R147" i="55"/>
  <c r="M87" i="55"/>
  <c r="R87" i="55"/>
  <c r="R52" i="57"/>
  <c r="M227" i="57"/>
  <c r="R227" i="57"/>
  <c r="M127" i="57"/>
  <c r="R127" i="57"/>
  <c r="M87" i="57"/>
  <c r="R87" i="57"/>
  <c r="M7" i="57"/>
  <c r="R7" i="57"/>
  <c r="R102" i="58"/>
  <c r="R42" i="58"/>
  <c r="M217" i="58"/>
  <c r="R217" i="58"/>
  <c r="M197" i="58"/>
  <c r="R197" i="58"/>
  <c r="M137" i="58"/>
  <c r="R137" i="58"/>
  <c r="M117" i="58"/>
  <c r="R117" i="58"/>
  <c r="M57" i="58"/>
  <c r="R57" i="58"/>
  <c r="M37" i="58"/>
  <c r="R37" i="58"/>
  <c r="R143" i="60"/>
  <c r="R22" i="49"/>
  <c r="X22" i="49"/>
  <c r="R117" i="46"/>
  <c r="M246" i="46"/>
  <c r="R246" i="46"/>
  <c r="M226" i="46"/>
  <c r="R226" i="46"/>
  <c r="M206" i="46"/>
  <c r="R206" i="46"/>
  <c r="M186" i="46"/>
  <c r="R186" i="46"/>
  <c r="M166" i="46"/>
  <c r="R166" i="46"/>
  <c r="M146" i="46"/>
  <c r="R146" i="46"/>
  <c r="M126" i="46"/>
  <c r="R126" i="46"/>
  <c r="M106" i="46"/>
  <c r="R106" i="46"/>
  <c r="M86" i="46"/>
  <c r="R86" i="46"/>
  <c r="M66" i="46"/>
  <c r="R66" i="46"/>
  <c r="M46" i="46"/>
  <c r="R46" i="46"/>
  <c r="M26" i="46"/>
  <c r="R26" i="46"/>
  <c r="M6" i="46"/>
  <c r="R6" i="46"/>
  <c r="R136" i="50"/>
  <c r="R230" i="51"/>
  <c r="R135" i="52"/>
  <c r="R192" i="55"/>
  <c r="M246" i="55"/>
  <c r="R246" i="55"/>
  <c r="M226" i="55"/>
  <c r="R226" i="55"/>
  <c r="M206" i="55"/>
  <c r="R206" i="55"/>
  <c r="M186" i="55"/>
  <c r="R186" i="55"/>
  <c r="M166" i="55"/>
  <c r="R166" i="55"/>
  <c r="M146" i="55"/>
  <c r="R146" i="55"/>
  <c r="M126" i="55"/>
  <c r="R126" i="55"/>
  <c r="M106" i="55"/>
  <c r="R106" i="55"/>
  <c r="M86" i="55"/>
  <c r="R86" i="55"/>
  <c r="M66" i="55"/>
  <c r="R66" i="55"/>
  <c r="M46" i="55"/>
  <c r="R46" i="55"/>
  <c r="M26" i="55"/>
  <c r="R26" i="55"/>
  <c r="M6" i="55"/>
  <c r="R6" i="55"/>
  <c r="R20" i="56"/>
  <c r="R192" i="57"/>
  <c r="M246" i="57"/>
  <c r="M236" i="58"/>
  <c r="R236" i="58"/>
  <c r="M216" i="58"/>
  <c r="R216" i="58"/>
  <c r="M196" i="58"/>
  <c r="R196" i="58"/>
  <c r="M176" i="58"/>
  <c r="R176" i="58"/>
  <c r="M156" i="58"/>
  <c r="R156" i="58"/>
  <c r="M136" i="58"/>
  <c r="R136" i="58"/>
  <c r="M116" i="58"/>
  <c r="R116" i="58"/>
  <c r="M96" i="58"/>
  <c r="R96" i="58"/>
  <c r="M76" i="58"/>
  <c r="R76" i="58"/>
  <c r="M56" i="58"/>
  <c r="R56" i="58"/>
  <c r="M36" i="58"/>
  <c r="R36" i="58"/>
  <c r="M16" i="58"/>
  <c r="R16" i="58"/>
  <c r="R211" i="60"/>
  <c r="R31" i="60"/>
  <c r="M245" i="60"/>
  <c r="R245" i="60"/>
  <c r="M205" i="60"/>
  <c r="R205" i="60"/>
  <c r="M185" i="60"/>
  <c r="R185" i="60"/>
  <c r="X240" i="49"/>
  <c r="X220" i="49"/>
  <c r="X200" i="49"/>
  <c r="X180" i="49"/>
  <c r="X160" i="49"/>
  <c r="X120" i="49"/>
  <c r="X100" i="49"/>
  <c r="X80" i="49"/>
  <c r="X60" i="49"/>
  <c r="R43" i="50"/>
  <c r="R135" i="51"/>
  <c r="R65" i="51"/>
  <c r="R42" i="51"/>
  <c r="R158" i="52"/>
  <c r="R63" i="52"/>
  <c r="M236" i="52"/>
  <c r="M216" i="52"/>
  <c r="R216" i="52"/>
  <c r="M196" i="52"/>
  <c r="M176" i="52"/>
  <c r="R176" i="52"/>
  <c r="M156" i="52"/>
  <c r="M136" i="52"/>
  <c r="R136" i="52"/>
  <c r="M116" i="52"/>
  <c r="M96" i="52"/>
  <c r="R96" i="52"/>
  <c r="M76" i="52"/>
  <c r="R76" i="52"/>
  <c r="M56" i="52"/>
  <c r="R56" i="52"/>
  <c r="M36" i="52"/>
  <c r="R36" i="52"/>
  <c r="M16" i="52"/>
  <c r="M241" i="56"/>
  <c r="R241" i="56"/>
  <c r="M221" i="56"/>
  <c r="R221" i="56"/>
  <c r="M201" i="56"/>
  <c r="R201" i="56"/>
  <c r="M181" i="56"/>
  <c r="R181" i="56"/>
  <c r="M161" i="56"/>
  <c r="R161" i="56"/>
  <c r="M141" i="56"/>
  <c r="R141" i="56"/>
  <c r="M121" i="56"/>
  <c r="R121" i="56"/>
  <c r="M101" i="56"/>
  <c r="R101" i="56"/>
  <c r="M81" i="56"/>
  <c r="R81" i="56"/>
  <c r="M61" i="56"/>
  <c r="R61" i="56"/>
  <c r="M41" i="56"/>
  <c r="R41" i="56"/>
  <c r="M21" i="56"/>
  <c r="R21" i="56"/>
  <c r="R164" i="57"/>
  <c r="M224" i="60"/>
  <c r="R224" i="60"/>
  <c r="M164" i="60"/>
  <c r="R164" i="60"/>
  <c r="M144" i="60"/>
  <c r="R144" i="60"/>
  <c r="M124" i="60"/>
  <c r="R124" i="60"/>
  <c r="M104" i="60"/>
  <c r="R104" i="60"/>
  <c r="M64" i="60"/>
  <c r="R64" i="60"/>
  <c r="M229" i="61"/>
  <c r="R229" i="61"/>
  <c r="M189" i="61"/>
  <c r="R189" i="61"/>
  <c r="M169" i="61"/>
  <c r="R169" i="61"/>
  <c r="M149" i="61"/>
  <c r="R149" i="61"/>
  <c r="M129" i="61"/>
  <c r="R129" i="61"/>
  <c r="M89" i="61"/>
  <c r="R89" i="61"/>
  <c r="M244" i="46"/>
  <c r="R244" i="46"/>
  <c r="M224" i="46"/>
  <c r="R224" i="46"/>
  <c r="M204" i="46"/>
  <c r="R204" i="46"/>
  <c r="M184" i="46"/>
  <c r="R184" i="46"/>
  <c r="M164" i="46"/>
  <c r="R164" i="46"/>
  <c r="M144" i="46"/>
  <c r="R144" i="46"/>
  <c r="M124" i="46"/>
  <c r="R124" i="46"/>
  <c r="M104" i="46"/>
  <c r="R104" i="46"/>
  <c r="M84" i="46"/>
  <c r="R84" i="46"/>
  <c r="M64" i="46"/>
  <c r="R64" i="46"/>
  <c r="M44" i="46"/>
  <c r="R44" i="46"/>
  <c r="M24" i="46"/>
  <c r="R24" i="46"/>
  <c r="M4" i="46"/>
  <c r="R4" i="46"/>
  <c r="R110" i="51"/>
  <c r="R203" i="52"/>
  <c r="M220" i="56"/>
  <c r="R220" i="56"/>
  <c r="M180" i="56"/>
  <c r="R180" i="56"/>
  <c r="M80" i="56"/>
  <c r="R80" i="56"/>
  <c r="M40" i="56"/>
  <c r="R40" i="56"/>
  <c r="M244" i="57"/>
  <c r="R244" i="57"/>
  <c r="M204" i="57"/>
  <c r="R204" i="57"/>
  <c r="M104" i="57"/>
  <c r="R104" i="57"/>
  <c r="M64" i="57"/>
  <c r="R64" i="57"/>
  <c r="M243" i="60"/>
  <c r="R243" i="60"/>
  <c r="M183" i="60"/>
  <c r="R183" i="60"/>
  <c r="M163" i="60"/>
  <c r="R163" i="60"/>
  <c r="M103" i="60"/>
  <c r="R103" i="60"/>
  <c r="M43" i="60"/>
  <c r="R43" i="60"/>
  <c r="R209" i="61"/>
  <c r="R109" i="61"/>
  <c r="R137" i="46"/>
  <c r="R156" i="50"/>
  <c r="M242" i="50"/>
  <c r="R242" i="50"/>
  <c r="M222" i="50"/>
  <c r="R222" i="50"/>
  <c r="M202" i="50"/>
  <c r="R202" i="50"/>
  <c r="M182" i="50"/>
  <c r="R182" i="50"/>
  <c r="M162" i="50"/>
  <c r="R162" i="50"/>
  <c r="M142" i="50"/>
  <c r="R142" i="50"/>
  <c r="M122" i="50"/>
  <c r="R122" i="50"/>
  <c r="M102" i="50"/>
  <c r="R102" i="50"/>
  <c r="M82" i="50"/>
  <c r="R82" i="50"/>
  <c r="M62" i="50"/>
  <c r="R62" i="50"/>
  <c r="M42" i="50"/>
  <c r="R42" i="50"/>
  <c r="M22" i="50"/>
  <c r="R22" i="50"/>
  <c r="R250" i="51"/>
  <c r="R186" i="54"/>
  <c r="R86" i="54"/>
  <c r="M237" i="54"/>
  <c r="R237" i="54"/>
  <c r="M217" i="54"/>
  <c r="R217" i="54"/>
  <c r="M197" i="54"/>
  <c r="R197" i="54"/>
  <c r="M177" i="54"/>
  <c r="R177" i="54"/>
  <c r="M157" i="54"/>
  <c r="R157" i="54"/>
  <c r="M137" i="54"/>
  <c r="R137" i="54"/>
  <c r="M117" i="54"/>
  <c r="R117" i="54"/>
  <c r="M97" i="54"/>
  <c r="R97" i="54"/>
  <c r="M77" i="54"/>
  <c r="R77" i="54"/>
  <c r="M57" i="54"/>
  <c r="R57" i="54"/>
  <c r="M37" i="54"/>
  <c r="R37" i="54"/>
  <c r="M17" i="54"/>
  <c r="R17" i="54"/>
  <c r="R47" i="55"/>
  <c r="M143" i="55"/>
  <c r="R143" i="55"/>
  <c r="M123" i="55"/>
  <c r="R123" i="55"/>
  <c r="M103" i="55"/>
  <c r="R103" i="55"/>
  <c r="M63" i="55"/>
  <c r="R63" i="55"/>
  <c r="R160" i="56"/>
  <c r="R100" i="56"/>
  <c r="M219" i="56"/>
  <c r="R219" i="56"/>
  <c r="M199" i="56"/>
  <c r="R199" i="56"/>
  <c r="M79" i="56"/>
  <c r="R79" i="56"/>
  <c r="M39" i="56"/>
  <c r="R39" i="56"/>
  <c r="R247" i="57"/>
  <c r="R222" i="58"/>
  <c r="M233" i="58"/>
  <c r="R233" i="58"/>
  <c r="M213" i="58"/>
  <c r="R213" i="58"/>
  <c r="M193" i="58"/>
  <c r="R193" i="58"/>
  <c r="M173" i="58"/>
  <c r="R173" i="58"/>
  <c r="M153" i="58"/>
  <c r="R153" i="58"/>
  <c r="M133" i="58"/>
  <c r="R133" i="58"/>
  <c r="M113" i="58"/>
  <c r="R113" i="58"/>
  <c r="M93" i="58"/>
  <c r="R93" i="58"/>
  <c r="M73" i="58"/>
  <c r="R73" i="58"/>
  <c r="M53" i="58"/>
  <c r="R53" i="58"/>
  <c r="M33" i="58"/>
  <c r="R33" i="58"/>
  <c r="M13" i="58"/>
  <c r="R13" i="58"/>
  <c r="R171" i="59"/>
  <c r="R244" i="60"/>
  <c r="R63" i="60"/>
  <c r="R249" i="61"/>
  <c r="R63" i="50"/>
  <c r="M241" i="50"/>
  <c r="R241" i="50"/>
  <c r="M221" i="50"/>
  <c r="R221" i="50"/>
  <c r="M201" i="50"/>
  <c r="R201" i="50"/>
  <c r="M181" i="50"/>
  <c r="R181" i="50"/>
  <c r="M161" i="50"/>
  <c r="R161" i="50"/>
  <c r="M141" i="50"/>
  <c r="R141" i="50"/>
  <c r="M121" i="50"/>
  <c r="R121" i="50"/>
  <c r="M101" i="50"/>
  <c r="R101" i="50"/>
  <c r="M81" i="50"/>
  <c r="R81" i="50"/>
  <c r="M61" i="50"/>
  <c r="R61" i="50"/>
  <c r="M41" i="50"/>
  <c r="R41" i="50"/>
  <c r="M21" i="50"/>
  <c r="R21" i="50"/>
  <c r="R155" i="51"/>
  <c r="R85" i="51"/>
  <c r="R62" i="51"/>
  <c r="R178" i="52"/>
  <c r="R154" i="52"/>
  <c r="R83" i="52"/>
  <c r="R160" i="54"/>
  <c r="R60" i="54"/>
  <c r="M236" i="54"/>
  <c r="R236" i="54"/>
  <c r="M216" i="54"/>
  <c r="R216" i="54"/>
  <c r="M196" i="54"/>
  <c r="R196" i="54"/>
  <c r="M176" i="54"/>
  <c r="R176" i="54"/>
  <c r="M156" i="54"/>
  <c r="R156" i="54"/>
  <c r="M136" i="54"/>
  <c r="R136" i="54"/>
  <c r="M116" i="54"/>
  <c r="R116" i="54"/>
  <c r="M96" i="54"/>
  <c r="R96" i="54"/>
  <c r="M76" i="54"/>
  <c r="R76" i="54"/>
  <c r="M56" i="54"/>
  <c r="R56" i="54"/>
  <c r="M36" i="54"/>
  <c r="R36" i="54"/>
  <c r="M16" i="54"/>
  <c r="R16" i="54"/>
  <c r="R183" i="55"/>
  <c r="R132" i="55"/>
  <c r="R72" i="55"/>
  <c r="M122" i="55"/>
  <c r="R122" i="55"/>
  <c r="M102" i="55"/>
  <c r="R102" i="55"/>
  <c r="M42" i="55"/>
  <c r="R42" i="55"/>
  <c r="R159" i="56"/>
  <c r="R99" i="56"/>
  <c r="R47" i="57"/>
  <c r="R204" i="60"/>
  <c r="M221" i="60"/>
  <c r="R221" i="60"/>
  <c r="M161" i="60"/>
  <c r="R161" i="60"/>
  <c r="M141" i="60"/>
  <c r="R141" i="60"/>
  <c r="M101" i="60"/>
  <c r="R101" i="60"/>
  <c r="M81" i="60"/>
  <c r="R81" i="60"/>
  <c r="M41" i="60"/>
  <c r="R41" i="60"/>
  <c r="M21" i="60"/>
  <c r="R21" i="60"/>
  <c r="R195" i="52"/>
  <c r="R152" i="57"/>
  <c r="R12" i="57"/>
  <c r="R70" i="59"/>
  <c r="M236" i="60"/>
  <c r="R236" i="60"/>
  <c r="M196" i="60"/>
  <c r="R196" i="60"/>
  <c r="M176" i="60"/>
  <c r="R176" i="60"/>
  <c r="M156" i="60"/>
  <c r="R156" i="60"/>
  <c r="M136" i="60"/>
  <c r="R136" i="60"/>
  <c r="M116" i="60"/>
  <c r="R116" i="60"/>
  <c r="M96" i="60"/>
  <c r="R96" i="60"/>
  <c r="M36" i="60"/>
  <c r="R36" i="60"/>
  <c r="M16" i="60"/>
  <c r="R16" i="60"/>
  <c r="R236" i="61"/>
  <c r="R222" i="46"/>
  <c r="R244" i="50"/>
  <c r="R103" i="50"/>
  <c r="R220" i="51"/>
  <c r="R195" i="51"/>
  <c r="R125" i="51"/>
  <c r="R102" i="51"/>
  <c r="R30" i="51"/>
  <c r="M234" i="51"/>
  <c r="R234" i="51"/>
  <c r="M214" i="51"/>
  <c r="R214" i="51"/>
  <c r="M194" i="51"/>
  <c r="R194" i="51"/>
  <c r="M174" i="51"/>
  <c r="R174" i="51"/>
  <c r="M154" i="51"/>
  <c r="R154" i="51"/>
  <c r="M134" i="51"/>
  <c r="R134" i="51"/>
  <c r="M114" i="51"/>
  <c r="R114" i="51"/>
  <c r="M94" i="51"/>
  <c r="R94" i="51"/>
  <c r="M74" i="51"/>
  <c r="R74" i="51"/>
  <c r="M54" i="51"/>
  <c r="R54" i="51"/>
  <c r="M34" i="51"/>
  <c r="R34" i="51"/>
  <c r="M14" i="51"/>
  <c r="R14" i="51"/>
  <c r="R218" i="52"/>
  <c r="R194" i="52"/>
  <c r="R178" i="54"/>
  <c r="R151" i="54"/>
  <c r="R78" i="54"/>
  <c r="R203" i="55"/>
  <c r="R92" i="55"/>
  <c r="M236" i="55"/>
  <c r="R236" i="55"/>
  <c r="M56" i="55"/>
  <c r="R56" i="55"/>
  <c r="M36" i="55"/>
  <c r="R36" i="55"/>
  <c r="R60" i="56"/>
  <c r="M152" i="56"/>
  <c r="R152" i="56"/>
  <c r="M112" i="56"/>
  <c r="R112" i="56"/>
  <c r="M32" i="56"/>
  <c r="R32" i="56"/>
  <c r="M12" i="56"/>
  <c r="R12" i="56"/>
  <c r="R67" i="57"/>
  <c r="R177" i="58"/>
  <c r="M234" i="59"/>
  <c r="R234" i="59"/>
  <c r="M214" i="59"/>
  <c r="R214" i="59"/>
  <c r="M174" i="59"/>
  <c r="R174" i="59"/>
  <c r="M134" i="59"/>
  <c r="R134" i="59"/>
  <c r="M74" i="59"/>
  <c r="R74" i="59"/>
  <c r="M14" i="59"/>
  <c r="R14" i="59"/>
  <c r="M240" i="61"/>
  <c r="R240" i="61"/>
  <c r="M200" i="61"/>
  <c r="R200" i="61"/>
  <c r="M180" i="61"/>
  <c r="R180" i="61"/>
  <c r="M160" i="61"/>
  <c r="R160" i="61"/>
  <c r="M100" i="61"/>
  <c r="R100" i="61"/>
  <c r="M80" i="61"/>
  <c r="R80" i="61"/>
  <c r="M60" i="61"/>
  <c r="R60" i="61"/>
  <c r="M40" i="61"/>
  <c r="R40" i="61"/>
  <c r="M20" i="61"/>
  <c r="R20" i="61"/>
  <c r="R245" i="46"/>
  <c r="R103" i="46"/>
  <c r="R57" i="46"/>
  <c r="R243" i="50"/>
  <c r="R125" i="50"/>
  <c r="R76" i="50"/>
  <c r="R242" i="51"/>
  <c r="R170" i="51"/>
  <c r="R168" i="52"/>
  <c r="R250" i="54"/>
  <c r="R226" i="54"/>
  <c r="R150" i="54"/>
  <c r="R126" i="54"/>
  <c r="R50" i="54"/>
  <c r="R26" i="54"/>
  <c r="R202" i="55"/>
  <c r="R176" i="55"/>
  <c r="R62" i="55"/>
  <c r="R10" i="55"/>
  <c r="R209" i="56"/>
  <c r="R92" i="56"/>
  <c r="R59" i="56"/>
  <c r="M151" i="56"/>
  <c r="R151" i="56"/>
  <c r="M111" i="56"/>
  <c r="R111" i="56"/>
  <c r="M11" i="56"/>
  <c r="R11" i="56"/>
  <c r="R207" i="57"/>
  <c r="R93" i="57"/>
  <c r="R130" i="59"/>
  <c r="R34" i="59"/>
  <c r="M233" i="59"/>
  <c r="R233" i="59"/>
  <c r="M213" i="59"/>
  <c r="R213" i="59"/>
  <c r="M153" i="59"/>
  <c r="R153" i="59"/>
  <c r="M133" i="59"/>
  <c r="R133" i="59"/>
  <c r="M113" i="59"/>
  <c r="R113" i="59"/>
  <c r="M73" i="59"/>
  <c r="R73" i="59"/>
  <c r="M13" i="59"/>
  <c r="R13" i="59"/>
  <c r="R231" i="60"/>
  <c r="R121" i="60"/>
  <c r="M35" i="62"/>
  <c r="X231" i="48"/>
  <c r="X211" i="48"/>
  <c r="X151" i="48"/>
  <c r="X91" i="48"/>
  <c r="X51" i="48"/>
  <c r="R242" i="46"/>
  <c r="R196" i="46"/>
  <c r="R125" i="46"/>
  <c r="R215" i="50"/>
  <c r="R123" i="50"/>
  <c r="R240" i="51"/>
  <c r="R215" i="51"/>
  <c r="R145" i="51"/>
  <c r="R122" i="51"/>
  <c r="R50" i="51"/>
  <c r="R238" i="52"/>
  <c r="R214" i="52"/>
  <c r="R199" i="54"/>
  <c r="R99" i="54"/>
  <c r="R227" i="55"/>
  <c r="R32" i="55"/>
  <c r="R7" i="55"/>
  <c r="M229" i="56"/>
  <c r="R229" i="56"/>
  <c r="M129" i="56"/>
  <c r="R129" i="56"/>
  <c r="M89" i="56"/>
  <c r="R89" i="56"/>
  <c r="M9" i="56"/>
  <c r="R9" i="56"/>
  <c r="R232" i="57"/>
  <c r="R146" i="57"/>
  <c r="M173" i="57"/>
  <c r="M133" i="57"/>
  <c r="M53" i="57"/>
  <c r="R53" i="57"/>
  <c r="M33" i="57"/>
  <c r="R33" i="57"/>
  <c r="R237" i="58"/>
  <c r="M231" i="59"/>
  <c r="R231" i="59"/>
  <c r="M211" i="59"/>
  <c r="R211" i="59"/>
  <c r="M191" i="59"/>
  <c r="R191" i="59"/>
  <c r="M151" i="59"/>
  <c r="R151" i="59"/>
  <c r="R225" i="60"/>
  <c r="R84" i="60"/>
  <c r="M172" i="55"/>
  <c r="R172" i="55"/>
  <c r="M132" i="57"/>
  <c r="R132" i="57"/>
  <c r="M142" i="58"/>
  <c r="R142" i="58"/>
  <c r="M82" i="58"/>
  <c r="R82" i="58"/>
  <c r="M62" i="58"/>
  <c r="R62" i="58"/>
  <c r="M151" i="60"/>
  <c r="R151" i="60"/>
  <c r="M11" i="60"/>
  <c r="R11" i="60"/>
  <c r="M216" i="61"/>
  <c r="R216" i="61"/>
  <c r="M196" i="61"/>
  <c r="R196" i="61"/>
  <c r="M96" i="61"/>
  <c r="R96" i="61"/>
  <c r="M76" i="61"/>
  <c r="R76" i="61"/>
  <c r="M56" i="61"/>
  <c r="R56" i="61"/>
  <c r="M36" i="61"/>
  <c r="R36" i="61"/>
  <c r="M138" i="62"/>
  <c r="M95" i="62"/>
  <c r="M43" i="62"/>
  <c r="R9" i="52"/>
  <c r="X229" i="48"/>
  <c r="X189" i="48"/>
  <c r="X109" i="48"/>
  <c r="X69" i="48"/>
  <c r="X246" i="49"/>
  <c r="X226" i="49"/>
  <c r="X186" i="49"/>
  <c r="X166" i="49"/>
  <c r="X126" i="49"/>
  <c r="X106" i="49"/>
  <c r="X86" i="49"/>
  <c r="X46" i="49"/>
  <c r="R217" i="46"/>
  <c r="R122" i="46"/>
  <c r="R76" i="46"/>
  <c r="R30" i="46"/>
  <c r="R5" i="46"/>
  <c r="R236" i="50"/>
  <c r="R144" i="50"/>
  <c r="R95" i="50"/>
  <c r="R72" i="50"/>
  <c r="R120" i="51"/>
  <c r="R95" i="51"/>
  <c r="R71" i="51"/>
  <c r="R25" i="51"/>
  <c r="R235" i="52"/>
  <c r="R94" i="52"/>
  <c r="R246" i="54"/>
  <c r="R170" i="54"/>
  <c r="R146" i="54"/>
  <c r="R70" i="54"/>
  <c r="R46" i="54"/>
  <c r="R83" i="55"/>
  <c r="R30" i="55"/>
  <c r="M231" i="55"/>
  <c r="R231" i="55"/>
  <c r="M151" i="55"/>
  <c r="R151" i="55"/>
  <c r="M131" i="55"/>
  <c r="R131" i="55"/>
  <c r="R200" i="56"/>
  <c r="R171" i="56"/>
  <c r="M247" i="56"/>
  <c r="R247" i="56"/>
  <c r="M207" i="56"/>
  <c r="R207" i="56"/>
  <c r="M127" i="56"/>
  <c r="R127" i="56"/>
  <c r="M107" i="56"/>
  <c r="R107" i="56"/>
  <c r="R144" i="57"/>
  <c r="R4" i="57"/>
  <c r="M171" i="57"/>
  <c r="R171" i="57"/>
  <c r="M151" i="57"/>
  <c r="R93" i="59"/>
  <c r="R30" i="59"/>
  <c r="R156" i="61"/>
  <c r="M152" i="55"/>
  <c r="R152" i="55"/>
  <c r="X21" i="49"/>
  <c r="R216" i="46"/>
  <c r="R145" i="46"/>
  <c r="R235" i="50"/>
  <c r="R212" i="50"/>
  <c r="R143" i="50"/>
  <c r="R25" i="50"/>
  <c r="R235" i="51"/>
  <c r="R211" i="51"/>
  <c r="R165" i="51"/>
  <c r="R142" i="51"/>
  <c r="R70" i="51"/>
  <c r="R234" i="52"/>
  <c r="R220" i="54"/>
  <c r="R120" i="54"/>
  <c r="R20" i="54"/>
  <c r="R223" i="55"/>
  <c r="R82" i="55"/>
  <c r="M250" i="55"/>
  <c r="R250" i="55"/>
  <c r="M230" i="55"/>
  <c r="R230" i="55"/>
  <c r="M210" i="55"/>
  <c r="R210" i="55"/>
  <c r="M130" i="55"/>
  <c r="R130" i="55"/>
  <c r="M110" i="55"/>
  <c r="R110" i="55"/>
  <c r="R232" i="56"/>
  <c r="M246" i="56"/>
  <c r="R246" i="56"/>
  <c r="M226" i="56"/>
  <c r="R226" i="56"/>
  <c r="M206" i="56"/>
  <c r="R206" i="56"/>
  <c r="M186" i="56"/>
  <c r="R186" i="56"/>
  <c r="M166" i="56"/>
  <c r="R166" i="56"/>
  <c r="M146" i="56"/>
  <c r="R146" i="56"/>
  <c r="M126" i="56"/>
  <c r="R126" i="56"/>
  <c r="M106" i="56"/>
  <c r="R106" i="56"/>
  <c r="M86" i="56"/>
  <c r="R86" i="56"/>
  <c r="M66" i="56"/>
  <c r="R66" i="56"/>
  <c r="M46" i="56"/>
  <c r="R46" i="56"/>
  <c r="M26" i="56"/>
  <c r="R26" i="56"/>
  <c r="M6" i="56"/>
  <c r="R6" i="56"/>
  <c r="R17" i="58"/>
  <c r="R184" i="60"/>
  <c r="M249" i="60"/>
  <c r="R249" i="60"/>
  <c r="M229" i="60"/>
  <c r="R229" i="60"/>
  <c r="M234" i="61"/>
  <c r="R234" i="61"/>
  <c r="M214" i="61"/>
  <c r="R214" i="61"/>
  <c r="M194" i="61"/>
  <c r="R194" i="61"/>
  <c r="M174" i="61"/>
  <c r="R174" i="61"/>
  <c r="M154" i="61"/>
  <c r="R154" i="61"/>
  <c r="M134" i="61"/>
  <c r="R134" i="61"/>
  <c r="M114" i="61"/>
  <c r="R114" i="61"/>
  <c r="M94" i="61"/>
  <c r="R94" i="61"/>
  <c r="M74" i="61"/>
  <c r="R74" i="61"/>
  <c r="M54" i="61"/>
  <c r="R54" i="61"/>
  <c r="M34" i="61"/>
  <c r="R34" i="61"/>
  <c r="M12" i="55"/>
  <c r="R12" i="55"/>
  <c r="M172" i="57"/>
  <c r="R172" i="57"/>
  <c r="M32" i="57"/>
  <c r="R32" i="57"/>
  <c r="M242" i="58"/>
  <c r="R242" i="58"/>
  <c r="M190" i="59"/>
  <c r="R190" i="59"/>
  <c r="M150" i="59"/>
  <c r="R150" i="59"/>
  <c r="M50" i="59"/>
  <c r="R50" i="59"/>
  <c r="M191" i="60"/>
  <c r="R191" i="60"/>
  <c r="M131" i="60"/>
  <c r="R131" i="60"/>
  <c r="M71" i="60"/>
  <c r="R71" i="60"/>
  <c r="M51" i="60"/>
  <c r="R51" i="60"/>
  <c r="M136" i="61"/>
  <c r="R136" i="61"/>
  <c r="X227" i="48"/>
  <c r="X207" i="48"/>
  <c r="X107" i="48"/>
  <c r="X27" i="48"/>
  <c r="X43" i="49"/>
  <c r="R45" i="49"/>
  <c r="X45" i="49"/>
  <c r="R25" i="49"/>
  <c r="X25" i="49"/>
  <c r="R5" i="49"/>
  <c r="X5" i="49"/>
  <c r="R215" i="46"/>
  <c r="R143" i="46"/>
  <c r="R97" i="46"/>
  <c r="R234" i="50"/>
  <c r="R165" i="50"/>
  <c r="R116" i="50"/>
  <c r="R70" i="50"/>
  <c r="R24" i="50"/>
  <c r="R233" i="51"/>
  <c r="R210" i="51"/>
  <c r="R208" i="52"/>
  <c r="R162" i="52"/>
  <c r="R115" i="52"/>
  <c r="R67" i="52"/>
  <c r="R219" i="54"/>
  <c r="R119" i="54"/>
  <c r="R19" i="54"/>
  <c r="R222" i="55"/>
  <c r="R196" i="55"/>
  <c r="R112" i="55"/>
  <c r="R27" i="55"/>
  <c r="M249" i="55"/>
  <c r="R249" i="55"/>
  <c r="M229" i="55"/>
  <c r="R229" i="55"/>
  <c r="M209" i="55"/>
  <c r="R209" i="55"/>
  <c r="M189" i="55"/>
  <c r="R189" i="55"/>
  <c r="M109" i="55"/>
  <c r="R109" i="55"/>
  <c r="R231" i="56"/>
  <c r="R169" i="56"/>
  <c r="M245" i="56"/>
  <c r="R245" i="56"/>
  <c r="M205" i="56"/>
  <c r="R205" i="56"/>
  <c r="M105" i="56"/>
  <c r="R105" i="56"/>
  <c r="M65" i="56"/>
  <c r="R65" i="56"/>
  <c r="R113" i="57"/>
  <c r="R27" i="57"/>
  <c r="M149" i="57"/>
  <c r="R149" i="57"/>
  <c r="M109" i="57"/>
  <c r="R109" i="57"/>
  <c r="M9" i="57"/>
  <c r="R9" i="57"/>
  <c r="R77" i="58"/>
  <c r="M239" i="58"/>
  <c r="R239" i="58"/>
  <c r="M219" i="58"/>
  <c r="R219" i="58"/>
  <c r="M199" i="58"/>
  <c r="R199" i="58"/>
  <c r="M179" i="58"/>
  <c r="R179" i="58"/>
  <c r="M159" i="58"/>
  <c r="R159" i="58"/>
  <c r="M139" i="58"/>
  <c r="R139" i="58"/>
  <c r="M119" i="58"/>
  <c r="R119" i="58"/>
  <c r="M99" i="58"/>
  <c r="R99" i="58"/>
  <c r="M79" i="58"/>
  <c r="R79" i="58"/>
  <c r="M59" i="58"/>
  <c r="R59" i="58"/>
  <c r="M39" i="58"/>
  <c r="R39" i="58"/>
  <c r="M19" i="58"/>
  <c r="R19" i="58"/>
  <c r="R90" i="59"/>
  <c r="R111" i="60"/>
  <c r="R76" i="60"/>
  <c r="M248" i="60"/>
  <c r="R248" i="60"/>
  <c r="M228" i="60"/>
  <c r="R228" i="60"/>
  <c r="M208" i="60"/>
  <c r="R208" i="60"/>
  <c r="M188" i="60"/>
  <c r="R188" i="60"/>
  <c r="M168" i="60"/>
  <c r="R168" i="60"/>
  <c r="M128" i="60"/>
  <c r="R128" i="60"/>
  <c r="M68" i="60"/>
  <c r="R68" i="60"/>
  <c r="M48" i="60"/>
  <c r="R48" i="60"/>
  <c r="R220" i="61"/>
  <c r="R116" i="61"/>
  <c r="M162" i="58"/>
  <c r="R162" i="58"/>
  <c r="M230" i="59"/>
  <c r="R230" i="59"/>
  <c r="M170" i="59"/>
  <c r="R170" i="59"/>
  <c r="M176" i="61"/>
  <c r="R176" i="61"/>
  <c r="X243" i="49"/>
  <c r="X223" i="49"/>
  <c r="X203" i="49"/>
  <c r="X183" i="49"/>
  <c r="X163" i="49"/>
  <c r="X143" i="49"/>
  <c r="X123" i="49"/>
  <c r="X103" i="49"/>
  <c r="X83" i="49"/>
  <c r="X63" i="49"/>
  <c r="X19" i="49"/>
  <c r="R24" i="49"/>
  <c r="X24" i="49"/>
  <c r="R237" i="46"/>
  <c r="R142" i="46"/>
  <c r="R96" i="46"/>
  <c r="R50" i="46"/>
  <c r="R25" i="46"/>
  <c r="R210" i="50"/>
  <c r="R164" i="50"/>
  <c r="R115" i="50"/>
  <c r="R92" i="50"/>
  <c r="R23" i="50"/>
  <c r="R209" i="51"/>
  <c r="R140" i="51"/>
  <c r="R115" i="51"/>
  <c r="R91" i="51"/>
  <c r="R45" i="51"/>
  <c r="R22" i="51"/>
  <c r="R184" i="52"/>
  <c r="R114" i="52"/>
  <c r="R66" i="52"/>
  <c r="R43" i="52"/>
  <c r="R218" i="54"/>
  <c r="R191" i="54"/>
  <c r="R167" i="54"/>
  <c r="R118" i="54"/>
  <c r="R91" i="54"/>
  <c r="R67" i="54"/>
  <c r="M242" i="54"/>
  <c r="R242" i="54"/>
  <c r="M222" i="54"/>
  <c r="R222" i="54"/>
  <c r="M202" i="54"/>
  <c r="R202" i="54"/>
  <c r="M182" i="54"/>
  <c r="R182" i="54"/>
  <c r="M162" i="54"/>
  <c r="R162" i="54"/>
  <c r="R111" i="55"/>
  <c r="M228" i="55"/>
  <c r="R228" i="55"/>
  <c r="M208" i="55"/>
  <c r="R208" i="55"/>
  <c r="M188" i="55"/>
  <c r="R188" i="55"/>
  <c r="M168" i="55"/>
  <c r="R168" i="55"/>
  <c r="M108" i="55"/>
  <c r="R108" i="55"/>
  <c r="M88" i="55"/>
  <c r="R88" i="55"/>
  <c r="M68" i="55"/>
  <c r="R68" i="55"/>
  <c r="M48" i="55"/>
  <c r="R48" i="55"/>
  <c r="M28" i="55"/>
  <c r="R28" i="55"/>
  <c r="M8" i="55"/>
  <c r="R8" i="55"/>
  <c r="R140" i="56"/>
  <c r="R52" i="56"/>
  <c r="M244" i="56"/>
  <c r="R244" i="56"/>
  <c r="M224" i="56"/>
  <c r="R224" i="56"/>
  <c r="M104" i="56"/>
  <c r="R104" i="56"/>
  <c r="M64" i="56"/>
  <c r="R64" i="56"/>
  <c r="R167" i="57"/>
  <c r="R112" i="57"/>
  <c r="R210" i="59"/>
  <c r="R54" i="59"/>
  <c r="R216" i="60"/>
  <c r="R181" i="60"/>
  <c r="M247" i="60"/>
  <c r="R247" i="60"/>
  <c r="M227" i="60"/>
  <c r="R227" i="60"/>
  <c r="M207" i="60"/>
  <c r="R207" i="60"/>
  <c r="M187" i="60"/>
  <c r="R187" i="60"/>
  <c r="M167" i="60"/>
  <c r="R167" i="60"/>
  <c r="M147" i="60"/>
  <c r="R147" i="60"/>
  <c r="M127" i="60"/>
  <c r="R127" i="60"/>
  <c r="M107" i="60"/>
  <c r="R107" i="60"/>
  <c r="M87" i="60"/>
  <c r="R87" i="60"/>
  <c r="M67" i="60"/>
  <c r="R67" i="60"/>
  <c r="M47" i="60"/>
  <c r="R47" i="60"/>
  <c r="M27" i="60"/>
  <c r="R27" i="60"/>
  <c r="M7" i="60"/>
  <c r="R7" i="60"/>
  <c r="M227" i="62"/>
  <c r="M201" i="62"/>
  <c r="M98" i="59"/>
  <c r="R98" i="59"/>
  <c r="M58" i="59"/>
  <c r="R58" i="59"/>
  <c r="M38" i="59"/>
  <c r="R38" i="59"/>
  <c r="M230" i="60"/>
  <c r="R230" i="60"/>
  <c r="M217" i="62"/>
  <c r="R98" i="62"/>
  <c r="M242" i="61"/>
  <c r="R242" i="61"/>
  <c r="M8" i="60"/>
  <c r="R8" i="60"/>
  <c r="R222" i="61"/>
  <c r="M239" i="61"/>
  <c r="R239" i="61"/>
  <c r="M219" i="61"/>
  <c r="R219" i="61"/>
  <c r="M14" i="61"/>
  <c r="R14" i="61"/>
  <c r="R142" i="54"/>
  <c r="R122" i="54"/>
  <c r="R102" i="54"/>
  <c r="R82" i="54"/>
  <c r="R62" i="54"/>
  <c r="R42" i="54"/>
  <c r="R22" i="54"/>
  <c r="M243" i="56"/>
  <c r="R243" i="56"/>
  <c r="M223" i="56"/>
  <c r="R223" i="56"/>
  <c r="M203" i="56"/>
  <c r="R203" i="56"/>
  <c r="M183" i="56"/>
  <c r="R183" i="56"/>
  <c r="M163" i="56"/>
  <c r="R163" i="56"/>
  <c r="M143" i="56"/>
  <c r="R143" i="56"/>
  <c r="M123" i="56"/>
  <c r="R123" i="56"/>
  <c r="M103" i="56"/>
  <c r="R103" i="56"/>
  <c r="M83" i="56"/>
  <c r="R83" i="56"/>
  <c r="M63" i="56"/>
  <c r="R63" i="56"/>
  <c r="M43" i="56"/>
  <c r="R43" i="56"/>
  <c r="M23" i="56"/>
  <c r="R23" i="56"/>
  <c r="M151" i="62"/>
  <c r="S5" i="62"/>
  <c r="L5" i="62"/>
  <c r="R5" i="62" s="1"/>
  <c r="R85" i="55"/>
  <c r="R16" i="56"/>
  <c r="R155" i="57"/>
  <c r="R39" i="57"/>
  <c r="M241" i="57"/>
  <c r="M221" i="57"/>
  <c r="R221" i="57"/>
  <c r="M201" i="57"/>
  <c r="R201" i="57"/>
  <c r="M181" i="57"/>
  <c r="R181" i="57"/>
  <c r="M161" i="57"/>
  <c r="R161" i="57"/>
  <c r="M141" i="57"/>
  <c r="R141" i="57"/>
  <c r="M121" i="57"/>
  <c r="R121" i="57"/>
  <c r="M101" i="57"/>
  <c r="R101" i="57"/>
  <c r="M81" i="57"/>
  <c r="R81" i="57"/>
  <c r="M61" i="57"/>
  <c r="R61" i="57"/>
  <c r="M41" i="57"/>
  <c r="R41" i="57"/>
  <c r="M21" i="57"/>
  <c r="R21" i="57"/>
  <c r="R195" i="58"/>
  <c r="R115" i="58"/>
  <c r="R35" i="58"/>
  <c r="M234" i="58"/>
  <c r="R234" i="58"/>
  <c r="M214" i="58"/>
  <c r="R214" i="58"/>
  <c r="M194" i="58"/>
  <c r="R194" i="58"/>
  <c r="M174" i="58"/>
  <c r="R174" i="58"/>
  <c r="M154" i="58"/>
  <c r="R154" i="58"/>
  <c r="M134" i="58"/>
  <c r="R134" i="58"/>
  <c r="M114" i="58"/>
  <c r="R114" i="58"/>
  <c r="M94" i="58"/>
  <c r="R94" i="58"/>
  <c r="M74" i="58"/>
  <c r="R74" i="58"/>
  <c r="M54" i="58"/>
  <c r="R54" i="58"/>
  <c r="M34" i="58"/>
  <c r="R34" i="58"/>
  <c r="M14" i="58"/>
  <c r="R14" i="58"/>
  <c r="M225" i="59"/>
  <c r="R225" i="59"/>
  <c r="M185" i="59"/>
  <c r="R185" i="59"/>
  <c r="M165" i="59"/>
  <c r="R165" i="59"/>
  <c r="M125" i="59"/>
  <c r="R125" i="59"/>
  <c r="M85" i="59"/>
  <c r="R85" i="59"/>
  <c r="M65" i="59"/>
  <c r="R65" i="59"/>
  <c r="M231" i="62"/>
  <c r="R146" i="62"/>
  <c r="M78" i="62"/>
  <c r="R125" i="55"/>
  <c r="R176" i="56"/>
  <c r="R82" i="56"/>
  <c r="R199" i="57"/>
  <c r="R82" i="57"/>
  <c r="R188" i="58"/>
  <c r="R205" i="59"/>
  <c r="M168" i="61"/>
  <c r="R168" i="61"/>
  <c r="M128" i="61"/>
  <c r="R128" i="61"/>
  <c r="M88" i="61"/>
  <c r="R88" i="61"/>
  <c r="M28" i="61"/>
  <c r="R28" i="61"/>
  <c r="M8" i="61"/>
  <c r="R8" i="61"/>
  <c r="R150" i="62"/>
  <c r="R145" i="55"/>
  <c r="R124" i="55"/>
  <c r="R58" i="55"/>
  <c r="R222" i="56"/>
  <c r="R198" i="56"/>
  <c r="R197" i="57"/>
  <c r="R55" i="57"/>
  <c r="M236" i="57"/>
  <c r="R236" i="57"/>
  <c r="M216" i="57"/>
  <c r="R216" i="57"/>
  <c r="M196" i="57"/>
  <c r="R196" i="57"/>
  <c r="M176" i="57"/>
  <c r="R176" i="57"/>
  <c r="M156" i="57"/>
  <c r="R156" i="57"/>
  <c r="M136" i="57"/>
  <c r="R136" i="57"/>
  <c r="M116" i="57"/>
  <c r="R116" i="57"/>
  <c r="M96" i="57"/>
  <c r="R96" i="57"/>
  <c r="M76" i="57"/>
  <c r="R76" i="57"/>
  <c r="M56" i="57"/>
  <c r="R56" i="57"/>
  <c r="M36" i="57"/>
  <c r="R36" i="57"/>
  <c r="M16" i="57"/>
  <c r="R16" i="57"/>
  <c r="R215" i="58"/>
  <c r="R135" i="58"/>
  <c r="R55" i="58"/>
  <c r="R45" i="59"/>
  <c r="R18" i="59"/>
  <c r="M162" i="59"/>
  <c r="R162" i="59"/>
  <c r="M122" i="59"/>
  <c r="R122" i="59"/>
  <c r="M102" i="59"/>
  <c r="R102" i="59"/>
  <c r="M62" i="59"/>
  <c r="R62" i="59"/>
  <c r="M22" i="59"/>
  <c r="R22" i="59"/>
  <c r="R250" i="60"/>
  <c r="R68" i="61"/>
  <c r="R218" i="62"/>
  <c r="M167" i="62"/>
  <c r="R79" i="57"/>
  <c r="M246" i="61"/>
  <c r="R246" i="61"/>
  <c r="M206" i="61"/>
  <c r="R206" i="61"/>
  <c r="M146" i="61"/>
  <c r="R146" i="61"/>
  <c r="M137" i="62"/>
  <c r="R185" i="55"/>
  <c r="R164" i="55"/>
  <c r="R78" i="55"/>
  <c r="R196" i="56"/>
  <c r="R102" i="56"/>
  <c r="R78" i="56"/>
  <c r="R219" i="57"/>
  <c r="R102" i="57"/>
  <c r="R210" i="58"/>
  <c r="R130" i="58"/>
  <c r="R50" i="58"/>
  <c r="M240" i="59"/>
  <c r="R240" i="59"/>
  <c r="M220" i="59"/>
  <c r="R220" i="59"/>
  <c r="M200" i="59"/>
  <c r="R200" i="59"/>
  <c r="M180" i="59"/>
  <c r="R180" i="59"/>
  <c r="M160" i="59"/>
  <c r="R160" i="59"/>
  <c r="M140" i="59"/>
  <c r="R140" i="59"/>
  <c r="M120" i="59"/>
  <c r="R120" i="59"/>
  <c r="M100" i="59"/>
  <c r="R100" i="59"/>
  <c r="M80" i="59"/>
  <c r="R80" i="59"/>
  <c r="M60" i="59"/>
  <c r="R60" i="59"/>
  <c r="M40" i="59"/>
  <c r="R40" i="59"/>
  <c r="M20" i="59"/>
  <c r="R20" i="59"/>
  <c r="R228" i="61"/>
  <c r="M141" i="62"/>
  <c r="S6" i="62"/>
  <c r="L7" i="62"/>
  <c r="R7" i="62" s="1"/>
  <c r="R69" i="61"/>
  <c r="R46" i="61"/>
  <c r="R236" i="62"/>
  <c r="R153" i="60"/>
  <c r="R109" i="60"/>
  <c r="R65" i="60"/>
  <c r="R231" i="61"/>
  <c r="R207" i="61"/>
  <c r="R66" i="61"/>
  <c r="R43" i="61"/>
  <c r="R224" i="62"/>
  <c r="R220" i="62"/>
  <c r="R174" i="62"/>
  <c r="R42" i="61"/>
  <c r="R19" i="61"/>
  <c r="R246" i="62"/>
  <c r="R44" i="62"/>
  <c r="R213" i="60"/>
  <c r="R169" i="60"/>
  <c r="R125" i="60"/>
  <c r="R13" i="60"/>
  <c r="R247" i="61"/>
  <c r="R224" i="61"/>
  <c r="R106" i="61"/>
  <c r="R83" i="61"/>
  <c r="M238" i="61"/>
  <c r="R238" i="61"/>
  <c r="M218" i="61"/>
  <c r="R218" i="61"/>
  <c r="M198" i="61"/>
  <c r="R198" i="61"/>
  <c r="M178" i="61"/>
  <c r="R178" i="61"/>
  <c r="M158" i="61"/>
  <c r="R158" i="61"/>
  <c r="M138" i="61"/>
  <c r="R138" i="61"/>
  <c r="M118" i="61"/>
  <c r="R118" i="61"/>
  <c r="M98" i="61"/>
  <c r="R98" i="61"/>
  <c r="M78" i="61"/>
  <c r="R78" i="61"/>
  <c r="M58" i="61"/>
  <c r="R58" i="61"/>
  <c r="M38" i="61"/>
  <c r="R38" i="61"/>
  <c r="M18" i="61"/>
  <c r="R18" i="61"/>
  <c r="R134" i="62"/>
  <c r="R130" i="62"/>
  <c r="R238" i="58"/>
  <c r="R218" i="58"/>
  <c r="R169" i="59"/>
  <c r="R106" i="59"/>
  <c r="R64" i="59"/>
  <c r="R234" i="60"/>
  <c r="R212" i="60"/>
  <c r="R80" i="60"/>
  <c r="R57" i="60"/>
  <c r="R34" i="60"/>
  <c r="R12" i="60"/>
  <c r="M239" i="60"/>
  <c r="R239" i="60"/>
  <c r="M219" i="60"/>
  <c r="R219" i="60"/>
  <c r="M199" i="60"/>
  <c r="R199" i="60"/>
  <c r="M179" i="60"/>
  <c r="R179" i="60"/>
  <c r="M159" i="60"/>
  <c r="R159" i="60"/>
  <c r="M139" i="60"/>
  <c r="R139" i="60"/>
  <c r="M119" i="60"/>
  <c r="R119" i="60"/>
  <c r="M99" i="60"/>
  <c r="R99" i="60"/>
  <c r="M79" i="60"/>
  <c r="R79" i="60"/>
  <c r="M59" i="60"/>
  <c r="R59" i="60"/>
  <c r="M39" i="60"/>
  <c r="R39" i="60"/>
  <c r="M19" i="60"/>
  <c r="R19" i="60"/>
  <c r="R223" i="61"/>
  <c r="R152" i="61"/>
  <c r="R82" i="61"/>
  <c r="R59" i="61"/>
  <c r="R35" i="61"/>
  <c r="R11" i="61"/>
  <c r="R16" i="62"/>
  <c r="R209" i="59"/>
  <c r="R104" i="59"/>
  <c r="R244" i="61"/>
  <c r="R126" i="61"/>
  <c r="R103" i="61"/>
  <c r="R176" i="62"/>
  <c r="M235" i="60"/>
  <c r="R235" i="60"/>
  <c r="M215" i="60"/>
  <c r="R215" i="60"/>
  <c r="M195" i="60"/>
  <c r="R195" i="60"/>
  <c r="M175" i="60"/>
  <c r="R175" i="60"/>
  <c r="M155" i="60"/>
  <c r="R155" i="60"/>
  <c r="M135" i="60"/>
  <c r="R135" i="60"/>
  <c r="M115" i="60"/>
  <c r="R115" i="60"/>
  <c r="M95" i="60"/>
  <c r="R95" i="60"/>
  <c r="M75" i="60"/>
  <c r="R75" i="60"/>
  <c r="M55" i="60"/>
  <c r="R55" i="60"/>
  <c r="M35" i="60"/>
  <c r="R35" i="60"/>
  <c r="M15" i="60"/>
  <c r="R15" i="60"/>
  <c r="R171" i="61"/>
  <c r="R147" i="61"/>
  <c r="R124" i="61"/>
  <c r="R29" i="61"/>
  <c r="R6" i="61"/>
  <c r="S7" i="62"/>
  <c r="M3" i="62"/>
  <c r="R3" i="62"/>
  <c r="R206" i="59"/>
  <c r="R164" i="59"/>
  <c r="R73" i="60"/>
  <c r="R29" i="60"/>
  <c r="R123" i="61"/>
  <c r="R214" i="62"/>
  <c r="R70" i="62"/>
  <c r="R66" i="62"/>
  <c r="R122" i="61"/>
  <c r="R99" i="61"/>
  <c r="R27" i="61"/>
  <c r="R246" i="59"/>
  <c r="R204" i="59"/>
  <c r="R35" i="59"/>
  <c r="R93" i="60"/>
  <c r="R49" i="60"/>
  <c r="R5" i="60"/>
  <c r="R215" i="61"/>
  <c r="R191" i="61"/>
  <c r="R167" i="61"/>
  <c r="R144" i="61"/>
  <c r="R49" i="61"/>
  <c r="R26" i="61"/>
  <c r="M250" i="61"/>
  <c r="R250" i="61"/>
  <c r="M230" i="61"/>
  <c r="R230" i="61"/>
  <c r="M210" i="61"/>
  <c r="R210" i="61"/>
  <c r="M190" i="61"/>
  <c r="R190" i="61"/>
  <c r="M170" i="61"/>
  <c r="R170" i="61"/>
  <c r="M150" i="61"/>
  <c r="R150" i="61"/>
  <c r="M130" i="61"/>
  <c r="R130" i="61"/>
  <c r="M110" i="61"/>
  <c r="R110" i="61"/>
  <c r="M90" i="61"/>
  <c r="R90" i="61"/>
  <c r="M70" i="61"/>
  <c r="R70" i="61"/>
  <c r="M50" i="61"/>
  <c r="R50" i="61"/>
  <c r="M30" i="61"/>
  <c r="R30" i="61"/>
  <c r="M10" i="61"/>
  <c r="R10" i="61"/>
  <c r="R50" i="62"/>
  <c r="S3" i="62"/>
  <c r="L5" i="52"/>
  <c r="R5" i="52" s="1"/>
  <c r="L4" i="52"/>
  <c r="R4" i="52" s="1"/>
  <c r="M3" i="61"/>
  <c r="K3" i="61"/>
  <c r="H3" i="61"/>
  <c r="M3" i="60"/>
  <c r="K3" i="60"/>
  <c r="H3" i="60"/>
  <c r="M3" i="59"/>
  <c r="K3" i="59"/>
  <c r="H3" i="59"/>
  <c r="M3" i="58"/>
  <c r="K3" i="58"/>
  <c r="H3" i="58"/>
  <c r="M3" i="57"/>
  <c r="K3" i="57"/>
  <c r="H3" i="57"/>
  <c r="M3" i="56"/>
  <c r="K3" i="56"/>
  <c r="H3" i="56"/>
  <c r="M3" i="55"/>
  <c r="K3" i="55"/>
  <c r="H3" i="55"/>
  <c r="M3" i="54"/>
  <c r="K3" i="54"/>
  <c r="H3" i="54"/>
  <c r="X89" i="48" l="1"/>
  <c r="Y89" i="48"/>
  <c r="Y87" i="48"/>
  <c r="Y86" i="48"/>
  <c r="Y43" i="49"/>
  <c r="Y42" i="49"/>
  <c r="Y101" i="47"/>
  <c r="R47" i="62"/>
  <c r="S47" i="62"/>
  <c r="S46" i="62"/>
  <c r="S41" i="62"/>
  <c r="S55" i="52"/>
  <c r="X85" i="48"/>
  <c r="Y85" i="48"/>
  <c r="X84" i="48"/>
  <c r="Y84" i="48"/>
  <c r="X83" i="48"/>
  <c r="Y83" i="48"/>
  <c r="X100" i="47"/>
  <c r="Y100" i="47"/>
  <c r="X98" i="47"/>
  <c r="Y98" i="47"/>
  <c r="X31" i="48"/>
  <c r="X82" i="48"/>
  <c r="Y82" i="48"/>
  <c r="X81" i="48"/>
  <c r="Y81" i="48"/>
  <c r="X80" i="48"/>
  <c r="Y80" i="48"/>
  <c r="S71" i="52"/>
  <c r="S75" i="52"/>
  <c r="X93" i="47"/>
  <c r="Y93" i="47"/>
  <c r="X92" i="47"/>
  <c r="Y92" i="47"/>
  <c r="X91" i="47"/>
  <c r="Y91" i="47"/>
  <c r="X25" i="48"/>
  <c r="X46" i="48"/>
  <c r="AA43" i="48"/>
  <c r="AA17" i="48"/>
  <c r="AA19" i="48"/>
  <c r="AA25" i="48"/>
  <c r="AA38" i="48"/>
  <c r="X47" i="48"/>
  <c r="X29" i="48"/>
  <c r="AA22" i="48"/>
  <c r="AA24" i="48"/>
  <c r="AA28" i="48"/>
  <c r="AA37" i="48"/>
  <c r="AA42" i="48"/>
  <c r="AA45" i="48"/>
  <c r="S52" i="52"/>
  <c r="AA20" i="48"/>
  <c r="AA26" i="48"/>
  <c r="AA39" i="48"/>
  <c r="AA44" i="48"/>
  <c r="R69" i="52"/>
  <c r="S69" i="52"/>
  <c r="Z85" i="47"/>
  <c r="AA86" i="47"/>
  <c r="Y88" i="47"/>
  <c r="S68" i="52"/>
  <c r="X7" i="48"/>
  <c r="R48" i="52"/>
  <c r="X19" i="47"/>
  <c r="X56" i="48"/>
  <c r="S44" i="52"/>
  <c r="X6" i="49"/>
  <c r="R18" i="52"/>
  <c r="X42" i="48"/>
  <c r="X26" i="49"/>
  <c r="Y35" i="49"/>
  <c r="Z31" i="49"/>
  <c r="AA32" i="49"/>
  <c r="X77" i="47"/>
  <c r="Y81" i="47"/>
  <c r="Y68" i="48"/>
  <c r="Y69" i="48"/>
  <c r="Z80" i="47"/>
  <c r="AA80" i="47"/>
  <c r="Z77" i="47"/>
  <c r="AA81" i="47"/>
  <c r="Z82" i="47"/>
  <c r="AA82" i="47"/>
  <c r="X77" i="48"/>
  <c r="Y77" i="48"/>
  <c r="X75" i="48"/>
  <c r="X79" i="48"/>
  <c r="R64" i="52"/>
  <c r="S64" i="52"/>
  <c r="Y78" i="48"/>
  <c r="Y82" i="47"/>
  <c r="X82" i="47"/>
  <c r="X79" i="47"/>
  <c r="Y79" i="47"/>
  <c r="Y71" i="48"/>
  <c r="AA69" i="48"/>
  <c r="AA71" i="48"/>
  <c r="AA68" i="48"/>
  <c r="Y37" i="49"/>
  <c r="X36" i="49"/>
  <c r="R20" i="52"/>
  <c r="R58" i="52"/>
  <c r="S59" i="52"/>
  <c r="R49" i="52"/>
  <c r="R35" i="52"/>
  <c r="R26" i="52"/>
  <c r="S41" i="52"/>
  <c r="S62" i="52"/>
  <c r="AA73" i="47"/>
  <c r="Y72" i="47"/>
  <c r="AA72" i="47"/>
  <c r="Y67" i="48"/>
  <c r="X67" i="48"/>
  <c r="X66" i="48"/>
  <c r="Y66" i="48"/>
  <c r="Y65" i="48"/>
  <c r="S57" i="52"/>
  <c r="X58" i="47"/>
  <c r="Y58" i="47"/>
  <c r="X66" i="47"/>
  <c r="Y66" i="47"/>
  <c r="X39" i="47"/>
  <c r="Y50" i="48"/>
  <c r="R12" i="52"/>
  <c r="Y28" i="47"/>
  <c r="R23" i="52"/>
  <c r="X18" i="48"/>
  <c r="R17" i="52"/>
  <c r="X43" i="48"/>
  <c r="X44" i="48"/>
  <c r="R31" i="62"/>
  <c r="S31" i="62"/>
  <c r="X32" i="49"/>
  <c r="Y32" i="49"/>
  <c r="Y62" i="48"/>
  <c r="AA30" i="49"/>
  <c r="Y30" i="49"/>
  <c r="Y35" i="48"/>
  <c r="X35" i="48"/>
  <c r="X13" i="49"/>
  <c r="Y17" i="49"/>
  <c r="X43" i="47"/>
  <c r="Y43" i="47"/>
  <c r="Y20" i="49"/>
  <c r="X20" i="49"/>
  <c r="X25" i="47"/>
  <c r="AA16" i="47"/>
  <c r="R14" i="52"/>
  <c r="X57" i="48"/>
  <c r="X24" i="48"/>
  <c r="X18" i="47"/>
  <c r="R27" i="52"/>
  <c r="X36" i="48"/>
  <c r="X21" i="47"/>
  <c r="AA17" i="47"/>
  <c r="AA19" i="47"/>
  <c r="Y60" i="48"/>
  <c r="Y58" i="48"/>
  <c r="Y61" i="48"/>
  <c r="Y59" i="48"/>
  <c r="R29" i="62"/>
  <c r="S29" i="62"/>
  <c r="R25" i="62"/>
  <c r="S25" i="62"/>
  <c r="Z6" i="49"/>
  <c r="AA6" i="49"/>
  <c r="Z22" i="49"/>
  <c r="AA22" i="49"/>
  <c r="Z23" i="49"/>
  <c r="AA27" i="49"/>
  <c r="X23" i="49"/>
  <c r="Y27" i="49"/>
  <c r="X19" i="48"/>
  <c r="Y19" i="48"/>
  <c r="X22" i="48"/>
  <c r="Y22" i="48"/>
  <c r="X23" i="48"/>
  <c r="Y23" i="48"/>
  <c r="X28" i="48"/>
  <c r="Y28" i="48"/>
  <c r="X30" i="48"/>
  <c r="Y30" i="48"/>
  <c r="X33" i="48"/>
  <c r="Y33" i="48"/>
  <c r="X34" i="48"/>
  <c r="Y34" i="48"/>
  <c r="X17" i="48"/>
  <c r="Y17" i="48"/>
  <c r="Z51" i="48"/>
  <c r="AA51" i="48"/>
  <c r="Z48" i="48"/>
  <c r="AA48" i="48"/>
  <c r="Z29" i="48"/>
  <c r="AA29" i="48"/>
  <c r="Z46" i="48"/>
  <c r="AA46" i="48"/>
  <c r="Z47" i="48"/>
  <c r="AA47" i="48"/>
  <c r="X38" i="48"/>
  <c r="Y38" i="48"/>
  <c r="X14" i="48"/>
  <c r="Y14" i="48"/>
  <c r="X37" i="48"/>
  <c r="Y37" i="48"/>
  <c r="Z50" i="48"/>
  <c r="AA50" i="48"/>
  <c r="X39" i="48"/>
  <c r="Y39" i="48"/>
  <c r="Z49" i="48"/>
  <c r="AA49" i="48"/>
  <c r="X49" i="48"/>
  <c r="Y49" i="48"/>
  <c r="X13" i="47"/>
  <c r="Y13" i="47"/>
  <c r="X14" i="47"/>
  <c r="Y14" i="47"/>
  <c r="X17" i="47"/>
  <c r="Y17" i="47"/>
  <c r="X16" i="47"/>
  <c r="Y16" i="47"/>
  <c r="X22" i="47"/>
  <c r="Y22" i="47"/>
  <c r="X23" i="47"/>
  <c r="Y23" i="47"/>
  <c r="X24" i="47"/>
  <c r="Y26" i="47"/>
  <c r="R13" i="52"/>
  <c r="S13" i="52"/>
  <c r="R32" i="52"/>
  <c r="S32" i="52"/>
  <c r="R4" i="62"/>
  <c r="R9" i="62"/>
  <c r="S9" i="62"/>
  <c r="L3" i="56"/>
  <c r="R3" i="56" s="1"/>
  <c r="L3" i="57"/>
  <c r="R3" i="57" s="1"/>
  <c r="L3" i="58"/>
  <c r="R3" i="58" s="1"/>
  <c r="L3" i="59"/>
  <c r="R3" i="59" s="1"/>
  <c r="L3" i="60"/>
  <c r="R3" i="60" s="1"/>
  <c r="L3" i="61"/>
  <c r="R3" i="61" s="1"/>
  <c r="L3" i="54"/>
  <c r="R3" i="54" s="1"/>
  <c r="L3" i="55"/>
  <c r="R3" i="55" s="1"/>
  <c r="M3" i="52"/>
  <c r="K3" i="52"/>
  <c r="H3" i="52"/>
  <c r="S3" i="52" s="1"/>
  <c r="M3" i="51"/>
  <c r="K3" i="51"/>
  <c r="H3" i="51"/>
  <c r="M3" i="50"/>
  <c r="K3" i="50"/>
  <c r="H3" i="50"/>
  <c r="R3" i="49"/>
  <c r="I3" i="49"/>
  <c r="C3" i="49"/>
  <c r="R3" i="48"/>
  <c r="I3" i="48"/>
  <c r="C3" i="48"/>
  <c r="C3" i="47"/>
  <c r="L3" i="47" s="1"/>
  <c r="I3" i="47"/>
  <c r="P3" i="47" s="1"/>
  <c r="R3" i="47"/>
  <c r="M3" i="46"/>
  <c r="K3" i="46"/>
  <c r="H3" i="46"/>
  <c r="B17" i="66" a="1"/>
  <c r="B19" i="66" a="1"/>
  <c r="B16" i="66" a="1"/>
  <c r="B24" i="66" a="1"/>
  <c r="B20" i="66" a="1"/>
  <c r="B18" i="66" a="1"/>
  <c r="B17" i="66" l="1"/>
  <c r="M3" i="47"/>
  <c r="B20" i="66"/>
  <c r="B19" i="66"/>
  <c r="P3" i="49"/>
  <c r="P3" i="48"/>
  <c r="Z3" i="48" s="1"/>
  <c r="AA3" i="48"/>
  <c r="Y3" i="48"/>
  <c r="Z3" i="47"/>
  <c r="AA3" i="47"/>
  <c r="Y3" i="47"/>
  <c r="B16" i="66"/>
  <c r="B24" i="66"/>
  <c r="B18" i="66"/>
  <c r="L3" i="46"/>
  <c r="R3" i="46" s="1"/>
  <c r="X3" i="47"/>
  <c r="L3" i="50"/>
  <c r="R3" i="50" s="1"/>
  <c r="L3" i="51"/>
  <c r="R3" i="51" s="1"/>
  <c r="L3" i="52"/>
  <c r="R3" i="52" s="1"/>
  <c r="L3" i="49"/>
  <c r="M3" i="49" s="1"/>
  <c r="L3" i="48"/>
  <c r="M3" i="48" s="1"/>
  <c r="X3" i="48" s="1"/>
  <c r="B13" i="66" a="1"/>
  <c r="B13" i="66" l="1"/>
  <c r="Z3" i="49"/>
  <c r="AA3" i="49"/>
  <c r="X3" i="49"/>
  <c r="Y3" i="49"/>
  <c r="E3" i="45"/>
  <c r="E4" i="45"/>
  <c r="E5" i="45"/>
  <c r="E6" i="45"/>
  <c r="E7" i="45"/>
  <c r="E8" i="45"/>
  <c r="E9" i="45"/>
  <c r="E10" i="45"/>
  <c r="E11" i="45"/>
  <c r="E12" i="45"/>
  <c r="E13" i="45"/>
  <c r="E14" i="45"/>
  <c r="E15" i="45"/>
  <c r="E16" i="45"/>
  <c r="E17" i="45"/>
  <c r="E18" i="45"/>
  <c r="E19" i="45"/>
  <c r="E20" i="45"/>
  <c r="E21" i="45"/>
  <c r="E22" i="45"/>
  <c r="E23" i="45"/>
  <c r="E24" i="45"/>
  <c r="E25" i="45"/>
  <c r="E26" i="45"/>
  <c r="E27" i="45"/>
  <c r="E28" i="45"/>
  <c r="E29" i="45"/>
  <c r="E30" i="45"/>
  <c r="E31" i="45"/>
  <c r="E32" i="45"/>
  <c r="E33" i="45"/>
  <c r="E34" i="45"/>
  <c r="E35" i="45"/>
  <c r="E36" i="45"/>
  <c r="E37" i="45"/>
  <c r="E38" i="45"/>
  <c r="E39" i="45"/>
  <c r="E40" i="45"/>
  <c r="E41" i="45"/>
  <c r="E42" i="45"/>
  <c r="E43" i="45"/>
  <c r="E44" i="45"/>
  <c r="E45" i="45"/>
  <c r="E46" i="45"/>
  <c r="E47" i="45"/>
  <c r="E48" i="45"/>
  <c r="E49" i="45"/>
  <c r="E50" i="45"/>
  <c r="E51" i="45"/>
  <c r="E52" i="45"/>
  <c r="E53" i="45"/>
  <c r="E54" i="45"/>
  <c r="E55" i="45"/>
  <c r="E56" i="45"/>
  <c r="E57" i="45"/>
  <c r="E58" i="45"/>
  <c r="E59" i="45"/>
  <c r="E60" i="45"/>
  <c r="E61" i="45"/>
  <c r="E62" i="45"/>
  <c r="E63" i="45"/>
  <c r="E64" i="45"/>
  <c r="E65" i="45"/>
  <c r="E66" i="45"/>
  <c r="E67" i="45"/>
  <c r="E68" i="45"/>
  <c r="E69" i="45"/>
  <c r="E70" i="45"/>
  <c r="E71" i="45"/>
  <c r="E72" i="45"/>
  <c r="E73" i="45"/>
  <c r="E74" i="45"/>
  <c r="E75" i="45"/>
  <c r="E76" i="45"/>
  <c r="E77" i="45"/>
  <c r="E78" i="45"/>
  <c r="E79" i="45"/>
  <c r="E80" i="45"/>
  <c r="E81" i="45"/>
  <c r="E82" i="45"/>
  <c r="E83" i="45"/>
  <c r="E84" i="45"/>
  <c r="E85" i="45"/>
  <c r="E86" i="45"/>
  <c r="E87" i="45"/>
  <c r="E88" i="45"/>
  <c r="E89" i="45"/>
  <c r="E90" i="45"/>
  <c r="E91" i="45"/>
  <c r="E92" i="45"/>
  <c r="E93" i="45"/>
  <c r="E94" i="45"/>
  <c r="E95" i="45"/>
  <c r="E96" i="45"/>
  <c r="E97" i="45"/>
  <c r="E98" i="45"/>
  <c r="E99" i="45"/>
  <c r="E100" i="45"/>
  <c r="E101" i="45"/>
  <c r="E102" i="45"/>
  <c r="E103" i="45"/>
  <c r="E104" i="45"/>
  <c r="E105" i="45"/>
  <c r="E106" i="45"/>
  <c r="E107" i="45"/>
  <c r="E108" i="45"/>
  <c r="E109" i="45"/>
  <c r="E110" i="45"/>
  <c r="E111" i="45"/>
  <c r="E112" i="45"/>
  <c r="E113" i="45"/>
  <c r="E114" i="45"/>
  <c r="E115" i="45"/>
  <c r="E116" i="45"/>
  <c r="E117" i="45"/>
  <c r="E118" i="45"/>
  <c r="E119" i="45"/>
  <c r="E120" i="45"/>
  <c r="E121" i="45"/>
  <c r="E122" i="45"/>
  <c r="E123" i="45"/>
  <c r="E124" i="45"/>
  <c r="E125" i="45"/>
  <c r="E126" i="45"/>
  <c r="E127" i="45"/>
  <c r="E128" i="45"/>
  <c r="E129" i="45"/>
  <c r="E130" i="45"/>
  <c r="E131" i="45"/>
  <c r="E132" i="45"/>
  <c r="E133" i="45"/>
  <c r="E134" i="45"/>
  <c r="E135" i="45"/>
  <c r="E136" i="45"/>
  <c r="E137" i="45"/>
  <c r="E138" i="45"/>
  <c r="E139" i="45"/>
  <c r="E140" i="45"/>
  <c r="E141" i="45"/>
  <c r="E142" i="45"/>
  <c r="E143" i="45"/>
  <c r="E144" i="45"/>
  <c r="E145" i="45"/>
  <c r="E146" i="45"/>
  <c r="E147" i="45"/>
  <c r="E148" i="45"/>
  <c r="E149" i="45"/>
  <c r="E150" i="45"/>
  <c r="E151" i="45"/>
  <c r="E152" i="45"/>
  <c r="E153" i="45"/>
  <c r="E154" i="45"/>
  <c r="E155" i="45"/>
  <c r="E156" i="45"/>
  <c r="E157" i="45"/>
  <c r="E158" i="45"/>
  <c r="E159" i="45"/>
  <c r="E160" i="45"/>
  <c r="E161" i="45"/>
  <c r="E162" i="45"/>
  <c r="E163" i="45"/>
  <c r="E164" i="45"/>
  <c r="E165" i="45"/>
  <c r="E166" i="45"/>
  <c r="E167" i="45"/>
  <c r="E168" i="45"/>
  <c r="E169" i="45"/>
  <c r="E170" i="45"/>
  <c r="E171" i="45"/>
  <c r="E172" i="45"/>
  <c r="E173" i="45"/>
  <c r="E174" i="45"/>
  <c r="E175" i="45"/>
  <c r="E176" i="45"/>
  <c r="E177" i="45"/>
  <c r="E178" i="45"/>
  <c r="E179" i="45"/>
  <c r="E180" i="45"/>
  <c r="E181" i="45"/>
  <c r="E182" i="45"/>
  <c r="E183" i="45"/>
  <c r="E184" i="45"/>
  <c r="E185" i="45"/>
  <c r="E186" i="45"/>
  <c r="E187" i="45"/>
  <c r="E188" i="45"/>
  <c r="E189" i="45"/>
  <c r="E190" i="45"/>
  <c r="E191" i="45"/>
  <c r="E192" i="45"/>
  <c r="E193" i="45"/>
  <c r="E194" i="45"/>
  <c r="E195" i="45"/>
  <c r="E196" i="45"/>
  <c r="E197" i="45"/>
  <c r="E198" i="45"/>
  <c r="E199" i="45"/>
  <c r="E200" i="45"/>
  <c r="E201" i="45"/>
  <c r="E202" i="45"/>
  <c r="E203" i="45"/>
  <c r="E204" i="45"/>
  <c r="E205" i="45"/>
  <c r="E206" i="45"/>
  <c r="E207" i="45"/>
  <c r="E208" i="45"/>
  <c r="E209" i="45"/>
  <c r="E210" i="45"/>
  <c r="E211" i="45"/>
  <c r="E212" i="45"/>
  <c r="E213" i="45"/>
  <c r="E214" i="45"/>
  <c r="E215" i="45"/>
  <c r="E216" i="45"/>
  <c r="E217" i="45"/>
  <c r="E218" i="45"/>
  <c r="E219" i="45"/>
  <c r="E220" i="45"/>
  <c r="E221" i="45"/>
  <c r="E222" i="45"/>
  <c r="E223" i="45"/>
  <c r="E224" i="45"/>
  <c r="E225" i="45"/>
  <c r="E226" i="45"/>
  <c r="E227" i="45"/>
  <c r="E228" i="45"/>
  <c r="E229" i="45"/>
  <c r="E230" i="45"/>
  <c r="E231" i="45"/>
  <c r="E232" i="45"/>
  <c r="E233" i="45"/>
  <c r="E234" i="45"/>
  <c r="E235" i="45"/>
  <c r="E236" i="45"/>
  <c r="E237" i="45"/>
  <c r="E238" i="45"/>
  <c r="E239" i="45"/>
  <c r="E240" i="45"/>
  <c r="E241" i="45"/>
  <c r="E242" i="45"/>
  <c r="E243" i="45"/>
  <c r="E244" i="45"/>
  <c r="E245" i="45"/>
  <c r="E246" i="45"/>
  <c r="E247" i="45"/>
  <c r="E248" i="45"/>
  <c r="E249" i="45"/>
  <c r="E250" i="45"/>
  <c r="E251" i="45"/>
  <c r="E252" i="45"/>
  <c r="E253" i="45"/>
  <c r="E254" i="45"/>
  <c r="E255" i="45"/>
  <c r="E256" i="45"/>
  <c r="E257" i="45"/>
  <c r="E258" i="45"/>
  <c r="E259" i="45"/>
  <c r="E260" i="45"/>
  <c r="E261" i="45"/>
  <c r="E262" i="45"/>
  <c r="E263" i="45"/>
  <c r="E264" i="45"/>
  <c r="E265" i="45"/>
  <c r="E266" i="45"/>
  <c r="E267" i="45"/>
  <c r="E268" i="45"/>
  <c r="E269" i="45"/>
  <c r="E270" i="45"/>
  <c r="E271" i="45"/>
  <c r="E272" i="45"/>
  <c r="E273" i="45"/>
  <c r="E274" i="45"/>
  <c r="E275" i="45"/>
  <c r="E276" i="45"/>
  <c r="E277" i="45"/>
  <c r="E278" i="45"/>
  <c r="E279" i="45"/>
  <c r="E280" i="45"/>
  <c r="E281" i="45"/>
  <c r="E282" i="45"/>
  <c r="E283" i="45"/>
  <c r="E284" i="45"/>
  <c r="E285" i="45"/>
  <c r="E286" i="45"/>
  <c r="E287" i="45"/>
  <c r="E288" i="45"/>
  <c r="E289" i="45"/>
  <c r="E290" i="45"/>
  <c r="E291" i="45"/>
  <c r="E292" i="45"/>
  <c r="E293" i="45"/>
  <c r="E294" i="45"/>
  <c r="E295" i="45"/>
  <c r="E296" i="45"/>
  <c r="E297" i="45"/>
  <c r="E298" i="45"/>
  <c r="E299" i="45"/>
  <c r="E300" i="45"/>
  <c r="E301" i="45"/>
  <c r="E302" i="45"/>
  <c r="E303" i="45"/>
  <c r="E304" i="45"/>
  <c r="E305" i="45"/>
  <c r="E306" i="45"/>
  <c r="E307" i="45"/>
  <c r="E308" i="45"/>
  <c r="E309" i="45"/>
  <c r="E310" i="45"/>
  <c r="E311" i="45"/>
  <c r="E312" i="45"/>
  <c r="E313" i="45"/>
  <c r="E314" i="45"/>
  <c r="E315" i="45"/>
  <c r="E316" i="45"/>
  <c r="E317" i="45"/>
  <c r="E318" i="45"/>
  <c r="E319" i="45"/>
  <c r="E320" i="45"/>
  <c r="E321" i="45"/>
  <c r="E322" i="45"/>
  <c r="E323" i="45"/>
  <c r="E324" i="45"/>
  <c r="E325" i="45"/>
  <c r="E326" i="45"/>
  <c r="E327" i="45"/>
  <c r="E328" i="45"/>
  <c r="E329" i="45"/>
  <c r="E330" i="45"/>
  <c r="E331" i="45"/>
  <c r="E332" i="45"/>
  <c r="E333" i="45"/>
  <c r="E334" i="45"/>
  <c r="E335" i="45"/>
  <c r="E336" i="45"/>
  <c r="E337" i="45"/>
  <c r="E338" i="45"/>
  <c r="E339" i="45"/>
  <c r="E340" i="45"/>
  <c r="E341" i="45"/>
  <c r="E342" i="45"/>
  <c r="E343" i="45"/>
  <c r="E344" i="45"/>
  <c r="E345" i="45"/>
  <c r="E346" i="45"/>
  <c r="E347" i="45"/>
  <c r="E348" i="45"/>
  <c r="E349" i="45"/>
  <c r="E350" i="45"/>
  <c r="E351" i="45"/>
  <c r="E352" i="45"/>
  <c r="E353" i="45"/>
  <c r="E354" i="45"/>
  <c r="E355" i="45"/>
  <c r="E356" i="45"/>
  <c r="E357" i="45"/>
  <c r="E358" i="45"/>
  <c r="E359" i="45"/>
  <c r="E360" i="45"/>
  <c r="E361" i="45"/>
  <c r="E362" i="45"/>
  <c r="E363" i="45"/>
  <c r="E364" i="45"/>
  <c r="E365" i="45"/>
  <c r="E366" i="45"/>
  <c r="E367" i="45"/>
  <c r="E368" i="45"/>
  <c r="E369" i="45"/>
  <c r="E370" i="45"/>
  <c r="E371" i="45"/>
  <c r="E372" i="45"/>
  <c r="E373" i="45"/>
  <c r="E374" i="45"/>
  <c r="E375" i="45"/>
  <c r="E376" i="45"/>
  <c r="E377" i="45"/>
  <c r="E378" i="45"/>
  <c r="E379" i="45"/>
  <c r="E380" i="45"/>
  <c r="E381" i="45"/>
  <c r="E382" i="45"/>
  <c r="E383" i="45"/>
  <c r="E384" i="45"/>
  <c r="E385" i="45"/>
  <c r="E386" i="45"/>
  <c r="E387" i="45"/>
  <c r="E388" i="45"/>
  <c r="E389" i="45"/>
  <c r="E390" i="45"/>
  <c r="E391" i="45"/>
  <c r="E392" i="45"/>
  <c r="E393" i="45"/>
  <c r="E394" i="45"/>
  <c r="E395" i="45"/>
  <c r="E396" i="45"/>
  <c r="E397" i="45"/>
  <c r="E398" i="45"/>
  <c r="E399" i="45"/>
  <c r="E400" i="45"/>
  <c r="E2" i="45"/>
  <c r="B14" i="66" a="1"/>
  <c r="B15" i="66" a="1"/>
  <c r="B6" i="66" a="1"/>
  <c r="B7" i="66" a="1"/>
  <c r="B8" i="66" a="1"/>
  <c r="B7" i="66" l="1"/>
  <c r="B6" i="66"/>
  <c r="B15" i="66"/>
  <c r="B14" i="66"/>
  <c r="B8" i="66"/>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<sst xmlns="http://schemas.openxmlformats.org/spreadsheetml/2006/main" count="1938" uniqueCount="809">
  <si>
    <t>Estimate</t>
  </si>
  <si>
    <t>Actual</t>
  </si>
  <si>
    <t>Setup</t>
  </si>
  <si>
    <t>Results</t>
  </si>
  <si>
    <t>Date</t>
  </si>
  <si>
    <t>Job#</t>
  </si>
  <si>
    <t>Job Type</t>
  </si>
  <si>
    <t>Part#</t>
  </si>
  <si>
    <t>Start Time</t>
  </si>
  <si>
    <t>End Time</t>
  </si>
  <si>
    <t>Qty Required</t>
  </si>
  <si>
    <t>Qty Complete</t>
  </si>
  <si>
    <t>% Complete</t>
  </si>
  <si>
    <t>PPH</t>
  </si>
  <si>
    <t># of men</t>
  </si>
  <si>
    <t>Total hours</t>
  </si>
  <si>
    <t>Adj. Total Hours</t>
  </si>
  <si>
    <t>Batch Hours</t>
  </si>
  <si>
    <t>Material ID</t>
  </si>
  <si>
    <t>Adj. Mat. Qty</t>
  </si>
  <si>
    <t>Mat. Qty</t>
  </si>
  <si>
    <t>PPH Act</t>
  </si>
  <si>
    <t># of men Act</t>
  </si>
  <si>
    <t>Total Hours Act</t>
  </si>
  <si>
    <t>Act. Mat. Qty</t>
  </si>
  <si>
    <t>Est. Hours</t>
  </si>
  <si>
    <t>Act. Hours</t>
  </si>
  <si>
    <t>Efficiency</t>
  </si>
  <si>
    <t>Job Efficiency</t>
  </si>
  <si>
    <t>Mat. Over/Under</t>
  </si>
  <si>
    <t>Total Job Mat O/U</t>
  </si>
  <si>
    <t>Notes</t>
  </si>
  <si>
    <t>Employee 1</t>
  </si>
  <si>
    <t>Employee 2</t>
  </si>
  <si>
    <t>Employee 3</t>
  </si>
  <si>
    <t>Employee 4</t>
  </si>
  <si>
    <t>NAS000056961</t>
  </si>
  <si>
    <t>RECT TUBE 5 X 2 X 11GA X 303" A36</t>
  </si>
  <si>
    <t>Jarett Matlock</t>
  </si>
  <si>
    <t>152593-1-1</t>
  </si>
  <si>
    <t>HR ANGLE 2" X 2" X 1/4" X 20' A36</t>
  </si>
  <si>
    <t>Issues with hole tolerance. Cody came from meeting and went to programmer to allow keft adjustment then made the adjustment to fix hole size.</t>
  </si>
  <si>
    <t>152732-1-1</t>
  </si>
  <si>
    <t>v2832</t>
  </si>
  <si>
    <t>C4 X 5.4 CHANNEL 20'</t>
  </si>
  <si>
    <t>issues with program and tech table. made adjustments no benefit. involved leadership no benefit, troubeshot finally asked programming to make the adjustment. worked but not actually how the machine should be operated for longer periods of time . switching from N2 to O2</t>
  </si>
  <si>
    <t>152739-4-1</t>
  </si>
  <si>
    <t>AL CHANNEL 2.00 X 2.50 X .190 21' LONG -- CUSTOMER SUPPLIED MATERIAL</t>
  </si>
  <si>
    <t>I misread the blue print and had to wait for Cody to get out of a meeting to examine the part, ran with part below</t>
  </si>
  <si>
    <t>Sterling Caldwell</t>
  </si>
  <si>
    <t>152739-1-1</t>
  </si>
  <si>
    <t>Ran with job above then pulled off due to hot parts of other jobs</t>
  </si>
  <si>
    <t>152759-1-1</t>
  </si>
  <si>
    <t>13871--Upper Pipe</t>
  </si>
  <si>
    <t>HR ROUND TUBE 4" OD X 0.188" WALL X 20' DOM -- Customer Supplied Material</t>
  </si>
  <si>
    <t>Pallet needed added to in order to hold parts but nail gun was missing battery then broken just hand nailed it.</t>
  </si>
  <si>
    <t>152731-1-1</t>
  </si>
  <si>
    <t>033472-009-00820DD4</t>
  </si>
  <si>
    <t>RT211214GA-24</t>
  </si>
  <si>
    <t xml:space="preserve">Job name on traveler didn't match lead went to programming to get issue sorted </t>
  </si>
  <si>
    <t>152690-1-1</t>
  </si>
  <si>
    <t>5 X 5 X 1/2 20 A36 ANGLE</t>
  </si>
  <si>
    <t>Had to manually load the laser with forklift due to loader being down and not having a crane on the 20' tube laser</t>
  </si>
  <si>
    <t>CSM-ACH2212190-21</t>
  </si>
  <si>
    <t>NAS000055513</t>
  </si>
  <si>
    <t>RT4211GA-303</t>
  </si>
  <si>
    <t>Issues with waste conveyor belt worked on for some time operator did not clock out i've told him previously will get this dealt with monday.</t>
  </si>
  <si>
    <t>RT5211GA-330</t>
  </si>
  <si>
    <t>152787-1-1</t>
  </si>
  <si>
    <t>11101EA1</t>
  </si>
  <si>
    <t>AN4414-20</t>
  </si>
  <si>
    <t>BRAD OLIVER</t>
  </si>
  <si>
    <t>NAS100003006</t>
  </si>
  <si>
    <t>RT5211GA-303</t>
  </si>
  <si>
    <t>MATERIAL HANDLING</t>
  </si>
  <si>
    <t>NAS100000134</t>
  </si>
  <si>
    <t xml:space="preserve">HC instructed operator to keep running from first shift, parts would be allocated later. </t>
  </si>
  <si>
    <t>Jason Thomason</t>
  </si>
  <si>
    <t>NAS100000119</t>
  </si>
  <si>
    <t>signed into other jobs that can run on same material</t>
  </si>
  <si>
    <t>NAS000055516</t>
  </si>
  <si>
    <t>RT5211GA-20</t>
  </si>
  <si>
    <t>NAS100010979</t>
  </si>
  <si>
    <t>Jobs run concurrently, information pulled from Epicor</t>
  </si>
  <si>
    <t>NAS100018881</t>
  </si>
  <si>
    <t>NAS100017572</t>
  </si>
  <si>
    <t>NAS100007289</t>
  </si>
  <si>
    <t>c4 X 5.4 CHANNEL 20'</t>
  </si>
  <si>
    <t>NAS100007421</t>
  </si>
  <si>
    <t>Ran job using same Material</t>
  </si>
  <si>
    <t>NAS100007888</t>
  </si>
  <si>
    <t>CH454-20</t>
  </si>
  <si>
    <t>152742-1-1</t>
  </si>
  <si>
    <t>13413 lighttube</t>
  </si>
  <si>
    <t>RT64316-20</t>
  </si>
  <si>
    <t>alot of time spent digging out material</t>
  </si>
  <si>
    <t>152751-4-1</t>
  </si>
  <si>
    <t>RT32316-20</t>
  </si>
  <si>
    <t>152757-3-1</t>
  </si>
  <si>
    <t>CSM-RT42316-24</t>
  </si>
  <si>
    <t>152757-2-1</t>
  </si>
  <si>
    <t>152763-5-1</t>
  </si>
  <si>
    <t>RT8311GA</t>
  </si>
  <si>
    <t>152763-6-1</t>
  </si>
  <si>
    <t>NAS100003019</t>
  </si>
  <si>
    <t>RT6211GA</t>
  </si>
  <si>
    <t>NAS10000060</t>
  </si>
  <si>
    <t>NAS10000061</t>
  </si>
  <si>
    <t>had to adjust cut was not dropping parts at first</t>
  </si>
  <si>
    <t>Greland Crutchfield</t>
  </si>
  <si>
    <t>NAS100029927</t>
  </si>
  <si>
    <t>RT6211GA-330</t>
  </si>
  <si>
    <t>ran together with job below also both jobs had diffrent nozzles and took about 1.5 hours to figure out how to reprogram them</t>
  </si>
  <si>
    <t>NAS100000060</t>
  </si>
  <si>
    <t>ran together with job above also both jobs had diffrent nozzles and took about 1.5 hours to figure out how to reprogram them</t>
  </si>
  <si>
    <t>several hours down time fixing the cut quality part not dropping and machine kept having a dblock error on the z access causing 7 scrap parts</t>
  </si>
  <si>
    <t>Trevell Starnes</t>
  </si>
  <si>
    <t>240316--Item 08</t>
  </si>
  <si>
    <t>152751-1-1</t>
  </si>
  <si>
    <t>240316--Item 02</t>
  </si>
  <si>
    <t>RT83316-20</t>
  </si>
  <si>
    <t>Ran with the part below no batch process, "fixed" - cp</t>
  </si>
  <si>
    <t>NAS100000066</t>
  </si>
  <si>
    <t>Ran with the part above no batch process, "fixed" - cp</t>
  </si>
  <si>
    <t>Ran with parts below same no batch process, Loader down having to load with over head crane very slow crane remote having issues causing huge slow down.</t>
  </si>
  <si>
    <t>Ran with parts above same no batch process, Loader down having to load with over head crane very slow crane remote having issues causing huge slow down.</t>
  </si>
  <si>
    <t>152763-9-1</t>
  </si>
  <si>
    <t>250583--Item 02</t>
  </si>
  <si>
    <t>RT8311GA-20</t>
  </si>
  <si>
    <t>Jarret Matlock</t>
  </si>
  <si>
    <t>152763-8-1</t>
  </si>
  <si>
    <t>250580--Item 02</t>
  </si>
  <si>
    <t>152757-1-1</t>
  </si>
  <si>
    <t>251353--Item B 01</t>
  </si>
  <si>
    <t>CSM-RT8311GA-20</t>
  </si>
  <si>
    <t>NAS100017498</t>
  </si>
  <si>
    <t>ST2211GA-24</t>
  </si>
  <si>
    <t>MANUAL TUBE LOADING</t>
  </si>
  <si>
    <t>NAS100011024</t>
  </si>
  <si>
    <t>152733-1-1</t>
  </si>
  <si>
    <t>K3078</t>
  </si>
  <si>
    <t>RT4311GA-24</t>
  </si>
  <si>
    <t>152763-2-1</t>
  </si>
  <si>
    <t>250618--det 01</t>
  </si>
  <si>
    <t>152763-3-1</t>
  </si>
  <si>
    <t>250618--det 02</t>
  </si>
  <si>
    <t>152763-4-1</t>
  </si>
  <si>
    <t>250618--det 03</t>
  </si>
  <si>
    <t>NAS100000155</t>
  </si>
  <si>
    <t>ST4411GA-20</t>
  </si>
  <si>
    <t>EQUIPMENT ISSUES, HAD TO RESTART SEVERAL TIMES</t>
  </si>
  <si>
    <t>RYAN ARNOLD</t>
  </si>
  <si>
    <t>NAS100000156</t>
  </si>
  <si>
    <t>152763-7-1</t>
  </si>
  <si>
    <t>260282--Item 02</t>
  </si>
  <si>
    <t>152754-1-1</t>
  </si>
  <si>
    <t>AN2214-22</t>
  </si>
  <si>
    <t>machine and clamping issues</t>
  </si>
  <si>
    <t xml:space="preserve">Jason T. </t>
  </si>
  <si>
    <t>NAS100007242</t>
  </si>
  <si>
    <t>jobs run together, manual load due to loader down</t>
  </si>
  <si>
    <t>Brad O.</t>
  </si>
  <si>
    <t>NAS100020488</t>
  </si>
  <si>
    <t>NAS100020489</t>
  </si>
  <si>
    <t>NAS100017631</t>
  </si>
  <si>
    <t>NAS100020555</t>
  </si>
  <si>
    <t>manual loading with crane due to loader being down</t>
  </si>
  <si>
    <t>152750-2-1</t>
  </si>
  <si>
    <t>V2855</t>
  </si>
  <si>
    <t>SRT4211GA304-20</t>
  </si>
  <si>
    <t>152751-2-1</t>
  </si>
  <si>
    <t>240316--Item 06</t>
  </si>
  <si>
    <t>RT4211GA-20</t>
  </si>
  <si>
    <t>Had to reload pallets to smaller skids per shipping not having storage for the larger pallets used. Had a few issues arise with laser cutting head trying to get those cleared and light barrier constantly triggering was troubleshooting this.</t>
  </si>
  <si>
    <t xml:space="preserve">JASON T. </t>
  </si>
  <si>
    <t>152751-3-1</t>
  </si>
  <si>
    <t>240316--Item 07</t>
  </si>
  <si>
    <t xml:space="preserve">BRAD O. </t>
  </si>
  <si>
    <t>RUNNING WITH OTHER JOBS</t>
  </si>
  <si>
    <t>NAS100020556</t>
  </si>
  <si>
    <t>NAS100017588</t>
  </si>
  <si>
    <t>NAS100017586</t>
  </si>
  <si>
    <t xml:space="preserve">Sterling Caldwell </t>
  </si>
  <si>
    <t>Sterling got hurt smashed his finger had to get him bandaged up, he took a few mins to sit down to avoid passing out filled out accident report in meantime.</t>
  </si>
  <si>
    <t>152764-3-1</t>
  </si>
  <si>
    <t>200601--Item 22</t>
  </si>
  <si>
    <t>RT3211GA-20</t>
  </si>
  <si>
    <t xml:space="preserve">Machine issues with measuring unit causing time loss. </t>
  </si>
  <si>
    <t>152764-4-1</t>
  </si>
  <si>
    <t>200601--Item 25</t>
  </si>
  <si>
    <t>RT21316-24</t>
  </si>
  <si>
    <t>Sliding measuring guage issues slowed down issues resolved.</t>
  </si>
  <si>
    <t>152764-5-1</t>
  </si>
  <si>
    <t>200601--Item 27</t>
  </si>
  <si>
    <t>152764-7-1</t>
  </si>
  <si>
    <t>200601--Item 50</t>
  </si>
  <si>
    <t>152764-6-1</t>
  </si>
  <si>
    <t>200601--Item 49</t>
  </si>
  <si>
    <t>ST2211GA-20</t>
  </si>
  <si>
    <t>Was in setup during the Lunch and finished up after. Had issues with the control line and the laser cutting head reading as not attached.</t>
  </si>
  <si>
    <t>152779-1-1</t>
  </si>
  <si>
    <t>A21B1008</t>
  </si>
  <si>
    <t>RDT11211GA-24</t>
  </si>
  <si>
    <t>Machine issues with limit switches and control line as well as the cutting head tried to crash and slowed production.</t>
  </si>
  <si>
    <t>Material handling</t>
  </si>
  <si>
    <t xml:space="preserve">Brad O. </t>
  </si>
  <si>
    <t>NAS100021245</t>
  </si>
  <si>
    <t xml:space="preserve">Storm, power surge needed machine restart. </t>
  </si>
  <si>
    <t>NAS100000139</t>
  </si>
  <si>
    <t>Clamping and material issues, last stick could not be run due to warpage</t>
  </si>
  <si>
    <t xml:space="preserve">Jason T&gt; </t>
  </si>
  <si>
    <t>152797-2-1</t>
  </si>
  <si>
    <t>948096-NEW SS 304</t>
  </si>
  <si>
    <t>SST13413411GA304-20</t>
  </si>
  <si>
    <t xml:space="preserve">Machine stopping multiple times due to torch head connection issue. </t>
  </si>
  <si>
    <t>NAS100002930</t>
  </si>
  <si>
    <t>GALV SHEET 20GA 48X89 G90</t>
  </si>
  <si>
    <t xml:space="preserve">Sorting pallet quantites </t>
  </si>
  <si>
    <t>Tyler Dettore</t>
  </si>
  <si>
    <t>NAS000056028</t>
  </si>
  <si>
    <t>GALV SHEET 20GA 60X76 G90</t>
  </si>
  <si>
    <t>Lead in meeting waiting on material from matl. handler no forklift license yet</t>
  </si>
  <si>
    <t>152768-1-1</t>
  </si>
  <si>
    <t>HR P&amp;O SHEET 7GA 48X76 A1011 CS B</t>
  </si>
  <si>
    <t>152748-1-1</t>
  </si>
  <si>
    <t>GALV SHEET 22GA 60X120 G90</t>
  </si>
  <si>
    <t>152767-1-1</t>
  </si>
  <si>
    <t>V2850</t>
  </si>
  <si>
    <t>SS SHEET 12GA 60X120 304 2B</t>
  </si>
  <si>
    <t>152626-6-2-1</t>
  </si>
  <si>
    <t>1502883500-2-2-10</t>
  </si>
  <si>
    <t>PLATE 5/8 48X96 A36</t>
  </si>
  <si>
    <t>Had to reset program and adjust cut quality with the thickness of the material, had short talk with safety supervisor</t>
  </si>
  <si>
    <t>NAS100000157</t>
  </si>
  <si>
    <t>HRSH12GA-1</t>
  </si>
  <si>
    <t>NAS100029924</t>
  </si>
  <si>
    <t>NAS000056986</t>
  </si>
  <si>
    <t>NAS000056987</t>
  </si>
  <si>
    <t>NAS000033518</t>
  </si>
  <si>
    <t>152626-6-2</t>
  </si>
  <si>
    <t>PL58A36-1</t>
  </si>
  <si>
    <t>152774-1-1</t>
  </si>
  <si>
    <t>PLT-2</t>
  </si>
  <si>
    <t>GALVSH22GA-1</t>
  </si>
  <si>
    <t>This was a machine issue somone had turned vaporizing on Tyler is still learning but now knows how to turn this off. Also had to look for partial ran to make sure qty was right.</t>
  </si>
  <si>
    <t>152579-6-2</t>
  </si>
  <si>
    <t>PL38A36-6</t>
  </si>
  <si>
    <t>Safety guy came by and explained crane issues we had to switch crane to other it was buried behind several stacks of material</t>
  </si>
  <si>
    <t>NAS000042289</t>
  </si>
  <si>
    <t>PL14A36-1</t>
  </si>
  <si>
    <t>Tyrique Kirkland</t>
  </si>
  <si>
    <t>NAS100002813</t>
  </si>
  <si>
    <t>JALVSH16GA-101</t>
  </si>
  <si>
    <t>No hoist having to hand load large sheets/ ask for help loading them a couple of times.</t>
  </si>
  <si>
    <t>151968-1-12</t>
  </si>
  <si>
    <t>559-5651-05</t>
  </si>
  <si>
    <t>HRPOSH3MM1E4455A-5</t>
  </si>
  <si>
    <t>NAS100002816</t>
  </si>
  <si>
    <t>152657-38-1-1</t>
  </si>
  <si>
    <t>JALVSH2.8MM1E4541-100</t>
  </si>
  <si>
    <t>newer operator filling in, some issues with crane</t>
  </si>
  <si>
    <t>NAS000056976</t>
  </si>
  <si>
    <t>Hoist down, had to get ladder to fix a few times</t>
  </si>
  <si>
    <t>Joseph Smith</t>
  </si>
  <si>
    <t>NAS100002805</t>
  </si>
  <si>
    <t>JALVSH12GA-1</t>
  </si>
  <si>
    <t>15 min break, tech table adjustment</t>
  </si>
  <si>
    <t>NAS100018879</t>
  </si>
  <si>
    <t>FPL14GA-102</t>
  </si>
  <si>
    <t>Hoist issues, large part handling</t>
  </si>
  <si>
    <t>NAS100017590</t>
  </si>
  <si>
    <t>NAS100017592</t>
  </si>
  <si>
    <t>Material handler on another task, Operator had to material handle</t>
  </si>
  <si>
    <t>152657-9-1-1</t>
  </si>
  <si>
    <t xml:space="preserve">6735876-0-10
</t>
  </si>
  <si>
    <t>NAS100017594</t>
  </si>
  <si>
    <t>had a talk with operator told him what is expected off him and if therse anything I cam do with the procces let me know</t>
  </si>
  <si>
    <t>NAS10017596</t>
  </si>
  <si>
    <t>NASA10020460</t>
  </si>
  <si>
    <t>NAS100019180</t>
  </si>
  <si>
    <t>NAS100020461</t>
  </si>
  <si>
    <t>NAS100017522</t>
  </si>
  <si>
    <t>NAS100017532</t>
  </si>
  <si>
    <t>NAS100017542</t>
  </si>
  <si>
    <t>NAS100017544</t>
  </si>
  <si>
    <t>NAS100020434</t>
  </si>
  <si>
    <t>152712-1-1</t>
  </si>
  <si>
    <t>322174-0000</t>
  </si>
  <si>
    <t>SSSH18GA304-1</t>
  </si>
  <si>
    <t>took a long time digging out material and dealing with broken skids through the process</t>
  </si>
  <si>
    <t>152609-1-3</t>
  </si>
  <si>
    <t>100189198-1</t>
  </si>
  <si>
    <t>SSPL14316L-2</t>
  </si>
  <si>
    <t>Cleaned slats before running to reduce splatter</t>
  </si>
  <si>
    <t>152724-3-1-1</t>
  </si>
  <si>
    <t>GALVSH24GA-4</t>
  </si>
  <si>
    <t>152628-5-1</t>
  </si>
  <si>
    <t>HR11GA</t>
  </si>
  <si>
    <t>152628-4-2</t>
  </si>
  <si>
    <t>NAS100007704</t>
  </si>
  <si>
    <t>JALVSH16GA-104</t>
  </si>
  <si>
    <t>NAS100017548</t>
  </si>
  <si>
    <t>NAS100018874</t>
  </si>
  <si>
    <t>Needs to be fixed in epicore these are 100 inch parts with only one part being cut to each sheet</t>
  </si>
  <si>
    <t>NAS100021192</t>
  </si>
  <si>
    <t>HRPOSH12GA-4</t>
  </si>
  <si>
    <t>NAS100016873</t>
  </si>
  <si>
    <t>152628-9-2</t>
  </si>
  <si>
    <t>1502883900-1</t>
  </si>
  <si>
    <t>HRSH11GA-5</t>
  </si>
  <si>
    <t>152780-1-1</t>
  </si>
  <si>
    <t>61-4138</t>
  </si>
  <si>
    <t>HRPOSH10GA-D</t>
  </si>
  <si>
    <t>HAD TROUBLE LOCATING THE DROP MATERIAL TO USE FOR THIS JOB.</t>
  </si>
  <si>
    <t>HRSH11GA-4</t>
  </si>
  <si>
    <t>HAD TROUBLE FINDING A NON-BROKEN SKID FOR THE PARTS.</t>
  </si>
  <si>
    <t>152628-6-2</t>
  </si>
  <si>
    <t>Had loading issues with the piston in the vaccume crane stopping</t>
  </si>
  <si>
    <t>152628-5-2</t>
  </si>
  <si>
    <t>Crane issues with the decompressing rod causing slow down.</t>
  </si>
  <si>
    <t>NAS100014149</t>
  </si>
  <si>
    <t>POPL14A36-1</t>
  </si>
  <si>
    <t>NAS100017563</t>
  </si>
  <si>
    <t>GALVSH20GA-4</t>
  </si>
  <si>
    <t>NAS100026079</t>
  </si>
  <si>
    <t>HRPOSH12GA-1-Nortek</t>
  </si>
  <si>
    <t>NAS100021999</t>
  </si>
  <si>
    <t>NAS100014152</t>
  </si>
  <si>
    <t>POPL12A36-1</t>
  </si>
  <si>
    <t>NAS100017530</t>
  </si>
  <si>
    <t>SHEET HANDLING</t>
  </si>
  <si>
    <t>NAS100017565</t>
  </si>
  <si>
    <t>TAKIS PATIKAS</t>
  </si>
  <si>
    <t>NAS100017557</t>
  </si>
  <si>
    <t>NAS100017559</t>
  </si>
  <si>
    <t>NAS100017561</t>
  </si>
  <si>
    <t>cannot locate any more material</t>
  </si>
  <si>
    <t>152743-1-1</t>
  </si>
  <si>
    <t>K2871-42942</t>
  </si>
  <si>
    <t>HRPOSH7GAA1011</t>
  </si>
  <si>
    <t>Quoted for 25 pph currently but with the laser only way to make this possible would be larger sheet size for reaching 2 per cut. Would allow average 24-26 pph. As is with single part per sheet max would be 13-14 pph.</t>
  </si>
  <si>
    <t>NAS000033501</t>
  </si>
  <si>
    <t>JALVSH12GA-100</t>
  </si>
  <si>
    <t>152785-1-1</t>
  </si>
  <si>
    <t>K6304-6329A-2</t>
  </si>
  <si>
    <t>HRPOSH11GA-1</t>
  </si>
  <si>
    <t>K6304-6329A-3</t>
  </si>
  <si>
    <t>Material wasn't in lean ended up needing to find drop to get job. Had to post produce the parts to the drop sizes.</t>
  </si>
  <si>
    <t>NAS000056978</t>
  </si>
  <si>
    <t xml:space="preserve">JOSEPH S. </t>
  </si>
  <si>
    <t>NAS000055788</t>
  </si>
  <si>
    <t>JALVSH12GA-1-Nortek</t>
  </si>
  <si>
    <t>GETTING MATERIAL</t>
  </si>
  <si>
    <t>NAS000055787</t>
  </si>
  <si>
    <t>SHEET RUNS 5 MINUTES LONGER THAN STATED IN PROGRAM</t>
  </si>
  <si>
    <t>NAS000055792</t>
  </si>
  <si>
    <t>POST-PRODUCE ON DROP</t>
  </si>
  <si>
    <t>NAS000055793</t>
  </si>
  <si>
    <t>NAS000055791</t>
  </si>
  <si>
    <t>JALVSH16GA-106</t>
  </si>
  <si>
    <t>152657-33-1</t>
  </si>
  <si>
    <t>GALVPERFSH22GA1E2814-101</t>
  </si>
  <si>
    <t>CUTTING ISSUES. MATERIAL HAD TO BE HAND-LOADED DUE TO HOLES. POST PRODUCTION OF PARTS</t>
  </si>
  <si>
    <t>NAS100025444</t>
  </si>
  <si>
    <t xml:space="preserve"> SSSH16GA304-1-Nortek</t>
  </si>
  <si>
    <t>Talked with operator and next time this is ran I will do a time study to get the time of the cut/pallet swap per sheet in order to determine issues with this particular job.</t>
  </si>
  <si>
    <t>NAS100025442</t>
  </si>
  <si>
    <t>SSSH16GA304-1-Nortek</t>
  </si>
  <si>
    <t xml:space="preserve">Hoist died major slow down on loading. </t>
  </si>
  <si>
    <t>NAS100003003</t>
  </si>
  <si>
    <t>JALVSH16GA-109</t>
  </si>
  <si>
    <t>This isn't calculating the total hours in epicor Act. Hours 1.17 so this is incorrect.</t>
  </si>
  <si>
    <t>NAS000056963</t>
  </si>
  <si>
    <t>NAS000056979</t>
  </si>
  <si>
    <t>JOSEPH S.</t>
  </si>
  <si>
    <t xml:space="preserve">STORM ISSUES, </t>
  </si>
  <si>
    <t>NAS100002778</t>
  </si>
  <si>
    <t>HRFPL14G-3</t>
  </si>
  <si>
    <t>Gripmaster failed to unload skeletons. Had to be manually removed.</t>
  </si>
  <si>
    <t>NAS100002780</t>
  </si>
  <si>
    <t>Sheetmaster and gripmaster issues. After trying to troubleshoot, determined material is bowed.Had to manually unload parts and scrap skeleton. Had additional issue with the machine and was down for 1 hour.</t>
  </si>
  <si>
    <t>152688-2-4</t>
  </si>
  <si>
    <t>118-00-15022</t>
  </si>
  <si>
    <t>CSM-GALVSH10GA-100</t>
  </si>
  <si>
    <t>Zoe</t>
  </si>
  <si>
    <t>152630-5-1</t>
  </si>
  <si>
    <t>HRSH12GA-4</t>
  </si>
  <si>
    <t>GALVSH10GA-5</t>
  </si>
  <si>
    <t>Carter</t>
  </si>
  <si>
    <t>Courtney</t>
  </si>
  <si>
    <t>NAS100017500</t>
  </si>
  <si>
    <t xml:space="preserve">I do not think this is correct on the time </t>
  </si>
  <si>
    <t xml:space="preserve">I donot think this is correct on the tme </t>
  </si>
  <si>
    <t>NAS100017635</t>
  </si>
  <si>
    <t>FPL14GA-101</t>
  </si>
  <si>
    <t>NAS1000017639</t>
  </si>
  <si>
    <t>152649-1-3</t>
  </si>
  <si>
    <t>1742792-00</t>
  </si>
  <si>
    <t>1518752-00</t>
  </si>
  <si>
    <t>152649-1-4</t>
  </si>
  <si>
    <t>152648-1-1</t>
  </si>
  <si>
    <t>1742676-00</t>
  </si>
  <si>
    <t xml:space="preserve">Tooling issues. setting tools right/Measurre tools for correct clearance </t>
  </si>
  <si>
    <t xml:space="preserve">Zoe </t>
  </si>
  <si>
    <t>NAS100017639</t>
  </si>
  <si>
    <t xml:space="preserve">Slowdown for material and part pickup. </t>
  </si>
  <si>
    <t>Jodi</t>
  </si>
  <si>
    <t>NAS100018824</t>
  </si>
  <si>
    <t>NAS100017582</t>
  </si>
  <si>
    <t>Manual removal of scrap skeletons</t>
  </si>
  <si>
    <t>NAS100019768</t>
  </si>
  <si>
    <t>NAS100017584</t>
  </si>
  <si>
    <t>Manually removed skeletons</t>
  </si>
  <si>
    <t>152788-1-1</t>
  </si>
  <si>
    <t>HRPOSH10GA-4</t>
  </si>
  <si>
    <t xml:space="preserve">Trouble shooting cut quality. Corrected tape shot and cleaned lens. </t>
  </si>
  <si>
    <t>152793-1-1</t>
  </si>
  <si>
    <t xml:space="preserve">Sharpened tools, reset tooling on program. </t>
  </si>
  <si>
    <t>152648-1-2</t>
  </si>
  <si>
    <t>174626-00</t>
  </si>
  <si>
    <t>152648-1-3</t>
  </si>
  <si>
    <t>152789-1-1</t>
  </si>
  <si>
    <t>NAS1000025908</t>
  </si>
  <si>
    <t xml:space="preserve">Corners ws getting stuck had to manually unload. will ned to reproram to avoid this from happening </t>
  </si>
  <si>
    <t>NAS100025908</t>
  </si>
  <si>
    <t>HRFPL14GA-3</t>
  </si>
  <si>
    <t>Manually unload</t>
  </si>
  <si>
    <t>152688-1-5</t>
  </si>
  <si>
    <t>118-00-15018</t>
  </si>
  <si>
    <t>Had to build 5 tools on set-up and locate missing tool. Overheated 7 times, changed chiller filters.</t>
  </si>
  <si>
    <t>152688-2-5</t>
  </si>
  <si>
    <t>152770-1-1</t>
  </si>
  <si>
    <t xml:space="preserve">Build tools, load material and set up machine for second shift / Clean up </t>
  </si>
  <si>
    <t>152648-2-2</t>
  </si>
  <si>
    <t>1742939-00</t>
  </si>
  <si>
    <t>152648-2-3</t>
  </si>
  <si>
    <t>152649-1-5</t>
  </si>
  <si>
    <t>152806-2-1</t>
  </si>
  <si>
    <t>GALVSH14-4</t>
  </si>
  <si>
    <t xml:space="preserve">Machine overheated 6 times costing 31 minutes downtime. </t>
  </si>
  <si>
    <t>152628-13-2</t>
  </si>
  <si>
    <t>Bud Ballard</t>
  </si>
  <si>
    <t xml:space="preserve">Luca Ferrera </t>
  </si>
  <si>
    <t>152628-19-4</t>
  </si>
  <si>
    <t>152628-19-1</t>
  </si>
  <si>
    <t>152628-25-3</t>
  </si>
  <si>
    <t>2 people on job and end of day clean up</t>
  </si>
  <si>
    <t>152730-1-1</t>
  </si>
  <si>
    <t>1758747-00-E</t>
  </si>
  <si>
    <t>2 people job quoted for 1 need to get with Bud about this one</t>
  </si>
  <si>
    <t>152628-25-2</t>
  </si>
  <si>
    <t>2 people job quoted for 1</t>
  </si>
  <si>
    <t>152628-26-2</t>
  </si>
  <si>
    <t>152628-6-1</t>
  </si>
  <si>
    <t>152523-1-2</t>
  </si>
  <si>
    <t>1-55134-30</t>
  </si>
  <si>
    <t>Quoted for 1 person when 2 actually used.</t>
  </si>
  <si>
    <t>152719-1-1</t>
  </si>
  <si>
    <t xml:space="preserve"> YL210</t>
  </si>
  <si>
    <t>nas000055793</t>
  </si>
  <si>
    <t>nas000056974</t>
  </si>
  <si>
    <t>new guy setting up</t>
  </si>
  <si>
    <t>152401-1-1</t>
  </si>
  <si>
    <t>training /set up</t>
  </si>
  <si>
    <t>nas000056978</t>
  </si>
  <si>
    <t>chek every one and adjust angle  every one</t>
  </si>
  <si>
    <t>nas000054650</t>
  </si>
  <si>
    <t xml:space="preserve">748 pcs total  it want go in </t>
  </si>
  <si>
    <t>152774-2-1</t>
  </si>
  <si>
    <t>PLT-2H</t>
  </si>
  <si>
    <t>I had operator recount parts because his quantities did not match what was on his machine and the tagg</t>
  </si>
  <si>
    <t>jason brewer</t>
  </si>
  <si>
    <t>NAS000054650</t>
  </si>
  <si>
    <t>Brittany Hutchison</t>
  </si>
  <si>
    <t>152968-1-12</t>
  </si>
  <si>
    <t>NAS100007703</t>
  </si>
  <si>
    <t>NAS100006897</t>
  </si>
  <si>
    <t>NAS100017027</t>
  </si>
  <si>
    <t>NAS100008109</t>
  </si>
  <si>
    <t>152630-13-1</t>
  </si>
  <si>
    <t>40-000080</t>
  </si>
  <si>
    <t>152630-14-1</t>
  </si>
  <si>
    <t>40-000081</t>
  </si>
  <si>
    <t>152657-9-1</t>
  </si>
  <si>
    <t>654-8784</t>
  </si>
  <si>
    <t>NAS100016894</t>
  </si>
  <si>
    <t>NAS100017028</t>
  </si>
  <si>
    <t>NAS100016898</t>
  </si>
  <si>
    <t>NAS100017580</t>
  </si>
  <si>
    <t>NAS100017026</t>
  </si>
  <si>
    <t>NAS100020558</t>
  </si>
  <si>
    <t>every one of these wait on tow motor fro 10 to 15 min</t>
  </si>
  <si>
    <t>nas00017534</t>
  </si>
  <si>
    <t xml:space="preserve">training new guy </t>
  </si>
  <si>
    <t xml:space="preserve">tyrone </t>
  </si>
  <si>
    <t>1758747-00-e</t>
  </si>
  <si>
    <t>every akg part is checked in 3 spot on every pc made.</t>
  </si>
  <si>
    <t>axiel</t>
  </si>
  <si>
    <t>nas00017550</t>
  </si>
  <si>
    <t>training</t>
  </si>
  <si>
    <t>nas00016873</t>
  </si>
  <si>
    <t>nas100021192</t>
  </si>
  <si>
    <t>new gu y</t>
  </si>
  <si>
    <t>axel</t>
  </si>
  <si>
    <t>nas100020558</t>
  </si>
  <si>
    <t xml:space="preserve">training  </t>
  </si>
  <si>
    <t>152628-16-2</t>
  </si>
  <si>
    <t xml:space="preserve">training </t>
  </si>
  <si>
    <t>nas100017530</t>
  </si>
  <si>
    <t xml:space="preserve">loaner guy/training / flip parts in flipper </t>
  </si>
  <si>
    <t xml:space="preserve">josh </t>
  </si>
  <si>
    <t xml:space="preserve">tommy </t>
  </si>
  <si>
    <t>nas100017500</t>
  </si>
  <si>
    <t>loaner /train/flip parts in flipper</t>
  </si>
  <si>
    <t xml:space="preserve">training /use big joe </t>
  </si>
  <si>
    <t xml:space="preserve">train /use big joe </t>
  </si>
  <si>
    <t>152724-2-1</t>
  </si>
  <si>
    <t>152724-1-1</t>
  </si>
  <si>
    <t xml:space="preserve">pull off to help with machines </t>
  </si>
  <si>
    <t>sarah</t>
  </si>
  <si>
    <t>152724-3-1</t>
  </si>
  <si>
    <t>Josh K</t>
  </si>
  <si>
    <t>MARTAVIUS W</t>
  </si>
  <si>
    <t>job re-set up on another machine</t>
  </si>
  <si>
    <t xml:space="preserve">Joseph S. </t>
  </si>
  <si>
    <t>assist set up/training</t>
  </si>
  <si>
    <t>152628-14-1</t>
  </si>
  <si>
    <t>new / using big joe/ checking every part in 3 spots.time needs to change from 12 ph to 8 ph .375 material</t>
  </si>
  <si>
    <t>152656-9-1</t>
  </si>
  <si>
    <t>use joe/ check every pcs.</t>
  </si>
  <si>
    <t>40-000061</t>
  </si>
  <si>
    <t xml:space="preserve">pulled off and on to help on other machine </t>
  </si>
  <si>
    <t>1783499-00</t>
  </si>
  <si>
    <t>152657-45-1</t>
  </si>
  <si>
    <t xml:space="preserve">loaner/ flip part /train </t>
  </si>
  <si>
    <t>brian</t>
  </si>
  <si>
    <t>nas100017596</t>
  </si>
  <si>
    <t>loaner guy /flip part /train</t>
  </si>
  <si>
    <t>josh</t>
  </si>
  <si>
    <t>1786396-00</t>
  </si>
  <si>
    <t xml:space="preserve">why 550 cut? </t>
  </si>
  <si>
    <t xml:space="preserve">JOSH K </t>
  </si>
  <si>
    <t>NEWER OPERATOR</t>
  </si>
  <si>
    <t>nas100017582</t>
  </si>
  <si>
    <t>flip parts /use joe</t>
  </si>
  <si>
    <t>nas100018882</t>
  </si>
  <si>
    <t>flip parts/use joe</t>
  </si>
  <si>
    <t>nas1000055787</t>
  </si>
  <si>
    <t>nas100018824</t>
  </si>
  <si>
    <t>flip parts/ training</t>
  </si>
  <si>
    <t>tommy</t>
  </si>
  <si>
    <t>nas000055788</t>
  </si>
  <si>
    <t>nas100026079</t>
  </si>
  <si>
    <t>nw guy</t>
  </si>
  <si>
    <t>STORM ISSUES</t>
  </si>
  <si>
    <t>JOSH K/JODI V</t>
  </si>
  <si>
    <t>NEW OPERATOR</t>
  </si>
  <si>
    <t xml:space="preserve">JOSH K/JODI V </t>
  </si>
  <si>
    <t>152339-1-8</t>
  </si>
  <si>
    <t>don</t>
  </si>
  <si>
    <t>donnie</t>
  </si>
  <si>
    <t>kevin</t>
  </si>
  <si>
    <t>sam</t>
  </si>
  <si>
    <t>152523-1-3</t>
  </si>
  <si>
    <t>152522-2-2</t>
  </si>
  <si>
    <t>JR0008123504</t>
  </si>
  <si>
    <t>chip</t>
  </si>
  <si>
    <t xml:space="preserve">austin </t>
  </si>
  <si>
    <t>152657-65-1</t>
  </si>
  <si>
    <t>6735874_AFO_ASM_JWM</t>
  </si>
  <si>
    <t>Jermaine</t>
  </si>
  <si>
    <t>K6304-63292</t>
  </si>
  <si>
    <t xml:space="preserve">first day on these getting fixture set up and then had issues with having enough avalable welding machines. </t>
  </si>
  <si>
    <t xml:space="preserve">partick </t>
  </si>
  <si>
    <t xml:space="preserve">welding subs and tacking frames </t>
  </si>
  <si>
    <t xml:space="preserve">don </t>
  </si>
  <si>
    <t xml:space="preserve">set up took longer than normal and issue with haveing enough welding machines </t>
  </si>
  <si>
    <t xml:space="preserve">Aldo </t>
  </si>
  <si>
    <t>Javier</t>
  </si>
  <si>
    <t>had to leave to go to the bank had not claimed any parts yet</t>
  </si>
  <si>
    <t xml:space="preserve">kevin </t>
  </si>
  <si>
    <t>NAS000055821</t>
  </si>
  <si>
    <t xml:space="preserve">making subs </t>
  </si>
  <si>
    <t>sondra</t>
  </si>
  <si>
    <t>jr0008123504</t>
  </si>
  <si>
    <t>152522-1-2</t>
  </si>
  <si>
    <t>JR0008123519</t>
  </si>
  <si>
    <t xml:space="preserve">set up made first artical then QC placed on hold for more information on print </t>
  </si>
  <si>
    <t xml:space="preserve">
K2871-42942</t>
  </si>
  <si>
    <t xml:space="preserve">chip </t>
  </si>
  <si>
    <t>152628-15-2</t>
  </si>
  <si>
    <t xml:space="preserve">jose </t>
  </si>
  <si>
    <t>andrea</t>
  </si>
  <si>
    <t xml:space="preserve">tacking up subs for final welding </t>
  </si>
  <si>
    <t xml:space="preserve">had some thread issues with the end of the nut being stripped after weld causing some rework </t>
  </si>
  <si>
    <t>lucas</t>
  </si>
  <si>
    <t>had quality issues that needed to be resloved and now we are moving forward, 2 new operators on these parts and it has been a coaching and training struggle, both with skill set and one with a laugage barrier</t>
  </si>
  <si>
    <t>change over took longer then i wanted could not find a fork lift to move the AKG parts or a place to put them</t>
  </si>
  <si>
    <t xml:space="preserve">aldo </t>
  </si>
  <si>
    <t>javier</t>
  </si>
  <si>
    <t xml:space="preserve">better day today still having some time issues on this </t>
  </si>
  <si>
    <t>patirck</t>
  </si>
  <si>
    <t>150073-23-8</t>
  </si>
  <si>
    <t>5767475-08</t>
  </si>
  <si>
    <t>Set up took time and material handling issues</t>
  </si>
  <si>
    <t>John Reyez</t>
  </si>
  <si>
    <t xml:space="preserve">Jose H. </t>
  </si>
  <si>
    <t xml:space="preserve">donnie left at lunch 7 hours so 17 hours total </t>
  </si>
  <si>
    <t xml:space="preserve">donnie </t>
  </si>
  <si>
    <t xml:space="preserve">sam </t>
  </si>
  <si>
    <t xml:space="preserve">hatch door issues emailed owen david and collin about possible issues that can be resolved and a fixture with arnold </t>
  </si>
  <si>
    <t xml:space="preserve">andrea </t>
  </si>
  <si>
    <t xml:space="preserve">only 3 parts were avalable the 1 part per hour is including the RW step as well/ parts are 3/8 materail we are having to move it with a big joe and this takes time a lifting device for this would be a huge inpovement </t>
  </si>
  <si>
    <t xml:space="preserve">need to work on staying on task and not getting destracted </t>
  </si>
  <si>
    <t>152339-1-9</t>
  </si>
  <si>
    <t>152628-14-2</t>
  </si>
  <si>
    <t>jayden</t>
  </si>
  <si>
    <t>Base ID</t>
  </si>
  <si>
    <t>.</t>
  </si>
  <si>
    <t>152516-1-10</t>
  </si>
  <si>
    <t>NAS100002948</t>
  </si>
  <si>
    <t>KLLB0306</t>
  </si>
  <si>
    <t>JUAN</t>
  </si>
  <si>
    <t xml:space="preserve">MICHAEL </t>
  </si>
  <si>
    <t>152516-3-9</t>
  </si>
  <si>
    <t>NAS100002950</t>
  </si>
  <si>
    <t>KLUB0300</t>
  </si>
  <si>
    <t>JON DEFORE</t>
  </si>
  <si>
    <t>JOSE</t>
  </si>
  <si>
    <t>KLUB0302</t>
  </si>
  <si>
    <t>DEAN</t>
  </si>
  <si>
    <t>ELMER</t>
  </si>
  <si>
    <t>152516-1-9</t>
  </si>
  <si>
    <t>KLB0304</t>
  </si>
  <si>
    <t>152516-2-9</t>
  </si>
  <si>
    <t>NAS100003025</t>
  </si>
  <si>
    <t>KLUB0297</t>
  </si>
  <si>
    <t>JOHN REYEZ</t>
  </si>
  <si>
    <t>NAS1000002950</t>
  </si>
  <si>
    <t>KLUB0298</t>
  </si>
  <si>
    <t>BRIGITH</t>
  </si>
  <si>
    <t>CARLOS</t>
  </si>
  <si>
    <t>152516-3-10</t>
  </si>
  <si>
    <t>Base started at 5:30pm on 2nd shift 4/9/26. Completed at 8:00am 4/10/26</t>
  </si>
  <si>
    <t>KLUB0304</t>
  </si>
  <si>
    <t xml:space="preserve">Yaradalia </t>
  </si>
  <si>
    <t>Ramon</t>
  </si>
  <si>
    <t>Carlos</t>
  </si>
  <si>
    <t>Started at 3:00 am on 2nd shift 4/10/26. Completed at 2:30 pm 4/10/26</t>
  </si>
  <si>
    <t>KLB0308</t>
  </si>
  <si>
    <t>Orlando</t>
  </si>
  <si>
    <t>Denis</t>
  </si>
  <si>
    <t>152516-5-1</t>
  </si>
  <si>
    <t>Forklift training for Kemar from 1:00 pm - 2:30 pm</t>
  </si>
  <si>
    <t>KLLB0152</t>
  </si>
  <si>
    <t>Kemar</t>
  </si>
  <si>
    <t>Rafael</t>
  </si>
  <si>
    <t>152516-1-11</t>
  </si>
  <si>
    <t>KLLB0314</t>
  </si>
  <si>
    <t xml:space="preserve">Mason learning to build the base. Had to correct porosity in weld </t>
  </si>
  <si>
    <t>KLB0312</t>
  </si>
  <si>
    <t>Mason</t>
  </si>
  <si>
    <t>KLB0310</t>
  </si>
  <si>
    <t>152516-4-11</t>
  </si>
  <si>
    <t>NAS100003031</t>
  </si>
  <si>
    <t>KLLB0302</t>
  </si>
  <si>
    <t>Pulled Mason for kitting at 5:00 am Sunday morning. Denis finished alone.</t>
  </si>
  <si>
    <t>KLB0421</t>
  </si>
  <si>
    <t>Kemar helping Mason kit intermittently.</t>
  </si>
  <si>
    <t>KLB0437</t>
  </si>
  <si>
    <t>152516-2-11</t>
  </si>
  <si>
    <t>KLUBO307</t>
  </si>
  <si>
    <t>CALVIN</t>
  </si>
  <si>
    <t>ARIEL</t>
  </si>
  <si>
    <t>KLUBO309</t>
  </si>
  <si>
    <t>JOSE P</t>
  </si>
  <si>
    <t>JOHN R</t>
  </si>
  <si>
    <t>152516-3-11</t>
  </si>
  <si>
    <t>nas100002950</t>
  </si>
  <si>
    <t>KLUBO314</t>
  </si>
  <si>
    <t xml:space="preserve">BRIGITH </t>
  </si>
  <si>
    <t>KLUB0312</t>
  </si>
  <si>
    <t>KLUBO310</t>
  </si>
  <si>
    <t>MICHAEL</t>
  </si>
  <si>
    <t>152516-2-12</t>
  </si>
  <si>
    <t>KLUB0311</t>
  </si>
  <si>
    <t>Dean Slater</t>
  </si>
  <si>
    <t>Elmer</t>
  </si>
  <si>
    <t>JOSE HERNANDEZ</t>
  </si>
  <si>
    <t>152516-4-12</t>
  </si>
  <si>
    <t>nas100003031</t>
  </si>
  <si>
    <t>KLLB0315</t>
  </si>
  <si>
    <t>Juan Mejia</t>
  </si>
  <si>
    <t>KLLB0311</t>
  </si>
  <si>
    <t xml:space="preserve">Calvin </t>
  </si>
  <si>
    <t>Ariel</t>
  </si>
  <si>
    <t>KLLB0313</t>
  </si>
  <si>
    <t>Sal de la</t>
  </si>
  <si>
    <t>nas100003025</t>
  </si>
  <si>
    <t>KLUB0315</t>
  </si>
  <si>
    <t>152516-3-12</t>
  </si>
  <si>
    <t>KLUB0320</t>
  </si>
  <si>
    <t xml:space="preserve">Brigith </t>
  </si>
  <si>
    <t>KLUB0346</t>
  </si>
  <si>
    <t>John A</t>
  </si>
  <si>
    <t>KLUB0316</t>
  </si>
  <si>
    <t>Robert M</t>
  </si>
  <si>
    <t>Juan</t>
  </si>
  <si>
    <t>nas10003025</t>
  </si>
  <si>
    <t>KLUB0313</t>
  </si>
  <si>
    <t>.5 min per part is this even worth having on here?</t>
  </si>
  <si>
    <t xml:space="preserve">JAYDEN </t>
  </si>
  <si>
    <t>JWMNAS002</t>
  </si>
  <si>
    <t>45 parts per hours is not doable when we are resistance welding, welding and tapping these. i have sent emails about this in the past but i will follow up on this again.</t>
  </si>
  <si>
    <t>151968-2-10</t>
  </si>
  <si>
    <t>559-5654-03</t>
  </si>
  <si>
    <t>Lunch Start</t>
  </si>
  <si>
    <t>Lunch End</t>
  </si>
  <si>
    <t>1st shift</t>
  </si>
  <si>
    <t>Start Date</t>
  </si>
  <si>
    <t>2nd shift</t>
  </si>
  <si>
    <t>End Date</t>
  </si>
  <si>
    <t>Operation</t>
  </si>
  <si>
    <t>Tube Laser</t>
  </si>
  <si>
    <t>Flat Laser</t>
  </si>
  <si>
    <t>Punch</t>
  </si>
  <si>
    <t>Finish</t>
  </si>
  <si>
    <t>PEM</t>
  </si>
  <si>
    <t>ASM</t>
  </si>
  <si>
    <t>Form</t>
  </si>
  <si>
    <t>Weld</t>
  </si>
  <si>
    <t>Titus Weld</t>
  </si>
  <si>
    <t>MacGyver Weld</t>
  </si>
  <si>
    <t>Grind</t>
  </si>
  <si>
    <t>Robot Weld</t>
  </si>
  <si>
    <t>Roll</t>
  </si>
  <si>
    <t>MA</t>
  </si>
  <si>
    <t>Level</t>
  </si>
  <si>
    <t>RW</t>
  </si>
  <si>
    <t>Machine</t>
  </si>
  <si>
    <t>Total Hours</t>
  </si>
  <si>
    <t>28 footer</t>
  </si>
  <si>
    <t>jammed scrap conveyor. thought it was a bent cleet. straightened cleet. problem persisted. ran belt in reverse until the debris that was jamming it fell out. going forward, we need heavier monitoring of the scrap hopper. i will make a line that suggest when to empty hopper, as a visual control.</t>
  </si>
  <si>
    <t>20 footer</t>
  </si>
  <si>
    <t>tried to remove guide pad from the end of the lift station and move it further down closer to the head of the machine.  Elected to shave guid pad down on affected area of lift station. Also, installed guide extension, as it makes channel easier to  manipulate.</t>
  </si>
  <si>
    <t>152517-2-1</t>
  </si>
  <si>
    <t>Began at 5:00 pm 4/16, Completed at 7:30 am 4/17.</t>
  </si>
  <si>
    <t>KLUB0321</t>
  </si>
  <si>
    <t>Brigith</t>
  </si>
  <si>
    <t>Alex</t>
  </si>
  <si>
    <t>152657-34-1</t>
  </si>
  <si>
    <t>6738055_asm</t>
  </si>
  <si>
    <t xml:space="preserve">finishing up TGS parts and reworking all the other ones due too new information on this job </t>
  </si>
  <si>
    <t xml:space="preserve">this is based off times in epicor not the new requote </t>
  </si>
  <si>
    <t>152517-3-1</t>
  </si>
  <si>
    <t xml:space="preserve">Began at 7:15 pm 4/16, finished at 10:15 am. </t>
  </si>
  <si>
    <t>KLUB0326</t>
  </si>
  <si>
    <t>Calvin</t>
  </si>
  <si>
    <t>Areil</t>
  </si>
  <si>
    <t>KLUB0319</t>
  </si>
  <si>
    <t>Jose P</t>
  </si>
  <si>
    <t>Jhon</t>
  </si>
  <si>
    <t>Austin</t>
  </si>
  <si>
    <t>Juan Meija</t>
  </si>
  <si>
    <t>152764-1-1</t>
  </si>
  <si>
    <t>ST2211GA</t>
  </si>
  <si>
    <t>NAS10020555</t>
  </si>
  <si>
    <t>152809-1-1</t>
  </si>
  <si>
    <t>hrposh12ga-4</t>
  </si>
  <si>
    <t xml:space="preserve">Number of parts vs PPH was set t fail do to extra operation </t>
  </si>
  <si>
    <t>152716-1-1</t>
  </si>
  <si>
    <t xml:space="preserve">total hours did not register </t>
  </si>
  <si>
    <t>NAS100002866</t>
  </si>
  <si>
    <t>152517-3-7</t>
  </si>
  <si>
    <t>KLUB0324</t>
  </si>
  <si>
    <t xml:space="preserve">Denis </t>
  </si>
  <si>
    <t>NAS100000061</t>
  </si>
  <si>
    <t>Ran 2 jobs at once to use all the material</t>
  </si>
  <si>
    <t>152523-1-4</t>
  </si>
  <si>
    <t>1-51209-30</t>
  </si>
  <si>
    <t>152794-1-1</t>
  </si>
  <si>
    <t>C3043</t>
  </si>
  <si>
    <t>RT102316-24</t>
  </si>
  <si>
    <t>152792-1-1</t>
  </si>
  <si>
    <t>LTPP01100014</t>
  </si>
  <si>
    <t>RT21211214GA</t>
  </si>
  <si>
    <t>1786394-00</t>
  </si>
  <si>
    <t>152790-1-1</t>
  </si>
  <si>
    <t>PIONEER LOG</t>
  </si>
  <si>
    <t>PL316A36</t>
  </si>
  <si>
    <t>NAS100002890</t>
  </si>
  <si>
    <t>JALVSH16GA</t>
  </si>
  <si>
    <t>NAS100002893</t>
  </si>
  <si>
    <t>Stephan Crawford</t>
  </si>
  <si>
    <t>152523-1-5</t>
  </si>
  <si>
    <t>RDT810GA-20</t>
  </si>
  <si>
    <t>lubrication cycles required to stop and start after every tube</t>
  </si>
  <si>
    <t>Brittany Hutchinson</t>
  </si>
  <si>
    <t>JALVSH14GA-100</t>
  </si>
  <si>
    <t>Jermaine Robertson</t>
  </si>
  <si>
    <t>CH-454-20</t>
  </si>
  <si>
    <t>152819-1-1</t>
  </si>
  <si>
    <t>CSM-RT8614</t>
  </si>
  <si>
    <t>down time with machine errors had to rehome measuring unit and flip a temperture breaker</t>
  </si>
  <si>
    <t>152701-1-1</t>
  </si>
  <si>
    <t>NAS100014147</t>
  </si>
  <si>
    <t>KLUB0322</t>
  </si>
  <si>
    <t>152517-1-2</t>
  </si>
  <si>
    <t>KLUB0426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</si>
</sst>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hh:mm"/>
    <numFmt numFmtId="165" formatCode="0.00;\-0.00;;@"/>
    <numFmt numFmtId="166" formatCode="[$-F400]h:mm:ss\ AM/PM"/>
  </numFmts>
  <fonts count="16">
    <font>
      <sz val="11"/>
      <color theme="1"/>
      <name val="Aptos Narrow"/>
      <family val="2"/>
      <scheme val="minor"/>
    </font>
    <font>
      <sz val="11"/>
      <color theme="1"/>
      <name val="Aptos Narrow"/>
      <family val="2"/>
      <scheme val="minor"/>
    </font>
    <font>
      <b/>
      <sz val="15"/>
      <color theme="3"/>
      <name val="Aptos Narrow"/>
      <family val="2"/>
      <scheme val="minor"/>
    </font>
    <font>
      <b/>
      <i/>
      <sz val="11"/>
      <color theme="1"/>
      <name val="Aptos Narrow"/>
      <family val="2"/>
      <scheme val="minor"/>
    </font>
    <font>
      <sz val="12"/>
      <color theme="1"/>
      <name val="Aptos Narrow"/>
      <family val="2"/>
      <scheme val="minor"/>
    </font>
    <font>
      <b/>
      <i/>
      <sz val="11"/>
      <color rgb="FF000000"/>
      <name val="Aptos Narrow"/>
      <family val="2"/>
    </font>
    <font>
      <sz val="13"/>
      <color theme="1"/>
      <name val="Aptos Narrow"/>
      <family val="2"/>
      <scheme val="minor"/>
    </font>
    <font>
      <sz val="13"/>
      <color rgb="FF000000"/>
      <name val="Aptos Narrow"/>
      <family val="2"/>
    </font>
    <font>
      <b/>
      <sz val="11"/>
      <color theme="1"/>
      <name val="Aptos Narrow"/>
      <family val="2"/>
      <scheme val="minor"/>
    </font>
    <font>
      <sz val="11"/>
      <color rgb="FF000000"/>
      <name val="Calibri"/>
      <family val="2"/>
    </font>
    <font>
      <sz val="26"/>
      <color rgb="FF0D6DA0"/>
      <name val="SourceSansPro-Regular"/>
      <charset val="1"/>
    </font>
    <font>
      <sz val="26"/>
      <color rgb="FF0D6DA0"/>
      <name val="SourceSansPro-Regular"/>
      <family val="2"/>
      <charset val="1"/>
    </font>
    <font>
      <sz val="11"/>
      <color rgb="FF000000"/>
      <name val="SourceSansPro-Regular"/>
      <charset val="1"/>
    </font>
    <font>
      <sz val="13"/>
      <color rgb="FF000000"/>
      <name val="Aptos Narrow"/>
      <charset val="1"/>
    </font>
    <font>
      <sz val="11"/>
      <color rgb="FF000000"/>
      <name val="Aptos Narrow"/>
      <family val="2"/>
    </font>
    <font>
      <sz val="11"/>
      <color rgb="FF000000"/>
      <name val="Aptos Narrow"/>
    </font>
  </fonts>
  <fills count="13">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theme="3" tint="0.89999084444715716"/>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rgb="FFD9D9D9"/>
        <bgColor rgb="FF000000"/>
      </patternFill>
    </fill>
    <fill>
      <patternFill patternType="solid">
        <fgColor rgb="FFEFF3F6"/>
        <bgColor indexed="64"/>
      </patternFill>
    </fill>
    <fill>
      <patternFill patternType="solid">
        <fgColor rgb="FF7AD7B0"/>
        <bgColor indexed="64"/>
      </patternFill>
    </fill>
    <fill>
      <patternFill patternType="solid">
        <fgColor rgb="FF62D0A2"/>
        <bgColor indexed="64"/>
      </patternFill>
    </fill>
    <fill>
      <patternFill patternType="solid">
        <fgColor theme="2"/>
        <bgColor indexed="64"/>
      </patternFill>
    </fill>
  </fills>
  <borders count="10">
    <border>
      <left/>
      <right/>
      <top/>
      <bottom/>
      <diagonal/>
    </border>
    <border>
      <left/>
      <right/>
      <top/>
      <bottom style="thick">
        <color theme="4"/>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right style="thin">
        <color indexed="64"/>
      </right>
      <top/>
      <bottom style="thick">
        <color theme="4"/>
      </bottom>
      <diagonal/>
    </border>
    <border>
      <left style="thin">
        <color indexed="64"/>
      </left>
      <right style="thin">
        <color indexed="64"/>
      </right>
      <top/>
      <bottom style="thick">
        <color theme="4"/>
      </bottom>
      <diagonal/>
    </border>
    <border>
      <left style="thin">
        <color indexed="64"/>
      </left>
      <right/>
      <top/>
      <bottom style="thick">
        <color theme="4"/>
      </bottom>
      <diagonal/>
    </border>
    <border>
      <left style="thin">
        <color rgb="FF000000"/>
      </left>
      <right/>
      <top/>
      <bottom/>
      <diagonal/>
    </border>
    <border>
      <left/>
      <right style="thin">
        <color rgb="FF000000"/>
      </right>
      <top/>
      <bottom/>
      <diagonal/>
    </border>
  </borders>
  <cellStyleXfs count="3">
    <xf numFmtId="0" fontId="0" fillId="0" borderId="0"/>
    <xf numFmtId="9" fontId="1" fillId="0" borderId="0" applyFont="0" applyFill="0" applyBorder="0" applyAlignment="0" applyProtection="0"/>
    <xf numFmtId="0" fontId="2" fillId="0" borderId="1" applyNumberFormat="0" applyFill="0" applyAlignment="0" applyProtection="0"/>
  </cellStyleXfs>
  <cellXfs count="127">
    <xf numFmtId="0" fontId="0" fillId="0" borderId="0" xfId="0"/>
    <xf numFmtId="0" fontId="0" fillId="0" borderId="0" xfId="0" applyAlignment="1">
      <alignment horizontal="center"/>
    </xf>
    <xf numFmtId="0" fontId="3" fillId="2" borderId="2" xfId="0" applyFont="1" applyFill="1" applyBorder="1" applyAlignment="1">
      <alignment horizontal="center"/>
    </xf>
    <xf numFmtId="165" fontId="3" fillId="2" borderId="4" xfId="0" applyNumberFormat="1" applyFont="1" applyFill="1" applyBorder="1" applyAlignment="1">
      <alignment horizontal="center"/>
    </xf>
    <xf numFmtId="0" fontId="2" fillId="2" borderId="1" xfId="2" applyFill="1" applyAlignment="1">
      <alignment vertical="center"/>
    </xf>
    <xf numFmtId="0" fontId="2" fillId="2" borderId="5" xfId="2" applyFill="1" applyBorder="1" applyAlignment="1">
      <alignment vertical="center"/>
    </xf>
    <xf numFmtId="0" fontId="3" fillId="0" borderId="0" xfId="0" applyFont="1" applyAlignment="1" applyProtection="1">
      <alignment horizontal="center"/>
      <protection locked="0"/>
    </xf>
    <xf numFmtId="0" fontId="0" fillId="0" borderId="0" xfId="0" applyAlignment="1" applyProtection="1">
      <alignment horizontal="center"/>
      <protection locked="0"/>
    </xf>
    <xf numFmtId="14" fontId="0" fillId="0" borderId="0" xfId="0" applyNumberFormat="1" applyAlignment="1" applyProtection="1">
      <alignment horizontal="center"/>
      <protection locked="0"/>
    </xf>
    <xf numFmtId="164" fontId="0" fillId="0" borderId="0" xfId="0" applyNumberFormat="1" applyAlignment="1" applyProtection="1">
      <alignment horizontal="center"/>
      <protection locked="0"/>
    </xf>
    <xf numFmtId="14" fontId="3" fillId="0" borderId="0" xfId="0" applyNumberFormat="1" applyFont="1" applyAlignment="1" applyProtection="1">
      <alignment horizontal="center"/>
      <protection locked="0"/>
    </xf>
    <xf numFmtId="164" fontId="3" fillId="0" borderId="0" xfId="0" applyNumberFormat="1" applyFont="1" applyAlignment="1" applyProtection="1">
      <alignment horizontal="center"/>
      <protection locked="0"/>
    </xf>
    <xf numFmtId="0" fontId="3" fillId="0" borderId="2" xfId="0" applyFont="1" applyBorder="1" applyAlignment="1" applyProtection="1">
      <alignment horizontal="center"/>
      <protection locked="0"/>
    </xf>
    <xf numFmtId="0" fontId="2" fillId="3" borderId="1" xfId="2" applyFill="1" applyAlignment="1" applyProtection="1">
      <alignment vertical="center"/>
      <protection locked="0"/>
    </xf>
    <xf numFmtId="14" fontId="0" fillId="0" borderId="0" xfId="0" applyNumberFormat="1" applyAlignment="1" applyProtection="1">
      <alignment horizontal="center" vertical="center"/>
      <protection locked="0"/>
    </xf>
    <xf numFmtId="0" fontId="0" fillId="0" borderId="0" xfId="0" applyAlignment="1" applyProtection="1">
      <alignment horizontal="center" vertical="center"/>
      <protection locked="0"/>
    </xf>
    <xf numFmtId="164" fontId="0" fillId="0" borderId="0" xfId="0" applyNumberFormat="1" applyAlignment="1" applyProtection="1">
      <alignment horizontal="center" vertical="center"/>
      <protection locked="0"/>
    </xf>
    <xf numFmtId="14" fontId="3" fillId="0" borderId="0" xfId="0" applyNumberFormat="1" applyFont="1" applyAlignment="1" applyProtection="1">
      <alignment horizontal="center" vertical="center"/>
      <protection locked="0"/>
    </xf>
    <xf numFmtId="0" fontId="3" fillId="0" borderId="0" xfId="0" applyFont="1" applyAlignment="1" applyProtection="1">
      <alignment horizontal="center" vertical="center"/>
      <protection locked="0"/>
    </xf>
    <xf numFmtId="164" fontId="3" fillId="0" borderId="0" xfId="0" applyNumberFormat="1" applyFont="1" applyAlignment="1" applyProtection="1">
      <alignment horizontal="center" vertical="center"/>
      <protection locked="0"/>
    </xf>
    <xf numFmtId="0" fontId="3" fillId="0" borderId="2" xfId="0" applyFont="1" applyBorder="1" applyAlignment="1" applyProtection="1">
      <alignment horizontal="center" vertical="center"/>
      <protection locked="0"/>
    </xf>
    <xf numFmtId="0" fontId="3" fillId="3" borderId="0" xfId="0" applyFont="1" applyFill="1" applyAlignment="1" applyProtection="1">
      <alignment horizontal="center" vertical="center"/>
      <protection locked="0"/>
    </xf>
    <xf numFmtId="0" fontId="3" fillId="2" borderId="2" xfId="0" applyFont="1" applyFill="1" applyBorder="1" applyAlignment="1">
      <alignment horizontal="center" vertical="center"/>
    </xf>
    <xf numFmtId="165" fontId="3" fillId="2" borderId="0" xfId="0" applyNumberFormat="1" applyFont="1" applyFill="1" applyAlignment="1">
      <alignment horizontal="center" vertical="center"/>
    </xf>
    <xf numFmtId="165" fontId="3" fillId="0" borderId="4" xfId="0" applyNumberFormat="1" applyFont="1" applyBorder="1" applyAlignment="1">
      <alignment horizontal="center" vertical="center"/>
    </xf>
    <xf numFmtId="165" fontId="3" fillId="0" borderId="0" xfId="0" applyNumberFormat="1" applyFont="1" applyAlignment="1">
      <alignment horizontal="center" vertical="center"/>
    </xf>
    <xf numFmtId="0" fontId="3" fillId="6" borderId="2" xfId="0" applyFont="1" applyFill="1" applyBorder="1" applyAlignment="1">
      <alignment horizontal="center" vertical="center"/>
    </xf>
    <xf numFmtId="14" fontId="4" fillId="0" borderId="0" xfId="0" applyNumberFormat="1" applyFont="1" applyAlignment="1" applyProtection="1">
      <alignment horizontal="center" vertical="center"/>
      <protection locked="0"/>
    </xf>
    <xf numFmtId="0" fontId="4" fillId="0" borderId="0" xfId="0" applyFont="1" applyAlignment="1" applyProtection="1">
      <alignment horizontal="center" vertical="center"/>
      <protection locked="0"/>
    </xf>
    <xf numFmtId="164" fontId="4" fillId="0" borderId="0" xfId="0" applyNumberFormat="1" applyFont="1" applyAlignment="1" applyProtection="1">
      <alignment horizontal="center" vertical="center"/>
      <protection locked="0"/>
    </xf>
    <xf numFmtId="0" fontId="4" fillId="0" borderId="2" xfId="0" applyFont="1" applyBorder="1" applyAlignment="1" applyProtection="1">
      <alignment horizontal="center" vertical="center"/>
      <protection locked="0"/>
    </xf>
    <xf numFmtId="2" fontId="4" fillId="0" borderId="0" xfId="0" applyNumberFormat="1" applyFont="1" applyAlignment="1" applyProtection="1">
      <alignment horizontal="center" vertical="center"/>
      <protection locked="0"/>
    </xf>
    <xf numFmtId="2" fontId="4" fillId="0" borderId="2" xfId="0" applyNumberFormat="1" applyFont="1" applyBorder="1" applyAlignment="1">
      <alignment horizontal="center" vertical="center"/>
    </xf>
    <xf numFmtId="165" fontId="4" fillId="0" borderId="0" xfId="0" applyNumberFormat="1" applyFont="1" applyAlignment="1">
      <alignment horizontal="center" vertical="center"/>
    </xf>
    <xf numFmtId="165" fontId="4" fillId="0" borderId="4" xfId="0" applyNumberFormat="1" applyFont="1" applyBorder="1" applyAlignment="1">
      <alignment horizontal="center" vertical="center"/>
    </xf>
    <xf numFmtId="9" fontId="4" fillId="0" borderId="2" xfId="1" applyFont="1" applyFill="1" applyBorder="1" applyAlignment="1">
      <alignment horizontal="center" vertical="center"/>
    </xf>
    <xf numFmtId="20" fontId="4" fillId="0" borderId="0" xfId="0" applyNumberFormat="1" applyFont="1" applyAlignment="1" applyProtection="1">
      <alignment horizontal="center" vertical="center"/>
      <protection locked="0"/>
    </xf>
    <xf numFmtId="0" fontId="4" fillId="0" borderId="0" xfId="0" applyFont="1" applyAlignment="1">
      <alignment horizontal="center" vertical="center"/>
    </xf>
    <xf numFmtId="0" fontId="4" fillId="0" borderId="2" xfId="0" applyFont="1" applyBorder="1" applyAlignment="1">
      <alignment horizontal="center" vertical="center"/>
    </xf>
    <xf numFmtId="0" fontId="2" fillId="4" borderId="6" xfId="2" applyFill="1" applyBorder="1" applyAlignment="1">
      <alignment horizontal="center" vertical="center"/>
    </xf>
    <xf numFmtId="0" fontId="2" fillId="3" borderId="1" xfId="2" applyFill="1" applyAlignment="1" applyProtection="1">
      <alignment horizontal="center" vertical="center"/>
      <protection locked="0"/>
    </xf>
    <xf numFmtId="0" fontId="2" fillId="2" borderId="1" xfId="2" applyFill="1" applyAlignment="1">
      <alignment horizontal="center" vertical="center"/>
    </xf>
    <xf numFmtId="0" fontId="5" fillId="0" borderId="0" xfId="0" applyFont="1" applyAlignment="1">
      <alignment horizontal="center"/>
    </xf>
    <xf numFmtId="0" fontId="5" fillId="8" borderId="0" xfId="0" applyFont="1" applyFill="1" applyAlignment="1">
      <alignment horizontal="center"/>
    </xf>
    <xf numFmtId="20" fontId="0" fillId="0" borderId="0" xfId="0" applyNumberFormat="1" applyAlignment="1">
      <alignment horizontal="center"/>
    </xf>
    <xf numFmtId="165" fontId="0" fillId="2" borderId="0" xfId="0" applyNumberFormat="1" applyFill="1" applyAlignment="1">
      <alignment horizontal="center"/>
    </xf>
    <xf numFmtId="0" fontId="2" fillId="3" borderId="1" xfId="2" applyFill="1" applyAlignment="1">
      <alignment vertical="center"/>
    </xf>
    <xf numFmtId="0" fontId="6" fillId="0" borderId="0" xfId="0" applyFont="1" applyAlignment="1">
      <alignment horizontal="center" vertical="center"/>
    </xf>
    <xf numFmtId="0" fontId="3" fillId="7" borderId="0" xfId="0" applyFont="1" applyFill="1" applyAlignment="1" applyProtection="1">
      <alignment horizontal="center"/>
      <protection locked="0"/>
    </xf>
    <xf numFmtId="0" fontId="3" fillId="3" borderId="0" xfId="0" applyFont="1" applyFill="1" applyAlignment="1">
      <alignment horizontal="center"/>
    </xf>
    <xf numFmtId="0" fontId="3" fillId="7" borderId="0" xfId="0" applyFont="1" applyFill="1" applyAlignment="1" applyProtection="1">
      <alignment horizontal="center" vertical="center"/>
      <protection locked="0"/>
    </xf>
    <xf numFmtId="0" fontId="3" fillId="4" borderId="2" xfId="0" applyFont="1" applyFill="1" applyBorder="1" applyAlignment="1">
      <alignment horizontal="center"/>
    </xf>
    <xf numFmtId="14" fontId="6" fillId="0" borderId="0" xfId="0" applyNumberFormat="1" applyFont="1" applyAlignment="1" applyProtection="1">
      <alignment horizontal="center" vertical="center"/>
      <protection locked="0"/>
    </xf>
    <xf numFmtId="0" fontId="6" fillId="0" borderId="0" xfId="0" applyFont="1" applyAlignment="1" applyProtection="1">
      <alignment horizontal="center" vertical="center"/>
      <protection locked="0"/>
    </xf>
    <xf numFmtId="164" fontId="6" fillId="0" borderId="0" xfId="0" applyNumberFormat="1" applyFont="1" applyAlignment="1" applyProtection="1">
      <alignment horizontal="center" vertical="center"/>
      <protection locked="0"/>
    </xf>
    <xf numFmtId="9" fontId="6" fillId="0" borderId="0" xfId="1" applyFont="1" applyAlignment="1" applyProtection="1">
      <alignment horizontal="center" vertical="center"/>
      <protection locked="0"/>
    </xf>
    <xf numFmtId="0" fontId="6" fillId="0" borderId="2" xfId="0" applyFont="1" applyBorder="1" applyAlignment="1" applyProtection="1">
      <alignment horizontal="center" vertical="center"/>
      <protection locked="0"/>
    </xf>
    <xf numFmtId="2" fontId="6" fillId="3" borderId="0" xfId="0" applyNumberFormat="1" applyFont="1" applyFill="1" applyAlignment="1">
      <alignment horizontal="center" vertical="center"/>
    </xf>
    <xf numFmtId="2" fontId="6" fillId="0" borderId="0" xfId="0" applyNumberFormat="1" applyFont="1" applyAlignment="1">
      <alignment horizontal="center" vertical="center"/>
    </xf>
    <xf numFmtId="2" fontId="6" fillId="2" borderId="2" xfId="0" applyNumberFormat="1" applyFont="1" applyFill="1" applyBorder="1" applyAlignment="1">
      <alignment horizontal="center" vertical="center"/>
    </xf>
    <xf numFmtId="2" fontId="6" fillId="2" borderId="4" xfId="0" applyNumberFormat="1" applyFont="1" applyFill="1" applyBorder="1" applyAlignment="1">
      <alignment horizontal="center" vertical="center"/>
    </xf>
    <xf numFmtId="165" fontId="6" fillId="0" borderId="0" xfId="0" applyNumberFormat="1" applyFont="1" applyAlignment="1">
      <alignment horizontal="center" vertical="center"/>
    </xf>
    <xf numFmtId="9" fontId="6" fillId="0" borderId="3" xfId="1" applyFont="1" applyBorder="1" applyAlignment="1">
      <alignment horizontal="center" vertical="center"/>
    </xf>
    <xf numFmtId="0" fontId="7" fillId="0" borderId="0" xfId="0" applyFont="1" applyAlignment="1" applyProtection="1">
      <alignment horizontal="center" vertical="center"/>
      <protection locked="0"/>
    </xf>
    <xf numFmtId="2" fontId="7" fillId="0" borderId="0" xfId="0" applyNumberFormat="1" applyFont="1" applyAlignment="1" applyProtection="1">
      <alignment horizontal="center" vertical="center"/>
      <protection locked="0"/>
    </xf>
    <xf numFmtId="20" fontId="7" fillId="0" borderId="0" xfId="0" applyNumberFormat="1" applyFont="1" applyAlignment="1" applyProtection="1">
      <alignment horizontal="center" vertical="center"/>
      <protection locked="0"/>
    </xf>
    <xf numFmtId="0" fontId="6" fillId="3" borderId="0" xfId="0" applyFont="1" applyFill="1" applyAlignment="1">
      <alignment horizontal="center" vertical="center"/>
    </xf>
    <xf numFmtId="0" fontId="6" fillId="2" borderId="2" xfId="0" applyFont="1" applyFill="1" applyBorder="1" applyAlignment="1">
      <alignment horizontal="center" vertical="center"/>
    </xf>
    <xf numFmtId="165" fontId="6" fillId="2" borderId="4" xfId="0" applyNumberFormat="1" applyFont="1" applyFill="1" applyBorder="1" applyAlignment="1">
      <alignment horizontal="center" vertical="center"/>
    </xf>
    <xf numFmtId="0" fontId="6" fillId="0" borderId="3" xfId="0" applyFont="1" applyBorder="1" applyAlignment="1">
      <alignment horizontal="center" vertical="center"/>
    </xf>
    <xf numFmtId="9" fontId="4" fillId="0" borderId="0" xfId="1" applyFont="1" applyAlignment="1" applyProtection="1">
      <alignment horizontal="center" vertical="center"/>
      <protection locked="0"/>
    </xf>
    <xf numFmtId="9" fontId="6" fillId="0" borderId="3" xfId="1" applyFont="1" applyFill="1" applyBorder="1" applyAlignment="1">
      <alignment horizontal="center" vertical="center"/>
    </xf>
    <xf numFmtId="9" fontId="6" fillId="0" borderId="2" xfId="1" applyFont="1" applyBorder="1" applyAlignment="1">
      <alignment horizontal="center" vertical="center"/>
    </xf>
    <xf numFmtId="0" fontId="6" fillId="0" borderId="2" xfId="0" applyFont="1" applyBorder="1" applyAlignment="1">
      <alignment horizontal="center" vertical="center"/>
    </xf>
    <xf numFmtId="0" fontId="6" fillId="0" borderId="4" xfId="0" applyFont="1" applyBorder="1" applyAlignment="1">
      <alignment horizontal="center" vertical="center"/>
    </xf>
    <xf numFmtId="0" fontId="3" fillId="4" borderId="4" xfId="0" applyFont="1" applyFill="1" applyBorder="1" applyAlignment="1">
      <alignment horizontal="center"/>
    </xf>
    <xf numFmtId="9" fontId="6" fillId="0" borderId="4" xfId="1" applyFont="1" applyBorder="1" applyAlignment="1">
      <alignment horizontal="center" vertical="center"/>
    </xf>
    <xf numFmtId="166" fontId="0" fillId="0" borderId="0" xfId="0" applyNumberFormat="1" applyAlignment="1">
      <alignment horizontal="center"/>
    </xf>
    <xf numFmtId="0" fontId="9" fillId="0" borderId="0" xfId="0" applyFont="1" applyAlignment="1" applyProtection="1">
      <alignment horizontal="center" vertical="center"/>
      <protection locked="0"/>
    </xf>
    <xf numFmtId="0" fontId="4" fillId="0" borderId="0" xfId="0" applyFont="1" applyAlignment="1" applyProtection="1">
      <alignment horizontal="center" vertical="center" wrapText="1"/>
      <protection locked="0"/>
    </xf>
    <xf numFmtId="0" fontId="8" fillId="0" borderId="0" xfId="0" applyFont="1"/>
    <xf numFmtId="14" fontId="0" fillId="0" borderId="0" xfId="0" applyNumberFormat="1"/>
    <xf numFmtId="9" fontId="0" fillId="0" borderId="0" xfId="0" applyNumberFormat="1"/>
    <xf numFmtId="0" fontId="10" fillId="9" borderId="0" xfId="0" applyFont="1" applyFill="1" applyAlignment="1" applyProtection="1">
      <alignment horizontal="center" vertical="center" wrapText="1"/>
      <protection locked="0"/>
    </xf>
    <xf numFmtId="0" fontId="11" fillId="9" borderId="0" xfId="0" applyFont="1" applyFill="1" applyAlignment="1" applyProtection="1">
      <alignment horizontal="center" vertical="center" wrapText="1"/>
      <protection locked="0"/>
    </xf>
    <xf numFmtId="0" fontId="12" fillId="10" borderId="0" xfId="0" applyFont="1" applyFill="1" applyAlignment="1" applyProtection="1">
      <alignment horizontal="center" vertical="center" wrapText="1"/>
      <protection locked="0"/>
    </xf>
    <xf numFmtId="0" fontId="13" fillId="0" borderId="0" xfId="0" applyFont="1" applyAlignment="1" applyProtection="1">
      <alignment horizontal="center" vertical="center"/>
      <protection locked="0"/>
    </xf>
    <xf numFmtId="0" fontId="3" fillId="4" borderId="0" xfId="0" applyFont="1" applyFill="1" applyAlignment="1">
      <alignment horizontal="center"/>
    </xf>
    <xf numFmtId="9" fontId="6" fillId="0" borderId="0" xfId="1" applyFont="1" applyBorder="1" applyAlignment="1">
      <alignment horizontal="center" vertical="center"/>
    </xf>
    <xf numFmtId="9" fontId="6" fillId="0" borderId="0" xfId="1" applyFont="1" applyFill="1" applyBorder="1" applyAlignment="1">
      <alignment horizontal="center" vertical="center"/>
    </xf>
    <xf numFmtId="9" fontId="6" fillId="0" borderId="2" xfId="1" applyFont="1" applyFill="1" applyBorder="1" applyAlignment="1">
      <alignment horizontal="center" vertical="center"/>
    </xf>
    <xf numFmtId="0" fontId="0" fillId="0" borderId="8" xfId="0" applyBorder="1" applyAlignment="1" applyProtection="1">
      <alignment horizontal="center"/>
      <protection locked="0"/>
    </xf>
    <xf numFmtId="0" fontId="3" fillId="0" borderId="8" xfId="0" applyFont="1" applyBorder="1" applyAlignment="1" applyProtection="1">
      <alignment horizontal="center"/>
      <protection locked="0"/>
    </xf>
    <xf numFmtId="0" fontId="7" fillId="0" borderId="8" xfId="0" applyFont="1" applyBorder="1" applyAlignment="1" applyProtection="1">
      <alignment horizontal="center" vertical="center"/>
      <protection locked="0"/>
    </xf>
    <xf numFmtId="0" fontId="6" fillId="0" borderId="8" xfId="0" applyFont="1" applyBorder="1" applyAlignment="1" applyProtection="1">
      <alignment horizontal="center" vertical="center"/>
      <protection locked="0"/>
    </xf>
    <xf numFmtId="14" fontId="14" fillId="0" borderId="0" xfId="0" applyNumberFormat="1" applyFont="1" applyAlignment="1" applyProtection="1">
      <alignment horizontal="center" vertical="center"/>
      <protection locked="0"/>
    </xf>
    <xf numFmtId="0" fontId="14" fillId="0" borderId="0" xfId="0" applyFont="1" applyAlignment="1" applyProtection="1">
      <alignment horizontal="center" vertical="center"/>
      <protection locked="0"/>
    </xf>
    <xf numFmtId="164" fontId="14" fillId="0" borderId="0" xfId="0" applyNumberFormat="1" applyFont="1" applyAlignment="1" applyProtection="1">
      <alignment horizontal="center" vertical="center"/>
      <protection locked="0"/>
    </xf>
    <xf numFmtId="0" fontId="12" fillId="11" borderId="0" xfId="0" applyFont="1" applyFill="1" applyAlignment="1" applyProtection="1">
      <alignment horizontal="center" vertical="center" wrapText="1"/>
      <protection locked="0"/>
    </xf>
    <xf numFmtId="14" fontId="15" fillId="0" borderId="0" xfId="0" applyNumberFormat="1" applyFont="1" applyAlignment="1" applyProtection="1">
      <alignment horizontal="center" vertical="center"/>
      <protection locked="0"/>
    </xf>
    <xf numFmtId="0" fontId="15" fillId="0" borderId="0" xfId="0" applyFont="1" applyAlignment="1" applyProtection="1">
      <alignment horizontal="center" vertical="center"/>
      <protection locked="0"/>
    </xf>
    <xf numFmtId="164" fontId="15" fillId="0" borderId="0" xfId="0" applyNumberFormat="1" applyFont="1" applyAlignment="1" applyProtection="1">
      <alignment horizontal="center" vertical="center"/>
      <protection locked="0"/>
    </xf>
    <xf numFmtId="9" fontId="4" fillId="0" borderId="0" xfId="1" applyFont="1" applyFill="1" applyBorder="1" applyAlignment="1">
      <alignment horizontal="center" vertical="center"/>
    </xf>
    <xf numFmtId="165" fontId="3" fillId="6" borderId="0" xfId="0" applyNumberFormat="1" applyFont="1" applyFill="1" applyAlignment="1">
      <alignment horizontal="center" vertical="center"/>
    </xf>
    <xf numFmtId="165" fontId="4" fillId="0" borderId="0" xfId="1" applyNumberFormat="1" applyFont="1" applyFill="1" applyBorder="1" applyAlignment="1">
      <alignment horizontal="center" vertical="center"/>
    </xf>
    <xf numFmtId="165" fontId="4" fillId="0" borderId="9" xfId="1" applyNumberFormat="1" applyFont="1" applyFill="1" applyBorder="1" applyAlignment="1">
      <alignment horizontal="center" vertical="center"/>
    </xf>
    <xf numFmtId="165" fontId="4" fillId="0" borderId="9" xfId="0" applyNumberFormat="1" applyFont="1" applyBorder="1" applyAlignment="1">
      <alignment horizontal="center" vertical="center"/>
    </xf>
    <xf numFmtId="0" fontId="3" fillId="12" borderId="0" xfId="0" applyFont="1" applyFill="1" applyAlignment="1">
      <alignment horizontal="center" vertical="center"/>
    </xf>
    <xf numFmtId="165" fontId="3" fillId="12" borderId="9" xfId="0" applyNumberFormat="1" applyFont="1" applyFill="1" applyBorder="1" applyAlignment="1">
      <alignment horizontal="center" vertical="center"/>
    </xf>
    <xf numFmtId="20" fontId="15" fillId="0" borderId="0" xfId="0" applyNumberFormat="1" applyFont="1" applyAlignment="1" applyProtection="1">
      <alignment horizontal="center" vertical="center"/>
      <protection locked="0"/>
    </xf>
    <xf numFmtId="16" fontId="6" fillId="0" borderId="0" xfId="0" applyNumberFormat="1" applyFont="1" applyAlignment="1" applyProtection="1">
      <alignment horizontal="center" vertical="center"/>
      <protection locked="0"/>
    </xf>
    <xf numFmtId="16" fontId="4" fillId="0" borderId="0" xfId="0" applyNumberFormat="1" applyFont="1" applyAlignment="1" applyProtection="1">
      <alignment horizontal="center" vertical="center"/>
      <protection locked="0"/>
    </xf>
    <xf numFmtId="3" fontId="4" fillId="0" borderId="0" xfId="0" applyNumberFormat="1" applyFont="1" applyAlignment="1" applyProtection="1">
      <alignment horizontal="center" vertical="center"/>
      <protection locked="0"/>
    </xf>
    <xf numFmtId="0" fontId="2" fillId="7" borderId="7" xfId="2" applyFill="1" applyBorder="1" applyAlignment="1">
      <alignment horizontal="center" vertical="center"/>
    </xf>
    <xf numFmtId="0" fontId="2" fillId="7" borderId="5" xfId="2" applyFill="1" applyBorder="1" applyAlignment="1">
      <alignment horizontal="center" vertical="center"/>
    </xf>
    <xf numFmtId="0" fontId="2" fillId="3" borderId="7" xfId="2" applyFill="1" applyBorder="1" applyAlignment="1" applyProtection="1">
      <alignment horizontal="center" vertical="center"/>
      <protection locked="0"/>
    </xf>
    <xf numFmtId="0" fontId="2" fillId="3" borderId="1" xfId="2" applyFill="1" applyAlignment="1" applyProtection="1">
      <alignment horizontal="center" vertical="center"/>
      <protection locked="0"/>
    </xf>
    <xf numFmtId="0" fontId="2" fillId="3" borderId="5" xfId="2" applyFill="1" applyBorder="1" applyAlignment="1" applyProtection="1">
      <alignment horizontal="center" vertical="center"/>
      <protection locked="0"/>
    </xf>
    <xf numFmtId="0" fontId="2" fillId="2" borderId="7" xfId="2" applyFill="1" applyBorder="1" applyAlignment="1">
      <alignment horizontal="center" vertical="center"/>
    </xf>
    <xf numFmtId="0" fontId="2" fillId="2" borderId="1" xfId="2" applyFill="1" applyAlignment="1">
      <alignment horizontal="center" vertical="center"/>
    </xf>
    <xf numFmtId="0" fontId="2" fillId="2" borderId="5" xfId="2" applyFill="1" applyBorder="1" applyAlignment="1">
      <alignment horizontal="center" vertical="center"/>
    </xf>
    <xf numFmtId="0" fontId="2" fillId="5" borderId="2" xfId="2" applyFill="1" applyBorder="1" applyAlignment="1">
      <alignment horizontal="center" vertical="center"/>
    </xf>
    <xf numFmtId="0" fontId="2" fillId="5" borderId="0" xfId="2" applyFill="1" applyBorder="1" applyAlignment="1">
      <alignment horizontal="center" vertical="center"/>
    </xf>
    <xf numFmtId="0" fontId="2" fillId="5" borderId="9" xfId="2" applyFill="1" applyBorder="1" applyAlignment="1">
      <alignment horizontal="center" vertical="center"/>
    </xf>
    <xf numFmtId="0" fontId="2" fillId="5" borderId="7" xfId="2" applyFill="1" applyBorder="1" applyAlignment="1">
      <alignment horizontal="center" vertical="center"/>
    </xf>
    <xf numFmtId="0" fontId="2" fillId="5" borderId="1" xfId="2" applyFill="1" applyAlignment="1">
      <alignment horizontal="center" vertical="center"/>
    </xf>
    <xf numFmtId="0" fontId="2" fillId="4" borderId="1" xfId="2" applyFill="1" applyAlignment="1">
      <alignment horizontal="center" vertical="center"/>
    </xf>
  </cellXfs>
  <cellStyles count="3">
    <cellStyle name="Heading 1" xfId="2" builtinId="16"/>
    <cellStyle name="Normal" xfId="0" builtinId="0"/>
    <cellStyle name="Percent" xfId="1" builtinId="5"/>
  </cellStyles>
  <dxfs count="493">
    <dxf>
      <fill>
        <patternFill>
          <bgColor rgb="FFFF5050"/>
        </patternFill>
      </fill>
    </dxf>
    <dxf>
      <fill>
        <patternFill>
          <bgColor rgb="FFFFFF00"/>
        </patternFill>
      </fill>
    </dxf>
    <dxf>
      <fill>
        <patternFill>
          <bgColor rgb="FF92D050"/>
        </patternFill>
      </fill>
    </dxf>
    <dxf>
      <fill>
        <patternFill>
          <bgColor rgb="FFFF5050"/>
        </patternFill>
      </fill>
    </dxf>
    <dxf>
      <fill>
        <patternFill>
          <bgColor rgb="FFFFFF00"/>
        </patternFill>
      </fill>
    </dxf>
    <dxf>
      <fill>
        <patternFill>
          <bgColor rgb="FF92D050"/>
        </patternFill>
      </fill>
    </dxf>
    <dxf>
      <fill>
        <patternFill>
          <bgColor rgb="FFFF5050"/>
        </patternFill>
      </fill>
    </dxf>
    <dxf>
      <fill>
        <patternFill>
          <bgColor rgb="FFFFFF00"/>
        </patternFill>
      </fill>
    </dxf>
    <dxf>
      <fill>
        <patternFill>
          <bgColor rgb="FF92D050"/>
        </patternFill>
      </fill>
    </dxf>
    <dxf>
      <fill>
        <patternFill>
          <bgColor rgb="FFFF5050"/>
        </patternFill>
      </fill>
    </dxf>
    <dxf>
      <fill>
        <patternFill>
          <bgColor rgb="FFFFFF00"/>
        </patternFill>
      </fill>
    </dxf>
    <dxf>
      <fill>
        <patternFill>
          <bgColor rgb="FF92D050"/>
        </patternFill>
      </fill>
    </dxf>
    <dxf>
      <fill>
        <patternFill>
          <bgColor rgb="FFFF5050"/>
        </patternFill>
      </fill>
    </dxf>
    <dxf>
      <fill>
        <patternFill>
          <bgColor rgb="FFFFFF00"/>
        </patternFill>
      </fill>
    </dxf>
    <dxf>
      <fill>
        <patternFill>
          <bgColor rgb="FF92D050"/>
        </patternFill>
      </fill>
    </dxf>
    <dxf>
      <fill>
        <patternFill>
          <bgColor rgb="FFFF5050"/>
        </patternFill>
      </fill>
    </dxf>
    <dxf>
      <fill>
        <patternFill>
          <bgColor rgb="FFFFFF00"/>
        </patternFill>
      </fill>
    </dxf>
    <dxf>
      <fill>
        <patternFill>
          <bgColor rgb="FF92D050"/>
        </patternFill>
      </fill>
    </dxf>
    <dxf>
      <fill>
        <patternFill>
          <bgColor rgb="FFFF5050"/>
        </patternFill>
      </fill>
    </dxf>
    <dxf>
      <fill>
        <patternFill>
          <bgColor rgb="FFFFFF00"/>
        </patternFill>
      </fill>
    </dxf>
    <dxf>
      <fill>
        <patternFill>
          <bgColor rgb="FF92D050"/>
        </patternFill>
      </fill>
    </dxf>
    <dxf>
      <fill>
        <patternFill>
          <bgColor rgb="FFFF5050"/>
        </patternFill>
      </fill>
    </dxf>
    <dxf>
      <fill>
        <patternFill>
          <bgColor rgb="FFFFFF00"/>
        </patternFill>
      </fill>
    </dxf>
    <dxf>
      <fill>
        <patternFill>
          <bgColor rgb="FF92D050"/>
        </patternFill>
      </fill>
    </dxf>
    <dxf>
      <fill>
        <patternFill>
          <bgColor rgb="FFFF5050"/>
        </patternFill>
      </fill>
    </dxf>
    <dxf>
      <fill>
        <patternFill>
          <bgColor rgb="FFFFFF00"/>
        </patternFill>
      </fill>
    </dxf>
    <dxf>
      <fill>
        <patternFill>
          <bgColor rgb="FF92D050"/>
        </patternFill>
      </fill>
    </dxf>
    <dxf>
      <fill>
        <patternFill>
          <bgColor rgb="FFFF5050"/>
        </patternFill>
      </fill>
    </dxf>
    <dxf>
      <fill>
        <patternFill>
          <bgColor rgb="FFFFFF00"/>
        </patternFill>
      </fill>
    </dxf>
    <dxf>
      <fill>
        <patternFill>
          <bgColor rgb="FF92D050"/>
        </patternFill>
      </fill>
    </dxf>
    <dxf>
      <fill>
        <patternFill>
          <bgColor rgb="FFFF5050"/>
        </patternFill>
      </fill>
    </dxf>
    <dxf>
      <fill>
        <patternFill>
          <bgColor rgb="FFFFFF00"/>
        </patternFill>
      </fill>
    </dxf>
    <dxf>
      <fill>
        <patternFill>
          <bgColor rgb="FF92D050"/>
        </patternFill>
      </fill>
    </dxf>
    <dxf>
      <fill>
        <patternFill>
          <bgColor rgb="FFFF5050"/>
        </patternFill>
      </fill>
    </dxf>
    <dxf>
      <fill>
        <patternFill>
          <bgColor rgb="FFFFFF00"/>
        </patternFill>
      </fill>
    </dxf>
    <dxf>
      <fill>
        <patternFill>
          <bgColor rgb="FF92D050"/>
        </patternFill>
      </fill>
    </dxf>
    <dxf>
      <fill>
        <patternFill>
          <bgColor rgb="FFFF5050"/>
        </patternFill>
      </fill>
    </dxf>
    <dxf>
      <fill>
        <patternFill>
          <bgColor rgb="FFFFFF00"/>
        </patternFill>
      </fill>
    </dxf>
    <dxf>
      <fill>
        <patternFill>
          <bgColor rgb="FF92D050"/>
        </patternFill>
      </fill>
    </dxf>
    <dxf>
      <fill>
        <patternFill>
          <bgColor theme="5" tint="0.79998168889431442"/>
        </patternFill>
      </fill>
    </dxf>
    <dxf>
      <fill>
        <patternFill>
          <bgColor theme="9" tint="0.79998168889431442"/>
        </patternFill>
      </fill>
    </dxf>
    <dxf>
      <fill>
        <patternFill>
          <bgColor rgb="FF92D050"/>
        </patternFill>
      </fill>
    </dxf>
    <dxf>
      <fill>
        <patternFill>
          <bgColor rgb="FFFFFF00"/>
        </patternFill>
      </fill>
    </dxf>
    <dxf>
      <fill>
        <patternFill>
          <bgColor rgb="FFFF5050"/>
        </patternFill>
      </fill>
    </dxf>
    <dxf>
      <fill>
        <patternFill>
          <bgColor theme="5" tint="0.79998168889431442"/>
        </patternFill>
      </fill>
    </dxf>
    <dxf>
      <fill>
        <patternFill>
          <bgColor theme="9" tint="0.79998168889431442"/>
        </patternFill>
      </fill>
    </dxf>
    <dxf>
      <fill>
        <patternFill>
          <bgColor rgb="FF92D050"/>
        </patternFill>
      </fill>
    </dxf>
    <dxf>
      <fill>
        <patternFill>
          <bgColor rgb="FFFFFF00"/>
        </patternFill>
      </fill>
    </dxf>
    <dxf>
      <fill>
        <patternFill>
          <bgColor rgb="FFFF5050"/>
        </patternFill>
      </fill>
    </dxf>
    <dxf>
      <fill>
        <patternFill>
          <bgColor theme="5" tint="0.79998168889431442"/>
        </patternFill>
      </fill>
    </dxf>
    <dxf>
      <fill>
        <patternFill>
          <bgColor theme="9" tint="0.79998168889431442"/>
        </patternFill>
      </fill>
    </dxf>
    <dxf>
      <fill>
        <patternFill>
          <bgColor rgb="FF92D050"/>
        </patternFill>
      </fill>
    </dxf>
    <dxf>
      <fill>
        <patternFill>
          <bgColor rgb="FFFFFF00"/>
        </patternFill>
      </fill>
    </dxf>
    <dxf>
      <fill>
        <patternFill>
          <bgColor rgb="FFFF5050"/>
        </patternFill>
      </fill>
    </dxf>
    <dxf>
      <alignment horizontal="center" vertical="bottom" textRotation="0" wrapText="0" indent="0" justifyLastLine="0" shrinkToFit="0" readingOrder="0"/>
    </dxf>
    <dxf>
      <numFmt numFmtId="165" formatCode="0.00;\-0.00;;@"/>
      <fill>
        <patternFill patternType="solid">
          <fgColor indexed="64"/>
          <bgColor theme="5" tint="0.79998168889431442"/>
        </patternFill>
      </fill>
      <alignment horizontal="center" vertical="bottom" textRotation="0" wrapText="0" indent="0" justifyLastLine="0" shrinkToFit="0" readingOrder="0"/>
    </dxf>
    <dxf>
      <numFmt numFmtId="25" formatCode="h:mm"/>
      <alignment horizontal="center" vertical="bottom" textRotation="0" wrapText="0" indent="0" justifyLastLine="0" shrinkToFit="0" readingOrder="0"/>
    </dxf>
    <dxf>
      <numFmt numFmtId="25" formatCode="h:mm"/>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protection locked="0" hidden="0"/>
    </dxf>
    <dxf>
      <font>
        <b/>
        <i/>
        <strike val="0"/>
        <condense val="0"/>
        <extend val="0"/>
        <outline val="0"/>
        <shadow val="0"/>
        <u val="none"/>
        <vertAlign val="baseline"/>
        <sz val="11"/>
        <color rgb="FF000000"/>
        <name val="Aptos Narrow"/>
        <family val="2"/>
        <scheme val="none"/>
      </font>
      <alignment horizontal="center" vertical="bottom"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3"/>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bottom/>
        <vertical/>
        <horizontal/>
      </border>
    </dxf>
    <dxf>
      <font>
        <strike val="0"/>
        <outline val="0"/>
        <shadow val="0"/>
        <u val="none"/>
        <vertAlign val="baseline"/>
        <sz val="13"/>
        <color theme="1"/>
        <name val="Aptos Narrow"/>
        <family val="2"/>
        <scheme val="minor"/>
      </font>
      <numFmt numFmtId="165" formatCode="0.00;\-0.00;;@"/>
      <alignment horizontal="center" vertical="center" textRotation="0" wrapText="0" indent="0" justifyLastLine="0" shrinkToFit="0" readingOrder="0"/>
    </dxf>
    <dxf>
      <font>
        <strike val="0"/>
        <outline val="0"/>
        <shadow val="0"/>
        <u val="none"/>
        <vertAlign val="baseline"/>
        <sz val="13"/>
        <color theme="1"/>
        <name val="Aptos Narrow"/>
        <family val="2"/>
        <scheme val="minor"/>
      </font>
      <numFmt numFmtId="165" formatCode="0.00;\-0.00;;@"/>
      <alignment horizontal="center" vertical="center" textRotation="0" wrapText="0" indent="0" justifyLastLine="0" shrinkToFit="0" readingOrder="0"/>
    </dxf>
    <dxf>
      <font>
        <strike val="0"/>
        <outline val="0"/>
        <shadow val="0"/>
        <u val="none"/>
        <vertAlign val="baseline"/>
        <sz val="13"/>
        <color theme="1"/>
        <name val="Aptos Narrow"/>
        <family val="2"/>
        <scheme val="minor"/>
      </font>
      <numFmt numFmtId="2" formatCode="0.00"/>
      <fill>
        <patternFill patternType="solid">
          <fgColor indexed="64"/>
          <bgColor theme="5" tint="0.79998168889431442"/>
        </patternFill>
      </fill>
      <alignment horizontal="center" vertical="center" textRotation="0" wrapText="0" indent="0" justifyLastLine="0" shrinkToFit="0" readingOrder="0"/>
      <border diagonalUp="0" diagonalDown="0">
        <left/>
        <right style="thin">
          <color indexed="64"/>
        </right>
        <top/>
        <bottom/>
      </border>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numFmt numFmtId="2" formatCode="0.00"/>
      <fill>
        <patternFill patternType="solid">
          <fgColor indexed="64"/>
          <bgColor theme="5"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3"/>
        <color theme="1"/>
        <name val="Aptos Narrow"/>
        <family val="2"/>
        <scheme val="minor"/>
      </font>
      <numFmt numFmtId="2"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3"/>
        <color theme="1"/>
        <name val="Aptos Narrow"/>
        <family val="2"/>
        <scheme val="minor"/>
      </font>
      <numFmt numFmtId="2" formatCode="0.00"/>
      <fill>
        <patternFill patternType="solid">
          <fgColor indexed="64"/>
          <bgColor theme="9" tint="0.79998168889431442"/>
        </patternFill>
      </fill>
      <alignment horizontal="center" vertical="center" textRotation="0" wrapText="0" indent="0" justifyLastLine="0" shrinkToFit="0" readingOrder="0"/>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alignment horizontal="center" vertical="center" textRotation="0" wrapText="0" indent="0" justifyLastLine="0" shrinkToFit="0" readingOrder="0"/>
      <border diagonalUp="0" diagonalDown="0" outline="0">
        <left style="thin">
          <color indexed="64"/>
        </left>
        <right/>
        <top/>
        <bottom/>
      </border>
      <protection locked="0" hidden="0"/>
    </dxf>
    <dxf>
      <font>
        <b val="0"/>
        <i val="0"/>
        <strike val="0"/>
        <condense val="0"/>
        <extend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3"/>
        <color theme="1"/>
        <name val="Aptos Narrow"/>
        <family val="2"/>
        <scheme val="minor"/>
      </font>
      <numFmt numFmtId="0" formatCode="General"/>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numFmt numFmtId="164" formatCode="hh:mm"/>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numFmt numFmtId="164" formatCode="hh:mm"/>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numFmt numFmtId="19" formatCode="m/d/yyyy"/>
      <alignment horizontal="center" vertical="center" textRotation="0" wrapText="0" indent="0" justifyLastLine="0" shrinkToFit="0" readingOrder="0"/>
      <protection locked="0" hidden="0"/>
    </dxf>
    <dxf>
      <border outline="0">
        <right style="thin">
          <color rgb="FF000000"/>
        </right>
      </border>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3"/>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bottom/>
        <vertical/>
        <horizontal/>
      </border>
    </dxf>
    <dxf>
      <font>
        <strike val="0"/>
        <outline val="0"/>
        <shadow val="0"/>
        <u val="none"/>
        <vertAlign val="baseline"/>
        <sz val="13"/>
        <color theme="1"/>
        <name val="Aptos Narrow"/>
        <family val="2"/>
        <scheme val="minor"/>
      </font>
      <numFmt numFmtId="165" formatCode="0.00;\-0.00;;@"/>
      <alignment horizontal="center" vertical="center" textRotation="0" wrapText="0" indent="0" justifyLastLine="0" shrinkToFit="0" readingOrder="0"/>
    </dxf>
    <dxf>
      <font>
        <strike val="0"/>
        <outline val="0"/>
        <shadow val="0"/>
        <u val="none"/>
        <vertAlign val="baseline"/>
        <sz val="13"/>
        <color theme="1"/>
        <name val="Aptos Narrow"/>
        <family val="2"/>
        <scheme val="minor"/>
      </font>
      <numFmt numFmtId="165" formatCode="0.00;\-0.00;;@"/>
      <alignment horizontal="center" vertical="center" textRotation="0" wrapText="0" indent="0" justifyLastLine="0" shrinkToFit="0" readingOrder="0"/>
    </dxf>
    <dxf>
      <font>
        <strike val="0"/>
        <outline val="0"/>
        <shadow val="0"/>
        <u val="none"/>
        <vertAlign val="baseline"/>
        <sz val="13"/>
        <color theme="1"/>
        <name val="Aptos Narrow"/>
        <family val="2"/>
        <scheme val="minor"/>
      </font>
      <numFmt numFmtId="2" formatCode="0.00"/>
      <fill>
        <patternFill patternType="solid">
          <fgColor indexed="64"/>
          <bgColor theme="5" tint="0.79998168889431442"/>
        </patternFill>
      </fill>
      <alignment horizontal="center" vertical="center" textRotation="0" wrapText="0" indent="0" justifyLastLine="0" shrinkToFit="0" readingOrder="0"/>
      <border diagonalUp="0" diagonalDown="0">
        <left/>
        <right style="thin">
          <color indexed="64"/>
        </right>
        <top/>
        <bottom/>
      </border>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numFmt numFmtId="2" formatCode="0.00"/>
      <fill>
        <patternFill patternType="solid">
          <fgColor indexed="64"/>
          <bgColor theme="5"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3"/>
        <color theme="1"/>
        <name val="Aptos Narrow"/>
        <family val="2"/>
        <scheme val="minor"/>
      </font>
      <numFmt numFmtId="2"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3"/>
        <color theme="1"/>
        <name val="Aptos Narrow"/>
        <family val="2"/>
        <scheme val="minor"/>
      </font>
      <numFmt numFmtId="2" formatCode="0.00"/>
      <fill>
        <patternFill patternType="solid">
          <fgColor indexed="64"/>
          <bgColor theme="9" tint="0.79998168889431442"/>
        </patternFill>
      </fill>
      <alignment horizontal="center" vertical="center" textRotation="0" wrapText="0" indent="0" justifyLastLine="0" shrinkToFit="0" readingOrder="0"/>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alignment horizontal="center" vertical="center" textRotation="0" wrapText="0" indent="0" justifyLastLine="0" shrinkToFit="0" readingOrder="0"/>
      <border diagonalUp="0" diagonalDown="0" outline="0">
        <left style="thin">
          <color indexed="64"/>
        </left>
        <right/>
        <top/>
        <bottom/>
      </border>
      <protection locked="0" hidden="0"/>
    </dxf>
    <dxf>
      <font>
        <b val="0"/>
        <i val="0"/>
        <strike val="0"/>
        <condense val="0"/>
        <extend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3"/>
        <color theme="1"/>
        <name val="Aptos Narrow"/>
        <family val="2"/>
        <scheme val="minor"/>
      </font>
      <numFmt numFmtId="0" formatCode="General"/>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numFmt numFmtId="164" formatCode="hh:mm"/>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numFmt numFmtId="164" formatCode="hh:mm"/>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numFmt numFmtId="19" formatCode="m/d/yyyy"/>
      <alignment horizontal="center" vertical="center" textRotation="0" wrapText="0" indent="0" justifyLastLine="0" shrinkToFit="0" readingOrder="0"/>
      <protection locked="0" hidden="0"/>
    </dxf>
    <dxf>
      <border outline="0">
        <right style="thin">
          <color rgb="FF000000"/>
        </right>
      </border>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3"/>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bottom/>
        <vertical/>
        <horizontal/>
      </border>
    </dxf>
    <dxf>
      <font>
        <strike val="0"/>
        <outline val="0"/>
        <shadow val="0"/>
        <u val="none"/>
        <vertAlign val="baseline"/>
        <sz val="13"/>
        <color theme="1"/>
        <name val="Aptos Narrow"/>
        <family val="2"/>
        <scheme val="minor"/>
      </font>
      <numFmt numFmtId="165" formatCode="0.00;\-0.00;;@"/>
      <alignment horizontal="center" vertical="center" textRotation="0" wrapText="0" indent="0" justifyLastLine="0" shrinkToFit="0" readingOrder="0"/>
    </dxf>
    <dxf>
      <font>
        <strike val="0"/>
        <outline val="0"/>
        <shadow val="0"/>
        <u val="none"/>
        <vertAlign val="baseline"/>
        <sz val="13"/>
        <color theme="1"/>
        <name val="Aptos Narrow"/>
        <family val="2"/>
        <scheme val="minor"/>
      </font>
      <numFmt numFmtId="165" formatCode="0.00;\-0.00;;@"/>
      <alignment horizontal="center" vertical="center" textRotation="0" wrapText="0" indent="0" justifyLastLine="0" shrinkToFit="0" readingOrder="0"/>
    </dxf>
    <dxf>
      <font>
        <strike val="0"/>
        <outline val="0"/>
        <shadow val="0"/>
        <u val="none"/>
        <vertAlign val="baseline"/>
        <sz val="13"/>
        <color theme="1"/>
        <name val="Aptos Narrow"/>
        <family val="2"/>
        <scheme val="minor"/>
      </font>
      <numFmt numFmtId="2" formatCode="0.00"/>
      <fill>
        <patternFill patternType="solid">
          <fgColor indexed="64"/>
          <bgColor theme="5" tint="0.79998168889431442"/>
        </patternFill>
      </fill>
      <alignment horizontal="center" vertical="center" textRotation="0" wrapText="0" indent="0" justifyLastLine="0" shrinkToFit="0" readingOrder="0"/>
      <border diagonalUp="0" diagonalDown="0">
        <left/>
        <right style="thin">
          <color indexed="64"/>
        </right>
        <top/>
        <bottom/>
      </border>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numFmt numFmtId="2" formatCode="0.00"/>
      <fill>
        <patternFill patternType="solid">
          <fgColor indexed="64"/>
          <bgColor theme="5"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3"/>
        <color theme="1"/>
        <name val="Aptos Narrow"/>
        <family val="2"/>
        <scheme val="minor"/>
      </font>
      <numFmt numFmtId="2"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3"/>
        <color theme="1"/>
        <name val="Aptos Narrow"/>
        <family val="2"/>
        <scheme val="minor"/>
      </font>
      <numFmt numFmtId="2" formatCode="0.00"/>
      <fill>
        <patternFill patternType="solid">
          <fgColor indexed="64"/>
          <bgColor theme="9" tint="0.79998168889431442"/>
        </patternFill>
      </fill>
      <alignment horizontal="center" vertical="center" textRotation="0" wrapText="0" indent="0" justifyLastLine="0" shrinkToFit="0" readingOrder="0"/>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alignment horizontal="center" vertical="center" textRotation="0" wrapText="0" indent="0" justifyLastLine="0" shrinkToFit="0" readingOrder="0"/>
      <border diagonalUp="0" diagonalDown="0" outline="0">
        <left style="thin">
          <color indexed="64"/>
        </left>
        <right/>
        <top/>
        <bottom/>
      </border>
      <protection locked="0" hidden="0"/>
    </dxf>
    <dxf>
      <font>
        <b val="0"/>
        <i val="0"/>
        <strike val="0"/>
        <condense val="0"/>
        <extend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3"/>
        <color theme="1"/>
        <name val="Aptos Narrow"/>
        <family val="2"/>
        <scheme val="minor"/>
      </font>
      <numFmt numFmtId="0" formatCode="General"/>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numFmt numFmtId="164" formatCode="hh:mm"/>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numFmt numFmtId="164" formatCode="hh:mm"/>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numFmt numFmtId="19" formatCode="m/d/yyyy"/>
      <alignment horizontal="center" vertical="center" textRotation="0" wrapText="0" indent="0" justifyLastLine="0" shrinkToFit="0" readingOrder="0"/>
      <protection locked="0" hidden="0"/>
    </dxf>
    <dxf>
      <border outline="0">
        <right style="thin">
          <color rgb="FF000000"/>
        </right>
      </border>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border>
        <left style="thin">
          <color rgb="FF000000"/>
        </left>
      </border>
    </dxf>
    <dxf>
      <font>
        <b val="0"/>
        <i val="0"/>
        <strike val="0"/>
        <condense val="0"/>
        <extend val="0"/>
        <outline val="0"/>
        <shadow val="0"/>
        <u val="none"/>
        <vertAlign val="baseline"/>
        <sz val="13"/>
        <color theme="1"/>
        <name val="Aptos Narrow"/>
        <family val="2"/>
        <scheme val="minor"/>
      </font>
      <numFmt numFmtId="1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3"/>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bottom/>
        <vertical/>
        <horizontal/>
      </border>
    </dxf>
    <dxf>
      <font>
        <strike val="0"/>
        <outline val="0"/>
        <shadow val="0"/>
        <u val="none"/>
        <vertAlign val="baseline"/>
        <sz val="13"/>
        <color theme="1"/>
        <name val="Aptos Narrow"/>
        <family val="2"/>
        <scheme val="minor"/>
      </font>
      <numFmt numFmtId="165" formatCode="0.00;\-0.00;;@"/>
      <alignment horizontal="center" vertical="center" textRotation="0" wrapText="0" indent="0" justifyLastLine="0" shrinkToFit="0" readingOrder="0"/>
    </dxf>
    <dxf>
      <font>
        <strike val="0"/>
        <outline val="0"/>
        <shadow val="0"/>
        <u val="none"/>
        <vertAlign val="baseline"/>
        <sz val="13"/>
        <color theme="1"/>
        <name val="Aptos Narrow"/>
        <family val="2"/>
        <scheme val="minor"/>
      </font>
      <numFmt numFmtId="165" formatCode="0.00;\-0.00;;@"/>
      <alignment horizontal="center" vertical="center" textRotation="0" wrapText="0" indent="0" justifyLastLine="0" shrinkToFit="0" readingOrder="0"/>
    </dxf>
    <dxf>
      <font>
        <strike val="0"/>
        <outline val="0"/>
        <shadow val="0"/>
        <u val="none"/>
        <vertAlign val="baseline"/>
        <sz val="13"/>
        <color theme="1"/>
        <name val="Aptos Narrow"/>
        <family val="2"/>
        <scheme val="minor"/>
      </font>
      <numFmt numFmtId="2" formatCode="0.00"/>
      <fill>
        <patternFill patternType="solid">
          <fgColor indexed="64"/>
          <bgColor theme="5" tint="0.79998168889431442"/>
        </patternFill>
      </fill>
      <alignment horizontal="center" vertical="center" textRotation="0" wrapText="0" indent="0" justifyLastLine="0" shrinkToFit="0" readingOrder="0"/>
      <border diagonalUp="0" diagonalDown="0">
        <left/>
        <right style="thin">
          <color indexed="64"/>
        </right>
        <top/>
        <bottom/>
      </border>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numFmt numFmtId="2" formatCode="0.00"/>
      <fill>
        <patternFill patternType="solid">
          <fgColor indexed="64"/>
          <bgColor theme="5"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3"/>
        <color theme="1"/>
        <name val="Aptos Narrow"/>
        <family val="2"/>
        <scheme val="minor"/>
      </font>
      <numFmt numFmtId="2"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3"/>
        <color theme="1"/>
        <name val="Aptos Narrow"/>
        <family val="2"/>
        <scheme val="minor"/>
      </font>
      <numFmt numFmtId="2" formatCode="0.00"/>
      <fill>
        <patternFill patternType="solid">
          <fgColor indexed="64"/>
          <bgColor theme="9" tint="0.79998168889431442"/>
        </patternFill>
      </fill>
      <alignment horizontal="center" vertical="center" textRotation="0" wrapText="0" indent="0" justifyLastLine="0" shrinkToFit="0" readingOrder="0"/>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alignment horizontal="center" vertical="center" textRotation="0" wrapText="0" indent="0" justifyLastLine="0" shrinkToFit="0" readingOrder="0"/>
      <border diagonalUp="0" diagonalDown="0" outline="0">
        <left style="thin">
          <color indexed="64"/>
        </left>
        <right/>
        <top/>
        <bottom/>
      </border>
      <protection locked="0" hidden="0"/>
    </dxf>
    <dxf>
      <font>
        <b val="0"/>
        <i val="0"/>
        <strike val="0"/>
        <condense val="0"/>
        <extend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3"/>
        <color theme="1"/>
        <name val="Aptos Narrow"/>
        <family val="2"/>
        <scheme val="minor"/>
      </font>
      <numFmt numFmtId="0" formatCode="General"/>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numFmt numFmtId="164" formatCode="hh:mm"/>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numFmt numFmtId="164" formatCode="hh:mm"/>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numFmt numFmtId="19" formatCode="m/d/yyyy"/>
      <alignment horizontal="center" vertical="center" textRotation="0" wrapText="0" indent="0" justifyLastLine="0" shrinkToFit="0" readingOrder="0"/>
      <protection locked="0" hidden="0"/>
    </dxf>
    <dxf>
      <border outline="0">
        <right style="thin">
          <color rgb="FF000000"/>
        </right>
      </border>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3"/>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bottom/>
        <vertical/>
        <horizontal/>
      </border>
    </dxf>
    <dxf>
      <font>
        <strike val="0"/>
        <outline val="0"/>
        <shadow val="0"/>
        <u val="none"/>
        <vertAlign val="baseline"/>
        <sz val="13"/>
        <color theme="1"/>
        <name val="Aptos Narrow"/>
        <family val="2"/>
        <scheme val="minor"/>
      </font>
      <numFmt numFmtId="165" formatCode="0.00;\-0.00;;@"/>
      <alignment horizontal="center" vertical="center" textRotation="0" wrapText="0" indent="0" justifyLastLine="0" shrinkToFit="0" readingOrder="0"/>
    </dxf>
    <dxf>
      <font>
        <strike val="0"/>
        <outline val="0"/>
        <shadow val="0"/>
        <u val="none"/>
        <vertAlign val="baseline"/>
        <sz val="13"/>
        <color theme="1"/>
        <name val="Aptos Narrow"/>
        <family val="2"/>
        <scheme val="minor"/>
      </font>
      <numFmt numFmtId="165" formatCode="0.00;\-0.00;;@"/>
      <alignment horizontal="center" vertical="center" textRotation="0" wrapText="0" indent="0" justifyLastLine="0" shrinkToFit="0" readingOrder="0"/>
    </dxf>
    <dxf>
      <font>
        <strike val="0"/>
        <outline val="0"/>
        <shadow val="0"/>
        <u val="none"/>
        <vertAlign val="baseline"/>
        <sz val="13"/>
        <color theme="1"/>
        <name val="Aptos Narrow"/>
        <family val="2"/>
        <scheme val="minor"/>
      </font>
      <numFmt numFmtId="2" formatCode="0.00"/>
      <fill>
        <patternFill patternType="solid">
          <fgColor indexed="64"/>
          <bgColor theme="5" tint="0.79998168889431442"/>
        </patternFill>
      </fill>
      <alignment horizontal="center" vertical="center" textRotation="0" wrapText="0" indent="0" justifyLastLine="0" shrinkToFit="0" readingOrder="0"/>
      <border diagonalUp="0" diagonalDown="0">
        <left/>
        <right style="thin">
          <color indexed="64"/>
        </right>
        <top/>
        <bottom/>
      </border>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numFmt numFmtId="2" formatCode="0.00"/>
      <fill>
        <patternFill patternType="solid">
          <fgColor indexed="64"/>
          <bgColor theme="5"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3"/>
        <color theme="1"/>
        <name val="Aptos Narrow"/>
        <family val="2"/>
        <scheme val="minor"/>
      </font>
      <numFmt numFmtId="2"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3"/>
        <color theme="1"/>
        <name val="Aptos Narrow"/>
        <family val="2"/>
        <scheme val="minor"/>
      </font>
      <numFmt numFmtId="2" formatCode="0.00"/>
      <fill>
        <patternFill patternType="solid">
          <fgColor indexed="64"/>
          <bgColor theme="9" tint="0.79998168889431442"/>
        </patternFill>
      </fill>
      <alignment horizontal="center" vertical="center" textRotation="0" wrapText="0" indent="0" justifyLastLine="0" shrinkToFit="0" readingOrder="0"/>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alignment horizontal="center" vertical="center" textRotation="0" wrapText="0" indent="0" justifyLastLine="0" shrinkToFit="0" readingOrder="0"/>
      <border diagonalUp="0" diagonalDown="0" outline="0">
        <left style="thin">
          <color indexed="64"/>
        </left>
        <right/>
        <top/>
        <bottom/>
      </border>
      <protection locked="0" hidden="0"/>
    </dxf>
    <dxf>
      <font>
        <b val="0"/>
        <i val="0"/>
        <strike val="0"/>
        <condense val="0"/>
        <extend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3"/>
        <color theme="1"/>
        <name val="Aptos Narrow"/>
        <family val="2"/>
        <scheme val="minor"/>
      </font>
      <numFmt numFmtId="0" formatCode="General"/>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numFmt numFmtId="164" formatCode="hh:mm"/>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numFmt numFmtId="164" formatCode="hh:mm"/>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numFmt numFmtId="19" formatCode="m/d/yyyy"/>
      <alignment horizontal="center" vertical="center" textRotation="0" wrapText="0" indent="0" justifyLastLine="0" shrinkToFit="0" readingOrder="0"/>
      <protection locked="0" hidden="0"/>
    </dxf>
    <dxf>
      <border outline="0">
        <right style="thin">
          <color rgb="FF000000"/>
        </right>
      </border>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3"/>
        <color rgb="FF000000"/>
        <name val="Aptos Narrow"/>
        <family val="2"/>
        <scheme val="none"/>
      </font>
      <alignment horizontal="center" vertical="center" textRotation="0" wrapText="0" indent="0" justifyLastLine="0" shrinkToFit="0" readingOrder="0"/>
      <protection locked="0" hidden="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3"/>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bottom/>
        <vertical/>
        <horizontal/>
      </border>
    </dxf>
    <dxf>
      <font>
        <strike val="0"/>
        <outline val="0"/>
        <shadow val="0"/>
        <u val="none"/>
        <vertAlign val="baseline"/>
        <sz val="13"/>
        <color theme="1"/>
        <name val="Aptos Narrow"/>
        <family val="2"/>
        <scheme val="minor"/>
      </font>
      <numFmt numFmtId="165" formatCode="0.00;\-0.00;;@"/>
      <alignment horizontal="center" vertical="center" textRotation="0" wrapText="0" indent="0" justifyLastLine="0" shrinkToFit="0" readingOrder="0"/>
    </dxf>
    <dxf>
      <font>
        <strike val="0"/>
        <outline val="0"/>
        <shadow val="0"/>
        <u val="none"/>
        <vertAlign val="baseline"/>
        <sz val="13"/>
        <color theme="1"/>
        <name val="Aptos Narrow"/>
        <family val="2"/>
        <scheme val="minor"/>
      </font>
      <numFmt numFmtId="165" formatCode="0.00;\-0.00;;@"/>
      <alignment horizontal="center" vertical="center" textRotation="0" wrapText="0" indent="0" justifyLastLine="0" shrinkToFit="0" readingOrder="0"/>
    </dxf>
    <dxf>
      <font>
        <strike val="0"/>
        <outline val="0"/>
        <shadow val="0"/>
        <u val="none"/>
        <vertAlign val="baseline"/>
        <sz val="13"/>
        <color theme="1"/>
        <name val="Aptos Narrow"/>
        <family val="2"/>
        <scheme val="minor"/>
      </font>
      <numFmt numFmtId="2" formatCode="0.00"/>
      <fill>
        <patternFill patternType="solid">
          <fgColor indexed="64"/>
          <bgColor theme="5" tint="0.79998168889431442"/>
        </patternFill>
      </fill>
      <alignment horizontal="center" vertical="center" textRotation="0" wrapText="0" indent="0" justifyLastLine="0" shrinkToFit="0" readingOrder="0"/>
      <border diagonalUp="0" diagonalDown="0">
        <left/>
        <right style="thin">
          <color indexed="64"/>
        </right>
        <top/>
        <bottom/>
      </border>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numFmt numFmtId="2" formatCode="0.00"/>
      <fill>
        <patternFill patternType="solid">
          <fgColor indexed="64"/>
          <bgColor theme="5"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3"/>
        <color theme="1"/>
        <name val="Aptos Narrow"/>
        <family val="2"/>
        <scheme val="minor"/>
      </font>
      <numFmt numFmtId="2"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3"/>
        <color theme="1"/>
        <name val="Aptos Narrow"/>
        <family val="2"/>
        <scheme val="minor"/>
      </font>
      <numFmt numFmtId="2" formatCode="0.00"/>
      <fill>
        <patternFill patternType="solid">
          <fgColor indexed="64"/>
          <bgColor theme="9" tint="0.79998168889431442"/>
        </patternFill>
      </fill>
      <alignment horizontal="center" vertical="center" textRotation="0" wrapText="0" indent="0" justifyLastLine="0" shrinkToFit="0" readingOrder="0"/>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alignment horizontal="center" vertical="center" textRotation="0" wrapText="0" indent="0" justifyLastLine="0" shrinkToFit="0" readingOrder="0"/>
      <border diagonalUp="0" diagonalDown="0" outline="0">
        <left style="thin">
          <color indexed="64"/>
        </left>
        <right/>
        <top/>
        <bottom/>
      </border>
      <protection locked="0" hidden="0"/>
    </dxf>
    <dxf>
      <font>
        <b val="0"/>
        <i val="0"/>
        <strike val="0"/>
        <condense val="0"/>
        <extend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3"/>
        <color theme="1"/>
        <name val="Aptos Narrow"/>
        <family val="2"/>
        <scheme val="minor"/>
      </font>
      <numFmt numFmtId="0" formatCode="General"/>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numFmt numFmtId="164" formatCode="hh:mm"/>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numFmt numFmtId="164" formatCode="hh:mm"/>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numFmt numFmtId="19" formatCode="m/d/yyyy"/>
      <alignment horizontal="center" vertical="center" textRotation="0" wrapText="0" indent="0" justifyLastLine="0" shrinkToFit="0" readingOrder="0"/>
      <protection locked="0" hidden="0"/>
    </dxf>
    <dxf>
      <border outline="0">
        <right style="thin">
          <color rgb="FF000000"/>
        </right>
      </border>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3"/>
        <color theme="1"/>
        <name val="Aptos Narrow"/>
        <family val="2"/>
        <scheme val="minor"/>
      </font>
      <numFmt numFmtId="13" formatCode="0%"/>
      <fill>
        <patternFill patternType="none">
          <fgColor indexed="64"/>
          <bgColor indexed="65"/>
        </patternFill>
      </fill>
      <alignment horizontal="center"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3"/>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bottom/>
        <vertical/>
        <horizontal/>
      </border>
    </dxf>
    <dxf>
      <font>
        <strike val="0"/>
        <outline val="0"/>
        <shadow val="0"/>
        <u val="none"/>
        <vertAlign val="baseline"/>
        <sz val="13"/>
        <color theme="1"/>
        <name val="Aptos Narrow"/>
        <family val="2"/>
        <scheme val="minor"/>
      </font>
      <numFmt numFmtId="165" formatCode="0.00;\-0.00;;@"/>
      <alignment horizontal="center" vertical="center" textRotation="0" wrapText="0" indent="0" justifyLastLine="0" shrinkToFit="0" readingOrder="0"/>
    </dxf>
    <dxf>
      <font>
        <strike val="0"/>
        <outline val="0"/>
        <shadow val="0"/>
        <u val="none"/>
        <vertAlign val="baseline"/>
        <sz val="13"/>
        <color theme="1"/>
        <name val="Aptos Narrow"/>
        <family val="2"/>
        <scheme val="minor"/>
      </font>
      <numFmt numFmtId="165" formatCode="0.00;\-0.00;;@"/>
      <alignment horizontal="center" vertical="center" textRotation="0" wrapText="0" indent="0" justifyLastLine="0" shrinkToFit="0" readingOrder="0"/>
    </dxf>
    <dxf>
      <font>
        <strike val="0"/>
        <outline val="0"/>
        <shadow val="0"/>
        <u val="none"/>
        <vertAlign val="baseline"/>
        <sz val="13"/>
        <color theme="1"/>
        <name val="Aptos Narrow"/>
        <family val="2"/>
        <scheme val="minor"/>
      </font>
      <numFmt numFmtId="165" formatCode="0.00;\-0.00;;@"/>
      <fill>
        <patternFill patternType="solid">
          <fgColor indexed="64"/>
          <bgColor theme="5" tint="0.79998168889431442"/>
        </patternFill>
      </fill>
      <alignment horizontal="center" vertical="center" textRotation="0" wrapText="0" indent="0" justifyLastLine="0" shrinkToFit="0" readingOrder="0"/>
      <border diagonalUp="0" diagonalDown="0">
        <left/>
        <right style="thin">
          <color indexed="64"/>
        </right>
        <top/>
        <bottom/>
      </border>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numFmt numFmtId="2" formatCode="0.00"/>
      <fill>
        <patternFill patternType="solid">
          <fgColor indexed="64"/>
          <bgColor theme="5"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3"/>
        <color theme="1"/>
        <name val="Aptos Narrow"/>
        <family val="2"/>
        <scheme val="minor"/>
      </font>
      <numFmt numFmtId="2"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3"/>
        <color theme="1"/>
        <name val="Aptos Narrow"/>
        <family val="2"/>
        <scheme val="minor"/>
      </font>
      <numFmt numFmtId="2" formatCode="0.00"/>
      <fill>
        <patternFill patternType="solid">
          <fgColor indexed="64"/>
          <bgColor theme="9" tint="0.79998168889431442"/>
        </patternFill>
      </fill>
      <alignment horizontal="center" vertical="center" textRotation="0" wrapText="0" indent="0" justifyLastLine="0" shrinkToFit="0" readingOrder="0"/>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alignment horizontal="center" vertical="center" textRotation="0" wrapText="0" indent="0" justifyLastLine="0" shrinkToFit="0" readingOrder="0"/>
      <border diagonalUp="0" diagonalDown="0" outline="0">
        <left style="thin">
          <color indexed="64"/>
        </left>
        <right/>
        <top/>
        <bottom/>
      </border>
      <protection locked="0" hidden="0"/>
    </dxf>
    <dxf>
      <font>
        <b val="0"/>
        <i val="0"/>
        <strike val="0"/>
        <condense val="0"/>
        <extend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3"/>
        <color theme="1"/>
        <name val="Aptos Narrow"/>
        <family val="2"/>
        <scheme val="minor"/>
      </font>
      <numFmt numFmtId="0" formatCode="General"/>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numFmt numFmtId="164" formatCode="hh:mm"/>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numFmt numFmtId="164" formatCode="hh:mm"/>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numFmt numFmtId="19" formatCode="m/d/yyyy"/>
      <alignment horizontal="center" vertical="center" textRotation="0" wrapText="0" indent="0" justifyLastLine="0" shrinkToFit="0" readingOrder="0"/>
      <protection locked="0" hidden="0"/>
    </dxf>
    <dxf>
      <border outline="0">
        <right style="thin">
          <color rgb="FF000000"/>
        </right>
      </border>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border>
        <left style="thin">
          <color rgb="FF000000"/>
        </left>
      </border>
    </dxf>
    <dxf>
      <font>
        <b val="0"/>
        <i val="0"/>
        <strike val="0"/>
        <condense val="0"/>
        <extend val="0"/>
        <outline val="0"/>
        <shadow val="0"/>
        <u val="none"/>
        <vertAlign val="baseline"/>
        <sz val="13"/>
        <color theme="1"/>
        <name val="Aptos Narrow"/>
        <family val="2"/>
        <scheme val="minor"/>
      </font>
      <numFmt numFmtId="1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3"/>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bottom/>
        <vertical/>
        <horizontal/>
      </border>
    </dxf>
    <dxf>
      <font>
        <strike val="0"/>
        <outline val="0"/>
        <shadow val="0"/>
        <u val="none"/>
        <vertAlign val="baseline"/>
        <sz val="13"/>
        <color theme="1"/>
        <name val="Aptos Narrow"/>
        <family val="2"/>
        <scheme val="minor"/>
      </font>
      <numFmt numFmtId="165" formatCode="0.00;\-0.00;;@"/>
      <alignment horizontal="center" vertical="center" textRotation="0" wrapText="0" indent="0" justifyLastLine="0" shrinkToFit="0" readingOrder="0"/>
    </dxf>
    <dxf>
      <font>
        <strike val="0"/>
        <outline val="0"/>
        <shadow val="0"/>
        <u val="none"/>
        <vertAlign val="baseline"/>
        <sz val="13"/>
        <color theme="1"/>
        <name val="Aptos Narrow"/>
        <family val="2"/>
        <scheme val="minor"/>
      </font>
      <numFmt numFmtId="165" formatCode="0.00;\-0.00;;@"/>
      <alignment horizontal="center" vertical="center" textRotation="0" wrapText="0" indent="0" justifyLastLine="0" shrinkToFit="0" readingOrder="0"/>
    </dxf>
    <dxf>
      <font>
        <strike val="0"/>
        <outline val="0"/>
        <shadow val="0"/>
        <u val="none"/>
        <vertAlign val="baseline"/>
        <sz val="13"/>
        <color theme="1"/>
        <name val="Aptos Narrow"/>
        <family val="2"/>
        <scheme val="minor"/>
      </font>
      <numFmt numFmtId="2" formatCode="0.00"/>
      <fill>
        <patternFill patternType="solid">
          <fgColor indexed="64"/>
          <bgColor theme="5" tint="0.79998168889431442"/>
        </patternFill>
      </fill>
      <alignment horizontal="center" vertical="center" textRotation="0" wrapText="0" indent="0" justifyLastLine="0" shrinkToFit="0" readingOrder="0"/>
      <border diagonalUp="0" diagonalDown="0">
        <left/>
        <right style="thin">
          <color indexed="64"/>
        </right>
        <top/>
        <bottom/>
      </border>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numFmt numFmtId="2" formatCode="0.00"/>
      <fill>
        <patternFill patternType="solid">
          <fgColor indexed="64"/>
          <bgColor theme="5"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3"/>
        <color theme="1"/>
        <name val="Aptos Narrow"/>
        <family val="2"/>
        <scheme val="minor"/>
      </font>
      <numFmt numFmtId="2"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3"/>
        <color theme="1"/>
        <name val="Aptos Narrow"/>
        <family val="2"/>
        <scheme val="minor"/>
      </font>
      <numFmt numFmtId="2" formatCode="0.00"/>
      <fill>
        <patternFill patternType="solid">
          <fgColor indexed="64"/>
          <bgColor theme="9" tint="0.79998168889431442"/>
        </patternFill>
      </fill>
      <alignment horizontal="center" vertical="center" textRotation="0" wrapText="0" indent="0" justifyLastLine="0" shrinkToFit="0" readingOrder="0"/>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alignment horizontal="center" vertical="center" textRotation="0" wrapText="0" indent="0" justifyLastLine="0" shrinkToFit="0" readingOrder="0"/>
      <border diagonalUp="0" diagonalDown="0" outline="0">
        <left style="thin">
          <color indexed="64"/>
        </left>
        <right/>
        <top/>
        <bottom/>
      </border>
      <protection locked="0" hidden="0"/>
    </dxf>
    <dxf>
      <font>
        <b val="0"/>
        <i val="0"/>
        <strike val="0"/>
        <condense val="0"/>
        <extend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3"/>
        <color theme="1"/>
        <name val="Aptos Narrow"/>
        <family val="2"/>
        <scheme val="minor"/>
      </font>
      <numFmt numFmtId="0" formatCode="General"/>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numFmt numFmtId="164" formatCode="hh:mm"/>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numFmt numFmtId="164" formatCode="hh:mm"/>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numFmt numFmtId="19" formatCode="m/d/yyyy"/>
      <alignment horizontal="center" vertical="center" textRotation="0" wrapText="0" indent="0" justifyLastLine="0" shrinkToFit="0" readingOrder="0"/>
      <protection locked="0" hidden="0"/>
    </dxf>
    <dxf>
      <border outline="0">
        <right style="thin">
          <color rgb="FF000000"/>
        </right>
      </border>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3"/>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bottom/>
        <vertical/>
        <horizontal/>
      </border>
    </dxf>
    <dxf>
      <font>
        <strike val="0"/>
        <outline val="0"/>
        <shadow val="0"/>
        <u val="none"/>
        <vertAlign val="baseline"/>
        <sz val="13"/>
        <color theme="1"/>
        <name val="Aptos Narrow"/>
        <family val="2"/>
        <scheme val="minor"/>
      </font>
      <numFmt numFmtId="165" formatCode="0.00;\-0.00;;@"/>
      <alignment horizontal="center" vertical="center" textRotation="0" wrapText="0" indent="0" justifyLastLine="0" shrinkToFit="0" readingOrder="0"/>
    </dxf>
    <dxf>
      <font>
        <strike val="0"/>
        <outline val="0"/>
        <shadow val="0"/>
        <u val="none"/>
        <vertAlign val="baseline"/>
        <sz val="13"/>
        <color theme="1"/>
        <name val="Aptos Narrow"/>
        <family val="2"/>
        <scheme val="minor"/>
      </font>
      <numFmt numFmtId="165" formatCode="0.00;\-0.00;;@"/>
      <alignment horizontal="center" vertical="center" textRotation="0" wrapText="0" indent="0" justifyLastLine="0" shrinkToFit="0" readingOrder="0"/>
    </dxf>
    <dxf>
      <font>
        <strike val="0"/>
        <outline val="0"/>
        <shadow val="0"/>
        <u val="none"/>
        <vertAlign val="baseline"/>
        <sz val="13"/>
        <color theme="1"/>
        <name val="Aptos Narrow"/>
        <family val="2"/>
        <scheme val="minor"/>
      </font>
      <numFmt numFmtId="2" formatCode="0.00"/>
      <fill>
        <patternFill patternType="solid">
          <fgColor indexed="64"/>
          <bgColor theme="5" tint="0.79998168889431442"/>
        </patternFill>
      </fill>
      <alignment horizontal="center" vertical="center" textRotation="0" wrapText="0" indent="0" justifyLastLine="0" shrinkToFit="0" readingOrder="0"/>
      <border diagonalUp="0" diagonalDown="0">
        <left/>
        <right style="thin">
          <color indexed="64"/>
        </right>
        <top/>
        <bottom/>
      </border>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numFmt numFmtId="2" formatCode="0.00"/>
      <fill>
        <patternFill patternType="solid">
          <fgColor indexed="64"/>
          <bgColor theme="5"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3"/>
        <color theme="1"/>
        <name val="Aptos Narrow"/>
        <family val="2"/>
        <scheme val="minor"/>
      </font>
      <numFmt numFmtId="2"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3"/>
        <color theme="1"/>
        <name val="Aptos Narrow"/>
        <family val="2"/>
        <scheme val="minor"/>
      </font>
      <numFmt numFmtId="2" formatCode="0.00"/>
      <fill>
        <patternFill patternType="solid">
          <fgColor indexed="64"/>
          <bgColor theme="9" tint="0.79998168889431442"/>
        </patternFill>
      </fill>
      <alignment horizontal="center" vertical="center" textRotation="0" wrapText="0" indent="0" justifyLastLine="0" shrinkToFit="0" readingOrder="0"/>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alignment horizontal="center" vertical="center" textRotation="0" wrapText="0" indent="0" justifyLastLine="0" shrinkToFit="0" readingOrder="0"/>
      <border diagonalUp="0" diagonalDown="0" outline="0">
        <left style="thin">
          <color indexed="64"/>
        </left>
        <right/>
        <top/>
        <bottom/>
      </border>
      <protection locked="0" hidden="0"/>
    </dxf>
    <dxf>
      <font>
        <b val="0"/>
        <i val="0"/>
        <strike val="0"/>
        <condense val="0"/>
        <extend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3"/>
        <color theme="1"/>
        <name val="Aptos Narrow"/>
        <family val="2"/>
        <scheme val="minor"/>
      </font>
      <numFmt numFmtId="0" formatCode="General"/>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numFmt numFmtId="164" formatCode="hh:mm"/>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numFmt numFmtId="164" formatCode="hh:mm"/>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numFmt numFmtId="19" formatCode="m/d/yyyy"/>
      <alignment horizontal="center" vertical="center" textRotation="0" wrapText="0" indent="0" justifyLastLine="0" shrinkToFit="0" readingOrder="0"/>
      <protection locked="0" hidden="0"/>
    </dxf>
    <dxf>
      <border outline="0">
        <right style="thin">
          <color rgb="FF000000"/>
        </right>
      </border>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3"/>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bottom/>
        <vertical/>
        <horizontal/>
      </border>
    </dxf>
    <dxf>
      <font>
        <strike val="0"/>
        <outline val="0"/>
        <shadow val="0"/>
        <u val="none"/>
        <vertAlign val="baseline"/>
        <sz val="13"/>
        <color theme="1"/>
        <name val="Aptos Narrow"/>
        <family val="2"/>
        <scheme val="minor"/>
      </font>
      <numFmt numFmtId="165" formatCode="0.00;\-0.00;;@"/>
      <alignment horizontal="center" vertical="center" textRotation="0" wrapText="0" indent="0" justifyLastLine="0" shrinkToFit="0" readingOrder="0"/>
    </dxf>
    <dxf>
      <font>
        <strike val="0"/>
        <outline val="0"/>
        <shadow val="0"/>
        <u val="none"/>
        <vertAlign val="baseline"/>
        <sz val="13"/>
        <color theme="1"/>
        <name val="Aptos Narrow"/>
        <family val="2"/>
        <scheme val="minor"/>
      </font>
      <numFmt numFmtId="165" formatCode="0.00;\-0.00;;@"/>
      <alignment horizontal="center" vertical="center" textRotation="0" wrapText="0" indent="0" justifyLastLine="0" shrinkToFit="0" readingOrder="0"/>
    </dxf>
    <dxf>
      <font>
        <strike val="0"/>
        <outline val="0"/>
        <shadow val="0"/>
        <u val="none"/>
        <vertAlign val="baseline"/>
        <sz val="13"/>
        <color theme="1"/>
        <name val="Aptos Narrow"/>
        <family val="2"/>
        <scheme val="minor"/>
      </font>
      <numFmt numFmtId="2" formatCode="0.00"/>
      <fill>
        <patternFill patternType="solid">
          <fgColor indexed="64"/>
          <bgColor theme="5" tint="0.79998168889431442"/>
        </patternFill>
      </fill>
      <alignment horizontal="center" vertical="center" textRotation="0" wrapText="0" indent="0" justifyLastLine="0" shrinkToFit="0" readingOrder="0"/>
      <border diagonalUp="0" diagonalDown="0">
        <left/>
        <right style="thin">
          <color indexed="64"/>
        </right>
        <top/>
        <bottom/>
      </border>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numFmt numFmtId="2" formatCode="0.00"/>
      <fill>
        <patternFill patternType="solid">
          <fgColor indexed="64"/>
          <bgColor theme="5"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3"/>
        <color theme="1"/>
        <name val="Aptos Narrow"/>
        <family val="2"/>
        <scheme val="minor"/>
      </font>
      <numFmt numFmtId="2"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3"/>
        <color theme="1"/>
        <name val="Aptos Narrow"/>
        <family val="2"/>
        <scheme val="minor"/>
      </font>
      <numFmt numFmtId="2" formatCode="0.00"/>
      <fill>
        <patternFill patternType="solid">
          <fgColor indexed="64"/>
          <bgColor theme="9" tint="0.79998168889431442"/>
        </patternFill>
      </fill>
      <alignment horizontal="center" vertical="center" textRotation="0" wrapText="0" indent="0" justifyLastLine="0" shrinkToFit="0" readingOrder="0"/>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alignment horizontal="center" vertical="center" textRotation="0" wrapText="0" indent="0" justifyLastLine="0" shrinkToFit="0" readingOrder="0"/>
      <border diagonalUp="0" diagonalDown="0" outline="0">
        <left style="thin">
          <color indexed="64"/>
        </left>
        <right/>
        <top/>
        <bottom/>
      </border>
      <protection locked="0" hidden="0"/>
    </dxf>
    <dxf>
      <font>
        <b val="0"/>
        <i val="0"/>
        <strike val="0"/>
        <condense val="0"/>
        <extend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3"/>
        <color theme="1"/>
        <name val="Aptos Narrow"/>
        <family val="2"/>
        <scheme val="minor"/>
      </font>
      <numFmt numFmtId="0" formatCode="General"/>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numFmt numFmtId="164" formatCode="hh:mm"/>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numFmt numFmtId="164" formatCode="hh:mm"/>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numFmt numFmtId="19" formatCode="m/d/yyyy"/>
      <alignment horizontal="center" vertical="center" textRotation="0" wrapText="0" indent="0" justifyLastLine="0" shrinkToFit="0" readingOrder="0"/>
      <protection locked="0" hidden="0"/>
    </dxf>
    <dxf>
      <border outline="0">
        <right style="thin">
          <color rgb="FF000000"/>
        </right>
      </border>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3"/>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bottom/>
        <vertical/>
        <horizontal/>
      </border>
    </dxf>
    <dxf>
      <font>
        <strike val="0"/>
        <outline val="0"/>
        <shadow val="0"/>
        <u val="none"/>
        <vertAlign val="baseline"/>
        <sz val="13"/>
        <color theme="1"/>
        <name val="Aptos Narrow"/>
        <family val="2"/>
        <scheme val="minor"/>
      </font>
      <numFmt numFmtId="165" formatCode="0.00;\-0.00;;@"/>
      <alignment horizontal="center" vertical="center" textRotation="0" wrapText="0" indent="0" justifyLastLine="0" shrinkToFit="0" readingOrder="0"/>
    </dxf>
    <dxf>
      <font>
        <strike val="0"/>
        <outline val="0"/>
        <shadow val="0"/>
        <u val="none"/>
        <vertAlign val="baseline"/>
        <sz val="13"/>
        <color theme="1"/>
        <name val="Aptos Narrow"/>
        <family val="2"/>
        <scheme val="minor"/>
      </font>
      <numFmt numFmtId="165" formatCode="0.00;\-0.00;;@"/>
      <alignment horizontal="center" vertical="center" textRotation="0" wrapText="0" indent="0" justifyLastLine="0" shrinkToFit="0" readingOrder="0"/>
    </dxf>
    <dxf>
      <font>
        <strike val="0"/>
        <outline val="0"/>
        <shadow val="0"/>
        <u val="none"/>
        <vertAlign val="baseline"/>
        <sz val="13"/>
        <color theme="1"/>
        <name val="Aptos Narrow"/>
        <family val="2"/>
        <scheme val="minor"/>
      </font>
      <numFmt numFmtId="2" formatCode="0.00"/>
      <fill>
        <patternFill patternType="solid">
          <fgColor indexed="64"/>
          <bgColor theme="5" tint="0.79998168889431442"/>
        </patternFill>
      </fill>
      <alignment horizontal="center" vertical="center" textRotation="0" wrapText="0" indent="0" justifyLastLine="0" shrinkToFit="0" readingOrder="0"/>
      <border diagonalUp="0" diagonalDown="0">
        <left/>
        <right style="thin">
          <color indexed="64"/>
        </right>
        <top/>
        <bottom/>
      </border>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numFmt numFmtId="2" formatCode="0.00"/>
      <fill>
        <patternFill patternType="solid">
          <fgColor indexed="64"/>
          <bgColor theme="5"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3"/>
        <color theme="1"/>
        <name val="Aptos Narrow"/>
        <family val="2"/>
        <scheme val="minor"/>
      </font>
      <numFmt numFmtId="2"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3"/>
        <color theme="1"/>
        <name val="Aptos Narrow"/>
        <family val="2"/>
        <scheme val="minor"/>
      </font>
      <numFmt numFmtId="2" formatCode="0.00"/>
      <fill>
        <patternFill patternType="solid">
          <fgColor indexed="64"/>
          <bgColor theme="9" tint="0.79998168889431442"/>
        </patternFill>
      </fill>
      <alignment horizontal="center" vertical="center" textRotation="0" wrapText="0" indent="0" justifyLastLine="0" shrinkToFit="0" readingOrder="0"/>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alignment horizontal="center" vertical="center" textRotation="0" wrapText="0" indent="0" justifyLastLine="0" shrinkToFit="0" readingOrder="0"/>
      <border diagonalUp="0" diagonalDown="0" outline="0">
        <left style="thin">
          <color indexed="64"/>
        </left>
        <right/>
        <top/>
        <bottom/>
      </border>
      <protection locked="0" hidden="0"/>
    </dxf>
    <dxf>
      <font>
        <b val="0"/>
        <i val="0"/>
        <strike val="0"/>
        <condense val="0"/>
        <extend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3"/>
        <color theme="1"/>
        <name val="Aptos Narrow"/>
        <family val="2"/>
        <scheme val="minor"/>
      </font>
      <numFmt numFmtId="0" formatCode="General"/>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numFmt numFmtId="164" formatCode="hh:mm"/>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numFmt numFmtId="164" formatCode="hh:mm"/>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numFmt numFmtId="19" formatCode="m/d/yyyy"/>
      <alignment horizontal="center" vertical="center" textRotation="0" wrapText="0" indent="0" justifyLastLine="0" shrinkToFit="0" readingOrder="0"/>
      <protection locked="0" hidden="0"/>
    </dxf>
    <dxf>
      <border outline="0">
        <right style="thin">
          <color rgb="FF000000"/>
        </right>
      </border>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3"/>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bottom/>
        <vertical/>
        <horizontal/>
      </border>
    </dxf>
    <dxf>
      <font>
        <strike val="0"/>
        <outline val="0"/>
        <shadow val="0"/>
        <u val="none"/>
        <vertAlign val="baseline"/>
        <sz val="13"/>
        <color theme="1"/>
        <name val="Aptos Narrow"/>
        <family val="2"/>
        <scheme val="minor"/>
      </font>
      <numFmt numFmtId="165" formatCode="0.00;\-0.00;;@"/>
      <alignment horizontal="center" vertical="center" textRotation="0" wrapText="0" indent="0" justifyLastLine="0" shrinkToFit="0" readingOrder="0"/>
    </dxf>
    <dxf>
      <font>
        <strike val="0"/>
        <outline val="0"/>
        <shadow val="0"/>
        <u val="none"/>
        <vertAlign val="baseline"/>
        <sz val="13"/>
        <color theme="1"/>
        <name val="Aptos Narrow"/>
        <family val="2"/>
        <scheme val="minor"/>
      </font>
      <numFmt numFmtId="165" formatCode="0.00;\-0.00;;@"/>
      <alignment horizontal="center" vertical="center" textRotation="0" wrapText="0" indent="0" justifyLastLine="0" shrinkToFit="0" readingOrder="0"/>
    </dxf>
    <dxf>
      <font>
        <strike val="0"/>
        <outline val="0"/>
        <shadow val="0"/>
        <u val="none"/>
        <vertAlign val="baseline"/>
        <sz val="13"/>
        <color theme="1"/>
        <name val="Aptos Narrow"/>
        <family val="2"/>
        <scheme val="minor"/>
      </font>
      <numFmt numFmtId="2" formatCode="0.00"/>
      <fill>
        <patternFill patternType="solid">
          <fgColor indexed="64"/>
          <bgColor theme="5" tint="0.79998168889431442"/>
        </patternFill>
      </fill>
      <alignment horizontal="center" vertical="center" textRotation="0" wrapText="0" indent="0" justifyLastLine="0" shrinkToFit="0" readingOrder="0"/>
      <border diagonalUp="0" diagonalDown="0">
        <left/>
        <right style="thin">
          <color indexed="64"/>
        </right>
        <top/>
        <bottom/>
      </border>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numFmt numFmtId="2" formatCode="0.00"/>
      <fill>
        <patternFill patternType="solid">
          <fgColor indexed="64"/>
          <bgColor theme="5"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3"/>
        <color theme="1"/>
        <name val="Aptos Narrow"/>
        <family val="2"/>
        <scheme val="minor"/>
      </font>
      <numFmt numFmtId="2"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3"/>
        <color theme="1"/>
        <name val="Aptos Narrow"/>
        <family val="2"/>
        <scheme val="minor"/>
      </font>
      <numFmt numFmtId="2" formatCode="0.00"/>
      <fill>
        <patternFill patternType="solid">
          <fgColor indexed="64"/>
          <bgColor theme="9" tint="0.79998168889431442"/>
        </patternFill>
      </fill>
      <alignment horizontal="center" vertical="center" textRotation="0" wrapText="0" indent="0" justifyLastLine="0" shrinkToFit="0" readingOrder="0"/>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alignment horizontal="center" vertical="center" textRotation="0" wrapText="0" indent="0" justifyLastLine="0" shrinkToFit="0" readingOrder="0"/>
      <border diagonalUp="0" diagonalDown="0" outline="0">
        <left style="thin">
          <color indexed="64"/>
        </left>
        <right/>
        <top/>
        <bottom/>
      </border>
      <protection locked="0" hidden="0"/>
    </dxf>
    <dxf>
      <font>
        <b val="0"/>
        <i val="0"/>
        <strike val="0"/>
        <condense val="0"/>
        <extend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3"/>
        <color theme="1"/>
        <name val="Aptos Narrow"/>
        <family val="2"/>
        <scheme val="minor"/>
      </font>
      <numFmt numFmtId="0" formatCode="General"/>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numFmt numFmtId="164" formatCode="hh:mm"/>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numFmt numFmtId="164" formatCode="hh:mm"/>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numFmt numFmtId="19" formatCode="m/d/yyyy"/>
      <alignment horizontal="center" vertical="center" textRotation="0" wrapText="0" indent="0" justifyLastLine="0" shrinkToFit="0" readingOrder="0"/>
      <protection locked="0" hidden="0"/>
    </dxf>
    <dxf>
      <border outline="0">
        <right style="thin">
          <color rgb="FF000000"/>
        </right>
      </border>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numFmt numFmtId="25" formatCode="h:mm"/>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numFmt numFmtId="2" formatCode="0.00"/>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numFmt numFmtId="165" formatCode="0.00;\-0.00;;@"/>
      <fill>
        <patternFill patternType="none">
          <fgColor indexed="64"/>
          <bgColor indexed="65"/>
        </patternFill>
      </fill>
      <alignment horizontal="center" vertical="center" textRotation="0" wrapText="0" indent="0" justifyLastLine="0" shrinkToFit="0" readingOrder="0"/>
      <border>
        <right style="thin">
          <color rgb="FF000000"/>
        </right>
      </border>
    </dxf>
    <dxf>
      <font>
        <b val="0"/>
        <i val="0"/>
        <strike val="0"/>
        <condense val="0"/>
        <extend val="0"/>
        <outline val="0"/>
        <shadow val="0"/>
        <u val="none"/>
        <vertAlign val="baseline"/>
        <sz val="12"/>
        <color theme="1"/>
        <name val="Aptos Narrow"/>
        <family val="2"/>
        <scheme val="minor"/>
      </font>
      <numFmt numFmtId="165" formatCode="0.00;\-0.00;;@"/>
      <fill>
        <patternFill patternType="none">
          <fgColor indexed="64"/>
          <bgColor indexed="65"/>
        </patternFill>
      </fill>
      <alignment horizontal="center"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ptos Narrow"/>
        <family val="2"/>
        <scheme val="minor"/>
      </font>
      <numFmt numFmtId="1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ptos Narrow"/>
        <family val="2"/>
        <scheme val="minor"/>
      </font>
      <numFmt numFmtId="165" formatCode="0.00;\-0.00;;@"/>
      <alignment horizontal="center" vertical="center" textRotation="0" wrapText="0" indent="0" justifyLastLine="0" shrinkToFit="0" readingOrder="0"/>
    </dxf>
    <dxf>
      <font>
        <b val="0"/>
        <i val="0"/>
        <strike val="0"/>
        <condense val="0"/>
        <extend val="0"/>
        <outline val="0"/>
        <shadow val="0"/>
        <u val="none"/>
        <vertAlign val="baseline"/>
        <sz val="12"/>
        <color theme="1"/>
        <name val="Aptos Narrow"/>
        <family val="2"/>
        <scheme val="minor"/>
      </font>
      <numFmt numFmtId="165" formatCode="0.00;\-0.00;;@"/>
      <alignment horizontal="center" vertical="center" textRotation="0" wrapText="0" indent="0" justifyLastLine="0" shrinkToFit="0" readingOrder="0"/>
    </dxf>
    <dxf>
      <font>
        <b val="0"/>
        <i val="0"/>
        <strike val="0"/>
        <condense val="0"/>
        <extend val="0"/>
        <outline val="0"/>
        <shadow val="0"/>
        <u val="none"/>
        <vertAlign val="baseline"/>
        <sz val="12"/>
        <color theme="1"/>
        <name val="Aptos Narrow"/>
        <family val="2"/>
        <scheme val="minor"/>
      </font>
      <numFmt numFmtId="165" formatCode="0.00;\-0.00;;@"/>
      <alignment horizontal="center"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ptos Narrow"/>
        <family val="2"/>
        <scheme val="minor"/>
      </font>
      <numFmt numFmtId="165" formatCode="0.00;\-0.00;;@"/>
      <alignment horizontal="center" vertical="center"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numFmt numFmtId="2" formatCode="0.00"/>
      <alignment horizontal="center"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numFmt numFmtId="2" formatCode="0.00"/>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numFmt numFmtId="2" formatCode="0.00"/>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numFmt numFmtId="2" formatCode="0.00"/>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numFmt numFmtId="13" formatCode="0%"/>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numFmt numFmtId="0" formatCode="General"/>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numFmt numFmtId="164" formatCode="hh:mm"/>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numFmt numFmtId="164" formatCode="hh:mm"/>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numFmt numFmtId="19" formatCode="m/d/yyyy"/>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rgb="FF000000"/>
        <name val="Aptos Narrow"/>
        <family val="2"/>
        <scheme val="none"/>
      </font>
      <alignment horizontal="center" vertical="center" textRotation="0" wrapText="0" indent="0" justifyLastLine="0" shrinkToFit="0" readingOrder="0"/>
      <protection locked="0" hidden="0"/>
    </dxf>
    <dxf>
      <font>
        <b/>
        <i/>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numFmt numFmtId="25" formatCode="h:mm"/>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numFmt numFmtId="2" formatCode="0.00"/>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numFmt numFmtId="165" formatCode="0.00;\-0.00;;@"/>
      <fill>
        <patternFill patternType="none">
          <fgColor indexed="64"/>
          <bgColor indexed="65"/>
        </patternFill>
      </fill>
      <alignment horizontal="center" vertical="center" textRotation="0" wrapText="0" indent="0" justifyLastLine="0" shrinkToFit="0" readingOrder="0"/>
      <border>
        <right style="thin">
          <color rgb="FF000000"/>
        </right>
      </border>
    </dxf>
    <dxf>
      <font>
        <b val="0"/>
        <i val="0"/>
        <strike val="0"/>
        <condense val="0"/>
        <extend val="0"/>
        <outline val="0"/>
        <shadow val="0"/>
        <u val="none"/>
        <vertAlign val="baseline"/>
        <sz val="12"/>
        <color theme="1"/>
        <name val="Aptos Narrow"/>
        <family val="2"/>
        <scheme val="minor"/>
      </font>
      <numFmt numFmtId="165" formatCode="0.00;\-0.00;;@"/>
      <fill>
        <patternFill patternType="none">
          <fgColor indexed="64"/>
          <bgColor indexed="65"/>
        </patternFill>
      </fill>
      <alignment horizontal="center"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ptos Narrow"/>
        <family val="2"/>
        <scheme val="minor"/>
      </font>
      <numFmt numFmtId="1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ptos Narrow"/>
        <family val="2"/>
        <scheme val="minor"/>
      </font>
      <numFmt numFmtId="165" formatCode="0.00;\-0.00;;@"/>
      <alignment horizontal="center" vertical="center" textRotation="0" wrapText="0" indent="0" justifyLastLine="0" shrinkToFit="0" readingOrder="0"/>
    </dxf>
    <dxf>
      <font>
        <b val="0"/>
        <i val="0"/>
        <strike val="0"/>
        <condense val="0"/>
        <extend val="0"/>
        <outline val="0"/>
        <shadow val="0"/>
        <u val="none"/>
        <vertAlign val="baseline"/>
        <sz val="12"/>
        <color theme="1"/>
        <name val="Aptos Narrow"/>
        <family val="2"/>
        <scheme val="minor"/>
      </font>
      <numFmt numFmtId="165" formatCode="0.00;\-0.00;;@"/>
      <alignment horizontal="center" vertical="center" textRotation="0" wrapText="0" indent="0" justifyLastLine="0" shrinkToFit="0" readingOrder="0"/>
    </dxf>
    <dxf>
      <font>
        <b val="0"/>
        <i val="0"/>
        <strike val="0"/>
        <condense val="0"/>
        <extend val="0"/>
        <outline val="0"/>
        <shadow val="0"/>
        <u val="none"/>
        <vertAlign val="baseline"/>
        <sz val="12"/>
        <color theme="1"/>
        <name val="Aptos Narrow"/>
        <family val="2"/>
        <scheme val="minor"/>
      </font>
      <numFmt numFmtId="165" formatCode="0.00;\-0.00;;@"/>
      <alignment horizontal="center"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ptos Narrow"/>
        <family val="2"/>
        <scheme val="minor"/>
      </font>
      <numFmt numFmtId="165" formatCode="0.00;\-0.00;;@"/>
      <alignment horizontal="center" vertical="center"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numFmt numFmtId="2" formatCode="0.00"/>
      <alignment horizontal="center"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numFmt numFmtId="2" formatCode="0.00"/>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numFmt numFmtId="2" formatCode="0.00"/>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numFmt numFmtId="2" formatCode="0.00"/>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numFmt numFmtId="13" formatCode="0%"/>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numFmt numFmtId="0" formatCode="General"/>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numFmt numFmtId="164" formatCode="hh:mm"/>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numFmt numFmtId="164" formatCode="hh:mm"/>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numFmt numFmtId="19" formatCode="m/d/yyyy"/>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rgb="FF000000"/>
        <name val="Aptos Narrow"/>
        <family val="2"/>
        <scheme val="none"/>
      </font>
      <alignment horizontal="center" vertical="center" textRotation="0" wrapText="0" indent="0" justifyLastLine="0" shrinkToFit="0" readingOrder="0"/>
      <protection locked="0" hidden="0"/>
    </dxf>
    <dxf>
      <font>
        <b/>
        <i/>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numFmt numFmtId="25" formatCode="h:mm"/>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numFmt numFmtId="2" formatCode="0.00"/>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numFmt numFmtId="165" formatCode="0.00;\-0.00;;@"/>
      <fill>
        <patternFill patternType="none">
          <fgColor indexed="64"/>
          <bgColor indexed="65"/>
        </patternFill>
      </fill>
      <alignment horizontal="center" vertical="center" textRotation="0" wrapText="0" indent="0" justifyLastLine="0" shrinkToFit="0" readingOrder="0"/>
      <border>
        <right style="thin">
          <color rgb="FF000000"/>
        </right>
      </border>
    </dxf>
    <dxf>
      <font>
        <b val="0"/>
        <i val="0"/>
        <strike val="0"/>
        <condense val="0"/>
        <extend val="0"/>
        <outline val="0"/>
        <shadow val="0"/>
        <u val="none"/>
        <vertAlign val="baseline"/>
        <sz val="12"/>
        <color theme="1"/>
        <name val="Aptos Narrow"/>
        <family val="2"/>
        <scheme val="minor"/>
      </font>
      <numFmt numFmtId="165" formatCode="0.00;\-0.00;;@"/>
      <fill>
        <patternFill patternType="none">
          <fgColor indexed="64"/>
          <bgColor indexed="65"/>
        </patternFill>
      </fill>
      <alignment horizontal="center"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ptos Narrow"/>
        <family val="2"/>
        <scheme val="minor"/>
      </font>
      <numFmt numFmtId="1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ptos Narrow"/>
        <family val="2"/>
        <scheme val="minor"/>
      </font>
      <numFmt numFmtId="165" formatCode="0.00;\-0.00;;@"/>
      <alignment horizontal="center" vertical="center" textRotation="0" wrapText="0" indent="0" justifyLastLine="0" shrinkToFit="0" readingOrder="0"/>
    </dxf>
    <dxf>
      <font>
        <b val="0"/>
        <i val="0"/>
        <strike val="0"/>
        <condense val="0"/>
        <extend val="0"/>
        <outline val="0"/>
        <shadow val="0"/>
        <u val="none"/>
        <vertAlign val="baseline"/>
        <sz val="12"/>
        <color theme="1"/>
        <name val="Aptos Narrow"/>
        <family val="2"/>
        <scheme val="minor"/>
      </font>
      <numFmt numFmtId="165" formatCode="0.00;\-0.00;;@"/>
      <alignment horizontal="center" vertical="center" textRotation="0" wrapText="0" indent="0" justifyLastLine="0" shrinkToFit="0" readingOrder="0"/>
    </dxf>
    <dxf>
      <font>
        <b val="0"/>
        <i val="0"/>
        <strike val="0"/>
        <condense val="0"/>
        <extend val="0"/>
        <outline val="0"/>
        <shadow val="0"/>
        <u val="none"/>
        <vertAlign val="baseline"/>
        <sz val="12"/>
        <color theme="1"/>
        <name val="Aptos Narrow"/>
        <family val="2"/>
        <scheme val="minor"/>
      </font>
      <numFmt numFmtId="165" formatCode="0.00;\-0.00;;@"/>
      <alignment horizontal="center"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ptos Narrow"/>
        <family val="2"/>
        <scheme val="minor"/>
      </font>
      <numFmt numFmtId="165" formatCode="0.00;\-0.00;;@"/>
      <alignment horizontal="center" vertical="center"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numFmt numFmtId="2" formatCode="0.00"/>
      <alignment horizontal="center"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numFmt numFmtId="0" formatCode="General"/>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numFmt numFmtId="2" formatCode="0.00"/>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numFmt numFmtId="2" formatCode="0.00"/>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numFmt numFmtId="2" formatCode="0.00"/>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numFmt numFmtId="13" formatCode="0%"/>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numFmt numFmtId="0" formatCode="General"/>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numFmt numFmtId="164" formatCode="hh:mm"/>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numFmt numFmtId="164" formatCode="hh:mm"/>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ptos Narrow"/>
        <family val="2"/>
        <scheme val="minor"/>
      </font>
      <numFmt numFmtId="19" formatCode="m/d/yyyy"/>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rgb="FF000000"/>
        <name val="Aptos Narrow"/>
        <family val="2"/>
        <scheme val="none"/>
      </font>
      <alignment horizontal="center" vertical="center" textRotation="0" wrapText="0" indent="0" justifyLastLine="0" shrinkToFit="0" readingOrder="0"/>
      <protection locked="0" hidden="0"/>
    </dxf>
    <dxf>
      <font>
        <b/>
        <i/>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3"/>
        <color rgb="FF000000"/>
        <name val="Aptos Narrow"/>
        <family val="2"/>
        <scheme val="none"/>
      </font>
      <alignment horizontal="center" vertical="center" textRotation="0" wrapText="0" indent="0" justifyLastLine="0" shrinkToFit="0" readingOrder="0"/>
      <protection locked="0" hidden="0"/>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3"/>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bottom/>
        <vertical/>
        <horizontal/>
      </border>
    </dxf>
    <dxf>
      <font>
        <strike val="0"/>
        <outline val="0"/>
        <shadow val="0"/>
        <u val="none"/>
        <vertAlign val="baseline"/>
        <sz val="13"/>
        <color theme="1"/>
        <name val="Aptos Narrow"/>
        <family val="2"/>
        <scheme val="minor"/>
      </font>
      <numFmt numFmtId="165" formatCode="0.00;\-0.00;;@"/>
      <alignment horizontal="center" vertical="center" textRotation="0" wrapText="0" indent="0" justifyLastLine="0" shrinkToFit="0" readingOrder="0"/>
    </dxf>
    <dxf>
      <font>
        <strike val="0"/>
        <outline val="0"/>
        <shadow val="0"/>
        <u val="none"/>
        <vertAlign val="baseline"/>
        <sz val="13"/>
        <color theme="1"/>
        <name val="Aptos Narrow"/>
        <family val="2"/>
        <scheme val="minor"/>
      </font>
      <numFmt numFmtId="165" formatCode="0.00;\-0.00;;@"/>
      <alignment horizontal="center" vertical="center" textRotation="0" wrapText="0" indent="0" justifyLastLine="0" shrinkToFit="0" readingOrder="0"/>
    </dxf>
    <dxf>
      <font>
        <strike val="0"/>
        <outline val="0"/>
        <shadow val="0"/>
        <u val="none"/>
        <vertAlign val="baseline"/>
        <sz val="13"/>
        <color theme="1"/>
        <name val="Aptos Narrow"/>
        <family val="2"/>
        <scheme val="minor"/>
      </font>
      <numFmt numFmtId="2" formatCode="0.00"/>
      <fill>
        <patternFill patternType="solid">
          <fgColor indexed="64"/>
          <bgColor theme="5" tint="0.79998168889431442"/>
        </patternFill>
      </fill>
      <alignment horizontal="center" vertical="center" textRotation="0" wrapText="0" indent="0" justifyLastLine="0" shrinkToFit="0" readingOrder="0"/>
      <border diagonalUp="0" diagonalDown="0">
        <left/>
        <right style="thin">
          <color indexed="64"/>
        </right>
        <top/>
        <bottom/>
      </border>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numFmt numFmtId="2" formatCode="0.00"/>
      <fill>
        <patternFill patternType="solid">
          <fgColor indexed="64"/>
          <bgColor theme="5"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3"/>
        <color theme="1"/>
        <name val="Aptos Narrow"/>
        <family val="2"/>
        <scheme val="minor"/>
      </font>
      <numFmt numFmtId="2"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3"/>
        <color theme="1"/>
        <name val="Aptos Narrow"/>
        <family val="2"/>
        <scheme val="minor"/>
      </font>
      <numFmt numFmtId="2" formatCode="0.00"/>
      <fill>
        <patternFill patternType="solid">
          <fgColor indexed="64"/>
          <bgColor theme="9" tint="0.79998168889431442"/>
        </patternFill>
      </fill>
      <alignment horizontal="center" vertical="center" textRotation="0" wrapText="0" indent="0" justifyLastLine="0" shrinkToFit="0" readingOrder="0"/>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alignment horizontal="center" vertical="center" textRotation="0" wrapText="0" indent="0" justifyLastLine="0" shrinkToFit="0" readingOrder="0"/>
      <border diagonalUp="0" diagonalDown="0" outline="0">
        <left style="thin">
          <color indexed="64"/>
        </left>
        <right/>
        <top/>
        <bottom/>
      </border>
      <protection locked="0" hidden="0"/>
    </dxf>
    <dxf>
      <font>
        <b val="0"/>
        <i val="0"/>
        <strike val="0"/>
        <condense val="0"/>
        <extend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3"/>
        <color theme="1"/>
        <name val="Aptos Narrow"/>
        <family val="2"/>
        <scheme val="minor"/>
      </font>
      <numFmt numFmtId="0" formatCode="General"/>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numFmt numFmtId="164" formatCode="hh:mm"/>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numFmt numFmtId="164" formatCode="hh:mm"/>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alignment horizontal="center" vertical="center" textRotation="0" wrapText="0" indent="0" justifyLastLine="0" shrinkToFit="0" readingOrder="0"/>
      <protection locked="0" hidden="0"/>
    </dxf>
    <dxf>
      <font>
        <strike val="0"/>
        <outline val="0"/>
        <shadow val="0"/>
        <u val="none"/>
        <vertAlign val="baseline"/>
        <sz val="13"/>
        <color theme="1"/>
        <name val="Aptos Narrow"/>
        <family val="2"/>
        <scheme val="minor"/>
      </font>
      <numFmt numFmtId="19" formatCode="m/d/yyyy"/>
      <alignment horizontal="center" vertical="center" textRotation="0" wrapText="0" indent="0" justifyLastLine="0" shrinkToFit="0" readingOrder="0"/>
      <protection locked="0" hidden="0"/>
    </dxf>
    <dxf>
      <border outline="0">
        <right style="thin">
          <color rgb="FF000000"/>
        </right>
      </border>
    </dxf>
    <dxf>
      <font>
        <strike val="0"/>
        <outline val="0"/>
        <shadow val="0"/>
        <u val="none"/>
        <vertAlign val="baseline"/>
        <sz val="13"/>
        <color rgb="FF000000"/>
        <name val="Aptos Narrow"/>
        <family val="2"/>
        <scheme val="none"/>
      </font>
      <alignment horizontal="center" vertical="center" textRotation="0" wrapText="0" indent="0" justifyLastLine="0" shrinkToFit="0" readingOrder="0"/>
    </dxf>
  </dxfs>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5F653DB-E82D-41AD-8F65-42C1C535070F}" name="tbl_TubeLaser" displayName="tbl_TubeLaser" ref="A2:AF250" totalsRowShown="0" headerRowDxfId="466" dataDxfId="465">
  <autoFilter ref="A2:AF250" xr:uid="{BE665248-97B7-40DF-A35A-7F20684C1C9C}"/>
  <tableColumns count="32">
    <tableColumn id="1" xr3:uid="{F681745C-B0A9-4673-AAD2-497614756E82}" name="Date" dataDxfId="464"/>
    <tableColumn id="2" xr3:uid="{3A574DA1-EB6D-4EC4-83F7-0FF4C588DCB7}" name="Job#" dataDxfId="463"/>
    <tableColumn id="25" xr3:uid="{ED38915B-D6B6-4F5D-9C14-D43B9BEA50CA}" name="Job Type" dataDxfId="462">
      <calculatedColumnFormula>IF(tbl_TubeLaser[[#This Row],[Part'#]]="", "Batch", "Part")</calculatedColumnFormula>
    </tableColumn>
    <tableColumn id="3" xr3:uid="{6BAADCE8-4C47-46EF-AFEB-DC1A89B9A8FC}" name="Part#" dataDxfId="461"/>
    <tableColumn id="4" xr3:uid="{C52486D2-312E-45C1-B9D7-8FBA3201205D}" name="Start Time" dataDxfId="460"/>
    <tableColumn id="5" xr3:uid="{0302533A-F1A3-4F7B-BEF0-A0EDA8406644}" name="End Time" dataDxfId="459"/>
    <tableColumn id="27" xr3:uid="{DC89B7FC-4B50-42EB-AE77-F8E6684CD135}" name="Qty Required" dataDxfId="458"/>
    <tableColumn id="6" xr3:uid="{A908A1AE-AFF6-4E60-95CC-E101DDA01F3E}" name="Qty Complete" dataDxfId="457"/>
    <tableColumn id="30" xr3:uid="{B0BC4AAE-678F-4000-82FE-98BB06129372}" name="% Complete" dataDxfId="456" dataCellStyle="Percent">
      <calculatedColumnFormula>tbl_TubeLaser[[#This Row],[Qty Complete]]/tbl_TubeLaser[[#This Row],[Qty Required]]</calculatedColumnFormula>
    </tableColumn>
    <tableColumn id="7" xr3:uid="{C01FA385-EB7F-4153-AF92-F29ACE00F855}" name="PPH" dataDxfId="455"/>
    <tableColumn id="8" xr3:uid="{49FBD5F1-3551-4779-AD0C-85ECD8E6C4B9}" name="# of men" dataDxfId="454"/>
    <tableColumn id="9" xr3:uid="{6503E2DF-3FC0-443B-82FB-3A890649F879}" name="Total hours" dataDxfId="453">
      <calculatedColumnFormula>IF(tbl_TubeLaser[[#This Row],[Job Type]]="Batch",0,tbl_TubeLaser[[#This Row],[Qty Required]]/tbl_TubeLaser[[#This Row],[PPH]]*tbl_TubeLaser[[#This Row],['# of men]])</calculatedColumnFormula>
    </tableColumn>
    <tableColumn id="29" xr3:uid="{636FD03A-3E19-452F-BD01-3B471F1DF481}" name="Adj. Total Hours" dataDxfId="452">
      <calculatedColumnFormula>IF(tbl_TubeLaser[[#This Row],[Job Type]]="Batch",tbl_TubeLaser[[#This Row],[Batch Hours]]*tbl_TubeLaser[[#This Row],[% Complete]],tbl_TubeLaser[[#This Row],[Total hours]]*tbl_TubeLaser[[#This Row],[% Complete]])</calculatedColumnFormula>
    </tableColumn>
    <tableColumn id="26" xr3:uid="{E23E6F92-A4FB-48DA-B07C-82469FB5BBFE}" name="Batch Hours" dataDxfId="451"/>
    <tableColumn id="10" xr3:uid="{C50D5CAA-EA2D-4DDF-AACB-02CDC4ACFA9F}" name="Material ID" dataDxfId="450"/>
    <tableColumn id="28" xr3:uid="{962AEC8D-2C5A-428A-8E58-F51486E59517}" name="Adj. Mat. Qty" dataDxfId="449">
      <calculatedColumnFormula>tbl_TubeLaser[[#This Row],[Mat. Qty]]*tbl_TubeLaser[[#This Row],[% Complete]]</calculatedColumnFormula>
    </tableColumn>
    <tableColumn id="11" xr3:uid="{69227879-7335-435E-A83A-168C41A25319}" name="Mat. Qty" dataDxfId="448"/>
    <tableColumn id="12" xr3:uid="{3A3E65EF-3506-4BE9-B5B6-7A1D2AD756CC}" name="PPH Act" dataDxfId="447">
      <calculatedColumnFormula>IFERROR(tbl_TubeLaser[[#This Row],[Qty Complete]]/tbl_TubeLaser[[#This Row],[Total Hours Act]]*tbl_TubeLaser[[#This Row],['# of men Act]],"")</calculatedColumnFormula>
    </tableColumn>
    <tableColumn id="13" xr3:uid="{C46C9284-231D-4D6B-91E0-35693C81B5D5}" name="# of men Act" dataDxfId="446"/>
    <tableColumn id="14" xr3:uid="{81953D0B-3C84-480A-A13D-660A7AA9604B}" name="Total Hours Act" dataDxfId="445">
      <calculatedColumnFormula>(MOD(tbl_TubeLaser[[#This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calculatedColumnFormula>
    </tableColumn>
    <tableColumn id="15" xr3:uid="{681213CF-55E4-4CDB-96F9-38F921240DAE}" name="Act. Mat. Qty" dataDxfId="444"/>
    <tableColumn id="16" xr3:uid="{DC45493F-CEAF-4A4A-96FA-F016EF2A2282}" name="Est. Hours" dataDxfId="443"/>
    <tableColumn id="17" xr3:uid="{128B2CDC-5659-41F0-852F-A2FB440EDACA}" name="Act. Hours" dataDxfId="442"/>
    <tableColumn id="18" xr3:uid="{E1EFE13D-724F-4483-9563-0C0CD0D386F3}" name="Efficiency" dataDxfId="441" dataCellStyle="Percent">
      <calculatedColumnFormula>IFERROR((tbl_TubeLaser[[#This Row],[Adj. Total Hours]]+tbl_TubeLaser[[#This Row],[Est. Hours]])/(tbl_TubeLaser[[#This Row],[Total Hours Act]]+tbl_TubeLaser[[#This Row],[Act. Hours]]),"")</calculatedColumnFormula>
    </tableColumn>
    <tableColumn id="31" xr3:uid="{95360342-32F3-43C7-92C4-50CDE555815A}" name="Job Efficiency" dataDxfId="440" dataCellStyle="Percent">
      <calculatedColumnFormula>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calculatedColumnFormula>
    </tableColumn>
    <tableColumn id="19" xr3:uid="{9C28D711-A917-4975-82EB-6081FBB7D798}" name="Mat. Over/Under" dataDxfId="439" dataCellStyle="Percent">
      <calculatedColumnFormula>IFERROR(tbl_TubeLaser[[#This Row],[Act. Mat. Qty]]-tbl_TubeLaser[[#This Row],[Adj. Mat. Qty]],"")</calculatedColumnFormula>
    </tableColumn>
    <tableColumn id="32" xr3:uid="{799E3042-D93D-4055-A5B6-A2C1E0E6CC64}" name="Total Job Mat O/U" dataDxfId="438" dataCellStyle="Percent">
      <calculatedColumnFormula>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calculatedColumnFormula>
    </tableColumn>
    <tableColumn id="20" xr3:uid="{8595D915-F3DF-495D-AAEE-77801AFF0C19}" name="Notes" dataDxfId="437"/>
    <tableColumn id="21" xr3:uid="{13E3E782-9A73-461B-A6B2-639D64CBFC8E}" name="Employee 1" dataDxfId="436"/>
    <tableColumn id="22" xr3:uid="{F4F51810-369A-462D-8DA6-61E5D6248044}" name="Employee 2" dataDxfId="435"/>
    <tableColumn id="23" xr3:uid="{27A562BD-5AC4-42CA-970F-EE657CB7A9E2}" name="Employee 3" dataDxfId="434"/>
    <tableColumn id="24" xr3:uid="{1E3D6E17-9B07-4E5F-8AFC-EF76F87E7BDB}" name="Employee 4" dataDxfId="43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E49E76C-055F-4D0B-98AE-16052FC35848}" name="tbl_FlatLaser" displayName="tbl_FlatLaser" ref="A2:AF250" totalsRowShown="0" headerRowDxfId="432" dataDxfId="431">
  <autoFilter ref="A2:AF250" xr:uid="{BE665248-97B7-40DF-A35A-7F20684C1C9C}"/>
  <tableColumns count="32">
    <tableColumn id="1" xr3:uid="{05A77E74-E215-4CE8-B1A0-50DCA4F9C517}" name="Date" dataDxfId="430"/>
    <tableColumn id="2" xr3:uid="{6C0ED416-7D39-424D-9F05-72C08A3279FE}" name="Job#" dataDxfId="429"/>
    <tableColumn id="25" xr3:uid="{D77D88EC-D3B7-426D-BB24-69310600E67C}" name="Job Type" dataDxfId="428">
      <calculatedColumnFormula>IF(tbl_FlatLaser[[#This Row],[Part'#]]="", "Batch", "Part")</calculatedColumnFormula>
    </tableColumn>
    <tableColumn id="3" xr3:uid="{C6476301-B508-46C2-9927-066705065DC9}" name="Part#" dataDxfId="427"/>
    <tableColumn id="4" xr3:uid="{0E283C51-4586-4792-9923-02741805A0FB}" name="Start Time" dataDxfId="426"/>
    <tableColumn id="5" xr3:uid="{E0220C01-4DEA-4011-B18D-7F89A27013FF}" name="End Time" dataDxfId="425"/>
    <tableColumn id="27" xr3:uid="{4CD36E37-B384-4139-A5D9-BD4226E783BE}" name="Qty Required" dataDxfId="424"/>
    <tableColumn id="6" xr3:uid="{67F34993-3596-4473-9E76-C1D8F616CA15}" name="Qty Complete" dataDxfId="423"/>
    <tableColumn id="30" xr3:uid="{0C4E04F8-18DB-4658-868E-F5B47F1189E9}" name="% Complete" dataDxfId="422" dataCellStyle="Percent">
      <calculatedColumnFormula>tbl_FlatLaser[[#This Row],[Qty Complete]]/tbl_FlatLaser[[#This Row],[Qty Required]]</calculatedColumnFormula>
    </tableColumn>
    <tableColumn id="7" xr3:uid="{6DB1CC27-F28E-4A4C-A900-86EEAC48116C}" name="PPH" dataDxfId="421"/>
    <tableColumn id="8" xr3:uid="{7860A207-00AA-4DFE-8781-71F24C4051E4}" name="# of men" dataDxfId="420"/>
    <tableColumn id="9" xr3:uid="{C7C959ED-F212-47E2-A130-1EB4FA908244}" name="Total hours" dataDxfId="419">
      <calculatedColumnFormula>IF(tbl_FlatLaser[[#This Row],[Job Type]]="Batch",0,tbl_FlatLaser[[#This Row],[Qty Required]]/tbl_FlatLaser[[#This Row],[PPH]]*tbl_FlatLaser[[#This Row],['# of men]])</calculatedColumnFormula>
    </tableColumn>
    <tableColumn id="29" xr3:uid="{74E48FDE-DFB0-486B-9C32-BA41C5A29AF7}" name="Adj. Total Hours" dataDxfId="418">
      <calculatedColumnFormula>IF(tbl_FlatLaser[[#This Row],[Job Type]]="Batch",tbl_FlatLaser[[#This Row],[Batch Hours]]*tbl_FlatLaser[[#This Row],[% Complete]],tbl_FlatLaser[[#This Row],[Total hours]]*tbl_FlatLaser[[#This Row],[% Complete]])</calculatedColumnFormula>
    </tableColumn>
    <tableColumn id="26" xr3:uid="{43533B5D-4804-40A0-A8D2-60342C0767DD}" name="Batch Hours" dataDxfId="417"/>
    <tableColumn id="10" xr3:uid="{E6682210-9CC9-4DBD-8C69-87C718FA17BA}" name="Material ID" dataDxfId="416"/>
    <tableColumn id="28" xr3:uid="{EF36AFE5-7F56-41D2-94F9-4AF1D673CE6B}" name="Adj. Mat. Qty" dataDxfId="415">
      <calculatedColumnFormula>tbl_FlatLaser[[#This Row],[Mat. Qty]]*tbl_FlatLaser[[#This Row],[% Complete]]</calculatedColumnFormula>
    </tableColumn>
    <tableColumn id="11" xr3:uid="{F1808B54-42C3-474C-A110-97DFB720602C}" name="Mat. Qty" dataDxfId="414"/>
    <tableColumn id="12" xr3:uid="{58EF434F-DDEA-484D-8B18-4D56F9A3C7B2}" name="PPH Act" dataDxfId="413">
      <calculatedColumnFormula>IFERROR(tbl_FlatLaser[[#This Row],[Qty Complete]]/tbl_FlatLaser[[#This Row],[Total Hours Act]]*tbl_FlatLaser[[#This Row],['# of men Act]],"")</calculatedColumnFormula>
    </tableColumn>
    <tableColumn id="13" xr3:uid="{787961F9-5619-4FC9-85AC-960667943882}" name="# of men Act" dataDxfId="412"/>
    <tableColumn id="14" xr3:uid="{A5D5191F-FC09-4C74-8A5F-027867F2BF5C}" name="Total Hours Act" dataDxfId="411">
      <calculatedColumnFormula>(MOD(tbl_FlatLaser[[#This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calculatedColumnFormula>
    </tableColumn>
    <tableColumn id="15" xr3:uid="{586DCD2E-AADD-494E-83FF-EF1D0928B86F}" name="Act. Mat. Qty" dataDxfId="410"/>
    <tableColumn id="16" xr3:uid="{B54F814C-88D5-4703-AD35-0B906C8E0F5D}" name="Est. Hours" dataDxfId="409"/>
    <tableColumn id="17" xr3:uid="{4108ED36-B5BE-410F-AE65-75A183A3A382}" name="Act. Hours" dataDxfId="408"/>
    <tableColumn id="18" xr3:uid="{86198B22-804F-463B-B75A-C27D024DA3E8}" name="Efficiency" dataDxfId="407" dataCellStyle="Percent">
      <calculatedColumnFormula>IFERROR((tbl_FlatLaser[[#This Row],[Adj. Total Hours]]+tbl_FlatLaser[[#This Row],[Est. Hours]])/(tbl_FlatLaser[[#This Row],[Total Hours Act]]+tbl_FlatLaser[[#This Row],[Act. Hours]]),"")</calculatedColumnFormula>
    </tableColumn>
    <tableColumn id="31" xr3:uid="{FD33169C-25AA-4B25-968A-CE821B96B412}" name="Job Efficiency" dataDxfId="406" dataCellStyle="Percent">
      <calculatedColumnFormula>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calculatedColumnFormula>
    </tableColumn>
    <tableColumn id="19" xr3:uid="{9FCC9B1E-1A7F-4164-B88B-48BC3D72EC31}" name="Mat. Over/Under" dataDxfId="405" dataCellStyle="Percent">
      <calculatedColumnFormula>IFERROR(tbl_FlatLaser[[#This Row],[Act. Mat. Qty]]-tbl_FlatLaser[[#This Row],[Adj. Mat. Qty]],"")</calculatedColumnFormula>
    </tableColumn>
    <tableColumn id="32" xr3:uid="{0A2506A1-5861-4A66-A4C3-C1735F385A76}" name="Total Job Mat O/U" dataDxfId="404" dataCellStyle="Percent">
      <calculatedColumnFormula>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calculatedColumnFormula>
    </tableColumn>
    <tableColumn id="20" xr3:uid="{11F7814C-2BCA-4830-A628-952C5A7D30ED}" name="Notes" dataDxfId="403"/>
    <tableColumn id="21" xr3:uid="{C5A788C4-91F6-4B9F-9966-CC1D94E370D4}" name="Employee 1" dataDxfId="402"/>
    <tableColumn id="22" xr3:uid="{465C3A8B-106C-4497-988C-7E21945463A7}" name="Employee 2" dataDxfId="401"/>
    <tableColumn id="23" xr3:uid="{DA9E0344-6400-4870-9448-A323D2EB5E4E}" name="Employee 3" dataDxfId="400"/>
    <tableColumn id="24" xr3:uid="{D75EDF0F-C7D3-4EFD-ABC9-A6AFDE4A6614}" name="Employee 4" dataDxfId="399"/>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FABCF0F-8E46-43C4-9463-304FBEA56810}" name="tbl_Punch" displayName="tbl_Punch" ref="A2:AF250" totalsRowShown="0" headerRowDxfId="398" dataDxfId="397">
  <autoFilter ref="A2:AF250" xr:uid="{BE665248-97B7-40DF-A35A-7F20684C1C9C}"/>
  <tableColumns count="32">
    <tableColumn id="1" xr3:uid="{A265DABC-DE29-420F-9436-1D56A041C1B0}" name="Date" dataDxfId="396"/>
    <tableColumn id="2" xr3:uid="{61D7D7DA-C214-496E-88BE-EC0F87398075}" name="Job#" dataDxfId="395"/>
    <tableColumn id="25" xr3:uid="{BF359FF6-CF42-48C9-864E-9CF0F3D961BF}" name="Job Type" dataDxfId="394">
      <calculatedColumnFormula>IF(tbl_Punch[[#This Row],[Part'#]]="", "Batch", "Part")</calculatedColumnFormula>
    </tableColumn>
    <tableColumn id="3" xr3:uid="{09FC7001-A41D-4F79-8502-9B3EC8BD4800}" name="Part#" dataDxfId="393"/>
    <tableColumn id="4" xr3:uid="{93265525-C392-4DDA-82F5-E1EF8D3BDF12}" name="Start Time" dataDxfId="392"/>
    <tableColumn id="5" xr3:uid="{CA673F30-BE22-4DC1-866C-A3EA84BCE2AD}" name="End Time" dataDxfId="391"/>
    <tableColumn id="27" xr3:uid="{C8E931BB-0AA6-420D-B379-27C38693D11E}" name="Qty Required" dataDxfId="390"/>
    <tableColumn id="6" xr3:uid="{E1742AF4-1F4F-4310-8EFC-2DDF72210BD6}" name="Qty Complete" dataDxfId="389"/>
    <tableColumn id="30" xr3:uid="{224C1104-EB13-4C27-A573-B08BB7A6F910}" name="% Complete" dataDxfId="388" dataCellStyle="Percent">
      <calculatedColumnFormula>tbl_Punch[[#This Row],[Qty Complete]]/tbl_Punch[[#This Row],[Qty Required]]</calculatedColumnFormula>
    </tableColumn>
    <tableColumn id="7" xr3:uid="{D06AE56B-9FED-4559-9874-53D30C478B61}" name="PPH" dataDxfId="387"/>
    <tableColumn id="8" xr3:uid="{2F256445-9418-4CD4-BA1C-E9CB53A81AD3}" name="# of men" dataDxfId="386"/>
    <tableColumn id="9" xr3:uid="{AAB20F2A-40D4-40A2-8313-4BA2ED72051D}" name="Total hours" dataDxfId="385">
      <calculatedColumnFormula>IF(tbl_Punch[[#This Row],[Job Type]]="Batch",0,tbl_Punch[[#This Row],[Qty Required]]/tbl_Punch[[#This Row],[PPH]]*tbl_Punch[[#This Row],['# of men]])</calculatedColumnFormula>
    </tableColumn>
    <tableColumn id="29" xr3:uid="{BF9C623D-3BC7-4F10-B27F-535C586DF148}" name="Adj. Total Hours" dataDxfId="384">
      <calculatedColumnFormula>IF(tbl_Punch[[#This Row],[Job Type]]="Batch",tbl_Punch[[#This Row],[Batch Hours]]*tbl_Punch[[#This Row],[% Complete]],tbl_Punch[[#This Row],[Total hours]]*tbl_Punch[[#This Row],[% Complete]])</calculatedColumnFormula>
    </tableColumn>
    <tableColumn id="26" xr3:uid="{5A4BE232-758A-4C2F-A8AB-FA62D1AE4B2B}" name="Batch Hours" dataDxfId="383"/>
    <tableColumn id="10" xr3:uid="{F3F96651-68E7-4B51-83B3-A6CF86458009}" name="Material ID" dataDxfId="382"/>
    <tableColumn id="28" xr3:uid="{D6897C3C-A00A-4975-9655-8371943A972D}" name="Adj. Mat. Qty" dataDxfId="381">
      <calculatedColumnFormula>tbl_Punch[[#This Row],[Mat. Qty]]*tbl_Punch[[#This Row],[% Complete]]</calculatedColumnFormula>
    </tableColumn>
    <tableColumn id="11" xr3:uid="{8D2D481D-F494-44F1-83C5-EBA626D4D8EE}" name="Mat. Qty" dataDxfId="380"/>
    <tableColumn id="12" xr3:uid="{87392267-2812-4041-820C-582DCB09C4D6}" name="PPH Act" dataDxfId="379">
      <calculatedColumnFormula>IFERROR(tbl_Punch[[#This Row],[Qty Complete]]/tbl_Punch[[#This Row],[Total Hours Act]]*tbl_Punch[[#This Row],['# of men Act]],"")</calculatedColumnFormula>
    </tableColumn>
    <tableColumn id="13" xr3:uid="{01F0507A-370C-435D-B45F-EA212B9E07C3}" name="# of men Act" dataDxfId="378"/>
    <tableColumn id="14" xr3:uid="{D7C19503-0D83-4206-9335-BE8F4CB43543}" name="Total Hours Act" dataDxfId="377">
      <calculatedColumnFormula>(MOD(tbl_Punch[[#This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calculatedColumnFormula>
    </tableColumn>
    <tableColumn id="15" xr3:uid="{70B5162D-7754-4E62-9703-4567E3FB6F9E}" name="Act. Mat. Qty" dataDxfId="376"/>
    <tableColumn id="16" xr3:uid="{F2A464FD-3475-41E1-9F87-6CD27D312BA0}" name="Est. Hours" dataDxfId="375"/>
    <tableColumn id="17" xr3:uid="{4372761C-3A91-446A-8ADE-BDCA89338AA2}" name="Act. Hours" dataDxfId="374"/>
    <tableColumn id="18" xr3:uid="{338747D4-DF88-4C54-BB5A-E993F00AA717}" name="Efficiency" dataDxfId="373" dataCellStyle="Percent">
      <calculatedColumnFormula>IFERROR((tbl_Punch[[#This Row],[Adj. Total Hours]]+tbl_Punch[[#This Row],[Est. Hours]])/(tbl_Punch[[#This Row],[Total Hours Act]]+tbl_Punch[[#This Row],[Act. Hours]]),"")</calculatedColumnFormula>
    </tableColumn>
    <tableColumn id="31" xr3:uid="{F0181865-84F8-4076-BEC4-E490746C6973}" name="Job Efficiency" dataDxfId="372" dataCellStyle="Percent">
      <calculatedColumnFormula>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calculatedColumnFormula>
    </tableColumn>
    <tableColumn id="19" xr3:uid="{9CE7F22E-8C98-4EB8-9564-A5E95334A19D}" name="Mat. Over/Under" dataDxfId="371" dataCellStyle="Percent">
      <calculatedColumnFormula>IFERROR(tbl_Punch[[#This Row],[Act. Mat. Qty]]-tbl_Punch[[#This Row],[Adj. Mat. Qty]],"")</calculatedColumnFormula>
    </tableColumn>
    <tableColumn id="32" xr3:uid="{F0EA2E9B-EF00-4827-9B7D-6499CC248360}" name="Total Job Mat O/U" dataDxfId="370" dataCellStyle="Percent">
      <calculatedColumnFormula>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calculatedColumnFormula>
    </tableColumn>
    <tableColumn id="20" xr3:uid="{45E4F5B1-E772-486E-BD4E-C886F1AAC2C1}" name="Notes" dataDxfId="369"/>
    <tableColumn id="21" xr3:uid="{8A3DB682-8F5E-4CDD-BA94-861B1A4A5DCB}" name="Employee 1" dataDxfId="368"/>
    <tableColumn id="22" xr3:uid="{88A0DC30-9C6F-4567-ABC3-F0B0845C4767}" name="Employee 2" dataDxfId="367"/>
    <tableColumn id="23" xr3:uid="{7DC16836-1C14-495B-B2E0-A0F52D467B88}" name="Employee 3" dataDxfId="366"/>
    <tableColumn id="24" xr3:uid="{7FE6024D-3D1E-4630-A0F1-D6712ADD9486}" name="Employee 4" dataDxfId="36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4A205A9-5E96-494A-BCD0-DD7AC2F71D18}" name="tbl_Level" displayName="tbl_Level" ref="A2:W250" totalsRowShown="0" dataDxfId="364" tableBorderDxfId="363">
  <autoFilter ref="A2:W250" xr:uid="{13CE2E03-113D-47B2-8238-8FE4136E6582}"/>
  <tableColumns count="23">
    <tableColumn id="1" xr3:uid="{EEAD4B52-DE00-4147-A446-65D117DFAF83}" name="Date" dataDxfId="362"/>
    <tableColumn id="2" xr3:uid="{96DEE576-93DE-40B0-92E1-D754302DE2D5}" name="Job#" dataDxfId="361"/>
    <tableColumn id="3" xr3:uid="{1A766B0F-93C9-4F01-B395-29D8E4E4B9F1}" name="Part#" dataDxfId="360"/>
    <tableColumn id="4" xr3:uid="{54D585EA-FC72-4BBE-974B-2F687FDEB4ED}" name="Start Time" dataDxfId="359"/>
    <tableColumn id="5" xr3:uid="{E165DBFF-8061-456B-A362-976C17D8C43E}" name="End Time" dataDxfId="358"/>
    <tableColumn id="21" xr3:uid="{1800C0FF-3041-4E8A-994F-1118B7319C99}" name="Qty Required" dataDxfId="357"/>
    <tableColumn id="6" xr3:uid="{603B2953-5C7D-4770-BC61-C9564CDB95A5}" name="Qty Complete" dataDxfId="356"/>
    <tableColumn id="22" xr3:uid="{7AF51D5B-A222-43E0-A302-D59C4BCAF14C}" name="% Complete" dataDxfId="355" dataCellStyle="Percent">
      <calculatedColumnFormula>tbl_Level[[#This Row],[Qty Complete]]/tbl_Level[[#This Row],[Qty Required]]</calculatedColumnFormula>
    </tableColumn>
    <tableColumn id="7" xr3:uid="{A9DB02DB-81F1-4140-88B1-9048EA531299}" name="PPH" dataDxfId="354"/>
    <tableColumn id="8" xr3:uid="{1277161B-D144-4AB2-9CA9-B4E7083CDC83}" name="# of men" dataDxfId="353"/>
    <tableColumn id="9" xr3:uid="{454D6A75-A5AC-41C0-8B5F-D7BBD9E0109F}" name="Total hours" dataDxfId="352">
      <calculatedColumnFormula>IFERROR(tbl_Level[[#This Row],[Qty Required]]/tbl_Level[[#This Row],[PPH]]*tbl_Level[[#This Row],['# of men]],"")</calculatedColumnFormula>
    </tableColumn>
    <tableColumn id="23" xr3:uid="{F50288AD-1591-45E5-833B-D939E6AF8CA5}" name="Adj. Total Hours" dataDxfId="351">
      <calculatedColumnFormula>tbl_Level[[#This Row],[Total hours]]*tbl_Level[[#This Row],[% Complete]]</calculatedColumnFormula>
    </tableColumn>
    <tableColumn id="10" xr3:uid="{B0D8290F-C27F-46B1-9920-DCFB11BB40AF}" name="PPH Act" dataDxfId="350">
      <calculatedColumnFormula>IFERROR(tbl_Level[[#This Row],[Qty Complete]]/tbl_Level[[#This Row],[Total Hours Act]]*tbl_Level[[#This Row],['# of men Act]],"")</calculatedColumnFormula>
    </tableColumn>
    <tableColumn id="11" xr3:uid="{1D63667C-30F9-4ABB-AF64-3DAA4F6842DC}" name="# of men Act" dataDxfId="349"/>
    <tableColumn id="12" xr3:uid="{012DFD0A-8900-4053-8E0C-09E3E94CEAE3}" name="Total Hours Act" dataDxfId="348">
      <calculatedColumnFormula>(MOD(tbl_Level[[#This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calculatedColumnFormula>
    </tableColumn>
    <tableColumn id="13" xr3:uid="{9434ACDB-D90C-4713-A9B1-A97FC6423FAE}" name="Est. Hours" dataDxfId="347"/>
    <tableColumn id="14" xr3:uid="{F25C2AD6-0AB6-4405-8C2F-B66A15A18502}" name="Act. Hours" dataDxfId="346"/>
    <tableColumn id="15" xr3:uid="{A0E61FDD-BE87-4367-9BEA-BCE286F7B4CB}" name="Efficiency" dataDxfId="345" dataCellStyle="Percent">
      <calculatedColumnFormula>IFERROR((tbl_Level[[#This Row],[Adj. Total Hours]]+tbl_Level[[#This Row],[Est. Hours]])/(tbl_Level[[#This Row],[Total Hours Act]]+tbl_Level[[#This Row],[Act. Hours]]),"")</calculatedColumnFormula>
    </tableColumn>
    <tableColumn id="16" xr3:uid="{7E275EAC-4E18-44ED-8FA2-46E433804D0D}" name="Notes" dataDxfId="344"/>
    <tableColumn id="17" xr3:uid="{C32068C8-1F39-4FD7-BE39-823917352026}" name="Employee 1" dataDxfId="343"/>
    <tableColumn id="18" xr3:uid="{6236DB1D-178E-4A15-9C6D-4B96503257CB}" name="Employee 2" dataDxfId="342"/>
    <tableColumn id="19" xr3:uid="{2EF2C131-9F38-4800-90BB-21608B245EBA}" name="Employee 3" dataDxfId="341"/>
    <tableColumn id="20" xr3:uid="{35D192A9-2A94-44B7-8D65-1A3F6BF329BB}" name="Employee 4" dataDxfId="340"/>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869E14-3C2B-492C-80AC-4BA9333296A4}" name="tbl_Finish" displayName="tbl_Finish" ref="A2:W250" totalsRowShown="0" dataDxfId="339" tableBorderDxfId="338">
  <autoFilter ref="A2:W250" xr:uid="{13CE2E03-113D-47B2-8238-8FE4136E6582}"/>
  <tableColumns count="23">
    <tableColumn id="1" xr3:uid="{8C1FBAF9-FAAC-48CF-94D5-97C750D7E108}" name="Date" dataDxfId="337"/>
    <tableColumn id="2" xr3:uid="{0C22C2B5-6D6C-4E32-AF89-D622AE85BD8C}" name="Job#" dataDxfId="336"/>
    <tableColumn id="3" xr3:uid="{8676DE8C-DD3C-4A50-ADD4-D3AAF299AA7F}" name="Part#" dataDxfId="335"/>
    <tableColumn id="4" xr3:uid="{78E9F049-1CBD-4308-B2D0-236380B13A8B}" name="Start Time" dataDxfId="334"/>
    <tableColumn id="5" xr3:uid="{BA7585EE-DAE5-47CF-8CC6-2F8A2BA8E3C1}" name="End Time" dataDxfId="333"/>
    <tableColumn id="21" xr3:uid="{820F416B-800F-4EC1-AA13-EAD4688D6E42}" name="Qty Required" dataDxfId="332"/>
    <tableColumn id="6" xr3:uid="{ABF6E344-667C-494A-A5B0-71BF76519F7F}" name="Qty Complete" dataDxfId="331"/>
    <tableColumn id="22" xr3:uid="{6CBF3F1A-48F0-40E9-9EAE-8F94292A516D}" name="% Complete" dataDxfId="330" dataCellStyle="Percent">
      <calculatedColumnFormula>tbl_Finish[[#This Row],[Qty Complete]]/tbl_Finish[[#This Row],[Qty Required]]</calculatedColumnFormula>
    </tableColumn>
    <tableColumn id="7" xr3:uid="{A3F33471-888A-464A-8858-C6C28621C33E}" name="PPH" dataDxfId="329"/>
    <tableColumn id="8" xr3:uid="{95AFEEEE-9535-4048-818E-ED2D2B20A04D}" name="# of men" dataDxfId="328"/>
    <tableColumn id="9" xr3:uid="{EA4C8621-BFD4-4AFE-BFA9-23116FF47461}" name="Total hours" dataDxfId="327">
      <calculatedColumnFormula>IFERROR(tbl_Finish[[#This Row],[Qty Required]]/tbl_Finish[[#This Row],[PPH]]*tbl_Finish[[#This Row],['# of men]],"")</calculatedColumnFormula>
    </tableColumn>
    <tableColumn id="23" xr3:uid="{F6AA0045-6637-465B-92AB-7BDE4E56D2A0}" name="Adj. Total Hours" dataDxfId="326">
      <calculatedColumnFormula>tbl_Finish[[#This Row],[Total hours]]*tbl_Finish[[#This Row],[% Complete]]</calculatedColumnFormula>
    </tableColumn>
    <tableColumn id="10" xr3:uid="{2B6D11B2-4B37-4DF5-B33D-0EC3ECA9BB66}" name="PPH Act" dataDxfId="325">
      <calculatedColumnFormula>IFERROR(tbl_Finish[[#This Row],[Qty Complete]]/tbl_Finish[[#This Row],[Total Hours Act]]*tbl_Finish[[#This Row],['# of men Act]],"")</calculatedColumnFormula>
    </tableColumn>
    <tableColumn id="11" xr3:uid="{0CC45730-0781-4348-BAA8-A8B26EFA489E}" name="# of men Act" dataDxfId="324"/>
    <tableColumn id="12" xr3:uid="{C2785A5D-1873-4D0D-8046-EBAD56C16640}" name="Total Hours Act" dataDxfId="323">
      <calculatedColumnFormula>(MOD(tbl_Finish[[#This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calculatedColumnFormula>
    </tableColumn>
    <tableColumn id="13" xr3:uid="{36E08FF8-D5EA-44D2-8CE2-2F2CB9B0B8E7}" name="Est. Hours" dataDxfId="322"/>
    <tableColumn id="14" xr3:uid="{45C02BB2-B414-4D7D-8A79-425A0C0EB9F4}" name="Act. Hours" dataDxfId="321"/>
    <tableColumn id="15" xr3:uid="{3831D9CF-E071-45B8-A885-4BF742F57B42}" name="Efficiency" dataDxfId="320" dataCellStyle="Percent">
      <calculatedColumnFormula>IFERROR((tbl_Finish[[#This Row],[Adj. Total Hours]]+tbl_Finish[[#This Row],[Est. Hours]])/(tbl_Finish[[#This Row],[Total Hours Act]]+tbl_Finish[[#This Row],[Act. Hours]]),"")</calculatedColumnFormula>
    </tableColumn>
    <tableColumn id="16" xr3:uid="{7273C496-C858-421A-BD35-4832CAE54DE5}" name="Notes" dataDxfId="319"/>
    <tableColumn id="17" xr3:uid="{B85C4D09-201D-4E5F-83D8-36311372B909}" name="Employee 1" dataDxfId="318"/>
    <tableColumn id="18" xr3:uid="{2BCF0CD4-3754-4D3F-8AE8-22F16AE24841}" name="Employee 2" dataDxfId="317"/>
    <tableColumn id="19" xr3:uid="{FBB4E726-DCC9-4CA0-89A6-C4EBCCA51137}" name="Employee 3" dataDxfId="316"/>
    <tableColumn id="20" xr3:uid="{86A02F8D-B106-4BD9-9D4C-E0668D637324}" name="Employee 4" dataDxfId="315"/>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45C592E-77A9-44DA-8E25-E79A1520CFD3}" name="tbl_PEM" displayName="tbl_PEM" ref="A2:W250" totalsRowShown="0" dataDxfId="314" tableBorderDxfId="313">
  <autoFilter ref="A2:W250" xr:uid="{13CE2E03-113D-47B2-8238-8FE4136E6582}"/>
  <tableColumns count="23">
    <tableColumn id="1" xr3:uid="{76D41D9E-F42D-4762-AFEC-7E1330825245}" name="Date" dataDxfId="312"/>
    <tableColumn id="2" xr3:uid="{BD65EB09-016D-4A40-A3F4-828BA7F1A1A0}" name="Job#" dataDxfId="311"/>
    <tableColumn id="3" xr3:uid="{0817067E-DB3E-4767-964F-46E9FBFB36E0}" name="Part#" dataDxfId="310"/>
    <tableColumn id="4" xr3:uid="{14A14D7A-F6F3-4952-B62D-65FF8103C1C8}" name="Start Time" dataDxfId="309"/>
    <tableColumn id="5" xr3:uid="{B750C7FD-0FBB-4F61-9EE8-D1F82133EB54}" name="End Time" dataDxfId="308"/>
    <tableColumn id="21" xr3:uid="{4FD6CE3E-3D01-4216-AD81-6D694090CADF}" name="Qty Required" dataDxfId="307"/>
    <tableColumn id="6" xr3:uid="{EEE115D6-BE61-491B-82F3-C164FCFCB734}" name="Qty Complete" dataDxfId="306"/>
    <tableColumn id="22" xr3:uid="{E150FA50-5088-4A57-A81A-5096D88CAB3D}" name="% Complete" dataDxfId="305" dataCellStyle="Percent">
      <calculatedColumnFormula>tbl_PEM[[#This Row],[Qty Complete]]/tbl_PEM[[#This Row],[Qty Required]]</calculatedColumnFormula>
    </tableColumn>
    <tableColumn id="7" xr3:uid="{B18B37B5-3CCE-4351-ADFA-40D231DADA4B}" name="PPH" dataDxfId="304"/>
    <tableColumn id="8" xr3:uid="{BE37E4B8-2C70-45C4-8382-B633428236F9}" name="# of men" dataDxfId="303"/>
    <tableColumn id="9" xr3:uid="{00F97F63-5D0D-4BDC-A237-46DEAB2BA51B}" name="Total hours" dataDxfId="302">
      <calculatedColumnFormula>IFERROR(tbl_PEM[[#This Row],[Qty Required]]/tbl_PEM[[#This Row],[PPH]]*tbl_PEM[[#This Row],['# of men]],"")</calculatedColumnFormula>
    </tableColumn>
    <tableColumn id="23" xr3:uid="{947038B5-3D53-4142-9F46-3D92E2861CBC}" name="Adj. Total Hours" dataDxfId="301">
      <calculatedColumnFormula>tbl_PEM[[#This Row],[Total hours]]*tbl_PEM[[#This Row],[% Complete]]</calculatedColumnFormula>
    </tableColumn>
    <tableColumn id="10" xr3:uid="{39A23CBF-7379-4657-8B15-405DEA500524}" name="PPH Act" dataDxfId="300">
      <calculatedColumnFormula>IFERROR(tbl_PEM[[#This Row],[Qty Complete]]/tbl_PEM[[#This Row],[Total Hours Act]]*tbl_PEM[[#This Row],['# of men Act]],"")</calculatedColumnFormula>
    </tableColumn>
    <tableColumn id="11" xr3:uid="{360F6514-9B2D-426D-A7AD-CA93CFC9DC44}" name="# of men Act" dataDxfId="299"/>
    <tableColumn id="12" xr3:uid="{03EB00F5-1EF6-4C2A-8D38-209420A3F109}" name="Total Hours Act" dataDxfId="298">
      <calculatedColumnFormula>(MOD(tbl_PEM[[#This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calculatedColumnFormula>
    </tableColumn>
    <tableColumn id="13" xr3:uid="{7420A9CC-BD71-4382-BB7E-34C77036418F}" name="Est. Hours" dataDxfId="297"/>
    <tableColumn id="14" xr3:uid="{2C77C0B9-E4D3-4C82-A2DD-BE4BC991EFDA}" name="Act. Hours" dataDxfId="296"/>
    <tableColumn id="15" xr3:uid="{003C2D80-8FE9-40E1-AD61-71EFE2AA282C}" name="Efficiency" dataDxfId="295" dataCellStyle="Percent">
      <calculatedColumnFormula>IFERROR((tbl_PEM[[#This Row],[Adj. Total Hours]]+tbl_PEM[[#This Row],[Est. Hours]])/(tbl_PEM[[#This Row],[Total Hours Act]]+tbl_PEM[[#This Row],[Act. Hours]]),"")</calculatedColumnFormula>
    </tableColumn>
    <tableColumn id="16" xr3:uid="{604DE666-B838-4C46-A859-1F5F35CDAC1A}" name="Notes" dataDxfId="294"/>
    <tableColumn id="17" xr3:uid="{6D0C1351-10FA-4138-BBA3-1F674328DB3B}" name="Employee 1" dataDxfId="293"/>
    <tableColumn id="18" xr3:uid="{50D0F756-2596-4A2F-A5A3-0FA9539D3A53}" name="Employee 2" dataDxfId="292"/>
    <tableColumn id="19" xr3:uid="{45FBB82C-B044-4EEB-BAAC-78ED5D6DAC33}" name="Employee 3" dataDxfId="291"/>
    <tableColumn id="20" xr3:uid="{BF56FD19-7346-442B-8028-56896311467C}" name="Employee 4" dataDxfId="290"/>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2D67992-E54E-4E93-B8C6-272F35506C2F}" name="tbl_ASM" displayName="tbl_ASM" ref="A2:W250" totalsRowShown="0" dataDxfId="289" tableBorderDxfId="288">
  <autoFilter ref="A2:W250" xr:uid="{13CE2E03-113D-47B2-8238-8FE4136E6582}"/>
  <tableColumns count="23">
    <tableColumn id="1" xr3:uid="{4B5FF8D2-5E6C-4395-8CBA-1166FB08EDC9}" name="Date" dataDxfId="287"/>
    <tableColumn id="2" xr3:uid="{9FB65790-64F2-4373-800B-8238B417E19B}" name="Job#" dataDxfId="286"/>
    <tableColumn id="3" xr3:uid="{C2B9FDC8-B3DE-4986-A35D-D0002CF48A38}" name="Part#" dataDxfId="285"/>
    <tableColumn id="4" xr3:uid="{BCAD0C4F-FD56-47F8-80FD-D458FB3A2C84}" name="Start Time" dataDxfId="284"/>
    <tableColumn id="5" xr3:uid="{C818AB8E-915E-4B9F-A26C-AEB6E4D39B9D}" name="End Time" dataDxfId="283"/>
    <tableColumn id="21" xr3:uid="{B6124788-7237-4B55-B66B-21FFF62B65EF}" name="Qty Required" dataDxfId="282"/>
    <tableColumn id="6" xr3:uid="{FF1C68C6-594F-481A-A879-5A69E08296CB}" name="Qty Complete" dataDxfId="281"/>
    <tableColumn id="22" xr3:uid="{B375E511-0331-4634-8B25-D5907F9C4DD9}" name="% Complete" dataDxfId="280" dataCellStyle="Percent">
      <calculatedColumnFormula>tbl_ASM[[#This Row],[Qty Complete]]/tbl_ASM[[#This Row],[Qty Required]]</calculatedColumnFormula>
    </tableColumn>
    <tableColumn id="7" xr3:uid="{785F6385-B3B3-4414-BC7E-86E651C6591A}" name="PPH" dataDxfId="279"/>
    <tableColumn id="8" xr3:uid="{A164B506-D304-42C2-9E4A-E65EF701377A}" name="# of men" dataDxfId="278"/>
    <tableColumn id="9" xr3:uid="{0AB2088A-2E55-4063-AD76-7D8027A8C6AA}" name="Total hours" dataDxfId="277">
      <calculatedColumnFormula>IFERROR(tbl_ASM[[#This Row],[Qty Required]]/tbl_ASM[[#This Row],[PPH]]*tbl_ASM[[#This Row],['# of men]],"")</calculatedColumnFormula>
    </tableColumn>
    <tableColumn id="23" xr3:uid="{7E6B60FB-BAC5-44A3-B490-805B04ED0CE2}" name="Adj. Total Hours" dataDxfId="276">
      <calculatedColumnFormula>tbl_ASM[[#This Row],[Total hours]]*tbl_ASM[[#This Row],[% Complete]]</calculatedColumnFormula>
    </tableColumn>
    <tableColumn id="10" xr3:uid="{29045007-6EE4-4520-A999-17D22083C625}" name="PPH Act" dataDxfId="275">
      <calculatedColumnFormula>IFERROR(tbl_ASM[[#This Row],[Qty Complete]]/tbl_ASM[[#This Row],[Total Hours Act]]*tbl_ASM[[#This Row],['# of men Act]],"")</calculatedColumnFormula>
    </tableColumn>
    <tableColumn id="11" xr3:uid="{2EC1CAFB-4AF4-43C9-A5AC-5204680ED375}" name="# of men Act" dataDxfId="274"/>
    <tableColumn id="12" xr3:uid="{F871DE06-842A-4DCF-9757-6FE664241D51}" name="Total Hours Act" dataDxfId="273">
      <calculatedColumnFormula>(MOD(tbl_ASM[[#This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calculatedColumnFormula>
    </tableColumn>
    <tableColumn id="13" xr3:uid="{679330D1-1918-4C94-9548-EE87BCA71A50}" name="Est. Hours" dataDxfId="272"/>
    <tableColumn id="14" xr3:uid="{48FB78CE-1B68-4610-BFED-063135C465C8}" name="Act. Hours" dataDxfId="271"/>
    <tableColumn id="15" xr3:uid="{3C7F3211-99BB-40C5-BEAD-126F75DE72F9}" name="Efficiency" dataDxfId="270" dataCellStyle="Percent">
      <calculatedColumnFormula>IFERROR((tbl_ASM[[#This Row],[Adj. Total Hours]]+tbl_ASM[[#This Row],[Est. Hours]])/(tbl_ASM[[#This Row],[Total Hours Act]]+tbl_ASM[[#This Row],[Act. Hours]]),"")</calculatedColumnFormula>
    </tableColumn>
    <tableColumn id="16" xr3:uid="{AF208CAE-4AE5-408A-BACE-D972CED48D4D}" name="Notes" dataDxfId="269"/>
    <tableColumn id="17" xr3:uid="{0D1C8C76-F879-4637-A07E-E0CF6BBC28DE}" name="Employee 1" dataDxfId="268"/>
    <tableColumn id="18" xr3:uid="{16ED3A09-BF59-41FE-B452-2A83F89897AC}" name="Employee 2" dataDxfId="267"/>
    <tableColumn id="19" xr3:uid="{F199CE77-A9BE-4534-BC91-7D6A30110C6B}" name="Employee 3" dataDxfId="266"/>
    <tableColumn id="20" xr3:uid="{5A0AA1CC-CECC-497C-9FE5-DADB45463631}" name="Employee 4" dataDxfId="265"/>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D902C1-5928-44A4-A180-4DBF41C0B918}" name="tbl_Form" displayName="tbl_Form" ref="A2:X250" totalsRowShown="0" dataDxfId="264" tableBorderDxfId="263">
  <autoFilter ref="A2:X250" xr:uid="{13CE2E03-113D-47B2-8238-8FE4136E6582}"/>
  <tableColumns count="24">
    <tableColumn id="1" xr3:uid="{59D1BA90-5AB4-4F2C-ADCF-7398CB65B88B}" name="Date" dataDxfId="262"/>
    <tableColumn id="2" xr3:uid="{88AC5953-39FC-459B-800D-8D6838BFBDFD}" name="Job#" dataDxfId="261"/>
    <tableColumn id="3" xr3:uid="{94511C28-F74A-4D26-8371-C854A60A56E0}" name="Part#" dataDxfId="260"/>
    <tableColumn id="4" xr3:uid="{9E8453F4-C42E-498D-9B63-138A29E01C88}" name="Start Time" dataDxfId="259"/>
    <tableColumn id="5" xr3:uid="{7F8E00B3-E57E-4093-A0B0-1ABDA91269A6}" name="End Time" dataDxfId="258"/>
    <tableColumn id="21" xr3:uid="{2ACB04D2-723B-4779-9DE1-99F2499BF48F}" name="Qty Required" dataDxfId="257"/>
    <tableColumn id="6" xr3:uid="{74632D67-A5A1-471C-BACA-A2A3684ACCC5}" name="Qty Complete" dataDxfId="256"/>
    <tableColumn id="22" xr3:uid="{A50DE6E9-C7B3-4A1D-95CC-532A1F732423}" name="% Complete" dataDxfId="255" dataCellStyle="Percent">
      <calculatedColumnFormula>tbl_Form[[#This Row],[Qty Complete]]/tbl_Form[[#This Row],[Qty Required]]</calculatedColumnFormula>
    </tableColumn>
    <tableColumn id="7" xr3:uid="{7F78F237-7701-4F12-BCD5-F21741DD8531}" name="PPH" dataDxfId="254"/>
    <tableColumn id="8" xr3:uid="{433E80BA-6B89-4A77-B54C-707E26BE8AD8}" name="# of men" dataDxfId="253"/>
    <tableColumn id="9" xr3:uid="{00430B3E-722F-4929-9313-AEDB4361B20A}" name="Total hours" dataDxfId="252">
      <calculatedColumnFormula>IFERROR(tbl_Form[[#This Row],[Qty Required]]/tbl_Form[[#This Row],[PPH]]*tbl_Form[[#This Row],['# of men]],"")</calculatedColumnFormula>
    </tableColumn>
    <tableColumn id="23" xr3:uid="{41149B6F-4B00-41CC-BD11-232735C30AF2}" name="Adj. Total Hours" dataDxfId="251">
      <calculatedColumnFormula>tbl_Form[[#This Row],[Total hours]]*tbl_Form[[#This Row],[% Complete]]</calculatedColumnFormula>
    </tableColumn>
    <tableColumn id="10" xr3:uid="{2466F426-6597-469B-A3E1-6AB844E58D9A}" name="PPH Act" dataDxfId="250">
      <calculatedColumnFormula>IFERROR(tbl_Form[[#This Row],[Qty Complete]]/tbl_Form[[#This Row],[Total Hours Act]]*tbl_Form[[#This Row],['# of men Act]],"")</calculatedColumnFormula>
    </tableColumn>
    <tableColumn id="11" xr3:uid="{96A8E5EB-E053-4BE2-89B5-EA95A00F4422}" name="# of men Act" dataDxfId="249"/>
    <tableColumn id="12" xr3:uid="{8893CA0C-5F12-40AD-80C6-6E07612D6D6B}" name="Total Hours Act" dataDxfId="248">
      <calculatedColumnFormula>(MOD(tbl_Form[[#This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calculatedColumnFormula>
    </tableColumn>
    <tableColumn id="13" xr3:uid="{6F22A8AC-B8E8-4EF3-B917-CE388BE35F4A}" name="Est. Hours" dataDxfId="247"/>
    <tableColumn id="14" xr3:uid="{2900A0FE-D614-466C-BA48-7977479CEAD7}" name="Act. Hours" dataDxfId="246"/>
    <tableColumn id="15" xr3:uid="{2F80F455-3993-4299-879D-F6511A98AAFB}" name="Efficiency" dataDxfId="245" dataCellStyle="Percent">
      <calculatedColumnFormula>IFERROR((tbl_Form[[#This Row],[Adj. Total Hours]]+tbl_Form[[#This Row],[Est. Hours]])/(tbl_Form[[#This Row],[Total Hours Act]]+tbl_Form[[#This Row],[Act. Hours]]),"")</calculatedColumnFormula>
    </tableColumn>
    <tableColumn id="24" xr3:uid="{AD154FE8-28DF-4028-9D9E-5F9F1CAD7458}" name="Job Efficiency" dataDxfId="244" dataCellStyle="Percent">
      <calculatedColumnFormula>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calculatedColumnFormula>
    </tableColumn>
    <tableColumn id="16" xr3:uid="{FA0B18EE-EF0C-4983-BC4E-3FE6D66F3C74}" name="Notes" dataDxfId="243"/>
    <tableColumn id="17" xr3:uid="{EADFAC97-A9BA-440D-B430-AEC1C135BF6A}" name="Employee 1" dataDxfId="242"/>
    <tableColumn id="18" xr3:uid="{17AC51C6-A65A-4FD1-A829-5187F7D29499}" name="Employee 2" dataDxfId="241"/>
    <tableColumn id="19" xr3:uid="{B1739B9E-8E42-471E-906D-43A97A2005CD}" name="Employee 3" dataDxfId="240"/>
    <tableColumn id="20" xr3:uid="{C93D695B-8036-4AEC-8180-47BA9CF3BE5E}" name="Employee 4" dataDxfId="239"/>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8EDF976-7CD9-4AA2-8085-DC669262DCD9}" name="tbl_Weld" displayName="tbl_Weld" ref="A2:X250" totalsRowShown="0" dataDxfId="238" tableBorderDxfId="237">
  <autoFilter ref="A2:X250" xr:uid="{13CE2E03-113D-47B2-8238-8FE4136E6582}"/>
  <tableColumns count="24">
    <tableColumn id="1" xr3:uid="{FE13F7D0-7EEF-4F06-9653-523EF1B9F4B7}" name="Date" dataDxfId="236"/>
    <tableColumn id="2" xr3:uid="{63FAC3D6-7573-485D-A3DE-384F17011DC7}" name="Job#" dataDxfId="235"/>
    <tableColumn id="3" xr3:uid="{276803EF-0E2A-4EF4-8DEC-13102BF4A8D0}" name="Part#" dataDxfId="234"/>
    <tableColumn id="4" xr3:uid="{AC59B4AC-855B-4F5D-B791-2A9D18515767}" name="Start Time" dataDxfId="233"/>
    <tableColumn id="5" xr3:uid="{8004941C-3103-486A-9C69-85C0DC791981}" name="End Time" dataDxfId="232"/>
    <tableColumn id="21" xr3:uid="{C2DD04C1-D171-4649-BA20-7C420F11E380}" name="Qty Required" dataDxfId="231"/>
    <tableColumn id="6" xr3:uid="{9C649046-2D4F-4590-8D77-FA9121233A92}" name="Qty Complete" dataDxfId="230"/>
    <tableColumn id="22" xr3:uid="{779CB5AB-C644-4C1F-8689-E9ABFB7C55CF}" name="% Complete" dataDxfId="229" dataCellStyle="Percent">
      <calculatedColumnFormula>tbl_Weld[[#This Row],[Qty Complete]]/tbl_Weld[[#This Row],[Qty Required]]</calculatedColumnFormula>
    </tableColumn>
    <tableColumn id="7" xr3:uid="{7193B4FD-8219-4C61-B972-7F1BA964B1E3}" name="PPH" dataDxfId="228"/>
    <tableColumn id="8" xr3:uid="{239383BB-5575-434D-88EA-43F5BBB00FEA}" name="# of men" dataDxfId="227"/>
    <tableColumn id="9" xr3:uid="{D3FC0222-A0EC-434A-9532-A45A2232AACA}" name="Total hours" dataDxfId="226">
      <calculatedColumnFormula>IFERROR(tbl_Weld[[#This Row],[Qty Required]]/tbl_Weld[[#This Row],[PPH]]*tbl_Weld[[#This Row],['# of men]],"")</calculatedColumnFormula>
    </tableColumn>
    <tableColumn id="23" xr3:uid="{4F933F6C-9BA9-45A3-ABEE-8D06D54F3CC8}" name="Adj. Total Hours" dataDxfId="225">
      <calculatedColumnFormula>tbl_Weld[[#This Row],[Total hours]]*tbl_Weld[[#This Row],[% Complete]]</calculatedColumnFormula>
    </tableColumn>
    <tableColumn id="10" xr3:uid="{79B32C2C-F4CD-4E4A-A121-295FD1C2E686}" name="PPH Act" dataDxfId="224">
      <calculatedColumnFormula>IFERROR(tbl_Weld[[#This Row],[Qty Complete]]/tbl_Weld[[#This Row],[Total Hours Act]]*tbl_Weld[[#This Row],['# of men Act]],"")</calculatedColumnFormula>
    </tableColumn>
    <tableColumn id="11" xr3:uid="{A1787EC0-5077-4749-907E-9233C703AF23}" name="# of men Act" dataDxfId="223"/>
    <tableColumn id="12" xr3:uid="{237ED786-0B08-4415-AF95-A96806681378}" name="Total Hours Act" dataDxfId="222">
      <calculatedColumnFormula>(MOD(tbl_Weld[[#This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calculatedColumnFormula>
    </tableColumn>
    <tableColumn id="13" xr3:uid="{57332945-F93A-40F7-AA58-12D6F1E01715}" name="Est. Hours" dataDxfId="221"/>
    <tableColumn id="14" xr3:uid="{B604CE8B-8C8A-476A-BF6F-5C0D3D83FE55}" name="Act. Hours" dataDxfId="220"/>
    <tableColumn id="15" xr3:uid="{CDE1C76B-061B-4956-B4E5-74284DF184BB}" name="Efficiency" dataDxfId="219" dataCellStyle="Percent">
      <calculatedColumnFormula>IFERROR((tbl_Weld[[#This Row],[Adj. Total Hours]]+tbl_Weld[[#This Row],[Est. Hours]])/(tbl_Weld[[#This Row],[Total Hours Act]]+tbl_Weld[[#This Row],[Act. Hours]]),"")</calculatedColumnFormula>
    </tableColumn>
    <tableColumn id="24" xr3:uid="{BC6FBDF7-AB85-4587-98C4-20424F8B96A4}" name="Job Efficiency" dataDxfId="218" dataCellStyle="Percent">
      <calculatedColumnFormula>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calculatedColumnFormula>
    </tableColumn>
    <tableColumn id="16" xr3:uid="{373422B7-107E-4200-A025-AF6E9050F0EB}" name="Notes" dataDxfId="217"/>
    <tableColumn id="17" xr3:uid="{396630A1-73F2-4EA6-B64C-9F2375E8EAA4}" name="Employee 1" dataDxfId="216"/>
    <tableColumn id="18" xr3:uid="{8FB14074-AB66-4130-A37F-DD5716D90169}" name="Employee 2" dataDxfId="215"/>
    <tableColumn id="19" xr3:uid="{81A6C49E-4B1F-4E2A-8FA5-BB139E8C8829}" name="Employee 3" dataDxfId="214"/>
    <tableColumn id="20" xr3:uid="{180E13F6-8A03-49F4-837C-19F5569CC5BD}" name="Employee 4" dataDxfId="213"/>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CC671FB-2CC8-4DA1-94EB-F91B3BD42FB4}" name="tbl_TitusWeld" displayName="tbl_TitusWeld" ref="A2:X250" totalsRowShown="0" dataDxfId="212" tableBorderDxfId="211">
  <autoFilter ref="A2:X250" xr:uid="{13CE2E03-113D-47B2-8238-8FE4136E6582}"/>
  <tableColumns count="24">
    <tableColumn id="1" xr3:uid="{62006D72-8C13-48C0-898A-3B2F8F982CBD}" name="Date" dataDxfId="210"/>
    <tableColumn id="2" xr3:uid="{F1AAC6BE-0569-4D42-95C5-DAEF269495EB}" name="Job#" dataDxfId="209"/>
    <tableColumn id="3" xr3:uid="{1EF791B7-78D5-4A66-A75C-E8175200E785}" name="Part#" dataDxfId="208"/>
    <tableColumn id="4" xr3:uid="{75781F2D-FF88-401E-862C-FB13B628074F}" name="Start Time" dataDxfId="207"/>
    <tableColumn id="5" xr3:uid="{B32C6683-FBEF-465C-A612-5B4C80A79082}" name="End Time" dataDxfId="206"/>
    <tableColumn id="21" xr3:uid="{AD21B277-57AE-4B8D-AF48-522C8B0611C7}" name="Qty Required" dataDxfId="205"/>
    <tableColumn id="6" xr3:uid="{C5E99A30-AB6F-4F56-8A08-876E17FB2DD5}" name="Qty Complete" dataDxfId="204"/>
    <tableColumn id="22" xr3:uid="{E2E18C00-3616-430F-807C-25CE9276499B}" name="% Complete" dataDxfId="203" dataCellStyle="Percent">
      <calculatedColumnFormula>tbl_TitusWeld[[#This Row],[Qty Complete]]/tbl_TitusWeld[[#This Row],[Qty Required]]</calculatedColumnFormula>
    </tableColumn>
    <tableColumn id="7" xr3:uid="{FAC1BACA-037B-447B-87C7-10DF49E5712A}" name="PPH" dataDxfId="202"/>
    <tableColumn id="8" xr3:uid="{2F5EA72F-EE5D-4C10-80CC-F3D3074D0A45}" name="# of men" dataDxfId="201"/>
    <tableColumn id="9" xr3:uid="{5112879D-B142-4105-AE28-56E88F727189}" name="Total hours" dataDxfId="200">
      <calculatedColumnFormula>IFERROR(tbl_TitusWeld[[#This Row],[Qty Required]]/tbl_TitusWeld[[#This Row],[PPH]]*tbl_TitusWeld[[#This Row],['# of men]],"")</calculatedColumnFormula>
    </tableColumn>
    <tableColumn id="23" xr3:uid="{25EBBBAB-A9EA-4364-B7BA-276856878B32}" name="Adj. Total Hours" dataDxfId="199">
      <calculatedColumnFormula>tbl_TitusWeld[[#This Row],[Total hours]]*tbl_TitusWeld[[#This Row],[% Complete]]</calculatedColumnFormula>
    </tableColumn>
    <tableColumn id="10" xr3:uid="{533D13CF-E655-4067-8A05-AD4635311B99}" name="PPH Act" dataDxfId="198">
      <calculatedColumnFormula>IFERROR(tbl_TitusWeld[[#This Row],[Qty Complete]]/tbl_TitusWeld[[#This Row],[Total Hours Act]]*tbl_TitusWeld[[#This Row],['# of men Act]],"")</calculatedColumnFormula>
    </tableColumn>
    <tableColumn id="11" xr3:uid="{C0797178-BABF-4DE6-AF10-4FE1C7AC431C}" name="# of men Act" dataDxfId="197"/>
    <tableColumn id="12" xr3:uid="{EE2BF620-F4E6-43F2-9CE3-BBE529FD6B91}" name="Total Hours Act" dataDxfId="196">
      <calculatedColumnFormula>(MOD(tbl_TitusWeld[[#This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calculatedColumnFormula>
    </tableColumn>
    <tableColumn id="13" xr3:uid="{608BFABF-CF96-41DC-8C62-E7C67D3113CA}" name="Est. Hours" dataDxfId="195"/>
    <tableColumn id="14" xr3:uid="{1419850B-BAD1-4F1C-B20D-2CB6F56AC5F3}" name="Act. Hours" dataDxfId="194"/>
    <tableColumn id="15" xr3:uid="{4EAA50E7-E1C2-4AA7-81C2-6EB116F0E2FE}" name="Efficiency" dataDxfId="193" dataCellStyle="Percent">
      <calculatedColumnFormula>IFERROR((tbl_TitusWeld[[#This Row],[Adj. Total Hours]]+tbl_TitusWeld[[#This Row],[Est. Hours]])/(tbl_TitusWeld[[#This Row],[Total Hours Act]]+tbl_TitusWeld[[#This Row],[Act. Hours]]),"")</calculatedColumnFormula>
    </tableColumn>
    <tableColumn id="16" xr3:uid="{97BC831E-21AF-4A5A-B382-4A3E9BFE1198}" name="Notes" dataDxfId="192"/>
    <tableColumn id="24" xr3:uid="{B308E9B0-CB79-4520-A14D-B3B02AD469DB}" name="Base ID" dataDxfId="191"/>
    <tableColumn id="17" xr3:uid="{F792FDFF-CC56-4DD4-9BCD-EB911275BE69}" name="Employee 1" dataDxfId="190"/>
    <tableColumn id="18" xr3:uid="{7FB0D6B3-92D5-4500-B6B1-30FF14544C1D}" name="Employee 2" dataDxfId="189"/>
    <tableColumn id="19" xr3:uid="{D05644C1-BCBD-411E-9D18-CEA7E0758235}" name="Employee 3" dataDxfId="188"/>
    <tableColumn id="20" xr3:uid="{626D34FE-BE4C-4ACC-B2F3-CF59206F3242}" name="Employee 4" dataDxfId="187"/>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4FAE345-F4B8-4991-B96A-2F62ED05A075}" name="tbl_MacGyverWeld" displayName="tbl_MacGyverWeld" ref="A2:X250" totalsRowShown="0" dataDxfId="492" tableBorderDxfId="491">
  <autoFilter ref="A2:X250" xr:uid="{13CE2E03-113D-47B2-8238-8FE4136E6582}"/>
  <tableColumns count="24">
    <tableColumn id="1" xr3:uid="{0B28B270-7D97-44DD-A3A2-C75775B88254}" name="Date" dataDxfId="490"/>
    <tableColumn id="2" xr3:uid="{E1F26757-A44A-4BA6-8AA3-BA25194E20BA}" name="Job#" dataDxfId="489"/>
    <tableColumn id="3" xr3:uid="{3A70244E-34BB-4C08-AEBA-51A6DCB83980}" name="Part#" dataDxfId="488"/>
    <tableColumn id="4" xr3:uid="{0069C07E-D053-4903-9E8D-0B849433C2C8}" name="Start Time" dataDxfId="487"/>
    <tableColumn id="5" xr3:uid="{A2680201-57C5-4F6B-A1C1-FCB9264B3F18}" name="End Time" dataDxfId="486"/>
    <tableColumn id="21" xr3:uid="{3DBCBFDD-B000-453D-9659-73CEF51901AA}" name="Qty Required" dataDxfId="485"/>
    <tableColumn id="6" xr3:uid="{41CC92D3-01C4-4143-B56B-2D03C9289BAD}" name="Qty Complete" dataDxfId="484"/>
    <tableColumn id="22" xr3:uid="{01166867-F9D7-49A9-952A-4FA10E43CB47}" name="% Complete" dataDxfId="483" dataCellStyle="Percent">
      <calculatedColumnFormula>tbl_MacGyverWeld[[#This Row],[Qty Complete]]/tbl_MacGyverWeld[[#This Row],[Qty Required]]</calculatedColumnFormula>
    </tableColumn>
    <tableColumn id="7" xr3:uid="{8BAD41C9-58FE-4423-B822-0B6BF6E7CE2C}" name="PPH" dataDxfId="482"/>
    <tableColumn id="8" xr3:uid="{CF3FF199-045F-4DA1-A14E-662BFB3CE53E}" name="# of men" dataDxfId="481"/>
    <tableColumn id="9" xr3:uid="{5BC476FF-C46E-46BC-B56D-10EEA94CE34B}" name="Total hours" dataDxfId="480">
      <calculatedColumnFormula>IFERROR(tbl_MacGyverWeld[[#This Row],[Qty Required]]/tbl_MacGyverWeld[[#This Row],[PPH]]*tbl_MacGyverWeld[[#This Row],['# of men]],"")</calculatedColumnFormula>
    </tableColumn>
    <tableColumn id="23" xr3:uid="{88ACEB59-31D6-48D9-A752-30296D946197}" name="Adj. Total Hours" dataDxfId="479">
      <calculatedColumnFormula>tbl_MacGyverWeld[[#This Row],[Total hours]]*tbl_MacGyverWeld[[#This Row],[% Complete]]</calculatedColumnFormula>
    </tableColumn>
    <tableColumn id="10" xr3:uid="{0B688257-C60E-49FB-83C5-647343B1E77B}" name="PPH Act" dataDxfId="478">
      <calculatedColumnFormula>IFERROR(tbl_MacGyverWeld[[#This Row],[Qty Complete]]/tbl_MacGyverWeld[[#This Row],[Total Hours Act]]*tbl_MacGyverWeld[[#This Row],['# of men Act]],"")</calculatedColumnFormula>
    </tableColumn>
    <tableColumn id="11" xr3:uid="{7A4129F9-BD99-4FA7-A51E-96D694CF6EB6}" name="# of men Act" dataDxfId="477"/>
    <tableColumn id="12" xr3:uid="{AA9B33AF-2AA2-4AA0-9731-D4EEBA9E005D}" name="Total Hours Act" dataDxfId="476">
      <calculatedColumnFormula>(MOD(tbl_MacGyverWeld[[#This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calculatedColumnFormula>
    </tableColumn>
    <tableColumn id="13" xr3:uid="{F2A4E5E6-82B9-4AFC-B08D-CC9A94E4A312}" name="Est. Hours" dataDxfId="475"/>
    <tableColumn id="14" xr3:uid="{F1F5AC37-46EB-4DAF-BC40-42E6B51D851C}" name="Act. Hours" dataDxfId="474"/>
    <tableColumn id="15" xr3:uid="{C50081D1-DCAC-4D4B-B01F-7A97FE8DA189}" name="Efficiency" dataDxfId="473" dataCellStyle="Percent">
      <calculatedColumnFormula>IFERROR((tbl_MacGyverWeld[[#This Row],[Adj. Total Hours]]+tbl_MacGyverWeld[[#This Row],[Est. Hours]])/(tbl_MacGyverWeld[[#This Row],[Total Hours Act]]+tbl_MacGyverWeld[[#This Row],[Act. Hours]]),"")</calculatedColumnFormula>
    </tableColumn>
    <tableColumn id="16" xr3:uid="{E204E009-704F-4FB0-889F-E29E9029DE40}" name="Notes" dataDxfId="472"/>
    <tableColumn id="24" xr3:uid="{A4DA5721-3B77-4370-B9C6-899A6F9644DB}" name="Base ID" dataDxfId="471"/>
    <tableColumn id="17" xr3:uid="{E3E5B5BE-4BFF-4A44-A245-E5AF5794F11D}" name="Employee 1" dataDxfId="470"/>
    <tableColumn id="18" xr3:uid="{2A20D0A4-FA29-4320-8949-5209DD700532}" name="Employee 2" dataDxfId="469"/>
    <tableColumn id="19" xr3:uid="{47B5BC01-5130-4C4D-97F9-D85326B75FBD}" name="Employee 3" dataDxfId="468"/>
    <tableColumn id="20" xr3:uid="{28AD6C7E-5292-4DEF-985C-4AAC2FE7DE90}" name="Employee 4" dataDxfId="467"/>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1345E02-88A8-4062-87FF-E198D3A2EB56}" name="tbl_Grind" displayName="tbl_Grind" ref="A2:W250" totalsRowShown="0" dataDxfId="186" tableBorderDxfId="185">
  <autoFilter ref="A2:W250" xr:uid="{13CE2E03-113D-47B2-8238-8FE4136E6582}"/>
  <tableColumns count="23">
    <tableColumn id="1" xr3:uid="{172366B5-B01C-431D-9481-38E9841A4621}" name="Date" dataDxfId="184"/>
    <tableColumn id="2" xr3:uid="{CA54060F-8439-4C2D-A353-AA3AE2DCEAA6}" name="Job#" dataDxfId="183"/>
    <tableColumn id="3" xr3:uid="{9237E8A1-6016-4BE4-B3E9-D738E5A74079}" name="Part#" dataDxfId="182"/>
    <tableColumn id="4" xr3:uid="{520C64B3-3999-4F0E-8DD0-BDBE44025AEB}" name="Start Time" dataDxfId="181"/>
    <tableColumn id="5" xr3:uid="{7032E8A2-C643-4E0E-A890-E692083E780F}" name="End Time" dataDxfId="180"/>
    <tableColumn id="21" xr3:uid="{B7798A19-0F37-4BAD-9514-CCB18194603D}" name="Qty Required" dataDxfId="179"/>
    <tableColumn id="6" xr3:uid="{05C0D357-A73F-4E49-B60F-466A9D55CCC1}" name="Qty Complete" dataDxfId="178"/>
    <tableColumn id="22" xr3:uid="{FDB26A55-FAFC-4F46-8D08-6154B7346673}" name="% Complete" dataDxfId="177" dataCellStyle="Percent">
      <calculatedColumnFormula>tbl_Grind[[#This Row],[Qty Complete]]/tbl_Grind[[#This Row],[Qty Required]]</calculatedColumnFormula>
    </tableColumn>
    <tableColumn id="7" xr3:uid="{42574FEB-77D4-4BEE-A9E9-C88DF8BDC4D1}" name="PPH" dataDxfId="176"/>
    <tableColumn id="8" xr3:uid="{53C654E8-1DB1-4D5E-A425-02FE2561ED49}" name="# of men" dataDxfId="175"/>
    <tableColumn id="9" xr3:uid="{A6F120C0-13EC-4E89-88D8-3DF7F583B3FE}" name="Total hours" dataDxfId="174">
      <calculatedColumnFormula>IFERROR(tbl_Grind[[#This Row],[Qty Required]]/tbl_Grind[[#This Row],[PPH]]*tbl_Grind[[#This Row],['# of men]],"")</calculatedColumnFormula>
    </tableColumn>
    <tableColumn id="23" xr3:uid="{67AA25FE-DC33-4FD2-8D96-972CD7CC38C3}" name="Adj. Total Hours" dataDxfId="173">
      <calculatedColumnFormula>tbl_Grind[[#This Row],[Total hours]]*tbl_Grind[[#This Row],[% Complete]]</calculatedColumnFormula>
    </tableColumn>
    <tableColumn id="10" xr3:uid="{B150F6C8-7FAB-4C72-8F45-EB113BEDF0B7}" name="PPH Act" dataDxfId="172">
      <calculatedColumnFormula>IFERROR(tbl_Grind[[#This Row],[Qty Complete]]/tbl_Grind[[#This Row],[Total Hours Act]]*tbl_Grind[[#This Row],['# of men Act]],"")</calculatedColumnFormula>
    </tableColumn>
    <tableColumn id="11" xr3:uid="{857E18D6-1772-40D2-8885-0C2C8470F794}" name="# of men Act" dataDxfId="171"/>
    <tableColumn id="12" xr3:uid="{9FE853E8-A838-4598-A069-A40722157DEC}" name="Total Hours Act" dataDxfId="170">
      <calculatedColumnFormula>(MOD(tbl_Grind[[#This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calculatedColumnFormula>
    </tableColumn>
    <tableColumn id="13" xr3:uid="{A3DC69F6-25C5-410D-A5FC-DBD3C6667A7B}" name="Est. Hours" dataDxfId="169"/>
    <tableColumn id="14" xr3:uid="{76D97CF1-8FC5-4194-B7DA-93A289B0759C}" name="Act. Hours" dataDxfId="168"/>
    <tableColumn id="15" xr3:uid="{B96CF56C-343D-43F5-9598-F32B8BE10C24}" name="Efficiency" dataDxfId="167" dataCellStyle="Percent">
      <calculatedColumnFormula>IFERROR((tbl_Grind[[#This Row],[Adj. Total Hours]]+tbl_Grind[[#This Row],[Est. Hours]])/(tbl_Grind[[#This Row],[Total Hours Act]]+tbl_Grind[[#This Row],[Act. Hours]]),"")</calculatedColumnFormula>
    </tableColumn>
    <tableColumn id="16" xr3:uid="{99D9521B-16B6-4E40-9203-9970DCEAB083}" name="Notes" dataDxfId="166"/>
    <tableColumn id="17" xr3:uid="{E05A90ED-8944-49FD-AB8E-58466D19DDAC}" name="Employee 1" dataDxfId="165"/>
    <tableColumn id="18" xr3:uid="{C84E99F6-9CED-438F-AE90-37BE13B9403E}" name="Employee 2" dataDxfId="164"/>
    <tableColumn id="19" xr3:uid="{4127B968-7BFB-49F0-9AE5-E666884BD20F}" name="Employee 3" dataDxfId="163"/>
    <tableColumn id="20" xr3:uid="{57A34544-9588-434D-8D38-19134786079E}" name="Employee 4" dataDxfId="162"/>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C769A50-841C-4004-9FBC-289FDF292140}" name="tbl_RobotWeld" displayName="tbl_RobotWeld" ref="A2:X250" totalsRowShown="0" dataDxfId="161" tableBorderDxfId="160">
  <autoFilter ref="A2:X250" xr:uid="{13CE2E03-113D-47B2-8238-8FE4136E6582}"/>
  <tableColumns count="24">
    <tableColumn id="1" xr3:uid="{8C90FD03-6885-4FB7-92E3-F6D5DC6F675E}" name="Date" dataDxfId="159"/>
    <tableColumn id="2" xr3:uid="{29D8C18D-DC04-45E2-950A-62A5F7CD4E85}" name="Job#" dataDxfId="158"/>
    <tableColumn id="3" xr3:uid="{89F0B9FD-B5BE-404C-92A4-82B1A689C3C2}" name="Part#" dataDxfId="157"/>
    <tableColumn id="4" xr3:uid="{7F3304F0-9189-4ABF-8C99-7650AFC51B76}" name="Start Time" dataDxfId="156"/>
    <tableColumn id="5" xr3:uid="{DF8B8719-89AE-42D2-BCBD-2E69131FA968}" name="End Time" dataDxfId="155"/>
    <tableColumn id="21" xr3:uid="{187DB37B-24AB-4AAE-A598-9E58033EE66D}" name="Qty Required" dataDxfId="154"/>
    <tableColumn id="6" xr3:uid="{0C60E53B-017A-43DE-8B01-557FDB784E3C}" name="Qty Complete" dataDxfId="153"/>
    <tableColumn id="22" xr3:uid="{F8E58C69-E18E-4633-B8F7-E6A6322B421F}" name="% Complete" dataDxfId="152" dataCellStyle="Percent">
      <calculatedColumnFormula>tbl_RobotWeld[[#This Row],[Qty Complete]]/tbl_RobotWeld[[#This Row],[Qty Required]]</calculatedColumnFormula>
    </tableColumn>
    <tableColumn id="7" xr3:uid="{E9C3913B-A0A3-49F1-8245-3612754349F1}" name="PPH" dataDxfId="151"/>
    <tableColumn id="8" xr3:uid="{E3C1A59E-A467-4D3F-9B61-B7E26D46744D}" name="# of men" dataDxfId="150"/>
    <tableColumn id="9" xr3:uid="{501BEE87-B328-401B-9480-AEA8FAB5CA87}" name="Total hours" dataDxfId="149">
      <calculatedColumnFormula>IFERROR(tbl_RobotWeld[[#This Row],[Qty Required]]/tbl_RobotWeld[[#This Row],[PPH]]*tbl_RobotWeld[[#This Row],['# of men]],"")</calculatedColumnFormula>
    </tableColumn>
    <tableColumn id="23" xr3:uid="{7A40168E-36CA-4CE0-BA03-A34F4CB9E2A2}" name="Adj. Total Hours" dataDxfId="148">
      <calculatedColumnFormula>tbl_RobotWeld[[#This Row],[Total hours]]*tbl_RobotWeld[[#This Row],[% Complete]]</calculatedColumnFormula>
    </tableColumn>
    <tableColumn id="10" xr3:uid="{D30006F7-7F18-4B05-BCFB-3EC2B59EA764}" name="PPH Act" dataDxfId="147">
      <calculatedColumnFormula>IFERROR(tbl_RobotWeld[[#This Row],[Qty Complete]]/tbl_RobotWeld[[#This Row],[Total Hours Act]]*tbl_RobotWeld[[#This Row],['# of men Act]],"")</calculatedColumnFormula>
    </tableColumn>
    <tableColumn id="11" xr3:uid="{11FD7709-FD3E-4A87-80AD-E9DD80EFD46D}" name="# of men Act" dataDxfId="146"/>
    <tableColumn id="12" xr3:uid="{524ED73C-9F7A-4568-B7FC-C991791C495B}" name="Total Hours Act" dataDxfId="145">
      <calculatedColumnFormula>(MOD(tbl_RobotWeld[[#This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calculatedColumnFormula>
    </tableColumn>
    <tableColumn id="13" xr3:uid="{2BFFD52F-BF62-46D0-A09E-50B0B9C879A7}" name="Est. Hours" dataDxfId="144"/>
    <tableColumn id="14" xr3:uid="{74F29832-3980-4DCB-9DC5-E5543DDEE9F0}" name="Act. Hours" dataDxfId="143"/>
    <tableColumn id="15" xr3:uid="{B32D2C82-D036-4CCC-B667-DFCBE36AFE80}" name="Efficiency" dataDxfId="142" dataCellStyle="Percent">
      <calculatedColumnFormula>IFERROR((tbl_RobotWeld[[#This Row],[Adj. Total Hours]]+tbl_RobotWeld[[#This Row],[Est. Hours]])/(tbl_RobotWeld[[#This Row],[Total Hours Act]]+tbl_RobotWeld[[#This Row],[Act. Hours]]),"")</calculatedColumnFormula>
    </tableColumn>
    <tableColumn id="24" xr3:uid="{7306CFE6-F4A0-49CB-B4BF-0055CD2BBA2E}" name="Job Efficiency" dataDxfId="141" dataCellStyle="Percent">
      <calculatedColumnFormula>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calculatedColumnFormula>
    </tableColumn>
    <tableColumn id="16" xr3:uid="{965227AD-EEC9-4A94-902A-9AD2641B551B}" name="Notes" dataDxfId="140"/>
    <tableColumn id="17" xr3:uid="{00A4503B-203E-4EFB-A102-91B33D57BC5F}" name="Employee 1" dataDxfId="139"/>
    <tableColumn id="18" xr3:uid="{B08E95F3-24E1-4291-8FC2-CDB1DBFB2771}" name="Employee 2" dataDxfId="138"/>
    <tableColumn id="19" xr3:uid="{8BBD2350-26A8-46DE-99DE-11ADA2F8BA70}" name="Employee 3" dataDxfId="137"/>
    <tableColumn id="20" xr3:uid="{E8F98601-B422-415A-B791-C1988EA5B7C5}" name="Employee 4" dataDxfId="136"/>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E55E867-A33A-4CE1-BF9F-B2FE73C54A26}" name="tbl_Roll" displayName="tbl_Roll" ref="A2:W250" totalsRowShown="0" dataDxfId="135" tableBorderDxfId="134">
  <autoFilter ref="A2:W250" xr:uid="{13CE2E03-113D-47B2-8238-8FE4136E6582}"/>
  <tableColumns count="23">
    <tableColumn id="1" xr3:uid="{64193AC5-0CA5-4425-A0FC-5371D0600FA2}" name="Date" dataDxfId="133"/>
    <tableColumn id="2" xr3:uid="{2FF7DB8A-4065-4F26-BB75-D73B08C3DC78}" name="Job#" dataDxfId="132"/>
    <tableColumn id="3" xr3:uid="{F2380DDF-7574-4344-8BB4-815596785C2A}" name="Part#" dataDxfId="131"/>
    <tableColumn id="4" xr3:uid="{A775D8F6-90C5-46AA-9865-29D899EBF801}" name="Start Time" dataDxfId="130"/>
    <tableColumn id="5" xr3:uid="{39A50C74-2209-4F2E-B6F5-7288F0A81B7D}" name="End Time" dataDxfId="129"/>
    <tableColumn id="21" xr3:uid="{9F3B6371-0B02-4DE0-94CF-C859D574178F}" name="Qty Required" dataDxfId="128"/>
    <tableColumn id="6" xr3:uid="{46691676-DB4C-460F-9F54-69F23A936019}" name="Qty Complete" dataDxfId="127"/>
    <tableColumn id="22" xr3:uid="{A6ADB632-B241-4027-9EB6-959B30E6F880}" name="% Complete" dataDxfId="126" dataCellStyle="Percent">
      <calculatedColumnFormula>tbl_Roll[[#This Row],[Qty Complete]]/tbl_Roll[[#This Row],[Qty Required]]</calculatedColumnFormula>
    </tableColumn>
    <tableColumn id="7" xr3:uid="{A6581E1D-F52F-4AC3-9F73-29DA1518E129}" name="PPH" dataDxfId="125"/>
    <tableColumn id="8" xr3:uid="{B9B9715A-DAD5-4D8A-9350-972026C333BE}" name="# of men" dataDxfId="124"/>
    <tableColumn id="9" xr3:uid="{0EA1825E-BDDF-4A27-A4E4-6FA3294E4C3C}" name="Total hours" dataDxfId="123">
      <calculatedColumnFormula>IFERROR(tbl_Roll[[#This Row],[Qty Required]]/tbl_Roll[[#This Row],[PPH]]*tbl_Roll[[#This Row],['# of men]],"")</calculatedColumnFormula>
    </tableColumn>
    <tableColumn id="23" xr3:uid="{C8B2E0DA-59C4-40A7-97B3-795BA760B5CE}" name="Adj. Total Hours" dataDxfId="122">
      <calculatedColumnFormula>tbl_Roll[[#This Row],[Total hours]]*tbl_Roll[[#This Row],[% Complete]]</calculatedColumnFormula>
    </tableColumn>
    <tableColumn id="10" xr3:uid="{F528C9A3-57A3-45B5-B742-AC30050ED01D}" name="PPH Act" dataDxfId="121">
      <calculatedColumnFormula>IFERROR(tbl_Roll[[#This Row],[Qty Complete]]/tbl_Roll[[#This Row],[Total Hours Act]]*tbl_Roll[[#This Row],['# of men Act]],"")</calculatedColumnFormula>
    </tableColumn>
    <tableColumn id="11" xr3:uid="{EB2A0423-F9F3-4074-B298-8D396BFDDA70}" name="# of men Act" dataDxfId="120"/>
    <tableColumn id="12" xr3:uid="{413B45B4-BC36-4EE4-B260-754771702D1B}" name="Total Hours Act" dataDxfId="119">
      <calculatedColumnFormula>(MOD(tbl_Roll[[#This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calculatedColumnFormula>
    </tableColumn>
    <tableColumn id="13" xr3:uid="{74FC4D14-0F89-4B51-A7A5-6FD9812252F9}" name="Est. Hours" dataDxfId="118"/>
    <tableColumn id="14" xr3:uid="{642860C9-E580-46DC-A941-A75781A6C802}" name="Act. Hours" dataDxfId="117"/>
    <tableColumn id="15" xr3:uid="{24FFFF08-1DBC-44A2-8646-2BB03A71E305}" name="Efficiency" dataDxfId="116" dataCellStyle="Percent">
      <calculatedColumnFormula>IFERROR((tbl_Roll[[#This Row],[Adj. Total Hours]]+tbl_Roll[[#This Row],[Est. Hours]])/(tbl_Roll[[#This Row],[Total Hours Act]]+tbl_Roll[[#This Row],[Act. Hours]]),"")</calculatedColumnFormula>
    </tableColumn>
    <tableColumn id="16" xr3:uid="{031FDA70-6E24-42A5-9743-60978772B67C}" name="Notes" dataDxfId="115"/>
    <tableColumn id="17" xr3:uid="{62EF7DA5-E1FE-4C16-A0A5-C2E2EEAFD4F8}" name="Employee 1" dataDxfId="114"/>
    <tableColumn id="18" xr3:uid="{356B287A-60B8-4D3A-9281-80B42DCE5181}" name="Employee 2" dataDxfId="113"/>
    <tableColumn id="19" xr3:uid="{8E92646A-7C45-44B0-B72A-236DD4C33350}" name="Employee 3" dataDxfId="112"/>
    <tableColumn id="20" xr3:uid="{DA9769A2-A5C6-4B41-92FE-5FDB6EA18976}" name="Employee 4" dataDxfId="111"/>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101846F-EBFA-41A4-AA1D-6E368EAA0166}" name="tbl_MA" displayName="tbl_MA" ref="A2:W250" totalsRowShown="0" dataDxfId="110" tableBorderDxfId="109">
  <autoFilter ref="A2:W250" xr:uid="{13CE2E03-113D-47B2-8238-8FE4136E6582}"/>
  <tableColumns count="23">
    <tableColumn id="1" xr3:uid="{A87DF2FF-4443-474C-844D-54EF2C3A47E1}" name="Date" dataDxfId="108"/>
    <tableColumn id="2" xr3:uid="{93ED3431-9B1D-4EBE-BF0B-3CB5C78DF182}" name="Job#" dataDxfId="107"/>
    <tableColumn id="3" xr3:uid="{2D41501D-B1FD-4142-A440-9442ABBEB6EE}" name="Part#" dataDxfId="106"/>
    <tableColumn id="4" xr3:uid="{FFB7236C-04F9-4E36-8F84-6DA0AD0F0A55}" name="Start Time" dataDxfId="105"/>
    <tableColumn id="5" xr3:uid="{541AF921-EB73-421C-81A5-117FCD1A802E}" name="End Time" dataDxfId="104"/>
    <tableColumn id="21" xr3:uid="{35C5701B-F632-448D-8213-A4A6C3341C35}" name="Qty Required" dataDxfId="103"/>
    <tableColumn id="6" xr3:uid="{3F1B61E5-3447-49DB-A563-CC074196CB67}" name="Qty Complete" dataDxfId="102"/>
    <tableColumn id="22" xr3:uid="{B8E2762E-ACC6-43AA-A607-1FE9FE6866D7}" name="% Complete" dataDxfId="101" dataCellStyle="Percent">
      <calculatedColumnFormula>tbl_MA[[#This Row],[Qty Complete]]/tbl_MA[[#This Row],[Qty Required]]</calculatedColumnFormula>
    </tableColumn>
    <tableColumn id="7" xr3:uid="{90B6F511-7D2D-4798-9173-7C59420219D1}" name="PPH" dataDxfId="100"/>
    <tableColumn id="8" xr3:uid="{09E8061F-52D3-449D-9717-4F18E19058C4}" name="# of men" dataDxfId="99"/>
    <tableColumn id="9" xr3:uid="{35F9A930-FF1D-46EF-B6F0-3E22F05EDD92}" name="Total hours" dataDxfId="98">
      <calculatedColumnFormula>IFERROR(tbl_MA[[#This Row],[Qty Required]]/tbl_MA[[#This Row],[PPH]]*tbl_MA[[#This Row],['# of men]],"")</calculatedColumnFormula>
    </tableColumn>
    <tableColumn id="23" xr3:uid="{473CA010-7393-4B77-9C07-8AE9A45BCAAA}" name="Adj. Total Hours" dataDxfId="97">
      <calculatedColumnFormula>tbl_MA[[#This Row],[Total hours]]*tbl_MA[[#This Row],[% Complete]]</calculatedColumnFormula>
    </tableColumn>
    <tableColumn id="10" xr3:uid="{A8FB1BDA-7606-4F03-B66D-D8D20D309A7D}" name="PPH Act" dataDxfId="96">
      <calculatedColumnFormula>IFERROR(tbl_MA[[#This Row],[Qty Complete]]/tbl_MA[[#This Row],[Total Hours Act]]*tbl_MA[[#This Row],['# of men Act]],"")</calculatedColumnFormula>
    </tableColumn>
    <tableColumn id="11" xr3:uid="{443CCE43-B32C-4352-AA11-E4D4119E9D73}" name="# of men Act" dataDxfId="95"/>
    <tableColumn id="12" xr3:uid="{FBA74EF0-8217-458D-9977-52D57C7DE00E}" name="Total Hours Act" dataDxfId="94">
      <calculatedColumnFormula>(MOD(tbl_MA[[#This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calculatedColumnFormula>
    </tableColumn>
    <tableColumn id="13" xr3:uid="{93852350-0ADE-4F3A-AEB7-EB12E98CD429}" name="Est. Hours" dataDxfId="93"/>
    <tableColumn id="14" xr3:uid="{42052769-CC8C-40C2-862A-C491A4BE0BFB}" name="Act. Hours" dataDxfId="92"/>
    <tableColumn id="15" xr3:uid="{0907D4BF-2C9B-4B7B-803C-A92047410526}" name="Efficiency" dataDxfId="91" dataCellStyle="Percent">
      <calculatedColumnFormula>IFERROR((tbl_MA[[#This Row],[Adj. Total Hours]]+tbl_MA[[#This Row],[Est. Hours]])/(tbl_MA[[#This Row],[Total Hours Act]]+tbl_MA[[#This Row],[Act. Hours]]),"")</calculatedColumnFormula>
    </tableColumn>
    <tableColumn id="16" xr3:uid="{E8364ADC-526A-47CE-BC82-54CECCC6B37D}" name="Notes" dataDxfId="90"/>
    <tableColumn id="17" xr3:uid="{2E8B3973-1802-40E2-B17A-EE5F9D541F7E}" name="Employee 1" dataDxfId="89"/>
    <tableColumn id="18" xr3:uid="{4E0B4F6F-9BD6-4863-B9D7-50B5EE9BF359}" name="Employee 2" dataDxfId="88"/>
    <tableColumn id="19" xr3:uid="{D8E9B599-40F5-40BF-9B5C-2F15A930C573}" name="Employee 3" dataDxfId="87"/>
    <tableColumn id="20" xr3:uid="{54C00DE4-590C-4B0C-A5A6-8A1F84B1E60A}" name="Employee 4" dataDxfId="86"/>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C562795-58CB-4EBB-BE1F-4FA68EB09E19}" name="tbl_RW" displayName="tbl_RW" ref="A2:W250" totalsRowShown="0" dataDxfId="85" tableBorderDxfId="84">
  <autoFilter ref="A2:W250" xr:uid="{13CE2E03-113D-47B2-8238-8FE4136E6582}"/>
  <tableColumns count="23">
    <tableColumn id="1" xr3:uid="{57F86C2F-EDC4-4E26-A5AC-1755E1F5ADEB}" name="Date" dataDxfId="83"/>
    <tableColumn id="2" xr3:uid="{1B5C7FC5-8721-400B-8A39-D24A352D750E}" name="Job#" dataDxfId="82"/>
    <tableColumn id="3" xr3:uid="{B7AE97DD-C509-410B-B3C3-60B8BFCAB698}" name="Part#" dataDxfId="81"/>
    <tableColumn id="4" xr3:uid="{4E66EB31-BF7A-45A0-BC20-CE8976C7527B}" name="Start Time" dataDxfId="80"/>
    <tableColumn id="5" xr3:uid="{AFADB392-7802-4D18-AE0C-EA8B3000D9D7}" name="End Time" dataDxfId="79"/>
    <tableColumn id="21" xr3:uid="{EA5862B2-A7EF-4ED1-AC0D-98A91ABD36B1}" name="Qty Required" dataDxfId="78"/>
    <tableColumn id="6" xr3:uid="{75A58E9A-EAE2-4CB8-944A-52395DB9E575}" name="Qty Complete" dataDxfId="77"/>
    <tableColumn id="22" xr3:uid="{AB8261D4-997E-4AC1-A88E-633DA55EBA50}" name="% Complete" dataDxfId="76" dataCellStyle="Percent">
      <calculatedColumnFormula>tbl_RW[[#This Row],[Qty Complete]]/tbl_RW[[#This Row],[Qty Required]]</calculatedColumnFormula>
    </tableColumn>
    <tableColumn id="7" xr3:uid="{FC8A7507-BF90-4096-B978-A755A52BB028}" name="PPH" dataDxfId="75"/>
    <tableColumn id="8" xr3:uid="{D34C067E-343F-4E20-B105-2A36D3E0E2E0}" name="# of men" dataDxfId="74"/>
    <tableColumn id="9" xr3:uid="{EB707757-993D-471F-96AF-462A0ACF05B9}" name="Total hours" dataDxfId="73">
      <calculatedColumnFormula>IFERROR(tbl_RW[[#This Row],[Qty Required]]/tbl_RW[[#This Row],[PPH]]*tbl_RW[[#This Row],['# of men]],"")</calculatedColumnFormula>
    </tableColumn>
    <tableColumn id="23" xr3:uid="{DBD5B923-855A-494F-A1E6-FA73EEEB82E6}" name="Adj. Total Hours" dataDxfId="72">
      <calculatedColumnFormula>tbl_RW[[#This Row],[Total hours]]*tbl_RW[[#This Row],[% Complete]]</calculatedColumnFormula>
    </tableColumn>
    <tableColumn id="10" xr3:uid="{B875FD3D-58B7-4AD4-AB23-AC58AA441B8B}" name="PPH Act" dataDxfId="71">
      <calculatedColumnFormula>IFERROR(tbl_RW[[#This Row],[Qty Complete]]/tbl_RW[[#This Row],[Total Hours Act]]*tbl_RW[[#This Row],['# of men Act]],"")</calculatedColumnFormula>
    </tableColumn>
    <tableColumn id="11" xr3:uid="{03F0FA3A-C946-4E8A-B10C-A026C73073DB}" name="# of men Act" dataDxfId="70"/>
    <tableColumn id="12" xr3:uid="{288DCB0A-7D92-481C-B23E-F336FF0751A0}" name="Total Hours Act" dataDxfId="69">
      <calculatedColumnFormula>(MOD(tbl_RW[[#This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calculatedColumnFormula>
    </tableColumn>
    <tableColumn id="13" xr3:uid="{90C4C679-80A4-4E4C-BD96-45533B6C536E}" name="Est. Hours" dataDxfId="68"/>
    <tableColumn id="14" xr3:uid="{EF8F19EB-0574-48B4-8B72-C9A7FE908CD4}" name="Act. Hours" dataDxfId="67"/>
    <tableColumn id="15" xr3:uid="{17D9AF5F-9C65-4C84-99A6-D518BBE936DF}" name="Efficiency" dataDxfId="66" dataCellStyle="Percent">
      <calculatedColumnFormula>IFERROR((tbl_RW[[#This Row],[Adj. Total Hours]]+tbl_RW[[#This Row],[Est. Hours]])/(tbl_RW[[#This Row],[Total Hours Act]]+tbl_RW[[#This Row],[Act. Hours]]),"")</calculatedColumnFormula>
    </tableColumn>
    <tableColumn id="16" xr3:uid="{AE5457B5-2D41-4AF9-96F8-511349A7E0F6}" name="Notes" dataDxfId="65"/>
    <tableColumn id="17" xr3:uid="{E4E8A98C-7BB0-46B3-839D-A7791DF77348}" name="Employee 1" dataDxfId="64"/>
    <tableColumn id="18" xr3:uid="{75FFD7D4-EA1B-4209-A83C-F734BC841B98}" name="Employee 2" dataDxfId="63"/>
    <tableColumn id="19" xr3:uid="{F5C2EDDB-0675-4B46-90D2-99659AEF0151}" name="Employee 3" dataDxfId="62"/>
    <tableColumn id="20" xr3:uid="{4D95EBF9-F6B5-459A-8140-3661CDB939B3}" name="Employee 4" dataDxfId="61"/>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1162725-93BE-44CB-8402-698A0FE81211}" name="tbl_Downtime" displayName="tbl_Downtime" ref="A1:F250" totalsRowShown="0" headerRowDxfId="60">
  <autoFilter ref="A1:F250" xr:uid="{E1162725-93BE-44CB-8402-698A0FE81211}"/>
  <tableColumns count="6">
    <tableColumn id="1" xr3:uid="{8D41D8AF-DB69-4A9D-885C-AE61DF5FF777}" name="Date" dataDxfId="59"/>
    <tableColumn id="2" xr3:uid="{2A377FBC-47E7-417F-8A19-522C130E5C2D}" name="Machine" dataDxfId="58"/>
    <tableColumn id="3" xr3:uid="{BE7F6963-45F5-402A-8759-A1BB67CC3C6E}" name="Start Time" dataDxfId="57"/>
    <tableColumn id="4" xr3:uid="{C05D94C6-9769-4D03-A3D0-FD4D3D6AD7B5}" name="End Time" dataDxfId="56"/>
    <tableColumn id="5" xr3:uid="{62EF37A2-7158-4C91-96F1-623DACC8E5D5}" name="Total Hours" dataDxfId="55">
      <calculatedColumnFormula>(D2-C2)*24</calculatedColumnFormula>
    </tableColumn>
    <tableColumn id="6" xr3:uid="{ADA77B3C-B09C-4015-A63E-31E6905CDE2F}" name="Notes" dataDxfId="54"/>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ECFA6-F53F-4FA6-8829-AB9C0867068B}">
  <dimension ref="A1:AF2749"/>
  <sheetViews>
    <sheetView workbookViewId="0">
      <pane ySplit="2" topLeftCell="A90" activePane="bottomLeft" state="frozen"/>
      <selection pane="bottomLeft" activeCell="AB102" sqref="AB102"/>
    </sheetView>
  </sheetViews>
  <sheetFormatPr defaultColWidth="9.1796875" defaultRowHeight="15.75" customHeight="1"/>
  <cols>
    <col min="1" max="1" width="11.54296875" style="27" customWidth="1"/>
    <col min="2" max="2" width="15.81640625" style="28" customWidth="1"/>
    <col min="3" max="3" width="13.1796875" style="28" hidden="1" customWidth="1"/>
    <col min="4" max="4" width="14.1796875" style="28" customWidth="1"/>
    <col min="5" max="5" width="15.54296875" style="29" bestFit="1" customWidth="1"/>
    <col min="6" max="6" width="14.7265625" style="29" bestFit="1" customWidth="1"/>
    <col min="7" max="7" width="18.26953125" style="29" bestFit="1" customWidth="1"/>
    <col min="8" max="8" width="19" style="28" bestFit="1" customWidth="1"/>
    <col min="9" max="9" width="19" style="28" hidden="1" customWidth="1"/>
    <col min="10" max="10" width="10.1796875" style="30" bestFit="1" customWidth="1"/>
    <col min="11" max="11" width="14" style="28" bestFit="1" customWidth="1"/>
    <col min="12" max="12" width="16.453125" style="28" bestFit="1" customWidth="1"/>
    <col min="13" max="13" width="20.7265625" style="28" hidden="1" customWidth="1"/>
    <col min="14" max="14" width="16.453125" style="28" customWidth="1"/>
    <col min="15" max="15" width="16" style="28" bestFit="1" customWidth="1"/>
    <col min="16" max="16" width="17.7265625" style="28" hidden="1" customWidth="1"/>
    <col min="17" max="17" width="13.81640625" style="28" bestFit="1" customWidth="1"/>
    <col min="18" max="18" width="13.453125" style="38" bestFit="1" customWidth="1"/>
    <col min="19" max="19" width="17.26953125" style="28" bestFit="1" customWidth="1"/>
    <col min="20" max="20" width="20.453125" style="33" bestFit="1" customWidth="1"/>
    <col min="21" max="21" width="17.7265625" style="34" bestFit="1" customWidth="1"/>
    <col min="22" max="23" width="15.7265625" style="33" bestFit="1" customWidth="1"/>
    <col min="24" max="24" width="15.1796875" style="38" bestFit="1" customWidth="1"/>
    <col min="25" max="25" width="16.81640625" style="37" hidden="1" customWidth="1"/>
    <col min="26" max="26" width="21.26953125" style="33" bestFit="1" customWidth="1"/>
    <col min="27" max="27" width="21.26953125" style="106" hidden="1" customWidth="1"/>
    <col min="28" max="28" width="55.26953125" style="28" customWidth="1"/>
    <col min="29" max="32" width="16.81640625" style="28" bestFit="1" customWidth="1"/>
    <col min="33" max="16384" width="9.1796875" style="37"/>
  </cols>
  <sheetData>
    <row r="1" spans="1:32" ht="47.25" customHeight="1">
      <c r="A1" s="14"/>
      <c r="B1" s="15"/>
      <c r="C1" s="15"/>
      <c r="D1" s="15"/>
      <c r="E1" s="16"/>
      <c r="F1" s="16"/>
      <c r="G1" s="16"/>
      <c r="H1" s="15"/>
      <c r="I1" s="15"/>
      <c r="J1" s="115" t="s">
        <v>0</v>
      </c>
      <c r="K1" s="116"/>
      <c r="L1" s="116"/>
      <c r="M1" s="116"/>
      <c r="N1" s="116"/>
      <c r="O1" s="116"/>
      <c r="P1" s="116"/>
      <c r="Q1" s="117"/>
      <c r="R1" s="118" t="s">
        <v>1</v>
      </c>
      <c r="S1" s="119"/>
      <c r="T1" s="119"/>
      <c r="U1" s="120"/>
      <c r="V1" s="113" t="s">
        <v>2</v>
      </c>
      <c r="W1" s="114"/>
      <c r="X1" s="121" t="s">
        <v>3</v>
      </c>
      <c r="Y1" s="122"/>
      <c r="Z1" s="122"/>
      <c r="AA1" s="123"/>
    </row>
    <row r="2" spans="1:32" ht="16">
      <c r="A2" s="17" t="s">
        <v>4</v>
      </c>
      <c r="B2" s="18" t="s">
        <v>5</v>
      </c>
      <c r="C2" s="50" t="s">
        <v>6</v>
      </c>
      <c r="D2" s="18" t="s">
        <v>7</v>
      </c>
      <c r="E2" s="19" t="s">
        <v>8</v>
      </c>
      <c r="F2" s="19" t="s">
        <v>9</v>
      </c>
      <c r="G2" s="19" t="s">
        <v>10</v>
      </c>
      <c r="H2" s="18" t="s">
        <v>11</v>
      </c>
      <c r="I2" s="50" t="s">
        <v>12</v>
      </c>
      <c r="J2" s="20" t="s">
        <v>13</v>
      </c>
      <c r="K2" s="18" t="s">
        <v>14</v>
      </c>
      <c r="L2" s="21" t="s">
        <v>15</v>
      </c>
      <c r="M2" s="50" t="s">
        <v>16</v>
      </c>
      <c r="N2" s="18" t="s">
        <v>17</v>
      </c>
      <c r="O2" s="18" t="s">
        <v>18</v>
      </c>
      <c r="P2" s="50" t="s">
        <v>19</v>
      </c>
      <c r="Q2" s="18" t="s">
        <v>20</v>
      </c>
      <c r="R2" s="22" t="s">
        <v>21</v>
      </c>
      <c r="S2" s="18" t="s">
        <v>22</v>
      </c>
      <c r="T2" s="23" t="s">
        <v>23</v>
      </c>
      <c r="U2" s="24" t="s">
        <v>24</v>
      </c>
      <c r="V2" s="25" t="s">
        <v>25</v>
      </c>
      <c r="W2" s="25" t="s">
        <v>26</v>
      </c>
      <c r="X2" s="26" t="s">
        <v>27</v>
      </c>
      <c r="Y2" s="107" t="s">
        <v>28</v>
      </c>
      <c r="Z2" s="103" t="s">
        <v>29</v>
      </c>
      <c r="AA2" s="108" t="s">
        <v>30</v>
      </c>
      <c r="AB2" s="18" t="s">
        <v>31</v>
      </c>
      <c r="AC2" s="18" t="s">
        <v>32</v>
      </c>
      <c r="AD2" s="18" t="s">
        <v>33</v>
      </c>
      <c r="AE2" s="18" t="s">
        <v>34</v>
      </c>
      <c r="AF2" s="18" t="s">
        <v>35</v>
      </c>
    </row>
    <row r="3" spans="1:32" ht="25" customHeight="1">
      <c r="A3" s="27">
        <v>46120</v>
      </c>
      <c r="B3" s="28">
        <v>143113</v>
      </c>
      <c r="C3" s="28" t="str">
        <f>IF(tbl_TubeLaser[[#This Row],[Part'#]]="", "Batch", "Part")</f>
        <v>Part</v>
      </c>
      <c r="D3" s="28" t="s">
        <v>36</v>
      </c>
      <c r="E3" s="29">
        <v>0.26250000000000001</v>
      </c>
      <c r="F3" s="29">
        <v>0.27361111111111114</v>
      </c>
      <c r="G3" s="28">
        <v>24</v>
      </c>
      <c r="H3" s="28">
        <v>2</v>
      </c>
      <c r="I3" s="70">
        <f>tbl_TubeLaser[[#This Row],[Qty Complete]]/tbl_TubeLaser[[#This Row],[Qty Required]]</f>
        <v>8.3333333333333329E-2</v>
      </c>
      <c r="J3" s="30">
        <v>45</v>
      </c>
      <c r="K3" s="28">
        <v>1</v>
      </c>
      <c r="L3" s="31">
        <f>IF(tbl_TubeLaser[[#This Row],[Job Type]]="Batch",0,tbl_TubeLaser[[#This Row],[Qty Required]]/tbl_TubeLaser[[#This Row],[PPH]]*tbl_TubeLaser[[#This Row],['# of men]])</f>
        <v>0.53333333333333333</v>
      </c>
      <c r="M3" s="31">
        <f>IF(tbl_TubeLaser[[#This Row],[Job Type]]="Batch",tbl_TubeLaser[[#This Row],[Batch Hours]]*tbl_TubeLaser[[#This Row],[% Complete]],tbl_TubeLaser[[#This Row],[Total hours]]*tbl_TubeLaser[[#This Row],[% Complete]])</f>
        <v>4.4444444444444439E-2</v>
      </c>
      <c r="N3" s="31"/>
      <c r="O3" s="28" t="s">
        <v>37</v>
      </c>
      <c r="P3" s="28">
        <f>tbl_TubeLaser[[#This Row],[Mat. Qty]]*tbl_TubeLaser[[#This Row],[% Complete]]</f>
        <v>0.33333333333333331</v>
      </c>
      <c r="Q3" s="28">
        <v>4</v>
      </c>
      <c r="R3" s="32">
        <f>IFERROR(tbl_TubeLaser[[#This Row],[Qty Complete]]/tbl_TubeLaser[[#This Row],[Total Hours Act]]*tbl_TubeLaser[[#This Row],['# of men Act]],"")</f>
        <v>7.4999999999999893</v>
      </c>
      <c r="S3" s="28">
        <v>1</v>
      </c>
      <c r="T3"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0.26666666666666705</v>
      </c>
      <c r="U3" s="34">
        <v>1</v>
      </c>
      <c r="V3" s="33">
        <v>0.51</v>
      </c>
      <c r="W3" s="33">
        <v>0.23</v>
      </c>
      <c r="X3" s="35">
        <f>IFERROR((tbl_TubeLaser[[#This Row],[Adj. Total Hours]]+tbl_TubeLaser[[#This Row],[Est. Hours]])/(tbl_TubeLaser[[#This Row],[Total Hours Act]]+tbl_TubeLaser[[#This Row],[Act. Hours]]),"")</f>
        <v>1.1163310961968671</v>
      </c>
      <c r="Y3"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3" s="104">
        <f>IFERROR(tbl_TubeLaser[[#This Row],[Act. Mat. Qty]]-tbl_TubeLaser[[#This Row],[Adj. Mat. Qty]],"")</f>
        <v>0.66666666666666674</v>
      </c>
      <c r="AA3"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3" s="31" t="s">
        <v>38</v>
      </c>
      <c r="AD3" s="36"/>
    </row>
    <row r="4" spans="1:32" ht="25" customHeight="1">
      <c r="A4" s="27">
        <v>46120</v>
      </c>
      <c r="B4" s="28" t="s">
        <v>39</v>
      </c>
      <c r="C4" s="28" t="str">
        <f>IF(tbl_TubeLaser[[#This Row],[Part'#]]="", "Batch", "Part")</f>
        <v>Part</v>
      </c>
      <c r="D4" s="28">
        <v>15024304</v>
      </c>
      <c r="E4" s="29">
        <v>0.35694444444444445</v>
      </c>
      <c r="F4" s="29">
        <v>0.47291666666666665</v>
      </c>
      <c r="G4" s="28">
        <v>30</v>
      </c>
      <c r="H4" s="28">
        <v>20</v>
      </c>
      <c r="I4" s="70">
        <f>tbl_TubeLaser[[#This Row],[Qty Complete]]/tbl_TubeLaser[[#This Row],[Qty Required]]</f>
        <v>0.66666666666666663</v>
      </c>
      <c r="J4" s="30">
        <v>9</v>
      </c>
      <c r="K4" s="28">
        <v>1</v>
      </c>
      <c r="L4" s="31">
        <v>3.33</v>
      </c>
      <c r="M4" s="31">
        <f>IF(tbl_TubeLaser[[#This Row],[Job Type]]="Batch",tbl_TubeLaser[[#This Row],[Batch Hours]]*tbl_TubeLaser[[#This Row],[% Complete]],tbl_TubeLaser[[#This Row],[Total hours]]*tbl_TubeLaser[[#This Row],[% Complete]])</f>
        <v>2.2199999999999998</v>
      </c>
      <c r="N4" s="31"/>
      <c r="O4" s="28" t="s">
        <v>40</v>
      </c>
      <c r="P4" s="28">
        <f>tbl_TubeLaser[[#This Row],[Mat. Qty]]*tbl_TubeLaser[[#This Row],[% Complete]]</f>
        <v>20</v>
      </c>
      <c r="Q4" s="28">
        <v>30</v>
      </c>
      <c r="R4" s="32">
        <f>IFERROR(tbl_TubeLaser[[#This Row],[Qty Complete]]/tbl_TubeLaser[[#This Row],[Total Hours Act]]*tbl_TubeLaser[[#This Row],['# of men Act]],"")</f>
        <v>7.1856287425149716</v>
      </c>
      <c r="S4" s="28">
        <v>1</v>
      </c>
      <c r="T4"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2.7833333333333328</v>
      </c>
      <c r="U4" s="34">
        <v>20</v>
      </c>
      <c r="V4" s="33">
        <v>0.5</v>
      </c>
      <c r="W4" s="33">
        <v>1.97</v>
      </c>
      <c r="X4" s="35">
        <f>IFERROR((tbl_TubeLaser[[#This Row],[Adj. Total Hours]]+tbl_TubeLaser[[#This Row],[Est. Hours]])/(tbl_TubeLaser[[#This Row],[Total Hours Act]]+tbl_TubeLaser[[#This Row],[Act. Hours]]),"")</f>
        <v>0.57223001402524543</v>
      </c>
      <c r="Y4"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4" s="104">
        <f>IFERROR(tbl_TubeLaser[[#This Row],[Act. Mat. Qty]]-tbl_TubeLaser[[#This Row],[Adj. Mat. Qty]],"")</f>
        <v>0</v>
      </c>
      <c r="AA4"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B4" s="28" t="s">
        <v>41</v>
      </c>
      <c r="AC4" s="31" t="s">
        <v>38</v>
      </c>
      <c r="AD4" s="36"/>
    </row>
    <row r="5" spans="1:32" ht="25" customHeight="1">
      <c r="A5" s="27">
        <v>46120</v>
      </c>
      <c r="B5" s="28" t="s">
        <v>42</v>
      </c>
      <c r="C5" s="28" t="str">
        <f>IF(tbl_TubeLaser[[#This Row],[Part'#]]="", "Batch", "Part")</f>
        <v>Part</v>
      </c>
      <c r="D5" s="28" t="s">
        <v>43</v>
      </c>
      <c r="E5" s="29">
        <v>0.68055555555555558</v>
      </c>
      <c r="F5" s="29">
        <v>0.68611111111111112</v>
      </c>
      <c r="G5" s="28">
        <v>60</v>
      </c>
      <c r="H5" s="28">
        <v>30</v>
      </c>
      <c r="I5" s="70">
        <f>tbl_TubeLaser[[#This Row],[Qty Complete]]/tbl_TubeLaser[[#This Row],[Qty Required]]</f>
        <v>0.5</v>
      </c>
      <c r="J5" s="30">
        <v>60</v>
      </c>
      <c r="K5" s="28">
        <v>1</v>
      </c>
      <c r="L5" s="31">
        <v>1</v>
      </c>
      <c r="M5" s="31">
        <f>IF(tbl_TubeLaser[[#This Row],[Job Type]]="Batch",tbl_TubeLaser[[#This Row],[Batch Hours]]*tbl_TubeLaser[[#This Row],[% Complete]],tbl_TubeLaser[[#This Row],[Total hours]]*tbl_TubeLaser[[#This Row],[% Complete]])</f>
        <v>0.5</v>
      </c>
      <c r="N5" s="31"/>
      <c r="O5" s="28" t="s">
        <v>44</v>
      </c>
      <c r="P5" s="28">
        <f>tbl_TubeLaser[[#This Row],[Mat. Qty]]*tbl_TubeLaser[[#This Row],[% Complete]]</f>
        <v>1.5</v>
      </c>
      <c r="Q5" s="28">
        <v>3</v>
      </c>
      <c r="R5" s="32">
        <f>IFERROR(tbl_TubeLaser[[#This Row],[Qty Complete]]/tbl_TubeLaser[[#This Row],[Total Hours Act]]*tbl_TubeLaser[[#This Row],['# of men Act]],"")</f>
        <v>225.0000000000008</v>
      </c>
      <c r="S5" s="28">
        <v>1</v>
      </c>
      <c r="T5"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0.13333333333333286</v>
      </c>
      <c r="U5" s="34">
        <v>2</v>
      </c>
      <c r="V5" s="33">
        <v>0.5</v>
      </c>
      <c r="W5" s="33">
        <v>2.8</v>
      </c>
      <c r="X5" s="35">
        <f>IFERROR((tbl_TubeLaser[[#This Row],[Adj. Total Hours]]+tbl_TubeLaser[[#This Row],[Est. Hours]])/(tbl_TubeLaser[[#This Row],[Total Hours Act]]+tbl_TubeLaser[[#This Row],[Act. Hours]]),"")</f>
        <v>0.34090909090909099</v>
      </c>
      <c r="Y5"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5" s="104">
        <f>IFERROR(tbl_TubeLaser[[#This Row],[Act. Mat. Qty]]-tbl_TubeLaser[[#This Row],[Adj. Mat. Qty]],"")</f>
        <v>0.5</v>
      </c>
      <c r="AA5"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B5" s="28" t="s">
        <v>45</v>
      </c>
      <c r="AC5" s="31" t="s">
        <v>38</v>
      </c>
      <c r="AD5" s="36"/>
    </row>
    <row r="6" spans="1:32" ht="25" customHeight="1">
      <c r="A6" s="27">
        <v>46120</v>
      </c>
      <c r="B6" s="28" t="s">
        <v>46</v>
      </c>
      <c r="C6" s="28" t="str">
        <f>IF(tbl_TubeLaser[[#This Row],[Part'#]]="", "Batch", "Part")</f>
        <v>Part</v>
      </c>
      <c r="D6" s="28">
        <v>2403141</v>
      </c>
      <c r="E6" s="29">
        <v>0.30555555555555558</v>
      </c>
      <c r="F6" s="29">
        <v>0.31874999999999998</v>
      </c>
      <c r="G6" s="28">
        <v>332</v>
      </c>
      <c r="H6" s="28">
        <v>3</v>
      </c>
      <c r="I6" s="70">
        <f>tbl_TubeLaser[[#This Row],[Qty Complete]]/tbl_TubeLaser[[#This Row],[Qty Required]]</f>
        <v>9.0361445783132526E-3</v>
      </c>
      <c r="J6" s="30">
        <v>24</v>
      </c>
      <c r="K6" s="28">
        <v>1</v>
      </c>
      <c r="L6" s="31">
        <v>13.83</v>
      </c>
      <c r="M6" s="31">
        <f>IF(tbl_TubeLaser[[#This Row],[Job Type]]="Batch",tbl_TubeLaser[[#This Row],[Batch Hours]]*tbl_TubeLaser[[#This Row],[% Complete]],tbl_TubeLaser[[#This Row],[Total hours]]*tbl_TubeLaser[[#This Row],[% Complete]])</f>
        <v>0.12496987951807229</v>
      </c>
      <c r="N6" s="31"/>
      <c r="O6" s="28" t="s">
        <v>47</v>
      </c>
      <c r="P6" s="28">
        <f>tbl_TubeLaser[[#This Row],[Mat. Qty]]*tbl_TubeLaser[[#This Row],[% Complete]]</f>
        <v>1.5</v>
      </c>
      <c r="Q6" s="28">
        <v>166</v>
      </c>
      <c r="R6" s="32">
        <f>IFERROR(tbl_TubeLaser[[#This Row],[Qty Complete]]/tbl_TubeLaser[[#This Row],[Total Hours Act]]*tbl_TubeLaser[[#This Row],['# of men Act]],"")</f>
        <v>9.4736842105263488</v>
      </c>
      <c r="S6" s="28">
        <v>1</v>
      </c>
      <c r="T6"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0.31666666666666554</v>
      </c>
      <c r="U6" s="34">
        <v>3</v>
      </c>
      <c r="V6" s="33">
        <v>0.5</v>
      </c>
      <c r="W6" s="33">
        <v>0.43</v>
      </c>
      <c r="X6" s="35">
        <f>IFERROR((tbl_TubeLaser[[#This Row],[Adj. Total Hours]]+tbl_TubeLaser[[#This Row],[Est. Hours]])/(tbl_TubeLaser[[#This Row],[Total Hours Act]]+tbl_TubeLaser[[#This Row],[Act. Hours]]),"")</f>
        <v>0.83701323149741957</v>
      </c>
      <c r="Y6"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6" s="104">
        <f>IFERROR(tbl_TubeLaser[[#This Row],[Act. Mat. Qty]]-tbl_TubeLaser[[#This Row],[Adj. Mat. Qty]],"")</f>
        <v>1.5</v>
      </c>
      <c r="AA6"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B6" s="28" t="s">
        <v>48</v>
      </c>
      <c r="AC6" s="31" t="s">
        <v>49</v>
      </c>
      <c r="AD6" s="36"/>
    </row>
    <row r="7" spans="1:32" ht="25" customHeight="1">
      <c r="A7" s="27">
        <v>46120</v>
      </c>
      <c r="B7" s="28" t="s">
        <v>50</v>
      </c>
      <c r="C7" s="28" t="str">
        <f>IF(tbl_TubeLaser[[#This Row],[Part'#]]="", "Batch", "Part")</f>
        <v>Part</v>
      </c>
      <c r="D7" s="28">
        <v>2403130</v>
      </c>
      <c r="E7" s="29">
        <v>0.30625000000000002</v>
      </c>
      <c r="F7" s="29">
        <v>0.31944444444444442</v>
      </c>
      <c r="G7" s="28">
        <v>328</v>
      </c>
      <c r="H7" s="28">
        <v>3</v>
      </c>
      <c r="I7" s="70">
        <f>tbl_TubeLaser[[#This Row],[Qty Complete]]/tbl_TubeLaser[[#This Row],[Qty Required]]</f>
        <v>9.1463414634146336E-3</v>
      </c>
      <c r="J7" s="30">
        <v>21</v>
      </c>
      <c r="K7" s="28">
        <v>1</v>
      </c>
      <c r="L7" s="31">
        <v>15.62</v>
      </c>
      <c r="M7" s="31">
        <f>IF(tbl_TubeLaser[[#This Row],[Job Type]]="Batch",tbl_TubeLaser[[#This Row],[Batch Hours]]*tbl_TubeLaser[[#This Row],[% Complete]],tbl_TubeLaser[[#This Row],[Total hours]]*tbl_TubeLaser[[#This Row],[% Complete]])</f>
        <v>0.14286585365853657</v>
      </c>
      <c r="N7" s="31"/>
      <c r="O7" s="28" t="s">
        <v>47</v>
      </c>
      <c r="P7" s="28">
        <f>tbl_TubeLaser[[#This Row],[Mat. Qty]]*tbl_TubeLaser[[#This Row],[% Complete]]</f>
        <v>1.5</v>
      </c>
      <c r="Q7" s="28">
        <v>164</v>
      </c>
      <c r="R7" s="32">
        <f>IFERROR(tbl_TubeLaser[[#This Row],[Qty Complete]]/tbl_TubeLaser[[#This Row],[Total Hours Act]]*tbl_TubeLaser[[#This Row],['# of men Act]],"")</f>
        <v>9.4736842105263488</v>
      </c>
      <c r="S7" s="28">
        <v>1</v>
      </c>
      <c r="T7"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0.31666666666666554</v>
      </c>
      <c r="U7" s="34">
        <v>3</v>
      </c>
      <c r="V7" s="33">
        <v>0.5</v>
      </c>
      <c r="W7" s="33">
        <v>0.84</v>
      </c>
      <c r="X7" s="35">
        <f>IFERROR((tbl_TubeLaser[[#This Row],[Adj. Total Hours]]+tbl_TubeLaser[[#This Row],[Est. Hours]])/(tbl_TubeLaser[[#This Row],[Total Hours Act]]+tbl_TubeLaser[[#This Row],[Act. Hours]]),"")</f>
        <v>0.55579180431573827</v>
      </c>
      <c r="Y7"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7" s="104">
        <f>IFERROR(tbl_TubeLaser[[#This Row],[Act. Mat. Qty]]-tbl_TubeLaser[[#This Row],[Adj. Mat. Qty]],"")</f>
        <v>1.5</v>
      </c>
      <c r="AA7"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B7" s="28" t="s">
        <v>51</v>
      </c>
      <c r="AC7" s="31" t="s">
        <v>49</v>
      </c>
      <c r="AD7" s="36"/>
    </row>
    <row r="8" spans="1:32" ht="25" customHeight="1">
      <c r="A8" s="27">
        <v>46120</v>
      </c>
      <c r="B8" s="28" t="s">
        <v>52</v>
      </c>
      <c r="C8" s="28" t="str">
        <f>IF(tbl_TubeLaser[[#This Row],[Part'#]]="", "Batch", "Part")</f>
        <v>Part</v>
      </c>
      <c r="D8" s="28" t="s">
        <v>53</v>
      </c>
      <c r="E8" s="29">
        <v>0.33055555555555555</v>
      </c>
      <c r="F8" s="29">
        <v>0.38263888888888886</v>
      </c>
      <c r="G8" s="28">
        <v>28</v>
      </c>
      <c r="H8" s="28">
        <v>28</v>
      </c>
      <c r="I8" s="70">
        <f>tbl_TubeLaser[[#This Row],[Qty Complete]]/tbl_TubeLaser[[#This Row],[Qty Required]]</f>
        <v>1</v>
      </c>
      <c r="J8" s="30">
        <v>36</v>
      </c>
      <c r="K8" s="28">
        <v>1</v>
      </c>
      <c r="L8" s="31">
        <v>0.78</v>
      </c>
      <c r="M8" s="31">
        <f>IF(tbl_TubeLaser[[#This Row],[Job Type]]="Batch",tbl_TubeLaser[[#This Row],[Batch Hours]]*tbl_TubeLaser[[#This Row],[% Complete]],tbl_TubeLaser[[#This Row],[Total hours]]*tbl_TubeLaser[[#This Row],[% Complete]])</f>
        <v>0.78</v>
      </c>
      <c r="N8" s="31"/>
      <c r="O8" s="28" t="s">
        <v>54</v>
      </c>
      <c r="P8" s="28">
        <f>tbl_TubeLaser[[#This Row],[Mat. Qty]]*tbl_TubeLaser[[#This Row],[% Complete]]</f>
        <v>3</v>
      </c>
      <c r="Q8" s="28">
        <v>3</v>
      </c>
      <c r="R8" s="32">
        <f>IFERROR(tbl_TubeLaser[[#This Row],[Qty Complete]]/tbl_TubeLaser[[#This Row],[Total Hours Act]]*tbl_TubeLaser[[#This Row],['# of men Act]],"")</f>
        <v>22.400000000000009</v>
      </c>
      <c r="S8" s="28">
        <v>1</v>
      </c>
      <c r="T8"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1.2499999999999996</v>
      </c>
      <c r="U8" s="34">
        <v>3</v>
      </c>
      <c r="V8" s="33">
        <v>0.5</v>
      </c>
      <c r="W8" s="33">
        <v>0.27</v>
      </c>
      <c r="X8" s="35">
        <f>IFERROR((tbl_TubeLaser[[#This Row],[Adj. Total Hours]]+tbl_TubeLaser[[#This Row],[Est. Hours]])/(tbl_TubeLaser[[#This Row],[Total Hours Act]]+tbl_TubeLaser[[#This Row],[Act. Hours]]),"")</f>
        <v>0.84210526315789502</v>
      </c>
      <c r="Y8" s="102">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0.84210526315789502</v>
      </c>
      <c r="Z8" s="104">
        <f>IFERROR(tbl_TubeLaser[[#This Row],[Act. Mat. Qty]]-tbl_TubeLaser[[#This Row],[Adj. Mat. Qty]],"")</f>
        <v>0</v>
      </c>
      <c r="AA8" s="105">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0</v>
      </c>
      <c r="AB8" s="28" t="s">
        <v>55</v>
      </c>
      <c r="AC8" s="31" t="s">
        <v>49</v>
      </c>
      <c r="AD8" s="36"/>
    </row>
    <row r="9" spans="1:32" ht="25" customHeight="1">
      <c r="A9" s="27">
        <v>46120</v>
      </c>
      <c r="B9" s="28" t="s">
        <v>56</v>
      </c>
      <c r="C9" s="28" t="str">
        <f>IF(tbl_TubeLaser[[#This Row],[Part'#]]="", "Batch", "Part")</f>
        <v>Part</v>
      </c>
      <c r="D9" s="28" t="s">
        <v>57</v>
      </c>
      <c r="E9" s="29">
        <v>0.40833333333333333</v>
      </c>
      <c r="F9" s="29">
        <v>0.41388888888888886</v>
      </c>
      <c r="G9" s="28">
        <v>8</v>
      </c>
      <c r="H9" s="28">
        <v>2</v>
      </c>
      <c r="I9" s="70">
        <f>tbl_TubeLaser[[#This Row],[Qty Complete]]/tbl_TubeLaser[[#This Row],[Qty Required]]</f>
        <v>0.25</v>
      </c>
      <c r="J9" s="30">
        <v>18</v>
      </c>
      <c r="K9" s="28">
        <v>1</v>
      </c>
      <c r="L9" s="31">
        <v>0.44</v>
      </c>
      <c r="M9" s="31">
        <f>IF(tbl_TubeLaser[[#This Row],[Job Type]]="Batch",tbl_TubeLaser[[#This Row],[Batch Hours]]*tbl_TubeLaser[[#This Row],[% Complete]],tbl_TubeLaser[[#This Row],[Total hours]]*tbl_TubeLaser[[#This Row],[% Complete]])</f>
        <v>0.11</v>
      </c>
      <c r="N9" s="31"/>
      <c r="O9" s="28" t="s">
        <v>58</v>
      </c>
      <c r="P9" s="28">
        <f>tbl_TubeLaser[[#This Row],[Mat. Qty]]*tbl_TubeLaser[[#This Row],[% Complete]]</f>
        <v>0.25</v>
      </c>
      <c r="Q9" s="28">
        <v>1</v>
      </c>
      <c r="R9" s="32">
        <f>IFERROR(tbl_TubeLaser[[#This Row],[Qty Complete]]/tbl_TubeLaser[[#This Row],[Total Hours Act]]*tbl_TubeLaser[[#This Row],['# of men Act]],"")</f>
        <v>15.000000000000053</v>
      </c>
      <c r="S9" s="28">
        <v>1</v>
      </c>
      <c r="T9"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0.13333333333333286</v>
      </c>
      <c r="U9" s="34">
        <v>1</v>
      </c>
      <c r="V9" s="33">
        <v>0.5</v>
      </c>
      <c r="W9" s="33">
        <v>0.6</v>
      </c>
      <c r="X9" s="35">
        <f>IFERROR((tbl_TubeLaser[[#This Row],[Adj. Total Hours]]+tbl_TubeLaser[[#This Row],[Est. Hours]])/(tbl_TubeLaser[[#This Row],[Total Hours Act]]+tbl_TubeLaser[[#This Row],[Act. Hours]]),"")</f>
        <v>0.83181818181818235</v>
      </c>
      <c r="Y9"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9" s="104">
        <f>IFERROR(tbl_TubeLaser[[#This Row],[Act. Mat. Qty]]-tbl_TubeLaser[[#This Row],[Adj. Mat. Qty]],"")</f>
        <v>0.75</v>
      </c>
      <c r="AA9"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B9" s="28" t="s">
        <v>59</v>
      </c>
      <c r="AC9" s="31" t="s">
        <v>49</v>
      </c>
      <c r="AD9" s="36"/>
    </row>
    <row r="10" spans="1:32" ht="25" customHeight="1">
      <c r="A10" s="27">
        <v>46120</v>
      </c>
      <c r="B10" s="28" t="s">
        <v>60</v>
      </c>
      <c r="C10" s="28" t="str">
        <f>IF(tbl_TubeLaser[[#This Row],[Part'#]]="", "Batch", "Part")</f>
        <v>Part</v>
      </c>
      <c r="D10" s="28">
        <v>300032</v>
      </c>
      <c r="E10" s="29">
        <v>0.47847222222222224</v>
      </c>
      <c r="F10" s="29">
        <v>0.5541666666666667</v>
      </c>
      <c r="G10" s="28">
        <v>200</v>
      </c>
      <c r="H10" s="28">
        <v>49</v>
      </c>
      <c r="I10" s="70">
        <f>tbl_TubeLaser[[#This Row],[Qty Complete]]/tbl_TubeLaser[[#This Row],[Qty Required]]</f>
        <v>0.245</v>
      </c>
      <c r="J10" s="30">
        <v>19</v>
      </c>
      <c r="K10" s="28">
        <v>1</v>
      </c>
      <c r="L10" s="31">
        <v>10.53</v>
      </c>
      <c r="M10" s="31">
        <f>IF(tbl_TubeLaser[[#This Row],[Job Type]]="Batch",tbl_TubeLaser[[#This Row],[Batch Hours]]*tbl_TubeLaser[[#This Row],[% Complete]],tbl_TubeLaser[[#This Row],[Total hours]]*tbl_TubeLaser[[#This Row],[% Complete]])</f>
        <v>2.57985</v>
      </c>
      <c r="N10" s="31"/>
      <c r="O10" s="28" t="s">
        <v>61</v>
      </c>
      <c r="P10" s="28">
        <f>tbl_TubeLaser[[#This Row],[Mat. Qty]]*tbl_TubeLaser[[#This Row],[% Complete]]</f>
        <v>2.94</v>
      </c>
      <c r="Q10" s="28">
        <v>12</v>
      </c>
      <c r="R10" s="32">
        <f>IFERROR(tbl_TubeLaser[[#This Row],[Qty Complete]]/tbl_TubeLaser[[#This Row],[Total Hours Act]]*tbl_TubeLaser[[#This Row],['# of men Act]],"")</f>
        <v>37.215189873417714</v>
      </c>
      <c r="S10" s="28">
        <v>1</v>
      </c>
      <c r="T10"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1.3166666666666669</v>
      </c>
      <c r="U10" s="34">
        <v>3</v>
      </c>
      <c r="V10" s="33">
        <v>0.5</v>
      </c>
      <c r="W10" s="33">
        <v>1.53</v>
      </c>
      <c r="X10" s="35">
        <f>IFERROR((tbl_TubeLaser[[#This Row],[Adj. Total Hours]]+tbl_TubeLaser[[#This Row],[Est. Hours]])/(tbl_TubeLaser[[#This Row],[Total Hours Act]]+tbl_TubeLaser[[#This Row],[Act. Hours]]),"")</f>
        <v>1.0819145199063231</v>
      </c>
      <c r="Y10"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0" s="104">
        <f>IFERROR(tbl_TubeLaser[[#This Row],[Act. Mat. Qty]]-tbl_TubeLaser[[#This Row],[Adj. Mat. Qty]],"")</f>
        <v>6.0000000000000053E-2</v>
      </c>
      <c r="AA10"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B10" s="28" t="s">
        <v>62</v>
      </c>
      <c r="AC10" s="31" t="s">
        <v>49</v>
      </c>
      <c r="AD10" s="36"/>
    </row>
    <row r="11" spans="1:32" ht="25" customHeight="1">
      <c r="A11" s="27">
        <v>46121</v>
      </c>
      <c r="B11" s="28" t="s">
        <v>46</v>
      </c>
      <c r="C11" s="28" t="str">
        <f>IF(tbl_TubeLaser[[#This Row],[Part'#]]="", "Batch", "Part")</f>
        <v>Part</v>
      </c>
      <c r="D11" s="28">
        <v>2403141</v>
      </c>
      <c r="E11" s="29">
        <v>0.22916666666666666</v>
      </c>
      <c r="F11" s="29">
        <v>0.34375</v>
      </c>
      <c r="G11" s="28">
        <v>332</v>
      </c>
      <c r="H11" s="28">
        <v>80</v>
      </c>
      <c r="I11" s="70">
        <f>tbl_TubeLaser[[#This Row],[Qty Complete]]/tbl_TubeLaser[[#This Row],[Qty Required]]</f>
        <v>0.24096385542168675</v>
      </c>
      <c r="J11" s="30">
        <v>24</v>
      </c>
      <c r="K11" s="28">
        <v>1</v>
      </c>
      <c r="L11" s="31">
        <f>IF(tbl_TubeLaser[[#This Row],[Job Type]]="Batch",0,tbl_TubeLaser[[#This Row],[Qty Required]]/tbl_TubeLaser[[#This Row],[PPH]]*tbl_TubeLaser[[#This Row],['# of men]])</f>
        <v>13.833333333333334</v>
      </c>
      <c r="M11" s="31">
        <f>IF(tbl_TubeLaser[[#This Row],[Job Type]]="Batch",tbl_TubeLaser[[#This Row],[Batch Hours]]*tbl_TubeLaser[[#This Row],[% Complete]],tbl_TubeLaser[[#This Row],[Total hours]]*tbl_TubeLaser[[#This Row],[% Complete]])</f>
        <v>3.3333333333333335</v>
      </c>
      <c r="N11" s="31"/>
      <c r="O11" s="28" t="s">
        <v>63</v>
      </c>
      <c r="P11" s="28">
        <f>tbl_TubeLaser[[#This Row],[Mat. Qty]]*tbl_TubeLaser[[#This Row],[% Complete]]</f>
        <v>9.6385542168674689</v>
      </c>
      <c r="Q11" s="28">
        <v>40</v>
      </c>
      <c r="R11" s="32">
        <f>IFERROR(tbl_TubeLaser[[#This Row],[Qty Complete]]/tbl_TubeLaser[[#This Row],[Total Hours Act]]*tbl_TubeLaser[[#This Row],['# of men Act]],"")</f>
        <v>29.09090909090909</v>
      </c>
      <c r="S11" s="28">
        <v>1</v>
      </c>
      <c r="T11"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2.75</v>
      </c>
      <c r="U11" s="34">
        <v>166</v>
      </c>
      <c r="V11" s="33">
        <v>0.5</v>
      </c>
      <c r="W11" s="33">
        <v>0.32</v>
      </c>
      <c r="X11" s="35">
        <f>IFERROR((tbl_TubeLaser[[#This Row],[Adj. Total Hours]]+tbl_TubeLaser[[#This Row],[Est. Hours]])/(tbl_TubeLaser[[#This Row],[Total Hours Act]]+tbl_TubeLaser[[#This Row],[Act. Hours]]),"")</f>
        <v>1.2486427795874051</v>
      </c>
      <c r="Y11"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1" s="104">
        <f>IFERROR(tbl_TubeLaser[[#This Row],[Act. Mat. Qty]]-tbl_TubeLaser[[#This Row],[Adj. Mat. Qty]],"")</f>
        <v>156.36144578313252</v>
      </c>
      <c r="AA11"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1" s="31" t="s">
        <v>38</v>
      </c>
      <c r="AD11" s="36"/>
    </row>
    <row r="12" spans="1:32" ht="25" customHeight="1">
      <c r="A12" s="27">
        <v>46121</v>
      </c>
      <c r="B12" s="28">
        <v>143036</v>
      </c>
      <c r="C12" s="28" t="str">
        <f>IF(tbl_TubeLaser[[#This Row],[Part'#]]="", "Batch", "Part")</f>
        <v>Part</v>
      </c>
      <c r="D12" s="28" t="s">
        <v>64</v>
      </c>
      <c r="E12" s="29">
        <v>0.35694444444444445</v>
      </c>
      <c r="F12" s="29">
        <v>0.41319444444444442</v>
      </c>
      <c r="G12" s="28">
        <v>255</v>
      </c>
      <c r="H12" s="28">
        <v>47</v>
      </c>
      <c r="I12" s="70">
        <f>tbl_TubeLaser[[#This Row],[Qty Complete]]/tbl_TubeLaser[[#This Row],[Qty Required]]</f>
        <v>0.18431372549019609</v>
      </c>
      <c r="J12" s="30">
        <v>30</v>
      </c>
      <c r="K12" s="28">
        <v>1</v>
      </c>
      <c r="L12" s="31">
        <f>IF(tbl_TubeLaser[[#This Row],[Job Type]]="Batch",0,tbl_TubeLaser[[#This Row],[Qty Required]]/tbl_TubeLaser[[#This Row],[PPH]]*tbl_TubeLaser[[#This Row],['# of men]])</f>
        <v>8.5</v>
      </c>
      <c r="M12" s="31">
        <f>IF(tbl_TubeLaser[[#This Row],[Job Type]]="Batch",tbl_TubeLaser[[#This Row],[Batch Hours]]*tbl_TubeLaser[[#This Row],[% Complete]],tbl_TubeLaser[[#This Row],[Total hours]]*tbl_TubeLaser[[#This Row],[% Complete]])</f>
        <v>1.5666666666666669</v>
      </c>
      <c r="N12" s="31"/>
      <c r="O12" s="28" t="s">
        <v>65</v>
      </c>
      <c r="P12" s="28">
        <f>tbl_TubeLaser[[#This Row],[Mat. Qty]]*tbl_TubeLaser[[#This Row],[% Complete]]</f>
        <v>23.592156862745099</v>
      </c>
      <c r="Q12" s="28">
        <v>128</v>
      </c>
      <c r="R12" s="32">
        <f>IFERROR(tbl_TubeLaser[[#This Row],[Qty Complete]]/tbl_TubeLaser[[#This Row],[Total Hours Act]]*tbl_TubeLaser[[#This Row],['# of men Act]],"")</f>
        <v>34.814814814814838</v>
      </c>
      <c r="S12" s="28">
        <v>1</v>
      </c>
      <c r="T12"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1.3499999999999992</v>
      </c>
      <c r="U12" s="34">
        <v>24</v>
      </c>
      <c r="V12" s="33">
        <v>0.51</v>
      </c>
      <c r="W12" s="33">
        <v>3.15</v>
      </c>
      <c r="X12" s="35">
        <f>IFERROR((tbl_TubeLaser[[#This Row],[Adj. Total Hours]]+tbl_TubeLaser[[#This Row],[Est. Hours]])/(tbl_TubeLaser[[#This Row],[Total Hours Act]]+tbl_TubeLaser[[#This Row],[Act. Hours]]),"")</f>
        <v>0.46148148148148166</v>
      </c>
      <c r="Y12"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2" s="104">
        <f>IFERROR(tbl_TubeLaser[[#This Row],[Act. Mat. Qty]]-tbl_TubeLaser[[#This Row],[Adj. Mat. Qty]],"")</f>
        <v>0.40784313725490051</v>
      </c>
      <c r="AA12"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B12" s="28" t="s">
        <v>66</v>
      </c>
      <c r="AC12" s="31" t="s">
        <v>38</v>
      </c>
      <c r="AD12" s="36"/>
    </row>
    <row r="13" spans="1:32" ht="25" customHeight="1">
      <c r="A13" s="27">
        <v>46121</v>
      </c>
      <c r="B13" s="28">
        <v>143200</v>
      </c>
      <c r="C13" s="28" t="str">
        <f>IF(tbl_TubeLaser[[#This Row],[Part'#]]="", "Batch", "Part")</f>
        <v>Batch</v>
      </c>
      <c r="E13" s="29">
        <v>0.46041666666666664</v>
      </c>
      <c r="F13" s="29">
        <v>0.59930555555555554</v>
      </c>
      <c r="G13" s="28">
        <v>48</v>
      </c>
      <c r="H13" s="28">
        <v>48</v>
      </c>
      <c r="I13" s="70">
        <f>tbl_TubeLaser[[#This Row],[Qty Complete]]/tbl_TubeLaser[[#This Row],[Qty Required]]</f>
        <v>1</v>
      </c>
      <c r="J13" s="30">
        <v>6</v>
      </c>
      <c r="K13" s="28">
        <v>1</v>
      </c>
      <c r="L13" s="31">
        <f>IF(tbl_TubeLaser[[#This Row],[Job Type]]="Batch",0,tbl_TubeLaser[[#This Row],[Qty Required]]/tbl_TubeLaser[[#This Row],[PPH]]*tbl_TubeLaser[[#This Row],['# of men]])</f>
        <v>0</v>
      </c>
      <c r="M13" s="31">
        <f>IF(tbl_TubeLaser[[#This Row],[Job Type]]="Batch",tbl_TubeLaser[[#This Row],[Batch Hours]]*tbl_TubeLaser[[#This Row],[% Complete]],tbl_TubeLaser[[#This Row],[Total hours]]*tbl_TubeLaser[[#This Row],[% Complete]])</f>
        <v>8</v>
      </c>
      <c r="N13" s="31">
        <v>8</v>
      </c>
      <c r="O13" s="28" t="s">
        <v>67</v>
      </c>
      <c r="P13" s="28">
        <f>tbl_TubeLaser[[#This Row],[Mat. Qty]]*tbl_TubeLaser[[#This Row],[% Complete]]</f>
        <v>24</v>
      </c>
      <c r="Q13" s="28">
        <v>24</v>
      </c>
      <c r="R13" s="32">
        <f>IFERROR(tbl_TubeLaser[[#This Row],[Qty Complete]]/tbl_TubeLaser[[#This Row],[Total Hours Act]]*tbl_TubeLaser[[#This Row],['# of men Act]],"")</f>
        <v>16.941176470588236</v>
      </c>
      <c r="S13" s="28">
        <v>1</v>
      </c>
      <c r="T13"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2.8333333333333335</v>
      </c>
      <c r="U13" s="34">
        <v>24</v>
      </c>
      <c r="V13" s="33">
        <v>0.5</v>
      </c>
      <c r="W13" s="33">
        <v>1.1299999999999999</v>
      </c>
      <c r="X13" s="35">
        <f>IFERROR((tbl_TubeLaser[[#This Row],[Adj. Total Hours]]+tbl_TubeLaser[[#This Row],[Est. Hours]])/(tbl_TubeLaser[[#This Row],[Total Hours Act]]+tbl_TubeLaser[[#This Row],[Act. Hours]]),"")</f>
        <v>2.1446593776282592</v>
      </c>
      <c r="Y13" s="102">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2.1446593776282592</v>
      </c>
      <c r="Z13" s="104">
        <f>IFERROR(tbl_TubeLaser[[#This Row],[Act. Mat. Qty]]-tbl_TubeLaser[[#This Row],[Adj. Mat. Qty]],"")</f>
        <v>0</v>
      </c>
      <c r="AA13" s="105">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0</v>
      </c>
      <c r="AC13" s="31" t="s">
        <v>38</v>
      </c>
      <c r="AD13" s="36"/>
    </row>
    <row r="14" spans="1:32" ht="25" customHeight="1">
      <c r="A14" s="27">
        <v>46121</v>
      </c>
      <c r="B14" s="28" t="s">
        <v>68</v>
      </c>
      <c r="C14" s="28" t="str">
        <f>IF(tbl_TubeLaser[[#This Row],[Part'#]]="", "Batch", "Part")</f>
        <v>Part</v>
      </c>
      <c r="D14" s="28" t="s">
        <v>69</v>
      </c>
      <c r="E14" s="29">
        <v>0.7055555555555556</v>
      </c>
      <c r="F14" s="29">
        <v>0.98611111111111116</v>
      </c>
      <c r="G14" s="28">
        <v>280</v>
      </c>
      <c r="H14" s="28">
        <v>280</v>
      </c>
      <c r="I14" s="70">
        <f>tbl_TubeLaser[[#This Row],[Qty Complete]]/tbl_TubeLaser[[#This Row],[Qty Required]]</f>
        <v>1</v>
      </c>
      <c r="J14" s="30">
        <v>30</v>
      </c>
      <c r="K14" s="28">
        <v>1</v>
      </c>
      <c r="L14" s="31">
        <f>IF(tbl_TubeLaser[[#This Row],[Job Type]]="Batch",0,tbl_TubeLaser[[#This Row],[Qty Required]]/tbl_TubeLaser[[#This Row],[PPH]]*tbl_TubeLaser[[#This Row],['# of men]])</f>
        <v>9.3333333333333339</v>
      </c>
      <c r="M14" s="31">
        <f>IF(tbl_TubeLaser[[#This Row],[Job Type]]="Batch",tbl_TubeLaser[[#This Row],[Batch Hours]]*tbl_TubeLaser[[#This Row],[% Complete]],tbl_TubeLaser[[#This Row],[Total hours]]*tbl_TubeLaser[[#This Row],[% Complete]])</f>
        <v>9.3333333333333339</v>
      </c>
      <c r="N14" s="31"/>
      <c r="O14" s="28" t="s">
        <v>70</v>
      </c>
      <c r="P14" s="28">
        <f>tbl_TubeLaser[[#This Row],[Mat. Qty]]*tbl_TubeLaser[[#This Row],[% Complete]]</f>
        <v>15</v>
      </c>
      <c r="Q14" s="28">
        <v>15</v>
      </c>
      <c r="R14" s="32">
        <f>IFERROR(tbl_TubeLaser[[#This Row],[Qty Complete]]/tbl_TubeLaser[[#This Row],[Total Hours Act]]*tbl_TubeLaser[[#This Row],['# of men Act]],"")</f>
        <v>41.584158415841586</v>
      </c>
      <c r="S14" s="28">
        <v>1</v>
      </c>
      <c r="T14"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6.7333333333333334</v>
      </c>
      <c r="U14" s="34">
        <v>15</v>
      </c>
      <c r="V14" s="33">
        <v>0.5</v>
      </c>
      <c r="W14" s="33">
        <v>0.3</v>
      </c>
      <c r="X14" s="35">
        <f>IFERROR((tbl_TubeLaser[[#This Row],[Adj. Total Hours]]+tbl_TubeLaser[[#This Row],[Est. Hours]])/(tbl_TubeLaser[[#This Row],[Total Hours Act]]+tbl_TubeLaser[[#This Row],[Act. Hours]]),"")</f>
        <v>1.3981042654028437</v>
      </c>
      <c r="Y14" s="102">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1.3981042654028437</v>
      </c>
      <c r="Z14" s="104">
        <f>IFERROR(tbl_TubeLaser[[#This Row],[Act. Mat. Qty]]-tbl_TubeLaser[[#This Row],[Adj. Mat. Qty]],"")</f>
        <v>0</v>
      </c>
      <c r="AA14" s="105">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0</v>
      </c>
      <c r="AC14" s="31" t="s">
        <v>71</v>
      </c>
      <c r="AD14" s="36"/>
    </row>
    <row r="15" spans="1:32" ht="25" customHeight="1">
      <c r="A15" s="27">
        <v>46121</v>
      </c>
      <c r="B15" s="78">
        <v>143201</v>
      </c>
      <c r="C15" s="28">
        <v>143201</v>
      </c>
      <c r="D15" s="28" t="s">
        <v>72</v>
      </c>
      <c r="E15" s="29">
        <v>0.72916666666666663</v>
      </c>
      <c r="F15" s="29">
        <v>0.79791666666666672</v>
      </c>
      <c r="G15" s="28">
        <v>24</v>
      </c>
      <c r="H15" s="28">
        <v>18</v>
      </c>
      <c r="I15" s="70">
        <f>tbl_TubeLaser[[#This Row],[Qty Complete]]/tbl_TubeLaser[[#This Row],[Qty Required]]</f>
        <v>0.75</v>
      </c>
      <c r="J15" s="30">
        <v>18</v>
      </c>
      <c r="K15" s="28">
        <v>1</v>
      </c>
      <c r="L15" s="31">
        <f>IF(tbl_TubeLaser[[#This Row],[Job Type]]="Batch",0,tbl_TubeLaser[[#This Row],[Qty Required]]/tbl_TubeLaser[[#This Row],[PPH]]*tbl_TubeLaser[[#This Row],['# of men]])</f>
        <v>1.3333333333333333</v>
      </c>
      <c r="M15" s="31">
        <f>IF(tbl_TubeLaser[[#This Row],[Job Type]]="Batch",tbl_TubeLaser[[#This Row],[Batch Hours]]*tbl_TubeLaser[[#This Row],[% Complete]],tbl_TubeLaser[[#This Row],[Total hours]]*tbl_TubeLaser[[#This Row],[% Complete]])</f>
        <v>1</v>
      </c>
      <c r="N15" s="31"/>
      <c r="O15" s="28" t="s">
        <v>73</v>
      </c>
      <c r="P15" s="28">
        <f>tbl_TubeLaser[[#This Row],[Mat. Qty]]*tbl_TubeLaser[[#This Row],[% Complete]]</f>
        <v>9</v>
      </c>
      <c r="Q15" s="28">
        <v>12</v>
      </c>
      <c r="R15" s="32">
        <f>IFERROR(tbl_TubeLaser[[#This Row],[Qty Complete]]/tbl_TubeLaser[[#This Row],[Total Hours Act]]*tbl_TubeLaser[[#This Row],['# of men Act]],"")</f>
        <v>10.909090909090896</v>
      </c>
      <c r="S15" s="28">
        <v>1</v>
      </c>
      <c r="T15"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1.6500000000000021</v>
      </c>
      <c r="U15" s="34">
        <v>9</v>
      </c>
      <c r="V15" s="33">
        <v>0.5</v>
      </c>
      <c r="W15" s="33">
        <v>0.3</v>
      </c>
      <c r="X15" s="35">
        <f>IFERROR((tbl_TubeLaser[[#This Row],[Adj. Total Hours]]+tbl_TubeLaser[[#This Row],[Est. Hours]])/(tbl_TubeLaser[[#This Row],[Total Hours Act]]+tbl_TubeLaser[[#This Row],[Act. Hours]]),"")</f>
        <v>0.76923076923076839</v>
      </c>
      <c r="Y15"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5" s="104">
        <f>IFERROR(tbl_TubeLaser[[#This Row],[Act. Mat. Qty]]-tbl_TubeLaser[[#This Row],[Adj. Mat. Qty]],"")</f>
        <v>0</v>
      </c>
      <c r="AA15"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B15" s="28" t="s">
        <v>74</v>
      </c>
      <c r="AC15" s="31"/>
      <c r="AD15" s="36"/>
    </row>
    <row r="16" spans="1:32" ht="25" customHeight="1">
      <c r="A16" s="27">
        <v>46121</v>
      </c>
      <c r="B16" s="78">
        <v>143117</v>
      </c>
      <c r="C16" s="28">
        <v>143117</v>
      </c>
      <c r="D16" s="28" t="s">
        <v>75</v>
      </c>
      <c r="E16" s="29">
        <v>0.72986111111111107</v>
      </c>
      <c r="F16" s="29">
        <v>0.79722222222222228</v>
      </c>
      <c r="G16" s="28">
        <v>12</v>
      </c>
      <c r="H16" s="28">
        <v>18</v>
      </c>
      <c r="I16" s="70">
        <f>tbl_TubeLaser[[#This Row],[Qty Complete]]/tbl_TubeLaser[[#This Row],[Qty Required]]</f>
        <v>1.5</v>
      </c>
      <c r="J16" s="30">
        <v>30</v>
      </c>
      <c r="K16" s="28">
        <v>1</v>
      </c>
      <c r="L16" s="31">
        <f>IF(tbl_TubeLaser[[#This Row],[Job Type]]="Batch",0,tbl_TubeLaser[[#This Row],[Qty Required]]/tbl_TubeLaser[[#This Row],[PPH]]*tbl_TubeLaser[[#This Row],['# of men]])</f>
        <v>0.4</v>
      </c>
      <c r="M16" s="31">
        <f>IF(tbl_TubeLaser[[#This Row],[Job Type]]="Batch",tbl_TubeLaser[[#This Row],[Batch Hours]]*tbl_TubeLaser[[#This Row],[% Complete]],tbl_TubeLaser[[#This Row],[Total hours]]*tbl_TubeLaser[[#This Row],[% Complete]])</f>
        <v>0.60000000000000009</v>
      </c>
      <c r="N16" s="31"/>
      <c r="O16" s="28" t="s">
        <v>73</v>
      </c>
      <c r="P16" s="28">
        <f>tbl_TubeLaser[[#This Row],[Mat. Qty]]*tbl_TubeLaser[[#This Row],[% Complete]]</f>
        <v>9</v>
      </c>
      <c r="Q16" s="28">
        <v>6</v>
      </c>
      <c r="R16" s="32">
        <f>IFERROR(tbl_TubeLaser[[#This Row],[Qty Complete]]/tbl_TubeLaser[[#This Row],[Total Hours Act]]*tbl_TubeLaser[[#This Row],['# of men Act]],"")</f>
        <v>11.134020618556686</v>
      </c>
      <c r="S16" s="28">
        <v>1</v>
      </c>
      <c r="T16"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1.6166666666666689</v>
      </c>
      <c r="U16" s="34">
        <v>9</v>
      </c>
      <c r="V16" s="33">
        <v>0.5</v>
      </c>
      <c r="W16" s="33">
        <v>0.09</v>
      </c>
      <c r="X16" s="35">
        <f>IFERROR((tbl_TubeLaser[[#This Row],[Adj. Total Hours]]+tbl_TubeLaser[[#This Row],[Est. Hours]])/(tbl_TubeLaser[[#This Row],[Total Hours Act]]+tbl_TubeLaser[[#This Row],[Act. Hours]]),"")</f>
        <v>0.64453124999999922</v>
      </c>
      <c r="Y16" s="102">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0.64453124999999922</v>
      </c>
      <c r="Z16" s="104">
        <f>IFERROR(tbl_TubeLaser[[#This Row],[Act. Mat. Qty]]-tbl_TubeLaser[[#This Row],[Adj. Mat. Qty]],"")</f>
        <v>0</v>
      </c>
      <c r="AA16" s="105">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0</v>
      </c>
      <c r="AB16" s="28" t="s">
        <v>76</v>
      </c>
      <c r="AC16" s="31" t="s">
        <v>77</v>
      </c>
      <c r="AD16" s="36"/>
    </row>
    <row r="17" spans="1:30" ht="25" customHeight="1">
      <c r="A17" s="27">
        <v>46121</v>
      </c>
      <c r="B17" s="78">
        <v>143205</v>
      </c>
      <c r="C17" s="28">
        <v>143205</v>
      </c>
      <c r="D17" s="28" t="s">
        <v>78</v>
      </c>
      <c r="E17" s="29">
        <v>0.8305555555555556</v>
      </c>
      <c r="F17" s="29">
        <v>0.97916666666666663</v>
      </c>
      <c r="G17" s="28">
        <v>24</v>
      </c>
      <c r="H17" s="28">
        <v>24</v>
      </c>
      <c r="I17" s="70">
        <f>tbl_TubeLaser[[#This Row],[Qty Complete]]/tbl_TubeLaser[[#This Row],[Qty Required]]</f>
        <v>1</v>
      </c>
      <c r="J17" s="30">
        <v>24</v>
      </c>
      <c r="K17" s="28">
        <v>1</v>
      </c>
      <c r="L17" s="31">
        <f>IF(tbl_TubeLaser[[#This Row],[Job Type]]="Batch",0,tbl_TubeLaser[[#This Row],[Qty Required]]/tbl_TubeLaser[[#This Row],[PPH]]*tbl_TubeLaser[[#This Row],['# of men]])</f>
        <v>1</v>
      </c>
      <c r="M17" s="31">
        <f>IF(tbl_TubeLaser[[#This Row],[Job Type]]="Batch",tbl_TubeLaser[[#This Row],[Batch Hours]]*tbl_TubeLaser[[#This Row],[% Complete]],tbl_TubeLaser[[#This Row],[Total hours]]*tbl_TubeLaser[[#This Row],[% Complete]])</f>
        <v>1</v>
      </c>
      <c r="N17" s="31"/>
      <c r="O17" s="28" t="s">
        <v>67</v>
      </c>
      <c r="P17" s="28">
        <f>tbl_TubeLaser[[#This Row],[Mat. Qty]]*tbl_TubeLaser[[#This Row],[% Complete]]</f>
        <v>12</v>
      </c>
      <c r="Q17" s="28">
        <v>12</v>
      </c>
      <c r="R17" s="32">
        <f>IFERROR(tbl_TubeLaser[[#This Row],[Qty Complete]]/tbl_TubeLaser[[#This Row],[Total Hours Act]]*tbl_TubeLaser[[#This Row],['# of men Act]],"")</f>
        <v>6.7289719626168258</v>
      </c>
      <c r="S17" s="28">
        <v>1</v>
      </c>
      <c r="T17"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3.5666666666666647</v>
      </c>
      <c r="V17" s="33">
        <v>0.5</v>
      </c>
      <c r="X17" s="35">
        <f>IFERROR((tbl_TubeLaser[[#This Row],[Adj. Total Hours]]+tbl_TubeLaser[[#This Row],[Est. Hours]])/(tbl_TubeLaser[[#This Row],[Total Hours Act]]+tbl_TubeLaser[[#This Row],[Act. Hours]]),"")</f>
        <v>0.42056074766355162</v>
      </c>
      <c r="Y17" s="102">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0.42056074766355162</v>
      </c>
      <c r="Z17" s="104">
        <f>IFERROR(tbl_TubeLaser[[#This Row],[Act. Mat. Qty]]-tbl_TubeLaser[[#This Row],[Adj. Mat. Qty]],"")</f>
        <v>-12</v>
      </c>
      <c r="AA17" s="105">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-12</v>
      </c>
      <c r="AB17" s="28" t="s">
        <v>79</v>
      </c>
      <c r="AC17" s="31" t="s">
        <v>77</v>
      </c>
      <c r="AD17" s="36"/>
    </row>
    <row r="18" spans="1:30" ht="25" customHeight="1">
      <c r="A18" s="27">
        <v>46121</v>
      </c>
      <c r="B18" s="78">
        <v>143203</v>
      </c>
      <c r="C18" s="28">
        <v>143203</v>
      </c>
      <c r="D18" s="28" t="s">
        <v>80</v>
      </c>
      <c r="E18" s="29">
        <v>0.8305555555555556</v>
      </c>
      <c r="F18" s="29">
        <v>0.90069444444444446</v>
      </c>
      <c r="G18" s="28">
        <v>16</v>
      </c>
      <c r="H18" s="28">
        <v>16</v>
      </c>
      <c r="I18" s="70">
        <f>tbl_TubeLaser[[#This Row],[Qty Complete]]/tbl_TubeLaser[[#This Row],[Qty Required]]</f>
        <v>1</v>
      </c>
      <c r="J18" s="30">
        <v>24</v>
      </c>
      <c r="K18" s="28">
        <v>1</v>
      </c>
      <c r="L18" s="31">
        <f>IF(tbl_TubeLaser[[#This Row],[Job Type]]="Batch",0,tbl_TubeLaser[[#This Row],[Qty Required]]/tbl_TubeLaser[[#This Row],[PPH]]*tbl_TubeLaser[[#This Row],['# of men]])</f>
        <v>0.66666666666666663</v>
      </c>
      <c r="M18" s="31">
        <f>IF(tbl_TubeLaser[[#This Row],[Job Type]]="Batch",tbl_TubeLaser[[#This Row],[Batch Hours]]*tbl_TubeLaser[[#This Row],[% Complete]],tbl_TubeLaser[[#This Row],[Total hours]]*tbl_TubeLaser[[#This Row],[% Complete]])</f>
        <v>0.66666666666666663</v>
      </c>
      <c r="N18" s="31"/>
      <c r="O18" s="28" t="s">
        <v>81</v>
      </c>
      <c r="P18" s="28">
        <f>tbl_TubeLaser[[#This Row],[Mat. Qty]]*tbl_TubeLaser[[#This Row],[% Complete]]</f>
        <v>16</v>
      </c>
      <c r="Q18" s="28">
        <v>16</v>
      </c>
      <c r="R18" s="32">
        <f>IFERROR(tbl_TubeLaser[[#This Row],[Qty Complete]]/tbl_TubeLaser[[#This Row],[Total Hours Act]]*tbl_TubeLaser[[#This Row],['# of men Act]],"")</f>
        <v>9.5049504950495081</v>
      </c>
      <c r="S18" s="28">
        <v>1</v>
      </c>
      <c r="T18"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1.6833333333333327</v>
      </c>
      <c r="V18" s="33">
        <v>0.5</v>
      </c>
      <c r="X18" s="35">
        <f>IFERROR((tbl_TubeLaser[[#This Row],[Adj. Total Hours]]+tbl_TubeLaser[[#This Row],[Est. Hours]])/(tbl_TubeLaser[[#This Row],[Total Hours Act]]+tbl_TubeLaser[[#This Row],[Act. Hours]]),"")</f>
        <v>0.69306930693069324</v>
      </c>
      <c r="Y18" s="102">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0.69306930693069324</v>
      </c>
      <c r="Z18" s="104">
        <f>IFERROR(tbl_TubeLaser[[#This Row],[Act. Mat. Qty]]-tbl_TubeLaser[[#This Row],[Adj. Mat. Qty]],"")</f>
        <v>-16</v>
      </c>
      <c r="AA18" s="105">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-16</v>
      </c>
      <c r="AB18" s="28" t="s">
        <v>79</v>
      </c>
      <c r="AC18" s="31" t="s">
        <v>77</v>
      </c>
      <c r="AD18" s="36"/>
    </row>
    <row r="19" spans="1:30" ht="25" customHeight="1">
      <c r="A19" s="27">
        <v>46121</v>
      </c>
      <c r="B19" s="78">
        <v>143123</v>
      </c>
      <c r="C19" s="28">
        <v>143123</v>
      </c>
      <c r="D19" s="28" t="s">
        <v>82</v>
      </c>
      <c r="E19" s="29">
        <v>5.2083333333333336E-2</v>
      </c>
      <c r="F19" s="29">
        <v>0.10347222222222222</v>
      </c>
      <c r="G19" s="28">
        <v>8</v>
      </c>
      <c r="H19" s="28">
        <v>8</v>
      </c>
      <c r="I19" s="70">
        <f>tbl_TubeLaser[[#This Row],[Qty Complete]]/tbl_TubeLaser[[#This Row],[Qty Required]]</f>
        <v>1</v>
      </c>
      <c r="J19" s="30">
        <v>24</v>
      </c>
      <c r="K19" s="28">
        <v>1</v>
      </c>
      <c r="L19" s="31">
        <f>IF(tbl_TubeLaser[[#This Row],[Job Type]]="Batch",0,tbl_TubeLaser[[#This Row],[Qty Required]]/tbl_TubeLaser[[#This Row],[PPH]]*tbl_TubeLaser[[#This Row],['# of men]])</f>
        <v>0.33333333333333331</v>
      </c>
      <c r="M19" s="31">
        <f>IF(tbl_TubeLaser[[#This Row],[Job Type]]="Batch",tbl_TubeLaser[[#This Row],[Batch Hours]]*tbl_TubeLaser[[#This Row],[% Complete]],tbl_TubeLaser[[#This Row],[Total hours]]*tbl_TubeLaser[[#This Row],[% Complete]])</f>
        <v>0.33333333333333331</v>
      </c>
      <c r="N19" s="31"/>
      <c r="P19" s="28">
        <f>tbl_TubeLaser[[#This Row],[Mat. Qty]]*tbl_TubeLaser[[#This Row],[% Complete]]</f>
        <v>0</v>
      </c>
      <c r="R19" s="32">
        <f>IFERROR(tbl_TubeLaser[[#This Row],[Qty Complete]]/tbl_TubeLaser[[#This Row],[Total Hours Act]]*tbl_TubeLaser[[#This Row],['# of men Act]],"")</f>
        <v>6.4864864864864877</v>
      </c>
      <c r="S19" s="28">
        <v>1</v>
      </c>
      <c r="T19"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1.2333333333333332</v>
      </c>
      <c r="V19" s="33">
        <v>0.5</v>
      </c>
      <c r="X19" s="35">
        <f>IFERROR((tbl_TubeLaser[[#This Row],[Adj. Total Hours]]+tbl_TubeLaser[[#This Row],[Est. Hours]])/(tbl_TubeLaser[[#This Row],[Total Hours Act]]+tbl_TubeLaser[[#This Row],[Act. Hours]]),"")</f>
        <v>0.67567567567567566</v>
      </c>
      <c r="Y19" s="102">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0.67567567567567566</v>
      </c>
      <c r="Z19" s="104">
        <f>IFERROR(tbl_TubeLaser[[#This Row],[Act. Mat. Qty]]-tbl_TubeLaser[[#This Row],[Adj. Mat. Qty]],"")</f>
        <v>0</v>
      </c>
      <c r="AA19" s="105">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0</v>
      </c>
      <c r="AB19" s="28" t="s">
        <v>83</v>
      </c>
      <c r="AC19" s="31"/>
      <c r="AD19" s="36"/>
    </row>
    <row r="20" spans="1:30" ht="25" customHeight="1">
      <c r="A20" s="27">
        <v>46121</v>
      </c>
      <c r="B20" s="78">
        <v>143188</v>
      </c>
      <c r="C20" s="28">
        <v>143188</v>
      </c>
      <c r="D20" s="28" t="s">
        <v>84</v>
      </c>
      <c r="E20" s="29">
        <v>7.7083333333333337E-2</v>
      </c>
      <c r="F20" s="29">
        <v>0.1875</v>
      </c>
      <c r="G20" s="28">
        <v>18</v>
      </c>
      <c r="H20" s="28">
        <v>16</v>
      </c>
      <c r="I20" s="70">
        <f>tbl_TubeLaser[[#This Row],[Qty Complete]]/tbl_TubeLaser[[#This Row],[Qty Required]]</f>
        <v>0.88888888888888884</v>
      </c>
      <c r="J20" s="30">
        <v>36</v>
      </c>
      <c r="K20" s="28">
        <v>1</v>
      </c>
      <c r="L20" s="31">
        <f>IF(tbl_TubeLaser[[#This Row],[Job Type]]="Batch",0,tbl_TubeLaser[[#This Row],[Qty Required]]/tbl_TubeLaser[[#This Row],[PPH]]*tbl_TubeLaser[[#This Row],['# of men]])</f>
        <v>0.5</v>
      </c>
      <c r="M20" s="31">
        <f>IF(tbl_TubeLaser[[#This Row],[Job Type]]="Batch",tbl_TubeLaser[[#This Row],[Batch Hours]]*tbl_TubeLaser[[#This Row],[% Complete]],tbl_TubeLaser[[#This Row],[Total hours]]*tbl_TubeLaser[[#This Row],[% Complete]])</f>
        <v>0.44444444444444442</v>
      </c>
      <c r="N20" s="31"/>
      <c r="P20" s="28">
        <f>tbl_TubeLaser[[#This Row],[Mat. Qty]]*tbl_TubeLaser[[#This Row],[% Complete]]</f>
        <v>0</v>
      </c>
      <c r="R20" s="32">
        <f>IFERROR(tbl_TubeLaser[[#This Row],[Qty Complete]]/tbl_TubeLaser[[#This Row],[Total Hours Act]]*tbl_TubeLaser[[#This Row],['# of men Act]],"")</f>
        <v>6.0377358490566042</v>
      </c>
      <c r="S20" s="28">
        <v>1</v>
      </c>
      <c r="T20"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2.65</v>
      </c>
      <c r="V20" s="33">
        <v>0.5</v>
      </c>
      <c r="X20" s="35">
        <f>IFERROR((tbl_TubeLaser[[#This Row],[Adj. Total Hours]]+tbl_TubeLaser[[#This Row],[Est. Hours]])/(tbl_TubeLaser[[#This Row],[Total Hours Act]]+tbl_TubeLaser[[#This Row],[Act. Hours]]),"")</f>
        <v>0.35639412997903563</v>
      </c>
      <c r="Y20"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20" s="104">
        <f>IFERROR(tbl_TubeLaser[[#This Row],[Act. Mat. Qty]]-tbl_TubeLaser[[#This Row],[Adj. Mat. Qty]],"")</f>
        <v>0</v>
      </c>
      <c r="AA20"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B20" s="28" t="s">
        <v>83</v>
      </c>
      <c r="AC20" s="31"/>
      <c r="AD20" s="36"/>
    </row>
    <row r="21" spans="1:30" ht="25" customHeight="1">
      <c r="A21" s="27">
        <v>46121</v>
      </c>
      <c r="B21" s="78">
        <v>143121</v>
      </c>
      <c r="C21" s="28">
        <v>143121</v>
      </c>
      <c r="D21" s="28" t="s">
        <v>85</v>
      </c>
      <c r="E21" s="29">
        <v>0.10694444444444444</v>
      </c>
      <c r="F21" s="29">
        <v>0.12291666666666666</v>
      </c>
      <c r="G21" s="28">
        <v>8</v>
      </c>
      <c r="H21" s="28">
        <v>8</v>
      </c>
      <c r="I21" s="70">
        <f>tbl_TubeLaser[[#This Row],[Qty Complete]]/tbl_TubeLaser[[#This Row],[Qty Required]]</f>
        <v>1</v>
      </c>
      <c r="J21" s="30">
        <v>24</v>
      </c>
      <c r="K21" s="28">
        <v>1</v>
      </c>
      <c r="L21" s="31">
        <f>IF(tbl_TubeLaser[[#This Row],[Job Type]]="Batch",0,tbl_TubeLaser[[#This Row],[Qty Required]]/tbl_TubeLaser[[#This Row],[PPH]]*tbl_TubeLaser[[#This Row],['# of men]])</f>
        <v>0.33333333333333331</v>
      </c>
      <c r="M21" s="31">
        <f>IF(tbl_TubeLaser[[#This Row],[Job Type]]="Batch",tbl_TubeLaser[[#This Row],[Batch Hours]]*tbl_TubeLaser[[#This Row],[% Complete]],tbl_TubeLaser[[#This Row],[Total hours]]*tbl_TubeLaser[[#This Row],[% Complete]])</f>
        <v>0.33333333333333331</v>
      </c>
      <c r="N21" s="31"/>
      <c r="P21" s="28">
        <f>tbl_TubeLaser[[#This Row],[Mat. Qty]]*tbl_TubeLaser[[#This Row],[% Complete]]</f>
        <v>0</v>
      </c>
      <c r="R21" s="32">
        <f>IFERROR(tbl_TubeLaser[[#This Row],[Qty Complete]]/tbl_TubeLaser[[#This Row],[Total Hours Act]]*tbl_TubeLaser[[#This Row],['# of men Act]],"")</f>
        <v>20.869565217391305</v>
      </c>
      <c r="S21" s="28">
        <v>1</v>
      </c>
      <c r="T21"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0.3833333333333333</v>
      </c>
      <c r="V21" s="33">
        <v>0.5</v>
      </c>
      <c r="X21" s="35">
        <f>IFERROR((tbl_TubeLaser[[#This Row],[Adj. Total Hours]]+tbl_TubeLaser[[#This Row],[Est. Hours]])/(tbl_TubeLaser[[#This Row],[Total Hours Act]]+tbl_TubeLaser[[#This Row],[Act. Hours]]),"")</f>
        <v>2.1739130434782608</v>
      </c>
      <c r="Y21" s="102">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2.1739130434782608</v>
      </c>
      <c r="Z21" s="104">
        <f>IFERROR(tbl_TubeLaser[[#This Row],[Act. Mat. Qty]]-tbl_TubeLaser[[#This Row],[Adj. Mat. Qty]],"")</f>
        <v>0</v>
      </c>
      <c r="AA21" s="105">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0</v>
      </c>
      <c r="AB21" s="28" t="s">
        <v>83</v>
      </c>
      <c r="AC21" s="31"/>
      <c r="AD21" s="36"/>
    </row>
    <row r="22" spans="1:30" ht="25" customHeight="1">
      <c r="A22" s="27">
        <v>46122</v>
      </c>
      <c r="B22" s="28">
        <v>143194</v>
      </c>
      <c r="C22" s="28" t="str">
        <f>IF(tbl_TubeLaser[[#This Row],[Part'#]]="", "Batch", "Part")</f>
        <v>Part</v>
      </c>
      <c r="D22" s="28" t="s">
        <v>86</v>
      </c>
      <c r="E22" s="29">
        <v>0.22777777777777777</v>
      </c>
      <c r="F22" s="29">
        <v>0.40972222222222221</v>
      </c>
      <c r="G22" s="28">
        <v>294</v>
      </c>
      <c r="H22" s="28">
        <v>294</v>
      </c>
      <c r="I22" s="70">
        <f>tbl_TubeLaser[[#This Row],[Qty Complete]]/tbl_TubeLaser[[#This Row],[Qty Required]]</f>
        <v>1</v>
      </c>
      <c r="J22" s="30">
        <v>36</v>
      </c>
      <c r="K22" s="28">
        <v>1</v>
      </c>
      <c r="L22" s="31">
        <f>IF(tbl_TubeLaser[[#This Row],[Job Type]]="Batch",0,tbl_TubeLaser[[#This Row],[Qty Required]]/tbl_TubeLaser[[#This Row],[PPH]]*tbl_TubeLaser[[#This Row],['# of men]])</f>
        <v>8.1666666666666661</v>
      </c>
      <c r="M22" s="31">
        <f>IF(tbl_TubeLaser[[#This Row],[Job Type]]="Batch",tbl_TubeLaser[[#This Row],[Batch Hours]]*tbl_TubeLaser[[#This Row],[% Complete]],tbl_TubeLaser[[#This Row],[Total hours]]*tbl_TubeLaser[[#This Row],[% Complete]])</f>
        <v>8.1666666666666661</v>
      </c>
      <c r="N22" s="31"/>
      <c r="O22" s="28" t="s">
        <v>87</v>
      </c>
      <c r="P22" s="28">
        <f>tbl_TubeLaser[[#This Row],[Mat. Qty]]*tbl_TubeLaser[[#This Row],[% Complete]]</f>
        <v>42</v>
      </c>
      <c r="Q22" s="28">
        <v>42</v>
      </c>
      <c r="R22" s="32">
        <f>IFERROR(tbl_TubeLaser[[#This Row],[Qty Complete]]/tbl_TubeLaser[[#This Row],[Total Hours Act]]*tbl_TubeLaser[[#This Row],['# of men Act]],"")</f>
        <v>67.328244274809165</v>
      </c>
      <c r="S22" s="28">
        <v>1</v>
      </c>
      <c r="T22"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4.3666666666666663</v>
      </c>
      <c r="U22" s="34">
        <v>42</v>
      </c>
      <c r="V22" s="33">
        <v>0.5</v>
      </c>
      <c r="X22" s="35">
        <f>IFERROR((tbl_TubeLaser[[#This Row],[Adj. Total Hours]]+tbl_TubeLaser[[#This Row],[Est. Hours]])/(tbl_TubeLaser[[#This Row],[Total Hours Act]]+tbl_TubeLaser[[#This Row],[Act. Hours]]),"")</f>
        <v>1.9847328244274809</v>
      </c>
      <c r="Y22" s="102">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1.9847328244274809</v>
      </c>
      <c r="Z22" s="104">
        <f>IFERROR(tbl_TubeLaser[[#This Row],[Act. Mat. Qty]]-tbl_TubeLaser[[#This Row],[Adj. Mat. Qty]],"")</f>
        <v>0</v>
      </c>
      <c r="AA22" s="105">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0</v>
      </c>
      <c r="AC22" s="31"/>
      <c r="AD22" s="36"/>
    </row>
    <row r="23" spans="1:30" ht="25" customHeight="1">
      <c r="A23" s="27">
        <v>46122</v>
      </c>
      <c r="B23" s="28">
        <v>143195</v>
      </c>
      <c r="C23" s="28" t="str">
        <f>IF(tbl_TubeLaser[[#This Row],[Part'#]]="", "Batch", "Part")</f>
        <v>Part</v>
      </c>
      <c r="D23" s="28" t="s">
        <v>88</v>
      </c>
      <c r="E23" s="29">
        <v>0.41805555555555557</v>
      </c>
      <c r="F23" s="29">
        <v>0.69027777777777777</v>
      </c>
      <c r="G23" s="28">
        <v>108</v>
      </c>
      <c r="H23" s="28">
        <v>108</v>
      </c>
      <c r="I23" s="70">
        <f>tbl_TubeLaser[[#This Row],[Qty Complete]]/tbl_TubeLaser[[#This Row],[Qty Required]]</f>
        <v>1</v>
      </c>
      <c r="J23" s="30">
        <v>36</v>
      </c>
      <c r="K23" s="28">
        <v>1</v>
      </c>
      <c r="L23" s="31">
        <f>IF(tbl_TubeLaser[[#This Row],[Job Type]]="Batch",0,tbl_TubeLaser[[#This Row],[Qty Required]]/tbl_TubeLaser[[#This Row],[PPH]]*tbl_TubeLaser[[#This Row],['# of men]])</f>
        <v>3</v>
      </c>
      <c r="M23" s="31">
        <f>IF(tbl_TubeLaser[[#This Row],[Job Type]]="Batch",tbl_TubeLaser[[#This Row],[Batch Hours]]*tbl_TubeLaser[[#This Row],[% Complete]],tbl_TubeLaser[[#This Row],[Total hours]]*tbl_TubeLaser[[#This Row],[% Complete]])</f>
        <v>3</v>
      </c>
      <c r="N23" s="31">
        <v>7</v>
      </c>
      <c r="O23" s="28" t="s">
        <v>87</v>
      </c>
      <c r="P23" s="28">
        <f>tbl_TubeLaser[[#This Row],[Mat. Qty]]*tbl_TubeLaser[[#This Row],[% Complete]]</f>
        <v>0</v>
      </c>
      <c r="R23" s="32">
        <f>IFERROR(tbl_TubeLaser[[#This Row],[Qty Complete]]/tbl_TubeLaser[[#This Row],[Total Hours Act]]*tbl_TubeLaser[[#This Row],['# of men Act]],"")</f>
        <v>17.900552486187845</v>
      </c>
      <c r="S23" s="28">
        <v>1</v>
      </c>
      <c r="T23"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6.0333333333333332</v>
      </c>
      <c r="U23" s="34">
        <v>54</v>
      </c>
      <c r="V23" s="33">
        <v>0.5</v>
      </c>
      <c r="X23" s="35">
        <f>IFERROR((tbl_TubeLaser[[#This Row],[Adj. Total Hours]]+tbl_TubeLaser[[#This Row],[Est. Hours]])/(tbl_TubeLaser[[#This Row],[Total Hours Act]]+tbl_TubeLaser[[#This Row],[Act. Hours]]),"")</f>
        <v>0.58011049723756902</v>
      </c>
      <c r="Y23" s="102">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0.58011049723756902</v>
      </c>
      <c r="Z23" s="104">
        <f>IFERROR(tbl_TubeLaser[[#This Row],[Act. Mat. Qty]]-tbl_TubeLaser[[#This Row],[Adj. Mat. Qty]],"")</f>
        <v>54</v>
      </c>
      <c r="AA23" s="105">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54</v>
      </c>
      <c r="AB23" s="28" t="s">
        <v>89</v>
      </c>
      <c r="AC23" s="31"/>
      <c r="AD23" s="36"/>
    </row>
    <row r="24" spans="1:30" ht="25" customHeight="1">
      <c r="A24" s="27">
        <v>46122</v>
      </c>
      <c r="B24" s="28">
        <v>143196</v>
      </c>
      <c r="C24" s="28" t="str">
        <f>IF(tbl_TubeLaser[[#This Row],[Part'#]]="", "Batch", "Part")</f>
        <v>Part</v>
      </c>
      <c r="D24" s="28" t="s">
        <v>90</v>
      </c>
      <c r="E24" s="29">
        <v>0.41805555555555557</v>
      </c>
      <c r="F24" s="29">
        <v>0.7055555555555556</v>
      </c>
      <c r="G24" s="28">
        <v>260</v>
      </c>
      <c r="H24" s="28">
        <v>175</v>
      </c>
      <c r="I24" s="70">
        <f>tbl_TubeLaser[[#This Row],[Qty Complete]]/tbl_TubeLaser[[#This Row],[Qty Required]]</f>
        <v>0.67307692307692313</v>
      </c>
      <c r="J24" s="30">
        <v>36</v>
      </c>
      <c r="K24" s="28">
        <v>1</v>
      </c>
      <c r="L24" s="31">
        <f>IF(tbl_TubeLaser[[#This Row],[Job Type]]="Batch",0,tbl_TubeLaser[[#This Row],[Qty Required]]/tbl_TubeLaser[[#This Row],[PPH]]*tbl_TubeLaser[[#This Row],['# of men]])</f>
        <v>7.2222222222222223</v>
      </c>
      <c r="M24" s="31">
        <f>IF(tbl_TubeLaser[[#This Row],[Job Type]]="Batch",tbl_TubeLaser[[#This Row],[Batch Hours]]*tbl_TubeLaser[[#This Row],[% Complete]],tbl_TubeLaser[[#This Row],[Total hours]]*tbl_TubeLaser[[#This Row],[% Complete]])</f>
        <v>4.8611111111111116</v>
      </c>
      <c r="N24" s="31">
        <v>7</v>
      </c>
      <c r="O24" s="28" t="s">
        <v>44</v>
      </c>
      <c r="P24" s="28">
        <f>tbl_TubeLaser[[#This Row],[Mat. Qty]]*tbl_TubeLaser[[#This Row],[% Complete]]</f>
        <v>0</v>
      </c>
      <c r="R24" s="32">
        <f>IFERROR(tbl_TubeLaser[[#This Row],[Qty Complete]]/tbl_TubeLaser[[#This Row],[Total Hours Act]]*tbl_TubeLaser[[#This Row],['# of men Act]],"")</f>
        <v>27.34375</v>
      </c>
      <c r="S24" s="28">
        <v>1</v>
      </c>
      <c r="T24"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6.4</v>
      </c>
      <c r="V24" s="33">
        <v>0.5</v>
      </c>
      <c r="X24" s="35">
        <f>IFERROR((tbl_TubeLaser[[#This Row],[Adj. Total Hours]]+tbl_TubeLaser[[#This Row],[Est. Hours]])/(tbl_TubeLaser[[#This Row],[Total Hours Act]]+tbl_TubeLaser[[#This Row],[Act. Hours]]),"")</f>
        <v>0.83767361111111116</v>
      </c>
      <c r="Y24"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24" s="104">
        <f>IFERROR(tbl_TubeLaser[[#This Row],[Act. Mat. Qty]]-tbl_TubeLaser[[#This Row],[Adj. Mat. Qty]],"")</f>
        <v>0</v>
      </c>
      <c r="AA24"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24" s="31"/>
      <c r="AD24" s="36"/>
    </row>
    <row r="25" spans="1:30" ht="25" customHeight="1">
      <c r="A25" s="27">
        <v>46122</v>
      </c>
      <c r="B25" s="28">
        <v>143155</v>
      </c>
      <c r="C25" s="28" t="str">
        <f>IF(tbl_TubeLaser[[#This Row],[Part'#]]="", "Batch", "Part")</f>
        <v>Part</v>
      </c>
      <c r="D25" s="28" t="s">
        <v>90</v>
      </c>
      <c r="E25" s="29">
        <v>0.94097222222222221</v>
      </c>
      <c r="F25" s="29">
        <v>0.20833333333333334</v>
      </c>
      <c r="G25" s="28">
        <v>230</v>
      </c>
      <c r="H25" s="28">
        <v>230</v>
      </c>
      <c r="I25" s="70">
        <f>tbl_TubeLaser[[#This Row],[Qty Complete]]/tbl_TubeLaser[[#This Row],[Qty Required]]</f>
        <v>1</v>
      </c>
      <c r="J25" s="30">
        <v>36</v>
      </c>
      <c r="K25" s="28">
        <v>1</v>
      </c>
      <c r="L25" s="31">
        <f>IF(tbl_TubeLaser[[#This Row],[Job Type]]="Batch",0,tbl_TubeLaser[[#This Row],[Qty Required]]/tbl_TubeLaser[[#This Row],[PPH]]*tbl_TubeLaser[[#This Row],['# of men]])</f>
        <v>6.3888888888888893</v>
      </c>
      <c r="M25" s="31">
        <f>IF(tbl_TubeLaser[[#This Row],[Job Type]]="Batch",tbl_TubeLaser[[#This Row],[Batch Hours]]*tbl_TubeLaser[[#This Row],[% Complete]],tbl_TubeLaser[[#This Row],[Total hours]]*tbl_TubeLaser[[#This Row],[% Complete]])</f>
        <v>6.3888888888888893</v>
      </c>
      <c r="N25" s="31"/>
      <c r="O25" s="28" t="s">
        <v>91</v>
      </c>
      <c r="P25" s="28">
        <f>tbl_TubeLaser[[#This Row],[Mat. Qty]]*tbl_TubeLaser[[#This Row],[% Complete]]</f>
        <v>23</v>
      </c>
      <c r="Q25" s="28">
        <v>23</v>
      </c>
      <c r="R25" s="32">
        <f>IFERROR(tbl_TubeLaser[[#This Row],[Qty Complete]]/tbl_TubeLaser[[#This Row],[Total Hours Act]]*tbl_TubeLaser[[#This Row],['# of men Act]],"")</f>
        <v>38.873239436619713</v>
      </c>
      <c r="S25" s="28">
        <v>1</v>
      </c>
      <c r="T25"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5.9166666666666679</v>
      </c>
      <c r="U25" s="34">
        <v>23</v>
      </c>
      <c r="V25" s="33">
        <v>0.5</v>
      </c>
      <c r="W25" s="33">
        <v>0.5</v>
      </c>
      <c r="X25" s="35">
        <f>IFERROR((tbl_TubeLaser[[#This Row],[Adj. Total Hours]]+tbl_TubeLaser[[#This Row],[Est. Hours]])/(tbl_TubeLaser[[#This Row],[Total Hours Act]]+tbl_TubeLaser[[#This Row],[Act. Hours]]),"")</f>
        <v>1.0735930735930734</v>
      </c>
      <c r="Y25" s="102">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1.0735930735930734</v>
      </c>
      <c r="Z25" s="104">
        <f>IFERROR(tbl_TubeLaser[[#This Row],[Act. Mat. Qty]]-tbl_TubeLaser[[#This Row],[Adj. Mat. Qty]],"")</f>
        <v>0</v>
      </c>
      <c r="AA25" s="105">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0</v>
      </c>
      <c r="AC25" s="31"/>
      <c r="AD25" s="36"/>
    </row>
    <row r="26" spans="1:30" ht="25" customHeight="1">
      <c r="A26" s="27">
        <v>46122</v>
      </c>
      <c r="B26" s="28">
        <v>143196</v>
      </c>
      <c r="C26" s="28" t="str">
        <f>IF(tbl_TubeLaser[[#This Row],[Part'#]]="", "Batch", "Part")</f>
        <v>Part</v>
      </c>
      <c r="D26" s="28" t="s">
        <v>90</v>
      </c>
      <c r="E26" s="29">
        <v>0.70833333333333337</v>
      </c>
      <c r="F26" s="29">
        <v>0.79166666666666663</v>
      </c>
      <c r="G26" s="28">
        <v>260</v>
      </c>
      <c r="H26" s="28">
        <v>85</v>
      </c>
      <c r="I26" s="70">
        <f>tbl_TubeLaser[[#This Row],[Qty Complete]]/tbl_TubeLaser[[#This Row],[Qty Required]]</f>
        <v>0.32692307692307693</v>
      </c>
      <c r="J26" s="30">
        <v>36</v>
      </c>
      <c r="K26" s="28">
        <v>1</v>
      </c>
      <c r="L26" s="31">
        <f>IF(tbl_TubeLaser[[#This Row],[Job Type]]="Batch",0,tbl_TubeLaser[[#This Row],[Qty Required]]/tbl_TubeLaser[[#This Row],[PPH]]*tbl_TubeLaser[[#This Row],['# of men]])</f>
        <v>7.2222222222222223</v>
      </c>
      <c r="M26" s="31">
        <f>IF(tbl_TubeLaser[[#This Row],[Job Type]]="Batch",tbl_TubeLaser[[#This Row],[Batch Hours]]*tbl_TubeLaser[[#This Row],[% Complete]],tbl_TubeLaser[[#This Row],[Total hours]]*tbl_TubeLaser[[#This Row],[% Complete]])</f>
        <v>2.3611111111111112</v>
      </c>
      <c r="N26" s="31"/>
      <c r="O26" s="28" t="s">
        <v>91</v>
      </c>
      <c r="P26" s="28">
        <f>tbl_TubeLaser[[#This Row],[Mat. Qty]]*tbl_TubeLaser[[#This Row],[% Complete]]</f>
        <v>8.5</v>
      </c>
      <c r="Q26" s="28">
        <v>26</v>
      </c>
      <c r="R26" s="32">
        <f>IFERROR(tbl_TubeLaser[[#This Row],[Qty Complete]]/tbl_TubeLaser[[#This Row],[Total Hours Act]]*tbl_TubeLaser[[#This Row],['# of men Act]],"")</f>
        <v>42.500000000000036</v>
      </c>
      <c r="S26" s="28">
        <v>1</v>
      </c>
      <c r="T26"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1.9999999999999982</v>
      </c>
      <c r="U26" s="34">
        <v>26</v>
      </c>
      <c r="V26" s="33">
        <v>0.5</v>
      </c>
      <c r="X26" s="35">
        <f>IFERROR((tbl_TubeLaser[[#This Row],[Adj. Total Hours]]+tbl_TubeLaser[[#This Row],[Est. Hours]])/(tbl_TubeLaser[[#This Row],[Total Hours Act]]+tbl_TubeLaser[[#This Row],[Act. Hours]]),"")</f>
        <v>1.4305555555555569</v>
      </c>
      <c r="Y26" s="102">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0.97883597883597917</v>
      </c>
      <c r="Z26" s="104">
        <f>IFERROR(tbl_TubeLaser[[#This Row],[Act. Mat. Qty]]-tbl_TubeLaser[[#This Row],[Adj. Mat. Qty]],"")</f>
        <v>17.5</v>
      </c>
      <c r="AA26" s="105">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17.5</v>
      </c>
      <c r="AC26" s="31"/>
      <c r="AD26" s="36"/>
    </row>
    <row r="27" spans="1:30" ht="25" customHeight="1">
      <c r="A27" s="27">
        <v>46122</v>
      </c>
      <c r="B27" s="28" t="s">
        <v>92</v>
      </c>
      <c r="C27" s="28" t="str">
        <f>IF(tbl_TubeLaser[[#This Row],[Part'#]]="", "Batch", "Part")</f>
        <v>Part</v>
      </c>
      <c r="D27" s="28" t="s">
        <v>93</v>
      </c>
      <c r="E27" s="29">
        <v>0.79583333333333328</v>
      </c>
      <c r="F27" s="29">
        <v>0.20833333333333334</v>
      </c>
      <c r="G27" s="28">
        <v>80</v>
      </c>
      <c r="H27" s="28">
        <v>66</v>
      </c>
      <c r="I27" s="70">
        <f>tbl_TubeLaser[[#This Row],[Qty Complete]]/tbl_TubeLaser[[#This Row],[Qty Required]]</f>
        <v>0.82499999999999996</v>
      </c>
      <c r="J27" s="30">
        <v>12</v>
      </c>
      <c r="K27" s="28">
        <v>1</v>
      </c>
      <c r="L27" s="31">
        <f>IF(tbl_TubeLaser[[#This Row],[Job Type]]="Batch",0,tbl_TubeLaser[[#This Row],[Qty Required]]/tbl_TubeLaser[[#This Row],[PPH]]*tbl_TubeLaser[[#This Row],['# of men]])</f>
        <v>6.666666666666667</v>
      </c>
      <c r="M27" s="31">
        <f>IF(tbl_TubeLaser[[#This Row],[Job Type]]="Batch",tbl_TubeLaser[[#This Row],[Batch Hours]]*tbl_TubeLaser[[#This Row],[% Complete]],tbl_TubeLaser[[#This Row],[Total hours]]*tbl_TubeLaser[[#This Row],[% Complete]])</f>
        <v>5.5</v>
      </c>
      <c r="N27" s="31"/>
      <c r="O27" s="28" t="s">
        <v>94</v>
      </c>
      <c r="P27" s="28">
        <f>tbl_TubeLaser[[#This Row],[Mat. Qty]]*tbl_TubeLaser[[#This Row],[% Complete]]</f>
        <v>33</v>
      </c>
      <c r="Q27" s="28">
        <v>40</v>
      </c>
      <c r="R27" s="32">
        <f>IFERROR(tbl_TubeLaser[[#This Row],[Qty Complete]]/tbl_TubeLaser[[#This Row],[Total Hours Act]]*tbl_TubeLaser[[#This Row],['# of men Act]],"")</f>
        <v>7.0212765957446797</v>
      </c>
      <c r="S27" s="28">
        <v>1</v>
      </c>
      <c r="T27"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9.4000000000000021</v>
      </c>
      <c r="U27" s="34">
        <v>33</v>
      </c>
      <c r="V27" s="33">
        <v>0.5</v>
      </c>
      <c r="W27" s="33">
        <v>1</v>
      </c>
      <c r="X27" s="35">
        <f>IFERROR((tbl_TubeLaser[[#This Row],[Adj. Total Hours]]+tbl_TubeLaser[[#This Row],[Est. Hours]])/(tbl_TubeLaser[[#This Row],[Total Hours Act]]+tbl_TubeLaser[[#This Row],[Act. Hours]]),"")</f>
        <v>0.57692307692307676</v>
      </c>
      <c r="Y27"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27" s="104">
        <f>IFERROR(tbl_TubeLaser[[#This Row],[Act. Mat. Qty]]-tbl_TubeLaser[[#This Row],[Adj. Mat. Qty]],"")</f>
        <v>0</v>
      </c>
      <c r="AA27"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B27" s="28" t="s">
        <v>95</v>
      </c>
      <c r="AC27" s="31"/>
      <c r="AD27" s="36"/>
    </row>
    <row r="28" spans="1:30" ht="25" customHeight="1">
      <c r="A28" s="27">
        <v>46123</v>
      </c>
      <c r="B28" s="28" t="s">
        <v>92</v>
      </c>
      <c r="C28" s="28" t="str">
        <f>IF(tbl_TubeLaser[[#This Row],[Part'#]]="", "Batch", "Part")</f>
        <v>Part</v>
      </c>
      <c r="D28" s="28" t="s">
        <v>93</v>
      </c>
      <c r="E28" s="29">
        <v>0.20833333333333334</v>
      </c>
      <c r="F28" s="29">
        <v>0.31666666666666665</v>
      </c>
      <c r="G28" s="28">
        <v>80</v>
      </c>
      <c r="H28" s="28">
        <v>14</v>
      </c>
      <c r="I28" s="70">
        <f>tbl_TubeLaser[[#This Row],[Qty Complete]]/tbl_TubeLaser[[#This Row],[Qty Required]]</f>
        <v>0.17499999999999999</v>
      </c>
      <c r="J28" s="30">
        <v>12</v>
      </c>
      <c r="K28" s="28">
        <v>1</v>
      </c>
      <c r="L28" s="31">
        <f>IF(tbl_TubeLaser[[#This Row],[Job Type]]="Batch",0,tbl_TubeLaser[[#This Row],[Qty Required]]/tbl_TubeLaser[[#This Row],[PPH]]*tbl_TubeLaser[[#This Row],['# of men]])</f>
        <v>6.666666666666667</v>
      </c>
      <c r="M28" s="31">
        <f>IF(tbl_TubeLaser[[#This Row],[Job Type]]="Batch",tbl_TubeLaser[[#This Row],[Batch Hours]]*tbl_TubeLaser[[#This Row],[% Complete]],tbl_TubeLaser[[#This Row],[Total hours]]*tbl_TubeLaser[[#This Row],[% Complete]])</f>
        <v>1.1666666666666667</v>
      </c>
      <c r="N28" s="31"/>
      <c r="O28" s="28" t="s">
        <v>94</v>
      </c>
      <c r="P28" s="28">
        <f>tbl_TubeLaser[[#This Row],[Mat. Qty]]*tbl_TubeLaser[[#This Row],[% Complete]]</f>
        <v>1.575</v>
      </c>
      <c r="Q28" s="28">
        <v>9</v>
      </c>
      <c r="R28" s="32">
        <f>IFERROR(tbl_TubeLaser[[#This Row],[Qty Complete]]/tbl_TubeLaser[[#This Row],[Total Hours Act]]*tbl_TubeLaser[[#This Row],['# of men Act]],"")</f>
        <v>5.384615384615385</v>
      </c>
      <c r="S28" s="28">
        <v>1</v>
      </c>
      <c r="T28"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2.5999999999999996</v>
      </c>
      <c r="V28" s="33">
        <v>0.5</v>
      </c>
      <c r="X28" s="35">
        <f>IFERROR((tbl_TubeLaser[[#This Row],[Adj. Total Hours]]+tbl_TubeLaser[[#This Row],[Est. Hours]])/(tbl_TubeLaser[[#This Row],[Total Hours Act]]+tbl_TubeLaser[[#This Row],[Act. Hours]]),"")</f>
        <v>0.64102564102564119</v>
      </c>
      <c r="Y28" s="102">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0.58974358974358965</v>
      </c>
      <c r="Z28" s="104">
        <f>IFERROR(tbl_TubeLaser[[#This Row],[Act. Mat. Qty]]-tbl_TubeLaser[[#This Row],[Adj. Mat. Qty]],"")</f>
        <v>-1.575</v>
      </c>
      <c r="AA28" s="105">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-1.5750000000000028</v>
      </c>
      <c r="AC28" s="31"/>
      <c r="AD28" s="36"/>
    </row>
    <row r="29" spans="1:30" ht="25" customHeight="1">
      <c r="A29" s="27">
        <v>46123</v>
      </c>
      <c r="B29" s="28" t="s">
        <v>46</v>
      </c>
      <c r="C29" s="28" t="str">
        <f>IF(tbl_TubeLaser[[#This Row],[Part'#]]="", "Batch", "Part")</f>
        <v>Part</v>
      </c>
      <c r="D29" s="28">
        <v>2403141</v>
      </c>
      <c r="E29" s="29">
        <v>0.35486111111111113</v>
      </c>
      <c r="F29" s="29">
        <v>0.48958333333333331</v>
      </c>
      <c r="G29" s="28">
        <v>332</v>
      </c>
      <c r="H29" s="28">
        <v>57</v>
      </c>
      <c r="I29" s="70">
        <f>tbl_TubeLaser[[#This Row],[Qty Complete]]/tbl_TubeLaser[[#This Row],[Qty Required]]</f>
        <v>0.1716867469879518</v>
      </c>
      <c r="J29" s="30">
        <v>24</v>
      </c>
      <c r="K29" s="28">
        <v>1</v>
      </c>
      <c r="L29" s="31">
        <f>IF(tbl_TubeLaser[[#This Row],[Job Type]]="Batch",0,tbl_TubeLaser[[#This Row],[Qty Required]]/tbl_TubeLaser[[#This Row],[PPH]]*tbl_TubeLaser[[#This Row],['# of men]])</f>
        <v>13.833333333333334</v>
      </c>
      <c r="M29" s="31">
        <f>IF(tbl_TubeLaser[[#This Row],[Job Type]]="Batch",tbl_TubeLaser[[#This Row],[Batch Hours]]*tbl_TubeLaser[[#This Row],[% Complete]],tbl_TubeLaser[[#This Row],[Total hours]]*tbl_TubeLaser[[#This Row],[% Complete]])</f>
        <v>2.375</v>
      </c>
      <c r="N29" s="31"/>
      <c r="O29" s="28" t="s">
        <v>47</v>
      </c>
      <c r="P29" s="28">
        <f>tbl_TubeLaser[[#This Row],[Mat. Qty]]*tbl_TubeLaser[[#This Row],[% Complete]]</f>
        <v>4.9789156626506026</v>
      </c>
      <c r="Q29" s="28">
        <v>29</v>
      </c>
      <c r="R29" s="32">
        <f>IFERROR(tbl_TubeLaser[[#This Row],[Qty Complete]]/tbl_TubeLaser[[#This Row],[Total Hours Act]]*tbl_TubeLaser[[#This Row],['# of men Act]],"")</f>
        <v>17.628865979381448</v>
      </c>
      <c r="S29" s="28">
        <v>1</v>
      </c>
      <c r="T29"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3.2333333333333325</v>
      </c>
      <c r="V29" s="33">
        <v>0.5</v>
      </c>
      <c r="W29" s="33">
        <v>0.75</v>
      </c>
      <c r="X29" s="35">
        <f>IFERROR((tbl_TubeLaser[[#This Row],[Adj. Total Hours]]+tbl_TubeLaser[[#This Row],[Est. Hours]])/(tbl_TubeLaser[[#This Row],[Total Hours Act]]+tbl_TubeLaser[[#This Row],[Act. Hours]]),"")</f>
        <v>0.72175732217573241</v>
      </c>
      <c r="Y29"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29" s="104">
        <f>IFERROR(tbl_TubeLaser[[#This Row],[Act. Mat. Qty]]-tbl_TubeLaser[[#This Row],[Adj. Mat. Qty]],"")</f>
        <v>-4.9789156626506026</v>
      </c>
      <c r="AA29"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29" s="31"/>
      <c r="AD29" s="36"/>
    </row>
    <row r="30" spans="1:30" ht="25" customHeight="1">
      <c r="A30" s="27">
        <v>46124</v>
      </c>
      <c r="B30" s="28" t="s">
        <v>96</v>
      </c>
      <c r="C30" s="28" t="str">
        <f>IF(tbl_TubeLaser[[#This Row],[Part'#]]="", "Batch", "Part")</f>
        <v>Part</v>
      </c>
      <c r="D30" s="28">
        <v>240316</v>
      </c>
      <c r="E30" s="29">
        <v>0.20902777777777778</v>
      </c>
      <c r="F30" s="29">
        <v>0.27361111111111114</v>
      </c>
      <c r="G30" s="28">
        <v>166</v>
      </c>
      <c r="H30" s="28">
        <v>103</v>
      </c>
      <c r="I30" s="70">
        <f>tbl_TubeLaser[[#This Row],[Qty Complete]]/tbl_TubeLaser[[#This Row],[Qty Required]]</f>
        <v>0.62048192771084343</v>
      </c>
      <c r="J30" s="30">
        <v>18</v>
      </c>
      <c r="K30" s="28">
        <v>1</v>
      </c>
      <c r="L30" s="31">
        <f>IF(tbl_TubeLaser[[#This Row],[Job Type]]="Batch",0,tbl_TubeLaser[[#This Row],[Qty Required]]/tbl_TubeLaser[[#This Row],[PPH]]*tbl_TubeLaser[[#This Row],['# of men]])</f>
        <v>9.2222222222222214</v>
      </c>
      <c r="M30" s="31">
        <f>IF(tbl_TubeLaser[[#This Row],[Job Type]]="Batch",tbl_TubeLaser[[#This Row],[Batch Hours]]*tbl_TubeLaser[[#This Row],[% Complete]],tbl_TubeLaser[[#This Row],[Total hours]]*tbl_TubeLaser[[#This Row],[% Complete]])</f>
        <v>5.7222222222222223</v>
      </c>
      <c r="N30" s="31"/>
      <c r="O30" s="28" t="s">
        <v>97</v>
      </c>
      <c r="P30" s="28">
        <f>tbl_TubeLaser[[#This Row],[Mat. Qty]]*tbl_TubeLaser[[#This Row],[% Complete]]</f>
        <v>3.7228915662650603</v>
      </c>
      <c r="Q30" s="28">
        <v>6</v>
      </c>
      <c r="R30" s="32">
        <f>IFERROR(tbl_TubeLaser[[#This Row],[Qty Complete]]/tbl_TubeLaser[[#This Row],[Total Hours Act]]*tbl_TubeLaser[[#This Row],['# of men Act]],"")</f>
        <v>66.451612903225779</v>
      </c>
      <c r="S30" s="28">
        <v>1</v>
      </c>
      <c r="T30"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1.5500000000000005</v>
      </c>
      <c r="U30" s="34">
        <v>6</v>
      </c>
      <c r="X30" s="35">
        <f>IFERROR((tbl_TubeLaser[[#This Row],[Adj. Total Hours]]+tbl_TubeLaser[[#This Row],[Est. Hours]])/(tbl_TubeLaser[[#This Row],[Total Hours Act]]+tbl_TubeLaser[[#This Row],[Act. Hours]]),"")</f>
        <v>3.6917562724014328</v>
      </c>
      <c r="Y30"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30" s="104">
        <f>IFERROR(tbl_TubeLaser[[#This Row],[Act. Mat. Qty]]-tbl_TubeLaser[[#This Row],[Adj. Mat. Qty]],"")</f>
        <v>2.2771084337349397</v>
      </c>
      <c r="AA30"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30" s="31"/>
      <c r="AD30" s="36"/>
    </row>
    <row r="31" spans="1:30" ht="25" customHeight="1">
      <c r="A31" s="27">
        <v>46124</v>
      </c>
      <c r="B31" s="28" t="s">
        <v>98</v>
      </c>
      <c r="C31" s="28" t="str">
        <f>IF(tbl_TubeLaser[[#This Row],[Part'#]]="", "Batch", "Part")</f>
        <v>Part</v>
      </c>
      <c r="D31" s="28">
        <v>251353</v>
      </c>
      <c r="E31" s="29">
        <v>0.31736111111111109</v>
      </c>
      <c r="F31" s="29">
        <v>0.53611111111111109</v>
      </c>
      <c r="G31" s="28">
        <v>84</v>
      </c>
      <c r="H31" s="28">
        <v>84</v>
      </c>
      <c r="I31" s="70">
        <f>tbl_TubeLaser[[#This Row],[Qty Complete]]/tbl_TubeLaser[[#This Row],[Qty Required]]</f>
        <v>1</v>
      </c>
      <c r="J31" s="30">
        <v>15</v>
      </c>
      <c r="K31" s="28">
        <v>1</v>
      </c>
      <c r="L31" s="31">
        <f>IF(tbl_TubeLaser[[#This Row],[Job Type]]="Batch",0,tbl_TubeLaser[[#This Row],[Qty Required]]/tbl_TubeLaser[[#This Row],[PPH]]*tbl_TubeLaser[[#This Row],['# of men]])</f>
        <v>5.6</v>
      </c>
      <c r="M31" s="31">
        <f>IF(tbl_TubeLaser[[#This Row],[Job Type]]="Batch",tbl_TubeLaser[[#This Row],[Batch Hours]]*tbl_TubeLaser[[#This Row],[% Complete]],tbl_TubeLaser[[#This Row],[Total hours]]*tbl_TubeLaser[[#This Row],[% Complete]])</f>
        <v>5.6</v>
      </c>
      <c r="N31" s="31"/>
      <c r="O31" s="28" t="s">
        <v>99</v>
      </c>
      <c r="P31" s="28">
        <f>tbl_TubeLaser[[#This Row],[Mat. Qty]]*tbl_TubeLaser[[#This Row],[% Complete]]</f>
        <v>84</v>
      </c>
      <c r="Q31" s="28">
        <v>84</v>
      </c>
      <c r="R31" s="32">
        <f>IFERROR(tbl_TubeLaser[[#This Row],[Qty Complete]]/tbl_TubeLaser[[#This Row],[Total Hours Act]]*tbl_TubeLaser[[#This Row],['# of men Act]],"")</f>
        <v>17.684210526315791</v>
      </c>
      <c r="S31" s="28">
        <v>1</v>
      </c>
      <c r="T31"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4.75</v>
      </c>
      <c r="V31" s="33">
        <v>0.5</v>
      </c>
      <c r="X31" s="35">
        <f>IFERROR((tbl_TubeLaser[[#This Row],[Adj. Total Hours]]+tbl_TubeLaser[[#This Row],[Est. Hours]])/(tbl_TubeLaser[[#This Row],[Total Hours Act]]+tbl_TubeLaser[[#This Row],[Act. Hours]]),"")</f>
        <v>1.2842105263157895</v>
      </c>
      <c r="Y31" s="102">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1.2842105263157895</v>
      </c>
      <c r="Z31" s="104">
        <f>IFERROR(tbl_TubeLaser[[#This Row],[Act. Mat. Qty]]-tbl_TubeLaser[[#This Row],[Adj. Mat. Qty]],"")</f>
        <v>-84</v>
      </c>
      <c r="AA31" s="105">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-84</v>
      </c>
      <c r="AC31" s="31"/>
      <c r="AD31" s="36"/>
    </row>
    <row r="32" spans="1:30" ht="25" customHeight="1">
      <c r="A32" s="27">
        <v>46124</v>
      </c>
      <c r="B32" s="28" t="s">
        <v>100</v>
      </c>
      <c r="C32" s="28" t="str">
        <f>IF(tbl_TubeLaser[[#This Row],[Part'#]]="", "Batch", "Part")</f>
        <v>Part</v>
      </c>
      <c r="D32" s="28">
        <v>251353</v>
      </c>
      <c r="E32" s="29">
        <v>0.54305555555555551</v>
      </c>
      <c r="F32" s="29">
        <v>0.58194444444444449</v>
      </c>
      <c r="G32" s="28">
        <v>84</v>
      </c>
      <c r="H32" s="28">
        <v>24</v>
      </c>
      <c r="I32" s="70">
        <f>tbl_TubeLaser[[#This Row],[Qty Complete]]/tbl_TubeLaser[[#This Row],[Qty Required]]</f>
        <v>0.2857142857142857</v>
      </c>
      <c r="J32" s="30">
        <v>15</v>
      </c>
      <c r="K32" s="28">
        <v>1</v>
      </c>
      <c r="L32" s="31">
        <f>IF(tbl_TubeLaser[[#This Row],[Job Type]]="Batch",0,tbl_TubeLaser[[#This Row],[Qty Required]]/tbl_TubeLaser[[#This Row],[PPH]]*tbl_TubeLaser[[#This Row],['# of men]])</f>
        <v>5.6</v>
      </c>
      <c r="M32" s="31">
        <f>IF(tbl_TubeLaser[[#This Row],[Job Type]]="Batch",tbl_TubeLaser[[#This Row],[Batch Hours]]*tbl_TubeLaser[[#This Row],[% Complete]],tbl_TubeLaser[[#This Row],[Total hours]]*tbl_TubeLaser[[#This Row],[% Complete]])</f>
        <v>1.5999999999999999</v>
      </c>
      <c r="N32" s="31"/>
      <c r="O32" s="28" t="s">
        <v>99</v>
      </c>
      <c r="P32" s="28">
        <f>tbl_TubeLaser[[#This Row],[Mat. Qty]]*tbl_TubeLaser[[#This Row],[% Complete]]</f>
        <v>6.8571428571428568</v>
      </c>
      <c r="Q32" s="28">
        <v>24</v>
      </c>
      <c r="R32" s="32">
        <f>IFERROR(tbl_TubeLaser[[#This Row],[Qty Complete]]/tbl_TubeLaser[[#This Row],[Total Hours Act]]*tbl_TubeLaser[[#This Row],['# of men Act]],"")</f>
        <v>25.714285714285658</v>
      </c>
      <c r="S32" s="28">
        <v>1</v>
      </c>
      <c r="T32"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0.93333333333333535</v>
      </c>
      <c r="X32" s="35">
        <f>IFERROR((tbl_TubeLaser[[#This Row],[Adj. Total Hours]]+tbl_TubeLaser[[#This Row],[Est. Hours]])/(tbl_TubeLaser[[#This Row],[Total Hours Act]]+tbl_TubeLaser[[#This Row],[Act. Hours]]),"")</f>
        <v>1.7142857142857104</v>
      </c>
      <c r="Y32"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32" s="104">
        <f>IFERROR(tbl_TubeLaser[[#This Row],[Act. Mat. Qty]]-tbl_TubeLaser[[#This Row],[Adj. Mat. Qty]],"")</f>
        <v>-6.8571428571428568</v>
      </c>
      <c r="AA32"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32" s="31"/>
      <c r="AD32" s="36"/>
    </row>
    <row r="33" spans="1:30" ht="25" customHeight="1">
      <c r="A33" s="27">
        <v>46124</v>
      </c>
      <c r="B33" s="28" t="s">
        <v>101</v>
      </c>
      <c r="C33" s="28" t="str">
        <f>IF(tbl_TubeLaser[[#This Row],[Part'#]]="", "Batch", "Part")</f>
        <v>Part</v>
      </c>
      <c r="D33" s="28">
        <v>250618</v>
      </c>
      <c r="E33" s="29">
        <v>0.62569444444444444</v>
      </c>
      <c r="F33" s="29">
        <v>0.67500000000000004</v>
      </c>
      <c r="G33" s="28">
        <v>30</v>
      </c>
      <c r="H33" s="28">
        <v>30</v>
      </c>
      <c r="I33" s="70">
        <f>tbl_TubeLaser[[#This Row],[Qty Complete]]/tbl_TubeLaser[[#This Row],[Qty Required]]</f>
        <v>1</v>
      </c>
      <c r="J33" s="30">
        <v>12</v>
      </c>
      <c r="K33" s="28">
        <v>1</v>
      </c>
      <c r="L33" s="31">
        <f>IF(tbl_TubeLaser[[#This Row],[Job Type]]="Batch",0,tbl_TubeLaser[[#This Row],[Qty Required]]/tbl_TubeLaser[[#This Row],[PPH]]*tbl_TubeLaser[[#This Row],['# of men]])</f>
        <v>2.5</v>
      </c>
      <c r="M33" s="31">
        <f>IF(tbl_TubeLaser[[#This Row],[Job Type]]="Batch",tbl_TubeLaser[[#This Row],[Batch Hours]]*tbl_TubeLaser[[#This Row],[% Complete]],tbl_TubeLaser[[#This Row],[Total hours]]*tbl_TubeLaser[[#This Row],[% Complete]])</f>
        <v>2.5</v>
      </c>
      <c r="N33" s="31"/>
      <c r="O33" s="28" t="s">
        <v>102</v>
      </c>
      <c r="P33" s="28">
        <f>tbl_TubeLaser[[#This Row],[Mat. Qty]]*tbl_TubeLaser[[#This Row],[% Complete]]</f>
        <v>30</v>
      </c>
      <c r="Q33" s="28">
        <v>30</v>
      </c>
      <c r="R33" s="32">
        <f>IFERROR(tbl_TubeLaser[[#This Row],[Qty Complete]]/tbl_TubeLaser[[#This Row],[Total Hours Act]]*tbl_TubeLaser[[#This Row],['# of men Act]],"")</f>
        <v>25.352112676056315</v>
      </c>
      <c r="S33" s="28">
        <v>1</v>
      </c>
      <c r="T33"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1.1833333333333345</v>
      </c>
      <c r="X33" s="35">
        <f>IFERROR((tbl_TubeLaser[[#This Row],[Adj. Total Hours]]+tbl_TubeLaser[[#This Row],[Est. Hours]])/(tbl_TubeLaser[[#This Row],[Total Hours Act]]+tbl_TubeLaser[[#This Row],[Act. Hours]]),"")</f>
        <v>2.1126760563380262</v>
      </c>
      <c r="Y33" s="102">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2.1126760563380262</v>
      </c>
      <c r="Z33" s="104">
        <f>IFERROR(tbl_TubeLaser[[#This Row],[Act. Mat. Qty]]-tbl_TubeLaser[[#This Row],[Adj. Mat. Qty]],"")</f>
        <v>-30</v>
      </c>
      <c r="AA33" s="105">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-30</v>
      </c>
      <c r="AC33" s="31"/>
      <c r="AD33" s="36"/>
    </row>
    <row r="34" spans="1:30" ht="25" customHeight="1">
      <c r="A34" s="27">
        <v>46124</v>
      </c>
      <c r="B34" s="28" t="s">
        <v>103</v>
      </c>
      <c r="C34" s="28" t="str">
        <f>IF(tbl_TubeLaser[[#This Row],[Part'#]]="", "Batch", "Part")</f>
        <v>Part</v>
      </c>
      <c r="D34" s="28">
        <v>250590</v>
      </c>
      <c r="E34" s="29">
        <v>0.68472222222222223</v>
      </c>
      <c r="F34" s="29">
        <v>0.70833333333333337</v>
      </c>
      <c r="G34" s="28">
        <v>50</v>
      </c>
      <c r="H34" s="28">
        <v>2</v>
      </c>
      <c r="I34" s="70">
        <f>tbl_TubeLaser[[#This Row],[Qty Complete]]/tbl_TubeLaser[[#This Row],[Qty Required]]</f>
        <v>0.04</v>
      </c>
      <c r="J34" s="30">
        <v>12</v>
      </c>
      <c r="L34" s="31">
        <f>IF(tbl_TubeLaser[[#This Row],[Job Type]]="Batch",0,tbl_TubeLaser[[#This Row],[Qty Required]]/tbl_TubeLaser[[#This Row],[PPH]]*tbl_TubeLaser[[#This Row],['# of men]])</f>
        <v>0</v>
      </c>
      <c r="M34" s="31">
        <f>IF(tbl_TubeLaser[[#This Row],[Job Type]]="Batch",tbl_TubeLaser[[#This Row],[Batch Hours]]*tbl_TubeLaser[[#This Row],[% Complete]],tbl_TubeLaser[[#This Row],[Total hours]]*tbl_TubeLaser[[#This Row],[% Complete]])</f>
        <v>0</v>
      </c>
      <c r="N34" s="31"/>
      <c r="O34" s="28" t="s">
        <v>102</v>
      </c>
      <c r="P34" s="28">
        <f>tbl_TubeLaser[[#This Row],[Mat. Qty]]*tbl_TubeLaser[[#This Row],[% Complete]]</f>
        <v>0.08</v>
      </c>
      <c r="Q34" s="28">
        <v>2</v>
      </c>
      <c r="R34" s="32">
        <f>IFERROR(tbl_TubeLaser[[#This Row],[Qty Complete]]/tbl_TubeLaser[[#This Row],[Total Hours Act]]*tbl_TubeLaser[[#This Row],['# of men Act]],"")</f>
        <v>3.5294117647058783</v>
      </c>
      <c r="S34" s="28">
        <v>1</v>
      </c>
      <c r="T34"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0.56666666666666732</v>
      </c>
      <c r="V34" s="33">
        <v>0.5</v>
      </c>
      <c r="X34" s="35">
        <f>IFERROR((tbl_TubeLaser[[#This Row],[Adj. Total Hours]]+tbl_TubeLaser[[#This Row],[Est. Hours]])/(tbl_TubeLaser[[#This Row],[Total Hours Act]]+tbl_TubeLaser[[#This Row],[Act. Hours]]),"")</f>
        <v>0.88235294117646956</v>
      </c>
      <c r="Y34"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34" s="104">
        <f>IFERROR(tbl_TubeLaser[[#This Row],[Act. Mat. Qty]]-tbl_TubeLaser[[#This Row],[Adj. Mat. Qty]],"")</f>
        <v>-0.08</v>
      </c>
      <c r="AA34"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34" s="31"/>
      <c r="AD34" s="36"/>
    </row>
    <row r="35" spans="1:30" ht="25" customHeight="1">
      <c r="A35" s="27">
        <v>46124</v>
      </c>
      <c r="B35" s="28">
        <v>143098</v>
      </c>
      <c r="C35" s="28" t="str">
        <f>IF(tbl_TubeLaser[[#This Row],[Part'#]]="", "Batch", "Part")</f>
        <v>Part</v>
      </c>
      <c r="D35" s="28" t="s">
        <v>104</v>
      </c>
      <c r="E35" s="29">
        <v>0.20694444444444443</v>
      </c>
      <c r="F35" s="29">
        <v>0.62361111111111112</v>
      </c>
      <c r="G35" s="28">
        <v>80</v>
      </c>
      <c r="H35" s="28">
        <v>44</v>
      </c>
      <c r="I35" s="70">
        <f>tbl_TubeLaser[[#This Row],[Qty Complete]]/tbl_TubeLaser[[#This Row],[Qty Required]]</f>
        <v>0.55000000000000004</v>
      </c>
      <c r="J35" s="30">
        <v>24</v>
      </c>
      <c r="K35" s="28">
        <v>1</v>
      </c>
      <c r="L35" s="31">
        <f>IF(tbl_TubeLaser[[#This Row],[Job Type]]="Batch",0,tbl_TubeLaser[[#This Row],[Qty Required]]/tbl_TubeLaser[[#This Row],[PPH]]*tbl_TubeLaser[[#This Row],['# of men]])</f>
        <v>3.3333333333333335</v>
      </c>
      <c r="M35" s="31">
        <f>IF(tbl_TubeLaser[[#This Row],[Job Type]]="Batch",tbl_TubeLaser[[#This Row],[Batch Hours]]*tbl_TubeLaser[[#This Row],[% Complete]],tbl_TubeLaser[[#This Row],[Total hours]]*tbl_TubeLaser[[#This Row],[% Complete]])</f>
        <v>1.8333333333333335</v>
      </c>
      <c r="N35" s="31"/>
      <c r="O35" s="28" t="s">
        <v>105</v>
      </c>
      <c r="P35" s="28">
        <f>tbl_TubeLaser[[#This Row],[Mat. Qty]]*tbl_TubeLaser[[#This Row],[% Complete]]</f>
        <v>22</v>
      </c>
      <c r="Q35" s="28">
        <v>40</v>
      </c>
      <c r="R35" s="32">
        <f>IFERROR(tbl_TubeLaser[[#This Row],[Qty Complete]]/tbl_TubeLaser[[#This Row],[Total Hours Act]]*tbl_TubeLaser[[#This Row],['# of men Act]],"")</f>
        <v>4.6315789473684212</v>
      </c>
      <c r="S35" s="28">
        <v>1</v>
      </c>
      <c r="T35"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9.5</v>
      </c>
      <c r="V35" s="33">
        <v>0.5</v>
      </c>
      <c r="X35" s="35">
        <f>IFERROR((tbl_TubeLaser[[#This Row],[Adj. Total Hours]]+tbl_TubeLaser[[#This Row],[Est. Hours]])/(tbl_TubeLaser[[#This Row],[Total Hours Act]]+tbl_TubeLaser[[#This Row],[Act. Hours]]),"")</f>
        <v>0.24561403508771931</v>
      </c>
      <c r="Y35"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35" s="104">
        <f>IFERROR(tbl_TubeLaser[[#This Row],[Act. Mat. Qty]]-tbl_TubeLaser[[#This Row],[Adj. Mat. Qty]],"")</f>
        <v>-22</v>
      </c>
      <c r="AA35"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B35" s="28" t="s">
        <v>51</v>
      </c>
      <c r="AC35" s="31"/>
      <c r="AD35" s="36"/>
    </row>
    <row r="36" spans="1:30" ht="25" customHeight="1">
      <c r="A36" s="27">
        <v>46124</v>
      </c>
      <c r="B36" s="28">
        <v>143220</v>
      </c>
      <c r="C36" s="28" t="str">
        <f>IF(tbl_TubeLaser[[#This Row],[Part'#]]="", "Batch", "Part")</f>
        <v>Part</v>
      </c>
      <c r="D36" s="28" t="s">
        <v>106</v>
      </c>
      <c r="E36" s="29">
        <v>0.46736111111111112</v>
      </c>
      <c r="F36" s="29">
        <v>0.55277777777777781</v>
      </c>
      <c r="G36" s="28">
        <v>48</v>
      </c>
      <c r="H36" s="28">
        <v>40</v>
      </c>
      <c r="I36" s="70">
        <f>tbl_TubeLaser[[#This Row],[Qty Complete]]/tbl_TubeLaser[[#This Row],[Qty Required]]</f>
        <v>0.83333333333333337</v>
      </c>
      <c r="J36" s="30">
        <v>24</v>
      </c>
      <c r="K36" s="28">
        <v>1</v>
      </c>
      <c r="L36" s="31">
        <f>IF(tbl_TubeLaser[[#This Row],[Job Type]]="Batch",0,tbl_TubeLaser[[#This Row],[Qty Required]]/tbl_TubeLaser[[#This Row],[PPH]]*tbl_TubeLaser[[#This Row],['# of men]])</f>
        <v>2</v>
      </c>
      <c r="M36" s="31">
        <f>IF(tbl_TubeLaser[[#This Row],[Job Type]]="Batch",tbl_TubeLaser[[#This Row],[Batch Hours]]*tbl_TubeLaser[[#This Row],[% Complete]],tbl_TubeLaser[[#This Row],[Total hours]]*tbl_TubeLaser[[#This Row],[% Complete]])</f>
        <v>1.6666666666666667</v>
      </c>
      <c r="N36" s="31"/>
      <c r="O36" s="28" t="s">
        <v>105</v>
      </c>
      <c r="P36" s="28">
        <f>tbl_TubeLaser[[#This Row],[Mat. Qty]]*tbl_TubeLaser[[#This Row],[% Complete]]</f>
        <v>33.333333333333336</v>
      </c>
      <c r="Q36" s="28">
        <v>40</v>
      </c>
      <c r="R36" s="32">
        <f>IFERROR(tbl_TubeLaser[[#This Row],[Qty Complete]]/tbl_TubeLaser[[#This Row],[Total Hours Act]]*tbl_TubeLaser[[#This Row],['# of men Act]],"")</f>
        <v>25.806451612903214</v>
      </c>
      <c r="S36" s="28">
        <v>1</v>
      </c>
      <c r="T36"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1.5500000000000007</v>
      </c>
      <c r="X36" s="35">
        <f>IFERROR((tbl_TubeLaser[[#This Row],[Adj. Total Hours]]+tbl_TubeLaser[[#This Row],[Est. Hours]])/(tbl_TubeLaser[[#This Row],[Total Hours Act]]+tbl_TubeLaser[[#This Row],[Act. Hours]]),"")</f>
        <v>1.0752688172043006</v>
      </c>
      <c r="Y36"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36" s="104">
        <f>IFERROR(tbl_TubeLaser[[#This Row],[Act. Mat. Qty]]-tbl_TubeLaser[[#This Row],[Adj. Mat. Qty]],"")</f>
        <v>-33.333333333333336</v>
      </c>
      <c r="AA36"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36" s="31"/>
      <c r="AD36" s="36"/>
    </row>
    <row r="37" spans="1:30" ht="25" customHeight="1">
      <c r="A37" s="27">
        <v>46124</v>
      </c>
      <c r="B37" s="28">
        <v>143221</v>
      </c>
      <c r="C37" s="28" t="str">
        <f>IF(tbl_TubeLaser[[#This Row],[Part'#]]="", "Batch", "Part")</f>
        <v>Part</v>
      </c>
      <c r="D37" s="28" t="s">
        <v>107</v>
      </c>
      <c r="E37" s="29">
        <v>0.67083333333333328</v>
      </c>
      <c r="F37" s="29">
        <v>0.67777777777777781</v>
      </c>
      <c r="G37" s="28">
        <v>33</v>
      </c>
      <c r="H37" s="28">
        <v>4</v>
      </c>
      <c r="I37" s="70">
        <f>tbl_TubeLaser[[#This Row],[Qty Complete]]/tbl_TubeLaser[[#This Row],[Qty Required]]</f>
        <v>0.12121212121212122</v>
      </c>
      <c r="J37" s="30">
        <v>24</v>
      </c>
      <c r="K37" s="28">
        <v>1</v>
      </c>
      <c r="L37" s="31">
        <f>IF(tbl_TubeLaser[[#This Row],[Job Type]]="Batch",0,tbl_TubeLaser[[#This Row],[Qty Required]]/tbl_TubeLaser[[#This Row],[PPH]]*tbl_TubeLaser[[#This Row],['# of men]])</f>
        <v>1.375</v>
      </c>
      <c r="M37" s="31">
        <f>IF(tbl_TubeLaser[[#This Row],[Job Type]]="Batch",tbl_TubeLaser[[#This Row],[Batch Hours]]*tbl_TubeLaser[[#This Row],[% Complete]],tbl_TubeLaser[[#This Row],[Total hours]]*tbl_TubeLaser[[#This Row],[% Complete]])</f>
        <v>0.16666666666666669</v>
      </c>
      <c r="N37" s="31"/>
      <c r="O37" s="28" t="s">
        <v>105</v>
      </c>
      <c r="P37" s="28">
        <f>tbl_TubeLaser[[#This Row],[Mat. Qty]]*tbl_TubeLaser[[#This Row],[% Complete]]</f>
        <v>0.48484848484848486</v>
      </c>
      <c r="Q37" s="28">
        <v>4</v>
      </c>
      <c r="R37" s="32">
        <f>IFERROR(tbl_TubeLaser[[#This Row],[Qty Complete]]/tbl_TubeLaser[[#This Row],[Total Hours Act]]*tbl_TubeLaser[[#This Row],['# of men Act]],"")</f>
        <v>23.999999999999702</v>
      </c>
      <c r="S37" s="28">
        <v>1</v>
      </c>
      <c r="T37"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0.16666666666666874</v>
      </c>
      <c r="X37" s="35">
        <f>IFERROR((tbl_TubeLaser[[#This Row],[Adj. Total Hours]]+tbl_TubeLaser[[#This Row],[Est. Hours]])/(tbl_TubeLaser[[#This Row],[Total Hours Act]]+tbl_TubeLaser[[#This Row],[Act. Hours]]),"")</f>
        <v>0.99999999999998768</v>
      </c>
      <c r="Y37"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37" s="104">
        <f>IFERROR(tbl_TubeLaser[[#This Row],[Act. Mat. Qty]]-tbl_TubeLaser[[#This Row],[Adj. Mat. Qty]],"")</f>
        <v>-0.48484848484848486</v>
      </c>
      <c r="AA37"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37" s="31"/>
      <c r="AD37" s="36"/>
    </row>
    <row r="38" spans="1:30" ht="25" customHeight="1">
      <c r="A38" s="27">
        <v>46123</v>
      </c>
      <c r="B38" s="28">
        <v>143156</v>
      </c>
      <c r="C38" s="28" t="str">
        <f>IF(tbl_TubeLaser[[#This Row],[Part'#]]="", "Batch", "Part")</f>
        <v>Part</v>
      </c>
      <c r="D38" s="28" t="s">
        <v>86</v>
      </c>
      <c r="E38" s="29">
        <v>0.70833333333333337</v>
      </c>
      <c r="F38" s="29">
        <v>0.88263888888888886</v>
      </c>
      <c r="G38" s="28">
        <v>259</v>
      </c>
      <c r="H38" s="28">
        <v>132</v>
      </c>
      <c r="I38" s="70">
        <f>tbl_TubeLaser[[#This Row],[Qty Complete]]/tbl_TubeLaser[[#This Row],[Qty Required]]</f>
        <v>0.50965250965250963</v>
      </c>
      <c r="J38" s="30">
        <v>36</v>
      </c>
      <c r="K38" s="28">
        <v>1</v>
      </c>
      <c r="L38" s="31">
        <f>IF(tbl_TubeLaser[[#This Row],[Job Type]]="Batch",0,tbl_TubeLaser[[#This Row],[Qty Required]]/tbl_TubeLaser[[#This Row],[PPH]]*tbl_TubeLaser[[#This Row],['# of men]])</f>
        <v>7.1944444444444446</v>
      </c>
      <c r="M38" s="31">
        <f>IF(tbl_TubeLaser[[#This Row],[Job Type]]="Batch",tbl_TubeLaser[[#This Row],[Batch Hours]]*tbl_TubeLaser[[#This Row],[% Complete]],tbl_TubeLaser[[#This Row],[Total hours]]*tbl_TubeLaser[[#This Row],[% Complete]])</f>
        <v>3.6666666666666665</v>
      </c>
      <c r="N38" s="31"/>
      <c r="O38" s="28" t="s">
        <v>91</v>
      </c>
      <c r="P38" s="28">
        <f>tbl_TubeLaser[[#This Row],[Mat. Qty]]*tbl_TubeLaser[[#This Row],[% Complete]]</f>
        <v>18.857142857142858</v>
      </c>
      <c r="Q38" s="28">
        <v>37</v>
      </c>
      <c r="R38" s="32">
        <f>IFERROR(tbl_TubeLaser[[#This Row],[Qty Complete]]/tbl_TubeLaser[[#This Row],[Total Hours Act]]*tbl_TubeLaser[[#This Row],['# of men Act]],"")</f>
        <v>31.55378486055778</v>
      </c>
      <c r="S38" s="28">
        <v>1</v>
      </c>
      <c r="T38"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4.1833333333333318</v>
      </c>
      <c r="X38" s="35">
        <f>IFERROR((tbl_TubeLaser[[#This Row],[Adj. Total Hours]]+tbl_TubeLaser[[#This Row],[Est. Hours]])/(tbl_TubeLaser[[#This Row],[Total Hours Act]]+tbl_TubeLaser[[#This Row],[Act. Hours]]),"")</f>
        <v>0.8764940239043828</v>
      </c>
      <c r="Y38"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38" s="104">
        <f>IFERROR(tbl_TubeLaser[[#This Row],[Act. Mat. Qty]]-tbl_TubeLaser[[#This Row],[Adj. Mat. Qty]],"")</f>
        <v>-18.857142857142858</v>
      </c>
      <c r="AA38"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B38" s="28" t="s">
        <v>108</v>
      </c>
      <c r="AC38" s="31" t="s">
        <v>109</v>
      </c>
      <c r="AD38" s="36"/>
    </row>
    <row r="39" spans="1:30" ht="25" customHeight="1">
      <c r="A39" s="27">
        <v>46123</v>
      </c>
      <c r="B39" s="28">
        <v>143065</v>
      </c>
      <c r="C39" s="28" t="str">
        <f>IF(tbl_TubeLaser[[#This Row],[Part'#]]="", "Batch", "Part")</f>
        <v>Part</v>
      </c>
      <c r="D39" s="28" t="s">
        <v>110</v>
      </c>
      <c r="E39" s="29">
        <v>0.97222222222222221</v>
      </c>
      <c r="F39" s="29">
        <v>0</v>
      </c>
      <c r="G39" s="28">
        <v>6</v>
      </c>
      <c r="H39" s="28">
        <v>6</v>
      </c>
      <c r="I39" s="70">
        <f>tbl_TubeLaser[[#This Row],[Qty Complete]]/tbl_TubeLaser[[#This Row],[Qty Required]]</f>
        <v>1</v>
      </c>
      <c r="J39" s="30">
        <v>20</v>
      </c>
      <c r="K39" s="28">
        <v>1</v>
      </c>
      <c r="L39" s="31">
        <f>IF(tbl_TubeLaser[[#This Row],[Job Type]]="Batch",0,tbl_TubeLaser[[#This Row],[Qty Required]]/tbl_TubeLaser[[#This Row],[PPH]]*tbl_TubeLaser[[#This Row],['# of men]])</f>
        <v>0.3</v>
      </c>
      <c r="M39" s="31">
        <f>IF(tbl_TubeLaser[[#This Row],[Job Type]]="Batch",tbl_TubeLaser[[#This Row],[Batch Hours]]*tbl_TubeLaser[[#This Row],[% Complete]],tbl_TubeLaser[[#This Row],[Total hours]]*tbl_TubeLaser[[#This Row],[% Complete]])</f>
        <v>0.3</v>
      </c>
      <c r="N39" s="31"/>
      <c r="O39" s="84" t="s">
        <v>67</v>
      </c>
      <c r="P39" s="28">
        <f>tbl_TubeLaser[[#This Row],[Mat. Qty]]*tbl_TubeLaser[[#This Row],[% Complete]]</f>
        <v>6</v>
      </c>
      <c r="Q39" s="28">
        <v>6</v>
      </c>
      <c r="R39" s="32">
        <f>IFERROR(tbl_TubeLaser[[#This Row],[Qty Complete]]/tbl_TubeLaser[[#This Row],[Total Hours Act]]*tbl_TubeLaser[[#This Row],['# of men Act]],"")</f>
        <v>8.9999999999999964</v>
      </c>
      <c r="S39" s="28">
        <v>1</v>
      </c>
      <c r="T39"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0.66666666666666696</v>
      </c>
      <c r="V39" s="33">
        <v>0.5</v>
      </c>
      <c r="W39" s="33">
        <v>0.5</v>
      </c>
      <c r="X39" s="35">
        <f>IFERROR((tbl_TubeLaser[[#This Row],[Adj. Total Hours]]+tbl_TubeLaser[[#This Row],[Est. Hours]])/(tbl_TubeLaser[[#This Row],[Total Hours Act]]+tbl_TubeLaser[[#This Row],[Act. Hours]]),"")</f>
        <v>0.68571428571428561</v>
      </c>
      <c r="Y39" s="102">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0.68571428571428561</v>
      </c>
      <c r="Z39" s="104">
        <f>IFERROR(tbl_TubeLaser[[#This Row],[Act. Mat. Qty]]-tbl_TubeLaser[[#This Row],[Adj. Mat. Qty]],"")</f>
        <v>-6</v>
      </c>
      <c r="AA39" s="105">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-6</v>
      </c>
      <c r="AC39" s="31" t="s">
        <v>109</v>
      </c>
      <c r="AD39" s="36"/>
    </row>
    <row r="40" spans="1:30" ht="25" customHeight="1">
      <c r="A40" s="27">
        <v>46124</v>
      </c>
      <c r="B40" s="28">
        <v>143098</v>
      </c>
      <c r="C40" s="28" t="str">
        <f>IF(tbl_TubeLaser[[#This Row],[Part'#]]="", "Batch", "Part")</f>
        <v>Part</v>
      </c>
      <c r="D40" s="28" t="s">
        <v>104</v>
      </c>
      <c r="E40" s="29">
        <v>6.9444444444444447E-4</v>
      </c>
      <c r="F40" s="29">
        <v>0.10416666666666667</v>
      </c>
      <c r="G40" s="28">
        <v>80</v>
      </c>
      <c r="H40" s="28">
        <v>8</v>
      </c>
      <c r="I40" s="70">
        <f>tbl_TubeLaser[[#This Row],[Qty Complete]]/tbl_TubeLaser[[#This Row],[Qty Required]]</f>
        <v>0.1</v>
      </c>
      <c r="J40" s="30">
        <v>24</v>
      </c>
      <c r="K40" s="28">
        <v>1</v>
      </c>
      <c r="L40" s="31">
        <f>IF(tbl_TubeLaser[[#This Row],[Job Type]]="Batch",0,tbl_TubeLaser[[#This Row],[Qty Required]]/tbl_TubeLaser[[#This Row],[PPH]]*tbl_TubeLaser[[#This Row],['# of men]])</f>
        <v>3.3333333333333335</v>
      </c>
      <c r="M40" s="31">
        <f>IF(tbl_TubeLaser[[#This Row],[Job Type]]="Batch",tbl_TubeLaser[[#This Row],[Batch Hours]]*tbl_TubeLaser[[#This Row],[% Complete]],tbl_TubeLaser[[#This Row],[Total hours]]*tbl_TubeLaser[[#This Row],[% Complete]])</f>
        <v>0.33333333333333337</v>
      </c>
      <c r="N40" s="31"/>
      <c r="O40" s="28" t="s">
        <v>111</v>
      </c>
      <c r="P40" s="28">
        <f>tbl_TubeLaser[[#This Row],[Mat. Qty]]*tbl_TubeLaser[[#This Row],[% Complete]]</f>
        <v>8</v>
      </c>
      <c r="Q40" s="28">
        <v>80</v>
      </c>
      <c r="R40" s="32">
        <f>IFERROR(tbl_TubeLaser[[#This Row],[Qty Complete]]/tbl_TubeLaser[[#This Row],[Total Hours Act]]*tbl_TubeLaser[[#This Row],['# of men Act]],"")</f>
        <v>4.0336134453781511</v>
      </c>
      <c r="S40" s="28">
        <v>1</v>
      </c>
      <c r="T40"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1.9833333333333334</v>
      </c>
      <c r="V40" s="33">
        <v>0.5</v>
      </c>
      <c r="X40" s="35">
        <f>IFERROR((tbl_TubeLaser[[#This Row],[Adj. Total Hours]]+tbl_TubeLaser[[#This Row],[Est. Hours]])/(tbl_TubeLaser[[#This Row],[Total Hours Act]]+tbl_TubeLaser[[#This Row],[Act. Hours]]),"")</f>
        <v>0.42016806722689076</v>
      </c>
      <c r="Y40"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40" s="104">
        <f>IFERROR(tbl_TubeLaser[[#This Row],[Act. Mat. Qty]]-tbl_TubeLaser[[#This Row],[Adj. Mat. Qty]],"")</f>
        <v>-8</v>
      </c>
      <c r="AA40"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B40" s="28" t="s">
        <v>112</v>
      </c>
      <c r="AC40" s="31" t="s">
        <v>109</v>
      </c>
      <c r="AD40" s="36"/>
    </row>
    <row r="41" spans="1:30" ht="25" customHeight="1">
      <c r="A41" s="27">
        <v>46124</v>
      </c>
      <c r="B41" s="28">
        <v>143220</v>
      </c>
      <c r="C41" s="28" t="str">
        <f>IF(tbl_TubeLaser[[#This Row],[Part'#]]="", "Batch", "Part")</f>
        <v>Part</v>
      </c>
      <c r="D41" s="28" t="s">
        <v>113</v>
      </c>
      <c r="E41" s="29">
        <v>0.10416666666666667</v>
      </c>
      <c r="F41" s="29">
        <v>0.20833333333333334</v>
      </c>
      <c r="G41" s="28">
        <v>48</v>
      </c>
      <c r="H41" s="28">
        <v>8</v>
      </c>
      <c r="I41" s="70">
        <f>tbl_TubeLaser[[#This Row],[Qty Complete]]/tbl_TubeLaser[[#This Row],[Qty Required]]</f>
        <v>0.16666666666666666</v>
      </c>
      <c r="J41" s="30">
        <v>24</v>
      </c>
      <c r="K41" s="28">
        <v>1</v>
      </c>
      <c r="L41" s="31">
        <f>IF(tbl_TubeLaser[[#This Row],[Job Type]]="Batch",0,tbl_TubeLaser[[#This Row],[Qty Required]]/tbl_TubeLaser[[#This Row],[PPH]]*tbl_TubeLaser[[#This Row],['# of men]])</f>
        <v>2</v>
      </c>
      <c r="M41" s="31">
        <f>IF(tbl_TubeLaser[[#This Row],[Job Type]]="Batch",tbl_TubeLaser[[#This Row],[Batch Hours]]*tbl_TubeLaser[[#This Row],[% Complete]],tbl_TubeLaser[[#This Row],[Total hours]]*tbl_TubeLaser[[#This Row],[% Complete]])</f>
        <v>0.33333333333333331</v>
      </c>
      <c r="N41" s="31"/>
      <c r="O41" s="28" t="s">
        <v>111</v>
      </c>
      <c r="P41" s="28">
        <f>tbl_TubeLaser[[#This Row],[Mat. Qty]]*tbl_TubeLaser[[#This Row],[% Complete]]</f>
        <v>4</v>
      </c>
      <c r="Q41" s="28">
        <v>24</v>
      </c>
      <c r="R41" s="32">
        <f>IFERROR(tbl_TubeLaser[[#This Row],[Qty Complete]]/tbl_TubeLaser[[#This Row],[Total Hours Act]]*tbl_TubeLaser[[#This Row],['# of men Act]],"")</f>
        <v>3.2</v>
      </c>
      <c r="S41" s="28">
        <v>1</v>
      </c>
      <c r="T41"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2.5</v>
      </c>
      <c r="V41" s="33">
        <v>0.5</v>
      </c>
      <c r="X41" s="35">
        <f>IFERROR((tbl_TubeLaser[[#This Row],[Adj. Total Hours]]+tbl_TubeLaser[[#This Row],[Est. Hours]])/(tbl_TubeLaser[[#This Row],[Total Hours Act]]+tbl_TubeLaser[[#This Row],[Act. Hours]]),"")</f>
        <v>0.33333333333333331</v>
      </c>
      <c r="Y41" s="102">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0.61728395061728381</v>
      </c>
      <c r="Z41" s="104">
        <f>IFERROR(tbl_TubeLaser[[#This Row],[Act. Mat. Qty]]-tbl_TubeLaser[[#This Row],[Adj. Mat. Qty]],"")</f>
        <v>-4</v>
      </c>
      <c r="AA41" s="105">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-37.333333333333336</v>
      </c>
      <c r="AB41" s="28" t="s">
        <v>114</v>
      </c>
      <c r="AC41" s="31" t="s">
        <v>109</v>
      </c>
      <c r="AD41" s="36"/>
    </row>
    <row r="42" spans="1:30" ht="25" customHeight="1">
      <c r="A42" s="27">
        <v>46123</v>
      </c>
      <c r="B42" s="28" t="s">
        <v>46</v>
      </c>
      <c r="C42" s="28" t="str">
        <f>IF(tbl_TubeLaser[[#This Row],[Part'#]]="", "Batch", "Part")</f>
        <v>Part</v>
      </c>
      <c r="D42" s="28">
        <v>2403141</v>
      </c>
      <c r="E42" s="29">
        <v>0.70833333333333337</v>
      </c>
      <c r="F42" s="29">
        <v>0.10347222222222222</v>
      </c>
      <c r="G42" s="28">
        <v>332</v>
      </c>
      <c r="H42" s="28">
        <v>73</v>
      </c>
      <c r="I42" s="70">
        <f>tbl_TubeLaser[[#This Row],[Qty Complete]]/tbl_TubeLaser[[#This Row],[Qty Required]]</f>
        <v>0.21987951807228914</v>
      </c>
      <c r="J42" s="30">
        <v>24</v>
      </c>
      <c r="K42" s="28">
        <v>1</v>
      </c>
      <c r="L42" s="31">
        <f>IF(tbl_TubeLaser[[#This Row],[Job Type]]="Batch",0,tbl_TubeLaser[[#This Row],[Qty Required]]/tbl_TubeLaser[[#This Row],[PPH]]*tbl_TubeLaser[[#This Row],['# of men]])</f>
        <v>13.833333333333334</v>
      </c>
      <c r="M42" s="31">
        <f>IF(tbl_TubeLaser[[#This Row],[Job Type]]="Batch",tbl_TubeLaser[[#This Row],[Batch Hours]]*tbl_TubeLaser[[#This Row],[% Complete]],tbl_TubeLaser[[#This Row],[Total hours]]*tbl_TubeLaser[[#This Row],[% Complete]])</f>
        <v>3.0416666666666665</v>
      </c>
      <c r="N42" s="31"/>
      <c r="O42" s="28" t="s">
        <v>63</v>
      </c>
      <c r="P42" s="28">
        <f>tbl_TubeLaser[[#This Row],[Mat. Qty]]*tbl_TubeLaser[[#This Row],[% Complete]]</f>
        <v>36.5</v>
      </c>
      <c r="Q42" s="28">
        <v>166</v>
      </c>
      <c r="R42" s="32">
        <f>IFERROR(tbl_TubeLaser[[#This Row],[Qty Complete]]/tbl_TubeLaser[[#This Row],[Total Hours Act]]*tbl_TubeLaser[[#This Row],['# of men Act]],"")</f>
        <v>8.1261595547309859</v>
      </c>
      <c r="S42" s="28">
        <v>1</v>
      </c>
      <c r="T42"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8.9833333333333307</v>
      </c>
      <c r="V42" s="33">
        <v>0.5</v>
      </c>
      <c r="X42" s="35">
        <f>IFERROR((tbl_TubeLaser[[#This Row],[Adj. Total Hours]]+tbl_TubeLaser[[#This Row],[Est. Hours]])/(tbl_TubeLaser[[#This Row],[Total Hours Act]]+tbl_TubeLaser[[#This Row],[Act. Hours]]),"")</f>
        <v>0.39424860853432292</v>
      </c>
      <c r="Y42"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42" s="104">
        <f>IFERROR(tbl_TubeLaser[[#This Row],[Act. Mat. Qty]]-tbl_TubeLaser[[#This Row],[Adj. Mat. Qty]],"")</f>
        <v>-36.5</v>
      </c>
      <c r="AA42"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B42" s="28" t="s">
        <v>115</v>
      </c>
      <c r="AC42" s="31" t="s">
        <v>116</v>
      </c>
      <c r="AD42" s="36"/>
    </row>
    <row r="43" spans="1:30" ht="25" customHeight="1">
      <c r="A43" s="27">
        <v>46124</v>
      </c>
      <c r="B43" s="28" t="s">
        <v>96</v>
      </c>
      <c r="C43" s="28" t="str">
        <f>IF(tbl_TubeLaser[[#This Row],[Part'#]]="", "Batch", "Part")</f>
        <v>Part</v>
      </c>
      <c r="D43" s="28" t="s">
        <v>117</v>
      </c>
      <c r="E43" s="29">
        <v>0.1076388888888889</v>
      </c>
      <c r="F43" s="29">
        <v>0.20833333333333334</v>
      </c>
      <c r="G43" s="28">
        <v>166</v>
      </c>
      <c r="H43" s="28">
        <v>63</v>
      </c>
      <c r="I43" s="70">
        <f>tbl_TubeLaser[[#This Row],[Qty Complete]]/tbl_TubeLaser[[#This Row],[Qty Required]]</f>
        <v>0.37951807228915663</v>
      </c>
      <c r="J43" s="30">
        <v>18</v>
      </c>
      <c r="K43" s="28">
        <v>1</v>
      </c>
      <c r="L43" s="31">
        <f>IF(tbl_TubeLaser[[#This Row],[Job Type]]="Batch",0,tbl_TubeLaser[[#This Row],[Qty Required]]/tbl_TubeLaser[[#This Row],[PPH]]*tbl_TubeLaser[[#This Row],['# of men]])</f>
        <v>9.2222222222222214</v>
      </c>
      <c r="M43" s="31">
        <f>IF(tbl_TubeLaser[[#This Row],[Job Type]]="Batch",tbl_TubeLaser[[#This Row],[Batch Hours]]*tbl_TubeLaser[[#This Row],[% Complete]],tbl_TubeLaser[[#This Row],[Total hours]]*tbl_TubeLaser[[#This Row],[% Complete]])</f>
        <v>3.4999999999999996</v>
      </c>
      <c r="N43" s="31"/>
      <c r="O43" s="28" t="s">
        <v>97</v>
      </c>
      <c r="P43" s="28">
        <f>tbl_TubeLaser[[#This Row],[Mat. Qty]]*tbl_TubeLaser[[#This Row],[% Complete]]</f>
        <v>37.762048192771083</v>
      </c>
      <c r="Q43" s="28">
        <v>99.5</v>
      </c>
      <c r="R43" s="32">
        <f>IFERROR(tbl_TubeLaser[[#This Row],[Qty Complete]]/tbl_TubeLaser[[#This Row],[Total Hours Act]]*tbl_TubeLaser[[#This Row],['# of men Act]],"")</f>
        <v>26.068965517241377</v>
      </c>
      <c r="S43" s="28">
        <v>1</v>
      </c>
      <c r="T43"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2.416666666666667</v>
      </c>
      <c r="V43" s="33">
        <v>0.5</v>
      </c>
      <c r="W43" s="33">
        <v>0.66</v>
      </c>
      <c r="X43" s="35">
        <f>IFERROR((tbl_TubeLaser[[#This Row],[Adj. Total Hours]]+tbl_TubeLaser[[#This Row],[Est. Hours]])/(tbl_TubeLaser[[#This Row],[Total Hours Act]]+tbl_TubeLaser[[#This Row],[Act. Hours]]),"")</f>
        <v>1.3001083423618631</v>
      </c>
      <c r="Y43" s="102">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2.1013448607108542</v>
      </c>
      <c r="Z43" s="104">
        <f>IFERROR(tbl_TubeLaser[[#This Row],[Act. Mat. Qty]]-tbl_TubeLaser[[#This Row],[Adj. Mat. Qty]],"")</f>
        <v>-37.762048192771083</v>
      </c>
      <c r="AA43" s="105">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-35.484939759036145</v>
      </c>
      <c r="AC43" s="31" t="s">
        <v>116</v>
      </c>
      <c r="AD43" s="36"/>
    </row>
    <row r="44" spans="1:30" ht="25" customHeight="1">
      <c r="A44" s="27">
        <v>46125</v>
      </c>
      <c r="B44" s="28" t="s">
        <v>118</v>
      </c>
      <c r="C44" s="28" t="str">
        <f>IF(tbl_TubeLaser[[#This Row],[Part'#]]="", "Batch", "Part")</f>
        <v>Part</v>
      </c>
      <c r="D44" s="28" t="s">
        <v>119</v>
      </c>
      <c r="E44" s="29">
        <v>0.26527777777777778</v>
      </c>
      <c r="F44" s="29">
        <v>0.62152777777777779</v>
      </c>
      <c r="G44" s="28">
        <v>166</v>
      </c>
      <c r="H44" s="28">
        <v>92</v>
      </c>
      <c r="I44" s="70">
        <f>tbl_TubeLaser[[#This Row],[Qty Complete]]/tbl_TubeLaser[[#This Row],[Qty Required]]</f>
        <v>0.55421686746987953</v>
      </c>
      <c r="J44" s="30">
        <v>9</v>
      </c>
      <c r="K44" s="28">
        <v>1</v>
      </c>
      <c r="L44" s="31">
        <f>IF(tbl_TubeLaser[[#This Row],[Job Type]]="Batch",0,tbl_TubeLaser[[#This Row],[Qty Required]]/tbl_TubeLaser[[#This Row],[PPH]]*tbl_TubeLaser[[#This Row],['# of men]])</f>
        <v>18.444444444444443</v>
      </c>
      <c r="M44" s="31">
        <f>IF(tbl_TubeLaser[[#This Row],[Job Type]]="Batch",tbl_TubeLaser[[#This Row],[Batch Hours]]*tbl_TubeLaser[[#This Row],[% Complete]],tbl_TubeLaser[[#This Row],[Total hours]]*tbl_TubeLaser[[#This Row],[% Complete]])</f>
        <v>10.222222222222221</v>
      </c>
      <c r="N44" s="31"/>
      <c r="O44" s="28" t="s">
        <v>120</v>
      </c>
      <c r="P44" s="28">
        <f>tbl_TubeLaser[[#This Row],[Mat. Qty]]*tbl_TubeLaser[[#This Row],[% Complete]]</f>
        <v>31.036144578313255</v>
      </c>
      <c r="Q44" s="28">
        <v>56</v>
      </c>
      <c r="R44" s="32">
        <f>IFERROR(tbl_TubeLaser[[#This Row],[Qty Complete]]/tbl_TubeLaser[[#This Row],[Total Hours Act]]*tbl_TubeLaser[[#This Row],['# of men Act]],"")</f>
        <v>11.428571428571427</v>
      </c>
      <c r="S44" s="28">
        <v>1</v>
      </c>
      <c r="T44"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8.0500000000000007</v>
      </c>
      <c r="U44" s="34">
        <v>47</v>
      </c>
      <c r="V44" s="33">
        <v>0.5</v>
      </c>
      <c r="W44" s="33">
        <v>1.37</v>
      </c>
      <c r="X44" s="35">
        <f>IFERROR((tbl_TubeLaser[[#This Row],[Adj. Total Hours]]+tbl_TubeLaser[[#This Row],[Est. Hours]])/(tbl_TubeLaser[[#This Row],[Total Hours Act]]+tbl_TubeLaser[[#This Row],[Act. Hours]]),"")</f>
        <v>1.1382401509790041</v>
      </c>
      <c r="Y44"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44" s="104">
        <f>IFERROR(tbl_TubeLaser[[#This Row],[Act. Mat. Qty]]-tbl_TubeLaser[[#This Row],[Adj. Mat. Qty]],"")</f>
        <v>15.963855421686745</v>
      </c>
      <c r="AA44"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44" s="31"/>
      <c r="AD44" s="36"/>
    </row>
    <row r="45" spans="1:30" ht="25" customHeight="1">
      <c r="A45" s="27">
        <v>46125</v>
      </c>
      <c r="B45" s="28">
        <v>143036</v>
      </c>
      <c r="C45" s="28" t="str">
        <f>IF(tbl_TubeLaser[[#This Row],[Part'#]]="", "Batch", "Part")</f>
        <v>Part</v>
      </c>
      <c r="D45" s="28" t="s">
        <v>64</v>
      </c>
      <c r="E45" s="29">
        <v>0.22916666666666666</v>
      </c>
      <c r="F45" s="29">
        <v>0.30486111111111114</v>
      </c>
      <c r="G45" s="28">
        <v>255</v>
      </c>
      <c r="H45" s="28">
        <v>55</v>
      </c>
      <c r="I45" s="70">
        <f>tbl_TubeLaser[[#This Row],[Qty Complete]]/tbl_TubeLaser[[#This Row],[Qty Required]]</f>
        <v>0.21568627450980393</v>
      </c>
      <c r="J45" s="30">
        <v>30</v>
      </c>
      <c r="K45" s="28">
        <v>1</v>
      </c>
      <c r="L45" s="31">
        <f>IF(tbl_TubeLaser[[#This Row],[Job Type]]="Batch",0,tbl_TubeLaser[[#This Row],[Qty Required]]/tbl_TubeLaser[[#This Row],[PPH]]*tbl_TubeLaser[[#This Row],['# of men]])</f>
        <v>8.5</v>
      </c>
      <c r="M45" s="31">
        <f>IF(tbl_TubeLaser[[#This Row],[Job Type]]="Batch",tbl_TubeLaser[[#This Row],[Batch Hours]]*tbl_TubeLaser[[#This Row],[% Complete]],tbl_TubeLaser[[#This Row],[Total hours]]*tbl_TubeLaser[[#This Row],[% Complete]])</f>
        <v>1.8333333333333335</v>
      </c>
      <c r="N45" s="31"/>
      <c r="O45" s="28" t="s">
        <v>65</v>
      </c>
      <c r="P45" s="28">
        <f>tbl_TubeLaser[[#This Row],[Mat. Qty]]*tbl_TubeLaser[[#This Row],[% Complete]]</f>
        <v>27.607843137254903</v>
      </c>
      <c r="Q45" s="28">
        <v>128</v>
      </c>
      <c r="R45" s="32">
        <f>IFERROR(tbl_TubeLaser[[#This Row],[Qty Complete]]/tbl_TubeLaser[[#This Row],[Total Hours Act]]*tbl_TubeLaser[[#This Row],['# of men Act]],"")</f>
        <v>30.27522935779815</v>
      </c>
      <c r="S45" s="28">
        <v>1</v>
      </c>
      <c r="T45"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1.8166666666666675</v>
      </c>
      <c r="U45" s="34">
        <v>28</v>
      </c>
      <c r="V45" s="33">
        <v>0.51</v>
      </c>
      <c r="W45" s="33">
        <v>0.5</v>
      </c>
      <c r="X45" s="35">
        <f>IFERROR((tbl_TubeLaser[[#This Row],[Adj. Total Hours]]+tbl_TubeLaser[[#This Row],[Est. Hours]])/(tbl_TubeLaser[[#This Row],[Total Hours Act]]+tbl_TubeLaser[[#This Row],[Act. Hours]]),"")</f>
        <v>1.0115107913669064</v>
      </c>
      <c r="Y45"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45" s="104">
        <f>IFERROR(tbl_TubeLaser[[#This Row],[Act. Mat. Qty]]-tbl_TubeLaser[[#This Row],[Adj. Mat. Qty]],"")</f>
        <v>0.39215686274509665</v>
      </c>
      <c r="AA45"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B45" s="28" t="s">
        <v>121</v>
      </c>
      <c r="AC45" s="31" t="s">
        <v>49</v>
      </c>
      <c r="AD45" s="36"/>
    </row>
    <row r="46" spans="1:30" ht="25" customHeight="1">
      <c r="A46" s="27">
        <v>46125</v>
      </c>
      <c r="B46" s="28">
        <v>143028</v>
      </c>
      <c r="C46" s="28" t="str">
        <f>IF(tbl_TubeLaser[[#This Row],[Part'#]]="", "Batch", "Part")</f>
        <v>Part</v>
      </c>
      <c r="D46" s="28" t="s">
        <v>122</v>
      </c>
      <c r="E46" s="29">
        <v>0.30486111111111114</v>
      </c>
      <c r="F46" s="29">
        <v>0.37986111111111109</v>
      </c>
      <c r="G46" s="28">
        <v>240</v>
      </c>
      <c r="H46" s="28">
        <v>55</v>
      </c>
      <c r="I46" s="70">
        <f>tbl_TubeLaser[[#This Row],[Qty Complete]]/tbl_TubeLaser[[#This Row],[Qty Required]]</f>
        <v>0.22916666666666666</v>
      </c>
      <c r="J46" s="30">
        <v>30</v>
      </c>
      <c r="K46" s="28">
        <v>1</v>
      </c>
      <c r="L46" s="31">
        <f>IF(tbl_TubeLaser[[#This Row],[Job Type]]="Batch",0,tbl_TubeLaser[[#This Row],[Qty Required]]/tbl_TubeLaser[[#This Row],[PPH]]*tbl_TubeLaser[[#This Row],['# of men]])</f>
        <v>8</v>
      </c>
      <c r="M46" s="31">
        <f>IF(tbl_TubeLaser[[#This Row],[Job Type]]="Batch",tbl_TubeLaser[[#This Row],[Batch Hours]]*tbl_TubeLaser[[#This Row],[% Complete]],tbl_TubeLaser[[#This Row],[Total hours]]*tbl_TubeLaser[[#This Row],[% Complete]])</f>
        <v>1.8333333333333333</v>
      </c>
      <c r="N46" s="31"/>
      <c r="O46" s="28" t="s">
        <v>65</v>
      </c>
      <c r="P46" s="28">
        <f>tbl_TubeLaser[[#This Row],[Mat. Qty]]*tbl_TubeLaser[[#This Row],[% Complete]]</f>
        <v>27.5</v>
      </c>
      <c r="Q46" s="28">
        <v>120</v>
      </c>
      <c r="R46" s="32">
        <f>IFERROR(tbl_TubeLaser[[#This Row],[Qty Complete]]/tbl_TubeLaser[[#This Row],[Total Hours Act]]*tbl_TubeLaser[[#This Row],['# of men Act]],"")</f>
        <v>30.555555555555575</v>
      </c>
      <c r="S46" s="28">
        <v>1</v>
      </c>
      <c r="T46"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1.7999999999999989</v>
      </c>
      <c r="U46" s="34">
        <v>27</v>
      </c>
      <c r="V46" s="33">
        <v>0.51</v>
      </c>
      <c r="W46" s="33">
        <v>0.5</v>
      </c>
      <c r="X46" s="35">
        <f>IFERROR((tbl_TubeLaser[[#This Row],[Adj. Total Hours]]+tbl_TubeLaser[[#This Row],[Est. Hours]])/(tbl_TubeLaser[[#This Row],[Total Hours Act]]+tbl_TubeLaser[[#This Row],[Act. Hours]]),"")</f>
        <v>1.0188405797101454</v>
      </c>
      <c r="Y46"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46" s="104">
        <f>IFERROR(tbl_TubeLaser[[#This Row],[Act. Mat. Qty]]-tbl_TubeLaser[[#This Row],[Adj. Mat. Qty]],"")</f>
        <v>-0.5</v>
      </c>
      <c r="AA46"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B46" s="28" t="s">
        <v>123</v>
      </c>
      <c r="AC46" s="31" t="s">
        <v>49</v>
      </c>
      <c r="AD46" s="36"/>
    </row>
    <row r="47" spans="1:30" ht="25" customHeight="1">
      <c r="A47" s="27">
        <v>46126</v>
      </c>
      <c r="B47" s="28">
        <v>143028</v>
      </c>
      <c r="C47" s="28" t="str">
        <f>IF(tbl_TubeLaser[[#This Row],[Part'#]]="", "Batch", "Part")</f>
        <v>Part</v>
      </c>
      <c r="D47" s="28" t="s">
        <v>122</v>
      </c>
      <c r="E47" s="29">
        <v>0.20833333333333334</v>
      </c>
      <c r="F47" s="29">
        <v>0.6743055555555556</v>
      </c>
      <c r="G47" s="28">
        <v>240</v>
      </c>
      <c r="H47" s="28">
        <v>54</v>
      </c>
      <c r="I47" s="70">
        <f>tbl_TubeLaser[[#This Row],[Qty Complete]]/tbl_TubeLaser[[#This Row],[Qty Required]]</f>
        <v>0.22500000000000001</v>
      </c>
      <c r="J47" s="30">
        <v>30</v>
      </c>
      <c r="K47" s="28">
        <v>1</v>
      </c>
      <c r="L47" s="31">
        <f>IF(tbl_TubeLaser[[#This Row],[Job Type]]="Batch",0,tbl_TubeLaser[[#This Row],[Qty Required]]/tbl_TubeLaser[[#This Row],[PPH]]*tbl_TubeLaser[[#This Row],['# of men]])</f>
        <v>8</v>
      </c>
      <c r="M47" s="31">
        <f>IF(tbl_TubeLaser[[#This Row],[Job Type]]="Batch",tbl_TubeLaser[[#This Row],[Batch Hours]]*tbl_TubeLaser[[#This Row],[% Complete]],tbl_TubeLaser[[#This Row],[Total hours]]*tbl_TubeLaser[[#This Row],[% Complete]])</f>
        <v>1.8</v>
      </c>
      <c r="N47" s="31"/>
      <c r="O47" s="28" t="s">
        <v>65</v>
      </c>
      <c r="P47" s="28">
        <f>tbl_TubeLaser[[#This Row],[Mat. Qty]]*tbl_TubeLaser[[#This Row],[% Complete]]</f>
        <v>27</v>
      </c>
      <c r="Q47" s="28">
        <v>120</v>
      </c>
      <c r="R47" s="32">
        <f>IFERROR(tbl_TubeLaser[[#This Row],[Qty Complete]]/tbl_TubeLaser[[#This Row],[Total Hours Act]]*tbl_TubeLaser[[#This Row],['# of men Act]],"")</f>
        <v>5.0546021840873632</v>
      </c>
      <c r="S47" s="28">
        <v>1</v>
      </c>
      <c r="T47"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10.683333333333334</v>
      </c>
      <c r="U47" s="34">
        <v>27</v>
      </c>
      <c r="X47" s="35">
        <f>IFERROR((tbl_TubeLaser[[#This Row],[Adj. Total Hours]]+tbl_TubeLaser[[#This Row],[Est. Hours]])/(tbl_TubeLaser[[#This Row],[Total Hours Act]]+tbl_TubeLaser[[#This Row],[Act. Hours]]),"")</f>
        <v>0.16848673946957879</v>
      </c>
      <c r="Y47"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47" s="104">
        <f>IFERROR(tbl_TubeLaser[[#This Row],[Act. Mat. Qty]]-tbl_TubeLaser[[#This Row],[Adj. Mat. Qty]],"")</f>
        <v>0</v>
      </c>
      <c r="AA47"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B47" s="28" t="s">
        <v>124</v>
      </c>
      <c r="AC47" s="31" t="s">
        <v>49</v>
      </c>
      <c r="AD47" s="36"/>
    </row>
    <row r="48" spans="1:30" ht="25" customHeight="1">
      <c r="A48" s="27">
        <v>46126</v>
      </c>
      <c r="B48" s="28">
        <v>143036</v>
      </c>
      <c r="C48" s="28" t="str">
        <f>IF(tbl_TubeLaser[[#This Row],[Part'#]]="", "Batch", "Part")</f>
        <v>Part</v>
      </c>
      <c r="D48" s="28" t="s">
        <v>64</v>
      </c>
      <c r="E48" s="29">
        <v>0.20833333333333334</v>
      </c>
      <c r="F48" s="29">
        <v>0.6743055555555556</v>
      </c>
      <c r="G48" s="28">
        <v>255</v>
      </c>
      <c r="H48" s="28">
        <v>54</v>
      </c>
      <c r="I48" s="70">
        <f>tbl_TubeLaser[[#This Row],[Qty Complete]]/tbl_TubeLaser[[#This Row],[Qty Required]]</f>
        <v>0.21176470588235294</v>
      </c>
      <c r="J48" s="30">
        <v>30</v>
      </c>
      <c r="K48" s="28">
        <v>1</v>
      </c>
      <c r="L48" s="31">
        <f>IF(tbl_TubeLaser[[#This Row],[Job Type]]="Batch",0,tbl_TubeLaser[[#This Row],[Qty Required]]/tbl_TubeLaser[[#This Row],[PPH]]*tbl_TubeLaser[[#This Row],['# of men]])</f>
        <v>8.5</v>
      </c>
      <c r="M48" s="31">
        <f>IF(tbl_TubeLaser[[#This Row],[Job Type]]="Batch",tbl_TubeLaser[[#This Row],[Batch Hours]]*tbl_TubeLaser[[#This Row],[% Complete]],tbl_TubeLaser[[#This Row],[Total hours]]*tbl_TubeLaser[[#This Row],[% Complete]])</f>
        <v>1.8</v>
      </c>
      <c r="N48" s="31"/>
      <c r="O48" s="28" t="s">
        <v>65</v>
      </c>
      <c r="P48" s="28">
        <f>tbl_TubeLaser[[#This Row],[Mat. Qty]]*tbl_TubeLaser[[#This Row],[% Complete]]</f>
        <v>27.105882352941176</v>
      </c>
      <c r="Q48" s="28">
        <v>128</v>
      </c>
      <c r="R48" s="32">
        <f>IFERROR(tbl_TubeLaser[[#This Row],[Qty Complete]]/tbl_TubeLaser[[#This Row],[Total Hours Act]]*tbl_TubeLaser[[#This Row],['# of men Act]],"")</f>
        <v>5.0546021840873632</v>
      </c>
      <c r="S48" s="28">
        <v>1</v>
      </c>
      <c r="T48"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10.683333333333334</v>
      </c>
      <c r="U48" s="34">
        <v>27</v>
      </c>
      <c r="X48" s="35">
        <f>IFERROR((tbl_TubeLaser[[#This Row],[Adj. Total Hours]]+tbl_TubeLaser[[#This Row],[Est. Hours]])/(tbl_TubeLaser[[#This Row],[Total Hours Act]]+tbl_TubeLaser[[#This Row],[Act. Hours]]),"")</f>
        <v>0.16848673946957879</v>
      </c>
      <c r="Y48"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48" s="104">
        <f>IFERROR(tbl_TubeLaser[[#This Row],[Act. Mat. Qty]]-tbl_TubeLaser[[#This Row],[Adj. Mat. Qty]],"")</f>
        <v>-0.10588235294117609</v>
      </c>
      <c r="AA48"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B48" s="28" t="s">
        <v>125</v>
      </c>
      <c r="AC48" s="31" t="s">
        <v>49</v>
      </c>
      <c r="AD48" s="36"/>
    </row>
    <row r="49" spans="1:30" ht="25" customHeight="1">
      <c r="A49" s="27">
        <v>46126</v>
      </c>
      <c r="B49" s="28" t="s">
        <v>126</v>
      </c>
      <c r="C49" s="28" t="str">
        <f>IF(tbl_TubeLaser[[#This Row],[Part'#]]="", "Batch", "Part")</f>
        <v>Part</v>
      </c>
      <c r="D49" s="28" t="s">
        <v>127</v>
      </c>
      <c r="E49" s="29">
        <v>0.33055555555555555</v>
      </c>
      <c r="F49" s="29">
        <v>0.47222222222222221</v>
      </c>
      <c r="G49" s="28">
        <v>60</v>
      </c>
      <c r="H49" s="28">
        <v>47</v>
      </c>
      <c r="I49" s="70">
        <f>tbl_TubeLaser[[#This Row],[Qty Complete]]/tbl_TubeLaser[[#This Row],[Qty Required]]</f>
        <v>0.78333333333333333</v>
      </c>
      <c r="J49" s="30">
        <v>12</v>
      </c>
      <c r="K49" s="28">
        <v>1</v>
      </c>
      <c r="L49" s="31">
        <f>IF(tbl_TubeLaser[[#This Row],[Job Type]]="Batch",0,tbl_TubeLaser[[#This Row],[Qty Required]]/tbl_TubeLaser[[#This Row],[PPH]]*tbl_TubeLaser[[#This Row],['# of men]])</f>
        <v>5</v>
      </c>
      <c r="M49" s="31">
        <f>IF(tbl_TubeLaser[[#This Row],[Job Type]]="Batch",tbl_TubeLaser[[#This Row],[Batch Hours]]*tbl_TubeLaser[[#This Row],[% Complete]],tbl_TubeLaser[[#This Row],[Total hours]]*tbl_TubeLaser[[#This Row],[% Complete]])</f>
        <v>3.9166666666666665</v>
      </c>
      <c r="N49" s="31"/>
      <c r="O49" s="28" t="s">
        <v>128</v>
      </c>
      <c r="P49" s="28">
        <f>tbl_TubeLaser[[#This Row],[Mat. Qty]]*tbl_TubeLaser[[#This Row],[% Complete]]</f>
        <v>11.75</v>
      </c>
      <c r="Q49" s="28">
        <v>15</v>
      </c>
      <c r="R49" s="32">
        <f>IFERROR(tbl_TubeLaser[[#This Row],[Qty Complete]]/tbl_TubeLaser[[#This Row],[Total Hours Act]]*tbl_TubeLaser[[#This Row],['# of men Act]],"")</f>
        <v>13.823529411764707</v>
      </c>
      <c r="S49" s="28">
        <v>1</v>
      </c>
      <c r="T49"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3.4</v>
      </c>
      <c r="U49" s="34">
        <v>12</v>
      </c>
      <c r="V49" s="33">
        <v>0.5</v>
      </c>
      <c r="W49" s="33">
        <v>0.27</v>
      </c>
      <c r="X49" s="35">
        <f>IFERROR((tbl_TubeLaser[[#This Row],[Adj. Total Hours]]+tbl_TubeLaser[[#This Row],[Est. Hours]])/(tbl_TubeLaser[[#This Row],[Total Hours Act]]+tbl_TubeLaser[[#This Row],[Act. Hours]]),"")</f>
        <v>1.2034514078110807</v>
      </c>
      <c r="Y49"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49" s="104">
        <f>IFERROR(tbl_TubeLaser[[#This Row],[Act. Mat. Qty]]-tbl_TubeLaser[[#This Row],[Adj. Mat. Qty]],"")</f>
        <v>0.25</v>
      </c>
      <c r="AA49"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49" s="31" t="s">
        <v>129</v>
      </c>
      <c r="AD49" s="36"/>
    </row>
    <row r="50" spans="1:30" ht="25" customHeight="1">
      <c r="A50" s="27">
        <v>46126</v>
      </c>
      <c r="B50" s="28" t="s">
        <v>130</v>
      </c>
      <c r="C50" s="28" t="str">
        <f>IF(tbl_TubeLaser[[#This Row],[Part'#]]="", "Batch", "Part")</f>
        <v>Part</v>
      </c>
      <c r="D50" s="28" t="s">
        <v>131</v>
      </c>
      <c r="E50" s="29">
        <v>0.48472222222222222</v>
      </c>
      <c r="F50" s="29">
        <v>0.58888888888888891</v>
      </c>
      <c r="G50" s="28">
        <v>30</v>
      </c>
      <c r="H50" s="28">
        <v>30</v>
      </c>
      <c r="I50" s="70">
        <f>tbl_TubeLaser[[#This Row],[Qty Complete]]/tbl_TubeLaser[[#This Row],[Qty Required]]</f>
        <v>1</v>
      </c>
      <c r="J50" s="30">
        <v>12</v>
      </c>
      <c r="K50" s="28">
        <v>1</v>
      </c>
      <c r="L50" s="31">
        <f>IF(tbl_TubeLaser[[#This Row],[Job Type]]="Batch",0,tbl_TubeLaser[[#This Row],[Qty Required]]/tbl_TubeLaser[[#This Row],[PPH]]*tbl_TubeLaser[[#This Row],['# of men]])</f>
        <v>2.5</v>
      </c>
      <c r="M50" s="31">
        <f>IF(tbl_TubeLaser[[#This Row],[Job Type]]="Batch",tbl_TubeLaser[[#This Row],[Batch Hours]]*tbl_TubeLaser[[#This Row],[% Complete]],tbl_TubeLaser[[#This Row],[Total hours]]*tbl_TubeLaser[[#This Row],[% Complete]])</f>
        <v>2.5</v>
      </c>
      <c r="N50" s="31"/>
      <c r="O50" s="28" t="s">
        <v>128</v>
      </c>
      <c r="P50" s="28">
        <f>tbl_TubeLaser[[#This Row],[Mat. Qty]]*tbl_TubeLaser[[#This Row],[% Complete]]</f>
        <v>8</v>
      </c>
      <c r="Q50" s="28">
        <v>8</v>
      </c>
      <c r="R50" s="32">
        <f>IFERROR(tbl_TubeLaser[[#This Row],[Qty Complete]]/tbl_TubeLaser[[#This Row],[Total Hours Act]]*tbl_TubeLaser[[#This Row],['# of men Act]],"")</f>
        <v>14.999999999999996</v>
      </c>
      <c r="S50" s="28">
        <v>1</v>
      </c>
      <c r="T50"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2.0000000000000004</v>
      </c>
      <c r="U50" s="34">
        <v>8</v>
      </c>
      <c r="V50" s="33">
        <v>0.5</v>
      </c>
      <c r="W50" s="33">
        <v>0.13</v>
      </c>
      <c r="X50" s="35">
        <f>IFERROR((tbl_TubeLaser[[#This Row],[Adj. Total Hours]]+tbl_TubeLaser[[#This Row],[Est. Hours]])/(tbl_TubeLaser[[#This Row],[Total Hours Act]]+tbl_TubeLaser[[#This Row],[Act. Hours]]),"")</f>
        <v>1.4084507042253518</v>
      </c>
      <c r="Y50" s="102">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1.4084507042253518</v>
      </c>
      <c r="Z50" s="104">
        <f>IFERROR(tbl_TubeLaser[[#This Row],[Act. Mat. Qty]]-tbl_TubeLaser[[#This Row],[Adj. Mat. Qty]],"")</f>
        <v>0</v>
      </c>
      <c r="AA50" s="105">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0</v>
      </c>
      <c r="AC50" s="31" t="s">
        <v>129</v>
      </c>
      <c r="AD50" s="36"/>
    </row>
    <row r="51" spans="1:30" ht="25" customHeight="1">
      <c r="A51" s="27">
        <v>46126</v>
      </c>
      <c r="B51" s="28" t="s">
        <v>132</v>
      </c>
      <c r="C51" s="28" t="str">
        <f>IF(tbl_TubeLaser[[#This Row],[Part'#]]="", "Batch", "Part")</f>
        <v>Part</v>
      </c>
      <c r="D51" s="28" t="s">
        <v>133</v>
      </c>
      <c r="E51" s="29">
        <v>0.61805555555555558</v>
      </c>
      <c r="F51" s="29">
        <v>0.67777777777777781</v>
      </c>
      <c r="G51" s="28">
        <v>84</v>
      </c>
      <c r="H51" s="28">
        <v>30</v>
      </c>
      <c r="I51" s="70">
        <f>tbl_TubeLaser[[#This Row],[Qty Complete]]/tbl_TubeLaser[[#This Row],[Qty Required]]</f>
        <v>0.35714285714285715</v>
      </c>
      <c r="J51" s="30">
        <v>12</v>
      </c>
      <c r="K51" s="28">
        <v>1</v>
      </c>
      <c r="L51" s="31">
        <f>IF(tbl_TubeLaser[[#This Row],[Job Type]]="Batch",0,tbl_TubeLaser[[#This Row],[Qty Required]]/tbl_TubeLaser[[#This Row],[PPH]]*tbl_TubeLaser[[#This Row],['# of men]])</f>
        <v>7</v>
      </c>
      <c r="M51" s="31">
        <f>IF(tbl_TubeLaser[[#This Row],[Job Type]]="Batch",tbl_TubeLaser[[#This Row],[Batch Hours]]*tbl_TubeLaser[[#This Row],[% Complete]],tbl_TubeLaser[[#This Row],[Total hours]]*tbl_TubeLaser[[#This Row],[% Complete]])</f>
        <v>2.5</v>
      </c>
      <c r="N51" s="31"/>
      <c r="O51" s="28" t="s">
        <v>134</v>
      </c>
      <c r="P51" s="28">
        <f>tbl_TubeLaser[[#This Row],[Mat. Qty]]*tbl_TubeLaser[[#This Row],[% Complete]]</f>
        <v>7.5</v>
      </c>
      <c r="Q51" s="28">
        <v>21</v>
      </c>
      <c r="R51" s="32">
        <f>IFERROR(tbl_TubeLaser[[#This Row],[Qty Complete]]/tbl_TubeLaser[[#This Row],[Total Hours Act]]*tbl_TubeLaser[[#This Row],['# of men Act]],"")</f>
        <v>20.930232558139533</v>
      </c>
      <c r="S51" s="28">
        <v>1</v>
      </c>
      <c r="T51"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1.4333333333333336</v>
      </c>
      <c r="V51" s="33">
        <v>0.5</v>
      </c>
      <c r="W51" s="33">
        <v>0.55000000000000004</v>
      </c>
      <c r="X51" s="35">
        <f>IFERROR((tbl_TubeLaser[[#This Row],[Adj. Total Hours]]+tbl_TubeLaser[[#This Row],[Est. Hours]])/(tbl_TubeLaser[[#This Row],[Total Hours Act]]+tbl_TubeLaser[[#This Row],[Act. Hours]]),"")</f>
        <v>1.5126050420168065</v>
      </c>
      <c r="Y51"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51" s="104">
        <f>IFERROR(tbl_TubeLaser[[#This Row],[Act. Mat. Qty]]-tbl_TubeLaser[[#This Row],[Adj. Mat. Qty]],"")</f>
        <v>-7.5</v>
      </c>
      <c r="AA51"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51" s="31" t="s">
        <v>129</v>
      </c>
      <c r="AD51" s="36"/>
    </row>
    <row r="52" spans="1:30" ht="25" customHeight="1">
      <c r="A52" s="27">
        <v>46125</v>
      </c>
      <c r="B52" s="28">
        <v>143207</v>
      </c>
      <c r="C52" s="28" t="str">
        <f>IF(tbl_TubeLaser[[#This Row],[Part'#]]="", "Batch", "Part")</f>
        <v>Part</v>
      </c>
      <c r="D52" s="28" t="s">
        <v>135</v>
      </c>
      <c r="E52" s="29">
        <v>0.81319444444444444</v>
      </c>
      <c r="F52" s="29">
        <v>0.88194444444444442</v>
      </c>
      <c r="G52" s="28">
        <v>18</v>
      </c>
      <c r="H52" s="28">
        <v>18</v>
      </c>
      <c r="I52" s="70">
        <f>tbl_TubeLaser[[#This Row],[Qty Complete]]/tbl_TubeLaser[[#This Row],[Qty Required]]</f>
        <v>1</v>
      </c>
      <c r="J52" s="30">
        <v>24</v>
      </c>
      <c r="K52" s="28">
        <v>1</v>
      </c>
      <c r="L52" s="31">
        <f>IF(tbl_TubeLaser[[#This Row],[Job Type]]="Batch",0,tbl_TubeLaser[[#This Row],[Qty Required]]/tbl_TubeLaser[[#This Row],[PPH]]*tbl_TubeLaser[[#This Row],['# of men]])</f>
        <v>0.75</v>
      </c>
      <c r="M52" s="31">
        <f>IF(tbl_TubeLaser[[#This Row],[Job Type]]="Batch",tbl_TubeLaser[[#This Row],[Batch Hours]]*tbl_TubeLaser[[#This Row],[% Complete]],tbl_TubeLaser[[#This Row],[Total hours]]*tbl_TubeLaser[[#This Row],[% Complete]])</f>
        <v>0.75</v>
      </c>
      <c r="N52" s="31"/>
      <c r="O52" s="28" t="s">
        <v>136</v>
      </c>
      <c r="P52" s="28">
        <f>tbl_TubeLaser[[#This Row],[Mat. Qty]]*tbl_TubeLaser[[#This Row],[% Complete]]</f>
        <v>18</v>
      </c>
      <c r="Q52" s="28">
        <v>18</v>
      </c>
      <c r="R52" s="32">
        <f>IFERROR(tbl_TubeLaser[[#This Row],[Qty Complete]]/tbl_TubeLaser[[#This Row],[Total Hours Act]]*tbl_TubeLaser[[#This Row],['# of men Act]],"")</f>
        <v>10.909090909090912</v>
      </c>
      <c r="S52" s="28">
        <v>1</v>
      </c>
      <c r="T52"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1.6499999999999995</v>
      </c>
      <c r="U52" s="34">
        <v>18</v>
      </c>
      <c r="V52" s="33">
        <v>0.5</v>
      </c>
      <c r="W52" s="33">
        <v>0.38</v>
      </c>
      <c r="X52" s="35">
        <f>IFERROR((tbl_TubeLaser[[#This Row],[Adj. Total Hours]]+tbl_TubeLaser[[#This Row],[Est. Hours]])/(tbl_TubeLaser[[#This Row],[Total Hours Act]]+tbl_TubeLaser[[#This Row],[Act. Hours]]),"")</f>
        <v>0.6157635467980298</v>
      </c>
      <c r="Y52" s="102">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0.6157635467980298</v>
      </c>
      <c r="Z52" s="104">
        <f>IFERROR(tbl_TubeLaser[[#This Row],[Act. Mat. Qty]]-tbl_TubeLaser[[#This Row],[Adj. Mat. Qty]],"")</f>
        <v>0</v>
      </c>
      <c r="AA52" s="105">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0</v>
      </c>
      <c r="AB52" s="28" t="s">
        <v>137</v>
      </c>
      <c r="AC52" s="31" t="s">
        <v>71</v>
      </c>
      <c r="AD52" s="36"/>
    </row>
    <row r="53" spans="1:30" ht="25" customHeight="1">
      <c r="A53" s="27">
        <v>46125</v>
      </c>
      <c r="B53" s="28">
        <v>143208</v>
      </c>
      <c r="C53" s="28" t="str">
        <f>IF(tbl_TubeLaser[[#This Row],[Part'#]]="", "Batch", "Part")</f>
        <v>Part</v>
      </c>
      <c r="D53" s="28" t="s">
        <v>138</v>
      </c>
      <c r="E53" s="29">
        <v>0.88263888888888886</v>
      </c>
      <c r="F53" s="29">
        <v>0.91319444444444442</v>
      </c>
      <c r="G53" s="28">
        <v>18</v>
      </c>
      <c r="H53" s="28">
        <v>9</v>
      </c>
      <c r="I53" s="70">
        <f>tbl_TubeLaser[[#This Row],[Qty Complete]]/tbl_TubeLaser[[#This Row],[Qty Required]]</f>
        <v>0.5</v>
      </c>
      <c r="J53" s="30">
        <v>24</v>
      </c>
      <c r="K53" s="28">
        <v>1</v>
      </c>
      <c r="L53" s="31">
        <f>IF(tbl_TubeLaser[[#This Row],[Job Type]]="Batch",0,tbl_TubeLaser[[#This Row],[Qty Required]]/tbl_TubeLaser[[#This Row],[PPH]]*tbl_TubeLaser[[#This Row],['# of men]])</f>
        <v>0.75</v>
      </c>
      <c r="M53" s="31">
        <f>IF(tbl_TubeLaser[[#This Row],[Job Type]]="Batch",tbl_TubeLaser[[#This Row],[Batch Hours]]*tbl_TubeLaser[[#This Row],[% Complete]],tbl_TubeLaser[[#This Row],[Total hours]]*tbl_TubeLaser[[#This Row],[% Complete]])</f>
        <v>0.375</v>
      </c>
      <c r="N53" s="31"/>
      <c r="O53" s="28" t="s">
        <v>136</v>
      </c>
      <c r="P53" s="28">
        <f>tbl_TubeLaser[[#This Row],[Mat. Qty]]*tbl_TubeLaser[[#This Row],[% Complete]]</f>
        <v>9</v>
      </c>
      <c r="Q53" s="28">
        <v>18</v>
      </c>
      <c r="R53" s="32">
        <f>IFERROR(tbl_TubeLaser[[#This Row],[Qty Complete]]/tbl_TubeLaser[[#This Row],[Total Hours Act]]*tbl_TubeLaser[[#This Row],['# of men Act]],"")</f>
        <v>12.272727272727272</v>
      </c>
      <c r="S53" s="28">
        <v>1</v>
      </c>
      <c r="T53"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0.73333333333333339</v>
      </c>
      <c r="U53" s="34">
        <v>9</v>
      </c>
      <c r="V53" s="33">
        <v>0.5</v>
      </c>
      <c r="W53" s="33">
        <v>0.4</v>
      </c>
      <c r="X53" s="35">
        <f>IFERROR((tbl_TubeLaser[[#This Row],[Adj. Total Hours]]+tbl_TubeLaser[[#This Row],[Est. Hours]])/(tbl_TubeLaser[[#This Row],[Total Hours Act]]+tbl_TubeLaser[[#This Row],[Act. Hours]]),"")</f>
        <v>0.7720588235294118</v>
      </c>
      <c r="Y53"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53" s="104">
        <f>IFERROR(tbl_TubeLaser[[#This Row],[Act. Mat. Qty]]-tbl_TubeLaser[[#This Row],[Adj. Mat. Qty]],"")</f>
        <v>0</v>
      </c>
      <c r="AA53"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B53" s="28" t="s">
        <v>137</v>
      </c>
      <c r="AC53" s="31" t="s">
        <v>71</v>
      </c>
      <c r="AD53" s="36"/>
    </row>
    <row r="54" spans="1:30" ht="25" customHeight="1">
      <c r="A54" s="27">
        <v>46125</v>
      </c>
      <c r="B54" s="28" t="s">
        <v>139</v>
      </c>
      <c r="C54" s="28" t="str">
        <f>IF(tbl_TubeLaser[[#This Row],[Part'#]]="", "Batch", "Part")</f>
        <v>Part</v>
      </c>
      <c r="D54" s="28" t="s">
        <v>140</v>
      </c>
      <c r="E54" s="29">
        <v>0.94513888888888886</v>
      </c>
      <c r="F54" s="29">
        <v>0.95277777777777772</v>
      </c>
      <c r="G54" s="28">
        <v>30</v>
      </c>
      <c r="H54" s="28">
        <v>2</v>
      </c>
      <c r="I54" s="70">
        <f>tbl_TubeLaser[[#This Row],[Qty Complete]]/tbl_TubeLaser[[#This Row],[Qty Required]]</f>
        <v>6.6666666666666666E-2</v>
      </c>
      <c r="J54" s="30">
        <v>35</v>
      </c>
      <c r="K54" s="28">
        <v>1</v>
      </c>
      <c r="L54" s="31">
        <f>IF(tbl_TubeLaser[[#This Row],[Job Type]]="Batch",0,tbl_TubeLaser[[#This Row],[Qty Required]]/tbl_TubeLaser[[#This Row],[PPH]]*tbl_TubeLaser[[#This Row],['# of men]])</f>
        <v>0.8571428571428571</v>
      </c>
      <c r="M54" s="31">
        <f>IF(tbl_TubeLaser[[#This Row],[Job Type]]="Batch",tbl_TubeLaser[[#This Row],[Batch Hours]]*tbl_TubeLaser[[#This Row],[% Complete]],tbl_TubeLaser[[#This Row],[Total hours]]*tbl_TubeLaser[[#This Row],[% Complete]])</f>
        <v>5.7142857142857141E-2</v>
      </c>
      <c r="N54" s="31"/>
      <c r="O54" s="28" t="s">
        <v>141</v>
      </c>
      <c r="P54" s="28">
        <f>tbl_TubeLaser[[#This Row],[Mat. Qty]]*tbl_TubeLaser[[#This Row],[% Complete]]</f>
        <v>0.66666666666666663</v>
      </c>
      <c r="Q54" s="28">
        <v>10</v>
      </c>
      <c r="R54" s="32">
        <f>IFERROR(tbl_TubeLaser[[#This Row],[Qty Complete]]/tbl_TubeLaser[[#This Row],[Total Hours Act]]*tbl_TubeLaser[[#This Row],['# of men Act]],"")</f>
        <v>10.909090909090947</v>
      </c>
      <c r="S54" s="28">
        <v>1</v>
      </c>
      <c r="T54"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0.18333333333333268</v>
      </c>
      <c r="U54" s="34">
        <v>1</v>
      </c>
      <c r="V54" s="33">
        <v>0.5</v>
      </c>
      <c r="W54" s="33">
        <v>0.73</v>
      </c>
      <c r="X54" s="35">
        <f>IFERROR((tbl_TubeLaser[[#This Row],[Adj. Total Hours]]+tbl_TubeLaser[[#This Row],[Est. Hours]])/(tbl_TubeLaser[[#This Row],[Total Hours Act]]+tbl_TubeLaser[[#This Row],[Act. Hours]]),"")</f>
        <v>0.61001042752867618</v>
      </c>
      <c r="Y54"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54" s="104">
        <f>IFERROR(tbl_TubeLaser[[#This Row],[Act. Mat. Qty]]-tbl_TubeLaser[[#This Row],[Adj. Mat. Qty]],"")</f>
        <v>0.33333333333333337</v>
      </c>
      <c r="AA54"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B54" s="28" t="s">
        <v>137</v>
      </c>
      <c r="AC54" s="31" t="s">
        <v>71</v>
      </c>
      <c r="AD54" s="36"/>
    </row>
    <row r="55" spans="1:30" ht="25" customHeight="1">
      <c r="A55" s="27">
        <v>46125</v>
      </c>
      <c r="B55" s="28" t="s">
        <v>142</v>
      </c>
      <c r="C55" s="28" t="str">
        <f>IF(tbl_TubeLaser[[#This Row],[Part'#]]="", "Batch", "Part")</f>
        <v>Part</v>
      </c>
      <c r="D55" s="28" t="s">
        <v>143</v>
      </c>
      <c r="E55" s="29">
        <v>0.99097222222222225</v>
      </c>
      <c r="F55" s="29">
        <v>0.10833333333333334</v>
      </c>
      <c r="G55" s="28">
        <v>30</v>
      </c>
      <c r="H55" s="28">
        <v>30</v>
      </c>
      <c r="I55" s="70">
        <f>tbl_TubeLaser[[#This Row],[Qty Complete]]/tbl_TubeLaser[[#This Row],[Qty Required]]</f>
        <v>1</v>
      </c>
      <c r="J55" s="30">
        <v>24</v>
      </c>
      <c r="K55" s="28">
        <v>1</v>
      </c>
      <c r="L55" s="31">
        <f>IF(tbl_TubeLaser[[#This Row],[Job Type]]="Batch",0,tbl_TubeLaser[[#This Row],[Qty Required]]/tbl_TubeLaser[[#This Row],[PPH]]*tbl_TubeLaser[[#This Row],['# of men]])</f>
        <v>1.25</v>
      </c>
      <c r="M55" s="31">
        <f>IF(tbl_TubeLaser[[#This Row],[Job Type]]="Batch",tbl_TubeLaser[[#This Row],[Batch Hours]]*tbl_TubeLaser[[#This Row],[% Complete]],tbl_TubeLaser[[#This Row],[Total hours]]*tbl_TubeLaser[[#This Row],[% Complete]])</f>
        <v>1.25</v>
      </c>
      <c r="N55" s="31"/>
      <c r="O55" s="28" t="s">
        <v>91</v>
      </c>
      <c r="P55" s="28">
        <f>tbl_TubeLaser[[#This Row],[Mat. Qty]]*tbl_TubeLaser[[#This Row],[% Complete]]</f>
        <v>6</v>
      </c>
      <c r="Q55" s="28">
        <v>6</v>
      </c>
      <c r="R55" s="32">
        <f>IFERROR(tbl_TubeLaser[[#This Row],[Qty Complete]]/tbl_TubeLaser[[#This Row],[Total Hours Act]]*tbl_TubeLaser[[#This Row],['# of men Act]],"")</f>
        <v>12.949640287769796</v>
      </c>
      <c r="S55" s="28">
        <v>1</v>
      </c>
      <c r="T55"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2.3166666666666647</v>
      </c>
      <c r="U55" s="34">
        <v>6</v>
      </c>
      <c r="V55" s="33">
        <v>0.5</v>
      </c>
      <c r="W55" s="33">
        <v>0.23</v>
      </c>
      <c r="X55" s="35">
        <f>IFERROR((tbl_TubeLaser[[#This Row],[Adj. Total Hours]]+tbl_TubeLaser[[#This Row],[Est. Hours]])/(tbl_TubeLaser[[#This Row],[Total Hours Act]]+tbl_TubeLaser[[#This Row],[Act. Hours]]),"")</f>
        <v>0.68717277486911055</v>
      </c>
      <c r="Y55" s="102">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0.68717277486911055</v>
      </c>
      <c r="Z55" s="104">
        <f>IFERROR(tbl_TubeLaser[[#This Row],[Act. Mat. Qty]]-tbl_TubeLaser[[#This Row],[Adj. Mat. Qty]],"")</f>
        <v>0</v>
      </c>
      <c r="AA55" s="105">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0</v>
      </c>
      <c r="AB55" s="28" t="s">
        <v>137</v>
      </c>
      <c r="AC55" s="31" t="s">
        <v>71</v>
      </c>
      <c r="AD55" s="36"/>
    </row>
    <row r="56" spans="1:30" ht="25" customHeight="1">
      <c r="A56" s="27">
        <v>46125</v>
      </c>
      <c r="B56" s="28" t="s">
        <v>144</v>
      </c>
      <c r="C56" s="28" t="str">
        <f>IF(tbl_TubeLaser[[#This Row],[Part'#]]="", "Batch", "Part")</f>
        <v>Part</v>
      </c>
      <c r="D56" s="28" t="s">
        <v>145</v>
      </c>
      <c r="E56" s="29">
        <v>0.9916666666666667</v>
      </c>
      <c r="F56" s="29">
        <v>0.10833333333333334</v>
      </c>
      <c r="G56" s="28">
        <v>15</v>
      </c>
      <c r="H56" s="28">
        <v>15</v>
      </c>
      <c r="I56" s="70">
        <f>tbl_TubeLaser[[#This Row],[Qty Complete]]/tbl_TubeLaser[[#This Row],[Qty Required]]</f>
        <v>1</v>
      </c>
      <c r="J56" s="30">
        <v>24</v>
      </c>
      <c r="K56" s="28">
        <v>1</v>
      </c>
      <c r="L56" s="31">
        <f>IF(tbl_TubeLaser[[#This Row],[Job Type]]="Batch",0,tbl_TubeLaser[[#This Row],[Qty Required]]/tbl_TubeLaser[[#This Row],[PPH]]*tbl_TubeLaser[[#This Row],['# of men]])</f>
        <v>0.625</v>
      </c>
      <c r="M56" s="31">
        <f>IF(tbl_TubeLaser[[#This Row],[Job Type]]="Batch",tbl_TubeLaser[[#This Row],[Batch Hours]]*tbl_TubeLaser[[#This Row],[% Complete]],tbl_TubeLaser[[#This Row],[Total hours]]*tbl_TubeLaser[[#This Row],[% Complete]])</f>
        <v>0.625</v>
      </c>
      <c r="N56" s="31"/>
      <c r="O56" s="28" t="s">
        <v>91</v>
      </c>
      <c r="P56" s="28">
        <f>tbl_TubeLaser[[#This Row],[Mat. Qty]]*tbl_TubeLaser[[#This Row],[% Complete]]</f>
        <v>5</v>
      </c>
      <c r="Q56" s="28">
        <v>5</v>
      </c>
      <c r="R56" s="32">
        <f>IFERROR(tbl_TubeLaser[[#This Row],[Qty Complete]]/tbl_TubeLaser[[#This Row],[Total Hours Act]]*tbl_TubeLaser[[#This Row],['# of men Act]],"")</f>
        <v>6.5217391304347805</v>
      </c>
      <c r="S56" s="28">
        <v>1</v>
      </c>
      <c r="T56"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2.3000000000000007</v>
      </c>
      <c r="U56" s="34">
        <v>5</v>
      </c>
      <c r="V56" s="33">
        <v>0.5</v>
      </c>
      <c r="X56" s="35">
        <f>IFERROR((tbl_TubeLaser[[#This Row],[Adj. Total Hours]]+tbl_TubeLaser[[#This Row],[Est. Hours]])/(tbl_TubeLaser[[#This Row],[Total Hours Act]]+tbl_TubeLaser[[#This Row],[Act. Hours]]),"")</f>
        <v>0.48913043478260854</v>
      </c>
      <c r="Y56" s="102">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0.48913043478260854</v>
      </c>
      <c r="Z56" s="104">
        <f>IFERROR(tbl_TubeLaser[[#This Row],[Act. Mat. Qty]]-tbl_TubeLaser[[#This Row],[Adj. Mat. Qty]],"")</f>
        <v>0</v>
      </c>
      <c r="AA56" s="105">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0</v>
      </c>
      <c r="AB56" s="28" t="s">
        <v>137</v>
      </c>
      <c r="AC56" s="31" t="s">
        <v>71</v>
      </c>
      <c r="AD56" s="36"/>
    </row>
    <row r="57" spans="1:30" ht="25" customHeight="1">
      <c r="A57" s="27">
        <v>46125</v>
      </c>
      <c r="B57" s="28" t="s">
        <v>146</v>
      </c>
      <c r="C57" s="28" t="str">
        <f>IF(tbl_TubeLaser[[#This Row],[Part'#]]="", "Batch", "Part")</f>
        <v>Part</v>
      </c>
      <c r="D57" s="28" t="s">
        <v>147</v>
      </c>
      <c r="E57" s="29">
        <v>0.9916666666666667</v>
      </c>
      <c r="F57" s="29">
        <v>0.1875</v>
      </c>
      <c r="G57" s="28">
        <v>30</v>
      </c>
      <c r="H57" s="28">
        <v>30</v>
      </c>
      <c r="I57" s="70">
        <f>tbl_TubeLaser[[#This Row],[Qty Complete]]/tbl_TubeLaser[[#This Row],[Qty Required]]</f>
        <v>1</v>
      </c>
      <c r="J57" s="30">
        <v>24</v>
      </c>
      <c r="K57" s="28">
        <v>1</v>
      </c>
      <c r="L57" s="31">
        <f>IF(tbl_TubeLaser[[#This Row],[Job Type]]="Batch",0,tbl_TubeLaser[[#This Row],[Qty Required]]/tbl_TubeLaser[[#This Row],[PPH]]*tbl_TubeLaser[[#This Row],['# of men]])</f>
        <v>1.25</v>
      </c>
      <c r="M57" s="31">
        <f>IF(tbl_TubeLaser[[#This Row],[Job Type]]="Batch",tbl_TubeLaser[[#This Row],[Batch Hours]]*tbl_TubeLaser[[#This Row],[% Complete]],tbl_TubeLaser[[#This Row],[Total hours]]*tbl_TubeLaser[[#This Row],[% Complete]])</f>
        <v>1.25</v>
      </c>
      <c r="N57" s="31"/>
      <c r="O57" s="28" t="s">
        <v>91</v>
      </c>
      <c r="P57" s="28">
        <f>tbl_TubeLaser[[#This Row],[Mat. Qty]]*tbl_TubeLaser[[#This Row],[% Complete]]</f>
        <v>4</v>
      </c>
      <c r="Q57" s="28">
        <v>4</v>
      </c>
      <c r="R57" s="32">
        <f>IFERROR(tbl_TubeLaser[[#This Row],[Qty Complete]]/tbl_TubeLaser[[#This Row],[Total Hours Act]]*tbl_TubeLaser[[#This Row],['# of men Act]],"")</f>
        <v>7.1428571428571441</v>
      </c>
      <c r="S57" s="28">
        <v>1</v>
      </c>
      <c r="T57"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4.1999999999999993</v>
      </c>
      <c r="U57" s="34">
        <v>4</v>
      </c>
      <c r="V57" s="33">
        <v>0.5</v>
      </c>
      <c r="X57" s="35">
        <f>IFERROR((tbl_TubeLaser[[#This Row],[Adj. Total Hours]]+tbl_TubeLaser[[#This Row],[Est. Hours]])/(tbl_TubeLaser[[#This Row],[Total Hours Act]]+tbl_TubeLaser[[#This Row],[Act. Hours]]),"")</f>
        <v>0.41666666666666674</v>
      </c>
      <c r="Y57" s="102">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0.41666666666666674</v>
      </c>
      <c r="Z57" s="104">
        <f>IFERROR(tbl_TubeLaser[[#This Row],[Act. Mat. Qty]]-tbl_TubeLaser[[#This Row],[Adj. Mat. Qty]],"")</f>
        <v>0</v>
      </c>
      <c r="AA57" s="105">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0</v>
      </c>
      <c r="AB57" s="28" t="s">
        <v>137</v>
      </c>
      <c r="AC57" s="31" t="s">
        <v>71</v>
      </c>
      <c r="AD57" s="36"/>
    </row>
    <row r="58" spans="1:30" ht="25" customHeight="1">
      <c r="A58" s="27">
        <v>46125</v>
      </c>
      <c r="B58" s="28">
        <v>143085</v>
      </c>
      <c r="C58" s="28" t="str">
        <f>IF(tbl_TubeLaser[[#This Row],[Part'#]]="", "Batch", "Part")</f>
        <v>Part</v>
      </c>
      <c r="D58" s="28" t="s">
        <v>148</v>
      </c>
      <c r="E58" s="29">
        <v>0.73611111111111116</v>
      </c>
      <c r="F58" s="29">
        <v>0.8930555555555556</v>
      </c>
      <c r="G58" s="28">
        <v>13</v>
      </c>
      <c r="H58" s="28">
        <v>13</v>
      </c>
      <c r="I58" s="70">
        <f>tbl_TubeLaser[[#This Row],[Qty Complete]]/tbl_TubeLaser[[#This Row],[Qty Required]]</f>
        <v>1</v>
      </c>
      <c r="J58" s="30">
        <v>30</v>
      </c>
      <c r="K58" s="28">
        <v>1</v>
      </c>
      <c r="L58" s="31">
        <f>IF(tbl_TubeLaser[[#This Row],[Job Type]]="Batch",0,tbl_TubeLaser[[#This Row],[Qty Required]]/tbl_TubeLaser[[#This Row],[PPH]]*tbl_TubeLaser[[#This Row],['# of men]])</f>
        <v>0.43333333333333335</v>
      </c>
      <c r="M58" s="31">
        <f>IF(tbl_TubeLaser[[#This Row],[Job Type]]="Batch",tbl_TubeLaser[[#This Row],[Batch Hours]]*tbl_TubeLaser[[#This Row],[% Complete]],tbl_TubeLaser[[#This Row],[Total hours]]*tbl_TubeLaser[[#This Row],[% Complete]])</f>
        <v>0.43333333333333335</v>
      </c>
      <c r="N58" s="31"/>
      <c r="O58" s="28" t="s">
        <v>149</v>
      </c>
      <c r="P58" s="28">
        <f>tbl_TubeLaser[[#This Row],[Mat. Qty]]*tbl_TubeLaser[[#This Row],[% Complete]]</f>
        <v>13</v>
      </c>
      <c r="Q58" s="28">
        <v>13</v>
      </c>
      <c r="R58" s="32">
        <f>IFERROR(tbl_TubeLaser[[#This Row],[Qty Complete]]/tbl_TubeLaser[[#This Row],[Total Hours Act]]*tbl_TubeLaser[[#This Row],['# of men Act]],"")</f>
        <v>3.4513274336283186</v>
      </c>
      <c r="S58" s="28">
        <v>1</v>
      </c>
      <c r="T58"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3.7666666666666666</v>
      </c>
      <c r="U58" s="34">
        <v>13</v>
      </c>
      <c r="V58" s="33">
        <v>0.5</v>
      </c>
      <c r="W58" s="33">
        <v>0.04</v>
      </c>
      <c r="X58" s="35">
        <f>IFERROR((tbl_TubeLaser[[#This Row],[Adj. Total Hours]]+tbl_TubeLaser[[#This Row],[Est. Hours]])/(tbl_TubeLaser[[#This Row],[Total Hours Act]]+tbl_TubeLaser[[#This Row],[Act. Hours]]),"")</f>
        <v>0.24518388791593695</v>
      </c>
      <c r="Y58" s="102">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0.24518388791593695</v>
      </c>
      <c r="Z58" s="104">
        <f>IFERROR(tbl_TubeLaser[[#This Row],[Act. Mat. Qty]]-tbl_TubeLaser[[#This Row],[Adj. Mat. Qty]],"")</f>
        <v>0</v>
      </c>
      <c r="AA58" s="105">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0</v>
      </c>
      <c r="AB58" s="28" t="s">
        <v>150</v>
      </c>
      <c r="AC58" s="31" t="s">
        <v>151</v>
      </c>
      <c r="AD58" s="36"/>
    </row>
    <row r="59" spans="1:30" ht="25" customHeight="1">
      <c r="A59" s="27">
        <v>46125</v>
      </c>
      <c r="B59" s="28">
        <v>143223</v>
      </c>
      <c r="C59" s="28" t="str">
        <f>IF(tbl_TubeLaser[[#This Row],[Part'#]]="", "Batch", "Part")</f>
        <v>Part</v>
      </c>
      <c r="D59" s="28" t="s">
        <v>152</v>
      </c>
      <c r="E59" s="29">
        <v>0.89097222222222228</v>
      </c>
      <c r="F59" s="29">
        <v>0.9375</v>
      </c>
      <c r="G59" s="28">
        <v>34</v>
      </c>
      <c r="H59" s="28">
        <v>34</v>
      </c>
      <c r="I59" s="70">
        <f>tbl_TubeLaser[[#This Row],[Qty Complete]]/tbl_TubeLaser[[#This Row],[Qty Required]]</f>
        <v>1</v>
      </c>
      <c r="J59" s="30">
        <v>35</v>
      </c>
      <c r="K59" s="28">
        <v>1</v>
      </c>
      <c r="L59" s="31">
        <f>IF(tbl_TubeLaser[[#This Row],[Job Type]]="Batch",0,tbl_TubeLaser[[#This Row],[Qty Required]]/tbl_TubeLaser[[#This Row],[PPH]]*tbl_TubeLaser[[#This Row],['# of men]])</f>
        <v>0.97142857142857142</v>
      </c>
      <c r="M59" s="31">
        <f>IF(tbl_TubeLaser[[#This Row],[Job Type]]="Batch",tbl_TubeLaser[[#This Row],[Batch Hours]]*tbl_TubeLaser[[#This Row],[% Complete]],tbl_TubeLaser[[#This Row],[Total hours]]*tbl_TubeLaser[[#This Row],[% Complete]])</f>
        <v>0.97142857142857142</v>
      </c>
      <c r="N59" s="31"/>
      <c r="O59" s="28" t="s">
        <v>149</v>
      </c>
      <c r="P59" s="28">
        <f>tbl_TubeLaser[[#This Row],[Mat. Qty]]*tbl_TubeLaser[[#This Row],[% Complete]]</f>
        <v>7</v>
      </c>
      <c r="Q59" s="28">
        <v>7</v>
      </c>
      <c r="R59" s="32">
        <f>IFERROR(tbl_TubeLaser[[#This Row],[Qty Complete]]/tbl_TubeLaser[[#This Row],[Total Hours Act]]*tbl_TubeLaser[[#This Row],['# of men Act]],"")</f>
        <v>30.447761194029887</v>
      </c>
      <c r="S59" s="28">
        <v>1</v>
      </c>
      <c r="T59"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1.1166666666666654</v>
      </c>
      <c r="U59" s="34">
        <v>7</v>
      </c>
      <c r="V59" s="33">
        <v>0.5</v>
      </c>
      <c r="W59" s="33">
        <v>0.5</v>
      </c>
      <c r="X59" s="35">
        <f>IFERROR((tbl_TubeLaser[[#This Row],[Adj. Total Hours]]+tbl_TubeLaser[[#This Row],[Est. Hours]])/(tbl_TubeLaser[[#This Row],[Total Hours Act]]+tbl_TubeLaser[[#This Row],[Act. Hours]]),"")</f>
        <v>0.91016200294550886</v>
      </c>
      <c r="Y59" s="102">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0.91016200294550886</v>
      </c>
      <c r="Z59" s="104">
        <f>IFERROR(tbl_TubeLaser[[#This Row],[Act. Mat. Qty]]-tbl_TubeLaser[[#This Row],[Adj. Mat. Qty]],"")</f>
        <v>0</v>
      </c>
      <c r="AA59" s="105">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0</v>
      </c>
      <c r="AC59" s="31" t="s">
        <v>151</v>
      </c>
      <c r="AD59" s="36"/>
    </row>
    <row r="60" spans="1:30" ht="25" customHeight="1">
      <c r="A60" s="27">
        <v>46125</v>
      </c>
      <c r="B60" s="28" t="s">
        <v>153</v>
      </c>
      <c r="C60" s="28" t="str">
        <f>IF(tbl_TubeLaser[[#This Row],[Part'#]]="", "Batch", "Part")</f>
        <v>Part</v>
      </c>
      <c r="D60" s="28" t="s">
        <v>154</v>
      </c>
      <c r="E60" s="29">
        <v>0.93819444444444444</v>
      </c>
      <c r="F60" s="29">
        <v>0.14722222222222223</v>
      </c>
      <c r="G60" s="28">
        <v>50</v>
      </c>
      <c r="H60" s="28">
        <v>50</v>
      </c>
      <c r="I60" s="70">
        <f>tbl_TubeLaser[[#This Row],[Qty Complete]]/tbl_TubeLaser[[#This Row],[Qty Required]]</f>
        <v>1</v>
      </c>
      <c r="J60" s="30">
        <v>12</v>
      </c>
      <c r="K60" s="28">
        <v>1</v>
      </c>
      <c r="L60" s="31">
        <f>IF(tbl_TubeLaser[[#This Row],[Job Type]]="Batch",0,tbl_TubeLaser[[#This Row],[Qty Required]]/tbl_TubeLaser[[#This Row],[PPH]]*tbl_TubeLaser[[#This Row],['# of men]])</f>
        <v>4.166666666666667</v>
      </c>
      <c r="M60" s="31">
        <f>IF(tbl_TubeLaser[[#This Row],[Job Type]]="Batch",tbl_TubeLaser[[#This Row],[Batch Hours]]*tbl_TubeLaser[[#This Row],[% Complete]],tbl_TubeLaser[[#This Row],[Total hours]]*tbl_TubeLaser[[#This Row],[% Complete]])</f>
        <v>4.166666666666667</v>
      </c>
      <c r="N60" s="31"/>
      <c r="O60" s="28" t="s">
        <v>128</v>
      </c>
      <c r="P60" s="28">
        <f>tbl_TubeLaser[[#This Row],[Mat. Qty]]*tbl_TubeLaser[[#This Row],[% Complete]]</f>
        <v>13</v>
      </c>
      <c r="Q60" s="28">
        <v>13</v>
      </c>
      <c r="R60" s="32">
        <f>IFERROR(tbl_TubeLaser[[#This Row],[Qty Complete]]/tbl_TubeLaser[[#This Row],[Total Hours Act]]*tbl_TubeLaser[[#This Row],['# of men Act]],"")</f>
        <v>11.070110701107009</v>
      </c>
      <c r="S60" s="28">
        <v>1</v>
      </c>
      <c r="T60"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4.5166666666666675</v>
      </c>
      <c r="U60" s="34">
        <v>13</v>
      </c>
      <c r="V60" s="33">
        <v>0.5</v>
      </c>
      <c r="W60" s="33">
        <v>0.5</v>
      </c>
      <c r="X60" s="35">
        <f>IFERROR((tbl_TubeLaser[[#This Row],[Adj. Total Hours]]+tbl_TubeLaser[[#This Row],[Est. Hours]])/(tbl_TubeLaser[[#This Row],[Total Hours Act]]+tbl_TubeLaser[[#This Row],[Act. Hours]]),"")</f>
        <v>0.93023255813953476</v>
      </c>
      <c r="Y60" s="102">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0.93023255813953476</v>
      </c>
      <c r="Z60" s="104">
        <f>IFERROR(tbl_TubeLaser[[#This Row],[Act. Mat. Qty]]-tbl_TubeLaser[[#This Row],[Adj. Mat. Qty]],"")</f>
        <v>0</v>
      </c>
      <c r="AA60" s="105">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0</v>
      </c>
      <c r="AC60" s="31" t="s">
        <v>151</v>
      </c>
      <c r="AD60" s="36"/>
    </row>
    <row r="61" spans="1:30" ht="25" customHeight="1">
      <c r="A61" s="27">
        <v>46125</v>
      </c>
      <c r="B61" s="28" t="s">
        <v>126</v>
      </c>
      <c r="C61" s="28" t="str">
        <f>IF(tbl_TubeLaser[[#This Row],[Part'#]]="", "Batch", "Part")</f>
        <v>Part</v>
      </c>
      <c r="D61" s="28" t="s">
        <v>127</v>
      </c>
      <c r="E61" s="29">
        <v>0.14722222222222223</v>
      </c>
      <c r="F61" s="29">
        <v>0.18680555555555556</v>
      </c>
      <c r="G61" s="28">
        <v>60</v>
      </c>
      <c r="H61" s="28">
        <v>13</v>
      </c>
      <c r="I61" s="70">
        <f>tbl_TubeLaser[[#This Row],[Qty Complete]]/tbl_TubeLaser[[#This Row],[Qty Required]]</f>
        <v>0.21666666666666667</v>
      </c>
      <c r="J61" s="30">
        <v>12</v>
      </c>
      <c r="K61" s="28">
        <v>1</v>
      </c>
      <c r="L61" s="31">
        <f>IF(tbl_TubeLaser[[#This Row],[Job Type]]="Batch",0,tbl_TubeLaser[[#This Row],[Qty Required]]/tbl_TubeLaser[[#This Row],[PPH]]*tbl_TubeLaser[[#This Row],['# of men]])</f>
        <v>5</v>
      </c>
      <c r="M61" s="31">
        <f>IF(tbl_TubeLaser[[#This Row],[Job Type]]="Batch",tbl_TubeLaser[[#This Row],[Batch Hours]]*tbl_TubeLaser[[#This Row],[% Complete]],tbl_TubeLaser[[#This Row],[Total hours]]*tbl_TubeLaser[[#This Row],[% Complete]])</f>
        <v>1.0833333333333335</v>
      </c>
      <c r="N61" s="31"/>
      <c r="O61" s="28" t="s">
        <v>128</v>
      </c>
      <c r="P61" s="28">
        <f>tbl_TubeLaser[[#This Row],[Mat. Qty]]*tbl_TubeLaser[[#This Row],[% Complete]]</f>
        <v>3.25</v>
      </c>
      <c r="Q61" s="28">
        <v>15</v>
      </c>
      <c r="R61" s="32">
        <f>IFERROR(tbl_TubeLaser[[#This Row],[Qty Complete]]/tbl_TubeLaser[[#This Row],[Total Hours Act]]*tbl_TubeLaser[[#This Row],['# of men Act]],"")</f>
        <v>13.684210526315789</v>
      </c>
      <c r="S61" s="28">
        <v>1</v>
      </c>
      <c r="T61"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0.95</v>
      </c>
      <c r="U61" s="34">
        <v>3</v>
      </c>
      <c r="V61" s="33">
        <v>0.5</v>
      </c>
      <c r="W61" s="33">
        <v>0.5</v>
      </c>
      <c r="X61" s="35">
        <f>IFERROR((tbl_TubeLaser[[#This Row],[Adj. Total Hours]]+tbl_TubeLaser[[#This Row],[Est. Hours]])/(tbl_TubeLaser[[#This Row],[Total Hours Act]]+tbl_TubeLaser[[#This Row],[Act. Hours]]),"")</f>
        <v>1.0919540229885059</v>
      </c>
      <c r="Y61" s="102">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1.1718750000000002</v>
      </c>
      <c r="Z61" s="104">
        <f>IFERROR(tbl_TubeLaser[[#This Row],[Act. Mat. Qty]]-tbl_TubeLaser[[#This Row],[Adj. Mat. Qty]],"")</f>
        <v>-0.25</v>
      </c>
      <c r="AA61" s="105">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0</v>
      </c>
      <c r="AC61" s="31" t="s">
        <v>151</v>
      </c>
      <c r="AD61" s="36"/>
    </row>
    <row r="62" spans="1:30" ht="25" customHeight="1">
      <c r="A62" s="27">
        <v>46126</v>
      </c>
      <c r="B62" s="28" t="s">
        <v>155</v>
      </c>
      <c r="D62" s="28">
        <v>15024304</v>
      </c>
      <c r="E62" s="29">
        <v>0.8125</v>
      </c>
      <c r="F62" s="29">
        <v>0.99722222222222223</v>
      </c>
      <c r="G62" s="28">
        <v>20</v>
      </c>
      <c r="H62" s="28">
        <v>20</v>
      </c>
      <c r="I62" s="70">
        <f>tbl_TubeLaser[[#This Row],[Qty Complete]]/tbl_TubeLaser[[#This Row],[Qty Required]]</f>
        <v>1</v>
      </c>
      <c r="J62" s="30">
        <v>9</v>
      </c>
      <c r="K62" s="28">
        <v>1</v>
      </c>
      <c r="L62" s="31">
        <v>2.2200000000000002</v>
      </c>
      <c r="M62" s="31">
        <f>IF(tbl_TubeLaser[[#This Row],[Job Type]]="Batch",tbl_TubeLaser[[#This Row],[Batch Hours]]*tbl_TubeLaser[[#This Row],[% Complete]],tbl_TubeLaser[[#This Row],[Total hours]]*tbl_TubeLaser[[#This Row],[% Complete]])</f>
        <v>2.2200000000000002</v>
      </c>
      <c r="N62" s="31"/>
      <c r="O62" s="28" t="s">
        <v>156</v>
      </c>
      <c r="P62" s="28">
        <f>tbl_TubeLaser[[#This Row],[Mat. Qty]]*tbl_TubeLaser[[#This Row],[% Complete]]</f>
        <v>20</v>
      </c>
      <c r="Q62" s="28">
        <v>20</v>
      </c>
      <c r="R62" s="32">
        <f>IFERROR(tbl_TubeLaser[[#This Row],[Qty Complete]]/tbl_TubeLaser[[#This Row],[Total Hours Act]]*tbl_TubeLaser[[#This Row],['# of men Act]],"")</f>
        <v>4.511278195488722</v>
      </c>
      <c r="S62" s="28">
        <v>1</v>
      </c>
      <c r="T62"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4.4333333333333336</v>
      </c>
      <c r="U62" s="34">
        <v>20</v>
      </c>
      <c r="V62" s="33">
        <v>0.5</v>
      </c>
      <c r="W62" s="33">
        <v>1.25</v>
      </c>
      <c r="X62" s="35">
        <f>IFERROR((tbl_TubeLaser[[#This Row],[Adj. Total Hours]]+tbl_TubeLaser[[#This Row],[Est. Hours]])/(tbl_TubeLaser[[#This Row],[Total Hours Act]]+tbl_TubeLaser[[#This Row],[Act. Hours]]),"")</f>
        <v>0.47859237536656896</v>
      </c>
      <c r="Y62" s="102">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0.47859237536656896</v>
      </c>
      <c r="Z62" s="104">
        <f>IFERROR(tbl_TubeLaser[[#This Row],[Act. Mat. Qty]]-tbl_TubeLaser[[#This Row],[Adj. Mat. Qty]],"")</f>
        <v>0</v>
      </c>
      <c r="AA62" s="105">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0</v>
      </c>
      <c r="AB62" s="28" t="s">
        <v>157</v>
      </c>
      <c r="AC62" s="31" t="s">
        <v>158</v>
      </c>
      <c r="AD62" s="36"/>
    </row>
    <row r="63" spans="1:30" ht="25" customHeight="1">
      <c r="A63" s="27">
        <v>46126</v>
      </c>
      <c r="B63" s="28" t="s">
        <v>132</v>
      </c>
      <c r="D63" s="28" t="s">
        <v>133</v>
      </c>
      <c r="E63" s="29">
        <v>4.1666666666666664E-2</v>
      </c>
      <c r="F63" s="29">
        <v>0.19375000000000001</v>
      </c>
      <c r="G63" s="28">
        <v>84</v>
      </c>
      <c r="H63" s="28">
        <v>42</v>
      </c>
      <c r="I63" s="70">
        <f>tbl_TubeLaser[[#This Row],[Qty Complete]]/tbl_TubeLaser[[#This Row],[Qty Required]]</f>
        <v>0.5</v>
      </c>
      <c r="J63" s="30">
        <v>12</v>
      </c>
      <c r="K63" s="28">
        <v>1</v>
      </c>
      <c r="L63" s="31">
        <v>7</v>
      </c>
      <c r="M63" s="31">
        <f>IF(tbl_TubeLaser[[#This Row],[Job Type]]="Batch",tbl_TubeLaser[[#This Row],[Batch Hours]]*tbl_TubeLaser[[#This Row],[% Complete]],tbl_TubeLaser[[#This Row],[Total hours]]*tbl_TubeLaser[[#This Row],[% Complete]])</f>
        <v>3.5</v>
      </c>
      <c r="N63" s="31"/>
      <c r="O63" s="28" t="s">
        <v>134</v>
      </c>
      <c r="P63" s="28">
        <f>tbl_TubeLaser[[#This Row],[Mat. Qty]]*tbl_TubeLaser[[#This Row],[% Complete]]</f>
        <v>10.5</v>
      </c>
      <c r="Q63" s="28">
        <v>21</v>
      </c>
      <c r="R63" s="32">
        <f>IFERROR(tbl_TubeLaser[[#This Row],[Qty Complete]]/tbl_TubeLaser[[#This Row],[Total Hours Act]]*tbl_TubeLaser[[#This Row],['# of men Act]],"")</f>
        <v>11.506849315068491</v>
      </c>
      <c r="S63" s="28">
        <v>1</v>
      </c>
      <c r="T63"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3.6500000000000004</v>
      </c>
      <c r="U63" s="34">
        <v>10</v>
      </c>
      <c r="V63" s="33">
        <v>0.5</v>
      </c>
      <c r="W63" s="33">
        <v>0.75</v>
      </c>
      <c r="X63" s="35">
        <f>IFERROR((tbl_TubeLaser[[#This Row],[Adj. Total Hours]]+tbl_TubeLaser[[#This Row],[Est. Hours]])/(tbl_TubeLaser[[#This Row],[Total Hours Act]]+tbl_TubeLaser[[#This Row],[Act. Hours]]),"")</f>
        <v>0.90909090909090906</v>
      </c>
      <c r="Y63"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63" s="104">
        <f>IFERROR(tbl_TubeLaser[[#This Row],[Act. Mat. Qty]]-tbl_TubeLaser[[#This Row],[Adj. Mat. Qty]],"")</f>
        <v>-0.5</v>
      </c>
      <c r="AA63"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63" s="31" t="s">
        <v>158</v>
      </c>
      <c r="AD63" s="36"/>
    </row>
    <row r="64" spans="1:30" ht="25" customHeight="1">
      <c r="A64" s="27">
        <v>46126</v>
      </c>
      <c r="B64" s="28">
        <v>143224</v>
      </c>
      <c r="C64" s="28" t="str">
        <f>IF(tbl_TubeLaser[[#This Row],[Part'#]]="", "Batch", "Part")</f>
        <v>Part</v>
      </c>
      <c r="D64" s="28" t="s">
        <v>159</v>
      </c>
      <c r="E64" s="29">
        <v>0.75972222222222219</v>
      </c>
      <c r="F64" s="29">
        <v>0.87222222222222223</v>
      </c>
      <c r="G64" s="28">
        <v>22</v>
      </c>
      <c r="H64" s="28">
        <v>22</v>
      </c>
      <c r="I64" s="70">
        <f>tbl_TubeLaser[[#This Row],[Qty Complete]]/tbl_TubeLaser[[#This Row],[Qty Required]]</f>
        <v>1</v>
      </c>
      <c r="J64" s="30">
        <v>36</v>
      </c>
      <c r="K64" s="28">
        <v>1</v>
      </c>
      <c r="L64" s="31">
        <f>IF(tbl_TubeLaser[[#This Row],[Job Type]]="Batch",0,tbl_TubeLaser[[#This Row],[Qty Required]]/tbl_TubeLaser[[#This Row],[PPH]]*tbl_TubeLaser[[#This Row],['# of men]])</f>
        <v>0.61111111111111116</v>
      </c>
      <c r="M64" s="31">
        <f>IF(tbl_TubeLaser[[#This Row],[Job Type]]="Batch",tbl_TubeLaser[[#This Row],[Batch Hours]]*tbl_TubeLaser[[#This Row],[% Complete]],tbl_TubeLaser[[#This Row],[Total hours]]*tbl_TubeLaser[[#This Row],[% Complete]])</f>
        <v>0.61111111111111116</v>
      </c>
      <c r="N64" s="31"/>
      <c r="O64" s="28" t="s">
        <v>91</v>
      </c>
      <c r="P64" s="28">
        <f>tbl_TubeLaser[[#This Row],[Mat. Qty]]*tbl_TubeLaser[[#This Row],[% Complete]]</f>
        <v>11</v>
      </c>
      <c r="Q64" s="28">
        <v>11</v>
      </c>
      <c r="R64" s="32">
        <f>IFERROR(tbl_TubeLaser[[#This Row],[Qty Complete]]/tbl_TubeLaser[[#This Row],[Total Hours Act]]*tbl_TubeLaser[[#This Row],['# of men Act]],"")</f>
        <v>8.1481481481481453</v>
      </c>
      <c r="S64" s="28">
        <v>1</v>
      </c>
      <c r="T64"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2.7000000000000011</v>
      </c>
      <c r="U64" s="34">
        <v>11</v>
      </c>
      <c r="V64" s="33">
        <v>0.5</v>
      </c>
      <c r="W64" s="33">
        <v>0.25</v>
      </c>
      <c r="X64" s="35">
        <f>IFERROR((tbl_TubeLaser[[#This Row],[Adj. Total Hours]]+tbl_TubeLaser[[#This Row],[Est. Hours]])/(tbl_TubeLaser[[#This Row],[Total Hours Act]]+tbl_TubeLaser[[#This Row],[Act. Hours]]),"")</f>
        <v>0.3766478342749528</v>
      </c>
      <c r="Y64" s="102">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0.3766478342749528</v>
      </c>
      <c r="Z64" s="104">
        <f>IFERROR(tbl_TubeLaser[[#This Row],[Act. Mat. Qty]]-tbl_TubeLaser[[#This Row],[Adj. Mat. Qty]],"")</f>
        <v>0</v>
      </c>
      <c r="AA64" s="105">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0</v>
      </c>
      <c r="AB64" s="28" t="s">
        <v>160</v>
      </c>
      <c r="AC64" s="31" t="s">
        <v>161</v>
      </c>
      <c r="AD64" s="36"/>
    </row>
    <row r="65" spans="1:30" ht="25" customHeight="1">
      <c r="A65" s="27">
        <v>46126</v>
      </c>
      <c r="B65" s="28">
        <v>143226</v>
      </c>
      <c r="C65" s="28" t="str">
        <f>IF(tbl_TubeLaser[[#This Row],[Part'#]]="", "Batch", "Part")</f>
        <v>Part</v>
      </c>
      <c r="D65" s="28" t="s">
        <v>162</v>
      </c>
      <c r="E65" s="29">
        <v>0.87291666666666667</v>
      </c>
      <c r="F65" s="29">
        <v>0.90694444444444444</v>
      </c>
      <c r="G65" s="28">
        <v>4</v>
      </c>
      <c r="H65" s="28">
        <v>4</v>
      </c>
      <c r="I65" s="70">
        <f>tbl_TubeLaser[[#This Row],[Qty Complete]]/tbl_TubeLaser[[#This Row],[Qty Required]]</f>
        <v>1</v>
      </c>
      <c r="J65" s="30">
        <v>24</v>
      </c>
      <c r="K65" s="28">
        <v>1</v>
      </c>
      <c r="L65" s="31">
        <f>IF(tbl_TubeLaser[[#This Row],[Job Type]]="Batch",0,tbl_TubeLaser[[#This Row],[Qty Required]]/tbl_TubeLaser[[#This Row],[PPH]]*tbl_TubeLaser[[#This Row],['# of men]])</f>
        <v>0.16666666666666666</v>
      </c>
      <c r="M65" s="31">
        <f>IF(tbl_TubeLaser[[#This Row],[Job Type]]="Batch",tbl_TubeLaser[[#This Row],[Batch Hours]]*tbl_TubeLaser[[#This Row],[% Complete]],tbl_TubeLaser[[#This Row],[Total hours]]*tbl_TubeLaser[[#This Row],[% Complete]])</f>
        <v>0.16666666666666666</v>
      </c>
      <c r="N65" s="31"/>
      <c r="O65" s="28" t="s">
        <v>91</v>
      </c>
      <c r="P65" s="28">
        <f>tbl_TubeLaser[[#This Row],[Mat. Qty]]*tbl_TubeLaser[[#This Row],[% Complete]]</f>
        <v>2</v>
      </c>
      <c r="Q65" s="28">
        <v>2</v>
      </c>
      <c r="R65" s="32">
        <f>IFERROR(tbl_TubeLaser[[#This Row],[Qty Complete]]/tbl_TubeLaser[[#This Row],[Total Hours Act]]*tbl_TubeLaser[[#This Row],['# of men Act]],"")</f>
        <v>4.8979591836734704</v>
      </c>
      <c r="S65" s="28">
        <v>1</v>
      </c>
      <c r="T65"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0.81666666666666643</v>
      </c>
      <c r="U65" s="34">
        <v>2</v>
      </c>
      <c r="V65" s="33">
        <v>0.5</v>
      </c>
      <c r="W65" s="33">
        <v>0.25</v>
      </c>
      <c r="X65" s="35">
        <f>IFERROR((tbl_TubeLaser[[#This Row],[Adj. Total Hours]]+tbl_TubeLaser[[#This Row],[Est. Hours]])/(tbl_TubeLaser[[#This Row],[Total Hours Act]]+tbl_TubeLaser[[#This Row],[Act. Hours]]),"")</f>
        <v>0.62500000000000011</v>
      </c>
      <c r="Y65" s="102">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0.62500000000000011</v>
      </c>
      <c r="Z65" s="104">
        <f>IFERROR(tbl_TubeLaser[[#This Row],[Act. Mat. Qty]]-tbl_TubeLaser[[#This Row],[Adj. Mat. Qty]],"")</f>
        <v>0</v>
      </c>
      <c r="AA65" s="105">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0</v>
      </c>
      <c r="AB65" s="28" t="s">
        <v>160</v>
      </c>
      <c r="AC65" s="31" t="s">
        <v>161</v>
      </c>
      <c r="AD65" s="36"/>
    </row>
    <row r="66" spans="1:30" ht="25" customHeight="1">
      <c r="A66" s="27">
        <v>46126</v>
      </c>
      <c r="B66" s="28">
        <v>143225</v>
      </c>
      <c r="C66" s="28" t="str">
        <f>IF(tbl_TubeLaser[[#This Row],[Part'#]]="", "Batch", "Part")</f>
        <v>Part</v>
      </c>
      <c r="D66" s="28" t="s">
        <v>163</v>
      </c>
      <c r="E66" s="29">
        <v>0.90694444444444444</v>
      </c>
      <c r="F66" s="29">
        <v>0.92500000000000004</v>
      </c>
      <c r="G66" s="28">
        <v>4</v>
      </c>
      <c r="H66" s="28">
        <v>4</v>
      </c>
      <c r="I66" s="70">
        <f>tbl_TubeLaser[[#This Row],[Qty Complete]]/tbl_TubeLaser[[#This Row],[Qty Required]]</f>
        <v>1</v>
      </c>
      <c r="J66" s="30">
        <v>24</v>
      </c>
      <c r="K66" s="28">
        <v>1</v>
      </c>
      <c r="L66" s="31">
        <f>IF(tbl_TubeLaser[[#This Row],[Job Type]]="Batch",0,tbl_TubeLaser[[#This Row],[Qty Required]]/tbl_TubeLaser[[#This Row],[PPH]]*tbl_TubeLaser[[#This Row],['# of men]])</f>
        <v>0.16666666666666666</v>
      </c>
      <c r="M66" s="31">
        <f>IF(tbl_TubeLaser[[#This Row],[Job Type]]="Batch",tbl_TubeLaser[[#This Row],[Batch Hours]]*tbl_TubeLaser[[#This Row],[% Complete]],tbl_TubeLaser[[#This Row],[Total hours]]*tbl_TubeLaser[[#This Row],[% Complete]])</f>
        <v>0.16666666666666666</v>
      </c>
      <c r="N66" s="31"/>
      <c r="O66" s="28" t="s">
        <v>91</v>
      </c>
      <c r="P66" s="28">
        <f>tbl_TubeLaser[[#This Row],[Mat. Qty]]*tbl_TubeLaser[[#This Row],[% Complete]]</f>
        <v>2</v>
      </c>
      <c r="Q66" s="28">
        <v>2</v>
      </c>
      <c r="R66" s="32">
        <f>IFERROR(tbl_TubeLaser[[#This Row],[Qty Complete]]/tbl_TubeLaser[[#This Row],[Total Hours Act]]*tbl_TubeLaser[[#This Row],['# of men Act]],"")</f>
        <v>9.2307692307692069</v>
      </c>
      <c r="S66" s="28">
        <v>1</v>
      </c>
      <c r="T66"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0.43333333333333446</v>
      </c>
      <c r="U66" s="34">
        <v>2</v>
      </c>
      <c r="V66" s="33">
        <v>0.5</v>
      </c>
      <c r="W66" s="33">
        <v>0.25</v>
      </c>
      <c r="X66" s="35">
        <f>IFERROR((tbl_TubeLaser[[#This Row],[Adj. Total Hours]]+tbl_TubeLaser[[#This Row],[Est. Hours]])/(tbl_TubeLaser[[#This Row],[Total Hours Act]]+tbl_TubeLaser[[#This Row],[Act. Hours]]),"")</f>
        <v>0.97560975609755929</v>
      </c>
      <c r="Y66" s="102">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0.97560975609755929</v>
      </c>
      <c r="Z66" s="104">
        <f>IFERROR(tbl_TubeLaser[[#This Row],[Act. Mat. Qty]]-tbl_TubeLaser[[#This Row],[Adj. Mat. Qty]],"")</f>
        <v>0</v>
      </c>
      <c r="AA66" s="105">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0</v>
      </c>
      <c r="AC66" s="31" t="s">
        <v>161</v>
      </c>
      <c r="AD66" s="36"/>
    </row>
    <row r="67" spans="1:30" ht="25" customHeight="1">
      <c r="A67" s="27">
        <v>46126</v>
      </c>
      <c r="B67" s="28">
        <v>143228</v>
      </c>
      <c r="C67" s="28" t="str">
        <f>IF(tbl_TubeLaser[[#This Row],[Part'#]]="", "Batch", "Part")</f>
        <v>Part</v>
      </c>
      <c r="D67" s="28" t="s">
        <v>164</v>
      </c>
      <c r="E67" s="29">
        <v>0.92500000000000004</v>
      </c>
      <c r="F67" s="29">
        <v>0.95694444444444449</v>
      </c>
      <c r="G67" s="28">
        <v>4</v>
      </c>
      <c r="H67" s="28">
        <v>4</v>
      </c>
      <c r="I67" s="70">
        <f>tbl_TubeLaser[[#This Row],[Qty Complete]]/tbl_TubeLaser[[#This Row],[Qty Required]]</f>
        <v>1</v>
      </c>
      <c r="J67" s="30">
        <v>24</v>
      </c>
      <c r="K67" s="28">
        <v>1</v>
      </c>
      <c r="L67" s="31">
        <f>IF(tbl_TubeLaser[[#This Row],[Job Type]]="Batch",0,tbl_TubeLaser[[#This Row],[Qty Required]]/tbl_TubeLaser[[#This Row],[PPH]]*tbl_TubeLaser[[#This Row],['# of men]])</f>
        <v>0.16666666666666666</v>
      </c>
      <c r="M67" s="31">
        <f>IF(tbl_TubeLaser[[#This Row],[Job Type]]="Batch",tbl_TubeLaser[[#This Row],[Batch Hours]]*tbl_TubeLaser[[#This Row],[% Complete]],tbl_TubeLaser[[#This Row],[Total hours]]*tbl_TubeLaser[[#This Row],[% Complete]])</f>
        <v>0.16666666666666666</v>
      </c>
      <c r="N67" s="31"/>
      <c r="O67" s="28" t="s">
        <v>91</v>
      </c>
      <c r="P67" s="28">
        <f>tbl_TubeLaser[[#This Row],[Mat. Qty]]*tbl_TubeLaser[[#This Row],[% Complete]]</f>
        <v>4</v>
      </c>
      <c r="Q67" s="28">
        <v>4</v>
      </c>
      <c r="R67" s="32">
        <f>IFERROR(tbl_TubeLaser[[#This Row],[Qty Complete]]/tbl_TubeLaser[[#This Row],[Total Hours Act]]*tbl_TubeLaser[[#This Row],['# of men Act]],"")</f>
        <v>5.2173913043478262</v>
      </c>
      <c r="S67" s="28">
        <v>1</v>
      </c>
      <c r="T67"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0.76666666666666661</v>
      </c>
      <c r="U67" s="34">
        <v>4</v>
      </c>
      <c r="V67" s="33">
        <v>0.5</v>
      </c>
      <c r="W67" s="33">
        <v>0.25</v>
      </c>
      <c r="X67" s="35">
        <f>IFERROR((tbl_TubeLaser[[#This Row],[Adj. Total Hours]]+tbl_TubeLaser[[#This Row],[Est. Hours]])/(tbl_TubeLaser[[#This Row],[Total Hours Act]]+tbl_TubeLaser[[#This Row],[Act. Hours]]),"")</f>
        <v>0.65573770491803274</v>
      </c>
      <c r="Y67" s="102">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0.65573770491803274</v>
      </c>
      <c r="Z67" s="104">
        <f>IFERROR(tbl_TubeLaser[[#This Row],[Act. Mat. Qty]]-tbl_TubeLaser[[#This Row],[Adj. Mat. Qty]],"")</f>
        <v>0</v>
      </c>
      <c r="AA67" s="105">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0</v>
      </c>
      <c r="AB67" s="28" t="s">
        <v>160</v>
      </c>
      <c r="AC67" s="31" t="s">
        <v>161</v>
      </c>
      <c r="AD67" s="36"/>
    </row>
    <row r="68" spans="1:30" ht="25" customHeight="1">
      <c r="A68" s="27">
        <v>46126</v>
      </c>
      <c r="B68" s="28">
        <v>143227</v>
      </c>
      <c r="C68" s="28" t="str">
        <f>IF(tbl_TubeLaser[[#This Row],[Part'#]]="", "Batch", "Part")</f>
        <v>Part</v>
      </c>
      <c r="D68" s="28" t="s">
        <v>164</v>
      </c>
      <c r="E68" s="29">
        <v>0.92569444444444449</v>
      </c>
      <c r="F68" s="29">
        <v>0.97083333333333333</v>
      </c>
      <c r="G68" s="28">
        <v>2</v>
      </c>
      <c r="H68" s="28">
        <v>2</v>
      </c>
      <c r="I68" s="70">
        <f>tbl_TubeLaser[[#This Row],[Qty Complete]]/tbl_TubeLaser[[#This Row],[Qty Required]]</f>
        <v>1</v>
      </c>
      <c r="J68" s="30">
        <v>24</v>
      </c>
      <c r="K68" s="28">
        <v>1</v>
      </c>
      <c r="L68" s="31">
        <f>IF(tbl_TubeLaser[[#This Row],[Job Type]]="Batch",0,tbl_TubeLaser[[#This Row],[Qty Required]]/tbl_TubeLaser[[#This Row],[PPH]]*tbl_TubeLaser[[#This Row],['# of men]])</f>
        <v>8.3333333333333329E-2</v>
      </c>
      <c r="M68" s="31">
        <f>IF(tbl_TubeLaser[[#This Row],[Job Type]]="Batch",tbl_TubeLaser[[#This Row],[Batch Hours]]*tbl_TubeLaser[[#This Row],[% Complete]],tbl_TubeLaser[[#This Row],[Total hours]]*tbl_TubeLaser[[#This Row],[% Complete]])</f>
        <v>8.3333333333333329E-2</v>
      </c>
      <c r="N68" s="31"/>
      <c r="O68" s="28" t="s">
        <v>91</v>
      </c>
      <c r="P68" s="28">
        <f>tbl_TubeLaser[[#This Row],[Mat. Qty]]*tbl_TubeLaser[[#This Row],[% Complete]]</f>
        <v>2</v>
      </c>
      <c r="Q68" s="28">
        <v>2</v>
      </c>
      <c r="R68" s="32">
        <f>IFERROR(tbl_TubeLaser[[#This Row],[Qty Complete]]/tbl_TubeLaser[[#This Row],[Total Hours Act]]*tbl_TubeLaser[[#This Row],['# of men Act]],"")</f>
        <v>1.8461538461538483</v>
      </c>
      <c r="S68" s="28">
        <v>1</v>
      </c>
      <c r="T68"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1.0833333333333321</v>
      </c>
      <c r="U68" s="34">
        <v>2</v>
      </c>
      <c r="V68" s="33">
        <v>0.5</v>
      </c>
      <c r="W68" s="33">
        <v>0.25</v>
      </c>
      <c r="X68" s="35">
        <f>IFERROR((tbl_TubeLaser[[#This Row],[Adj. Total Hours]]+tbl_TubeLaser[[#This Row],[Est. Hours]])/(tbl_TubeLaser[[#This Row],[Total Hours Act]]+tbl_TubeLaser[[#This Row],[Act. Hours]]),"")</f>
        <v>0.43750000000000044</v>
      </c>
      <c r="Y68" s="102">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0.43750000000000044</v>
      </c>
      <c r="Z68" s="104">
        <f>IFERROR(tbl_TubeLaser[[#This Row],[Act. Mat. Qty]]-tbl_TubeLaser[[#This Row],[Adj. Mat. Qty]],"")</f>
        <v>0</v>
      </c>
      <c r="AA68" s="105">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0</v>
      </c>
      <c r="AB68" s="28" t="s">
        <v>160</v>
      </c>
      <c r="AC68" s="31" t="s">
        <v>161</v>
      </c>
      <c r="AD68" s="36"/>
    </row>
    <row r="69" spans="1:30" ht="25" customHeight="1">
      <c r="A69" s="27">
        <v>46126</v>
      </c>
      <c r="B69" s="28">
        <v>143229</v>
      </c>
      <c r="C69" s="28" t="str">
        <f>IF(tbl_TubeLaser[[#This Row],[Part'#]]="", "Batch", "Part")</f>
        <v>Part</v>
      </c>
      <c r="D69" s="28" t="s">
        <v>88</v>
      </c>
      <c r="E69" s="29">
        <v>0.97152777777777777</v>
      </c>
      <c r="F69" s="29">
        <v>0.10416666666666667</v>
      </c>
      <c r="G69" s="28">
        <v>14</v>
      </c>
      <c r="H69" s="28">
        <v>14</v>
      </c>
      <c r="I69" s="70">
        <f>tbl_TubeLaser[[#This Row],[Qty Complete]]/tbl_TubeLaser[[#This Row],[Qty Required]]</f>
        <v>1</v>
      </c>
      <c r="J69" s="30">
        <v>36</v>
      </c>
      <c r="K69" s="28">
        <v>1</v>
      </c>
      <c r="L69" s="31">
        <f>IF(tbl_TubeLaser[[#This Row],[Job Type]]="Batch",0,tbl_TubeLaser[[#This Row],[Qty Required]]/tbl_TubeLaser[[#This Row],[PPH]]*tbl_TubeLaser[[#This Row],['# of men]])</f>
        <v>0.3888888888888889</v>
      </c>
      <c r="M69" s="31">
        <f>IF(tbl_TubeLaser[[#This Row],[Job Type]]="Batch",tbl_TubeLaser[[#This Row],[Batch Hours]]*tbl_TubeLaser[[#This Row],[% Complete]],tbl_TubeLaser[[#This Row],[Total hours]]*tbl_TubeLaser[[#This Row],[% Complete]])</f>
        <v>0.3888888888888889</v>
      </c>
      <c r="N69" s="31"/>
      <c r="O69" s="28" t="s">
        <v>91</v>
      </c>
      <c r="P69" s="28">
        <f>tbl_TubeLaser[[#This Row],[Mat. Qty]]*tbl_TubeLaser[[#This Row],[% Complete]]</f>
        <v>7</v>
      </c>
      <c r="Q69" s="28">
        <v>7</v>
      </c>
      <c r="R69" s="32">
        <f>IFERROR(tbl_TubeLaser[[#This Row],[Qty Complete]]/tbl_TubeLaser[[#This Row],[Total Hours Act]]*tbl_TubeLaser[[#This Row],['# of men Act]],"")</f>
        <v>5.2173913043478271</v>
      </c>
      <c r="S69" s="28">
        <v>1</v>
      </c>
      <c r="T69"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2.6833333333333327</v>
      </c>
      <c r="U69" s="34">
        <v>7</v>
      </c>
      <c r="V69" s="33">
        <v>0.5</v>
      </c>
      <c r="W69" s="33">
        <v>0.25</v>
      </c>
      <c r="X69" s="35">
        <f>IFERROR((tbl_TubeLaser[[#This Row],[Adj. Total Hours]]+tbl_TubeLaser[[#This Row],[Est. Hours]])/(tbl_TubeLaser[[#This Row],[Total Hours Act]]+tbl_TubeLaser[[#This Row],[Act. Hours]]),"")</f>
        <v>0.30303030303030309</v>
      </c>
      <c r="Y69" s="102">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0.30303030303030309</v>
      </c>
      <c r="Z69" s="104">
        <f>IFERROR(tbl_TubeLaser[[#This Row],[Act. Mat. Qty]]-tbl_TubeLaser[[#This Row],[Adj. Mat. Qty]],"")</f>
        <v>0</v>
      </c>
      <c r="AA69" s="105">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0</v>
      </c>
      <c r="AB69" s="28" t="s">
        <v>160</v>
      </c>
      <c r="AC69" s="31" t="s">
        <v>161</v>
      </c>
      <c r="AD69" s="36"/>
    </row>
    <row r="70" spans="1:30" ht="25" customHeight="1">
      <c r="A70" s="27">
        <v>46126</v>
      </c>
      <c r="B70" s="28">
        <v>143261</v>
      </c>
      <c r="C70" s="28" t="str">
        <f>IF(tbl_TubeLaser[[#This Row],[Part'#]]="", "Batch", "Part")</f>
        <v>Part</v>
      </c>
      <c r="D70" s="28" t="s">
        <v>165</v>
      </c>
      <c r="E70" s="29">
        <v>2.9166666666666667E-2</v>
      </c>
      <c r="F70" s="29">
        <v>0.1388888888888889</v>
      </c>
      <c r="G70" s="28">
        <v>14</v>
      </c>
      <c r="H70" s="28">
        <v>14</v>
      </c>
      <c r="I70" s="70">
        <f>tbl_TubeLaser[[#This Row],[Qty Complete]]/tbl_TubeLaser[[#This Row],[Qty Required]]</f>
        <v>1</v>
      </c>
      <c r="J70" s="30">
        <v>24</v>
      </c>
      <c r="K70" s="28">
        <v>1</v>
      </c>
      <c r="L70" s="31">
        <f>IF(tbl_TubeLaser[[#This Row],[Job Type]]="Batch",0,tbl_TubeLaser[[#This Row],[Qty Required]]/tbl_TubeLaser[[#This Row],[PPH]]*tbl_TubeLaser[[#This Row],['# of men]])</f>
        <v>0.58333333333333337</v>
      </c>
      <c r="M70" s="31">
        <f>IF(tbl_TubeLaser[[#This Row],[Job Type]]="Batch",tbl_TubeLaser[[#This Row],[Batch Hours]]*tbl_TubeLaser[[#This Row],[% Complete]],tbl_TubeLaser[[#This Row],[Total hours]]*tbl_TubeLaser[[#This Row],[% Complete]])</f>
        <v>0.58333333333333337</v>
      </c>
      <c r="N70" s="31"/>
      <c r="O70" s="28" t="s">
        <v>91</v>
      </c>
      <c r="P70" s="28">
        <f>tbl_TubeLaser[[#This Row],[Mat. Qty]]*tbl_TubeLaser[[#This Row],[% Complete]]</f>
        <v>7</v>
      </c>
      <c r="Q70" s="28">
        <v>7</v>
      </c>
      <c r="R70" s="32">
        <f>IFERROR(tbl_TubeLaser[[#This Row],[Qty Complete]]/tbl_TubeLaser[[#This Row],[Total Hours Act]]*tbl_TubeLaser[[#This Row],['# of men Act]],"")</f>
        <v>5.3164556962025316</v>
      </c>
      <c r="S70" s="28">
        <v>1</v>
      </c>
      <c r="T70"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2.6333333333333333</v>
      </c>
      <c r="U70" s="34">
        <v>7</v>
      </c>
      <c r="V70" s="33">
        <v>0.5</v>
      </c>
      <c r="W70" s="33">
        <v>0.25</v>
      </c>
      <c r="X70" s="35">
        <f>IFERROR((tbl_TubeLaser[[#This Row],[Adj. Total Hours]]+tbl_TubeLaser[[#This Row],[Est. Hours]])/(tbl_TubeLaser[[#This Row],[Total Hours Act]]+tbl_TubeLaser[[#This Row],[Act. Hours]]),"")</f>
        <v>0.37572254335260119</v>
      </c>
      <c r="Y70" s="102">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0.37572254335260119</v>
      </c>
      <c r="Z70" s="104">
        <f>IFERROR(tbl_TubeLaser[[#This Row],[Act. Mat. Qty]]-tbl_TubeLaser[[#This Row],[Adj. Mat. Qty]],"")</f>
        <v>0</v>
      </c>
      <c r="AA70" s="105">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0</v>
      </c>
      <c r="AB70" s="28" t="s">
        <v>160</v>
      </c>
      <c r="AC70" s="31" t="s">
        <v>161</v>
      </c>
      <c r="AD70" s="36"/>
    </row>
    <row r="71" spans="1:30" ht="25" customHeight="1">
      <c r="A71" s="27">
        <v>46126</v>
      </c>
      <c r="B71" s="28">
        <v>143262</v>
      </c>
      <c r="C71" s="28" t="str">
        <f>IF(tbl_TubeLaser[[#This Row],[Part'#]]="", "Batch", "Part")</f>
        <v>Part</v>
      </c>
      <c r="D71" s="28" t="s">
        <v>165</v>
      </c>
      <c r="E71" s="29">
        <v>0.1388888888888889</v>
      </c>
      <c r="F71" s="29">
        <v>0.18680555555555556</v>
      </c>
      <c r="G71" s="28">
        <v>20</v>
      </c>
      <c r="H71" s="28">
        <v>6</v>
      </c>
      <c r="I71" s="70">
        <f>tbl_TubeLaser[[#This Row],[Qty Complete]]/tbl_TubeLaser[[#This Row],[Qty Required]]</f>
        <v>0.3</v>
      </c>
      <c r="J71" s="30">
        <v>24</v>
      </c>
      <c r="K71" s="28">
        <v>1</v>
      </c>
      <c r="L71" s="31">
        <f>IF(tbl_TubeLaser[[#This Row],[Job Type]]="Batch",0,tbl_TubeLaser[[#This Row],[Qty Required]]/tbl_TubeLaser[[#This Row],[PPH]]*tbl_TubeLaser[[#This Row],['# of men]])</f>
        <v>0.83333333333333337</v>
      </c>
      <c r="M71" s="31">
        <f>IF(tbl_TubeLaser[[#This Row],[Job Type]]="Batch",tbl_TubeLaser[[#This Row],[Batch Hours]]*tbl_TubeLaser[[#This Row],[% Complete]],tbl_TubeLaser[[#This Row],[Total hours]]*tbl_TubeLaser[[#This Row],[% Complete]])</f>
        <v>0.25</v>
      </c>
      <c r="N71" s="31"/>
      <c r="O71" s="28" t="s">
        <v>91</v>
      </c>
      <c r="P71" s="28">
        <f>tbl_TubeLaser[[#This Row],[Mat. Qty]]*tbl_TubeLaser[[#This Row],[% Complete]]</f>
        <v>3</v>
      </c>
      <c r="Q71" s="28">
        <v>10</v>
      </c>
      <c r="R71" s="32">
        <f>IFERROR(tbl_TubeLaser[[#This Row],[Qty Complete]]/tbl_TubeLaser[[#This Row],[Total Hours Act]]*tbl_TubeLaser[[#This Row],['# of men Act]],"")</f>
        <v>5.2173913043478262</v>
      </c>
      <c r="S71" s="28">
        <v>1</v>
      </c>
      <c r="T71"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1.1499999999999999</v>
      </c>
      <c r="U71" s="34">
        <v>3</v>
      </c>
      <c r="V71" s="33">
        <v>0.5</v>
      </c>
      <c r="W71" s="33">
        <v>0.25</v>
      </c>
      <c r="X71" s="35">
        <f>IFERROR((tbl_TubeLaser[[#This Row],[Adj. Total Hours]]+tbl_TubeLaser[[#This Row],[Est. Hours]])/(tbl_TubeLaser[[#This Row],[Total Hours Act]]+tbl_TubeLaser[[#This Row],[Act. Hours]]),"")</f>
        <v>0.5357142857142857</v>
      </c>
      <c r="Y71"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71" s="104">
        <f>IFERROR(tbl_TubeLaser[[#This Row],[Act. Mat. Qty]]-tbl_TubeLaser[[#This Row],[Adj. Mat. Qty]],"")</f>
        <v>0</v>
      </c>
      <c r="AA71"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B71" s="28" t="s">
        <v>160</v>
      </c>
      <c r="AC71" s="31" t="s">
        <v>161</v>
      </c>
      <c r="AD71" s="36"/>
    </row>
    <row r="72" spans="1:30" ht="25" customHeight="1">
      <c r="A72" s="27">
        <v>46127</v>
      </c>
      <c r="B72" s="28">
        <v>143262</v>
      </c>
      <c r="C72" s="28" t="str">
        <f>IF(tbl_TubeLaser[[#This Row],[Part'#]]="", "Batch", "Part")</f>
        <v>Part</v>
      </c>
      <c r="D72" s="28" t="s">
        <v>165</v>
      </c>
      <c r="E72" s="29">
        <v>0.23194444444444445</v>
      </c>
      <c r="F72" s="29">
        <v>0.3034722222222222</v>
      </c>
      <c r="G72" s="28">
        <v>20</v>
      </c>
      <c r="H72" s="28">
        <v>14</v>
      </c>
      <c r="I72" s="70">
        <f>tbl_TubeLaser[[#This Row],[Qty Complete]]/tbl_TubeLaser[[#This Row],[Qty Required]]</f>
        <v>0.7</v>
      </c>
      <c r="J72" s="30">
        <v>24</v>
      </c>
      <c r="K72" s="28">
        <v>1</v>
      </c>
      <c r="L72" s="31">
        <f>IF(tbl_TubeLaser[[#This Row],[Job Type]]="Batch",0,tbl_TubeLaser[[#This Row],[Qty Required]]/tbl_TubeLaser[[#This Row],[PPH]]*tbl_TubeLaser[[#This Row],['# of men]])</f>
        <v>0.83333333333333337</v>
      </c>
      <c r="M72" s="31">
        <f>IF(tbl_TubeLaser[[#This Row],[Job Type]]="Batch",tbl_TubeLaser[[#This Row],[Batch Hours]]*tbl_TubeLaser[[#This Row],[% Complete]],tbl_TubeLaser[[#This Row],[Total hours]]*tbl_TubeLaser[[#This Row],[% Complete]])</f>
        <v>0.58333333333333337</v>
      </c>
      <c r="N72" s="31"/>
      <c r="O72" s="28" t="s">
        <v>91</v>
      </c>
      <c r="P72" s="28">
        <f>tbl_TubeLaser[[#This Row],[Mat. Qty]]*tbl_TubeLaser[[#This Row],[% Complete]]</f>
        <v>7</v>
      </c>
      <c r="Q72" s="28">
        <v>10</v>
      </c>
      <c r="R72" s="32">
        <f>IFERROR(tbl_TubeLaser[[#This Row],[Qty Complete]]/tbl_TubeLaser[[#This Row],[Total Hours Act]]*tbl_TubeLaser[[#This Row],['# of men Act]],"")</f>
        <v>8.1553398058252462</v>
      </c>
      <c r="S72" s="28">
        <v>1</v>
      </c>
      <c r="T72"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1.7166666666666659</v>
      </c>
      <c r="U72" s="34">
        <v>7</v>
      </c>
      <c r="V72" s="33">
        <v>0.51</v>
      </c>
      <c r="W72" s="33">
        <v>0.27</v>
      </c>
      <c r="X72" s="35">
        <f>IFERROR((tbl_TubeLaser[[#This Row],[Adj. Total Hours]]+tbl_TubeLaser[[#This Row],[Est. Hours]])/(tbl_TubeLaser[[#This Row],[Total Hours Act]]+tbl_TubeLaser[[#This Row],[Act. Hours]]),"")</f>
        <v>0.55033557046979886</v>
      </c>
      <c r="Y72" s="102">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0.54429133858267731</v>
      </c>
      <c r="Z72" s="104">
        <f>IFERROR(tbl_TubeLaser[[#This Row],[Act. Mat. Qty]]-tbl_TubeLaser[[#This Row],[Adj. Mat. Qty]],"")</f>
        <v>0</v>
      </c>
      <c r="AA72" s="105">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0</v>
      </c>
      <c r="AB72" s="28" t="s">
        <v>166</v>
      </c>
      <c r="AC72" s="31" t="s">
        <v>49</v>
      </c>
      <c r="AD72" s="36"/>
    </row>
    <row r="73" spans="1:30" ht="25" customHeight="1">
      <c r="A73" s="27">
        <v>46127</v>
      </c>
      <c r="B73" s="28">
        <v>143266</v>
      </c>
      <c r="C73" s="28" t="str">
        <f>IF(tbl_TubeLaser[[#This Row],[Part'#]]="", "Batch", "Part")</f>
        <v>Part</v>
      </c>
      <c r="D73" s="28" t="s">
        <v>90</v>
      </c>
      <c r="E73" s="29">
        <v>0.31597222222222221</v>
      </c>
      <c r="F73" s="29">
        <v>0.33333333333333331</v>
      </c>
      <c r="G73" s="28">
        <v>10</v>
      </c>
      <c r="H73" s="28">
        <v>10</v>
      </c>
      <c r="I73" s="70">
        <f>tbl_TubeLaser[[#This Row],[Qty Complete]]/tbl_TubeLaser[[#This Row],[Qty Required]]</f>
        <v>1</v>
      </c>
      <c r="J73" s="30">
        <v>36</v>
      </c>
      <c r="K73" s="28">
        <v>1</v>
      </c>
      <c r="L73" s="31">
        <f>IF(tbl_TubeLaser[[#This Row],[Job Type]]="Batch",0,tbl_TubeLaser[[#This Row],[Qty Required]]/tbl_TubeLaser[[#This Row],[PPH]]*tbl_TubeLaser[[#This Row],['# of men]])</f>
        <v>0.27777777777777779</v>
      </c>
      <c r="M73" s="31">
        <f>IF(tbl_TubeLaser[[#This Row],[Job Type]]="Batch",tbl_TubeLaser[[#This Row],[Batch Hours]]*tbl_TubeLaser[[#This Row],[% Complete]],tbl_TubeLaser[[#This Row],[Total hours]]*tbl_TubeLaser[[#This Row],[% Complete]])</f>
        <v>0.27777777777777779</v>
      </c>
      <c r="N73" s="31"/>
      <c r="O73" s="28" t="s">
        <v>91</v>
      </c>
      <c r="P73" s="28">
        <f>tbl_TubeLaser[[#This Row],[Mat. Qty]]*tbl_TubeLaser[[#This Row],[% Complete]]</f>
        <v>1</v>
      </c>
      <c r="Q73" s="28">
        <v>1</v>
      </c>
      <c r="R73" s="32">
        <f>IFERROR(tbl_TubeLaser[[#This Row],[Qty Complete]]/tbl_TubeLaser[[#This Row],[Total Hours Act]]*tbl_TubeLaser[[#This Row],['# of men Act]],"")</f>
        <v>24.000000000000007</v>
      </c>
      <c r="S73" s="28">
        <v>1</v>
      </c>
      <c r="T73"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0.41666666666666652</v>
      </c>
      <c r="U73" s="34">
        <v>1</v>
      </c>
      <c r="V73" s="33">
        <v>0.5</v>
      </c>
      <c r="W73" s="33">
        <v>0.25</v>
      </c>
      <c r="X73" s="35">
        <f>IFERROR((tbl_TubeLaser[[#This Row],[Adj. Total Hours]]+tbl_TubeLaser[[#This Row],[Est. Hours]])/(tbl_TubeLaser[[#This Row],[Total Hours Act]]+tbl_TubeLaser[[#This Row],[Act. Hours]]),"")</f>
        <v>1.166666666666667</v>
      </c>
      <c r="Y73" s="102">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1.166666666666667</v>
      </c>
      <c r="Z73" s="104">
        <f>IFERROR(tbl_TubeLaser[[#This Row],[Act. Mat. Qty]]-tbl_TubeLaser[[#This Row],[Adj. Mat. Qty]],"")</f>
        <v>0</v>
      </c>
      <c r="AA73" s="105">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0</v>
      </c>
      <c r="AC73" s="31" t="s">
        <v>49</v>
      </c>
      <c r="AD73" s="36"/>
    </row>
    <row r="74" spans="1:30" ht="25" customHeight="1">
      <c r="A74" s="27">
        <v>46127</v>
      </c>
      <c r="B74" s="28" t="s">
        <v>167</v>
      </c>
      <c r="C74" s="28" t="str">
        <f>IF(tbl_TubeLaser[[#This Row],[Part'#]]="", "Batch", "Part")</f>
        <v>Part</v>
      </c>
      <c r="D74" s="28" t="s">
        <v>168</v>
      </c>
      <c r="E74" s="29">
        <v>0.48888888888888887</v>
      </c>
      <c r="F74" s="29">
        <v>0.48958333333333331</v>
      </c>
      <c r="G74" s="28">
        <v>25</v>
      </c>
      <c r="H74" s="28">
        <v>2</v>
      </c>
      <c r="I74" s="70">
        <f>tbl_TubeLaser[[#This Row],[Qty Complete]]/tbl_TubeLaser[[#This Row],[Qty Required]]</f>
        <v>0.08</v>
      </c>
      <c r="J74" s="30">
        <v>12</v>
      </c>
      <c r="K74" s="28">
        <v>1</v>
      </c>
      <c r="L74" s="31">
        <f>IF(tbl_TubeLaser[[#This Row],[Job Type]]="Batch",0,tbl_TubeLaser[[#This Row],[Qty Required]]/tbl_TubeLaser[[#This Row],[PPH]]*tbl_TubeLaser[[#This Row],['# of men]])</f>
        <v>2.0833333333333335</v>
      </c>
      <c r="M74" s="31">
        <f>IF(tbl_TubeLaser[[#This Row],[Job Type]]="Batch",tbl_TubeLaser[[#This Row],[Batch Hours]]*tbl_TubeLaser[[#This Row],[% Complete]],tbl_TubeLaser[[#This Row],[Total hours]]*tbl_TubeLaser[[#This Row],[% Complete]])</f>
        <v>0.16666666666666669</v>
      </c>
      <c r="N74" s="31"/>
      <c r="O74" s="28" t="s">
        <v>169</v>
      </c>
      <c r="P74" s="28">
        <f>tbl_TubeLaser[[#This Row],[Mat. Qty]]*tbl_TubeLaser[[#This Row],[% Complete]]</f>
        <v>0.96</v>
      </c>
      <c r="Q74" s="28">
        <v>12</v>
      </c>
      <c r="R74" s="32">
        <f>IFERROR(tbl_TubeLaser[[#This Row],[Qty Complete]]/tbl_TubeLaser[[#This Row],[Total Hours Act]]*tbl_TubeLaser[[#This Row],['# of men Act]],"")</f>
        <v>120.00000000000043</v>
      </c>
      <c r="S74" s="28">
        <v>1</v>
      </c>
      <c r="T74"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1.6666666666666607E-2</v>
      </c>
      <c r="U74" s="34">
        <v>1</v>
      </c>
      <c r="V74" s="33">
        <v>0.5</v>
      </c>
      <c r="W74" s="33">
        <v>0.43</v>
      </c>
      <c r="X74" s="35">
        <f>IFERROR((tbl_TubeLaser[[#This Row],[Adj. Total Hours]]+tbl_TubeLaser[[#This Row],[Est. Hours]])/(tbl_TubeLaser[[#This Row],[Total Hours Act]]+tbl_TubeLaser[[#This Row],[Act. Hours]]),"")</f>
        <v>1.4925373134328361</v>
      </c>
      <c r="Y74"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74" s="104">
        <f>IFERROR(tbl_TubeLaser[[#This Row],[Act. Mat. Qty]]-tbl_TubeLaser[[#This Row],[Adj. Mat. Qty]],"")</f>
        <v>4.0000000000000036E-2</v>
      </c>
      <c r="AA74"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74" s="31" t="s">
        <v>49</v>
      </c>
      <c r="AD74" s="36"/>
    </row>
    <row r="75" spans="1:30" ht="25" customHeight="1">
      <c r="A75" s="27">
        <v>46127</v>
      </c>
      <c r="B75" s="28" t="s">
        <v>132</v>
      </c>
      <c r="C75" s="28" t="str">
        <f>IF(tbl_TubeLaser[[#This Row],[Part'#]]="", "Batch", "Part")</f>
        <v>Part</v>
      </c>
      <c r="D75" s="28" t="s">
        <v>133</v>
      </c>
      <c r="E75" s="29">
        <v>0.23819444444444443</v>
      </c>
      <c r="F75" s="29">
        <v>0.27013888888888887</v>
      </c>
      <c r="G75" s="28">
        <v>84</v>
      </c>
      <c r="H75" s="28">
        <v>12</v>
      </c>
      <c r="I75" s="70">
        <f>tbl_TubeLaser[[#This Row],[Qty Complete]]/tbl_TubeLaser[[#This Row],[Qty Required]]</f>
        <v>0.14285714285714285</v>
      </c>
      <c r="J75" s="30">
        <v>12</v>
      </c>
      <c r="K75" s="28">
        <v>1</v>
      </c>
      <c r="L75" s="31">
        <f>IF(tbl_TubeLaser[[#This Row],[Job Type]]="Batch",0,tbl_TubeLaser[[#This Row],[Qty Required]]/tbl_TubeLaser[[#This Row],[PPH]]*tbl_TubeLaser[[#This Row],['# of men]])</f>
        <v>7</v>
      </c>
      <c r="M75" s="31">
        <f>IF(tbl_TubeLaser[[#This Row],[Job Type]]="Batch",tbl_TubeLaser[[#This Row],[Batch Hours]]*tbl_TubeLaser[[#This Row],[% Complete]],tbl_TubeLaser[[#This Row],[Total hours]]*tbl_TubeLaser[[#This Row],[% Complete]])</f>
        <v>1</v>
      </c>
      <c r="N75" s="31"/>
      <c r="O75" s="28" t="s">
        <v>134</v>
      </c>
      <c r="P75" s="28">
        <f>tbl_TubeLaser[[#This Row],[Mat. Qty]]*tbl_TubeLaser[[#This Row],[% Complete]]</f>
        <v>3</v>
      </c>
      <c r="Q75" s="28">
        <v>21</v>
      </c>
      <c r="R75" s="32">
        <f>IFERROR(tbl_TubeLaser[[#This Row],[Qty Complete]]/tbl_TubeLaser[[#This Row],[Total Hours Act]]*tbl_TubeLaser[[#This Row],['# of men Act]],"")</f>
        <v>15.65217391304348</v>
      </c>
      <c r="S75" s="28">
        <v>1</v>
      </c>
      <c r="T75"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0.76666666666666661</v>
      </c>
      <c r="U75" s="34">
        <v>3</v>
      </c>
      <c r="V75" s="33">
        <v>0.5</v>
      </c>
      <c r="W75" s="33">
        <v>0.57999999999999996</v>
      </c>
      <c r="X75" s="35">
        <f>IFERROR((tbl_TubeLaser[[#This Row],[Adj. Total Hours]]+tbl_TubeLaser[[#This Row],[Est. Hours]])/(tbl_TubeLaser[[#This Row],[Total Hours Act]]+tbl_TubeLaser[[#This Row],[Act. Hours]]),"")</f>
        <v>1.113861386138614</v>
      </c>
      <c r="Y75" s="102">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1.0996119016817594</v>
      </c>
      <c r="Z75" s="104">
        <f>IFERROR(tbl_TubeLaser[[#This Row],[Act. Mat. Qty]]-tbl_TubeLaser[[#This Row],[Adj. Mat. Qty]],"")</f>
        <v>0</v>
      </c>
      <c r="AA75" s="105">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-8</v>
      </c>
      <c r="AC75" s="31" t="s">
        <v>38</v>
      </c>
      <c r="AD75" s="36"/>
    </row>
    <row r="76" spans="1:30" ht="25" customHeight="1">
      <c r="A76" s="27">
        <v>46127</v>
      </c>
      <c r="B76" s="28" t="s">
        <v>170</v>
      </c>
      <c r="C76" s="28" t="str">
        <f>IF(tbl_TubeLaser[[#This Row],[Part'#]]="", "Batch", "Part")</f>
        <v>Part</v>
      </c>
      <c r="D76" s="28" t="s">
        <v>171</v>
      </c>
      <c r="E76" s="29">
        <v>0.45833333333333331</v>
      </c>
      <c r="F76" s="29">
        <v>0.68472222222222223</v>
      </c>
      <c r="G76" s="28">
        <v>166</v>
      </c>
      <c r="H76" s="28">
        <v>90</v>
      </c>
      <c r="I76" s="70">
        <f>tbl_TubeLaser[[#This Row],[Qty Complete]]/tbl_TubeLaser[[#This Row],[Qty Required]]</f>
        <v>0.54216867469879515</v>
      </c>
      <c r="J76" s="30">
        <v>18</v>
      </c>
      <c r="K76" s="28">
        <v>1</v>
      </c>
      <c r="L76" s="31">
        <f>IF(tbl_TubeLaser[[#This Row],[Job Type]]="Batch",0,tbl_TubeLaser[[#This Row],[Qty Required]]/tbl_TubeLaser[[#This Row],[PPH]]*tbl_TubeLaser[[#This Row],['# of men]])</f>
        <v>9.2222222222222214</v>
      </c>
      <c r="M76" s="31">
        <f>IF(tbl_TubeLaser[[#This Row],[Job Type]]="Batch",tbl_TubeLaser[[#This Row],[Batch Hours]]*tbl_TubeLaser[[#This Row],[% Complete]],tbl_TubeLaser[[#This Row],[Total hours]]*tbl_TubeLaser[[#This Row],[% Complete]])</f>
        <v>4.9999999999999991</v>
      </c>
      <c r="N76" s="31"/>
      <c r="O76" s="28" t="s">
        <v>172</v>
      </c>
      <c r="P76" s="28">
        <f>tbl_TubeLaser[[#This Row],[Mat. Qty]]*tbl_TubeLaser[[#This Row],[% Complete]]</f>
        <v>22.771084337349397</v>
      </c>
      <c r="Q76" s="28">
        <v>42</v>
      </c>
      <c r="R76" s="32">
        <f>IFERROR(tbl_TubeLaser[[#This Row],[Qty Complete]]/tbl_TubeLaser[[#This Row],[Total Hours Act]]*tbl_TubeLaser[[#This Row],['# of men Act]],"")</f>
        <v>18.243243243243242</v>
      </c>
      <c r="S76" s="28">
        <v>1</v>
      </c>
      <c r="T76"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4.9333333333333336</v>
      </c>
      <c r="U76" s="34">
        <v>21</v>
      </c>
      <c r="V76" s="33">
        <v>0.5</v>
      </c>
      <c r="W76" s="33">
        <v>4.47</v>
      </c>
      <c r="X76" s="35">
        <f>IFERROR((tbl_TubeLaser[[#This Row],[Adj. Total Hours]]+tbl_TubeLaser[[#This Row],[Est. Hours]])/(tbl_TubeLaser[[#This Row],[Total Hours Act]]+tbl_TubeLaser[[#This Row],[Act. Hours]]),"")</f>
        <v>0.58489897199574614</v>
      </c>
      <c r="Y76"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76" s="104">
        <f>IFERROR(tbl_TubeLaser[[#This Row],[Act. Mat. Qty]]-tbl_TubeLaser[[#This Row],[Adj. Mat. Qty]],"")</f>
        <v>-1.7710843373493965</v>
      </c>
      <c r="AA76"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B76" s="28" t="s">
        <v>173</v>
      </c>
      <c r="AC76" s="31" t="s">
        <v>38</v>
      </c>
      <c r="AD76" s="36"/>
    </row>
    <row r="77" spans="1:30" ht="25" customHeight="1">
      <c r="A77" s="27">
        <v>46127</v>
      </c>
      <c r="B77" s="28">
        <v>143265</v>
      </c>
      <c r="C77" s="28" t="str">
        <f>IF(tbl_TubeLaser[[#This Row],[Part'#]]="", "Batch", "Part")</f>
        <v>Part</v>
      </c>
      <c r="D77" s="28" t="s">
        <v>88</v>
      </c>
      <c r="E77" s="29">
        <v>0.61527777777777781</v>
      </c>
      <c r="F77" s="29">
        <v>0.65138888888888891</v>
      </c>
      <c r="G77" s="28">
        <v>42</v>
      </c>
      <c r="H77" s="28">
        <v>36</v>
      </c>
      <c r="I77" s="70">
        <f>tbl_TubeLaser[[#This Row],[Qty Complete]]/tbl_TubeLaser[[#This Row],[Qty Required]]</f>
        <v>0.8571428571428571</v>
      </c>
      <c r="J77" s="30">
        <v>36</v>
      </c>
      <c r="K77" s="28">
        <v>1</v>
      </c>
      <c r="L77" s="31">
        <f>IF(tbl_TubeLaser[[#This Row],[Job Type]]="Batch",0,tbl_TubeLaser[[#This Row],[Qty Required]]/tbl_TubeLaser[[#This Row],[PPH]]*tbl_TubeLaser[[#This Row],['# of men]])</f>
        <v>1.1666666666666667</v>
      </c>
      <c r="M77" s="31">
        <f>IF(tbl_TubeLaser[[#This Row],[Job Type]]="Batch",tbl_TubeLaser[[#This Row],[Batch Hours]]*tbl_TubeLaser[[#This Row],[% Complete]],tbl_TubeLaser[[#This Row],[Total hours]]*tbl_TubeLaser[[#This Row],[% Complete]])</f>
        <v>1</v>
      </c>
      <c r="N77" s="31"/>
      <c r="O77" s="28" t="s">
        <v>91</v>
      </c>
      <c r="P77" s="28">
        <f>tbl_TubeLaser[[#This Row],[Mat. Qty]]*tbl_TubeLaser[[#This Row],[% Complete]]</f>
        <v>18</v>
      </c>
      <c r="Q77" s="28">
        <v>21</v>
      </c>
      <c r="R77" s="32">
        <f>IFERROR(tbl_TubeLaser[[#This Row],[Qty Complete]]/tbl_TubeLaser[[#This Row],[Total Hours Act]]*tbl_TubeLaser[[#This Row],['# of men Act]],"")</f>
        <v>41.538461538461561</v>
      </c>
      <c r="S77" s="28">
        <v>1</v>
      </c>
      <c r="T77"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0.86666666666666625</v>
      </c>
      <c r="U77" s="34">
        <v>9</v>
      </c>
      <c r="V77" s="33">
        <v>0.51</v>
      </c>
      <c r="W77" s="33">
        <v>0.4</v>
      </c>
      <c r="X77" s="35">
        <f>IFERROR((tbl_TubeLaser[[#This Row],[Adj. Total Hours]]+tbl_TubeLaser[[#This Row],[Est. Hours]])/(tbl_TubeLaser[[#This Row],[Total Hours Act]]+tbl_TubeLaser[[#This Row],[Act. Hours]]),"")</f>
        <v>1.1921052631578952</v>
      </c>
      <c r="Y77"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77" s="104">
        <f>IFERROR(tbl_TubeLaser[[#This Row],[Act. Mat. Qty]]-tbl_TubeLaser[[#This Row],[Adj. Mat. Qty]],"")</f>
        <v>-9</v>
      </c>
      <c r="AA77"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77" s="31" t="s">
        <v>49</v>
      </c>
      <c r="AD77" s="36"/>
    </row>
    <row r="78" spans="1:30" ht="25" customHeight="1">
      <c r="A78" s="27">
        <v>46127</v>
      </c>
      <c r="B78" s="28">
        <v>143264</v>
      </c>
      <c r="C78" s="28" t="str">
        <f>IF(tbl_TubeLaser[[#This Row],[Part'#]]="", "Batch", "Part")</f>
        <v>Part</v>
      </c>
      <c r="D78" s="28" t="s">
        <v>86</v>
      </c>
      <c r="E78" s="29">
        <v>0.65138888888888891</v>
      </c>
      <c r="F78" s="29">
        <v>0.68819444444444444</v>
      </c>
      <c r="G78" s="28">
        <v>203</v>
      </c>
      <c r="H78" s="28">
        <v>36</v>
      </c>
      <c r="I78" s="70">
        <f>tbl_TubeLaser[[#This Row],[Qty Complete]]/tbl_TubeLaser[[#This Row],[Qty Required]]</f>
        <v>0.17733990147783252</v>
      </c>
      <c r="J78" s="30">
        <v>36</v>
      </c>
      <c r="K78" s="28">
        <v>1</v>
      </c>
      <c r="L78" s="31">
        <f>IF(tbl_TubeLaser[[#This Row],[Job Type]]="Batch",0,tbl_TubeLaser[[#This Row],[Qty Required]]/tbl_TubeLaser[[#This Row],[PPH]]*tbl_TubeLaser[[#This Row],['# of men]])</f>
        <v>5.6388888888888893</v>
      </c>
      <c r="M78" s="31">
        <f>IF(tbl_TubeLaser[[#This Row],[Job Type]]="Batch",tbl_TubeLaser[[#This Row],[Batch Hours]]*tbl_TubeLaser[[#This Row],[% Complete]],tbl_TubeLaser[[#This Row],[Total hours]]*tbl_TubeLaser[[#This Row],[% Complete]])</f>
        <v>1</v>
      </c>
      <c r="N78" s="31"/>
      <c r="O78" s="28" t="s">
        <v>91</v>
      </c>
      <c r="P78" s="28">
        <f>tbl_TubeLaser[[#This Row],[Mat. Qty]]*tbl_TubeLaser[[#This Row],[% Complete]]</f>
        <v>5.1428571428571432</v>
      </c>
      <c r="Q78" s="28">
        <v>29</v>
      </c>
      <c r="R78" s="32">
        <f>IFERROR(tbl_TubeLaser[[#This Row],[Qty Complete]]/tbl_TubeLaser[[#This Row],[Total Hours Act]]*tbl_TubeLaser[[#This Row],['# of men Act]],"")</f>
        <v>40.754716981132098</v>
      </c>
      <c r="S78" s="28">
        <v>1</v>
      </c>
      <c r="T78"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0.88333333333333286</v>
      </c>
      <c r="U78" s="34">
        <v>9</v>
      </c>
      <c r="V78" s="33">
        <v>0.5</v>
      </c>
      <c r="W78" s="33">
        <v>0.13</v>
      </c>
      <c r="X78" s="35">
        <f>IFERROR((tbl_TubeLaser[[#This Row],[Adj. Total Hours]]+tbl_TubeLaser[[#This Row],[Est. Hours]])/(tbl_TubeLaser[[#This Row],[Total Hours Act]]+tbl_TubeLaser[[#This Row],[Act. Hours]]),"")</f>
        <v>1.4802631578947376</v>
      </c>
      <c r="Y78"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78" s="104">
        <f>IFERROR(tbl_TubeLaser[[#This Row],[Act. Mat. Qty]]-tbl_TubeLaser[[#This Row],[Adj. Mat. Qty]],"")</f>
        <v>3.8571428571428568</v>
      </c>
      <c r="AA78"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78" s="31" t="s">
        <v>49</v>
      </c>
      <c r="AD78" s="36"/>
    </row>
    <row r="79" spans="1:30" ht="25" customHeight="1">
      <c r="A79" s="27">
        <v>46127</v>
      </c>
      <c r="B79" s="28" t="s">
        <v>170</v>
      </c>
      <c r="C79" s="28" t="str">
        <f>IF(tbl_TubeLaser[[#This Row],[Part'#]]="", "Batch", "Part")</f>
        <v>Part</v>
      </c>
      <c r="D79" s="28" t="s">
        <v>171</v>
      </c>
      <c r="E79" s="29">
        <v>0.74444444444444446</v>
      </c>
      <c r="F79" s="29">
        <v>0.89027777777777772</v>
      </c>
      <c r="G79" s="28">
        <v>166</v>
      </c>
      <c r="H79" s="28">
        <v>76</v>
      </c>
      <c r="I79" s="70">
        <f>tbl_TubeLaser[[#This Row],[Qty Complete]]/tbl_TubeLaser[[#This Row],[Qty Required]]</f>
        <v>0.45783132530120479</v>
      </c>
      <c r="J79" s="30">
        <v>18</v>
      </c>
      <c r="K79" s="28">
        <v>1</v>
      </c>
      <c r="L79" s="31">
        <f>IF(tbl_TubeLaser[[#This Row],[Job Type]]="Batch",0,tbl_TubeLaser[[#This Row],[Qty Required]]/tbl_TubeLaser[[#This Row],[PPH]]*tbl_TubeLaser[[#This Row],['# of men]])</f>
        <v>9.2222222222222214</v>
      </c>
      <c r="M79" s="31">
        <f>IF(tbl_TubeLaser[[#This Row],[Job Type]]="Batch",tbl_TubeLaser[[#This Row],[Batch Hours]]*tbl_TubeLaser[[#This Row],[% Complete]],tbl_TubeLaser[[#This Row],[Total hours]]*tbl_TubeLaser[[#This Row],[% Complete]])</f>
        <v>4.2222222222222214</v>
      </c>
      <c r="N79" s="31"/>
      <c r="O79" s="28" t="s">
        <v>172</v>
      </c>
      <c r="P79" s="28">
        <f>tbl_TubeLaser[[#This Row],[Mat. Qty]]*tbl_TubeLaser[[#This Row],[% Complete]]</f>
        <v>19.2289156626506</v>
      </c>
      <c r="Q79" s="28">
        <v>42</v>
      </c>
      <c r="R79" s="32">
        <f>IFERROR(tbl_TubeLaser[[#This Row],[Qty Complete]]/tbl_TubeLaser[[#This Row],[Total Hours Act]]*tbl_TubeLaser[[#This Row],['# of men Act]],"")</f>
        <v>21.714285714285726</v>
      </c>
      <c r="S79" s="28">
        <v>1</v>
      </c>
      <c r="T79"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3.4999999999999982</v>
      </c>
      <c r="U79" s="34">
        <v>26</v>
      </c>
      <c r="V79" s="33">
        <v>0.5</v>
      </c>
      <c r="W79" s="33">
        <v>1</v>
      </c>
      <c r="X79" s="35">
        <f>IFERROR((tbl_TubeLaser[[#This Row],[Adj. Total Hours]]+tbl_TubeLaser[[#This Row],[Est. Hours]])/(tbl_TubeLaser[[#This Row],[Total Hours Act]]+tbl_TubeLaser[[#This Row],[Act. Hours]]),"")</f>
        <v>1.0493827160493829</v>
      </c>
      <c r="Y79" s="102">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0.73523535523056016</v>
      </c>
      <c r="Z79" s="104">
        <f>IFERROR(tbl_TubeLaser[[#This Row],[Act. Mat. Qty]]-tbl_TubeLaser[[#This Row],[Adj. Mat. Qty]],"")</f>
        <v>6.7710843373494001</v>
      </c>
      <c r="AA79" s="105">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5</v>
      </c>
      <c r="AC79" s="31" t="s">
        <v>174</v>
      </c>
      <c r="AD79" s="36"/>
    </row>
    <row r="80" spans="1:30" ht="25" customHeight="1">
      <c r="A80" s="27">
        <v>46127</v>
      </c>
      <c r="B80" s="28" t="s">
        <v>175</v>
      </c>
      <c r="C80" s="28" t="str">
        <f>IF(tbl_TubeLaser[[#This Row],[Part'#]]="", "Batch", "Part")</f>
        <v>Part</v>
      </c>
      <c r="D80" s="28" t="s">
        <v>176</v>
      </c>
      <c r="E80" s="29">
        <v>0.92222222222222228</v>
      </c>
      <c r="F80" s="29">
        <v>5.2777777777777778E-2</v>
      </c>
      <c r="G80" s="28">
        <v>83</v>
      </c>
      <c r="H80" s="28">
        <v>83</v>
      </c>
      <c r="I80" s="70">
        <f>tbl_TubeLaser[[#This Row],[Qty Complete]]/tbl_TubeLaser[[#This Row],[Qty Required]]</f>
        <v>1</v>
      </c>
      <c r="J80" s="30">
        <v>18</v>
      </c>
      <c r="K80" s="28">
        <v>1</v>
      </c>
      <c r="L80" s="31">
        <f>IF(tbl_TubeLaser[[#This Row],[Job Type]]="Batch",0,tbl_TubeLaser[[#This Row],[Qty Required]]/tbl_TubeLaser[[#This Row],[PPH]]*tbl_TubeLaser[[#This Row],['# of men]])</f>
        <v>4.6111111111111107</v>
      </c>
      <c r="M80" s="31">
        <f>IF(tbl_TubeLaser[[#This Row],[Job Type]]="Batch",tbl_TubeLaser[[#This Row],[Batch Hours]]*tbl_TubeLaser[[#This Row],[% Complete]],tbl_TubeLaser[[#This Row],[Total hours]]*tbl_TubeLaser[[#This Row],[% Complete]])</f>
        <v>4.6111111111111107</v>
      </c>
      <c r="N80" s="31"/>
      <c r="O80" s="28" t="s">
        <v>172</v>
      </c>
      <c r="P80" s="28">
        <f>tbl_TubeLaser[[#This Row],[Mat. Qty]]*tbl_TubeLaser[[#This Row],[% Complete]]</f>
        <v>17</v>
      </c>
      <c r="Q80" s="28">
        <v>17</v>
      </c>
      <c r="R80" s="32">
        <f>IFERROR(tbl_TubeLaser[[#This Row],[Qty Complete]]/tbl_TubeLaser[[#This Row],[Total Hours Act]]*tbl_TubeLaser[[#This Row],['# of men Act]],"")</f>
        <v>31.518987341772156</v>
      </c>
      <c r="S80" s="28">
        <v>1</v>
      </c>
      <c r="T80"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2.6333333333333329</v>
      </c>
      <c r="U80" s="34">
        <v>83</v>
      </c>
      <c r="V80" s="33">
        <v>0.5</v>
      </c>
      <c r="W80" s="33">
        <v>0.5</v>
      </c>
      <c r="X80" s="35">
        <f>IFERROR((tbl_TubeLaser[[#This Row],[Adj. Total Hours]]+tbl_TubeLaser[[#This Row],[Est. Hours]])/(tbl_TubeLaser[[#This Row],[Total Hours Act]]+tbl_TubeLaser[[#This Row],[Act. Hours]]),"")</f>
        <v>1.6312056737588654</v>
      </c>
      <c r="Y80" s="102">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1.6312056737588654</v>
      </c>
      <c r="Z80" s="104">
        <f>IFERROR(tbl_TubeLaser[[#This Row],[Act. Mat. Qty]]-tbl_TubeLaser[[#This Row],[Adj. Mat. Qty]],"")</f>
        <v>66</v>
      </c>
      <c r="AA80" s="105">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66</v>
      </c>
      <c r="AC80" s="31" t="s">
        <v>174</v>
      </c>
      <c r="AD80" s="36"/>
    </row>
    <row r="81" spans="1:30" ht="25" customHeight="1">
      <c r="A81" s="27">
        <v>46127</v>
      </c>
      <c r="B81" s="28">
        <v>143265</v>
      </c>
      <c r="C81" s="28" t="str">
        <f>IF(tbl_TubeLaser[[#This Row],[Part'#]]="", "Batch", "Part")</f>
        <v>Part</v>
      </c>
      <c r="D81" s="28" t="s">
        <v>88</v>
      </c>
      <c r="E81" s="29">
        <v>0.70486111111111116</v>
      </c>
      <c r="F81" s="29">
        <v>0.73541666666666672</v>
      </c>
      <c r="G81" s="28">
        <v>42</v>
      </c>
      <c r="H81" s="28">
        <v>6</v>
      </c>
      <c r="I81" s="70">
        <f>tbl_TubeLaser[[#This Row],[Qty Complete]]/tbl_TubeLaser[[#This Row],[Qty Required]]</f>
        <v>0.14285714285714285</v>
      </c>
      <c r="J81" s="30">
        <v>36</v>
      </c>
      <c r="K81" s="28">
        <v>1</v>
      </c>
      <c r="L81" s="31">
        <f>IF(tbl_TubeLaser[[#This Row],[Job Type]]="Batch",0,tbl_TubeLaser[[#This Row],[Qty Required]]/tbl_TubeLaser[[#This Row],[PPH]]*tbl_TubeLaser[[#This Row],['# of men]])</f>
        <v>1.1666666666666667</v>
      </c>
      <c r="M81" s="31">
        <f>IF(tbl_TubeLaser[[#This Row],[Job Type]]="Batch",tbl_TubeLaser[[#This Row],[Batch Hours]]*tbl_TubeLaser[[#This Row],[% Complete]],tbl_TubeLaser[[#This Row],[Total hours]]*tbl_TubeLaser[[#This Row],[% Complete]])</f>
        <v>0.16666666666666666</v>
      </c>
      <c r="N81" s="31"/>
      <c r="O81" s="28" t="s">
        <v>91</v>
      </c>
      <c r="P81" s="28">
        <f>tbl_TubeLaser[[#This Row],[Mat. Qty]]*tbl_TubeLaser[[#This Row],[% Complete]]</f>
        <v>3</v>
      </c>
      <c r="Q81" s="28">
        <v>21</v>
      </c>
      <c r="R81" s="32">
        <f>IFERROR(tbl_TubeLaser[[#This Row],[Qty Complete]]/tbl_TubeLaser[[#This Row],[Total Hours Act]]*tbl_TubeLaser[[#This Row],['# of men Act]],"")</f>
        <v>8.1818181818181817</v>
      </c>
      <c r="S81" s="28">
        <v>1</v>
      </c>
      <c r="T81"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0.73333333333333339</v>
      </c>
      <c r="U81" s="34">
        <v>3</v>
      </c>
      <c r="V81" s="33">
        <v>0.5</v>
      </c>
      <c r="W81" s="33">
        <v>0.2</v>
      </c>
      <c r="X81" s="35">
        <f>IFERROR((tbl_TubeLaser[[#This Row],[Adj. Total Hours]]+tbl_TubeLaser[[#This Row],[Est. Hours]])/(tbl_TubeLaser[[#This Row],[Total Hours Act]]+tbl_TubeLaser[[#This Row],[Act. Hours]]),"")</f>
        <v>0.71428571428571419</v>
      </c>
      <c r="Y81" s="102">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0.9893939393939396</v>
      </c>
      <c r="Z81" s="104">
        <f>IFERROR(tbl_TubeLaser[[#This Row],[Act. Mat. Qty]]-tbl_TubeLaser[[#This Row],[Adj. Mat. Qty]],"")</f>
        <v>0</v>
      </c>
      <c r="AA81" s="105">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-9</v>
      </c>
      <c r="AC81" s="31" t="s">
        <v>177</v>
      </c>
      <c r="AD81" s="36"/>
    </row>
    <row r="82" spans="1:30" ht="25" customHeight="1">
      <c r="A82" s="27">
        <v>46127</v>
      </c>
      <c r="B82" s="28">
        <v>143264</v>
      </c>
      <c r="C82" s="28" t="str">
        <f>IF(tbl_TubeLaser[[#This Row],[Part'#]]="", "Batch", "Part")</f>
        <v>Part</v>
      </c>
      <c r="D82" s="28" t="s">
        <v>86</v>
      </c>
      <c r="E82" s="29">
        <v>0.73541666666666672</v>
      </c>
      <c r="F82" s="29">
        <v>0.93680555555555556</v>
      </c>
      <c r="G82" s="28">
        <v>203</v>
      </c>
      <c r="H82" s="28">
        <v>167</v>
      </c>
      <c r="I82" s="70">
        <f>tbl_TubeLaser[[#This Row],[Qty Complete]]/tbl_TubeLaser[[#This Row],[Qty Required]]</f>
        <v>0.82266009852216748</v>
      </c>
      <c r="J82" s="30">
        <v>36</v>
      </c>
      <c r="K82" s="28">
        <v>1</v>
      </c>
      <c r="L82" s="31">
        <f>IF(tbl_TubeLaser[[#This Row],[Job Type]]="Batch",0,tbl_TubeLaser[[#This Row],[Qty Required]]/tbl_TubeLaser[[#This Row],[PPH]]*tbl_TubeLaser[[#This Row],['# of men]])</f>
        <v>5.6388888888888893</v>
      </c>
      <c r="M82" s="31">
        <f>IF(tbl_TubeLaser[[#This Row],[Job Type]]="Batch",tbl_TubeLaser[[#This Row],[Batch Hours]]*tbl_TubeLaser[[#This Row],[% Complete]],tbl_TubeLaser[[#This Row],[Total hours]]*tbl_TubeLaser[[#This Row],[% Complete]])</f>
        <v>4.6388888888888893</v>
      </c>
      <c r="N82" s="31"/>
      <c r="O82" s="28" t="s">
        <v>91</v>
      </c>
      <c r="P82" s="28">
        <f>tbl_TubeLaser[[#This Row],[Mat. Qty]]*tbl_TubeLaser[[#This Row],[% Complete]]</f>
        <v>23.857142857142858</v>
      </c>
      <c r="Q82" s="28">
        <v>29</v>
      </c>
      <c r="R82" s="32">
        <f>IFERROR(tbl_TubeLaser[[#This Row],[Qty Complete]]/tbl_TubeLaser[[#This Row],[Total Hours Act]]*tbl_TubeLaser[[#This Row],['# of men Act]],"")</f>
        <v>34.551724137931046</v>
      </c>
      <c r="S82" s="28">
        <v>1</v>
      </c>
      <c r="T82"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4.8333333333333321</v>
      </c>
      <c r="U82" s="34">
        <v>24</v>
      </c>
      <c r="V82" s="33">
        <v>0.5</v>
      </c>
      <c r="W82" s="33">
        <v>0.2</v>
      </c>
      <c r="X82" s="35">
        <f>IFERROR((tbl_TubeLaser[[#This Row],[Adj. Total Hours]]+tbl_TubeLaser[[#This Row],[Est. Hours]])/(tbl_TubeLaser[[#This Row],[Total Hours Act]]+tbl_TubeLaser[[#This Row],[Act. Hours]]),"")</f>
        <v>1.0209713024282563</v>
      </c>
      <c r="Y82" s="102">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1.0979419331128266</v>
      </c>
      <c r="Z82" s="104">
        <f>IFERROR(tbl_TubeLaser[[#This Row],[Act. Mat. Qty]]-tbl_TubeLaser[[#This Row],[Adj. Mat. Qty]],"")</f>
        <v>0.14285714285714235</v>
      </c>
      <c r="AA82" s="105">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4</v>
      </c>
      <c r="AB82" s="28" t="s">
        <v>178</v>
      </c>
      <c r="AC82" s="31" t="s">
        <v>177</v>
      </c>
      <c r="AD82" s="36"/>
    </row>
    <row r="83" spans="1:30" ht="25" customHeight="1">
      <c r="A83" s="27">
        <v>46127</v>
      </c>
      <c r="B83" s="28">
        <v>143273</v>
      </c>
      <c r="C83" s="28" t="str">
        <f>IF(tbl_TubeLaser[[#This Row],[Part'#]]="", "Batch", "Part")</f>
        <v>Part</v>
      </c>
      <c r="D83" s="28" t="s">
        <v>179</v>
      </c>
      <c r="E83" s="29">
        <v>0.93680555555555556</v>
      </c>
      <c r="F83" s="29">
        <v>3.0555555555555555E-2</v>
      </c>
      <c r="G83" s="28">
        <v>40</v>
      </c>
      <c r="H83" s="28">
        <v>37</v>
      </c>
      <c r="I83" s="70">
        <f>tbl_TubeLaser[[#This Row],[Qty Complete]]/tbl_TubeLaser[[#This Row],[Qty Required]]</f>
        <v>0.92500000000000004</v>
      </c>
      <c r="J83" s="30">
        <v>18</v>
      </c>
      <c r="K83" s="28">
        <v>1</v>
      </c>
      <c r="L83" s="31">
        <f>IF(tbl_TubeLaser[[#This Row],[Job Type]]="Batch",0,tbl_TubeLaser[[#This Row],[Qty Required]]/tbl_TubeLaser[[#This Row],[PPH]]*tbl_TubeLaser[[#This Row],['# of men]])</f>
        <v>2.2222222222222223</v>
      </c>
      <c r="M83" s="31">
        <f>IF(tbl_TubeLaser[[#This Row],[Job Type]]="Batch",tbl_TubeLaser[[#This Row],[Batch Hours]]*tbl_TubeLaser[[#This Row],[% Complete]],tbl_TubeLaser[[#This Row],[Total hours]]*tbl_TubeLaser[[#This Row],[% Complete]])</f>
        <v>2.0555555555555558</v>
      </c>
      <c r="N83" s="31"/>
      <c r="O83" s="28" t="s">
        <v>91</v>
      </c>
      <c r="P83" s="28">
        <f>tbl_TubeLaser[[#This Row],[Mat. Qty]]*tbl_TubeLaser[[#This Row],[% Complete]]</f>
        <v>18.5</v>
      </c>
      <c r="Q83" s="28">
        <v>20</v>
      </c>
      <c r="R83" s="32">
        <f>IFERROR(tbl_TubeLaser[[#This Row],[Qty Complete]]/tbl_TubeLaser[[#This Row],[Total Hours Act]]*tbl_TubeLaser[[#This Row],['# of men Act]],"")</f>
        <v>21.142857142857142</v>
      </c>
      <c r="S83" s="28">
        <v>1</v>
      </c>
      <c r="T83"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1.75</v>
      </c>
      <c r="U83" s="34">
        <v>19</v>
      </c>
      <c r="V83" s="33">
        <v>0.5</v>
      </c>
      <c r="W83" s="33">
        <v>0.2</v>
      </c>
      <c r="X83" s="35">
        <f>IFERROR((tbl_TubeLaser[[#This Row],[Adj. Total Hours]]+tbl_TubeLaser[[#This Row],[Est. Hours]])/(tbl_TubeLaser[[#This Row],[Total Hours Act]]+tbl_TubeLaser[[#This Row],[Act. Hours]]),"")</f>
        <v>1.3105413105413106</v>
      </c>
      <c r="Y83"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83" s="104">
        <f>IFERROR(tbl_TubeLaser[[#This Row],[Act. Mat. Qty]]-tbl_TubeLaser[[#This Row],[Adj. Mat. Qty]],"")</f>
        <v>0.5</v>
      </c>
      <c r="AA83"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B83" s="28" t="s">
        <v>178</v>
      </c>
      <c r="AC83" s="31" t="s">
        <v>177</v>
      </c>
      <c r="AD83" s="36"/>
    </row>
    <row r="84" spans="1:30" ht="25" customHeight="1">
      <c r="A84" s="27">
        <v>46127</v>
      </c>
      <c r="B84" s="28">
        <v>143269</v>
      </c>
      <c r="C84" s="28" t="str">
        <f>IF(tbl_TubeLaser[[#This Row],[Part'#]]="", "Batch", "Part")</f>
        <v>Part</v>
      </c>
      <c r="D84" s="28" t="s">
        <v>164</v>
      </c>
      <c r="E84" s="29">
        <v>3.0555555555555555E-2</v>
      </c>
      <c r="F84" s="29">
        <v>0.11041666666666666</v>
      </c>
      <c r="G84" s="28">
        <v>40</v>
      </c>
      <c r="H84" s="28">
        <v>16</v>
      </c>
      <c r="I84" s="70">
        <f>tbl_TubeLaser[[#This Row],[Qty Complete]]/tbl_TubeLaser[[#This Row],[Qty Required]]</f>
        <v>0.4</v>
      </c>
      <c r="J84" s="30">
        <v>18</v>
      </c>
      <c r="K84" s="28">
        <v>1</v>
      </c>
      <c r="L84" s="31">
        <f>IF(tbl_TubeLaser[[#This Row],[Job Type]]="Batch",0,tbl_TubeLaser[[#This Row],[Qty Required]]/tbl_TubeLaser[[#This Row],[PPH]]*tbl_TubeLaser[[#This Row],['# of men]])</f>
        <v>2.2222222222222223</v>
      </c>
      <c r="M84" s="31">
        <f>IF(tbl_TubeLaser[[#This Row],[Job Type]]="Batch",tbl_TubeLaser[[#This Row],[Batch Hours]]*tbl_TubeLaser[[#This Row],[% Complete]],tbl_TubeLaser[[#This Row],[Total hours]]*tbl_TubeLaser[[#This Row],[% Complete]])</f>
        <v>0.88888888888888895</v>
      </c>
      <c r="N84" s="31"/>
      <c r="O84" s="28" t="s">
        <v>91</v>
      </c>
      <c r="P84" s="28">
        <f>tbl_TubeLaser[[#This Row],[Mat. Qty]]*tbl_TubeLaser[[#This Row],[% Complete]]</f>
        <v>8</v>
      </c>
      <c r="Q84" s="28">
        <v>20</v>
      </c>
      <c r="R84" s="32">
        <f>IFERROR(tbl_TubeLaser[[#This Row],[Qty Complete]]/tbl_TubeLaser[[#This Row],[Total Hours Act]]*tbl_TubeLaser[[#This Row],['# of men Act]],"")</f>
        <v>8.3478260869565215</v>
      </c>
      <c r="S84" s="28">
        <v>1</v>
      </c>
      <c r="T84"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1.9166666666666665</v>
      </c>
      <c r="U84" s="34">
        <v>8</v>
      </c>
      <c r="V84" s="33">
        <v>0.5</v>
      </c>
      <c r="W84" s="33">
        <v>0.2</v>
      </c>
      <c r="X84" s="35">
        <f>IFERROR((tbl_TubeLaser[[#This Row],[Adj. Total Hours]]+tbl_TubeLaser[[#This Row],[Est. Hours]])/(tbl_TubeLaser[[#This Row],[Total Hours Act]]+tbl_TubeLaser[[#This Row],[Act. Hours]]),"")</f>
        <v>0.65616797900262469</v>
      </c>
      <c r="Y84"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84" s="104">
        <f>IFERROR(tbl_TubeLaser[[#This Row],[Act. Mat. Qty]]-tbl_TubeLaser[[#This Row],[Adj. Mat. Qty]],"")</f>
        <v>0</v>
      </c>
      <c r="AA84"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B84" s="28" t="s">
        <v>178</v>
      </c>
      <c r="AC84" s="31" t="s">
        <v>177</v>
      </c>
      <c r="AD84" s="36"/>
    </row>
    <row r="85" spans="1:30" ht="25" customHeight="1">
      <c r="A85" s="27">
        <v>46127</v>
      </c>
      <c r="B85" s="28">
        <v>143268</v>
      </c>
      <c r="C85" s="28" t="str">
        <f>IF(tbl_TubeLaser[[#This Row],[Part'#]]="", "Batch", "Part")</f>
        <v>Part</v>
      </c>
      <c r="D85" s="28" t="s">
        <v>180</v>
      </c>
      <c r="E85" s="29">
        <v>0.16250000000000001</v>
      </c>
      <c r="F85" s="29">
        <v>0.18680555555555556</v>
      </c>
      <c r="G85" s="28">
        <v>40</v>
      </c>
      <c r="H85" s="28">
        <v>2</v>
      </c>
      <c r="I85" s="70">
        <f>tbl_TubeLaser[[#This Row],[Qty Complete]]/tbl_TubeLaser[[#This Row],[Qty Required]]</f>
        <v>0.05</v>
      </c>
      <c r="J85" s="30">
        <v>24</v>
      </c>
      <c r="K85" s="28">
        <v>1</v>
      </c>
      <c r="L85" s="31">
        <f>IF(tbl_TubeLaser[[#This Row],[Job Type]]="Batch",0,tbl_TubeLaser[[#This Row],[Qty Required]]/tbl_TubeLaser[[#This Row],[PPH]]*tbl_TubeLaser[[#This Row],['# of men]])</f>
        <v>1.6666666666666667</v>
      </c>
      <c r="M85" s="31">
        <f>IF(tbl_TubeLaser[[#This Row],[Job Type]]="Batch",tbl_TubeLaser[[#This Row],[Batch Hours]]*tbl_TubeLaser[[#This Row],[% Complete]],tbl_TubeLaser[[#This Row],[Total hours]]*tbl_TubeLaser[[#This Row],[% Complete]])</f>
        <v>8.3333333333333343E-2</v>
      </c>
      <c r="N85" s="31"/>
      <c r="O85" s="28" t="s">
        <v>91</v>
      </c>
      <c r="P85" s="28">
        <f>tbl_TubeLaser[[#This Row],[Mat. Qty]]*tbl_TubeLaser[[#This Row],[% Complete]]</f>
        <v>1</v>
      </c>
      <c r="Q85" s="28">
        <v>20</v>
      </c>
      <c r="R85" s="32">
        <f>IFERROR(tbl_TubeLaser[[#This Row],[Qty Complete]]/tbl_TubeLaser[[#This Row],[Total Hours Act]]*tbl_TubeLaser[[#This Row],['# of men Act]],"")</f>
        <v>3.4285714285714288</v>
      </c>
      <c r="S85" s="28">
        <v>1</v>
      </c>
      <c r="T85"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0.58333333333333326</v>
      </c>
      <c r="U85" s="34">
        <v>1</v>
      </c>
      <c r="V85" s="33">
        <v>0.5</v>
      </c>
      <c r="W85" s="33">
        <v>0.2</v>
      </c>
      <c r="X85" s="35">
        <f>IFERROR((tbl_TubeLaser[[#This Row],[Adj. Total Hours]]+tbl_TubeLaser[[#This Row],[Est. Hours]])/(tbl_TubeLaser[[#This Row],[Total Hours Act]]+tbl_TubeLaser[[#This Row],[Act. Hours]]),"")</f>
        <v>0.74468085106382997</v>
      </c>
      <c r="Y85"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85" s="104">
        <f>IFERROR(tbl_TubeLaser[[#This Row],[Act. Mat. Qty]]-tbl_TubeLaser[[#This Row],[Adj. Mat. Qty]],"")</f>
        <v>0</v>
      </c>
      <c r="AA85"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85" s="31" t="s">
        <v>177</v>
      </c>
      <c r="AD85" s="36"/>
    </row>
    <row r="86" spans="1:30" ht="25" customHeight="1">
      <c r="A86" s="27">
        <v>46128</v>
      </c>
      <c r="B86" s="28">
        <v>143268</v>
      </c>
      <c r="D86" s="28" t="s">
        <v>180</v>
      </c>
      <c r="E86" s="29">
        <v>0.23472222222222222</v>
      </c>
      <c r="F86" s="29">
        <v>0.32083333333333336</v>
      </c>
      <c r="G86" s="28">
        <v>40</v>
      </c>
      <c r="H86" s="28">
        <v>38</v>
      </c>
      <c r="I86" s="70">
        <f>tbl_TubeLaser[[#This Row],[Qty Complete]]/tbl_TubeLaser[[#This Row],[Qty Required]]</f>
        <v>0.95</v>
      </c>
      <c r="J86" s="30">
        <v>24</v>
      </c>
      <c r="K86" s="28">
        <v>1</v>
      </c>
      <c r="L86" s="31">
        <f>IF(tbl_TubeLaser[[#This Row],[Job Type]]="Batch",0,tbl_TubeLaser[[#This Row],[Qty Required]]/tbl_TubeLaser[[#This Row],[PPH]]*tbl_TubeLaser[[#This Row],['# of men]])</f>
        <v>1.6666666666666667</v>
      </c>
      <c r="M86" s="31">
        <f>IF(tbl_TubeLaser[[#This Row],[Job Type]]="Batch",tbl_TubeLaser[[#This Row],[Batch Hours]]*tbl_TubeLaser[[#This Row],[% Complete]],tbl_TubeLaser[[#This Row],[Total hours]]*tbl_TubeLaser[[#This Row],[% Complete]])</f>
        <v>1.5833333333333333</v>
      </c>
      <c r="N86" s="31"/>
      <c r="O86" s="28" t="s">
        <v>91</v>
      </c>
      <c r="P86" s="28">
        <f>tbl_TubeLaser[[#This Row],[Mat. Qty]]*tbl_TubeLaser[[#This Row],[% Complete]]</f>
        <v>19</v>
      </c>
      <c r="Q86" s="28">
        <v>20</v>
      </c>
      <c r="R86" s="32">
        <f>IFERROR(tbl_TubeLaser[[#This Row],[Qty Complete]]/tbl_TubeLaser[[#This Row],[Total Hours Act]]*tbl_TubeLaser[[#This Row],['# of men Act]],"")</f>
        <v>18.387096774193541</v>
      </c>
      <c r="S86" s="28">
        <v>1</v>
      </c>
      <c r="T86"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2.0666666666666673</v>
      </c>
      <c r="U86" s="34">
        <v>19</v>
      </c>
      <c r="V86" s="33">
        <v>0.51</v>
      </c>
      <c r="W86" s="33">
        <v>0.42</v>
      </c>
      <c r="X86" s="35">
        <f>IFERROR((tbl_TubeLaser[[#This Row],[Adj. Total Hours]]+tbl_TubeLaser[[#This Row],[Est. Hours]])/(tbl_TubeLaser[[#This Row],[Total Hours Act]]+tbl_TubeLaser[[#This Row],[Act. Hours]]),"")</f>
        <v>0.84182305630026788</v>
      </c>
      <c r="Y86" s="102">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0.81855249745157987</v>
      </c>
      <c r="Z86" s="104">
        <f>IFERROR(tbl_TubeLaser[[#This Row],[Act. Mat. Qty]]-tbl_TubeLaser[[#This Row],[Adj. Mat. Qty]],"")</f>
        <v>0</v>
      </c>
      <c r="AA86" s="105">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0</v>
      </c>
      <c r="AC86" s="31" t="s">
        <v>49</v>
      </c>
      <c r="AD86" s="36"/>
    </row>
    <row r="87" spans="1:30" ht="25" customHeight="1">
      <c r="A87" s="27">
        <v>46128</v>
      </c>
      <c r="B87" s="28">
        <v>143267</v>
      </c>
      <c r="C87" s="28" t="str">
        <f>IF(tbl_TubeLaser[[#This Row],[Part'#]]="", "Batch", "Part")</f>
        <v>Part</v>
      </c>
      <c r="D87" s="28" t="s">
        <v>181</v>
      </c>
      <c r="E87" s="29">
        <v>0.33958333333333335</v>
      </c>
      <c r="F87" s="29">
        <v>0.39027777777777778</v>
      </c>
      <c r="G87" s="28">
        <v>20</v>
      </c>
      <c r="H87" s="28">
        <v>20</v>
      </c>
      <c r="I87" s="70">
        <f>tbl_TubeLaser[[#This Row],[Qty Complete]]/tbl_TubeLaser[[#This Row],[Qty Required]]</f>
        <v>1</v>
      </c>
      <c r="J87" s="30">
        <v>24</v>
      </c>
      <c r="K87" s="28">
        <v>1</v>
      </c>
      <c r="L87" s="31">
        <f>IF(tbl_TubeLaser[[#This Row],[Job Type]]="Batch",0,tbl_TubeLaser[[#This Row],[Qty Required]]/tbl_TubeLaser[[#This Row],[PPH]]*tbl_TubeLaser[[#This Row],['# of men]])</f>
        <v>0.83333333333333337</v>
      </c>
      <c r="M87" s="31">
        <f>IF(tbl_TubeLaser[[#This Row],[Job Type]]="Batch",tbl_TubeLaser[[#This Row],[Batch Hours]]*tbl_TubeLaser[[#This Row],[% Complete]],tbl_TubeLaser[[#This Row],[Total hours]]*tbl_TubeLaser[[#This Row],[% Complete]])</f>
        <v>0.83333333333333337</v>
      </c>
      <c r="N87" s="31"/>
      <c r="O87" s="28" t="s">
        <v>91</v>
      </c>
      <c r="P87" s="28">
        <f>tbl_TubeLaser[[#This Row],[Mat. Qty]]*tbl_TubeLaser[[#This Row],[% Complete]]</f>
        <v>10</v>
      </c>
      <c r="Q87" s="28">
        <v>10</v>
      </c>
      <c r="R87" s="32">
        <f>IFERROR(tbl_TubeLaser[[#This Row],[Qty Complete]]/tbl_TubeLaser[[#This Row],[Total Hours Act]]*tbl_TubeLaser[[#This Row],['# of men Act]],"")</f>
        <v>16.438356164383567</v>
      </c>
      <c r="S87" s="28">
        <v>1</v>
      </c>
      <c r="T87"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1.2166666666666663</v>
      </c>
      <c r="U87" s="34">
        <v>10</v>
      </c>
      <c r="V87" s="33">
        <v>0.5</v>
      </c>
      <c r="W87" s="33">
        <v>0.43</v>
      </c>
      <c r="X87" s="35">
        <f>IFERROR((tbl_TubeLaser[[#This Row],[Adj. Total Hours]]+tbl_TubeLaser[[#This Row],[Est. Hours]])/(tbl_TubeLaser[[#This Row],[Total Hours Act]]+tbl_TubeLaser[[#This Row],[Act. Hours]]),"")</f>
        <v>0.80971659919028371</v>
      </c>
      <c r="Y87" s="102">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0.80971659919028371</v>
      </c>
      <c r="Z87" s="104">
        <f>IFERROR(tbl_TubeLaser[[#This Row],[Act. Mat. Qty]]-tbl_TubeLaser[[#This Row],[Adj. Mat. Qty]],"")</f>
        <v>0</v>
      </c>
      <c r="AA87" s="105">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0</v>
      </c>
      <c r="AC87" s="31" t="s">
        <v>182</v>
      </c>
      <c r="AD87" s="36"/>
    </row>
    <row r="88" spans="1:30" ht="25" customHeight="1">
      <c r="A88" s="27">
        <v>46128</v>
      </c>
      <c r="B88" s="28">
        <v>143270</v>
      </c>
      <c r="C88" s="28" t="str">
        <f>IF(tbl_TubeLaser[[#This Row],[Part'#]]="", "Batch", "Part")</f>
        <v>Part</v>
      </c>
      <c r="D88" s="28" t="s">
        <v>162</v>
      </c>
      <c r="E88" s="29">
        <v>0.41666666666666669</v>
      </c>
      <c r="F88" s="29">
        <v>0.51944444444444449</v>
      </c>
      <c r="G88" s="28">
        <v>26</v>
      </c>
      <c r="H88" s="28">
        <v>26</v>
      </c>
      <c r="I88" s="70">
        <f>tbl_TubeLaser[[#This Row],[Qty Complete]]/tbl_TubeLaser[[#This Row],[Qty Required]]</f>
        <v>1</v>
      </c>
      <c r="J88" s="30">
        <v>24</v>
      </c>
      <c r="K88" s="28">
        <v>1</v>
      </c>
      <c r="L88" s="31">
        <f>IF(tbl_TubeLaser[[#This Row],[Job Type]]="Batch",0,tbl_TubeLaser[[#This Row],[Qty Required]]/tbl_TubeLaser[[#This Row],[PPH]]*tbl_TubeLaser[[#This Row],['# of men]])</f>
        <v>1.0833333333333333</v>
      </c>
      <c r="M88" s="31">
        <f>IF(tbl_TubeLaser[[#This Row],[Job Type]]="Batch",tbl_TubeLaser[[#This Row],[Batch Hours]]*tbl_TubeLaser[[#This Row],[% Complete]],tbl_TubeLaser[[#This Row],[Total hours]]*tbl_TubeLaser[[#This Row],[% Complete]])</f>
        <v>1.0833333333333333</v>
      </c>
      <c r="N88" s="31"/>
      <c r="O88" s="28" t="s">
        <v>91</v>
      </c>
      <c r="P88" s="28">
        <f>tbl_TubeLaser[[#This Row],[Mat. Qty]]*tbl_TubeLaser[[#This Row],[% Complete]]</f>
        <v>13</v>
      </c>
      <c r="Q88" s="28">
        <v>13</v>
      </c>
      <c r="R88" s="32">
        <f>IFERROR(tbl_TubeLaser[[#This Row],[Qty Complete]]/tbl_TubeLaser[[#This Row],[Total Hours Act]]*tbl_TubeLaser[[#This Row],['# of men Act]],"")</f>
        <v>10.540540540540539</v>
      </c>
      <c r="S88" s="28">
        <v>1</v>
      </c>
      <c r="T88"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2.4666666666666672</v>
      </c>
      <c r="U88" s="34">
        <v>13</v>
      </c>
      <c r="V88" s="33">
        <v>0.5</v>
      </c>
      <c r="W88" s="33">
        <v>0.63</v>
      </c>
      <c r="X88" s="35">
        <f>IFERROR((tbl_TubeLaser[[#This Row],[Adj. Total Hours]]+tbl_TubeLaser[[#This Row],[Est. Hours]])/(tbl_TubeLaser[[#This Row],[Total Hours Act]]+tbl_TubeLaser[[#This Row],[Act. Hours]]),"")</f>
        <v>0.51130247578040899</v>
      </c>
      <c r="Y88" s="102">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0.51130247578040899</v>
      </c>
      <c r="Z88" s="104">
        <f>IFERROR(tbl_TubeLaser[[#This Row],[Act. Mat. Qty]]-tbl_TubeLaser[[#This Row],[Adj. Mat. Qty]],"")</f>
        <v>0</v>
      </c>
      <c r="AA88" s="105">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0</v>
      </c>
      <c r="AB88" s="28" t="s">
        <v>183</v>
      </c>
      <c r="AC88" s="31" t="s">
        <v>49</v>
      </c>
      <c r="AD88" s="36"/>
    </row>
    <row r="89" spans="1:30" ht="25" customHeight="1">
      <c r="A89" s="27">
        <v>46128</v>
      </c>
      <c r="B89" s="28" t="s">
        <v>184</v>
      </c>
      <c r="C89" s="28" t="str">
        <f>IF(tbl_TubeLaser[[#This Row],[Part'#]]="", "Batch", "Part")</f>
        <v>Part</v>
      </c>
      <c r="D89" s="28" t="s">
        <v>185</v>
      </c>
      <c r="E89" s="29">
        <v>0.28680555555555554</v>
      </c>
      <c r="F89" s="29">
        <v>0.32569444444444445</v>
      </c>
      <c r="G89" s="28">
        <v>24</v>
      </c>
      <c r="H89" s="28">
        <v>24</v>
      </c>
      <c r="I89" s="70">
        <f>tbl_TubeLaser[[#This Row],[Qty Complete]]/tbl_TubeLaser[[#This Row],[Qty Required]]</f>
        <v>1</v>
      </c>
      <c r="J89" s="30">
        <v>54</v>
      </c>
      <c r="K89" s="28">
        <v>1</v>
      </c>
      <c r="L89" s="31">
        <f>IF(tbl_TubeLaser[[#This Row],[Job Type]]="Batch",0,tbl_TubeLaser[[#This Row],[Qty Required]]/tbl_TubeLaser[[#This Row],[PPH]]*tbl_TubeLaser[[#This Row],['# of men]])</f>
        <v>0.44444444444444442</v>
      </c>
      <c r="M89" s="31">
        <f>IF(tbl_TubeLaser[[#This Row],[Job Type]]="Batch",tbl_TubeLaser[[#This Row],[Batch Hours]]*tbl_TubeLaser[[#This Row],[% Complete]],tbl_TubeLaser[[#This Row],[Total hours]]*tbl_TubeLaser[[#This Row],[% Complete]])</f>
        <v>0.44444444444444442</v>
      </c>
      <c r="N89" s="31"/>
      <c r="O89" s="28" t="s">
        <v>186</v>
      </c>
      <c r="P89" s="28">
        <f>tbl_TubeLaser[[#This Row],[Mat. Qty]]*tbl_TubeLaser[[#This Row],[% Complete]]</f>
        <v>3</v>
      </c>
      <c r="Q89" s="28">
        <v>3</v>
      </c>
      <c r="R89" s="32">
        <f>IFERROR(tbl_TubeLaser[[#This Row],[Qty Complete]]/tbl_TubeLaser[[#This Row],[Total Hours Act]]*tbl_TubeLaser[[#This Row],['# of men Act]],"")</f>
        <v>25.714285714285694</v>
      </c>
      <c r="S89" s="28">
        <v>1</v>
      </c>
      <c r="T89"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0.93333333333333401</v>
      </c>
      <c r="U89" s="34">
        <v>3</v>
      </c>
      <c r="V89" s="33">
        <v>0.5</v>
      </c>
      <c r="W89" s="33">
        <v>0.55000000000000004</v>
      </c>
      <c r="X89" s="35">
        <f>IFERROR((tbl_TubeLaser[[#This Row],[Adj. Total Hours]]+tbl_TubeLaser[[#This Row],[Est. Hours]])/(tbl_TubeLaser[[#This Row],[Total Hours Act]]+tbl_TubeLaser[[#This Row],[Act. Hours]]),"")</f>
        <v>0.63670411985018693</v>
      </c>
      <c r="Y89" s="102">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0.63670411985018693</v>
      </c>
      <c r="Z89" s="104">
        <f>IFERROR(tbl_TubeLaser[[#This Row],[Act. Mat. Qty]]-tbl_TubeLaser[[#This Row],[Adj. Mat. Qty]],"")</f>
        <v>0</v>
      </c>
      <c r="AA89" s="105">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0</v>
      </c>
      <c r="AB89" s="28" t="s">
        <v>187</v>
      </c>
      <c r="AC89" s="31" t="s">
        <v>38</v>
      </c>
      <c r="AD89" s="36"/>
    </row>
    <row r="90" spans="1:30" ht="25" customHeight="1">
      <c r="A90" s="27">
        <v>46128</v>
      </c>
      <c r="B90" s="28" t="s">
        <v>188</v>
      </c>
      <c r="C90" s="28" t="str">
        <f>IF(tbl_TubeLaser[[#This Row],[Part'#]]="", "Batch", "Part")</f>
        <v>Part</v>
      </c>
      <c r="D90" s="28" t="s">
        <v>189</v>
      </c>
      <c r="E90" s="29">
        <v>0.37986111111111109</v>
      </c>
      <c r="F90" s="29">
        <v>0.3840277777777778</v>
      </c>
      <c r="G90" s="28">
        <v>12</v>
      </c>
      <c r="H90" s="28">
        <v>12</v>
      </c>
      <c r="I90" s="70">
        <f>tbl_TubeLaser[[#This Row],[Qty Complete]]/tbl_TubeLaser[[#This Row],[Qty Required]]</f>
        <v>1</v>
      </c>
      <c r="J90" s="30">
        <v>54</v>
      </c>
      <c r="K90" s="28">
        <v>1</v>
      </c>
      <c r="L90" s="31">
        <f>IF(tbl_TubeLaser[[#This Row],[Job Type]]="Batch",0,tbl_TubeLaser[[#This Row],[Qty Required]]/tbl_TubeLaser[[#This Row],[PPH]]*tbl_TubeLaser[[#This Row],['# of men]])</f>
        <v>0.22222222222222221</v>
      </c>
      <c r="M90" s="31">
        <f>IF(tbl_TubeLaser[[#This Row],[Job Type]]="Batch",tbl_TubeLaser[[#This Row],[Batch Hours]]*tbl_TubeLaser[[#This Row],[% Complete]],tbl_TubeLaser[[#This Row],[Total hours]]*tbl_TubeLaser[[#This Row],[% Complete]])</f>
        <v>0.22222222222222221</v>
      </c>
      <c r="N90" s="31"/>
      <c r="O90" s="28" t="s">
        <v>190</v>
      </c>
      <c r="P90" s="28">
        <f>tbl_TubeLaser[[#This Row],[Mat. Qty]]*tbl_TubeLaser[[#This Row],[% Complete]]</f>
        <v>3</v>
      </c>
      <c r="Q90" s="28">
        <v>3</v>
      </c>
      <c r="R90" s="32">
        <f>IFERROR(tbl_TubeLaser[[#This Row],[Qty Complete]]/tbl_TubeLaser[[#This Row],[Total Hours Act]]*tbl_TubeLaser[[#This Row],['# of men Act]],"")</f>
        <v>119.99999999999883</v>
      </c>
      <c r="S90" s="28">
        <v>1</v>
      </c>
      <c r="T90"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0.10000000000000098</v>
      </c>
      <c r="U90" s="34">
        <v>3</v>
      </c>
      <c r="V90" s="33">
        <v>0.5</v>
      </c>
      <c r="W90" s="33">
        <v>1.28</v>
      </c>
      <c r="X90" s="35">
        <f>IFERROR((tbl_TubeLaser[[#This Row],[Adj. Total Hours]]+tbl_TubeLaser[[#This Row],[Est. Hours]])/(tbl_TubeLaser[[#This Row],[Total Hours Act]]+tbl_TubeLaser[[#This Row],[Act. Hours]]),"")</f>
        <v>0.52334943639291431</v>
      </c>
      <c r="Y90" s="102">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0.52334943639291431</v>
      </c>
      <c r="Z90" s="104">
        <f>IFERROR(tbl_TubeLaser[[#This Row],[Act. Mat. Qty]]-tbl_TubeLaser[[#This Row],[Adj. Mat. Qty]],"")</f>
        <v>0</v>
      </c>
      <c r="AA90" s="105">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0</v>
      </c>
      <c r="AB90" s="28" t="s">
        <v>191</v>
      </c>
      <c r="AC90" s="31" t="s">
        <v>38</v>
      </c>
      <c r="AD90" s="36"/>
    </row>
    <row r="91" spans="1:30" ht="25" customHeight="1">
      <c r="A91" s="27">
        <v>46128</v>
      </c>
      <c r="B91" s="28" t="s">
        <v>192</v>
      </c>
      <c r="C91" s="28" t="str">
        <f>IF(tbl_TubeLaser[[#This Row],[Part'#]]="", "Batch", "Part")</f>
        <v>Part</v>
      </c>
      <c r="D91" s="28" t="s">
        <v>193</v>
      </c>
      <c r="E91" s="29">
        <v>0.42083333333333334</v>
      </c>
      <c r="F91" s="29">
        <v>0.4375</v>
      </c>
      <c r="G91" s="28">
        <v>24</v>
      </c>
      <c r="H91" s="28">
        <v>24</v>
      </c>
      <c r="I91" s="70">
        <f>tbl_TubeLaser[[#This Row],[Qty Complete]]/tbl_TubeLaser[[#This Row],[Qty Required]]</f>
        <v>1</v>
      </c>
      <c r="J91" s="30">
        <v>43</v>
      </c>
      <c r="K91" s="28">
        <v>1</v>
      </c>
      <c r="L91" s="31">
        <f>IF(tbl_TubeLaser[[#This Row],[Job Type]]="Batch",0,tbl_TubeLaser[[#This Row],[Qty Required]]/tbl_TubeLaser[[#This Row],[PPH]]*tbl_TubeLaser[[#This Row],['# of men]])</f>
        <v>0.55813953488372092</v>
      </c>
      <c r="M91" s="31">
        <f>IF(tbl_TubeLaser[[#This Row],[Job Type]]="Batch",tbl_TubeLaser[[#This Row],[Batch Hours]]*tbl_TubeLaser[[#This Row],[% Complete]],tbl_TubeLaser[[#This Row],[Total hours]]*tbl_TubeLaser[[#This Row],[% Complete]])</f>
        <v>0.55813953488372092</v>
      </c>
      <c r="N91" s="31"/>
      <c r="O91" s="28" t="s">
        <v>190</v>
      </c>
      <c r="P91" s="28">
        <f>tbl_TubeLaser[[#This Row],[Mat. Qty]]*tbl_TubeLaser[[#This Row],[% Complete]]</f>
        <v>5</v>
      </c>
      <c r="Q91" s="28">
        <v>5</v>
      </c>
      <c r="R91" s="32">
        <f>IFERROR(tbl_TubeLaser[[#This Row],[Qty Complete]]/tbl_TubeLaser[[#This Row],[Total Hours Act]]*tbl_TubeLaser[[#This Row],['# of men Act]],"")</f>
        <v>60.000000000000014</v>
      </c>
      <c r="S91" s="28">
        <v>1</v>
      </c>
      <c r="T91"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0.39999999999999991</v>
      </c>
      <c r="U91" s="34">
        <v>5</v>
      </c>
      <c r="V91" s="33">
        <v>0.5</v>
      </c>
      <c r="W91" s="33">
        <v>0.67</v>
      </c>
      <c r="X91" s="35">
        <f>IFERROR((tbl_TubeLaser[[#This Row],[Adj. Total Hours]]+tbl_TubeLaser[[#This Row],[Est. Hours]])/(tbl_TubeLaser[[#This Row],[Total Hours Act]]+tbl_TubeLaser[[#This Row],[Act. Hours]]),"")</f>
        <v>0.98891545316235629</v>
      </c>
      <c r="Y91" s="102">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0.98891545316235629</v>
      </c>
      <c r="Z91" s="104">
        <f>IFERROR(tbl_TubeLaser[[#This Row],[Act. Mat. Qty]]-tbl_TubeLaser[[#This Row],[Adj. Mat. Qty]],"")</f>
        <v>0</v>
      </c>
      <c r="AA91" s="105">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0</v>
      </c>
      <c r="AC91" s="31" t="s">
        <v>38</v>
      </c>
      <c r="AD91" s="36"/>
    </row>
    <row r="92" spans="1:30" ht="25" customHeight="1">
      <c r="A92" s="27">
        <v>46128</v>
      </c>
      <c r="B92" s="28" t="s">
        <v>194</v>
      </c>
      <c r="C92" s="28" t="str">
        <f>IF(tbl_TubeLaser[[#This Row],[Part'#]]="", "Batch", "Part")</f>
        <v>Part</v>
      </c>
      <c r="D92" s="28" t="s">
        <v>195</v>
      </c>
      <c r="E92" s="29">
        <v>0.45208333333333334</v>
      </c>
      <c r="F92" s="29">
        <v>0.46250000000000002</v>
      </c>
      <c r="G92" s="28">
        <v>12</v>
      </c>
      <c r="H92" s="28">
        <v>12</v>
      </c>
      <c r="I92" s="70">
        <f>tbl_TubeLaser[[#This Row],[Qty Complete]]/tbl_TubeLaser[[#This Row],[Qty Required]]</f>
        <v>1</v>
      </c>
      <c r="J92" s="30">
        <v>42</v>
      </c>
      <c r="K92" s="28">
        <v>1</v>
      </c>
      <c r="L92" s="31">
        <f>IF(tbl_TubeLaser[[#This Row],[Job Type]]="Batch",0,tbl_TubeLaser[[#This Row],[Qty Required]]/tbl_TubeLaser[[#This Row],[PPH]]*tbl_TubeLaser[[#This Row],['# of men]])</f>
        <v>0.2857142857142857</v>
      </c>
      <c r="M92" s="31">
        <f>IF(tbl_TubeLaser[[#This Row],[Job Type]]="Batch",tbl_TubeLaser[[#This Row],[Batch Hours]]*tbl_TubeLaser[[#This Row],[% Complete]],tbl_TubeLaser[[#This Row],[Total hours]]*tbl_TubeLaser[[#This Row],[% Complete]])</f>
        <v>0.2857142857142857</v>
      </c>
      <c r="N92" s="31"/>
      <c r="O92" s="28" t="s">
        <v>190</v>
      </c>
      <c r="P92" s="28">
        <f>tbl_TubeLaser[[#This Row],[Mat. Qty]]*tbl_TubeLaser[[#This Row],[% Complete]]</f>
        <v>3</v>
      </c>
      <c r="Q92" s="28">
        <v>3</v>
      </c>
      <c r="R92" s="32">
        <f>IFERROR(tbl_TubeLaser[[#This Row],[Qty Complete]]/tbl_TubeLaser[[#This Row],[Total Hours Act]]*tbl_TubeLaser[[#This Row],['# of men Act]],"")</f>
        <v>47.999999999999915</v>
      </c>
      <c r="S92" s="28">
        <v>1</v>
      </c>
      <c r="T92"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0.25000000000000044</v>
      </c>
      <c r="U92" s="34">
        <v>3</v>
      </c>
      <c r="V92" s="33">
        <v>0.5</v>
      </c>
      <c r="W92" s="33">
        <v>0.32</v>
      </c>
      <c r="X92" s="35">
        <f>IFERROR((tbl_TubeLaser[[#This Row],[Adj. Total Hours]]+tbl_TubeLaser[[#This Row],[Est. Hours]])/(tbl_TubeLaser[[#This Row],[Total Hours Act]]+tbl_TubeLaser[[#This Row],[Act. Hours]]),"")</f>
        <v>1.3784461152882193</v>
      </c>
      <c r="Y92" s="102">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1.3784461152882193</v>
      </c>
      <c r="Z92" s="104">
        <f>IFERROR(tbl_TubeLaser[[#This Row],[Act. Mat. Qty]]-tbl_TubeLaser[[#This Row],[Adj. Mat. Qty]],"")</f>
        <v>0</v>
      </c>
      <c r="AA92" s="105">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0</v>
      </c>
      <c r="AC92" s="31" t="s">
        <v>38</v>
      </c>
      <c r="AD92" s="36"/>
    </row>
    <row r="93" spans="1:30" ht="25" customHeight="1">
      <c r="A93" s="27">
        <v>46128</v>
      </c>
      <c r="B93" s="28" t="s">
        <v>196</v>
      </c>
      <c r="C93" s="28" t="str">
        <f>IF(tbl_TubeLaser[[#This Row],[Part'#]]="", "Batch", "Part")</f>
        <v>Part</v>
      </c>
      <c r="D93" s="28" t="s">
        <v>197</v>
      </c>
      <c r="E93" s="29">
        <v>0.53055555555555556</v>
      </c>
      <c r="F93" s="29">
        <v>0.54861111111111116</v>
      </c>
      <c r="G93" s="28">
        <v>12</v>
      </c>
      <c r="H93" s="28">
        <v>12</v>
      </c>
      <c r="I93" s="70">
        <f>tbl_TubeLaser[[#This Row],[Qty Complete]]/tbl_TubeLaser[[#This Row],[Qty Required]]</f>
        <v>1</v>
      </c>
      <c r="J93" s="30">
        <v>54</v>
      </c>
      <c r="K93" s="28">
        <v>1</v>
      </c>
      <c r="L93" s="31">
        <f>IF(tbl_TubeLaser[[#This Row],[Job Type]]="Batch",0,tbl_TubeLaser[[#This Row],[Qty Required]]/tbl_TubeLaser[[#This Row],[PPH]]*tbl_TubeLaser[[#This Row],['# of men]])</f>
        <v>0.22222222222222221</v>
      </c>
      <c r="M93" s="31">
        <f>IF(tbl_TubeLaser[[#This Row],[Job Type]]="Batch",tbl_TubeLaser[[#This Row],[Batch Hours]]*tbl_TubeLaser[[#This Row],[% Complete]],tbl_TubeLaser[[#This Row],[Total hours]]*tbl_TubeLaser[[#This Row],[% Complete]])</f>
        <v>0.22222222222222221</v>
      </c>
      <c r="N93" s="31"/>
      <c r="O93" s="28" t="s">
        <v>198</v>
      </c>
      <c r="P93" s="28">
        <f>tbl_TubeLaser[[#This Row],[Mat. Qty]]*tbl_TubeLaser[[#This Row],[% Complete]]</f>
        <v>2</v>
      </c>
      <c r="Q93" s="28">
        <v>2</v>
      </c>
      <c r="R93" s="32">
        <f>IFERROR(tbl_TubeLaser[[#This Row],[Qty Complete]]/tbl_TubeLaser[[#This Row],[Total Hours Act]]*tbl_TubeLaser[[#This Row],['# of men Act]],"")</f>
        <v>27.692307692307619</v>
      </c>
      <c r="S93" s="28">
        <v>1</v>
      </c>
      <c r="T93"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0.43333333333333446</v>
      </c>
      <c r="U93" s="34">
        <v>2</v>
      </c>
      <c r="V93" s="33">
        <v>0.5</v>
      </c>
      <c r="W93" s="33">
        <v>1.1000000000000001</v>
      </c>
      <c r="X93" s="35">
        <f>IFERROR((tbl_TubeLaser[[#This Row],[Adj. Total Hours]]+tbl_TubeLaser[[#This Row],[Est. Hours]])/(tbl_TubeLaser[[#This Row],[Total Hours Act]]+tbl_TubeLaser[[#This Row],[Act. Hours]]),"")</f>
        <v>0.47101449275362278</v>
      </c>
      <c r="Y93" s="102">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0.47101449275362278</v>
      </c>
      <c r="Z93" s="104">
        <f>IFERROR(tbl_TubeLaser[[#This Row],[Act. Mat. Qty]]-tbl_TubeLaser[[#This Row],[Adj. Mat. Qty]],"")</f>
        <v>0</v>
      </c>
      <c r="AA93" s="105">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0</v>
      </c>
      <c r="AB93" s="28" t="s">
        <v>199</v>
      </c>
      <c r="AC93" s="31" t="s">
        <v>38</v>
      </c>
      <c r="AD93" s="36"/>
    </row>
    <row r="94" spans="1:30" ht="25" customHeight="1">
      <c r="A94" s="27">
        <v>46128</v>
      </c>
      <c r="B94" s="28" t="s">
        <v>200</v>
      </c>
      <c r="C94" s="28" t="str">
        <f>IF(tbl_TubeLaser[[#This Row],[Part'#]]="", "Batch", "Part")</f>
        <v>Part</v>
      </c>
      <c r="D94" s="28" t="s">
        <v>201</v>
      </c>
      <c r="E94" s="29">
        <v>0.60902777777777772</v>
      </c>
      <c r="F94" s="29">
        <v>0.67569444444444449</v>
      </c>
      <c r="G94" s="28">
        <v>183</v>
      </c>
      <c r="H94" s="28">
        <v>154</v>
      </c>
      <c r="I94" s="70">
        <f>tbl_TubeLaser[[#This Row],[Qty Complete]]/tbl_TubeLaser[[#This Row],[Qty Required]]</f>
        <v>0.84153005464480879</v>
      </c>
      <c r="J94" s="30">
        <v>180</v>
      </c>
      <c r="K94" s="28">
        <v>1</v>
      </c>
      <c r="L94" s="31">
        <f>IF(tbl_TubeLaser[[#This Row],[Job Type]]="Batch",0,tbl_TubeLaser[[#This Row],[Qty Required]]/tbl_TubeLaser[[#This Row],[PPH]]*tbl_TubeLaser[[#This Row],['# of men]])</f>
        <v>1.0166666666666666</v>
      </c>
      <c r="M94" s="31">
        <f>IF(tbl_TubeLaser[[#This Row],[Job Type]]="Batch",tbl_TubeLaser[[#This Row],[Batch Hours]]*tbl_TubeLaser[[#This Row],[% Complete]],tbl_TubeLaser[[#This Row],[Total hours]]*tbl_TubeLaser[[#This Row],[% Complete]])</f>
        <v>0.85555555555555551</v>
      </c>
      <c r="N94" s="31"/>
      <c r="O94" s="28" t="s">
        <v>202</v>
      </c>
      <c r="P94" s="28">
        <f>tbl_TubeLaser[[#This Row],[Mat. Qty]]*tbl_TubeLaser[[#This Row],[% Complete]]</f>
        <v>51.333333333333336</v>
      </c>
      <c r="Q94" s="28">
        <v>61</v>
      </c>
      <c r="R94" s="32">
        <f>IFERROR(tbl_TubeLaser[[#This Row],[Qty Complete]]/tbl_TubeLaser[[#This Row],[Total Hours Act]]*tbl_TubeLaser[[#This Row],['# of men Act]],"")</f>
        <v>96.249999999999858</v>
      </c>
      <c r="S94" s="28">
        <v>1</v>
      </c>
      <c r="T94"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1.6000000000000023</v>
      </c>
      <c r="U94" s="34">
        <v>51</v>
      </c>
      <c r="V94" s="33">
        <v>0.5</v>
      </c>
      <c r="W94" s="33">
        <v>0.92</v>
      </c>
      <c r="X94" s="35">
        <f>IFERROR((tbl_TubeLaser[[#This Row],[Adj. Total Hours]]+tbl_TubeLaser[[#This Row],[Est. Hours]])/(tbl_TubeLaser[[#This Row],[Total Hours Act]]+tbl_TubeLaser[[#This Row],[Act. Hours]]),"")</f>
        <v>0.53791887125220417</v>
      </c>
      <c r="Y94"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94" s="104">
        <f>IFERROR(tbl_TubeLaser[[#This Row],[Act. Mat. Qty]]-tbl_TubeLaser[[#This Row],[Adj. Mat. Qty]],"")</f>
        <v>-0.3333333333333357</v>
      </c>
      <c r="AA94"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B94" s="28" t="s">
        <v>203</v>
      </c>
      <c r="AC94" s="31" t="s">
        <v>38</v>
      </c>
      <c r="AD94" s="36"/>
    </row>
    <row r="95" spans="1:30" ht="25" customHeight="1">
      <c r="A95" s="27">
        <v>46127</v>
      </c>
      <c r="B95" s="28">
        <v>143263</v>
      </c>
      <c r="C95" s="28" t="str">
        <f>IF(tbl_TubeLaser[[#This Row],[Part'#]]="", "Batch", "Part")</f>
        <v>Part</v>
      </c>
      <c r="D95" s="28" t="s">
        <v>159</v>
      </c>
      <c r="E95" s="29">
        <v>0.78680555555555554</v>
      </c>
      <c r="F95" s="29">
        <v>0.83750000000000002</v>
      </c>
      <c r="G95" s="28">
        <v>620</v>
      </c>
      <c r="H95" s="28">
        <v>20</v>
      </c>
      <c r="I95" s="70">
        <f>tbl_TubeLaser[[#This Row],[Qty Complete]]/tbl_TubeLaser[[#This Row],[Qty Required]]</f>
        <v>3.2258064516129031E-2</v>
      </c>
      <c r="J95" s="30">
        <v>36</v>
      </c>
      <c r="K95" s="28">
        <v>1</v>
      </c>
      <c r="L95" s="31">
        <f>IF(tbl_TubeLaser[[#This Row],[Job Type]]="Batch",0,tbl_TubeLaser[[#This Row],[Qty Required]]/tbl_TubeLaser[[#This Row],[PPH]]*tbl_TubeLaser[[#This Row],['# of men]])</f>
        <v>17.222222222222221</v>
      </c>
      <c r="M95" s="31">
        <f>IF(tbl_TubeLaser[[#This Row],[Job Type]]="Batch",tbl_TubeLaser[[#This Row],[Batch Hours]]*tbl_TubeLaser[[#This Row],[% Complete]],tbl_TubeLaser[[#This Row],[Total hours]]*tbl_TubeLaser[[#This Row],[% Complete]])</f>
        <v>0.55555555555555547</v>
      </c>
      <c r="N95" s="31"/>
      <c r="O95" s="28" t="s">
        <v>91</v>
      </c>
      <c r="P95" s="28">
        <f>tbl_TubeLaser[[#This Row],[Mat. Qty]]*tbl_TubeLaser[[#This Row],[% Complete]]</f>
        <v>10</v>
      </c>
      <c r="Q95" s="28">
        <v>310</v>
      </c>
      <c r="R95" s="32">
        <f>IFERROR(tbl_TubeLaser[[#This Row],[Qty Complete]]/tbl_TubeLaser[[#This Row],[Total Hours Act]]*tbl_TubeLaser[[#This Row],['# of men Act]],"")</f>
        <v>16.438356164383549</v>
      </c>
      <c r="S95" s="28">
        <v>1</v>
      </c>
      <c r="T95"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1.2166666666666677</v>
      </c>
      <c r="U95" s="34">
        <v>10</v>
      </c>
      <c r="V95" s="33">
        <v>0.5</v>
      </c>
      <c r="W95" s="33">
        <v>0.37</v>
      </c>
      <c r="X95" s="35">
        <f>IFERROR((tbl_TubeLaser[[#This Row],[Adj. Total Hours]]+tbl_TubeLaser[[#This Row],[Est. Hours]])/(tbl_TubeLaser[[#This Row],[Total Hours Act]]+tbl_TubeLaser[[#This Row],[Act. Hours]]),"")</f>
        <v>0.66526610644257644</v>
      </c>
      <c r="Y95"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95" s="104">
        <f>IFERROR(tbl_TubeLaser[[#This Row],[Act. Mat. Qty]]-tbl_TubeLaser[[#This Row],[Adj. Mat. Qty]],"")</f>
        <v>0</v>
      </c>
      <c r="AA95"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B95" s="28" t="s">
        <v>204</v>
      </c>
      <c r="AC95" s="31" t="s">
        <v>205</v>
      </c>
      <c r="AD95" s="36"/>
    </row>
    <row r="96" spans="1:30" ht="25" customHeight="1">
      <c r="A96" s="27">
        <v>46127</v>
      </c>
      <c r="B96" s="28">
        <v>143274</v>
      </c>
      <c r="C96" s="28" t="str">
        <f>IF(tbl_TubeLaser[[#This Row],[Part'#]]="", "Batch", "Part")</f>
        <v>Part</v>
      </c>
      <c r="D96" s="28" t="s">
        <v>206</v>
      </c>
      <c r="E96" s="29">
        <v>0.71944444444444444</v>
      </c>
      <c r="F96" s="29">
        <v>0.75694444444444442</v>
      </c>
      <c r="G96" s="28">
        <v>20</v>
      </c>
      <c r="H96" s="28">
        <v>14</v>
      </c>
      <c r="I96" s="70">
        <f>tbl_TubeLaser[[#This Row],[Qty Complete]]/tbl_TubeLaser[[#This Row],[Qty Required]]</f>
        <v>0.7</v>
      </c>
      <c r="J96" s="30">
        <v>24</v>
      </c>
      <c r="K96" s="28">
        <v>1</v>
      </c>
      <c r="L96" s="31">
        <f>IF(tbl_TubeLaser[[#This Row],[Job Type]]="Batch",0,tbl_TubeLaser[[#This Row],[Qty Required]]/tbl_TubeLaser[[#This Row],[PPH]]*tbl_TubeLaser[[#This Row],['# of men]])</f>
        <v>0.83333333333333337</v>
      </c>
      <c r="M96" s="31">
        <f>IF(tbl_TubeLaser[[#This Row],[Job Type]]="Batch",tbl_TubeLaser[[#This Row],[Batch Hours]]*tbl_TubeLaser[[#This Row],[% Complete]],tbl_TubeLaser[[#This Row],[Total hours]]*tbl_TubeLaser[[#This Row],[% Complete]])</f>
        <v>0.58333333333333337</v>
      </c>
      <c r="N96" s="31"/>
      <c r="O96" s="28" t="s">
        <v>91</v>
      </c>
      <c r="P96" s="28">
        <f>tbl_TubeLaser[[#This Row],[Mat. Qty]]*tbl_TubeLaser[[#This Row],[% Complete]]</f>
        <v>7</v>
      </c>
      <c r="Q96" s="28">
        <v>10</v>
      </c>
      <c r="R96" s="32">
        <f>IFERROR(tbl_TubeLaser[[#This Row],[Qty Complete]]/tbl_TubeLaser[[#This Row],[Total Hours Act]]*tbl_TubeLaser[[#This Row],['# of men Act]],"")</f>
        <v>15.555555555555564</v>
      </c>
      <c r="S96" s="28">
        <v>1</v>
      </c>
      <c r="T96"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0.89999999999999947</v>
      </c>
      <c r="U96" s="34">
        <v>7</v>
      </c>
      <c r="V96" s="33">
        <v>0.5</v>
      </c>
      <c r="W96" s="33">
        <v>0.5</v>
      </c>
      <c r="X96" s="35">
        <f>IFERROR((tbl_TubeLaser[[#This Row],[Adj. Total Hours]]+tbl_TubeLaser[[#This Row],[Est. Hours]])/(tbl_TubeLaser[[#This Row],[Total Hours Act]]+tbl_TubeLaser[[#This Row],[Act. Hours]]),"")</f>
        <v>0.77380952380952417</v>
      </c>
      <c r="Y96"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96" s="104">
        <f>IFERROR(tbl_TubeLaser[[#This Row],[Act. Mat. Qty]]-tbl_TubeLaser[[#This Row],[Adj. Mat. Qty]],"")</f>
        <v>0</v>
      </c>
      <c r="AA96"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B96" s="28" t="s">
        <v>207</v>
      </c>
      <c r="AC96" s="31" t="s">
        <v>161</v>
      </c>
      <c r="AD96" s="36"/>
    </row>
    <row r="97" spans="1:30" ht="25" customHeight="1">
      <c r="A97" s="27">
        <v>46127</v>
      </c>
      <c r="B97" s="28">
        <v>143309</v>
      </c>
      <c r="C97" s="28" t="str">
        <f>IF(tbl_TubeLaser[[#This Row],[Part'#]]="", "Batch", "Part")</f>
        <v>Part</v>
      </c>
      <c r="D97" s="28" t="s">
        <v>208</v>
      </c>
      <c r="E97" s="29">
        <v>4.583333333333333E-2</v>
      </c>
      <c r="F97" s="29">
        <v>9.930555555555555E-2</v>
      </c>
      <c r="G97" s="28">
        <v>36</v>
      </c>
      <c r="H97" s="28">
        <v>36</v>
      </c>
      <c r="I97" s="70">
        <f>tbl_TubeLaser[[#This Row],[Qty Complete]]/tbl_TubeLaser[[#This Row],[Qty Required]]</f>
        <v>1</v>
      </c>
      <c r="J97" s="30">
        <v>30</v>
      </c>
      <c r="K97" s="28">
        <v>1</v>
      </c>
      <c r="L97" s="31">
        <f>IF(tbl_TubeLaser[[#This Row],[Job Type]]="Batch",0,tbl_TubeLaser[[#This Row],[Qty Required]]/tbl_TubeLaser[[#This Row],[PPH]]*tbl_TubeLaser[[#This Row],['# of men]])</f>
        <v>1.2</v>
      </c>
      <c r="M97" s="31">
        <f>IF(tbl_TubeLaser[[#This Row],[Job Type]]="Batch",tbl_TubeLaser[[#This Row],[Batch Hours]]*tbl_TubeLaser[[#This Row],[% Complete]],tbl_TubeLaser[[#This Row],[Total hours]]*tbl_TubeLaser[[#This Row],[% Complete]])</f>
        <v>1.2</v>
      </c>
      <c r="N97" s="31"/>
      <c r="O97" s="28" t="s">
        <v>67</v>
      </c>
      <c r="P97" s="28">
        <f>tbl_TubeLaser[[#This Row],[Mat. Qty]]*tbl_TubeLaser[[#This Row],[% Complete]]</f>
        <v>18</v>
      </c>
      <c r="Q97" s="28">
        <v>18</v>
      </c>
      <c r="R97" s="32">
        <f>IFERROR(tbl_TubeLaser[[#This Row],[Qty Complete]]/tbl_TubeLaser[[#This Row],[Total Hours Act]]*tbl_TubeLaser[[#This Row],['# of men Act]],"")</f>
        <v>28.051948051948056</v>
      </c>
      <c r="S97" s="28">
        <v>1</v>
      </c>
      <c r="T97"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1.2833333333333332</v>
      </c>
      <c r="U97" s="34">
        <v>18</v>
      </c>
      <c r="V97" s="33">
        <v>0.5</v>
      </c>
      <c r="W97" s="33">
        <v>0.5</v>
      </c>
      <c r="X97" s="35">
        <f>IFERROR((tbl_TubeLaser[[#This Row],[Adj. Total Hours]]+tbl_TubeLaser[[#This Row],[Est. Hours]])/(tbl_TubeLaser[[#This Row],[Total Hours Act]]+tbl_TubeLaser[[#This Row],[Act. Hours]]),"")</f>
        <v>0.95327102803738317</v>
      </c>
      <c r="Y97" s="102">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0.95327102803738317</v>
      </c>
      <c r="Z97" s="104">
        <f>IFERROR(tbl_TubeLaser[[#This Row],[Act. Mat. Qty]]-tbl_TubeLaser[[#This Row],[Adj. Mat. Qty]],"")</f>
        <v>0</v>
      </c>
      <c r="AA97" s="105">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0</v>
      </c>
      <c r="AC97" s="31" t="s">
        <v>205</v>
      </c>
      <c r="AD97" s="36"/>
    </row>
    <row r="98" spans="1:30" ht="25" customHeight="1">
      <c r="A98" s="27">
        <v>46127</v>
      </c>
      <c r="B98" s="28">
        <v>143314</v>
      </c>
      <c r="C98" s="28" t="str">
        <f>IF(tbl_TubeLaser[[#This Row],[Part'#]]="", "Batch", "Part")</f>
        <v>Part</v>
      </c>
      <c r="D98" s="28" t="s">
        <v>80</v>
      </c>
      <c r="E98" s="29">
        <v>0.91527777777777775</v>
      </c>
      <c r="F98" s="29">
        <v>0.99444444444444446</v>
      </c>
      <c r="G98" s="28">
        <v>36</v>
      </c>
      <c r="H98" s="28">
        <v>36</v>
      </c>
      <c r="I98" s="70">
        <f>tbl_TubeLaser[[#This Row],[Qty Complete]]/tbl_TubeLaser[[#This Row],[Qty Required]]</f>
        <v>1</v>
      </c>
      <c r="J98" s="30">
        <v>30</v>
      </c>
      <c r="K98" s="28">
        <v>1</v>
      </c>
      <c r="L98" s="31">
        <f>IF(tbl_TubeLaser[[#This Row],[Job Type]]="Batch",0,tbl_TubeLaser[[#This Row],[Qty Required]]/tbl_TubeLaser[[#This Row],[PPH]]*tbl_TubeLaser[[#This Row],['# of men]])</f>
        <v>1.2</v>
      </c>
      <c r="M98" s="31">
        <f>IF(tbl_TubeLaser[[#This Row],[Job Type]]="Batch",tbl_TubeLaser[[#This Row],[Batch Hours]]*tbl_TubeLaser[[#This Row],[% Complete]],tbl_TubeLaser[[#This Row],[Total hours]]*tbl_TubeLaser[[#This Row],[% Complete]])</f>
        <v>1.2</v>
      </c>
      <c r="N98" s="31"/>
      <c r="O98" s="28" t="s">
        <v>67</v>
      </c>
      <c r="P98" s="28">
        <f>tbl_TubeLaser[[#This Row],[Mat. Qty]]*tbl_TubeLaser[[#This Row],[% Complete]]</f>
        <v>18</v>
      </c>
      <c r="Q98" s="28">
        <v>18</v>
      </c>
      <c r="R98" s="32">
        <f>IFERROR(tbl_TubeLaser[[#This Row],[Qty Complete]]/tbl_TubeLaser[[#This Row],[Total Hours Act]]*tbl_TubeLaser[[#This Row],['# of men Act]],"")</f>
        <v>18.947368421052619</v>
      </c>
      <c r="S98" s="28">
        <v>1</v>
      </c>
      <c r="T98"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1.9000000000000012</v>
      </c>
      <c r="U98" s="34">
        <v>18</v>
      </c>
      <c r="V98" s="33">
        <v>0.5</v>
      </c>
      <c r="W98" s="33">
        <v>0.2</v>
      </c>
      <c r="X98" s="35">
        <f>IFERROR((tbl_TubeLaser[[#This Row],[Adj. Total Hours]]+tbl_TubeLaser[[#This Row],[Est. Hours]])/(tbl_TubeLaser[[#This Row],[Total Hours Act]]+tbl_TubeLaser[[#This Row],[Act. Hours]]),"")</f>
        <v>0.80952380952380898</v>
      </c>
      <c r="Y98" s="102">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0.80952380952380898</v>
      </c>
      <c r="Z98" s="104">
        <f>IFERROR(tbl_TubeLaser[[#This Row],[Act. Mat. Qty]]-tbl_TubeLaser[[#This Row],[Adj. Mat. Qty]],"")</f>
        <v>0</v>
      </c>
      <c r="AA98" s="105">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0</v>
      </c>
      <c r="AC98" s="31" t="s">
        <v>161</v>
      </c>
      <c r="AD98" s="36"/>
    </row>
    <row r="99" spans="1:30" ht="25" customHeight="1">
      <c r="A99" s="27">
        <v>46127</v>
      </c>
      <c r="B99" s="28" t="s">
        <v>200</v>
      </c>
      <c r="D99" s="28" t="s">
        <v>201</v>
      </c>
      <c r="E99" s="29">
        <v>0.72916666666666663</v>
      </c>
      <c r="F99" s="29">
        <v>0.77500000000000002</v>
      </c>
      <c r="G99" s="28">
        <v>183</v>
      </c>
      <c r="H99" s="28">
        <v>26</v>
      </c>
      <c r="I99" s="70">
        <f>tbl_TubeLaser[[#This Row],[Qty Complete]]/tbl_TubeLaser[[#This Row],[Qty Required]]</f>
        <v>0.14207650273224043</v>
      </c>
      <c r="J99" s="30">
        <v>180</v>
      </c>
      <c r="K99" s="28">
        <v>1</v>
      </c>
      <c r="L99" s="31">
        <f>IF(tbl_TubeLaser[[#This Row],[Job Type]]="Batch",0,tbl_TubeLaser[[#This Row],[Qty Required]]/tbl_TubeLaser[[#This Row],[PPH]]*tbl_TubeLaser[[#This Row],['# of men]])</f>
        <v>1.0166666666666666</v>
      </c>
      <c r="M99" s="31">
        <f>IF(tbl_TubeLaser[[#This Row],[Job Type]]="Batch",tbl_TubeLaser[[#This Row],[Batch Hours]]*tbl_TubeLaser[[#This Row],[% Complete]],tbl_TubeLaser[[#This Row],[Total hours]]*tbl_TubeLaser[[#This Row],[% Complete]])</f>
        <v>0.14444444444444443</v>
      </c>
      <c r="N99" s="31"/>
      <c r="O99" s="28" t="s">
        <v>202</v>
      </c>
      <c r="P99" s="28">
        <f>tbl_TubeLaser[[#This Row],[Mat. Qty]]*tbl_TubeLaser[[#This Row],[% Complete]]</f>
        <v>8.6666666666666661</v>
      </c>
      <c r="Q99" s="28">
        <v>61</v>
      </c>
      <c r="R99" s="32">
        <f>IFERROR(tbl_TubeLaser[[#This Row],[Qty Complete]]/tbl_TubeLaser[[#This Row],[Total Hours Act]]*tbl_TubeLaser[[#This Row],['# of men Act]],"")</f>
        <v>23.636363636363605</v>
      </c>
      <c r="S99" s="28">
        <v>1</v>
      </c>
      <c r="T99"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1.1000000000000014</v>
      </c>
      <c r="U99" s="34">
        <v>9</v>
      </c>
      <c r="V99" s="33">
        <v>0.5</v>
      </c>
      <c r="W99" s="33">
        <v>0.2</v>
      </c>
      <c r="X99" s="35">
        <f>IFERROR((tbl_TubeLaser[[#This Row],[Adj. Total Hours]]+tbl_TubeLaser[[#This Row],[Est. Hours]])/(tbl_TubeLaser[[#This Row],[Total Hours Act]]+tbl_TubeLaser[[#This Row],[Act. Hours]]),"")</f>
        <v>0.49572649572649513</v>
      </c>
      <c r="Y99"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99" s="104">
        <f>IFERROR(tbl_TubeLaser[[#This Row],[Act. Mat. Qty]]-tbl_TubeLaser[[#This Row],[Adj. Mat. Qty]],"")</f>
        <v>0.33333333333333393</v>
      </c>
      <c r="AA99"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B99" s="28" t="s">
        <v>209</v>
      </c>
      <c r="AC99" s="31" t="s">
        <v>210</v>
      </c>
      <c r="AD99" s="36"/>
    </row>
    <row r="100" spans="1:30" ht="25" customHeight="1">
      <c r="A100" s="27">
        <v>46127</v>
      </c>
      <c r="B100" s="28" t="s">
        <v>211</v>
      </c>
      <c r="D100" s="28" t="s">
        <v>212</v>
      </c>
      <c r="E100" s="29">
        <v>0.89722222222222225</v>
      </c>
      <c r="F100" s="29">
        <v>0.99861111111111112</v>
      </c>
      <c r="G100" s="28">
        <v>20</v>
      </c>
      <c r="H100" s="28">
        <v>20</v>
      </c>
      <c r="I100" s="70">
        <f>tbl_TubeLaser[[#This Row],[Qty Complete]]/tbl_TubeLaser[[#This Row],[Qty Required]]</f>
        <v>1</v>
      </c>
      <c r="J100" s="30">
        <v>27</v>
      </c>
      <c r="K100" s="28">
        <v>1</v>
      </c>
      <c r="L100" s="31">
        <f>IF(tbl_TubeLaser[[#This Row],[Job Type]]="Batch",0,tbl_TubeLaser[[#This Row],[Qty Required]]/tbl_TubeLaser[[#This Row],[PPH]]*tbl_TubeLaser[[#This Row],['# of men]])</f>
        <v>0.7407407407407407</v>
      </c>
      <c r="M100" s="31">
        <f>IF(tbl_TubeLaser[[#This Row],[Job Type]]="Batch",tbl_TubeLaser[[#This Row],[Batch Hours]]*tbl_TubeLaser[[#This Row],[% Complete]],tbl_TubeLaser[[#This Row],[Total hours]]*tbl_TubeLaser[[#This Row],[% Complete]])</f>
        <v>0.7407407407407407</v>
      </c>
      <c r="N100" s="31"/>
      <c r="O100" s="28" t="s">
        <v>213</v>
      </c>
      <c r="P100" s="28">
        <f>tbl_TubeLaser[[#This Row],[Mat. Qty]]*tbl_TubeLaser[[#This Row],[% Complete]]</f>
        <v>7</v>
      </c>
      <c r="Q100" s="28">
        <v>7</v>
      </c>
      <c r="R100" s="32">
        <f>IFERROR(tbl_TubeLaser[[#This Row],[Qty Complete]]/tbl_TubeLaser[[#This Row],[Total Hours Act]]*tbl_TubeLaser[[#This Row],['# of men Act]],"")</f>
        <v>8.2191780821917835</v>
      </c>
      <c r="S100" s="28">
        <v>1</v>
      </c>
      <c r="T100"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2.4333333333333327</v>
      </c>
      <c r="U100" s="34">
        <v>7</v>
      </c>
      <c r="V100" s="33">
        <v>0.5</v>
      </c>
      <c r="W100" s="33">
        <v>0.5</v>
      </c>
      <c r="X100" s="35">
        <f>IFERROR((tbl_TubeLaser[[#This Row],[Adj. Total Hours]]+tbl_TubeLaser[[#This Row],[Est. Hours]])/(tbl_TubeLaser[[#This Row],[Total Hours Act]]+tbl_TubeLaser[[#This Row],[Act. Hours]]),"")</f>
        <v>0.42297979797979807</v>
      </c>
      <c r="Y100" s="102">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0.42297979797979807</v>
      </c>
      <c r="Z100" s="104">
        <f>IFERROR(tbl_TubeLaser[[#This Row],[Act. Mat. Qty]]-tbl_TubeLaser[[#This Row],[Adj. Mat. Qty]],"")</f>
        <v>0</v>
      </c>
      <c r="AA100" s="105">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0</v>
      </c>
      <c r="AB100" s="28" t="s">
        <v>214</v>
      </c>
      <c r="AC100" s="31" t="s">
        <v>158</v>
      </c>
      <c r="AD100" s="36"/>
    </row>
    <row r="101" spans="1:30" ht="25" customHeight="1">
      <c r="A101" s="27">
        <v>46129</v>
      </c>
      <c r="B101" s="28" t="s">
        <v>764</v>
      </c>
      <c r="C101" s="28" t="str">
        <f>IF(tbl_TubeLaser[[#This Row],[Part'#]]="", "Batch", "Part")</f>
        <v>Part</v>
      </c>
      <c r="D101" s="28">
        <v>200601</v>
      </c>
      <c r="E101" s="29">
        <v>0.22916666666666666</v>
      </c>
      <c r="F101" s="29">
        <v>0.25763888888888886</v>
      </c>
      <c r="G101" s="28">
        <v>12</v>
      </c>
      <c r="H101" s="28">
        <v>12</v>
      </c>
      <c r="I101" s="70">
        <f>tbl_TubeLaser[[#This Row],[Qty Complete]]/tbl_TubeLaser[[#This Row],[Qty Required]]</f>
        <v>1</v>
      </c>
      <c r="J101" s="30">
        <v>54</v>
      </c>
      <c r="K101" s="28">
        <v>1</v>
      </c>
      <c r="L101" s="31">
        <f>IF(tbl_TubeLaser[[#This Row],[Job Type]]="Batch",0,tbl_TubeLaser[[#This Row],[Qty Required]]/tbl_TubeLaser[[#This Row],[PPH]]*tbl_TubeLaser[[#This Row],['# of men]])</f>
        <v>0.22222222222222221</v>
      </c>
      <c r="M101" s="31">
        <f>IF(tbl_TubeLaser[[#This Row],[Job Type]]="Batch",tbl_TubeLaser[[#This Row],[Batch Hours]]*tbl_TubeLaser[[#This Row],[% Complete]],tbl_TubeLaser[[#This Row],[Total hours]]*tbl_TubeLaser[[#This Row],[% Complete]])</f>
        <v>0.22222222222222221</v>
      </c>
      <c r="N101" s="31"/>
      <c r="O101" s="28" t="s">
        <v>765</v>
      </c>
      <c r="P101" s="28">
        <f>tbl_TubeLaser[[#This Row],[Mat. Qty]]*tbl_TubeLaser[[#This Row],[% Complete]]</f>
        <v>12</v>
      </c>
      <c r="Q101" s="28">
        <v>12</v>
      </c>
      <c r="R101" s="32">
        <f>IFERROR(tbl_TubeLaser[[#This Row],[Qty Complete]]/tbl_TubeLaser[[#This Row],[Total Hours Act]]*tbl_TubeLaser[[#This Row],['# of men Act]],"")</f>
        <v>17.56097560975611</v>
      </c>
      <c r="S101" s="28">
        <v>1</v>
      </c>
      <c r="T101"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0.6833333333333329</v>
      </c>
      <c r="U101" s="34">
        <v>12</v>
      </c>
      <c r="V101" s="33">
        <v>0.5</v>
      </c>
      <c r="W101" s="33">
        <v>0.5</v>
      </c>
      <c r="X101" s="35">
        <f>IFERROR((tbl_TubeLaser[[#This Row],[Adj. Total Hours]]+tbl_TubeLaser[[#This Row],[Est. Hours]])/(tbl_TubeLaser[[#This Row],[Total Hours Act]]+tbl_TubeLaser[[#This Row],[Act. Hours]]),"")</f>
        <v>0.61032863849765284</v>
      </c>
      <c r="Y101" s="102">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0.61032863849765284</v>
      </c>
      <c r="Z101" s="104">
        <f>IFERROR(tbl_TubeLaser[[#This Row],[Act. Mat. Qty]]-tbl_TubeLaser[[#This Row],[Adj. Mat. Qty]],"")</f>
        <v>0</v>
      </c>
      <c r="AA101" s="105">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0</v>
      </c>
      <c r="AC101" s="31"/>
      <c r="AD101" s="36"/>
    </row>
    <row r="102" spans="1:30" ht="25" customHeight="1">
      <c r="A102" s="27">
        <v>46129</v>
      </c>
      <c r="B102" s="28">
        <v>143188</v>
      </c>
      <c r="C102" s="28" t="str">
        <f>IF(tbl_TubeLaser[[#This Row],[Part'#]]="", "Batch", "Part")</f>
        <v>Part</v>
      </c>
      <c r="D102" s="28" t="s">
        <v>84</v>
      </c>
      <c r="E102" s="29">
        <v>0.25833333333333336</v>
      </c>
      <c r="F102" s="29">
        <v>0.27638888888888891</v>
      </c>
      <c r="G102" s="28">
        <v>18</v>
      </c>
      <c r="H102" s="28">
        <v>2</v>
      </c>
      <c r="I102" s="70">
        <f>tbl_TubeLaser[[#This Row],[Qty Complete]]/tbl_TubeLaser[[#This Row],[Qty Required]]</f>
        <v>0.1111111111111111</v>
      </c>
      <c r="J102" s="30">
        <v>36</v>
      </c>
      <c r="K102" s="28">
        <v>1</v>
      </c>
      <c r="L102" s="31">
        <f>IF(tbl_TubeLaser[[#This Row],[Job Type]]="Batch",0,tbl_TubeLaser[[#This Row],[Qty Required]]/tbl_TubeLaser[[#This Row],[PPH]]*tbl_TubeLaser[[#This Row],['# of men]])</f>
        <v>0.5</v>
      </c>
      <c r="M102" s="31">
        <f>IF(tbl_TubeLaser[[#This Row],[Job Type]]="Batch",tbl_TubeLaser[[#This Row],[Batch Hours]]*tbl_TubeLaser[[#This Row],[% Complete]],tbl_TubeLaser[[#This Row],[Total hours]]*tbl_TubeLaser[[#This Row],[% Complete]])</f>
        <v>5.5555555555555552E-2</v>
      </c>
      <c r="N102" s="31"/>
      <c r="O102" s="28" t="s">
        <v>765</v>
      </c>
      <c r="P102" s="28">
        <f>tbl_TubeLaser[[#This Row],[Mat. Qty]]*tbl_TubeLaser[[#This Row],[% Complete]]</f>
        <v>0.22222222222222221</v>
      </c>
      <c r="Q102" s="28">
        <v>2</v>
      </c>
      <c r="R102" s="32">
        <f>IFERROR(tbl_TubeLaser[[#This Row],[Qty Complete]]/tbl_TubeLaser[[#This Row],[Total Hours Act]]*tbl_TubeLaser[[#This Row],['# of men Act]],"")</f>
        <v>4.6153846153846176</v>
      </c>
      <c r="S102" s="28">
        <v>1</v>
      </c>
      <c r="T102"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0.43333333333333313</v>
      </c>
      <c r="U102" s="34">
        <v>1</v>
      </c>
      <c r="V102" s="33">
        <v>0.5</v>
      </c>
      <c r="W102" s="33">
        <v>0.5</v>
      </c>
      <c r="X102" s="35">
        <f>IFERROR((tbl_TubeLaser[[#This Row],[Adj. Total Hours]]+tbl_TubeLaser[[#This Row],[Est. Hours]])/(tbl_TubeLaser[[#This Row],[Total Hours Act]]+tbl_TubeLaser[[#This Row],[Act. Hours]]),"")</f>
        <v>0.59523809523809534</v>
      </c>
      <c r="Y102" s="102">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0.41860465116279072</v>
      </c>
      <c r="Z102" s="104">
        <f>IFERROR(tbl_TubeLaser[[#This Row],[Act. Mat. Qty]]-tbl_TubeLaser[[#This Row],[Adj. Mat. Qty]],"")</f>
        <v>0.77777777777777779</v>
      </c>
      <c r="AA102" s="105">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0.77777777777777779</v>
      </c>
      <c r="AC102" s="31"/>
      <c r="AD102" s="36"/>
    </row>
    <row r="103" spans="1:30" ht="25" customHeight="1">
      <c r="A103" s="27">
        <v>46129</v>
      </c>
      <c r="B103" s="28">
        <v>143272</v>
      </c>
      <c r="C103" s="28" t="str">
        <f>IF(tbl_TubeLaser[[#This Row],[Part'#]]="", "Batch", "Part")</f>
        <v>Part</v>
      </c>
      <c r="D103" s="28" t="s">
        <v>766</v>
      </c>
      <c r="E103" s="29">
        <v>0.36875000000000002</v>
      </c>
      <c r="F103" s="29">
        <v>0.44722222222222224</v>
      </c>
      <c r="G103" s="28">
        <v>68</v>
      </c>
      <c r="H103" s="28">
        <v>39</v>
      </c>
      <c r="I103" s="70">
        <f>tbl_TubeLaser[[#This Row],[Qty Complete]]/tbl_TubeLaser[[#This Row],[Qty Required]]</f>
        <v>0.57352941176470584</v>
      </c>
      <c r="J103" s="30">
        <v>24</v>
      </c>
      <c r="K103" s="28">
        <v>1</v>
      </c>
      <c r="L103" s="31">
        <f>IF(tbl_TubeLaser[[#This Row],[Job Type]]="Batch",0,tbl_TubeLaser[[#This Row],[Qty Required]]/tbl_TubeLaser[[#This Row],[PPH]]*tbl_TubeLaser[[#This Row],['# of men]])</f>
        <v>2.8333333333333335</v>
      </c>
      <c r="M103" s="31">
        <f>IF(tbl_TubeLaser[[#This Row],[Job Type]]="Batch",tbl_TubeLaser[[#This Row],[Batch Hours]]*tbl_TubeLaser[[#This Row],[% Complete]],tbl_TubeLaser[[#This Row],[Total hours]]*tbl_TubeLaser[[#This Row],[% Complete]])</f>
        <v>1.625</v>
      </c>
      <c r="N103" s="31"/>
      <c r="O103" s="28" t="s">
        <v>91</v>
      </c>
      <c r="P103" s="28">
        <f>tbl_TubeLaser[[#This Row],[Mat. Qty]]*tbl_TubeLaser[[#This Row],[% Complete]]</f>
        <v>11.470588235294116</v>
      </c>
      <c r="Q103" s="28">
        <v>20</v>
      </c>
      <c r="R103" s="32">
        <f>IFERROR(tbl_TubeLaser[[#This Row],[Qty Complete]]/tbl_TubeLaser[[#This Row],[Total Hours Act]]*tbl_TubeLaser[[#This Row],['# of men Act]],"")</f>
        <v>20.707964601769913</v>
      </c>
      <c r="S103" s="28">
        <v>1</v>
      </c>
      <c r="T103"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1.8833333333333333</v>
      </c>
      <c r="U103" s="34">
        <v>20</v>
      </c>
      <c r="X103" s="35">
        <f>IFERROR((tbl_TubeLaser[[#This Row],[Adj. Total Hours]]+tbl_TubeLaser[[#This Row],[Est. Hours]])/(tbl_TubeLaser[[#This Row],[Total Hours Act]]+tbl_TubeLaser[[#This Row],[Act. Hours]]),"")</f>
        <v>0.86283185840707965</v>
      </c>
      <c r="Y103"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03" s="104">
        <f>IFERROR(tbl_TubeLaser[[#This Row],[Act. Mat. Qty]]-tbl_TubeLaser[[#This Row],[Adj. Mat. Qty]],"")</f>
        <v>8.529411764705884</v>
      </c>
      <c r="AA103"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03" s="31"/>
      <c r="AD103" s="36"/>
    </row>
    <row r="104" spans="1:30" ht="25" customHeight="1">
      <c r="A104" s="27">
        <v>46129</v>
      </c>
      <c r="B104" s="28">
        <v>143308</v>
      </c>
      <c r="C104" s="28" t="str">
        <f>IF(tbl_TubeLaser[[#This Row],[Part'#]]="", "Batch", "Part")</f>
        <v>Part</v>
      </c>
      <c r="D104" s="28" t="s">
        <v>772</v>
      </c>
      <c r="E104" s="29">
        <v>0.20833333333333334</v>
      </c>
      <c r="F104" s="29">
        <v>0.3125</v>
      </c>
      <c r="G104" s="28">
        <v>27</v>
      </c>
      <c r="H104" s="28">
        <v>27</v>
      </c>
      <c r="I104" s="70">
        <f>tbl_TubeLaser[[#This Row],[Qty Complete]]/tbl_TubeLaser[[#This Row],[Qty Required]]</f>
        <v>1</v>
      </c>
      <c r="J104" s="30">
        <v>12</v>
      </c>
      <c r="K104" s="28">
        <v>1</v>
      </c>
      <c r="L104" s="31">
        <f>IF(tbl_TubeLaser[[#This Row],[Job Type]]="Batch",0,tbl_TubeLaser[[#This Row],[Qty Required]]/tbl_TubeLaser[[#This Row],[PPH]]*tbl_TubeLaser[[#This Row],['# of men]])</f>
        <v>2.25</v>
      </c>
      <c r="M104" s="31">
        <f>IF(tbl_TubeLaser[[#This Row],[Job Type]]="Batch",tbl_TubeLaser[[#This Row],[Batch Hours]]*tbl_TubeLaser[[#This Row],[% Complete]],tbl_TubeLaser[[#This Row],[Total hours]]*tbl_TubeLaser[[#This Row],[% Complete]])</f>
        <v>2.25</v>
      </c>
      <c r="N104" s="31"/>
      <c r="O104" s="28" t="s">
        <v>111</v>
      </c>
      <c r="P104" s="28">
        <f>tbl_TubeLaser[[#This Row],[Mat. Qty]]*tbl_TubeLaser[[#This Row],[% Complete]]</f>
        <v>27</v>
      </c>
      <c r="Q104" s="28">
        <v>27</v>
      </c>
      <c r="R104" s="32">
        <f>IFERROR(tbl_TubeLaser[[#This Row],[Qty Complete]]/tbl_TubeLaser[[#This Row],[Total Hours Act]]*tbl_TubeLaser[[#This Row],['# of men Act]],"")</f>
        <v>10.8</v>
      </c>
      <c r="S104" s="28">
        <v>1</v>
      </c>
      <c r="T104"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2.5</v>
      </c>
      <c r="U104" s="34">
        <v>27</v>
      </c>
      <c r="X104" s="35">
        <f>IFERROR((tbl_TubeLaser[[#This Row],[Adj. Total Hours]]+tbl_TubeLaser[[#This Row],[Est. Hours]])/(tbl_TubeLaser[[#This Row],[Total Hours Act]]+tbl_TubeLaser[[#This Row],[Act. Hours]]),"")</f>
        <v>0.9</v>
      </c>
      <c r="Y104" s="102">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0.9</v>
      </c>
      <c r="Z104" s="104">
        <f>IFERROR(tbl_TubeLaser[[#This Row],[Act. Mat. Qty]]-tbl_TubeLaser[[#This Row],[Adj. Mat. Qty]],"")</f>
        <v>0</v>
      </c>
      <c r="AA104" s="105">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0</v>
      </c>
      <c r="AC104" s="31"/>
      <c r="AD104" s="36"/>
    </row>
    <row r="105" spans="1:30" ht="25" customHeight="1">
      <c r="A105" s="27">
        <v>46129</v>
      </c>
      <c r="B105" s="28">
        <v>143315</v>
      </c>
      <c r="C105" s="28" t="str">
        <f>IF(tbl_TubeLaser[[#This Row],[Part'#]]="", "Batch", "Part")</f>
        <v>Part</v>
      </c>
      <c r="D105" s="28" t="s">
        <v>776</v>
      </c>
      <c r="E105" s="29">
        <v>0.31319444444444444</v>
      </c>
      <c r="F105" s="29">
        <v>0.44027777777777777</v>
      </c>
      <c r="G105" s="28">
        <v>27</v>
      </c>
      <c r="H105" s="28">
        <v>27</v>
      </c>
      <c r="I105" s="70">
        <f>tbl_TubeLaser[[#This Row],[Qty Complete]]/tbl_TubeLaser[[#This Row],[Qty Required]]</f>
        <v>1</v>
      </c>
      <c r="J105" s="30">
        <v>24</v>
      </c>
      <c r="K105" s="28">
        <v>1</v>
      </c>
      <c r="L105" s="31">
        <f>IF(tbl_TubeLaser[[#This Row],[Job Type]]="Batch",0,tbl_TubeLaser[[#This Row],[Qty Required]]/tbl_TubeLaser[[#This Row],[PPH]]*tbl_TubeLaser[[#This Row],['# of men]])</f>
        <v>1.125</v>
      </c>
      <c r="M105" s="31">
        <f>IF(tbl_TubeLaser[[#This Row],[Job Type]]="Batch",tbl_TubeLaser[[#This Row],[Batch Hours]]*tbl_TubeLaser[[#This Row],[% Complete]],tbl_TubeLaser[[#This Row],[Total hours]]*tbl_TubeLaser[[#This Row],[% Complete]])</f>
        <v>1.125</v>
      </c>
      <c r="N105" s="31"/>
      <c r="O105" s="28" t="s">
        <v>111</v>
      </c>
      <c r="P105" s="28">
        <f>tbl_TubeLaser[[#This Row],[Mat. Qty]]*tbl_TubeLaser[[#This Row],[% Complete]]</f>
        <v>27</v>
      </c>
      <c r="Q105" s="28">
        <v>27</v>
      </c>
      <c r="R105" s="32">
        <f>IFERROR(tbl_TubeLaser[[#This Row],[Qty Complete]]/tbl_TubeLaser[[#This Row],[Total Hours Act]]*tbl_TubeLaser[[#This Row],['# of men Act]],"")</f>
        <v>8.8524590163934427</v>
      </c>
      <c r="S105" s="28">
        <v>1</v>
      </c>
      <c r="T105"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3.05</v>
      </c>
      <c r="U105" s="34">
        <v>27</v>
      </c>
      <c r="V105" s="33">
        <v>0.5</v>
      </c>
      <c r="X105" s="35">
        <f>IFERROR((tbl_TubeLaser[[#This Row],[Adj. Total Hours]]+tbl_TubeLaser[[#This Row],[Est. Hours]])/(tbl_TubeLaser[[#This Row],[Total Hours Act]]+tbl_TubeLaser[[#This Row],[Act. Hours]]),"")</f>
        <v>0.53278688524590168</v>
      </c>
      <c r="Y105" s="102">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0.53278688524590168</v>
      </c>
      <c r="Z105" s="104">
        <f>IFERROR(tbl_TubeLaser[[#This Row],[Act. Mat. Qty]]-tbl_TubeLaser[[#This Row],[Adj. Mat. Qty]],"")</f>
        <v>0</v>
      </c>
      <c r="AA105" s="105">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0</v>
      </c>
      <c r="AB105" s="28" t="s">
        <v>777</v>
      </c>
      <c r="AC105" s="31"/>
      <c r="AD105" s="36"/>
    </row>
    <row r="106" spans="1:30" ht="25" customHeight="1">
      <c r="A106" s="27">
        <v>46129</v>
      </c>
      <c r="B106" s="28" t="s">
        <v>778</v>
      </c>
      <c r="C106" s="28" t="str">
        <f>IF(tbl_TubeLaser[[#This Row],[Part'#]]="", "Batch", "Part")</f>
        <v>Part</v>
      </c>
      <c r="D106" s="28" t="s">
        <v>779</v>
      </c>
      <c r="E106" s="29">
        <v>0.52222222222222225</v>
      </c>
      <c r="F106" s="29">
        <v>0.69166666666666665</v>
      </c>
      <c r="G106" s="28">
        <v>96</v>
      </c>
      <c r="H106" s="28">
        <v>52</v>
      </c>
      <c r="I106" s="70">
        <f>tbl_TubeLaser[[#This Row],[Qty Complete]]/tbl_TubeLaser[[#This Row],[Qty Required]]</f>
        <v>0.54166666666666663</v>
      </c>
      <c r="L106" s="31" t="e">
        <f>IF(tbl_TubeLaser[[#This Row],[Job Type]]="Batch",0,tbl_TubeLaser[[#This Row],[Qty Required]]/tbl_TubeLaser[[#This Row],[PPH]]*tbl_TubeLaser[[#This Row],['# of men]])</f>
        <v>#DIV/0!</v>
      </c>
      <c r="M106" s="31" t="e">
        <f>IF(tbl_TubeLaser[[#This Row],[Job Type]]="Batch",tbl_TubeLaser[[#This Row],[Batch Hours]]*tbl_TubeLaser[[#This Row],[% Complete]],tbl_TubeLaser[[#This Row],[Total hours]]*tbl_TubeLaser[[#This Row],[% Complete]])</f>
        <v>#DIV/0!</v>
      </c>
      <c r="N106" s="31"/>
      <c r="P106" s="28">
        <f>tbl_TubeLaser[[#This Row],[Mat. Qty]]*tbl_TubeLaser[[#This Row],[% Complete]]</f>
        <v>0</v>
      </c>
      <c r="R106" s="32" t="str">
        <f>IFERROR(tbl_TubeLaser[[#This Row],[Qty Complete]]/tbl_TubeLaser[[#This Row],[Total Hours Act]]*tbl_TubeLaser[[#This Row],['# of men Act]],"")</f>
        <v/>
      </c>
      <c r="T106"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06" s="35" t="str">
        <f>IFERROR((tbl_TubeLaser[[#This Row],[Adj. Total Hours]]+tbl_TubeLaser[[#This Row],[Est. Hours]])/(tbl_TubeLaser[[#This Row],[Total Hours Act]]+tbl_TubeLaser[[#This Row],[Act. Hours]]),"")</f>
        <v/>
      </c>
      <c r="Y106"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06" s="104">
        <f>IFERROR(tbl_TubeLaser[[#This Row],[Act. Mat. Qty]]-tbl_TubeLaser[[#This Row],[Adj. Mat. Qty]],"")</f>
        <v>0</v>
      </c>
      <c r="AA106"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06" s="31"/>
      <c r="AD106" s="36"/>
    </row>
    <row r="107" spans="1:30" ht="25" customHeight="1">
      <c r="A107" s="27">
        <v>46129</v>
      </c>
      <c r="B107" s="28" t="s">
        <v>780</v>
      </c>
      <c r="C107" s="28" t="str">
        <f>IF(tbl_TubeLaser[[#This Row],[Part'#]]="", "Batch", "Part")</f>
        <v>Part</v>
      </c>
      <c r="D107" s="28" t="s">
        <v>781</v>
      </c>
      <c r="E107" s="29">
        <v>0.54027777777777775</v>
      </c>
      <c r="F107" s="29">
        <v>0.59722222222222221</v>
      </c>
      <c r="G107" s="28">
        <v>8</v>
      </c>
      <c r="H107" s="28">
        <v>8</v>
      </c>
      <c r="I107" s="70">
        <f>tbl_TubeLaser[[#This Row],[Qty Complete]]/tbl_TubeLaser[[#This Row],[Qty Required]]</f>
        <v>1</v>
      </c>
      <c r="J107" s="30">
        <v>2</v>
      </c>
      <c r="K107" s="28">
        <v>1</v>
      </c>
      <c r="L107" s="31">
        <f>IF(tbl_TubeLaser[[#This Row],[Job Type]]="Batch",0,tbl_TubeLaser[[#This Row],[Qty Required]]/tbl_TubeLaser[[#This Row],[PPH]]*tbl_TubeLaser[[#This Row],['# of men]])</f>
        <v>4</v>
      </c>
      <c r="M107" s="31">
        <f>IF(tbl_TubeLaser[[#This Row],[Job Type]]="Batch",tbl_TubeLaser[[#This Row],[Batch Hours]]*tbl_TubeLaser[[#This Row],[% Complete]],tbl_TubeLaser[[#This Row],[Total hours]]*tbl_TubeLaser[[#This Row],[% Complete]])</f>
        <v>4</v>
      </c>
      <c r="N107" s="31"/>
      <c r="O107" s="28" t="s">
        <v>782</v>
      </c>
      <c r="P107" s="28">
        <f>tbl_TubeLaser[[#This Row],[Mat. Qty]]*tbl_TubeLaser[[#This Row],[% Complete]]</f>
        <v>8</v>
      </c>
      <c r="Q107" s="28">
        <v>8</v>
      </c>
      <c r="R107" s="32">
        <f>IFERROR(tbl_TubeLaser[[#This Row],[Qty Complete]]/tbl_TubeLaser[[#This Row],[Total Hours Act]]*tbl_TubeLaser[[#This Row],['# of men Act]],"")</f>
        <v>5.8536585365853639</v>
      </c>
      <c r="S107" s="28">
        <v>1</v>
      </c>
      <c r="T107"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1.3666666666666671</v>
      </c>
      <c r="U107" s="34">
        <v>8</v>
      </c>
      <c r="X107" s="35">
        <f>IFERROR((tbl_TubeLaser[[#This Row],[Adj. Total Hours]]+tbl_TubeLaser[[#This Row],[Est. Hours]])/(tbl_TubeLaser[[#This Row],[Total Hours Act]]+tbl_TubeLaser[[#This Row],[Act. Hours]]),"")</f>
        <v>2.926829268292682</v>
      </c>
      <c r="Y107" s="102">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2.926829268292682</v>
      </c>
      <c r="Z107" s="104">
        <f>IFERROR(tbl_TubeLaser[[#This Row],[Act. Mat. Qty]]-tbl_TubeLaser[[#This Row],[Adj. Mat. Qty]],"")</f>
        <v>0</v>
      </c>
      <c r="AA107" s="105">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0</v>
      </c>
      <c r="AC107" s="31"/>
      <c r="AD107" s="36"/>
    </row>
    <row r="108" spans="1:30" ht="25" customHeight="1">
      <c r="A108" s="27">
        <v>46129</v>
      </c>
      <c r="B108" s="28" t="s">
        <v>783</v>
      </c>
      <c r="C108" s="28" t="str">
        <f>IF(tbl_TubeLaser[[#This Row],[Part'#]]="", "Batch", "Part")</f>
        <v>Part</v>
      </c>
      <c r="D108" s="28" t="s">
        <v>784</v>
      </c>
      <c r="E108" s="29">
        <v>0.66736111111111107</v>
      </c>
      <c r="F108" s="29">
        <v>0.70833333333333337</v>
      </c>
      <c r="G108" s="28">
        <v>50</v>
      </c>
      <c r="H108" s="28">
        <v>48</v>
      </c>
      <c r="I108" s="70">
        <f>tbl_TubeLaser[[#This Row],[Qty Complete]]/tbl_TubeLaser[[#This Row],[Qty Required]]</f>
        <v>0.96</v>
      </c>
      <c r="J108" s="30">
        <v>36</v>
      </c>
      <c r="K108" s="28">
        <v>1</v>
      </c>
      <c r="L108" s="31">
        <f>IF(tbl_TubeLaser[[#This Row],[Job Type]]="Batch",0,tbl_TubeLaser[[#This Row],[Qty Required]]/tbl_TubeLaser[[#This Row],[PPH]]*tbl_TubeLaser[[#This Row],['# of men]])</f>
        <v>1.3888888888888888</v>
      </c>
      <c r="M108" s="31">
        <f>IF(tbl_TubeLaser[[#This Row],[Job Type]]="Batch",tbl_TubeLaser[[#This Row],[Batch Hours]]*tbl_TubeLaser[[#This Row],[% Complete]],tbl_TubeLaser[[#This Row],[Total hours]]*tbl_TubeLaser[[#This Row],[% Complete]])</f>
        <v>1.3333333333333333</v>
      </c>
      <c r="N108" s="31"/>
      <c r="O108" s="28" t="s">
        <v>785</v>
      </c>
      <c r="P108" s="28">
        <f>tbl_TubeLaser[[#This Row],[Mat. Qty]]*tbl_TubeLaser[[#This Row],[% Complete]]</f>
        <v>23.04</v>
      </c>
      <c r="Q108" s="28">
        <v>24</v>
      </c>
      <c r="R108" s="32">
        <f>IFERROR(tbl_TubeLaser[[#This Row],[Qty Complete]]/tbl_TubeLaser[[#This Row],[Total Hours Act]]*tbl_TubeLaser[[#This Row],['# of men Act]],"")</f>
        <v>48.813559322033804</v>
      </c>
      <c r="S108" s="28">
        <v>1</v>
      </c>
      <c r="T108"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0.98333333333333517</v>
      </c>
      <c r="X108" s="35">
        <f>IFERROR((tbl_TubeLaser[[#This Row],[Adj. Total Hours]]+tbl_TubeLaser[[#This Row],[Est. Hours]])/(tbl_TubeLaser[[#This Row],[Total Hours Act]]+tbl_TubeLaser[[#This Row],[Act. Hours]]),"")</f>
        <v>1.355932203389828</v>
      </c>
      <c r="Y108"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08" s="104">
        <f>IFERROR(tbl_TubeLaser[[#This Row],[Act. Mat. Qty]]-tbl_TubeLaser[[#This Row],[Adj. Mat. Qty]],"")</f>
        <v>-23.04</v>
      </c>
      <c r="AA108"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08" s="31"/>
      <c r="AD108" s="36"/>
    </row>
    <row r="109" spans="1:30" ht="25" customHeight="1">
      <c r="A109" s="27">
        <v>46129</v>
      </c>
      <c r="B109" s="28" t="s">
        <v>794</v>
      </c>
      <c r="C109" s="28" t="str">
        <f>IF(tbl_TubeLaser[[#This Row],[Part'#]]="", "Batch", "Part")</f>
        <v>Part</v>
      </c>
      <c r="D109" s="111" t="s">
        <v>779</v>
      </c>
      <c r="E109" s="29">
        <v>0.70833333333333337</v>
      </c>
      <c r="F109" s="29">
        <v>0.8881944444444444</v>
      </c>
      <c r="G109" s="28">
        <v>103</v>
      </c>
      <c r="H109" s="28">
        <v>103</v>
      </c>
      <c r="I109" s="70">
        <f>tbl_TubeLaser[[#This Row],[Qty Complete]]/tbl_TubeLaser[[#This Row],[Qty Required]]</f>
        <v>1</v>
      </c>
      <c r="J109" s="30">
        <v>30</v>
      </c>
      <c r="K109" s="28">
        <v>1</v>
      </c>
      <c r="L109" s="31">
        <f>IF(tbl_TubeLaser[[#This Row],[Job Type]]="Batch",0,tbl_TubeLaser[[#This Row],[Qty Required]]/tbl_TubeLaser[[#This Row],[PPH]]*tbl_TubeLaser[[#This Row],['# of men]])</f>
        <v>3.4333333333333331</v>
      </c>
      <c r="M109" s="31">
        <f>IF(tbl_TubeLaser[[#This Row],[Job Type]]="Batch",tbl_TubeLaser[[#This Row],[Batch Hours]]*tbl_TubeLaser[[#This Row],[% Complete]],tbl_TubeLaser[[#This Row],[Total hours]]*tbl_TubeLaser[[#This Row],[% Complete]])</f>
        <v>3.4333333333333331</v>
      </c>
      <c r="N109" s="31"/>
      <c r="O109" s="28" t="s">
        <v>795</v>
      </c>
      <c r="P109" s="28">
        <f>tbl_TubeLaser[[#This Row],[Mat. Qty]]*tbl_TubeLaser[[#This Row],[% Complete]]</f>
        <v>15</v>
      </c>
      <c r="Q109" s="28">
        <v>15</v>
      </c>
      <c r="R109" s="32">
        <f>IFERROR(tbl_TubeLaser[[#This Row],[Qty Complete]]/tbl_TubeLaser[[#This Row],[Total Hours Act]]*tbl_TubeLaser[[#This Row],['# of men Act]],"")</f>
        <v>23.861003861003873</v>
      </c>
      <c r="S109" s="28">
        <v>1</v>
      </c>
      <c r="T109"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4.3166666666666647</v>
      </c>
      <c r="U109" s="34">
        <v>15</v>
      </c>
      <c r="V109" s="33">
        <v>0.5</v>
      </c>
      <c r="W109" s="33">
        <v>0.5</v>
      </c>
      <c r="X109" s="35">
        <f>IFERROR((tbl_TubeLaser[[#This Row],[Adj. Total Hours]]+tbl_TubeLaser[[#This Row],[Est. Hours]])/(tbl_TubeLaser[[#This Row],[Total Hours Act]]+tbl_TubeLaser[[#This Row],[Act. Hours]]),"")</f>
        <v>0.81660899653979269</v>
      </c>
      <c r="Y109" s="102">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0.81660899653979269</v>
      </c>
      <c r="Z109" s="104">
        <f>IFERROR(tbl_TubeLaser[[#This Row],[Act. Mat. Qty]]-tbl_TubeLaser[[#This Row],[Adj. Mat. Qty]],"")</f>
        <v>0</v>
      </c>
      <c r="AA109" s="105">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0</v>
      </c>
      <c r="AC109" s="31" t="s">
        <v>109</v>
      </c>
      <c r="AD109" s="36"/>
    </row>
    <row r="110" spans="1:30" ht="25" customHeight="1">
      <c r="A110" s="27">
        <v>46129</v>
      </c>
      <c r="B110" s="28">
        <v>143028</v>
      </c>
      <c r="C110" s="28" t="str">
        <f>IF(tbl_TubeLaser[[#This Row],[Part'#]]="", "Batch", "Part")</f>
        <v>Part</v>
      </c>
      <c r="D110" s="28" t="s">
        <v>122</v>
      </c>
      <c r="E110" s="29">
        <v>0.88888888888888884</v>
      </c>
      <c r="F110" s="29">
        <v>8.6805555555555552E-2</v>
      </c>
      <c r="G110" s="28">
        <v>240</v>
      </c>
      <c r="H110" s="28">
        <v>79</v>
      </c>
      <c r="I110" s="70">
        <f>tbl_TubeLaser[[#This Row],[Qty Complete]]/tbl_TubeLaser[[#This Row],[Qty Required]]</f>
        <v>0.32916666666666666</v>
      </c>
      <c r="J110" s="30">
        <v>30</v>
      </c>
      <c r="K110" s="28">
        <v>1</v>
      </c>
      <c r="L110" s="31">
        <f>IF(tbl_TubeLaser[[#This Row],[Job Type]]="Batch",0,tbl_TubeLaser[[#This Row],[Qty Required]]/tbl_TubeLaser[[#This Row],[PPH]]*tbl_TubeLaser[[#This Row],['# of men]])</f>
        <v>8</v>
      </c>
      <c r="M110" s="31">
        <f>IF(tbl_TubeLaser[[#This Row],[Job Type]]="Batch",tbl_TubeLaser[[#This Row],[Batch Hours]]*tbl_TubeLaser[[#This Row],[% Complete]],tbl_TubeLaser[[#This Row],[Total hours]]*tbl_TubeLaser[[#This Row],[% Complete]])</f>
        <v>2.6333333333333333</v>
      </c>
      <c r="N110" s="31"/>
      <c r="O110" s="28" t="s">
        <v>65</v>
      </c>
      <c r="P110" s="28">
        <f>tbl_TubeLaser[[#This Row],[Mat. Qty]]*tbl_TubeLaser[[#This Row],[% Complete]]</f>
        <v>39.5</v>
      </c>
      <c r="Q110" s="28">
        <v>120</v>
      </c>
      <c r="R110" s="32">
        <f>IFERROR(tbl_TubeLaser[[#This Row],[Qty Complete]]/tbl_TubeLaser[[#This Row],[Total Hours Act]]*tbl_TubeLaser[[#This Row],['# of men Act]],"")</f>
        <v>18.588235294117638</v>
      </c>
      <c r="S110" s="28">
        <v>1</v>
      </c>
      <c r="T110"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4.2500000000000018</v>
      </c>
      <c r="U110" s="34">
        <v>39.5</v>
      </c>
      <c r="V110" s="33">
        <v>0.5</v>
      </c>
      <c r="X110" s="35">
        <f>IFERROR((tbl_TubeLaser[[#This Row],[Adj. Total Hours]]+tbl_TubeLaser[[#This Row],[Est. Hours]])/(tbl_TubeLaser[[#This Row],[Total Hours Act]]+tbl_TubeLaser[[#This Row],[Act. Hours]]),"")</f>
        <v>0.73725490196078403</v>
      </c>
      <c r="Y110"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10" s="104">
        <f>IFERROR(tbl_TubeLaser[[#This Row],[Act. Mat. Qty]]-tbl_TubeLaser[[#This Row],[Adj. Mat. Qty]],"")</f>
        <v>0</v>
      </c>
      <c r="AA110"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B110" s="28" t="s">
        <v>796</v>
      </c>
      <c r="AC110" s="31" t="s">
        <v>109</v>
      </c>
      <c r="AD110" s="36"/>
    </row>
    <row r="111" spans="1:30" ht="25" customHeight="1">
      <c r="A111" s="27">
        <v>46130</v>
      </c>
      <c r="B111" s="28">
        <v>143036</v>
      </c>
      <c r="C111" s="28" t="str">
        <f>IF(tbl_TubeLaser[[#This Row],[Part'#]]="", "Batch", "Part")</f>
        <v>Part</v>
      </c>
      <c r="D111" s="28" t="s">
        <v>64</v>
      </c>
      <c r="E111" s="29">
        <v>8.7499999999999994E-2</v>
      </c>
      <c r="F111" s="29">
        <v>0.18402777777777779</v>
      </c>
      <c r="G111" s="28">
        <v>255</v>
      </c>
      <c r="H111" s="28">
        <v>49</v>
      </c>
      <c r="I111" s="70">
        <f>tbl_TubeLaser[[#This Row],[Qty Complete]]/tbl_TubeLaser[[#This Row],[Qty Required]]</f>
        <v>0.19215686274509805</v>
      </c>
      <c r="J111" s="30">
        <v>30</v>
      </c>
      <c r="K111" s="28">
        <v>1</v>
      </c>
      <c r="L111" s="31">
        <f>IF(tbl_TubeLaser[[#This Row],[Job Type]]="Batch",0,tbl_TubeLaser[[#This Row],[Qty Required]]/tbl_TubeLaser[[#This Row],[PPH]]*tbl_TubeLaser[[#This Row],['# of men]])</f>
        <v>8.5</v>
      </c>
      <c r="M111" s="31">
        <f>IF(tbl_TubeLaser[[#This Row],[Job Type]]="Batch",tbl_TubeLaser[[#This Row],[Batch Hours]]*tbl_TubeLaser[[#This Row],[% Complete]],tbl_TubeLaser[[#This Row],[Total hours]]*tbl_TubeLaser[[#This Row],[% Complete]])</f>
        <v>1.6333333333333335</v>
      </c>
      <c r="N111" s="31"/>
      <c r="O111" s="28" t="s">
        <v>65</v>
      </c>
      <c r="P111" s="28">
        <f>tbl_TubeLaser[[#This Row],[Mat. Qty]]*tbl_TubeLaser[[#This Row],[% Complete]]</f>
        <v>24.59607843137255</v>
      </c>
      <c r="Q111" s="28">
        <v>128</v>
      </c>
      <c r="R111" s="32">
        <f>IFERROR(tbl_TubeLaser[[#This Row],[Qty Complete]]/tbl_TubeLaser[[#This Row],[Total Hours Act]]*tbl_TubeLaser[[#This Row],['# of men Act]],"")</f>
        <v>21.15107913669064</v>
      </c>
      <c r="S111" s="28">
        <v>1</v>
      </c>
      <c r="T111"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2.3166666666666673</v>
      </c>
      <c r="U111" s="34">
        <v>24.5</v>
      </c>
      <c r="V111" s="33">
        <v>0.5</v>
      </c>
      <c r="W111" s="33">
        <v>0</v>
      </c>
      <c r="X111" s="35">
        <f>IFERROR((tbl_TubeLaser[[#This Row],[Adj. Total Hours]]+tbl_TubeLaser[[#This Row],[Est. Hours]])/(tbl_TubeLaser[[#This Row],[Total Hours Act]]+tbl_TubeLaser[[#This Row],[Act. Hours]]),"")</f>
        <v>0.92086330935251792</v>
      </c>
      <c r="Y111"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11" s="104">
        <f>IFERROR(tbl_TubeLaser[[#This Row],[Act. Mat. Qty]]-tbl_TubeLaser[[#This Row],[Adj. Mat. Qty]],"")</f>
        <v>-9.6078431372550455E-2</v>
      </c>
      <c r="AA111"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B111" s="28" t="s">
        <v>796</v>
      </c>
      <c r="AC111" s="31" t="s">
        <v>109</v>
      </c>
      <c r="AD111" s="36"/>
    </row>
    <row r="112" spans="1:30" ht="25" customHeight="1">
      <c r="A112" s="27">
        <v>46129</v>
      </c>
      <c r="B112" s="28">
        <v>143272</v>
      </c>
      <c r="C112" s="28" t="str">
        <f>IF(tbl_TubeLaser[[#This Row],[Part'#]]="", "Batch", "Part")</f>
        <v>Part</v>
      </c>
      <c r="D112" s="28" t="s">
        <v>165</v>
      </c>
      <c r="E112" s="29">
        <v>0.72569444444444442</v>
      </c>
      <c r="F112" s="29">
        <v>0.86458333333333337</v>
      </c>
      <c r="G112" s="28">
        <v>68</v>
      </c>
      <c r="H112" s="28">
        <v>29</v>
      </c>
      <c r="I112" s="70">
        <f>tbl_TubeLaser[[#This Row],[Qty Complete]]/tbl_TubeLaser[[#This Row],[Qty Required]]</f>
        <v>0.4264705882352941</v>
      </c>
      <c r="J112" s="30">
        <v>24</v>
      </c>
      <c r="K112" s="28">
        <v>1</v>
      </c>
      <c r="L112" s="31">
        <f>IF(tbl_TubeLaser[[#This Row],[Job Type]]="Batch",0,tbl_TubeLaser[[#This Row],[Qty Required]]/tbl_TubeLaser[[#This Row],[PPH]]*tbl_TubeLaser[[#This Row],['# of men]])</f>
        <v>2.8333333333333335</v>
      </c>
      <c r="M112" s="31">
        <f>IF(tbl_TubeLaser[[#This Row],[Job Type]]="Batch",tbl_TubeLaser[[#This Row],[Batch Hours]]*tbl_TubeLaser[[#This Row],[% Complete]],tbl_TubeLaser[[#This Row],[Total hours]]*tbl_TubeLaser[[#This Row],[% Complete]])</f>
        <v>1.2083333333333333</v>
      </c>
      <c r="N112" s="31"/>
      <c r="O112" s="28" t="s">
        <v>800</v>
      </c>
      <c r="P112" s="28">
        <f>tbl_TubeLaser[[#This Row],[Mat. Qty]]*tbl_TubeLaser[[#This Row],[% Complete]]</f>
        <v>14.5</v>
      </c>
      <c r="Q112" s="28">
        <v>34</v>
      </c>
      <c r="R112" s="32">
        <f>IFERROR(tbl_TubeLaser[[#This Row],[Qty Complete]]/tbl_TubeLaser[[#This Row],[Total Hours Act]]*tbl_TubeLaser[[#This Row],['# of men Act]],"")</f>
        <v>8.6999999999999957</v>
      </c>
      <c r="S112" s="28">
        <v>1</v>
      </c>
      <c r="T112"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3.3333333333333348</v>
      </c>
      <c r="U112" s="34">
        <v>14.5</v>
      </c>
      <c r="V112" s="33">
        <v>0.5</v>
      </c>
      <c r="X112" s="35">
        <f>IFERROR((tbl_TubeLaser[[#This Row],[Adj. Total Hours]]+tbl_TubeLaser[[#This Row],[Est. Hours]])/(tbl_TubeLaser[[#This Row],[Total Hours Act]]+tbl_TubeLaser[[#This Row],[Act. Hours]]),"")</f>
        <v>0.51249999999999973</v>
      </c>
      <c r="Y112" s="102">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0.63897763578274736</v>
      </c>
      <c r="Z112" s="104">
        <f>IFERROR(tbl_TubeLaser[[#This Row],[Act. Mat. Qty]]-tbl_TubeLaser[[#This Row],[Adj. Mat. Qty]],"")</f>
        <v>0</v>
      </c>
      <c r="AA112" s="105">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8.529411764705884</v>
      </c>
      <c r="AC112" s="31" t="s">
        <v>116</v>
      </c>
      <c r="AD112" s="36"/>
    </row>
    <row r="113" spans="1:30" ht="25" customHeight="1">
      <c r="A113" s="27">
        <v>46129</v>
      </c>
      <c r="B113" s="28" t="s">
        <v>801</v>
      </c>
      <c r="C113" s="28" t="str">
        <f>IF(tbl_TubeLaser[[#This Row],[Part'#]]="", "Batch", "Part")</f>
        <v>Part</v>
      </c>
      <c r="D113" s="28">
        <v>970456889</v>
      </c>
      <c r="E113" s="29">
        <v>0.87777777777777777</v>
      </c>
      <c r="F113" s="29">
        <v>0.16458333333333333</v>
      </c>
      <c r="G113" s="28">
        <v>384</v>
      </c>
      <c r="H113" s="28">
        <v>48</v>
      </c>
      <c r="I113" s="70">
        <f>tbl_TubeLaser[[#This Row],[Qty Complete]]/tbl_TubeLaser[[#This Row],[Qty Required]]</f>
        <v>0.125</v>
      </c>
      <c r="J113" s="30">
        <v>15</v>
      </c>
      <c r="K113" s="28">
        <v>1</v>
      </c>
      <c r="L113" s="31">
        <f>IF(tbl_TubeLaser[[#This Row],[Job Type]]="Batch",0,tbl_TubeLaser[[#This Row],[Qty Required]]/tbl_TubeLaser[[#This Row],[PPH]]*tbl_TubeLaser[[#This Row],['# of men]])</f>
        <v>25.6</v>
      </c>
      <c r="M113" s="31">
        <f>IF(tbl_TubeLaser[[#This Row],[Job Type]]="Batch",tbl_TubeLaser[[#This Row],[Batch Hours]]*tbl_TubeLaser[[#This Row],[% Complete]],tbl_TubeLaser[[#This Row],[Total hours]]*tbl_TubeLaser[[#This Row],[% Complete]])</f>
        <v>3.2</v>
      </c>
      <c r="N113" s="31"/>
      <c r="O113" s="28" t="s">
        <v>802</v>
      </c>
      <c r="P113" s="28">
        <f>tbl_TubeLaser[[#This Row],[Mat. Qty]]*tbl_TubeLaser[[#This Row],[% Complete]]</f>
        <v>12</v>
      </c>
      <c r="Q113" s="28">
        <v>96</v>
      </c>
      <c r="R113" s="32">
        <f>IFERROR(tbl_TubeLaser[[#This Row],[Qty Complete]]/tbl_TubeLaser[[#This Row],[Total Hours Act]]*tbl_TubeLaser[[#This Row],['# of men Act]],"")</f>
        <v>7.5195822454308097</v>
      </c>
      <c r="S113" s="28">
        <v>1</v>
      </c>
      <c r="T113"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6.3833333333333329</v>
      </c>
      <c r="U113" s="34">
        <v>12</v>
      </c>
      <c r="V113" s="33">
        <v>0.5</v>
      </c>
      <c r="X113" s="35">
        <f>IFERROR((tbl_TubeLaser[[#This Row],[Adj. Total Hours]]+tbl_TubeLaser[[#This Row],[Est. Hours]])/(tbl_TubeLaser[[#This Row],[Total Hours Act]]+tbl_TubeLaser[[#This Row],[Act. Hours]]),"")</f>
        <v>0.57963446475195834</v>
      </c>
      <c r="Y113"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13" s="104">
        <f>IFERROR(tbl_TubeLaser[[#This Row],[Act. Mat. Qty]]-tbl_TubeLaser[[#This Row],[Adj. Mat. Qty]],"")</f>
        <v>0</v>
      </c>
      <c r="AA113"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B113" s="28" t="s">
        <v>803</v>
      </c>
      <c r="AC113" s="31" t="s">
        <v>116</v>
      </c>
      <c r="AD113" s="36"/>
    </row>
    <row r="114" spans="1:30" ht="25" customHeight="1">
      <c r="C114" s="28" t="str">
        <f>IF(tbl_TubeLaser[[#This Row],[Part'#]]="", "Batch", "Part")</f>
        <v>Batch</v>
      </c>
      <c r="G114" s="28"/>
      <c r="I114" s="70" t="e">
        <f>tbl_TubeLaser[[#This Row],[Qty Complete]]/tbl_TubeLaser[[#This Row],[Qty Required]]</f>
        <v>#DIV/0!</v>
      </c>
      <c r="L114" s="31">
        <f>IF(tbl_TubeLaser[[#This Row],[Job Type]]="Batch",0,tbl_TubeLaser[[#This Row],[Qty Required]]/tbl_TubeLaser[[#This Row],[PPH]]*tbl_TubeLaser[[#This Row],['# of men]])</f>
        <v>0</v>
      </c>
      <c r="M114" s="31" t="e">
        <f>IF(tbl_TubeLaser[[#This Row],[Job Type]]="Batch",tbl_TubeLaser[[#This Row],[Batch Hours]]*tbl_TubeLaser[[#This Row],[% Complete]],tbl_TubeLaser[[#This Row],[Total hours]]*tbl_TubeLaser[[#This Row],[% Complete]])</f>
        <v>#DIV/0!</v>
      </c>
      <c r="N114" s="31"/>
      <c r="P114" s="28" t="e">
        <f>tbl_TubeLaser[[#This Row],[Mat. Qty]]*tbl_TubeLaser[[#This Row],[% Complete]]</f>
        <v>#DIV/0!</v>
      </c>
      <c r="R114" s="32" t="str">
        <f>IFERROR(tbl_TubeLaser[[#This Row],[Qty Complete]]/tbl_TubeLaser[[#This Row],[Total Hours Act]]*tbl_TubeLaser[[#This Row],['# of men Act]],"")</f>
        <v/>
      </c>
      <c r="T114"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14" s="35" t="str">
        <f>IFERROR((tbl_TubeLaser[[#This Row],[Adj. Total Hours]]+tbl_TubeLaser[[#This Row],[Est. Hours]])/(tbl_TubeLaser[[#This Row],[Total Hours Act]]+tbl_TubeLaser[[#This Row],[Act. Hours]]),"")</f>
        <v/>
      </c>
      <c r="Y114"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14" s="104" t="str">
        <f>IFERROR(tbl_TubeLaser[[#This Row],[Act. Mat. Qty]]-tbl_TubeLaser[[#This Row],[Adj. Mat. Qty]],"")</f>
        <v/>
      </c>
      <c r="AA114"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14" s="31"/>
      <c r="AD114" s="36"/>
    </row>
    <row r="115" spans="1:30" ht="25" customHeight="1">
      <c r="C115" s="28" t="str">
        <f>IF(tbl_TubeLaser[[#This Row],[Part'#]]="", "Batch", "Part")</f>
        <v>Batch</v>
      </c>
      <c r="G115" s="28"/>
      <c r="I115" s="70" t="e">
        <f>tbl_TubeLaser[[#This Row],[Qty Complete]]/tbl_TubeLaser[[#This Row],[Qty Required]]</f>
        <v>#DIV/0!</v>
      </c>
      <c r="L115" s="31">
        <f>IF(tbl_TubeLaser[[#This Row],[Job Type]]="Batch",0,tbl_TubeLaser[[#This Row],[Qty Required]]/tbl_TubeLaser[[#This Row],[PPH]]*tbl_TubeLaser[[#This Row],['# of men]])</f>
        <v>0</v>
      </c>
      <c r="M115" s="31" t="e">
        <f>IF(tbl_TubeLaser[[#This Row],[Job Type]]="Batch",tbl_TubeLaser[[#This Row],[Batch Hours]]*tbl_TubeLaser[[#This Row],[% Complete]],tbl_TubeLaser[[#This Row],[Total hours]]*tbl_TubeLaser[[#This Row],[% Complete]])</f>
        <v>#DIV/0!</v>
      </c>
      <c r="N115" s="31"/>
      <c r="P115" s="28" t="e">
        <f>tbl_TubeLaser[[#This Row],[Mat. Qty]]*tbl_TubeLaser[[#This Row],[% Complete]]</f>
        <v>#DIV/0!</v>
      </c>
      <c r="R115" s="32" t="str">
        <f>IFERROR(tbl_TubeLaser[[#This Row],[Qty Complete]]/tbl_TubeLaser[[#This Row],[Total Hours Act]]*tbl_TubeLaser[[#This Row],['# of men Act]],"")</f>
        <v/>
      </c>
      <c r="T115"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15" s="35" t="str">
        <f>IFERROR((tbl_TubeLaser[[#This Row],[Adj. Total Hours]]+tbl_TubeLaser[[#This Row],[Est. Hours]])/(tbl_TubeLaser[[#This Row],[Total Hours Act]]+tbl_TubeLaser[[#This Row],[Act. Hours]]),"")</f>
        <v/>
      </c>
      <c r="Y115"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15" s="104" t="str">
        <f>IFERROR(tbl_TubeLaser[[#This Row],[Act. Mat. Qty]]-tbl_TubeLaser[[#This Row],[Adj. Mat. Qty]],"")</f>
        <v/>
      </c>
      <c r="AA115"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15" s="31"/>
      <c r="AD115" s="36"/>
    </row>
    <row r="116" spans="1:30" ht="25" customHeight="1">
      <c r="C116" s="28" t="str">
        <f>IF(tbl_TubeLaser[[#This Row],[Part'#]]="", "Batch", "Part")</f>
        <v>Batch</v>
      </c>
      <c r="G116" s="28"/>
      <c r="I116" s="70" t="e">
        <f>tbl_TubeLaser[[#This Row],[Qty Complete]]/tbl_TubeLaser[[#This Row],[Qty Required]]</f>
        <v>#DIV/0!</v>
      </c>
      <c r="L116" s="31">
        <f>IF(tbl_TubeLaser[[#This Row],[Job Type]]="Batch",0,tbl_TubeLaser[[#This Row],[Qty Required]]/tbl_TubeLaser[[#This Row],[PPH]]*tbl_TubeLaser[[#This Row],['# of men]])</f>
        <v>0</v>
      </c>
      <c r="M116" s="31" t="e">
        <f>IF(tbl_TubeLaser[[#This Row],[Job Type]]="Batch",tbl_TubeLaser[[#This Row],[Batch Hours]]*tbl_TubeLaser[[#This Row],[% Complete]],tbl_TubeLaser[[#This Row],[Total hours]]*tbl_TubeLaser[[#This Row],[% Complete]])</f>
        <v>#DIV/0!</v>
      </c>
      <c r="N116" s="31"/>
      <c r="P116" s="28" t="e">
        <f>tbl_TubeLaser[[#This Row],[Mat. Qty]]*tbl_TubeLaser[[#This Row],[% Complete]]</f>
        <v>#DIV/0!</v>
      </c>
      <c r="R116" s="32" t="str">
        <f>IFERROR(tbl_TubeLaser[[#This Row],[Qty Complete]]/tbl_TubeLaser[[#This Row],[Total Hours Act]]*tbl_TubeLaser[[#This Row],['# of men Act]],"")</f>
        <v/>
      </c>
      <c r="T116"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16" s="35" t="str">
        <f>IFERROR((tbl_TubeLaser[[#This Row],[Adj. Total Hours]]+tbl_TubeLaser[[#This Row],[Est. Hours]])/(tbl_TubeLaser[[#This Row],[Total Hours Act]]+tbl_TubeLaser[[#This Row],[Act. Hours]]),"")</f>
        <v/>
      </c>
      <c r="Y116"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16" s="104" t="str">
        <f>IFERROR(tbl_TubeLaser[[#This Row],[Act. Mat. Qty]]-tbl_TubeLaser[[#This Row],[Adj. Mat. Qty]],"")</f>
        <v/>
      </c>
      <c r="AA116"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16" s="31"/>
      <c r="AD116" s="36"/>
    </row>
    <row r="117" spans="1:30" ht="25" customHeight="1">
      <c r="C117" s="28" t="str">
        <f>IF(tbl_TubeLaser[[#This Row],[Part'#]]="", "Batch", "Part")</f>
        <v>Batch</v>
      </c>
      <c r="G117" s="28"/>
      <c r="I117" s="70" t="e">
        <f>tbl_TubeLaser[[#This Row],[Qty Complete]]/tbl_TubeLaser[[#This Row],[Qty Required]]</f>
        <v>#DIV/0!</v>
      </c>
      <c r="L117" s="31">
        <f>IF(tbl_TubeLaser[[#This Row],[Job Type]]="Batch",0,tbl_TubeLaser[[#This Row],[Qty Required]]/tbl_TubeLaser[[#This Row],[PPH]]*tbl_TubeLaser[[#This Row],['# of men]])</f>
        <v>0</v>
      </c>
      <c r="M117" s="31" t="e">
        <f>IF(tbl_TubeLaser[[#This Row],[Job Type]]="Batch",tbl_TubeLaser[[#This Row],[Batch Hours]]*tbl_TubeLaser[[#This Row],[% Complete]],tbl_TubeLaser[[#This Row],[Total hours]]*tbl_TubeLaser[[#This Row],[% Complete]])</f>
        <v>#DIV/0!</v>
      </c>
      <c r="N117" s="31"/>
      <c r="P117" s="28" t="e">
        <f>tbl_TubeLaser[[#This Row],[Mat. Qty]]*tbl_TubeLaser[[#This Row],[% Complete]]</f>
        <v>#DIV/0!</v>
      </c>
      <c r="R117" s="32" t="str">
        <f>IFERROR(tbl_TubeLaser[[#This Row],[Qty Complete]]/tbl_TubeLaser[[#This Row],[Total Hours Act]]*tbl_TubeLaser[[#This Row],['# of men Act]],"")</f>
        <v/>
      </c>
      <c r="T117"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17" s="35" t="str">
        <f>IFERROR((tbl_TubeLaser[[#This Row],[Adj. Total Hours]]+tbl_TubeLaser[[#This Row],[Est. Hours]])/(tbl_TubeLaser[[#This Row],[Total Hours Act]]+tbl_TubeLaser[[#This Row],[Act. Hours]]),"")</f>
        <v/>
      </c>
      <c r="Y117"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17" s="104" t="str">
        <f>IFERROR(tbl_TubeLaser[[#This Row],[Act. Mat. Qty]]-tbl_TubeLaser[[#This Row],[Adj. Mat. Qty]],"")</f>
        <v/>
      </c>
      <c r="AA117"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17" s="31"/>
      <c r="AD117" s="36"/>
    </row>
    <row r="118" spans="1:30" ht="25" customHeight="1">
      <c r="C118" s="28" t="str">
        <f>IF(tbl_TubeLaser[[#This Row],[Part'#]]="", "Batch", "Part")</f>
        <v>Batch</v>
      </c>
      <c r="G118" s="28"/>
      <c r="I118" s="70" t="e">
        <f>tbl_TubeLaser[[#This Row],[Qty Complete]]/tbl_TubeLaser[[#This Row],[Qty Required]]</f>
        <v>#DIV/0!</v>
      </c>
      <c r="L118" s="31">
        <f>IF(tbl_TubeLaser[[#This Row],[Job Type]]="Batch",0,tbl_TubeLaser[[#This Row],[Qty Required]]/tbl_TubeLaser[[#This Row],[PPH]]*tbl_TubeLaser[[#This Row],['# of men]])</f>
        <v>0</v>
      </c>
      <c r="M118" s="31" t="e">
        <f>IF(tbl_TubeLaser[[#This Row],[Job Type]]="Batch",tbl_TubeLaser[[#This Row],[Batch Hours]]*tbl_TubeLaser[[#This Row],[% Complete]],tbl_TubeLaser[[#This Row],[Total hours]]*tbl_TubeLaser[[#This Row],[% Complete]])</f>
        <v>#DIV/0!</v>
      </c>
      <c r="N118" s="31"/>
      <c r="P118" s="28" t="e">
        <f>tbl_TubeLaser[[#This Row],[Mat. Qty]]*tbl_TubeLaser[[#This Row],[% Complete]]</f>
        <v>#DIV/0!</v>
      </c>
      <c r="R118" s="32" t="str">
        <f>IFERROR(tbl_TubeLaser[[#This Row],[Qty Complete]]/tbl_TubeLaser[[#This Row],[Total Hours Act]]*tbl_TubeLaser[[#This Row],['# of men Act]],"")</f>
        <v/>
      </c>
      <c r="T118"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18" s="35" t="str">
        <f>IFERROR((tbl_TubeLaser[[#This Row],[Adj. Total Hours]]+tbl_TubeLaser[[#This Row],[Est. Hours]])/(tbl_TubeLaser[[#This Row],[Total Hours Act]]+tbl_TubeLaser[[#This Row],[Act. Hours]]),"")</f>
        <v/>
      </c>
      <c r="Y118"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18" s="104" t="str">
        <f>IFERROR(tbl_TubeLaser[[#This Row],[Act. Mat. Qty]]-tbl_TubeLaser[[#This Row],[Adj. Mat. Qty]],"")</f>
        <v/>
      </c>
      <c r="AA118"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18" s="31"/>
      <c r="AD118" s="36"/>
    </row>
    <row r="119" spans="1:30" ht="25" customHeight="1">
      <c r="C119" s="28" t="str">
        <f>IF(tbl_TubeLaser[[#This Row],[Part'#]]="", "Batch", "Part")</f>
        <v>Batch</v>
      </c>
      <c r="G119" s="28"/>
      <c r="I119" s="70" t="e">
        <f>tbl_TubeLaser[[#This Row],[Qty Complete]]/tbl_TubeLaser[[#This Row],[Qty Required]]</f>
        <v>#DIV/0!</v>
      </c>
      <c r="L119" s="31">
        <f>IF(tbl_TubeLaser[[#This Row],[Job Type]]="Batch",0,tbl_TubeLaser[[#This Row],[Qty Required]]/tbl_TubeLaser[[#This Row],[PPH]]*tbl_TubeLaser[[#This Row],['# of men]])</f>
        <v>0</v>
      </c>
      <c r="M119" s="31" t="e">
        <f>IF(tbl_TubeLaser[[#This Row],[Job Type]]="Batch",tbl_TubeLaser[[#This Row],[Batch Hours]]*tbl_TubeLaser[[#This Row],[% Complete]],tbl_TubeLaser[[#This Row],[Total hours]]*tbl_TubeLaser[[#This Row],[% Complete]])</f>
        <v>#DIV/0!</v>
      </c>
      <c r="N119" s="31"/>
      <c r="P119" s="28" t="e">
        <f>tbl_TubeLaser[[#This Row],[Mat. Qty]]*tbl_TubeLaser[[#This Row],[% Complete]]</f>
        <v>#DIV/0!</v>
      </c>
      <c r="R119" s="32" t="str">
        <f>IFERROR(tbl_TubeLaser[[#This Row],[Qty Complete]]/tbl_TubeLaser[[#This Row],[Total Hours Act]]*tbl_TubeLaser[[#This Row],['# of men Act]],"")</f>
        <v/>
      </c>
      <c r="T119"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19" s="35" t="str">
        <f>IFERROR((tbl_TubeLaser[[#This Row],[Adj. Total Hours]]+tbl_TubeLaser[[#This Row],[Est. Hours]])/(tbl_TubeLaser[[#This Row],[Total Hours Act]]+tbl_TubeLaser[[#This Row],[Act. Hours]]),"")</f>
        <v/>
      </c>
      <c r="Y119"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19" s="104" t="str">
        <f>IFERROR(tbl_TubeLaser[[#This Row],[Act. Mat. Qty]]-tbl_TubeLaser[[#This Row],[Adj. Mat. Qty]],"")</f>
        <v/>
      </c>
      <c r="AA119"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19" s="31"/>
      <c r="AD119" s="36"/>
    </row>
    <row r="120" spans="1:30" ht="25" customHeight="1">
      <c r="C120" s="28" t="str">
        <f>IF(tbl_TubeLaser[[#This Row],[Part'#]]="", "Batch", "Part")</f>
        <v>Batch</v>
      </c>
      <c r="G120" s="28"/>
      <c r="I120" s="70" t="e">
        <f>tbl_TubeLaser[[#This Row],[Qty Complete]]/tbl_TubeLaser[[#This Row],[Qty Required]]</f>
        <v>#DIV/0!</v>
      </c>
      <c r="L120" s="31">
        <f>IF(tbl_TubeLaser[[#This Row],[Job Type]]="Batch",0,tbl_TubeLaser[[#This Row],[Qty Required]]/tbl_TubeLaser[[#This Row],[PPH]]*tbl_TubeLaser[[#This Row],['# of men]])</f>
        <v>0</v>
      </c>
      <c r="M120" s="31" t="e">
        <f>IF(tbl_TubeLaser[[#This Row],[Job Type]]="Batch",tbl_TubeLaser[[#This Row],[Batch Hours]]*tbl_TubeLaser[[#This Row],[% Complete]],tbl_TubeLaser[[#This Row],[Total hours]]*tbl_TubeLaser[[#This Row],[% Complete]])</f>
        <v>#DIV/0!</v>
      </c>
      <c r="N120" s="31"/>
      <c r="P120" s="28" t="e">
        <f>tbl_TubeLaser[[#This Row],[Mat. Qty]]*tbl_TubeLaser[[#This Row],[% Complete]]</f>
        <v>#DIV/0!</v>
      </c>
      <c r="R120" s="32" t="str">
        <f>IFERROR(tbl_TubeLaser[[#This Row],[Qty Complete]]/tbl_TubeLaser[[#This Row],[Total Hours Act]]*tbl_TubeLaser[[#This Row],['# of men Act]],"")</f>
        <v/>
      </c>
      <c r="T120"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20" s="35" t="str">
        <f>IFERROR((tbl_TubeLaser[[#This Row],[Adj. Total Hours]]+tbl_TubeLaser[[#This Row],[Est. Hours]])/(tbl_TubeLaser[[#This Row],[Total Hours Act]]+tbl_TubeLaser[[#This Row],[Act. Hours]]),"")</f>
        <v/>
      </c>
      <c r="Y120"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20" s="104" t="str">
        <f>IFERROR(tbl_TubeLaser[[#This Row],[Act. Mat. Qty]]-tbl_TubeLaser[[#This Row],[Adj. Mat. Qty]],"")</f>
        <v/>
      </c>
      <c r="AA120"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20" s="31"/>
      <c r="AD120" s="36"/>
    </row>
    <row r="121" spans="1:30" ht="25" customHeight="1">
      <c r="C121" s="28" t="str">
        <f>IF(tbl_TubeLaser[[#This Row],[Part'#]]="", "Batch", "Part")</f>
        <v>Batch</v>
      </c>
      <c r="G121" s="28"/>
      <c r="I121" s="70" t="e">
        <f>tbl_TubeLaser[[#This Row],[Qty Complete]]/tbl_TubeLaser[[#This Row],[Qty Required]]</f>
        <v>#DIV/0!</v>
      </c>
      <c r="L121" s="31">
        <f>IF(tbl_TubeLaser[[#This Row],[Job Type]]="Batch",0,tbl_TubeLaser[[#This Row],[Qty Required]]/tbl_TubeLaser[[#This Row],[PPH]]*tbl_TubeLaser[[#This Row],['# of men]])</f>
        <v>0</v>
      </c>
      <c r="M121" s="31" t="e">
        <f>IF(tbl_TubeLaser[[#This Row],[Job Type]]="Batch",tbl_TubeLaser[[#This Row],[Batch Hours]]*tbl_TubeLaser[[#This Row],[% Complete]],tbl_TubeLaser[[#This Row],[Total hours]]*tbl_TubeLaser[[#This Row],[% Complete]])</f>
        <v>#DIV/0!</v>
      </c>
      <c r="N121" s="31"/>
      <c r="P121" s="28" t="e">
        <f>tbl_TubeLaser[[#This Row],[Mat. Qty]]*tbl_TubeLaser[[#This Row],[% Complete]]</f>
        <v>#DIV/0!</v>
      </c>
      <c r="R121" s="32" t="str">
        <f>IFERROR(tbl_TubeLaser[[#This Row],[Qty Complete]]/tbl_TubeLaser[[#This Row],[Total Hours Act]]*tbl_TubeLaser[[#This Row],['# of men Act]],"")</f>
        <v/>
      </c>
      <c r="T121"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21" s="35" t="str">
        <f>IFERROR((tbl_TubeLaser[[#This Row],[Adj. Total Hours]]+tbl_TubeLaser[[#This Row],[Est. Hours]])/(tbl_TubeLaser[[#This Row],[Total Hours Act]]+tbl_TubeLaser[[#This Row],[Act. Hours]]),"")</f>
        <v/>
      </c>
      <c r="Y121"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21" s="104" t="str">
        <f>IFERROR(tbl_TubeLaser[[#This Row],[Act. Mat. Qty]]-tbl_TubeLaser[[#This Row],[Adj. Mat. Qty]],"")</f>
        <v/>
      </c>
      <c r="AA121"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21" s="31"/>
      <c r="AD121" s="36"/>
    </row>
    <row r="122" spans="1:30" ht="25" customHeight="1">
      <c r="C122" s="28" t="str">
        <f>IF(tbl_TubeLaser[[#This Row],[Part'#]]="", "Batch", "Part")</f>
        <v>Batch</v>
      </c>
      <c r="G122" s="28"/>
      <c r="I122" s="70" t="e">
        <f>tbl_TubeLaser[[#This Row],[Qty Complete]]/tbl_TubeLaser[[#This Row],[Qty Required]]</f>
        <v>#DIV/0!</v>
      </c>
      <c r="L122" s="31">
        <f>IF(tbl_TubeLaser[[#This Row],[Job Type]]="Batch",0,tbl_TubeLaser[[#This Row],[Qty Required]]/tbl_TubeLaser[[#This Row],[PPH]]*tbl_TubeLaser[[#This Row],['# of men]])</f>
        <v>0</v>
      </c>
      <c r="M122" s="31" t="e">
        <f>IF(tbl_TubeLaser[[#This Row],[Job Type]]="Batch",tbl_TubeLaser[[#This Row],[Batch Hours]]*tbl_TubeLaser[[#This Row],[% Complete]],tbl_TubeLaser[[#This Row],[Total hours]]*tbl_TubeLaser[[#This Row],[% Complete]])</f>
        <v>#DIV/0!</v>
      </c>
      <c r="N122" s="31"/>
      <c r="P122" s="28" t="e">
        <f>tbl_TubeLaser[[#This Row],[Mat. Qty]]*tbl_TubeLaser[[#This Row],[% Complete]]</f>
        <v>#DIV/0!</v>
      </c>
      <c r="R122" s="32" t="str">
        <f>IFERROR(tbl_TubeLaser[[#This Row],[Qty Complete]]/tbl_TubeLaser[[#This Row],[Total Hours Act]]*tbl_TubeLaser[[#This Row],['# of men Act]],"")</f>
        <v/>
      </c>
      <c r="T122"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22" s="35" t="str">
        <f>IFERROR((tbl_TubeLaser[[#This Row],[Adj. Total Hours]]+tbl_TubeLaser[[#This Row],[Est. Hours]])/(tbl_TubeLaser[[#This Row],[Total Hours Act]]+tbl_TubeLaser[[#This Row],[Act. Hours]]),"")</f>
        <v/>
      </c>
      <c r="Y122"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22" s="104" t="str">
        <f>IFERROR(tbl_TubeLaser[[#This Row],[Act. Mat. Qty]]-tbl_TubeLaser[[#This Row],[Adj. Mat. Qty]],"")</f>
        <v/>
      </c>
      <c r="AA122"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22" s="31"/>
      <c r="AD122" s="36"/>
    </row>
    <row r="123" spans="1:30" ht="25" customHeight="1">
      <c r="C123" s="28" t="str">
        <f>IF(tbl_TubeLaser[[#This Row],[Part'#]]="", "Batch", "Part")</f>
        <v>Batch</v>
      </c>
      <c r="G123" s="28"/>
      <c r="I123" s="70" t="e">
        <f>tbl_TubeLaser[[#This Row],[Qty Complete]]/tbl_TubeLaser[[#This Row],[Qty Required]]</f>
        <v>#DIV/0!</v>
      </c>
      <c r="L123" s="31">
        <f>IF(tbl_TubeLaser[[#This Row],[Job Type]]="Batch",0,tbl_TubeLaser[[#This Row],[Qty Required]]/tbl_TubeLaser[[#This Row],[PPH]]*tbl_TubeLaser[[#This Row],['# of men]])</f>
        <v>0</v>
      </c>
      <c r="M123" s="31" t="e">
        <f>IF(tbl_TubeLaser[[#This Row],[Job Type]]="Batch",tbl_TubeLaser[[#This Row],[Batch Hours]]*tbl_TubeLaser[[#This Row],[% Complete]],tbl_TubeLaser[[#This Row],[Total hours]]*tbl_TubeLaser[[#This Row],[% Complete]])</f>
        <v>#DIV/0!</v>
      </c>
      <c r="N123" s="31"/>
      <c r="P123" s="28" t="e">
        <f>tbl_TubeLaser[[#This Row],[Mat. Qty]]*tbl_TubeLaser[[#This Row],[% Complete]]</f>
        <v>#DIV/0!</v>
      </c>
      <c r="R123" s="32" t="str">
        <f>IFERROR(tbl_TubeLaser[[#This Row],[Qty Complete]]/tbl_TubeLaser[[#This Row],[Total Hours Act]]*tbl_TubeLaser[[#This Row],['# of men Act]],"")</f>
        <v/>
      </c>
      <c r="T123"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23" s="35" t="str">
        <f>IFERROR((tbl_TubeLaser[[#This Row],[Adj. Total Hours]]+tbl_TubeLaser[[#This Row],[Est. Hours]])/(tbl_TubeLaser[[#This Row],[Total Hours Act]]+tbl_TubeLaser[[#This Row],[Act. Hours]]),"")</f>
        <v/>
      </c>
      <c r="Y123"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23" s="104" t="str">
        <f>IFERROR(tbl_TubeLaser[[#This Row],[Act. Mat. Qty]]-tbl_TubeLaser[[#This Row],[Adj. Mat. Qty]],"")</f>
        <v/>
      </c>
      <c r="AA123"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23" s="31"/>
      <c r="AD123" s="36"/>
    </row>
    <row r="124" spans="1:30" ht="25" customHeight="1">
      <c r="C124" s="28" t="str">
        <f>IF(tbl_TubeLaser[[#This Row],[Part'#]]="", "Batch", "Part")</f>
        <v>Batch</v>
      </c>
      <c r="G124" s="28"/>
      <c r="I124" s="70" t="e">
        <f>tbl_TubeLaser[[#This Row],[Qty Complete]]/tbl_TubeLaser[[#This Row],[Qty Required]]</f>
        <v>#DIV/0!</v>
      </c>
      <c r="L124" s="31">
        <f>IF(tbl_TubeLaser[[#This Row],[Job Type]]="Batch",0,tbl_TubeLaser[[#This Row],[Qty Required]]/tbl_TubeLaser[[#This Row],[PPH]]*tbl_TubeLaser[[#This Row],['# of men]])</f>
        <v>0</v>
      </c>
      <c r="M124" s="31" t="e">
        <f>IF(tbl_TubeLaser[[#This Row],[Job Type]]="Batch",tbl_TubeLaser[[#This Row],[Batch Hours]]*tbl_TubeLaser[[#This Row],[% Complete]],tbl_TubeLaser[[#This Row],[Total hours]]*tbl_TubeLaser[[#This Row],[% Complete]])</f>
        <v>#DIV/0!</v>
      </c>
      <c r="N124" s="31"/>
      <c r="P124" s="28" t="e">
        <f>tbl_TubeLaser[[#This Row],[Mat. Qty]]*tbl_TubeLaser[[#This Row],[% Complete]]</f>
        <v>#DIV/0!</v>
      </c>
      <c r="R124" s="32" t="str">
        <f>IFERROR(tbl_TubeLaser[[#This Row],[Qty Complete]]/tbl_TubeLaser[[#This Row],[Total Hours Act]]*tbl_TubeLaser[[#This Row],['# of men Act]],"")</f>
        <v/>
      </c>
      <c r="T124"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24" s="35" t="str">
        <f>IFERROR((tbl_TubeLaser[[#This Row],[Adj. Total Hours]]+tbl_TubeLaser[[#This Row],[Est. Hours]])/(tbl_TubeLaser[[#This Row],[Total Hours Act]]+tbl_TubeLaser[[#This Row],[Act. Hours]]),"")</f>
        <v/>
      </c>
      <c r="Y124"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24" s="104" t="str">
        <f>IFERROR(tbl_TubeLaser[[#This Row],[Act. Mat. Qty]]-tbl_TubeLaser[[#This Row],[Adj. Mat. Qty]],"")</f>
        <v/>
      </c>
      <c r="AA124"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24" s="31"/>
      <c r="AD124" s="36"/>
    </row>
    <row r="125" spans="1:30" ht="25" customHeight="1">
      <c r="C125" s="28" t="str">
        <f>IF(tbl_TubeLaser[[#This Row],[Part'#]]="", "Batch", "Part")</f>
        <v>Batch</v>
      </c>
      <c r="G125" s="28"/>
      <c r="I125" s="70" t="e">
        <f>tbl_TubeLaser[[#This Row],[Qty Complete]]/tbl_TubeLaser[[#This Row],[Qty Required]]</f>
        <v>#DIV/0!</v>
      </c>
      <c r="L125" s="31">
        <f>IF(tbl_TubeLaser[[#This Row],[Job Type]]="Batch",0,tbl_TubeLaser[[#This Row],[Qty Required]]/tbl_TubeLaser[[#This Row],[PPH]]*tbl_TubeLaser[[#This Row],['# of men]])</f>
        <v>0</v>
      </c>
      <c r="M125" s="31" t="e">
        <f>IF(tbl_TubeLaser[[#This Row],[Job Type]]="Batch",tbl_TubeLaser[[#This Row],[Batch Hours]]*tbl_TubeLaser[[#This Row],[% Complete]],tbl_TubeLaser[[#This Row],[Total hours]]*tbl_TubeLaser[[#This Row],[% Complete]])</f>
        <v>#DIV/0!</v>
      </c>
      <c r="N125" s="31"/>
      <c r="P125" s="28" t="e">
        <f>tbl_TubeLaser[[#This Row],[Mat. Qty]]*tbl_TubeLaser[[#This Row],[% Complete]]</f>
        <v>#DIV/0!</v>
      </c>
      <c r="R125" s="32" t="str">
        <f>IFERROR(tbl_TubeLaser[[#This Row],[Qty Complete]]/tbl_TubeLaser[[#This Row],[Total Hours Act]]*tbl_TubeLaser[[#This Row],['# of men Act]],"")</f>
        <v/>
      </c>
      <c r="T125"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25" s="35" t="str">
        <f>IFERROR((tbl_TubeLaser[[#This Row],[Adj. Total Hours]]+tbl_TubeLaser[[#This Row],[Est. Hours]])/(tbl_TubeLaser[[#This Row],[Total Hours Act]]+tbl_TubeLaser[[#This Row],[Act. Hours]]),"")</f>
        <v/>
      </c>
      <c r="Y125"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25" s="104" t="str">
        <f>IFERROR(tbl_TubeLaser[[#This Row],[Act. Mat. Qty]]-tbl_TubeLaser[[#This Row],[Adj. Mat. Qty]],"")</f>
        <v/>
      </c>
      <c r="AA125"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25" s="31"/>
      <c r="AD125" s="36"/>
    </row>
    <row r="126" spans="1:30" ht="25" customHeight="1">
      <c r="C126" s="28" t="str">
        <f>IF(tbl_TubeLaser[[#This Row],[Part'#]]="", "Batch", "Part")</f>
        <v>Batch</v>
      </c>
      <c r="G126" s="28"/>
      <c r="I126" s="70" t="e">
        <f>tbl_TubeLaser[[#This Row],[Qty Complete]]/tbl_TubeLaser[[#This Row],[Qty Required]]</f>
        <v>#DIV/0!</v>
      </c>
      <c r="L126" s="31">
        <f>IF(tbl_TubeLaser[[#This Row],[Job Type]]="Batch",0,tbl_TubeLaser[[#This Row],[Qty Required]]/tbl_TubeLaser[[#This Row],[PPH]]*tbl_TubeLaser[[#This Row],['# of men]])</f>
        <v>0</v>
      </c>
      <c r="M126" s="31" t="e">
        <f>IF(tbl_TubeLaser[[#This Row],[Job Type]]="Batch",tbl_TubeLaser[[#This Row],[Batch Hours]]*tbl_TubeLaser[[#This Row],[% Complete]],tbl_TubeLaser[[#This Row],[Total hours]]*tbl_TubeLaser[[#This Row],[% Complete]])</f>
        <v>#DIV/0!</v>
      </c>
      <c r="N126" s="31"/>
      <c r="P126" s="28" t="e">
        <f>tbl_TubeLaser[[#This Row],[Mat. Qty]]*tbl_TubeLaser[[#This Row],[% Complete]]</f>
        <v>#DIV/0!</v>
      </c>
      <c r="R126" s="32" t="str">
        <f>IFERROR(tbl_TubeLaser[[#This Row],[Qty Complete]]/tbl_TubeLaser[[#This Row],[Total Hours Act]]*tbl_TubeLaser[[#This Row],['# of men Act]],"")</f>
        <v/>
      </c>
      <c r="T126"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26" s="35" t="str">
        <f>IFERROR((tbl_TubeLaser[[#This Row],[Adj. Total Hours]]+tbl_TubeLaser[[#This Row],[Est. Hours]])/(tbl_TubeLaser[[#This Row],[Total Hours Act]]+tbl_TubeLaser[[#This Row],[Act. Hours]]),"")</f>
        <v/>
      </c>
      <c r="Y126"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26" s="104" t="str">
        <f>IFERROR(tbl_TubeLaser[[#This Row],[Act. Mat. Qty]]-tbl_TubeLaser[[#This Row],[Adj. Mat. Qty]],"")</f>
        <v/>
      </c>
      <c r="AA126"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26" s="31"/>
      <c r="AD126" s="36"/>
    </row>
    <row r="127" spans="1:30" ht="25" customHeight="1">
      <c r="C127" s="28" t="str">
        <f>IF(tbl_TubeLaser[[#This Row],[Part'#]]="", "Batch", "Part")</f>
        <v>Batch</v>
      </c>
      <c r="G127" s="28"/>
      <c r="I127" s="70" t="e">
        <f>tbl_TubeLaser[[#This Row],[Qty Complete]]/tbl_TubeLaser[[#This Row],[Qty Required]]</f>
        <v>#DIV/0!</v>
      </c>
      <c r="L127" s="31">
        <f>IF(tbl_TubeLaser[[#This Row],[Job Type]]="Batch",0,tbl_TubeLaser[[#This Row],[Qty Required]]/tbl_TubeLaser[[#This Row],[PPH]]*tbl_TubeLaser[[#This Row],['# of men]])</f>
        <v>0</v>
      </c>
      <c r="M127" s="31" t="e">
        <f>IF(tbl_TubeLaser[[#This Row],[Job Type]]="Batch",tbl_TubeLaser[[#This Row],[Batch Hours]]*tbl_TubeLaser[[#This Row],[% Complete]],tbl_TubeLaser[[#This Row],[Total hours]]*tbl_TubeLaser[[#This Row],[% Complete]])</f>
        <v>#DIV/0!</v>
      </c>
      <c r="N127" s="31"/>
      <c r="P127" s="28" t="e">
        <f>tbl_TubeLaser[[#This Row],[Mat. Qty]]*tbl_TubeLaser[[#This Row],[% Complete]]</f>
        <v>#DIV/0!</v>
      </c>
      <c r="R127" s="32" t="str">
        <f>IFERROR(tbl_TubeLaser[[#This Row],[Qty Complete]]/tbl_TubeLaser[[#This Row],[Total Hours Act]]*tbl_TubeLaser[[#This Row],['# of men Act]],"")</f>
        <v/>
      </c>
      <c r="T127"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27" s="35" t="str">
        <f>IFERROR((tbl_TubeLaser[[#This Row],[Adj. Total Hours]]+tbl_TubeLaser[[#This Row],[Est. Hours]])/(tbl_TubeLaser[[#This Row],[Total Hours Act]]+tbl_TubeLaser[[#This Row],[Act. Hours]]),"")</f>
        <v/>
      </c>
      <c r="Y127"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27" s="104" t="str">
        <f>IFERROR(tbl_TubeLaser[[#This Row],[Act. Mat. Qty]]-tbl_TubeLaser[[#This Row],[Adj. Mat. Qty]],"")</f>
        <v/>
      </c>
      <c r="AA127"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27" s="31"/>
      <c r="AD127" s="36"/>
    </row>
    <row r="128" spans="1:30" ht="25" customHeight="1">
      <c r="C128" s="28" t="str">
        <f>IF(tbl_TubeLaser[[#This Row],[Part'#]]="", "Batch", "Part")</f>
        <v>Batch</v>
      </c>
      <c r="G128" s="28"/>
      <c r="I128" s="70" t="e">
        <f>tbl_TubeLaser[[#This Row],[Qty Complete]]/tbl_TubeLaser[[#This Row],[Qty Required]]</f>
        <v>#DIV/0!</v>
      </c>
      <c r="L128" s="31">
        <f>IF(tbl_TubeLaser[[#This Row],[Job Type]]="Batch",0,tbl_TubeLaser[[#This Row],[Qty Required]]/tbl_TubeLaser[[#This Row],[PPH]]*tbl_TubeLaser[[#This Row],['# of men]])</f>
        <v>0</v>
      </c>
      <c r="M128" s="31" t="e">
        <f>IF(tbl_TubeLaser[[#This Row],[Job Type]]="Batch",tbl_TubeLaser[[#This Row],[Batch Hours]]*tbl_TubeLaser[[#This Row],[% Complete]],tbl_TubeLaser[[#This Row],[Total hours]]*tbl_TubeLaser[[#This Row],[% Complete]])</f>
        <v>#DIV/0!</v>
      </c>
      <c r="N128" s="31"/>
      <c r="P128" s="28" t="e">
        <f>tbl_TubeLaser[[#This Row],[Mat. Qty]]*tbl_TubeLaser[[#This Row],[% Complete]]</f>
        <v>#DIV/0!</v>
      </c>
      <c r="R128" s="32" t="str">
        <f>IFERROR(tbl_TubeLaser[[#This Row],[Qty Complete]]/tbl_TubeLaser[[#This Row],[Total Hours Act]]*tbl_TubeLaser[[#This Row],['# of men Act]],"")</f>
        <v/>
      </c>
      <c r="T128"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28" s="35" t="str">
        <f>IFERROR((tbl_TubeLaser[[#This Row],[Adj. Total Hours]]+tbl_TubeLaser[[#This Row],[Est. Hours]])/(tbl_TubeLaser[[#This Row],[Total Hours Act]]+tbl_TubeLaser[[#This Row],[Act. Hours]]),"")</f>
        <v/>
      </c>
      <c r="Y128"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28" s="104" t="str">
        <f>IFERROR(tbl_TubeLaser[[#This Row],[Act. Mat. Qty]]-tbl_TubeLaser[[#This Row],[Adj. Mat. Qty]],"")</f>
        <v/>
      </c>
      <c r="AA128"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28" s="31"/>
      <c r="AD128" s="36"/>
    </row>
    <row r="129" spans="3:30" ht="25" customHeight="1">
      <c r="C129" s="28" t="str">
        <f>IF(tbl_TubeLaser[[#This Row],[Part'#]]="", "Batch", "Part")</f>
        <v>Batch</v>
      </c>
      <c r="G129" s="28"/>
      <c r="I129" s="70" t="e">
        <f>tbl_TubeLaser[[#This Row],[Qty Complete]]/tbl_TubeLaser[[#This Row],[Qty Required]]</f>
        <v>#DIV/0!</v>
      </c>
      <c r="L129" s="31">
        <f>IF(tbl_TubeLaser[[#This Row],[Job Type]]="Batch",0,tbl_TubeLaser[[#This Row],[Qty Required]]/tbl_TubeLaser[[#This Row],[PPH]]*tbl_TubeLaser[[#This Row],['# of men]])</f>
        <v>0</v>
      </c>
      <c r="M129" s="31" t="e">
        <f>IF(tbl_TubeLaser[[#This Row],[Job Type]]="Batch",tbl_TubeLaser[[#This Row],[Batch Hours]]*tbl_TubeLaser[[#This Row],[% Complete]],tbl_TubeLaser[[#This Row],[Total hours]]*tbl_TubeLaser[[#This Row],[% Complete]])</f>
        <v>#DIV/0!</v>
      </c>
      <c r="N129" s="31"/>
      <c r="P129" s="28" t="e">
        <f>tbl_TubeLaser[[#This Row],[Mat. Qty]]*tbl_TubeLaser[[#This Row],[% Complete]]</f>
        <v>#DIV/0!</v>
      </c>
      <c r="R129" s="32" t="str">
        <f>IFERROR(tbl_TubeLaser[[#This Row],[Qty Complete]]/tbl_TubeLaser[[#This Row],[Total Hours Act]]*tbl_TubeLaser[[#This Row],['# of men Act]],"")</f>
        <v/>
      </c>
      <c r="T129"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29" s="35" t="str">
        <f>IFERROR((tbl_TubeLaser[[#This Row],[Adj. Total Hours]]+tbl_TubeLaser[[#This Row],[Est. Hours]])/(tbl_TubeLaser[[#This Row],[Total Hours Act]]+tbl_TubeLaser[[#This Row],[Act. Hours]]),"")</f>
        <v/>
      </c>
      <c r="Y129"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29" s="104" t="str">
        <f>IFERROR(tbl_TubeLaser[[#This Row],[Act. Mat. Qty]]-tbl_TubeLaser[[#This Row],[Adj. Mat. Qty]],"")</f>
        <v/>
      </c>
      <c r="AA129"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29" s="31"/>
      <c r="AD129" s="36"/>
    </row>
    <row r="130" spans="3:30" ht="25" customHeight="1">
      <c r="C130" s="28" t="str">
        <f>IF(tbl_TubeLaser[[#This Row],[Part'#]]="", "Batch", "Part")</f>
        <v>Batch</v>
      </c>
      <c r="G130" s="28"/>
      <c r="I130" s="70" t="e">
        <f>tbl_TubeLaser[[#This Row],[Qty Complete]]/tbl_TubeLaser[[#This Row],[Qty Required]]</f>
        <v>#DIV/0!</v>
      </c>
      <c r="L130" s="31">
        <f>IF(tbl_TubeLaser[[#This Row],[Job Type]]="Batch",0,tbl_TubeLaser[[#This Row],[Qty Required]]/tbl_TubeLaser[[#This Row],[PPH]]*tbl_TubeLaser[[#This Row],['# of men]])</f>
        <v>0</v>
      </c>
      <c r="M130" s="31" t="e">
        <f>IF(tbl_TubeLaser[[#This Row],[Job Type]]="Batch",tbl_TubeLaser[[#This Row],[Batch Hours]]*tbl_TubeLaser[[#This Row],[% Complete]],tbl_TubeLaser[[#This Row],[Total hours]]*tbl_TubeLaser[[#This Row],[% Complete]])</f>
        <v>#DIV/0!</v>
      </c>
      <c r="N130" s="31"/>
      <c r="P130" s="28" t="e">
        <f>tbl_TubeLaser[[#This Row],[Mat. Qty]]*tbl_TubeLaser[[#This Row],[% Complete]]</f>
        <v>#DIV/0!</v>
      </c>
      <c r="R130" s="32" t="str">
        <f>IFERROR(tbl_TubeLaser[[#This Row],[Qty Complete]]/tbl_TubeLaser[[#This Row],[Total Hours Act]]*tbl_TubeLaser[[#This Row],['# of men Act]],"")</f>
        <v/>
      </c>
      <c r="T130"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30" s="35" t="str">
        <f>IFERROR((tbl_TubeLaser[[#This Row],[Adj. Total Hours]]+tbl_TubeLaser[[#This Row],[Est. Hours]])/(tbl_TubeLaser[[#This Row],[Total Hours Act]]+tbl_TubeLaser[[#This Row],[Act. Hours]]),"")</f>
        <v/>
      </c>
      <c r="Y130"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30" s="104" t="str">
        <f>IFERROR(tbl_TubeLaser[[#This Row],[Act. Mat. Qty]]-tbl_TubeLaser[[#This Row],[Adj. Mat. Qty]],"")</f>
        <v/>
      </c>
      <c r="AA130"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30" s="31"/>
      <c r="AD130" s="36"/>
    </row>
    <row r="131" spans="3:30" ht="25" customHeight="1">
      <c r="C131" s="28" t="str">
        <f>IF(tbl_TubeLaser[[#This Row],[Part'#]]="", "Batch", "Part")</f>
        <v>Batch</v>
      </c>
      <c r="G131" s="28"/>
      <c r="I131" s="70" t="e">
        <f>tbl_TubeLaser[[#This Row],[Qty Complete]]/tbl_TubeLaser[[#This Row],[Qty Required]]</f>
        <v>#DIV/0!</v>
      </c>
      <c r="L131" s="31">
        <f>IF(tbl_TubeLaser[[#This Row],[Job Type]]="Batch",0,tbl_TubeLaser[[#This Row],[Qty Required]]/tbl_TubeLaser[[#This Row],[PPH]]*tbl_TubeLaser[[#This Row],['# of men]])</f>
        <v>0</v>
      </c>
      <c r="M131" s="31" t="e">
        <f>IF(tbl_TubeLaser[[#This Row],[Job Type]]="Batch",tbl_TubeLaser[[#This Row],[Batch Hours]]*tbl_TubeLaser[[#This Row],[% Complete]],tbl_TubeLaser[[#This Row],[Total hours]]*tbl_TubeLaser[[#This Row],[% Complete]])</f>
        <v>#DIV/0!</v>
      </c>
      <c r="N131" s="31"/>
      <c r="P131" s="28" t="e">
        <f>tbl_TubeLaser[[#This Row],[Mat. Qty]]*tbl_TubeLaser[[#This Row],[% Complete]]</f>
        <v>#DIV/0!</v>
      </c>
      <c r="R131" s="32" t="str">
        <f>IFERROR(tbl_TubeLaser[[#This Row],[Qty Complete]]/tbl_TubeLaser[[#This Row],[Total Hours Act]]*tbl_TubeLaser[[#This Row],['# of men Act]],"")</f>
        <v/>
      </c>
      <c r="T131"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31" s="35" t="str">
        <f>IFERROR((tbl_TubeLaser[[#This Row],[Adj. Total Hours]]+tbl_TubeLaser[[#This Row],[Est. Hours]])/(tbl_TubeLaser[[#This Row],[Total Hours Act]]+tbl_TubeLaser[[#This Row],[Act. Hours]]),"")</f>
        <v/>
      </c>
      <c r="Y131"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31" s="104" t="str">
        <f>IFERROR(tbl_TubeLaser[[#This Row],[Act. Mat. Qty]]-tbl_TubeLaser[[#This Row],[Adj. Mat. Qty]],"")</f>
        <v/>
      </c>
      <c r="AA131"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31" s="31"/>
      <c r="AD131" s="36"/>
    </row>
    <row r="132" spans="3:30" ht="25" customHeight="1">
      <c r="C132" s="28" t="str">
        <f>IF(tbl_TubeLaser[[#This Row],[Part'#]]="", "Batch", "Part")</f>
        <v>Batch</v>
      </c>
      <c r="G132" s="28"/>
      <c r="I132" s="70" t="e">
        <f>tbl_TubeLaser[[#This Row],[Qty Complete]]/tbl_TubeLaser[[#This Row],[Qty Required]]</f>
        <v>#DIV/0!</v>
      </c>
      <c r="L132" s="31">
        <f>IF(tbl_TubeLaser[[#This Row],[Job Type]]="Batch",0,tbl_TubeLaser[[#This Row],[Qty Required]]/tbl_TubeLaser[[#This Row],[PPH]]*tbl_TubeLaser[[#This Row],['# of men]])</f>
        <v>0</v>
      </c>
      <c r="M132" s="31" t="e">
        <f>IF(tbl_TubeLaser[[#This Row],[Job Type]]="Batch",tbl_TubeLaser[[#This Row],[Batch Hours]]*tbl_TubeLaser[[#This Row],[% Complete]],tbl_TubeLaser[[#This Row],[Total hours]]*tbl_TubeLaser[[#This Row],[% Complete]])</f>
        <v>#DIV/0!</v>
      </c>
      <c r="N132" s="31"/>
      <c r="P132" s="28" t="e">
        <f>tbl_TubeLaser[[#This Row],[Mat. Qty]]*tbl_TubeLaser[[#This Row],[% Complete]]</f>
        <v>#DIV/0!</v>
      </c>
      <c r="R132" s="32" t="str">
        <f>IFERROR(tbl_TubeLaser[[#This Row],[Qty Complete]]/tbl_TubeLaser[[#This Row],[Total Hours Act]]*tbl_TubeLaser[[#This Row],['# of men Act]],"")</f>
        <v/>
      </c>
      <c r="T132"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32" s="35" t="str">
        <f>IFERROR((tbl_TubeLaser[[#This Row],[Adj. Total Hours]]+tbl_TubeLaser[[#This Row],[Est. Hours]])/(tbl_TubeLaser[[#This Row],[Total Hours Act]]+tbl_TubeLaser[[#This Row],[Act. Hours]]),"")</f>
        <v/>
      </c>
      <c r="Y132"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32" s="104" t="str">
        <f>IFERROR(tbl_TubeLaser[[#This Row],[Act. Mat. Qty]]-tbl_TubeLaser[[#This Row],[Adj. Mat. Qty]],"")</f>
        <v/>
      </c>
      <c r="AA132"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32" s="31"/>
      <c r="AD132" s="36"/>
    </row>
    <row r="133" spans="3:30" ht="25" customHeight="1">
      <c r="C133" s="28" t="str">
        <f>IF(tbl_TubeLaser[[#This Row],[Part'#]]="", "Batch", "Part")</f>
        <v>Batch</v>
      </c>
      <c r="G133" s="28"/>
      <c r="I133" s="70" t="e">
        <f>tbl_TubeLaser[[#This Row],[Qty Complete]]/tbl_TubeLaser[[#This Row],[Qty Required]]</f>
        <v>#DIV/0!</v>
      </c>
      <c r="L133" s="31">
        <f>IF(tbl_TubeLaser[[#This Row],[Job Type]]="Batch",0,tbl_TubeLaser[[#This Row],[Qty Required]]/tbl_TubeLaser[[#This Row],[PPH]]*tbl_TubeLaser[[#This Row],['# of men]])</f>
        <v>0</v>
      </c>
      <c r="M133" s="31" t="e">
        <f>IF(tbl_TubeLaser[[#This Row],[Job Type]]="Batch",tbl_TubeLaser[[#This Row],[Batch Hours]]*tbl_TubeLaser[[#This Row],[% Complete]],tbl_TubeLaser[[#This Row],[Total hours]]*tbl_TubeLaser[[#This Row],[% Complete]])</f>
        <v>#DIV/0!</v>
      </c>
      <c r="N133" s="31"/>
      <c r="P133" s="28" t="e">
        <f>tbl_TubeLaser[[#This Row],[Mat. Qty]]*tbl_TubeLaser[[#This Row],[% Complete]]</f>
        <v>#DIV/0!</v>
      </c>
      <c r="R133" s="32" t="str">
        <f>IFERROR(tbl_TubeLaser[[#This Row],[Qty Complete]]/tbl_TubeLaser[[#This Row],[Total Hours Act]]*tbl_TubeLaser[[#This Row],['# of men Act]],"")</f>
        <v/>
      </c>
      <c r="T133"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33" s="35" t="str">
        <f>IFERROR((tbl_TubeLaser[[#This Row],[Adj. Total Hours]]+tbl_TubeLaser[[#This Row],[Est. Hours]])/(tbl_TubeLaser[[#This Row],[Total Hours Act]]+tbl_TubeLaser[[#This Row],[Act. Hours]]),"")</f>
        <v/>
      </c>
      <c r="Y133"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33" s="104" t="str">
        <f>IFERROR(tbl_TubeLaser[[#This Row],[Act. Mat. Qty]]-tbl_TubeLaser[[#This Row],[Adj. Mat. Qty]],"")</f>
        <v/>
      </c>
      <c r="AA133"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33" s="31"/>
      <c r="AD133" s="36"/>
    </row>
    <row r="134" spans="3:30" ht="25" customHeight="1">
      <c r="C134" s="28" t="str">
        <f>IF(tbl_TubeLaser[[#This Row],[Part'#]]="", "Batch", "Part")</f>
        <v>Batch</v>
      </c>
      <c r="G134" s="28"/>
      <c r="I134" s="70" t="e">
        <f>tbl_TubeLaser[[#This Row],[Qty Complete]]/tbl_TubeLaser[[#This Row],[Qty Required]]</f>
        <v>#DIV/0!</v>
      </c>
      <c r="L134" s="31">
        <f>IF(tbl_TubeLaser[[#This Row],[Job Type]]="Batch",0,tbl_TubeLaser[[#This Row],[Qty Required]]/tbl_TubeLaser[[#This Row],[PPH]]*tbl_TubeLaser[[#This Row],['# of men]])</f>
        <v>0</v>
      </c>
      <c r="M134" s="31" t="e">
        <f>IF(tbl_TubeLaser[[#This Row],[Job Type]]="Batch",tbl_TubeLaser[[#This Row],[Batch Hours]]*tbl_TubeLaser[[#This Row],[% Complete]],tbl_TubeLaser[[#This Row],[Total hours]]*tbl_TubeLaser[[#This Row],[% Complete]])</f>
        <v>#DIV/0!</v>
      </c>
      <c r="N134" s="31"/>
      <c r="P134" s="28" t="e">
        <f>tbl_TubeLaser[[#This Row],[Mat. Qty]]*tbl_TubeLaser[[#This Row],[% Complete]]</f>
        <v>#DIV/0!</v>
      </c>
      <c r="R134" s="32" t="str">
        <f>IFERROR(tbl_TubeLaser[[#This Row],[Qty Complete]]/tbl_TubeLaser[[#This Row],[Total Hours Act]]*tbl_TubeLaser[[#This Row],['# of men Act]],"")</f>
        <v/>
      </c>
      <c r="T134"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34" s="35" t="str">
        <f>IFERROR((tbl_TubeLaser[[#This Row],[Adj. Total Hours]]+tbl_TubeLaser[[#This Row],[Est. Hours]])/(tbl_TubeLaser[[#This Row],[Total Hours Act]]+tbl_TubeLaser[[#This Row],[Act. Hours]]),"")</f>
        <v/>
      </c>
      <c r="Y134"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34" s="104" t="str">
        <f>IFERROR(tbl_TubeLaser[[#This Row],[Act. Mat. Qty]]-tbl_TubeLaser[[#This Row],[Adj. Mat. Qty]],"")</f>
        <v/>
      </c>
      <c r="AA134"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34" s="31"/>
      <c r="AD134" s="36"/>
    </row>
    <row r="135" spans="3:30" ht="25" customHeight="1">
      <c r="C135" s="28" t="str">
        <f>IF(tbl_TubeLaser[[#This Row],[Part'#]]="", "Batch", "Part")</f>
        <v>Batch</v>
      </c>
      <c r="G135" s="28"/>
      <c r="I135" s="70" t="e">
        <f>tbl_TubeLaser[[#This Row],[Qty Complete]]/tbl_TubeLaser[[#This Row],[Qty Required]]</f>
        <v>#DIV/0!</v>
      </c>
      <c r="L135" s="31">
        <f>IF(tbl_TubeLaser[[#This Row],[Job Type]]="Batch",0,tbl_TubeLaser[[#This Row],[Qty Required]]/tbl_TubeLaser[[#This Row],[PPH]]*tbl_TubeLaser[[#This Row],['# of men]])</f>
        <v>0</v>
      </c>
      <c r="M135" s="31" t="e">
        <f>IF(tbl_TubeLaser[[#This Row],[Job Type]]="Batch",tbl_TubeLaser[[#This Row],[Batch Hours]]*tbl_TubeLaser[[#This Row],[% Complete]],tbl_TubeLaser[[#This Row],[Total hours]]*tbl_TubeLaser[[#This Row],[% Complete]])</f>
        <v>#DIV/0!</v>
      </c>
      <c r="N135" s="31"/>
      <c r="P135" s="28" t="e">
        <f>tbl_TubeLaser[[#This Row],[Mat. Qty]]*tbl_TubeLaser[[#This Row],[% Complete]]</f>
        <v>#DIV/0!</v>
      </c>
      <c r="R135" s="32" t="str">
        <f>IFERROR(tbl_TubeLaser[[#This Row],[Qty Complete]]/tbl_TubeLaser[[#This Row],[Total Hours Act]]*tbl_TubeLaser[[#This Row],['# of men Act]],"")</f>
        <v/>
      </c>
      <c r="T135"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35" s="35" t="str">
        <f>IFERROR((tbl_TubeLaser[[#This Row],[Adj. Total Hours]]+tbl_TubeLaser[[#This Row],[Est. Hours]])/(tbl_TubeLaser[[#This Row],[Total Hours Act]]+tbl_TubeLaser[[#This Row],[Act. Hours]]),"")</f>
        <v/>
      </c>
      <c r="Y135"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35" s="104" t="str">
        <f>IFERROR(tbl_TubeLaser[[#This Row],[Act. Mat. Qty]]-tbl_TubeLaser[[#This Row],[Adj. Mat. Qty]],"")</f>
        <v/>
      </c>
      <c r="AA135"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35" s="31"/>
      <c r="AD135" s="36"/>
    </row>
    <row r="136" spans="3:30" ht="25" customHeight="1">
      <c r="C136" s="28" t="str">
        <f>IF(tbl_TubeLaser[[#This Row],[Part'#]]="", "Batch", "Part")</f>
        <v>Batch</v>
      </c>
      <c r="G136" s="28"/>
      <c r="I136" s="70" t="e">
        <f>tbl_TubeLaser[[#This Row],[Qty Complete]]/tbl_TubeLaser[[#This Row],[Qty Required]]</f>
        <v>#DIV/0!</v>
      </c>
      <c r="L136" s="31">
        <f>IF(tbl_TubeLaser[[#This Row],[Job Type]]="Batch",0,tbl_TubeLaser[[#This Row],[Qty Required]]/tbl_TubeLaser[[#This Row],[PPH]]*tbl_TubeLaser[[#This Row],['# of men]])</f>
        <v>0</v>
      </c>
      <c r="M136" s="31" t="e">
        <f>IF(tbl_TubeLaser[[#This Row],[Job Type]]="Batch",tbl_TubeLaser[[#This Row],[Batch Hours]]*tbl_TubeLaser[[#This Row],[% Complete]],tbl_TubeLaser[[#This Row],[Total hours]]*tbl_TubeLaser[[#This Row],[% Complete]])</f>
        <v>#DIV/0!</v>
      </c>
      <c r="N136" s="31"/>
      <c r="P136" s="28" t="e">
        <f>tbl_TubeLaser[[#This Row],[Mat. Qty]]*tbl_TubeLaser[[#This Row],[% Complete]]</f>
        <v>#DIV/0!</v>
      </c>
      <c r="R136" s="32" t="str">
        <f>IFERROR(tbl_TubeLaser[[#This Row],[Qty Complete]]/tbl_TubeLaser[[#This Row],[Total Hours Act]]*tbl_TubeLaser[[#This Row],['# of men Act]],"")</f>
        <v/>
      </c>
      <c r="T136"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36" s="35" t="str">
        <f>IFERROR((tbl_TubeLaser[[#This Row],[Adj. Total Hours]]+tbl_TubeLaser[[#This Row],[Est. Hours]])/(tbl_TubeLaser[[#This Row],[Total Hours Act]]+tbl_TubeLaser[[#This Row],[Act. Hours]]),"")</f>
        <v/>
      </c>
      <c r="Y136"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36" s="104" t="str">
        <f>IFERROR(tbl_TubeLaser[[#This Row],[Act. Mat. Qty]]-tbl_TubeLaser[[#This Row],[Adj. Mat. Qty]],"")</f>
        <v/>
      </c>
      <c r="AA136"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36" s="31"/>
      <c r="AD136" s="36"/>
    </row>
    <row r="137" spans="3:30" ht="25" customHeight="1">
      <c r="C137" s="28" t="str">
        <f>IF(tbl_TubeLaser[[#This Row],[Part'#]]="", "Batch", "Part")</f>
        <v>Batch</v>
      </c>
      <c r="G137" s="28"/>
      <c r="I137" s="70" t="e">
        <f>tbl_TubeLaser[[#This Row],[Qty Complete]]/tbl_TubeLaser[[#This Row],[Qty Required]]</f>
        <v>#DIV/0!</v>
      </c>
      <c r="L137" s="31">
        <f>IF(tbl_TubeLaser[[#This Row],[Job Type]]="Batch",0,tbl_TubeLaser[[#This Row],[Qty Required]]/tbl_TubeLaser[[#This Row],[PPH]]*tbl_TubeLaser[[#This Row],['# of men]])</f>
        <v>0</v>
      </c>
      <c r="M137" s="31" t="e">
        <f>IF(tbl_TubeLaser[[#This Row],[Job Type]]="Batch",tbl_TubeLaser[[#This Row],[Batch Hours]]*tbl_TubeLaser[[#This Row],[% Complete]],tbl_TubeLaser[[#This Row],[Total hours]]*tbl_TubeLaser[[#This Row],[% Complete]])</f>
        <v>#DIV/0!</v>
      </c>
      <c r="N137" s="31"/>
      <c r="P137" s="28" t="e">
        <f>tbl_TubeLaser[[#This Row],[Mat. Qty]]*tbl_TubeLaser[[#This Row],[% Complete]]</f>
        <v>#DIV/0!</v>
      </c>
      <c r="R137" s="32" t="str">
        <f>IFERROR(tbl_TubeLaser[[#This Row],[Qty Complete]]/tbl_TubeLaser[[#This Row],[Total Hours Act]]*tbl_TubeLaser[[#This Row],['# of men Act]],"")</f>
        <v/>
      </c>
      <c r="T137"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37" s="35" t="str">
        <f>IFERROR((tbl_TubeLaser[[#This Row],[Adj. Total Hours]]+tbl_TubeLaser[[#This Row],[Est. Hours]])/(tbl_TubeLaser[[#This Row],[Total Hours Act]]+tbl_TubeLaser[[#This Row],[Act. Hours]]),"")</f>
        <v/>
      </c>
      <c r="Y137"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37" s="104" t="str">
        <f>IFERROR(tbl_TubeLaser[[#This Row],[Act. Mat. Qty]]-tbl_TubeLaser[[#This Row],[Adj. Mat. Qty]],"")</f>
        <v/>
      </c>
      <c r="AA137"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37" s="31"/>
      <c r="AD137" s="36"/>
    </row>
    <row r="138" spans="3:30" ht="25" customHeight="1">
      <c r="C138" s="28" t="str">
        <f>IF(tbl_TubeLaser[[#This Row],[Part'#]]="", "Batch", "Part")</f>
        <v>Batch</v>
      </c>
      <c r="G138" s="28"/>
      <c r="I138" s="70" t="e">
        <f>tbl_TubeLaser[[#This Row],[Qty Complete]]/tbl_TubeLaser[[#This Row],[Qty Required]]</f>
        <v>#DIV/0!</v>
      </c>
      <c r="L138" s="31">
        <f>IF(tbl_TubeLaser[[#This Row],[Job Type]]="Batch",0,tbl_TubeLaser[[#This Row],[Qty Required]]/tbl_TubeLaser[[#This Row],[PPH]]*tbl_TubeLaser[[#This Row],['# of men]])</f>
        <v>0</v>
      </c>
      <c r="M138" s="31" t="e">
        <f>IF(tbl_TubeLaser[[#This Row],[Job Type]]="Batch",tbl_TubeLaser[[#This Row],[Batch Hours]]*tbl_TubeLaser[[#This Row],[% Complete]],tbl_TubeLaser[[#This Row],[Total hours]]*tbl_TubeLaser[[#This Row],[% Complete]])</f>
        <v>#DIV/0!</v>
      </c>
      <c r="N138" s="31"/>
      <c r="P138" s="28" t="e">
        <f>tbl_TubeLaser[[#This Row],[Mat. Qty]]*tbl_TubeLaser[[#This Row],[% Complete]]</f>
        <v>#DIV/0!</v>
      </c>
      <c r="R138" s="32" t="str">
        <f>IFERROR(tbl_TubeLaser[[#This Row],[Qty Complete]]/tbl_TubeLaser[[#This Row],[Total Hours Act]]*tbl_TubeLaser[[#This Row],['# of men Act]],"")</f>
        <v/>
      </c>
      <c r="T138"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38" s="35" t="str">
        <f>IFERROR((tbl_TubeLaser[[#This Row],[Adj. Total Hours]]+tbl_TubeLaser[[#This Row],[Est. Hours]])/(tbl_TubeLaser[[#This Row],[Total Hours Act]]+tbl_TubeLaser[[#This Row],[Act. Hours]]),"")</f>
        <v/>
      </c>
      <c r="Y138"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38" s="104" t="str">
        <f>IFERROR(tbl_TubeLaser[[#This Row],[Act. Mat. Qty]]-tbl_TubeLaser[[#This Row],[Adj. Mat. Qty]],"")</f>
        <v/>
      </c>
      <c r="AA138"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38" s="31"/>
      <c r="AD138" s="36"/>
    </row>
    <row r="139" spans="3:30" ht="25" customHeight="1">
      <c r="C139" s="28" t="str">
        <f>IF(tbl_TubeLaser[[#This Row],[Part'#]]="", "Batch", "Part")</f>
        <v>Batch</v>
      </c>
      <c r="G139" s="28"/>
      <c r="I139" s="70" t="e">
        <f>tbl_TubeLaser[[#This Row],[Qty Complete]]/tbl_TubeLaser[[#This Row],[Qty Required]]</f>
        <v>#DIV/0!</v>
      </c>
      <c r="L139" s="31">
        <f>IF(tbl_TubeLaser[[#This Row],[Job Type]]="Batch",0,tbl_TubeLaser[[#This Row],[Qty Required]]/tbl_TubeLaser[[#This Row],[PPH]]*tbl_TubeLaser[[#This Row],['# of men]])</f>
        <v>0</v>
      </c>
      <c r="M139" s="31" t="e">
        <f>IF(tbl_TubeLaser[[#This Row],[Job Type]]="Batch",tbl_TubeLaser[[#This Row],[Batch Hours]]*tbl_TubeLaser[[#This Row],[% Complete]],tbl_TubeLaser[[#This Row],[Total hours]]*tbl_TubeLaser[[#This Row],[% Complete]])</f>
        <v>#DIV/0!</v>
      </c>
      <c r="N139" s="31"/>
      <c r="P139" s="28" t="e">
        <f>tbl_TubeLaser[[#This Row],[Mat. Qty]]*tbl_TubeLaser[[#This Row],[% Complete]]</f>
        <v>#DIV/0!</v>
      </c>
      <c r="R139" s="32" t="str">
        <f>IFERROR(tbl_TubeLaser[[#This Row],[Qty Complete]]/tbl_TubeLaser[[#This Row],[Total Hours Act]]*tbl_TubeLaser[[#This Row],['# of men Act]],"")</f>
        <v/>
      </c>
      <c r="T139"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39" s="35" t="str">
        <f>IFERROR((tbl_TubeLaser[[#This Row],[Adj. Total Hours]]+tbl_TubeLaser[[#This Row],[Est. Hours]])/(tbl_TubeLaser[[#This Row],[Total Hours Act]]+tbl_TubeLaser[[#This Row],[Act. Hours]]),"")</f>
        <v/>
      </c>
      <c r="Y139"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39" s="104" t="str">
        <f>IFERROR(tbl_TubeLaser[[#This Row],[Act. Mat. Qty]]-tbl_TubeLaser[[#This Row],[Adj. Mat. Qty]],"")</f>
        <v/>
      </c>
      <c r="AA139"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39" s="31"/>
      <c r="AD139" s="36"/>
    </row>
    <row r="140" spans="3:30" ht="25" customHeight="1">
      <c r="C140" s="28" t="str">
        <f>IF(tbl_TubeLaser[[#This Row],[Part'#]]="", "Batch", "Part")</f>
        <v>Batch</v>
      </c>
      <c r="G140" s="28"/>
      <c r="I140" s="70" t="e">
        <f>tbl_TubeLaser[[#This Row],[Qty Complete]]/tbl_TubeLaser[[#This Row],[Qty Required]]</f>
        <v>#DIV/0!</v>
      </c>
      <c r="L140" s="31">
        <f>IF(tbl_TubeLaser[[#This Row],[Job Type]]="Batch",0,tbl_TubeLaser[[#This Row],[Qty Required]]/tbl_TubeLaser[[#This Row],[PPH]]*tbl_TubeLaser[[#This Row],['# of men]])</f>
        <v>0</v>
      </c>
      <c r="M140" s="31" t="e">
        <f>IF(tbl_TubeLaser[[#This Row],[Job Type]]="Batch",tbl_TubeLaser[[#This Row],[Batch Hours]]*tbl_TubeLaser[[#This Row],[% Complete]],tbl_TubeLaser[[#This Row],[Total hours]]*tbl_TubeLaser[[#This Row],[% Complete]])</f>
        <v>#DIV/0!</v>
      </c>
      <c r="N140" s="31"/>
      <c r="P140" s="28" t="e">
        <f>tbl_TubeLaser[[#This Row],[Mat. Qty]]*tbl_TubeLaser[[#This Row],[% Complete]]</f>
        <v>#DIV/0!</v>
      </c>
      <c r="R140" s="32" t="str">
        <f>IFERROR(tbl_TubeLaser[[#This Row],[Qty Complete]]/tbl_TubeLaser[[#This Row],[Total Hours Act]]*tbl_TubeLaser[[#This Row],['# of men Act]],"")</f>
        <v/>
      </c>
      <c r="T140"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40" s="35" t="str">
        <f>IFERROR((tbl_TubeLaser[[#This Row],[Adj. Total Hours]]+tbl_TubeLaser[[#This Row],[Est. Hours]])/(tbl_TubeLaser[[#This Row],[Total Hours Act]]+tbl_TubeLaser[[#This Row],[Act. Hours]]),"")</f>
        <v/>
      </c>
      <c r="Y140"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40" s="104" t="str">
        <f>IFERROR(tbl_TubeLaser[[#This Row],[Act. Mat. Qty]]-tbl_TubeLaser[[#This Row],[Adj. Mat. Qty]],"")</f>
        <v/>
      </c>
      <c r="AA140"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40" s="31"/>
      <c r="AD140" s="36"/>
    </row>
    <row r="141" spans="3:30" ht="25" customHeight="1">
      <c r="C141" s="28" t="str">
        <f>IF(tbl_TubeLaser[[#This Row],[Part'#]]="", "Batch", "Part")</f>
        <v>Batch</v>
      </c>
      <c r="G141" s="28"/>
      <c r="I141" s="70" t="e">
        <f>tbl_TubeLaser[[#This Row],[Qty Complete]]/tbl_TubeLaser[[#This Row],[Qty Required]]</f>
        <v>#DIV/0!</v>
      </c>
      <c r="L141" s="31">
        <f>IF(tbl_TubeLaser[[#This Row],[Job Type]]="Batch",0,tbl_TubeLaser[[#This Row],[Qty Required]]/tbl_TubeLaser[[#This Row],[PPH]]*tbl_TubeLaser[[#This Row],['# of men]])</f>
        <v>0</v>
      </c>
      <c r="M141" s="31" t="e">
        <f>IF(tbl_TubeLaser[[#This Row],[Job Type]]="Batch",tbl_TubeLaser[[#This Row],[Batch Hours]]*tbl_TubeLaser[[#This Row],[% Complete]],tbl_TubeLaser[[#This Row],[Total hours]]*tbl_TubeLaser[[#This Row],[% Complete]])</f>
        <v>#DIV/0!</v>
      </c>
      <c r="N141" s="31"/>
      <c r="P141" s="28" t="e">
        <f>tbl_TubeLaser[[#This Row],[Mat. Qty]]*tbl_TubeLaser[[#This Row],[% Complete]]</f>
        <v>#DIV/0!</v>
      </c>
      <c r="R141" s="32" t="str">
        <f>IFERROR(tbl_TubeLaser[[#This Row],[Qty Complete]]/tbl_TubeLaser[[#This Row],[Total Hours Act]]*tbl_TubeLaser[[#This Row],['# of men Act]],"")</f>
        <v/>
      </c>
      <c r="T141"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41" s="35" t="str">
        <f>IFERROR((tbl_TubeLaser[[#This Row],[Adj. Total Hours]]+tbl_TubeLaser[[#This Row],[Est. Hours]])/(tbl_TubeLaser[[#This Row],[Total Hours Act]]+tbl_TubeLaser[[#This Row],[Act. Hours]]),"")</f>
        <v/>
      </c>
      <c r="Y141"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41" s="104" t="str">
        <f>IFERROR(tbl_TubeLaser[[#This Row],[Act. Mat. Qty]]-tbl_TubeLaser[[#This Row],[Adj. Mat. Qty]],"")</f>
        <v/>
      </c>
      <c r="AA141"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41" s="31"/>
      <c r="AD141" s="36"/>
    </row>
    <row r="142" spans="3:30" ht="25" customHeight="1">
      <c r="C142" s="28" t="str">
        <f>IF(tbl_TubeLaser[[#This Row],[Part'#]]="", "Batch", "Part")</f>
        <v>Batch</v>
      </c>
      <c r="G142" s="28"/>
      <c r="I142" s="70" t="e">
        <f>tbl_TubeLaser[[#This Row],[Qty Complete]]/tbl_TubeLaser[[#This Row],[Qty Required]]</f>
        <v>#DIV/0!</v>
      </c>
      <c r="L142" s="31">
        <f>IF(tbl_TubeLaser[[#This Row],[Job Type]]="Batch",0,tbl_TubeLaser[[#This Row],[Qty Required]]/tbl_TubeLaser[[#This Row],[PPH]]*tbl_TubeLaser[[#This Row],['# of men]])</f>
        <v>0</v>
      </c>
      <c r="M142" s="31" t="e">
        <f>IF(tbl_TubeLaser[[#This Row],[Job Type]]="Batch",tbl_TubeLaser[[#This Row],[Batch Hours]]*tbl_TubeLaser[[#This Row],[% Complete]],tbl_TubeLaser[[#This Row],[Total hours]]*tbl_TubeLaser[[#This Row],[% Complete]])</f>
        <v>#DIV/0!</v>
      </c>
      <c r="N142" s="31"/>
      <c r="P142" s="28" t="e">
        <f>tbl_TubeLaser[[#This Row],[Mat. Qty]]*tbl_TubeLaser[[#This Row],[% Complete]]</f>
        <v>#DIV/0!</v>
      </c>
      <c r="R142" s="32" t="str">
        <f>IFERROR(tbl_TubeLaser[[#This Row],[Qty Complete]]/tbl_TubeLaser[[#This Row],[Total Hours Act]]*tbl_TubeLaser[[#This Row],['# of men Act]],"")</f>
        <v/>
      </c>
      <c r="T142"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42" s="35" t="str">
        <f>IFERROR((tbl_TubeLaser[[#This Row],[Adj. Total Hours]]+tbl_TubeLaser[[#This Row],[Est. Hours]])/(tbl_TubeLaser[[#This Row],[Total Hours Act]]+tbl_TubeLaser[[#This Row],[Act. Hours]]),"")</f>
        <v/>
      </c>
      <c r="Y142"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42" s="104" t="str">
        <f>IFERROR(tbl_TubeLaser[[#This Row],[Act. Mat. Qty]]-tbl_TubeLaser[[#This Row],[Adj. Mat. Qty]],"")</f>
        <v/>
      </c>
      <c r="AA142"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42" s="31"/>
      <c r="AD142" s="36"/>
    </row>
    <row r="143" spans="3:30" ht="25" customHeight="1">
      <c r="C143" s="28" t="str">
        <f>IF(tbl_TubeLaser[[#This Row],[Part'#]]="", "Batch", "Part")</f>
        <v>Batch</v>
      </c>
      <c r="G143" s="28"/>
      <c r="I143" s="70" t="e">
        <f>tbl_TubeLaser[[#This Row],[Qty Complete]]/tbl_TubeLaser[[#This Row],[Qty Required]]</f>
        <v>#DIV/0!</v>
      </c>
      <c r="L143" s="31">
        <f>IF(tbl_TubeLaser[[#This Row],[Job Type]]="Batch",0,tbl_TubeLaser[[#This Row],[Qty Required]]/tbl_TubeLaser[[#This Row],[PPH]]*tbl_TubeLaser[[#This Row],['# of men]])</f>
        <v>0</v>
      </c>
      <c r="M143" s="31" t="e">
        <f>IF(tbl_TubeLaser[[#This Row],[Job Type]]="Batch",tbl_TubeLaser[[#This Row],[Batch Hours]]*tbl_TubeLaser[[#This Row],[% Complete]],tbl_TubeLaser[[#This Row],[Total hours]]*tbl_TubeLaser[[#This Row],[% Complete]])</f>
        <v>#DIV/0!</v>
      </c>
      <c r="N143" s="31"/>
      <c r="P143" s="28" t="e">
        <f>tbl_TubeLaser[[#This Row],[Mat. Qty]]*tbl_TubeLaser[[#This Row],[% Complete]]</f>
        <v>#DIV/0!</v>
      </c>
      <c r="R143" s="32" t="str">
        <f>IFERROR(tbl_TubeLaser[[#This Row],[Qty Complete]]/tbl_TubeLaser[[#This Row],[Total Hours Act]]*tbl_TubeLaser[[#This Row],['# of men Act]],"")</f>
        <v/>
      </c>
      <c r="T143"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43" s="35" t="str">
        <f>IFERROR((tbl_TubeLaser[[#This Row],[Adj. Total Hours]]+tbl_TubeLaser[[#This Row],[Est. Hours]])/(tbl_TubeLaser[[#This Row],[Total Hours Act]]+tbl_TubeLaser[[#This Row],[Act. Hours]]),"")</f>
        <v/>
      </c>
      <c r="Y143"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43" s="104" t="str">
        <f>IFERROR(tbl_TubeLaser[[#This Row],[Act. Mat. Qty]]-tbl_TubeLaser[[#This Row],[Adj. Mat. Qty]],"")</f>
        <v/>
      </c>
      <c r="AA143"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43" s="31"/>
      <c r="AD143" s="36"/>
    </row>
    <row r="144" spans="3:30" ht="25" customHeight="1">
      <c r="C144" s="28" t="str">
        <f>IF(tbl_TubeLaser[[#This Row],[Part'#]]="", "Batch", "Part")</f>
        <v>Batch</v>
      </c>
      <c r="G144" s="28"/>
      <c r="I144" s="70" t="e">
        <f>tbl_TubeLaser[[#This Row],[Qty Complete]]/tbl_TubeLaser[[#This Row],[Qty Required]]</f>
        <v>#DIV/0!</v>
      </c>
      <c r="L144" s="31">
        <f>IF(tbl_TubeLaser[[#This Row],[Job Type]]="Batch",0,tbl_TubeLaser[[#This Row],[Qty Required]]/tbl_TubeLaser[[#This Row],[PPH]]*tbl_TubeLaser[[#This Row],['# of men]])</f>
        <v>0</v>
      </c>
      <c r="M144" s="31" t="e">
        <f>IF(tbl_TubeLaser[[#This Row],[Job Type]]="Batch",tbl_TubeLaser[[#This Row],[Batch Hours]]*tbl_TubeLaser[[#This Row],[% Complete]],tbl_TubeLaser[[#This Row],[Total hours]]*tbl_TubeLaser[[#This Row],[% Complete]])</f>
        <v>#DIV/0!</v>
      </c>
      <c r="N144" s="31"/>
      <c r="P144" s="28" t="e">
        <f>tbl_TubeLaser[[#This Row],[Mat. Qty]]*tbl_TubeLaser[[#This Row],[% Complete]]</f>
        <v>#DIV/0!</v>
      </c>
      <c r="R144" s="32" t="str">
        <f>IFERROR(tbl_TubeLaser[[#This Row],[Qty Complete]]/tbl_TubeLaser[[#This Row],[Total Hours Act]]*tbl_TubeLaser[[#This Row],['# of men Act]],"")</f>
        <v/>
      </c>
      <c r="T144"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44" s="35" t="str">
        <f>IFERROR((tbl_TubeLaser[[#This Row],[Adj. Total Hours]]+tbl_TubeLaser[[#This Row],[Est. Hours]])/(tbl_TubeLaser[[#This Row],[Total Hours Act]]+tbl_TubeLaser[[#This Row],[Act. Hours]]),"")</f>
        <v/>
      </c>
      <c r="Y144"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44" s="104" t="str">
        <f>IFERROR(tbl_TubeLaser[[#This Row],[Act. Mat. Qty]]-tbl_TubeLaser[[#This Row],[Adj. Mat. Qty]],"")</f>
        <v/>
      </c>
      <c r="AA144"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44" s="31"/>
      <c r="AD144" s="36"/>
    </row>
    <row r="145" spans="3:30" ht="25" customHeight="1">
      <c r="C145" s="28" t="str">
        <f>IF(tbl_TubeLaser[[#This Row],[Part'#]]="", "Batch", "Part")</f>
        <v>Batch</v>
      </c>
      <c r="G145" s="28"/>
      <c r="I145" s="70" t="e">
        <f>tbl_TubeLaser[[#This Row],[Qty Complete]]/tbl_TubeLaser[[#This Row],[Qty Required]]</f>
        <v>#DIV/0!</v>
      </c>
      <c r="L145" s="31">
        <f>IF(tbl_TubeLaser[[#This Row],[Job Type]]="Batch",0,tbl_TubeLaser[[#This Row],[Qty Required]]/tbl_TubeLaser[[#This Row],[PPH]]*tbl_TubeLaser[[#This Row],['# of men]])</f>
        <v>0</v>
      </c>
      <c r="M145" s="31" t="e">
        <f>IF(tbl_TubeLaser[[#This Row],[Job Type]]="Batch",tbl_TubeLaser[[#This Row],[Batch Hours]]*tbl_TubeLaser[[#This Row],[% Complete]],tbl_TubeLaser[[#This Row],[Total hours]]*tbl_TubeLaser[[#This Row],[% Complete]])</f>
        <v>#DIV/0!</v>
      </c>
      <c r="N145" s="31"/>
      <c r="P145" s="28" t="e">
        <f>tbl_TubeLaser[[#This Row],[Mat. Qty]]*tbl_TubeLaser[[#This Row],[% Complete]]</f>
        <v>#DIV/0!</v>
      </c>
      <c r="R145" s="32" t="str">
        <f>IFERROR(tbl_TubeLaser[[#This Row],[Qty Complete]]/tbl_TubeLaser[[#This Row],[Total Hours Act]]*tbl_TubeLaser[[#This Row],['# of men Act]],"")</f>
        <v/>
      </c>
      <c r="T145"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45" s="35" t="str">
        <f>IFERROR((tbl_TubeLaser[[#This Row],[Adj. Total Hours]]+tbl_TubeLaser[[#This Row],[Est. Hours]])/(tbl_TubeLaser[[#This Row],[Total Hours Act]]+tbl_TubeLaser[[#This Row],[Act. Hours]]),"")</f>
        <v/>
      </c>
      <c r="Y145"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45" s="104" t="str">
        <f>IFERROR(tbl_TubeLaser[[#This Row],[Act. Mat. Qty]]-tbl_TubeLaser[[#This Row],[Adj. Mat. Qty]],"")</f>
        <v/>
      </c>
      <c r="AA145"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45" s="31"/>
      <c r="AD145" s="36"/>
    </row>
    <row r="146" spans="3:30" ht="25" customHeight="1">
      <c r="C146" s="28" t="str">
        <f>IF(tbl_TubeLaser[[#This Row],[Part'#]]="", "Batch", "Part")</f>
        <v>Batch</v>
      </c>
      <c r="G146" s="28"/>
      <c r="I146" s="70" t="e">
        <f>tbl_TubeLaser[[#This Row],[Qty Complete]]/tbl_TubeLaser[[#This Row],[Qty Required]]</f>
        <v>#DIV/0!</v>
      </c>
      <c r="L146" s="31">
        <f>IF(tbl_TubeLaser[[#This Row],[Job Type]]="Batch",0,tbl_TubeLaser[[#This Row],[Qty Required]]/tbl_TubeLaser[[#This Row],[PPH]]*tbl_TubeLaser[[#This Row],['# of men]])</f>
        <v>0</v>
      </c>
      <c r="M146" s="31" t="e">
        <f>IF(tbl_TubeLaser[[#This Row],[Job Type]]="Batch",tbl_TubeLaser[[#This Row],[Batch Hours]]*tbl_TubeLaser[[#This Row],[% Complete]],tbl_TubeLaser[[#This Row],[Total hours]]*tbl_TubeLaser[[#This Row],[% Complete]])</f>
        <v>#DIV/0!</v>
      </c>
      <c r="N146" s="31"/>
      <c r="P146" s="28" t="e">
        <f>tbl_TubeLaser[[#This Row],[Mat. Qty]]*tbl_TubeLaser[[#This Row],[% Complete]]</f>
        <v>#DIV/0!</v>
      </c>
      <c r="R146" s="32" t="str">
        <f>IFERROR(tbl_TubeLaser[[#This Row],[Qty Complete]]/tbl_TubeLaser[[#This Row],[Total Hours Act]]*tbl_TubeLaser[[#This Row],['# of men Act]],"")</f>
        <v/>
      </c>
      <c r="T146"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46" s="35" t="str">
        <f>IFERROR((tbl_TubeLaser[[#This Row],[Adj. Total Hours]]+tbl_TubeLaser[[#This Row],[Est. Hours]])/(tbl_TubeLaser[[#This Row],[Total Hours Act]]+tbl_TubeLaser[[#This Row],[Act. Hours]]),"")</f>
        <v/>
      </c>
      <c r="Y146"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46" s="104" t="str">
        <f>IFERROR(tbl_TubeLaser[[#This Row],[Act. Mat. Qty]]-tbl_TubeLaser[[#This Row],[Adj. Mat. Qty]],"")</f>
        <v/>
      </c>
      <c r="AA146"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46" s="31"/>
      <c r="AD146" s="36"/>
    </row>
    <row r="147" spans="3:30" ht="25" customHeight="1">
      <c r="C147" s="28" t="str">
        <f>IF(tbl_TubeLaser[[#This Row],[Part'#]]="", "Batch", "Part")</f>
        <v>Batch</v>
      </c>
      <c r="G147" s="28"/>
      <c r="I147" s="70" t="e">
        <f>tbl_TubeLaser[[#This Row],[Qty Complete]]/tbl_TubeLaser[[#This Row],[Qty Required]]</f>
        <v>#DIV/0!</v>
      </c>
      <c r="L147" s="31">
        <f>IF(tbl_TubeLaser[[#This Row],[Job Type]]="Batch",0,tbl_TubeLaser[[#This Row],[Qty Required]]/tbl_TubeLaser[[#This Row],[PPH]]*tbl_TubeLaser[[#This Row],['# of men]])</f>
        <v>0</v>
      </c>
      <c r="M147" s="31" t="e">
        <f>IF(tbl_TubeLaser[[#This Row],[Job Type]]="Batch",tbl_TubeLaser[[#This Row],[Batch Hours]]*tbl_TubeLaser[[#This Row],[% Complete]],tbl_TubeLaser[[#This Row],[Total hours]]*tbl_TubeLaser[[#This Row],[% Complete]])</f>
        <v>#DIV/0!</v>
      </c>
      <c r="N147" s="31"/>
      <c r="P147" s="28" t="e">
        <f>tbl_TubeLaser[[#This Row],[Mat. Qty]]*tbl_TubeLaser[[#This Row],[% Complete]]</f>
        <v>#DIV/0!</v>
      </c>
      <c r="R147" s="32" t="str">
        <f>IFERROR(tbl_TubeLaser[[#This Row],[Qty Complete]]/tbl_TubeLaser[[#This Row],[Total Hours Act]]*tbl_TubeLaser[[#This Row],['# of men Act]],"")</f>
        <v/>
      </c>
      <c r="T147"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47" s="35" t="str">
        <f>IFERROR((tbl_TubeLaser[[#This Row],[Adj. Total Hours]]+tbl_TubeLaser[[#This Row],[Est. Hours]])/(tbl_TubeLaser[[#This Row],[Total Hours Act]]+tbl_TubeLaser[[#This Row],[Act. Hours]]),"")</f>
        <v/>
      </c>
      <c r="Y147"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47" s="104" t="str">
        <f>IFERROR(tbl_TubeLaser[[#This Row],[Act. Mat. Qty]]-tbl_TubeLaser[[#This Row],[Adj. Mat. Qty]],"")</f>
        <v/>
      </c>
      <c r="AA147"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47" s="31"/>
      <c r="AD147" s="36"/>
    </row>
    <row r="148" spans="3:30" ht="25" customHeight="1">
      <c r="C148" s="28" t="str">
        <f>IF(tbl_TubeLaser[[#This Row],[Part'#]]="", "Batch", "Part")</f>
        <v>Batch</v>
      </c>
      <c r="G148" s="28"/>
      <c r="I148" s="70" t="e">
        <f>tbl_TubeLaser[[#This Row],[Qty Complete]]/tbl_TubeLaser[[#This Row],[Qty Required]]</f>
        <v>#DIV/0!</v>
      </c>
      <c r="L148" s="31">
        <f>IF(tbl_TubeLaser[[#This Row],[Job Type]]="Batch",0,tbl_TubeLaser[[#This Row],[Qty Required]]/tbl_TubeLaser[[#This Row],[PPH]]*tbl_TubeLaser[[#This Row],['# of men]])</f>
        <v>0</v>
      </c>
      <c r="M148" s="31" t="e">
        <f>IF(tbl_TubeLaser[[#This Row],[Job Type]]="Batch",tbl_TubeLaser[[#This Row],[Batch Hours]]*tbl_TubeLaser[[#This Row],[% Complete]],tbl_TubeLaser[[#This Row],[Total hours]]*tbl_TubeLaser[[#This Row],[% Complete]])</f>
        <v>#DIV/0!</v>
      </c>
      <c r="N148" s="31"/>
      <c r="P148" s="28" t="e">
        <f>tbl_TubeLaser[[#This Row],[Mat. Qty]]*tbl_TubeLaser[[#This Row],[% Complete]]</f>
        <v>#DIV/0!</v>
      </c>
      <c r="R148" s="32" t="str">
        <f>IFERROR(tbl_TubeLaser[[#This Row],[Qty Complete]]/tbl_TubeLaser[[#This Row],[Total Hours Act]]*tbl_TubeLaser[[#This Row],['# of men Act]],"")</f>
        <v/>
      </c>
      <c r="T148"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48" s="35" t="str">
        <f>IFERROR((tbl_TubeLaser[[#This Row],[Adj. Total Hours]]+tbl_TubeLaser[[#This Row],[Est. Hours]])/(tbl_TubeLaser[[#This Row],[Total Hours Act]]+tbl_TubeLaser[[#This Row],[Act. Hours]]),"")</f>
        <v/>
      </c>
      <c r="Y148"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48" s="104" t="str">
        <f>IFERROR(tbl_TubeLaser[[#This Row],[Act. Mat. Qty]]-tbl_TubeLaser[[#This Row],[Adj. Mat. Qty]],"")</f>
        <v/>
      </c>
      <c r="AA148"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48" s="31"/>
      <c r="AD148" s="36"/>
    </row>
    <row r="149" spans="3:30" ht="25" customHeight="1">
      <c r="C149" s="28" t="str">
        <f>IF(tbl_TubeLaser[[#This Row],[Part'#]]="", "Batch", "Part")</f>
        <v>Batch</v>
      </c>
      <c r="G149" s="28"/>
      <c r="I149" s="70" t="e">
        <f>tbl_TubeLaser[[#This Row],[Qty Complete]]/tbl_TubeLaser[[#This Row],[Qty Required]]</f>
        <v>#DIV/0!</v>
      </c>
      <c r="L149" s="31">
        <f>IF(tbl_TubeLaser[[#This Row],[Job Type]]="Batch",0,tbl_TubeLaser[[#This Row],[Qty Required]]/tbl_TubeLaser[[#This Row],[PPH]]*tbl_TubeLaser[[#This Row],['# of men]])</f>
        <v>0</v>
      </c>
      <c r="M149" s="31" t="e">
        <f>IF(tbl_TubeLaser[[#This Row],[Job Type]]="Batch",tbl_TubeLaser[[#This Row],[Batch Hours]]*tbl_TubeLaser[[#This Row],[% Complete]],tbl_TubeLaser[[#This Row],[Total hours]]*tbl_TubeLaser[[#This Row],[% Complete]])</f>
        <v>#DIV/0!</v>
      </c>
      <c r="N149" s="31"/>
      <c r="P149" s="28" t="e">
        <f>tbl_TubeLaser[[#This Row],[Mat. Qty]]*tbl_TubeLaser[[#This Row],[% Complete]]</f>
        <v>#DIV/0!</v>
      </c>
      <c r="R149" s="32" t="str">
        <f>IFERROR(tbl_TubeLaser[[#This Row],[Qty Complete]]/tbl_TubeLaser[[#This Row],[Total Hours Act]]*tbl_TubeLaser[[#This Row],['# of men Act]],"")</f>
        <v/>
      </c>
      <c r="T149"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49" s="35" t="str">
        <f>IFERROR((tbl_TubeLaser[[#This Row],[Adj. Total Hours]]+tbl_TubeLaser[[#This Row],[Est. Hours]])/(tbl_TubeLaser[[#This Row],[Total Hours Act]]+tbl_TubeLaser[[#This Row],[Act. Hours]]),"")</f>
        <v/>
      </c>
      <c r="Y149"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49" s="104" t="str">
        <f>IFERROR(tbl_TubeLaser[[#This Row],[Act. Mat. Qty]]-tbl_TubeLaser[[#This Row],[Adj. Mat. Qty]],"")</f>
        <v/>
      </c>
      <c r="AA149"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49" s="31"/>
      <c r="AD149" s="36"/>
    </row>
    <row r="150" spans="3:30" ht="25" customHeight="1">
      <c r="C150" s="28" t="str">
        <f>IF(tbl_TubeLaser[[#This Row],[Part'#]]="", "Batch", "Part")</f>
        <v>Batch</v>
      </c>
      <c r="G150" s="28"/>
      <c r="I150" s="70" t="e">
        <f>tbl_TubeLaser[[#This Row],[Qty Complete]]/tbl_TubeLaser[[#This Row],[Qty Required]]</f>
        <v>#DIV/0!</v>
      </c>
      <c r="L150" s="31">
        <f>IF(tbl_TubeLaser[[#This Row],[Job Type]]="Batch",0,tbl_TubeLaser[[#This Row],[Qty Required]]/tbl_TubeLaser[[#This Row],[PPH]]*tbl_TubeLaser[[#This Row],['# of men]])</f>
        <v>0</v>
      </c>
      <c r="M150" s="31" t="e">
        <f>IF(tbl_TubeLaser[[#This Row],[Job Type]]="Batch",tbl_TubeLaser[[#This Row],[Batch Hours]]*tbl_TubeLaser[[#This Row],[% Complete]],tbl_TubeLaser[[#This Row],[Total hours]]*tbl_TubeLaser[[#This Row],[% Complete]])</f>
        <v>#DIV/0!</v>
      </c>
      <c r="N150" s="31"/>
      <c r="P150" s="28" t="e">
        <f>tbl_TubeLaser[[#This Row],[Mat. Qty]]*tbl_TubeLaser[[#This Row],[% Complete]]</f>
        <v>#DIV/0!</v>
      </c>
      <c r="R150" s="32" t="str">
        <f>IFERROR(tbl_TubeLaser[[#This Row],[Qty Complete]]/tbl_TubeLaser[[#This Row],[Total Hours Act]]*tbl_TubeLaser[[#This Row],['# of men Act]],"")</f>
        <v/>
      </c>
      <c r="T150"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50" s="35" t="str">
        <f>IFERROR((tbl_TubeLaser[[#This Row],[Adj. Total Hours]]+tbl_TubeLaser[[#This Row],[Est. Hours]])/(tbl_TubeLaser[[#This Row],[Total Hours Act]]+tbl_TubeLaser[[#This Row],[Act. Hours]]),"")</f>
        <v/>
      </c>
      <c r="Y150"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50" s="104" t="str">
        <f>IFERROR(tbl_TubeLaser[[#This Row],[Act. Mat. Qty]]-tbl_TubeLaser[[#This Row],[Adj. Mat. Qty]],"")</f>
        <v/>
      </c>
      <c r="AA150"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50" s="31"/>
      <c r="AD150" s="36"/>
    </row>
    <row r="151" spans="3:30" ht="25" customHeight="1">
      <c r="C151" s="28" t="str">
        <f>IF(tbl_TubeLaser[[#This Row],[Part'#]]="", "Batch", "Part")</f>
        <v>Batch</v>
      </c>
      <c r="G151" s="28"/>
      <c r="I151" s="70" t="e">
        <f>tbl_TubeLaser[[#This Row],[Qty Complete]]/tbl_TubeLaser[[#This Row],[Qty Required]]</f>
        <v>#DIV/0!</v>
      </c>
      <c r="L151" s="31">
        <f>IF(tbl_TubeLaser[[#This Row],[Job Type]]="Batch",0,tbl_TubeLaser[[#This Row],[Qty Required]]/tbl_TubeLaser[[#This Row],[PPH]]*tbl_TubeLaser[[#This Row],['# of men]])</f>
        <v>0</v>
      </c>
      <c r="M151" s="31" t="e">
        <f>IF(tbl_TubeLaser[[#This Row],[Job Type]]="Batch",tbl_TubeLaser[[#This Row],[Batch Hours]]*tbl_TubeLaser[[#This Row],[% Complete]],tbl_TubeLaser[[#This Row],[Total hours]]*tbl_TubeLaser[[#This Row],[% Complete]])</f>
        <v>#DIV/0!</v>
      </c>
      <c r="N151" s="31"/>
      <c r="P151" s="28" t="e">
        <f>tbl_TubeLaser[[#This Row],[Mat. Qty]]*tbl_TubeLaser[[#This Row],[% Complete]]</f>
        <v>#DIV/0!</v>
      </c>
      <c r="R151" s="32" t="str">
        <f>IFERROR(tbl_TubeLaser[[#This Row],[Qty Complete]]/tbl_TubeLaser[[#This Row],[Total Hours Act]]*tbl_TubeLaser[[#This Row],['# of men Act]],"")</f>
        <v/>
      </c>
      <c r="T151"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51" s="35" t="str">
        <f>IFERROR((tbl_TubeLaser[[#This Row],[Adj. Total Hours]]+tbl_TubeLaser[[#This Row],[Est. Hours]])/(tbl_TubeLaser[[#This Row],[Total Hours Act]]+tbl_TubeLaser[[#This Row],[Act. Hours]]),"")</f>
        <v/>
      </c>
      <c r="Y151"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51" s="104" t="str">
        <f>IFERROR(tbl_TubeLaser[[#This Row],[Act. Mat. Qty]]-tbl_TubeLaser[[#This Row],[Adj. Mat. Qty]],"")</f>
        <v/>
      </c>
      <c r="AA151"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51" s="31"/>
      <c r="AD151" s="36"/>
    </row>
    <row r="152" spans="3:30" ht="25" customHeight="1">
      <c r="C152" s="28" t="str">
        <f>IF(tbl_TubeLaser[[#This Row],[Part'#]]="", "Batch", "Part")</f>
        <v>Batch</v>
      </c>
      <c r="G152" s="28"/>
      <c r="I152" s="70" t="e">
        <f>tbl_TubeLaser[[#This Row],[Qty Complete]]/tbl_TubeLaser[[#This Row],[Qty Required]]</f>
        <v>#DIV/0!</v>
      </c>
      <c r="L152" s="31">
        <f>IF(tbl_TubeLaser[[#This Row],[Job Type]]="Batch",0,tbl_TubeLaser[[#This Row],[Qty Required]]/tbl_TubeLaser[[#This Row],[PPH]]*tbl_TubeLaser[[#This Row],['# of men]])</f>
        <v>0</v>
      </c>
      <c r="M152" s="31" t="e">
        <f>IF(tbl_TubeLaser[[#This Row],[Job Type]]="Batch",tbl_TubeLaser[[#This Row],[Batch Hours]]*tbl_TubeLaser[[#This Row],[% Complete]],tbl_TubeLaser[[#This Row],[Total hours]]*tbl_TubeLaser[[#This Row],[% Complete]])</f>
        <v>#DIV/0!</v>
      </c>
      <c r="N152" s="31"/>
      <c r="P152" s="28" t="e">
        <f>tbl_TubeLaser[[#This Row],[Mat. Qty]]*tbl_TubeLaser[[#This Row],[% Complete]]</f>
        <v>#DIV/0!</v>
      </c>
      <c r="R152" s="32" t="str">
        <f>IFERROR(tbl_TubeLaser[[#This Row],[Qty Complete]]/tbl_TubeLaser[[#This Row],[Total Hours Act]]*tbl_TubeLaser[[#This Row],['# of men Act]],"")</f>
        <v/>
      </c>
      <c r="T152"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52" s="35" t="str">
        <f>IFERROR((tbl_TubeLaser[[#This Row],[Adj. Total Hours]]+tbl_TubeLaser[[#This Row],[Est. Hours]])/(tbl_TubeLaser[[#This Row],[Total Hours Act]]+tbl_TubeLaser[[#This Row],[Act. Hours]]),"")</f>
        <v/>
      </c>
      <c r="Y152"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52" s="104" t="str">
        <f>IFERROR(tbl_TubeLaser[[#This Row],[Act. Mat. Qty]]-tbl_TubeLaser[[#This Row],[Adj. Mat. Qty]],"")</f>
        <v/>
      </c>
      <c r="AA152"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52" s="31"/>
      <c r="AD152" s="36"/>
    </row>
    <row r="153" spans="3:30" ht="25" customHeight="1">
      <c r="C153" s="28" t="str">
        <f>IF(tbl_TubeLaser[[#This Row],[Part'#]]="", "Batch", "Part")</f>
        <v>Batch</v>
      </c>
      <c r="G153" s="28"/>
      <c r="I153" s="70" t="e">
        <f>tbl_TubeLaser[[#This Row],[Qty Complete]]/tbl_TubeLaser[[#This Row],[Qty Required]]</f>
        <v>#DIV/0!</v>
      </c>
      <c r="L153" s="31">
        <f>IF(tbl_TubeLaser[[#This Row],[Job Type]]="Batch",0,tbl_TubeLaser[[#This Row],[Qty Required]]/tbl_TubeLaser[[#This Row],[PPH]]*tbl_TubeLaser[[#This Row],['# of men]])</f>
        <v>0</v>
      </c>
      <c r="M153" s="31" t="e">
        <f>IF(tbl_TubeLaser[[#This Row],[Job Type]]="Batch",tbl_TubeLaser[[#This Row],[Batch Hours]]*tbl_TubeLaser[[#This Row],[% Complete]],tbl_TubeLaser[[#This Row],[Total hours]]*tbl_TubeLaser[[#This Row],[% Complete]])</f>
        <v>#DIV/0!</v>
      </c>
      <c r="N153" s="31"/>
      <c r="P153" s="28" t="e">
        <f>tbl_TubeLaser[[#This Row],[Mat. Qty]]*tbl_TubeLaser[[#This Row],[% Complete]]</f>
        <v>#DIV/0!</v>
      </c>
      <c r="R153" s="32" t="str">
        <f>IFERROR(tbl_TubeLaser[[#This Row],[Qty Complete]]/tbl_TubeLaser[[#This Row],[Total Hours Act]]*tbl_TubeLaser[[#This Row],['# of men Act]],"")</f>
        <v/>
      </c>
      <c r="T153"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53" s="35" t="str">
        <f>IFERROR((tbl_TubeLaser[[#This Row],[Adj. Total Hours]]+tbl_TubeLaser[[#This Row],[Est. Hours]])/(tbl_TubeLaser[[#This Row],[Total Hours Act]]+tbl_TubeLaser[[#This Row],[Act. Hours]]),"")</f>
        <v/>
      </c>
      <c r="Y153"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53" s="104" t="str">
        <f>IFERROR(tbl_TubeLaser[[#This Row],[Act. Mat. Qty]]-tbl_TubeLaser[[#This Row],[Adj. Mat. Qty]],"")</f>
        <v/>
      </c>
      <c r="AA153"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53" s="31"/>
      <c r="AD153" s="36"/>
    </row>
    <row r="154" spans="3:30" ht="25" customHeight="1">
      <c r="C154" s="28" t="str">
        <f>IF(tbl_TubeLaser[[#This Row],[Part'#]]="", "Batch", "Part")</f>
        <v>Batch</v>
      </c>
      <c r="G154" s="28"/>
      <c r="I154" s="70" t="e">
        <f>tbl_TubeLaser[[#This Row],[Qty Complete]]/tbl_TubeLaser[[#This Row],[Qty Required]]</f>
        <v>#DIV/0!</v>
      </c>
      <c r="L154" s="31">
        <f>IF(tbl_TubeLaser[[#This Row],[Job Type]]="Batch",0,tbl_TubeLaser[[#This Row],[Qty Required]]/tbl_TubeLaser[[#This Row],[PPH]]*tbl_TubeLaser[[#This Row],['# of men]])</f>
        <v>0</v>
      </c>
      <c r="M154" s="31" t="e">
        <f>IF(tbl_TubeLaser[[#This Row],[Job Type]]="Batch",tbl_TubeLaser[[#This Row],[Batch Hours]]*tbl_TubeLaser[[#This Row],[% Complete]],tbl_TubeLaser[[#This Row],[Total hours]]*tbl_TubeLaser[[#This Row],[% Complete]])</f>
        <v>#DIV/0!</v>
      </c>
      <c r="N154" s="31"/>
      <c r="P154" s="28" t="e">
        <f>tbl_TubeLaser[[#This Row],[Mat. Qty]]*tbl_TubeLaser[[#This Row],[% Complete]]</f>
        <v>#DIV/0!</v>
      </c>
      <c r="R154" s="32" t="str">
        <f>IFERROR(tbl_TubeLaser[[#This Row],[Qty Complete]]/tbl_TubeLaser[[#This Row],[Total Hours Act]]*tbl_TubeLaser[[#This Row],['# of men Act]],"")</f>
        <v/>
      </c>
      <c r="T154"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54" s="35" t="str">
        <f>IFERROR((tbl_TubeLaser[[#This Row],[Adj. Total Hours]]+tbl_TubeLaser[[#This Row],[Est. Hours]])/(tbl_TubeLaser[[#This Row],[Total Hours Act]]+tbl_TubeLaser[[#This Row],[Act. Hours]]),"")</f>
        <v/>
      </c>
      <c r="Y154"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54" s="104" t="str">
        <f>IFERROR(tbl_TubeLaser[[#This Row],[Act. Mat. Qty]]-tbl_TubeLaser[[#This Row],[Adj. Mat. Qty]],"")</f>
        <v/>
      </c>
      <c r="AA154"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54" s="31"/>
      <c r="AD154" s="36"/>
    </row>
    <row r="155" spans="3:30" ht="25" customHeight="1">
      <c r="C155" s="28" t="str">
        <f>IF(tbl_TubeLaser[[#This Row],[Part'#]]="", "Batch", "Part")</f>
        <v>Batch</v>
      </c>
      <c r="G155" s="28"/>
      <c r="I155" s="70" t="e">
        <f>tbl_TubeLaser[[#This Row],[Qty Complete]]/tbl_TubeLaser[[#This Row],[Qty Required]]</f>
        <v>#DIV/0!</v>
      </c>
      <c r="L155" s="31">
        <f>IF(tbl_TubeLaser[[#This Row],[Job Type]]="Batch",0,tbl_TubeLaser[[#This Row],[Qty Required]]/tbl_TubeLaser[[#This Row],[PPH]]*tbl_TubeLaser[[#This Row],['# of men]])</f>
        <v>0</v>
      </c>
      <c r="M155" s="31" t="e">
        <f>IF(tbl_TubeLaser[[#This Row],[Job Type]]="Batch",tbl_TubeLaser[[#This Row],[Batch Hours]]*tbl_TubeLaser[[#This Row],[% Complete]],tbl_TubeLaser[[#This Row],[Total hours]]*tbl_TubeLaser[[#This Row],[% Complete]])</f>
        <v>#DIV/0!</v>
      </c>
      <c r="N155" s="31"/>
      <c r="P155" s="28" t="e">
        <f>tbl_TubeLaser[[#This Row],[Mat. Qty]]*tbl_TubeLaser[[#This Row],[% Complete]]</f>
        <v>#DIV/0!</v>
      </c>
      <c r="R155" s="32" t="str">
        <f>IFERROR(tbl_TubeLaser[[#This Row],[Qty Complete]]/tbl_TubeLaser[[#This Row],[Total Hours Act]]*tbl_TubeLaser[[#This Row],['# of men Act]],"")</f>
        <v/>
      </c>
      <c r="T155"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55" s="35" t="str">
        <f>IFERROR((tbl_TubeLaser[[#This Row],[Adj. Total Hours]]+tbl_TubeLaser[[#This Row],[Est. Hours]])/(tbl_TubeLaser[[#This Row],[Total Hours Act]]+tbl_TubeLaser[[#This Row],[Act. Hours]]),"")</f>
        <v/>
      </c>
      <c r="Y155"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55" s="104" t="str">
        <f>IFERROR(tbl_TubeLaser[[#This Row],[Act. Mat. Qty]]-tbl_TubeLaser[[#This Row],[Adj. Mat. Qty]],"")</f>
        <v/>
      </c>
      <c r="AA155"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55" s="31"/>
      <c r="AD155" s="36"/>
    </row>
    <row r="156" spans="3:30" ht="25" customHeight="1">
      <c r="C156" s="28" t="str">
        <f>IF(tbl_TubeLaser[[#This Row],[Part'#]]="", "Batch", "Part")</f>
        <v>Batch</v>
      </c>
      <c r="G156" s="28"/>
      <c r="I156" s="70" t="e">
        <f>tbl_TubeLaser[[#This Row],[Qty Complete]]/tbl_TubeLaser[[#This Row],[Qty Required]]</f>
        <v>#DIV/0!</v>
      </c>
      <c r="L156" s="31">
        <f>IF(tbl_TubeLaser[[#This Row],[Job Type]]="Batch",0,tbl_TubeLaser[[#This Row],[Qty Required]]/tbl_TubeLaser[[#This Row],[PPH]]*tbl_TubeLaser[[#This Row],['# of men]])</f>
        <v>0</v>
      </c>
      <c r="M156" s="31" t="e">
        <f>IF(tbl_TubeLaser[[#This Row],[Job Type]]="Batch",tbl_TubeLaser[[#This Row],[Batch Hours]]*tbl_TubeLaser[[#This Row],[% Complete]],tbl_TubeLaser[[#This Row],[Total hours]]*tbl_TubeLaser[[#This Row],[% Complete]])</f>
        <v>#DIV/0!</v>
      </c>
      <c r="N156" s="31"/>
      <c r="P156" s="28" t="e">
        <f>tbl_TubeLaser[[#This Row],[Mat. Qty]]*tbl_TubeLaser[[#This Row],[% Complete]]</f>
        <v>#DIV/0!</v>
      </c>
      <c r="R156" s="32" t="str">
        <f>IFERROR(tbl_TubeLaser[[#This Row],[Qty Complete]]/tbl_TubeLaser[[#This Row],[Total Hours Act]]*tbl_TubeLaser[[#This Row],['# of men Act]],"")</f>
        <v/>
      </c>
      <c r="T156"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56" s="35" t="str">
        <f>IFERROR((tbl_TubeLaser[[#This Row],[Adj. Total Hours]]+tbl_TubeLaser[[#This Row],[Est. Hours]])/(tbl_TubeLaser[[#This Row],[Total Hours Act]]+tbl_TubeLaser[[#This Row],[Act. Hours]]),"")</f>
        <v/>
      </c>
      <c r="Y156"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56" s="104" t="str">
        <f>IFERROR(tbl_TubeLaser[[#This Row],[Act. Mat. Qty]]-tbl_TubeLaser[[#This Row],[Adj. Mat. Qty]],"")</f>
        <v/>
      </c>
      <c r="AA156"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56" s="31"/>
      <c r="AD156" s="36"/>
    </row>
    <row r="157" spans="3:30" ht="25" customHeight="1">
      <c r="C157" s="28" t="str">
        <f>IF(tbl_TubeLaser[[#This Row],[Part'#]]="", "Batch", "Part")</f>
        <v>Batch</v>
      </c>
      <c r="G157" s="28"/>
      <c r="I157" s="70" t="e">
        <f>tbl_TubeLaser[[#This Row],[Qty Complete]]/tbl_TubeLaser[[#This Row],[Qty Required]]</f>
        <v>#DIV/0!</v>
      </c>
      <c r="L157" s="31">
        <f>IF(tbl_TubeLaser[[#This Row],[Job Type]]="Batch",0,tbl_TubeLaser[[#This Row],[Qty Required]]/tbl_TubeLaser[[#This Row],[PPH]]*tbl_TubeLaser[[#This Row],['# of men]])</f>
        <v>0</v>
      </c>
      <c r="M157" s="31" t="e">
        <f>IF(tbl_TubeLaser[[#This Row],[Job Type]]="Batch",tbl_TubeLaser[[#This Row],[Batch Hours]]*tbl_TubeLaser[[#This Row],[% Complete]],tbl_TubeLaser[[#This Row],[Total hours]]*tbl_TubeLaser[[#This Row],[% Complete]])</f>
        <v>#DIV/0!</v>
      </c>
      <c r="N157" s="31"/>
      <c r="P157" s="28" t="e">
        <f>tbl_TubeLaser[[#This Row],[Mat. Qty]]*tbl_TubeLaser[[#This Row],[% Complete]]</f>
        <v>#DIV/0!</v>
      </c>
      <c r="R157" s="32" t="str">
        <f>IFERROR(tbl_TubeLaser[[#This Row],[Qty Complete]]/tbl_TubeLaser[[#This Row],[Total Hours Act]]*tbl_TubeLaser[[#This Row],['# of men Act]],"")</f>
        <v/>
      </c>
      <c r="T157"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57" s="35" t="str">
        <f>IFERROR((tbl_TubeLaser[[#This Row],[Adj. Total Hours]]+tbl_TubeLaser[[#This Row],[Est. Hours]])/(tbl_TubeLaser[[#This Row],[Total Hours Act]]+tbl_TubeLaser[[#This Row],[Act. Hours]]),"")</f>
        <v/>
      </c>
      <c r="Y157"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57" s="104" t="str">
        <f>IFERROR(tbl_TubeLaser[[#This Row],[Act. Mat. Qty]]-tbl_TubeLaser[[#This Row],[Adj. Mat. Qty]],"")</f>
        <v/>
      </c>
      <c r="AA157"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57" s="31"/>
      <c r="AD157" s="36"/>
    </row>
    <row r="158" spans="3:30" ht="25" customHeight="1">
      <c r="C158" s="28" t="str">
        <f>IF(tbl_TubeLaser[[#This Row],[Part'#]]="", "Batch", "Part")</f>
        <v>Batch</v>
      </c>
      <c r="G158" s="28"/>
      <c r="I158" s="70" t="e">
        <f>tbl_TubeLaser[[#This Row],[Qty Complete]]/tbl_TubeLaser[[#This Row],[Qty Required]]</f>
        <v>#DIV/0!</v>
      </c>
      <c r="L158" s="31">
        <f>IF(tbl_TubeLaser[[#This Row],[Job Type]]="Batch",0,tbl_TubeLaser[[#This Row],[Qty Required]]/tbl_TubeLaser[[#This Row],[PPH]]*tbl_TubeLaser[[#This Row],['# of men]])</f>
        <v>0</v>
      </c>
      <c r="M158" s="31" t="e">
        <f>IF(tbl_TubeLaser[[#This Row],[Job Type]]="Batch",tbl_TubeLaser[[#This Row],[Batch Hours]]*tbl_TubeLaser[[#This Row],[% Complete]],tbl_TubeLaser[[#This Row],[Total hours]]*tbl_TubeLaser[[#This Row],[% Complete]])</f>
        <v>#DIV/0!</v>
      </c>
      <c r="N158" s="31"/>
      <c r="P158" s="28" t="e">
        <f>tbl_TubeLaser[[#This Row],[Mat. Qty]]*tbl_TubeLaser[[#This Row],[% Complete]]</f>
        <v>#DIV/0!</v>
      </c>
      <c r="R158" s="32" t="str">
        <f>IFERROR(tbl_TubeLaser[[#This Row],[Qty Complete]]/tbl_TubeLaser[[#This Row],[Total Hours Act]]*tbl_TubeLaser[[#This Row],['# of men Act]],"")</f>
        <v/>
      </c>
      <c r="T158"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58" s="35" t="str">
        <f>IFERROR((tbl_TubeLaser[[#This Row],[Adj. Total Hours]]+tbl_TubeLaser[[#This Row],[Est. Hours]])/(tbl_TubeLaser[[#This Row],[Total Hours Act]]+tbl_TubeLaser[[#This Row],[Act. Hours]]),"")</f>
        <v/>
      </c>
      <c r="Y158"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58" s="104" t="str">
        <f>IFERROR(tbl_TubeLaser[[#This Row],[Act. Mat. Qty]]-tbl_TubeLaser[[#This Row],[Adj. Mat. Qty]],"")</f>
        <v/>
      </c>
      <c r="AA158"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58" s="31"/>
      <c r="AD158" s="36"/>
    </row>
    <row r="159" spans="3:30" ht="25" customHeight="1">
      <c r="C159" s="28" t="str">
        <f>IF(tbl_TubeLaser[[#This Row],[Part'#]]="", "Batch", "Part")</f>
        <v>Batch</v>
      </c>
      <c r="G159" s="28"/>
      <c r="I159" s="70" t="e">
        <f>tbl_TubeLaser[[#This Row],[Qty Complete]]/tbl_TubeLaser[[#This Row],[Qty Required]]</f>
        <v>#DIV/0!</v>
      </c>
      <c r="L159" s="31">
        <f>IF(tbl_TubeLaser[[#This Row],[Job Type]]="Batch",0,tbl_TubeLaser[[#This Row],[Qty Required]]/tbl_TubeLaser[[#This Row],[PPH]]*tbl_TubeLaser[[#This Row],['# of men]])</f>
        <v>0</v>
      </c>
      <c r="M159" s="31" t="e">
        <f>IF(tbl_TubeLaser[[#This Row],[Job Type]]="Batch",tbl_TubeLaser[[#This Row],[Batch Hours]]*tbl_TubeLaser[[#This Row],[% Complete]],tbl_TubeLaser[[#This Row],[Total hours]]*tbl_TubeLaser[[#This Row],[% Complete]])</f>
        <v>#DIV/0!</v>
      </c>
      <c r="N159" s="31"/>
      <c r="P159" s="28" t="e">
        <f>tbl_TubeLaser[[#This Row],[Mat. Qty]]*tbl_TubeLaser[[#This Row],[% Complete]]</f>
        <v>#DIV/0!</v>
      </c>
      <c r="R159" s="32" t="str">
        <f>IFERROR(tbl_TubeLaser[[#This Row],[Qty Complete]]/tbl_TubeLaser[[#This Row],[Total Hours Act]]*tbl_TubeLaser[[#This Row],['# of men Act]],"")</f>
        <v/>
      </c>
      <c r="T159"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59" s="35" t="str">
        <f>IFERROR((tbl_TubeLaser[[#This Row],[Adj. Total Hours]]+tbl_TubeLaser[[#This Row],[Est. Hours]])/(tbl_TubeLaser[[#This Row],[Total Hours Act]]+tbl_TubeLaser[[#This Row],[Act. Hours]]),"")</f>
        <v/>
      </c>
      <c r="Y159"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59" s="104" t="str">
        <f>IFERROR(tbl_TubeLaser[[#This Row],[Act. Mat. Qty]]-tbl_TubeLaser[[#This Row],[Adj. Mat. Qty]],"")</f>
        <v/>
      </c>
      <c r="AA159"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59" s="31"/>
      <c r="AD159" s="36"/>
    </row>
    <row r="160" spans="3:30" ht="25" customHeight="1">
      <c r="C160" s="28" t="str">
        <f>IF(tbl_TubeLaser[[#This Row],[Part'#]]="", "Batch", "Part")</f>
        <v>Batch</v>
      </c>
      <c r="G160" s="28"/>
      <c r="I160" s="70" t="e">
        <f>tbl_TubeLaser[[#This Row],[Qty Complete]]/tbl_TubeLaser[[#This Row],[Qty Required]]</f>
        <v>#DIV/0!</v>
      </c>
      <c r="L160" s="31">
        <f>IF(tbl_TubeLaser[[#This Row],[Job Type]]="Batch",0,tbl_TubeLaser[[#This Row],[Qty Required]]/tbl_TubeLaser[[#This Row],[PPH]]*tbl_TubeLaser[[#This Row],['# of men]])</f>
        <v>0</v>
      </c>
      <c r="M160" s="31" t="e">
        <f>IF(tbl_TubeLaser[[#This Row],[Job Type]]="Batch",tbl_TubeLaser[[#This Row],[Batch Hours]]*tbl_TubeLaser[[#This Row],[% Complete]],tbl_TubeLaser[[#This Row],[Total hours]]*tbl_TubeLaser[[#This Row],[% Complete]])</f>
        <v>#DIV/0!</v>
      </c>
      <c r="N160" s="31"/>
      <c r="P160" s="28" t="e">
        <f>tbl_TubeLaser[[#This Row],[Mat. Qty]]*tbl_TubeLaser[[#This Row],[% Complete]]</f>
        <v>#DIV/0!</v>
      </c>
      <c r="R160" s="32" t="str">
        <f>IFERROR(tbl_TubeLaser[[#This Row],[Qty Complete]]/tbl_TubeLaser[[#This Row],[Total Hours Act]]*tbl_TubeLaser[[#This Row],['# of men Act]],"")</f>
        <v/>
      </c>
      <c r="T160"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60" s="35" t="str">
        <f>IFERROR((tbl_TubeLaser[[#This Row],[Adj. Total Hours]]+tbl_TubeLaser[[#This Row],[Est. Hours]])/(tbl_TubeLaser[[#This Row],[Total Hours Act]]+tbl_TubeLaser[[#This Row],[Act. Hours]]),"")</f>
        <v/>
      </c>
      <c r="Y160"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60" s="104" t="str">
        <f>IFERROR(tbl_TubeLaser[[#This Row],[Act. Mat. Qty]]-tbl_TubeLaser[[#This Row],[Adj. Mat. Qty]],"")</f>
        <v/>
      </c>
      <c r="AA160"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60" s="31"/>
      <c r="AD160" s="36"/>
    </row>
    <row r="161" spans="3:30" ht="25" customHeight="1">
      <c r="C161" s="28" t="str">
        <f>IF(tbl_TubeLaser[[#This Row],[Part'#]]="", "Batch", "Part")</f>
        <v>Batch</v>
      </c>
      <c r="G161" s="28"/>
      <c r="I161" s="70" t="e">
        <f>tbl_TubeLaser[[#This Row],[Qty Complete]]/tbl_TubeLaser[[#This Row],[Qty Required]]</f>
        <v>#DIV/0!</v>
      </c>
      <c r="L161" s="31">
        <f>IF(tbl_TubeLaser[[#This Row],[Job Type]]="Batch",0,tbl_TubeLaser[[#This Row],[Qty Required]]/tbl_TubeLaser[[#This Row],[PPH]]*tbl_TubeLaser[[#This Row],['# of men]])</f>
        <v>0</v>
      </c>
      <c r="M161" s="31" t="e">
        <f>IF(tbl_TubeLaser[[#This Row],[Job Type]]="Batch",tbl_TubeLaser[[#This Row],[Batch Hours]]*tbl_TubeLaser[[#This Row],[% Complete]],tbl_TubeLaser[[#This Row],[Total hours]]*tbl_TubeLaser[[#This Row],[% Complete]])</f>
        <v>#DIV/0!</v>
      </c>
      <c r="N161" s="31"/>
      <c r="P161" s="28" t="e">
        <f>tbl_TubeLaser[[#This Row],[Mat. Qty]]*tbl_TubeLaser[[#This Row],[% Complete]]</f>
        <v>#DIV/0!</v>
      </c>
      <c r="R161" s="32" t="str">
        <f>IFERROR(tbl_TubeLaser[[#This Row],[Qty Complete]]/tbl_TubeLaser[[#This Row],[Total Hours Act]]*tbl_TubeLaser[[#This Row],['# of men Act]],"")</f>
        <v/>
      </c>
      <c r="T161"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61" s="35" t="str">
        <f>IFERROR((tbl_TubeLaser[[#This Row],[Adj. Total Hours]]+tbl_TubeLaser[[#This Row],[Est. Hours]])/(tbl_TubeLaser[[#This Row],[Total Hours Act]]+tbl_TubeLaser[[#This Row],[Act. Hours]]),"")</f>
        <v/>
      </c>
      <c r="Y161"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61" s="104" t="str">
        <f>IFERROR(tbl_TubeLaser[[#This Row],[Act. Mat. Qty]]-tbl_TubeLaser[[#This Row],[Adj. Mat. Qty]],"")</f>
        <v/>
      </c>
      <c r="AA161"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61" s="31"/>
      <c r="AD161" s="36"/>
    </row>
    <row r="162" spans="3:30" ht="25" customHeight="1">
      <c r="C162" s="28" t="str">
        <f>IF(tbl_TubeLaser[[#This Row],[Part'#]]="", "Batch", "Part")</f>
        <v>Batch</v>
      </c>
      <c r="G162" s="28"/>
      <c r="I162" s="70" t="e">
        <f>tbl_TubeLaser[[#This Row],[Qty Complete]]/tbl_TubeLaser[[#This Row],[Qty Required]]</f>
        <v>#DIV/0!</v>
      </c>
      <c r="L162" s="31">
        <f>IF(tbl_TubeLaser[[#This Row],[Job Type]]="Batch",0,tbl_TubeLaser[[#This Row],[Qty Required]]/tbl_TubeLaser[[#This Row],[PPH]]*tbl_TubeLaser[[#This Row],['# of men]])</f>
        <v>0</v>
      </c>
      <c r="M162" s="31" t="e">
        <f>IF(tbl_TubeLaser[[#This Row],[Job Type]]="Batch",tbl_TubeLaser[[#This Row],[Batch Hours]]*tbl_TubeLaser[[#This Row],[% Complete]],tbl_TubeLaser[[#This Row],[Total hours]]*tbl_TubeLaser[[#This Row],[% Complete]])</f>
        <v>#DIV/0!</v>
      </c>
      <c r="N162" s="31"/>
      <c r="P162" s="28" t="e">
        <f>tbl_TubeLaser[[#This Row],[Mat. Qty]]*tbl_TubeLaser[[#This Row],[% Complete]]</f>
        <v>#DIV/0!</v>
      </c>
      <c r="R162" s="32" t="str">
        <f>IFERROR(tbl_TubeLaser[[#This Row],[Qty Complete]]/tbl_TubeLaser[[#This Row],[Total Hours Act]]*tbl_TubeLaser[[#This Row],['# of men Act]],"")</f>
        <v/>
      </c>
      <c r="T162"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62" s="35" t="str">
        <f>IFERROR((tbl_TubeLaser[[#This Row],[Adj. Total Hours]]+tbl_TubeLaser[[#This Row],[Est. Hours]])/(tbl_TubeLaser[[#This Row],[Total Hours Act]]+tbl_TubeLaser[[#This Row],[Act. Hours]]),"")</f>
        <v/>
      </c>
      <c r="Y162"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62" s="104" t="str">
        <f>IFERROR(tbl_TubeLaser[[#This Row],[Act. Mat. Qty]]-tbl_TubeLaser[[#This Row],[Adj. Mat. Qty]],"")</f>
        <v/>
      </c>
      <c r="AA162"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62" s="31"/>
      <c r="AD162" s="36"/>
    </row>
    <row r="163" spans="3:30" ht="25" customHeight="1">
      <c r="C163" s="28" t="str">
        <f>IF(tbl_TubeLaser[[#This Row],[Part'#]]="", "Batch", "Part")</f>
        <v>Batch</v>
      </c>
      <c r="G163" s="28"/>
      <c r="I163" s="70" t="e">
        <f>tbl_TubeLaser[[#This Row],[Qty Complete]]/tbl_TubeLaser[[#This Row],[Qty Required]]</f>
        <v>#DIV/0!</v>
      </c>
      <c r="L163" s="31">
        <f>IF(tbl_TubeLaser[[#This Row],[Job Type]]="Batch",0,tbl_TubeLaser[[#This Row],[Qty Required]]/tbl_TubeLaser[[#This Row],[PPH]]*tbl_TubeLaser[[#This Row],['# of men]])</f>
        <v>0</v>
      </c>
      <c r="M163" s="31" t="e">
        <f>IF(tbl_TubeLaser[[#This Row],[Job Type]]="Batch",tbl_TubeLaser[[#This Row],[Batch Hours]]*tbl_TubeLaser[[#This Row],[% Complete]],tbl_TubeLaser[[#This Row],[Total hours]]*tbl_TubeLaser[[#This Row],[% Complete]])</f>
        <v>#DIV/0!</v>
      </c>
      <c r="N163" s="31"/>
      <c r="P163" s="28" t="e">
        <f>tbl_TubeLaser[[#This Row],[Mat. Qty]]*tbl_TubeLaser[[#This Row],[% Complete]]</f>
        <v>#DIV/0!</v>
      </c>
      <c r="R163" s="32" t="str">
        <f>IFERROR(tbl_TubeLaser[[#This Row],[Qty Complete]]/tbl_TubeLaser[[#This Row],[Total Hours Act]]*tbl_TubeLaser[[#This Row],['# of men Act]],"")</f>
        <v/>
      </c>
      <c r="T163"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63" s="35" t="str">
        <f>IFERROR((tbl_TubeLaser[[#This Row],[Adj. Total Hours]]+tbl_TubeLaser[[#This Row],[Est. Hours]])/(tbl_TubeLaser[[#This Row],[Total Hours Act]]+tbl_TubeLaser[[#This Row],[Act. Hours]]),"")</f>
        <v/>
      </c>
      <c r="Y163"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63" s="104" t="str">
        <f>IFERROR(tbl_TubeLaser[[#This Row],[Act. Mat. Qty]]-tbl_TubeLaser[[#This Row],[Adj. Mat. Qty]],"")</f>
        <v/>
      </c>
      <c r="AA163"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63" s="31"/>
      <c r="AD163" s="36"/>
    </row>
    <row r="164" spans="3:30" ht="25" customHeight="1">
      <c r="C164" s="28" t="str">
        <f>IF(tbl_TubeLaser[[#This Row],[Part'#]]="", "Batch", "Part")</f>
        <v>Batch</v>
      </c>
      <c r="G164" s="28"/>
      <c r="I164" s="70" t="e">
        <f>tbl_TubeLaser[[#This Row],[Qty Complete]]/tbl_TubeLaser[[#This Row],[Qty Required]]</f>
        <v>#DIV/0!</v>
      </c>
      <c r="L164" s="31">
        <f>IF(tbl_TubeLaser[[#This Row],[Job Type]]="Batch",0,tbl_TubeLaser[[#This Row],[Qty Required]]/tbl_TubeLaser[[#This Row],[PPH]]*tbl_TubeLaser[[#This Row],['# of men]])</f>
        <v>0</v>
      </c>
      <c r="M164" s="31" t="e">
        <f>IF(tbl_TubeLaser[[#This Row],[Job Type]]="Batch",tbl_TubeLaser[[#This Row],[Batch Hours]]*tbl_TubeLaser[[#This Row],[% Complete]],tbl_TubeLaser[[#This Row],[Total hours]]*tbl_TubeLaser[[#This Row],[% Complete]])</f>
        <v>#DIV/0!</v>
      </c>
      <c r="N164" s="31"/>
      <c r="P164" s="28" t="e">
        <f>tbl_TubeLaser[[#This Row],[Mat. Qty]]*tbl_TubeLaser[[#This Row],[% Complete]]</f>
        <v>#DIV/0!</v>
      </c>
      <c r="R164" s="32" t="str">
        <f>IFERROR(tbl_TubeLaser[[#This Row],[Qty Complete]]/tbl_TubeLaser[[#This Row],[Total Hours Act]]*tbl_TubeLaser[[#This Row],['# of men Act]],"")</f>
        <v/>
      </c>
      <c r="T164"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64" s="35" t="str">
        <f>IFERROR((tbl_TubeLaser[[#This Row],[Adj. Total Hours]]+tbl_TubeLaser[[#This Row],[Est. Hours]])/(tbl_TubeLaser[[#This Row],[Total Hours Act]]+tbl_TubeLaser[[#This Row],[Act. Hours]]),"")</f>
        <v/>
      </c>
      <c r="Y164"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64" s="104" t="str">
        <f>IFERROR(tbl_TubeLaser[[#This Row],[Act. Mat. Qty]]-tbl_TubeLaser[[#This Row],[Adj. Mat. Qty]],"")</f>
        <v/>
      </c>
      <c r="AA164"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64" s="31"/>
      <c r="AD164" s="36"/>
    </row>
    <row r="165" spans="3:30" ht="25" customHeight="1">
      <c r="C165" s="28" t="str">
        <f>IF(tbl_TubeLaser[[#This Row],[Part'#]]="", "Batch", "Part")</f>
        <v>Batch</v>
      </c>
      <c r="G165" s="28"/>
      <c r="I165" s="70" t="e">
        <f>tbl_TubeLaser[[#This Row],[Qty Complete]]/tbl_TubeLaser[[#This Row],[Qty Required]]</f>
        <v>#DIV/0!</v>
      </c>
      <c r="L165" s="31">
        <f>IF(tbl_TubeLaser[[#This Row],[Job Type]]="Batch",0,tbl_TubeLaser[[#This Row],[Qty Required]]/tbl_TubeLaser[[#This Row],[PPH]]*tbl_TubeLaser[[#This Row],['# of men]])</f>
        <v>0</v>
      </c>
      <c r="M165" s="31" t="e">
        <f>IF(tbl_TubeLaser[[#This Row],[Job Type]]="Batch",tbl_TubeLaser[[#This Row],[Batch Hours]]*tbl_TubeLaser[[#This Row],[% Complete]],tbl_TubeLaser[[#This Row],[Total hours]]*tbl_TubeLaser[[#This Row],[% Complete]])</f>
        <v>#DIV/0!</v>
      </c>
      <c r="N165" s="31"/>
      <c r="P165" s="28" t="e">
        <f>tbl_TubeLaser[[#This Row],[Mat. Qty]]*tbl_TubeLaser[[#This Row],[% Complete]]</f>
        <v>#DIV/0!</v>
      </c>
      <c r="R165" s="32" t="str">
        <f>IFERROR(tbl_TubeLaser[[#This Row],[Qty Complete]]/tbl_TubeLaser[[#This Row],[Total Hours Act]]*tbl_TubeLaser[[#This Row],['# of men Act]],"")</f>
        <v/>
      </c>
      <c r="T165"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65" s="35" t="str">
        <f>IFERROR((tbl_TubeLaser[[#This Row],[Adj. Total Hours]]+tbl_TubeLaser[[#This Row],[Est. Hours]])/(tbl_TubeLaser[[#This Row],[Total Hours Act]]+tbl_TubeLaser[[#This Row],[Act. Hours]]),"")</f>
        <v/>
      </c>
      <c r="Y165"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65" s="104" t="str">
        <f>IFERROR(tbl_TubeLaser[[#This Row],[Act. Mat. Qty]]-tbl_TubeLaser[[#This Row],[Adj. Mat. Qty]],"")</f>
        <v/>
      </c>
      <c r="AA165"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65" s="31"/>
      <c r="AD165" s="36"/>
    </row>
    <row r="166" spans="3:30" ht="25" customHeight="1">
      <c r="C166" s="28" t="str">
        <f>IF(tbl_TubeLaser[[#This Row],[Part'#]]="", "Batch", "Part")</f>
        <v>Batch</v>
      </c>
      <c r="G166" s="28"/>
      <c r="I166" s="70" t="e">
        <f>tbl_TubeLaser[[#This Row],[Qty Complete]]/tbl_TubeLaser[[#This Row],[Qty Required]]</f>
        <v>#DIV/0!</v>
      </c>
      <c r="L166" s="31">
        <f>IF(tbl_TubeLaser[[#This Row],[Job Type]]="Batch",0,tbl_TubeLaser[[#This Row],[Qty Required]]/tbl_TubeLaser[[#This Row],[PPH]]*tbl_TubeLaser[[#This Row],['# of men]])</f>
        <v>0</v>
      </c>
      <c r="M166" s="31" t="e">
        <f>IF(tbl_TubeLaser[[#This Row],[Job Type]]="Batch",tbl_TubeLaser[[#This Row],[Batch Hours]]*tbl_TubeLaser[[#This Row],[% Complete]],tbl_TubeLaser[[#This Row],[Total hours]]*tbl_TubeLaser[[#This Row],[% Complete]])</f>
        <v>#DIV/0!</v>
      </c>
      <c r="N166" s="31"/>
      <c r="P166" s="28" t="e">
        <f>tbl_TubeLaser[[#This Row],[Mat. Qty]]*tbl_TubeLaser[[#This Row],[% Complete]]</f>
        <v>#DIV/0!</v>
      </c>
      <c r="R166" s="32" t="str">
        <f>IFERROR(tbl_TubeLaser[[#This Row],[Qty Complete]]/tbl_TubeLaser[[#This Row],[Total Hours Act]]*tbl_TubeLaser[[#This Row],['# of men Act]],"")</f>
        <v/>
      </c>
      <c r="T166"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66" s="35" t="str">
        <f>IFERROR((tbl_TubeLaser[[#This Row],[Adj. Total Hours]]+tbl_TubeLaser[[#This Row],[Est. Hours]])/(tbl_TubeLaser[[#This Row],[Total Hours Act]]+tbl_TubeLaser[[#This Row],[Act. Hours]]),"")</f>
        <v/>
      </c>
      <c r="Y166"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66" s="104" t="str">
        <f>IFERROR(tbl_TubeLaser[[#This Row],[Act. Mat. Qty]]-tbl_TubeLaser[[#This Row],[Adj. Mat. Qty]],"")</f>
        <v/>
      </c>
      <c r="AA166"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66" s="31"/>
      <c r="AD166" s="36"/>
    </row>
    <row r="167" spans="3:30" ht="25" customHeight="1">
      <c r="C167" s="28" t="str">
        <f>IF(tbl_TubeLaser[[#This Row],[Part'#]]="", "Batch", "Part")</f>
        <v>Batch</v>
      </c>
      <c r="G167" s="28"/>
      <c r="I167" s="70" t="e">
        <f>tbl_TubeLaser[[#This Row],[Qty Complete]]/tbl_TubeLaser[[#This Row],[Qty Required]]</f>
        <v>#DIV/0!</v>
      </c>
      <c r="L167" s="31">
        <f>IF(tbl_TubeLaser[[#This Row],[Job Type]]="Batch",0,tbl_TubeLaser[[#This Row],[Qty Required]]/tbl_TubeLaser[[#This Row],[PPH]]*tbl_TubeLaser[[#This Row],['# of men]])</f>
        <v>0</v>
      </c>
      <c r="M167" s="31" t="e">
        <f>IF(tbl_TubeLaser[[#This Row],[Job Type]]="Batch",tbl_TubeLaser[[#This Row],[Batch Hours]]*tbl_TubeLaser[[#This Row],[% Complete]],tbl_TubeLaser[[#This Row],[Total hours]]*tbl_TubeLaser[[#This Row],[% Complete]])</f>
        <v>#DIV/0!</v>
      </c>
      <c r="N167" s="31"/>
      <c r="P167" s="28" t="e">
        <f>tbl_TubeLaser[[#This Row],[Mat. Qty]]*tbl_TubeLaser[[#This Row],[% Complete]]</f>
        <v>#DIV/0!</v>
      </c>
      <c r="R167" s="32" t="str">
        <f>IFERROR(tbl_TubeLaser[[#This Row],[Qty Complete]]/tbl_TubeLaser[[#This Row],[Total Hours Act]]*tbl_TubeLaser[[#This Row],['# of men Act]],"")</f>
        <v/>
      </c>
      <c r="T167"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67" s="35" t="str">
        <f>IFERROR((tbl_TubeLaser[[#This Row],[Adj. Total Hours]]+tbl_TubeLaser[[#This Row],[Est. Hours]])/(tbl_TubeLaser[[#This Row],[Total Hours Act]]+tbl_TubeLaser[[#This Row],[Act. Hours]]),"")</f>
        <v/>
      </c>
      <c r="Y167"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67" s="104" t="str">
        <f>IFERROR(tbl_TubeLaser[[#This Row],[Act. Mat. Qty]]-tbl_TubeLaser[[#This Row],[Adj. Mat. Qty]],"")</f>
        <v/>
      </c>
      <c r="AA167"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67" s="31"/>
      <c r="AD167" s="36"/>
    </row>
    <row r="168" spans="3:30" ht="25" customHeight="1">
      <c r="C168" s="28" t="str">
        <f>IF(tbl_TubeLaser[[#This Row],[Part'#]]="", "Batch", "Part")</f>
        <v>Batch</v>
      </c>
      <c r="G168" s="28"/>
      <c r="I168" s="70" t="e">
        <f>tbl_TubeLaser[[#This Row],[Qty Complete]]/tbl_TubeLaser[[#This Row],[Qty Required]]</f>
        <v>#DIV/0!</v>
      </c>
      <c r="L168" s="31">
        <f>IF(tbl_TubeLaser[[#This Row],[Job Type]]="Batch",0,tbl_TubeLaser[[#This Row],[Qty Required]]/tbl_TubeLaser[[#This Row],[PPH]]*tbl_TubeLaser[[#This Row],['# of men]])</f>
        <v>0</v>
      </c>
      <c r="M168" s="31" t="e">
        <f>IF(tbl_TubeLaser[[#This Row],[Job Type]]="Batch",tbl_TubeLaser[[#This Row],[Batch Hours]]*tbl_TubeLaser[[#This Row],[% Complete]],tbl_TubeLaser[[#This Row],[Total hours]]*tbl_TubeLaser[[#This Row],[% Complete]])</f>
        <v>#DIV/0!</v>
      </c>
      <c r="N168" s="31"/>
      <c r="P168" s="28" t="e">
        <f>tbl_TubeLaser[[#This Row],[Mat. Qty]]*tbl_TubeLaser[[#This Row],[% Complete]]</f>
        <v>#DIV/0!</v>
      </c>
      <c r="R168" s="32" t="str">
        <f>IFERROR(tbl_TubeLaser[[#This Row],[Qty Complete]]/tbl_TubeLaser[[#This Row],[Total Hours Act]]*tbl_TubeLaser[[#This Row],['# of men Act]],"")</f>
        <v/>
      </c>
      <c r="T168"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68" s="35" t="str">
        <f>IFERROR((tbl_TubeLaser[[#This Row],[Adj. Total Hours]]+tbl_TubeLaser[[#This Row],[Est. Hours]])/(tbl_TubeLaser[[#This Row],[Total Hours Act]]+tbl_TubeLaser[[#This Row],[Act. Hours]]),"")</f>
        <v/>
      </c>
      <c r="Y168"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68" s="104" t="str">
        <f>IFERROR(tbl_TubeLaser[[#This Row],[Act. Mat. Qty]]-tbl_TubeLaser[[#This Row],[Adj. Mat. Qty]],"")</f>
        <v/>
      </c>
      <c r="AA168"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68" s="31"/>
      <c r="AD168" s="36"/>
    </row>
    <row r="169" spans="3:30" ht="25" customHeight="1">
      <c r="C169" s="28" t="str">
        <f>IF(tbl_TubeLaser[[#This Row],[Part'#]]="", "Batch", "Part")</f>
        <v>Batch</v>
      </c>
      <c r="G169" s="28"/>
      <c r="I169" s="70" t="e">
        <f>tbl_TubeLaser[[#This Row],[Qty Complete]]/tbl_TubeLaser[[#This Row],[Qty Required]]</f>
        <v>#DIV/0!</v>
      </c>
      <c r="L169" s="31">
        <f>IF(tbl_TubeLaser[[#This Row],[Job Type]]="Batch",0,tbl_TubeLaser[[#This Row],[Qty Required]]/tbl_TubeLaser[[#This Row],[PPH]]*tbl_TubeLaser[[#This Row],['# of men]])</f>
        <v>0</v>
      </c>
      <c r="M169" s="31" t="e">
        <f>IF(tbl_TubeLaser[[#This Row],[Job Type]]="Batch",tbl_TubeLaser[[#This Row],[Batch Hours]]*tbl_TubeLaser[[#This Row],[% Complete]],tbl_TubeLaser[[#This Row],[Total hours]]*tbl_TubeLaser[[#This Row],[% Complete]])</f>
        <v>#DIV/0!</v>
      </c>
      <c r="N169" s="31"/>
      <c r="P169" s="28" t="e">
        <f>tbl_TubeLaser[[#This Row],[Mat. Qty]]*tbl_TubeLaser[[#This Row],[% Complete]]</f>
        <v>#DIV/0!</v>
      </c>
      <c r="R169" s="32" t="str">
        <f>IFERROR(tbl_TubeLaser[[#This Row],[Qty Complete]]/tbl_TubeLaser[[#This Row],[Total Hours Act]]*tbl_TubeLaser[[#This Row],['# of men Act]],"")</f>
        <v/>
      </c>
      <c r="T169"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69" s="35" t="str">
        <f>IFERROR((tbl_TubeLaser[[#This Row],[Adj. Total Hours]]+tbl_TubeLaser[[#This Row],[Est. Hours]])/(tbl_TubeLaser[[#This Row],[Total Hours Act]]+tbl_TubeLaser[[#This Row],[Act. Hours]]),"")</f>
        <v/>
      </c>
      <c r="Y169"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69" s="104" t="str">
        <f>IFERROR(tbl_TubeLaser[[#This Row],[Act. Mat. Qty]]-tbl_TubeLaser[[#This Row],[Adj. Mat. Qty]],"")</f>
        <v/>
      </c>
      <c r="AA169"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69" s="31"/>
      <c r="AD169" s="36"/>
    </row>
    <row r="170" spans="3:30" ht="25" customHeight="1">
      <c r="C170" s="28" t="str">
        <f>IF(tbl_TubeLaser[[#This Row],[Part'#]]="", "Batch", "Part")</f>
        <v>Batch</v>
      </c>
      <c r="G170" s="28"/>
      <c r="I170" s="70" t="e">
        <f>tbl_TubeLaser[[#This Row],[Qty Complete]]/tbl_TubeLaser[[#This Row],[Qty Required]]</f>
        <v>#DIV/0!</v>
      </c>
      <c r="L170" s="31">
        <f>IF(tbl_TubeLaser[[#This Row],[Job Type]]="Batch",0,tbl_TubeLaser[[#This Row],[Qty Required]]/tbl_TubeLaser[[#This Row],[PPH]]*tbl_TubeLaser[[#This Row],['# of men]])</f>
        <v>0</v>
      </c>
      <c r="M170" s="31" t="e">
        <f>IF(tbl_TubeLaser[[#This Row],[Job Type]]="Batch",tbl_TubeLaser[[#This Row],[Batch Hours]]*tbl_TubeLaser[[#This Row],[% Complete]],tbl_TubeLaser[[#This Row],[Total hours]]*tbl_TubeLaser[[#This Row],[% Complete]])</f>
        <v>#DIV/0!</v>
      </c>
      <c r="N170" s="31"/>
      <c r="P170" s="28" t="e">
        <f>tbl_TubeLaser[[#This Row],[Mat. Qty]]*tbl_TubeLaser[[#This Row],[% Complete]]</f>
        <v>#DIV/0!</v>
      </c>
      <c r="R170" s="32" t="str">
        <f>IFERROR(tbl_TubeLaser[[#This Row],[Qty Complete]]/tbl_TubeLaser[[#This Row],[Total Hours Act]]*tbl_TubeLaser[[#This Row],['# of men Act]],"")</f>
        <v/>
      </c>
      <c r="T170"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70" s="35" t="str">
        <f>IFERROR((tbl_TubeLaser[[#This Row],[Adj. Total Hours]]+tbl_TubeLaser[[#This Row],[Est. Hours]])/(tbl_TubeLaser[[#This Row],[Total Hours Act]]+tbl_TubeLaser[[#This Row],[Act. Hours]]),"")</f>
        <v/>
      </c>
      <c r="Y170"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70" s="104" t="str">
        <f>IFERROR(tbl_TubeLaser[[#This Row],[Act. Mat. Qty]]-tbl_TubeLaser[[#This Row],[Adj. Mat. Qty]],"")</f>
        <v/>
      </c>
      <c r="AA170"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70" s="31"/>
      <c r="AD170" s="36"/>
    </row>
    <row r="171" spans="3:30" ht="25" customHeight="1">
      <c r="C171" s="28" t="str">
        <f>IF(tbl_TubeLaser[[#This Row],[Part'#]]="", "Batch", "Part")</f>
        <v>Batch</v>
      </c>
      <c r="G171" s="28"/>
      <c r="I171" s="70" t="e">
        <f>tbl_TubeLaser[[#This Row],[Qty Complete]]/tbl_TubeLaser[[#This Row],[Qty Required]]</f>
        <v>#DIV/0!</v>
      </c>
      <c r="L171" s="31">
        <f>IF(tbl_TubeLaser[[#This Row],[Job Type]]="Batch",0,tbl_TubeLaser[[#This Row],[Qty Required]]/tbl_TubeLaser[[#This Row],[PPH]]*tbl_TubeLaser[[#This Row],['# of men]])</f>
        <v>0</v>
      </c>
      <c r="M171" s="31" t="e">
        <f>IF(tbl_TubeLaser[[#This Row],[Job Type]]="Batch",tbl_TubeLaser[[#This Row],[Batch Hours]]*tbl_TubeLaser[[#This Row],[% Complete]],tbl_TubeLaser[[#This Row],[Total hours]]*tbl_TubeLaser[[#This Row],[% Complete]])</f>
        <v>#DIV/0!</v>
      </c>
      <c r="N171" s="31"/>
      <c r="P171" s="28" t="e">
        <f>tbl_TubeLaser[[#This Row],[Mat. Qty]]*tbl_TubeLaser[[#This Row],[% Complete]]</f>
        <v>#DIV/0!</v>
      </c>
      <c r="R171" s="32" t="str">
        <f>IFERROR(tbl_TubeLaser[[#This Row],[Qty Complete]]/tbl_TubeLaser[[#This Row],[Total Hours Act]]*tbl_TubeLaser[[#This Row],['# of men Act]],"")</f>
        <v/>
      </c>
      <c r="T171"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71" s="35" t="str">
        <f>IFERROR((tbl_TubeLaser[[#This Row],[Adj. Total Hours]]+tbl_TubeLaser[[#This Row],[Est. Hours]])/(tbl_TubeLaser[[#This Row],[Total Hours Act]]+tbl_TubeLaser[[#This Row],[Act. Hours]]),"")</f>
        <v/>
      </c>
      <c r="Y171"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71" s="104" t="str">
        <f>IFERROR(tbl_TubeLaser[[#This Row],[Act. Mat. Qty]]-tbl_TubeLaser[[#This Row],[Adj. Mat. Qty]],"")</f>
        <v/>
      </c>
      <c r="AA171"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71" s="31"/>
      <c r="AD171" s="36"/>
    </row>
    <row r="172" spans="3:30" ht="25" customHeight="1">
      <c r="C172" s="28" t="str">
        <f>IF(tbl_TubeLaser[[#This Row],[Part'#]]="", "Batch", "Part")</f>
        <v>Batch</v>
      </c>
      <c r="G172" s="28"/>
      <c r="I172" s="70" t="e">
        <f>tbl_TubeLaser[[#This Row],[Qty Complete]]/tbl_TubeLaser[[#This Row],[Qty Required]]</f>
        <v>#DIV/0!</v>
      </c>
      <c r="L172" s="31">
        <f>IF(tbl_TubeLaser[[#This Row],[Job Type]]="Batch",0,tbl_TubeLaser[[#This Row],[Qty Required]]/tbl_TubeLaser[[#This Row],[PPH]]*tbl_TubeLaser[[#This Row],['# of men]])</f>
        <v>0</v>
      </c>
      <c r="M172" s="31" t="e">
        <f>IF(tbl_TubeLaser[[#This Row],[Job Type]]="Batch",tbl_TubeLaser[[#This Row],[Batch Hours]]*tbl_TubeLaser[[#This Row],[% Complete]],tbl_TubeLaser[[#This Row],[Total hours]]*tbl_TubeLaser[[#This Row],[% Complete]])</f>
        <v>#DIV/0!</v>
      </c>
      <c r="N172" s="31"/>
      <c r="P172" s="28" t="e">
        <f>tbl_TubeLaser[[#This Row],[Mat. Qty]]*tbl_TubeLaser[[#This Row],[% Complete]]</f>
        <v>#DIV/0!</v>
      </c>
      <c r="R172" s="32" t="str">
        <f>IFERROR(tbl_TubeLaser[[#This Row],[Qty Complete]]/tbl_TubeLaser[[#This Row],[Total Hours Act]]*tbl_TubeLaser[[#This Row],['# of men Act]],"")</f>
        <v/>
      </c>
      <c r="T172"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72" s="35" t="str">
        <f>IFERROR((tbl_TubeLaser[[#This Row],[Adj. Total Hours]]+tbl_TubeLaser[[#This Row],[Est. Hours]])/(tbl_TubeLaser[[#This Row],[Total Hours Act]]+tbl_TubeLaser[[#This Row],[Act. Hours]]),"")</f>
        <v/>
      </c>
      <c r="Y172"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72" s="104" t="str">
        <f>IFERROR(tbl_TubeLaser[[#This Row],[Act. Mat. Qty]]-tbl_TubeLaser[[#This Row],[Adj. Mat. Qty]],"")</f>
        <v/>
      </c>
      <c r="AA172"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72" s="31"/>
      <c r="AD172" s="36"/>
    </row>
    <row r="173" spans="3:30" ht="25" customHeight="1">
      <c r="C173" s="28" t="str">
        <f>IF(tbl_TubeLaser[[#This Row],[Part'#]]="", "Batch", "Part")</f>
        <v>Batch</v>
      </c>
      <c r="G173" s="28"/>
      <c r="I173" s="70" t="e">
        <f>tbl_TubeLaser[[#This Row],[Qty Complete]]/tbl_TubeLaser[[#This Row],[Qty Required]]</f>
        <v>#DIV/0!</v>
      </c>
      <c r="L173" s="31">
        <f>IF(tbl_TubeLaser[[#This Row],[Job Type]]="Batch",0,tbl_TubeLaser[[#This Row],[Qty Required]]/tbl_TubeLaser[[#This Row],[PPH]]*tbl_TubeLaser[[#This Row],['# of men]])</f>
        <v>0</v>
      </c>
      <c r="M173" s="31" t="e">
        <f>IF(tbl_TubeLaser[[#This Row],[Job Type]]="Batch",tbl_TubeLaser[[#This Row],[Batch Hours]]*tbl_TubeLaser[[#This Row],[% Complete]],tbl_TubeLaser[[#This Row],[Total hours]]*tbl_TubeLaser[[#This Row],[% Complete]])</f>
        <v>#DIV/0!</v>
      </c>
      <c r="N173" s="31"/>
      <c r="P173" s="28" t="e">
        <f>tbl_TubeLaser[[#This Row],[Mat. Qty]]*tbl_TubeLaser[[#This Row],[% Complete]]</f>
        <v>#DIV/0!</v>
      </c>
      <c r="R173" s="32" t="str">
        <f>IFERROR(tbl_TubeLaser[[#This Row],[Qty Complete]]/tbl_TubeLaser[[#This Row],[Total Hours Act]]*tbl_TubeLaser[[#This Row],['# of men Act]],"")</f>
        <v/>
      </c>
      <c r="T173"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73" s="35" t="str">
        <f>IFERROR((tbl_TubeLaser[[#This Row],[Adj. Total Hours]]+tbl_TubeLaser[[#This Row],[Est. Hours]])/(tbl_TubeLaser[[#This Row],[Total Hours Act]]+tbl_TubeLaser[[#This Row],[Act. Hours]]),"")</f>
        <v/>
      </c>
      <c r="Y173"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73" s="104" t="str">
        <f>IFERROR(tbl_TubeLaser[[#This Row],[Act. Mat. Qty]]-tbl_TubeLaser[[#This Row],[Adj. Mat. Qty]],"")</f>
        <v/>
      </c>
      <c r="AA173"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73" s="31"/>
      <c r="AD173" s="36"/>
    </row>
    <row r="174" spans="3:30" ht="25" customHeight="1">
      <c r="C174" s="28" t="str">
        <f>IF(tbl_TubeLaser[[#This Row],[Part'#]]="", "Batch", "Part")</f>
        <v>Batch</v>
      </c>
      <c r="G174" s="28"/>
      <c r="I174" s="70" t="e">
        <f>tbl_TubeLaser[[#This Row],[Qty Complete]]/tbl_TubeLaser[[#This Row],[Qty Required]]</f>
        <v>#DIV/0!</v>
      </c>
      <c r="L174" s="31">
        <f>IF(tbl_TubeLaser[[#This Row],[Job Type]]="Batch",0,tbl_TubeLaser[[#This Row],[Qty Required]]/tbl_TubeLaser[[#This Row],[PPH]]*tbl_TubeLaser[[#This Row],['# of men]])</f>
        <v>0</v>
      </c>
      <c r="M174" s="31" t="e">
        <f>IF(tbl_TubeLaser[[#This Row],[Job Type]]="Batch",tbl_TubeLaser[[#This Row],[Batch Hours]]*tbl_TubeLaser[[#This Row],[% Complete]],tbl_TubeLaser[[#This Row],[Total hours]]*tbl_TubeLaser[[#This Row],[% Complete]])</f>
        <v>#DIV/0!</v>
      </c>
      <c r="N174" s="31"/>
      <c r="P174" s="28" t="e">
        <f>tbl_TubeLaser[[#This Row],[Mat. Qty]]*tbl_TubeLaser[[#This Row],[% Complete]]</f>
        <v>#DIV/0!</v>
      </c>
      <c r="R174" s="32" t="str">
        <f>IFERROR(tbl_TubeLaser[[#This Row],[Qty Complete]]/tbl_TubeLaser[[#This Row],[Total Hours Act]]*tbl_TubeLaser[[#This Row],['# of men Act]],"")</f>
        <v/>
      </c>
      <c r="T174"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74" s="35" t="str">
        <f>IFERROR((tbl_TubeLaser[[#This Row],[Adj. Total Hours]]+tbl_TubeLaser[[#This Row],[Est. Hours]])/(tbl_TubeLaser[[#This Row],[Total Hours Act]]+tbl_TubeLaser[[#This Row],[Act. Hours]]),"")</f>
        <v/>
      </c>
      <c r="Y174"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74" s="104" t="str">
        <f>IFERROR(tbl_TubeLaser[[#This Row],[Act. Mat. Qty]]-tbl_TubeLaser[[#This Row],[Adj. Mat. Qty]],"")</f>
        <v/>
      </c>
      <c r="AA174"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74" s="31"/>
      <c r="AD174" s="36"/>
    </row>
    <row r="175" spans="3:30" ht="25" customHeight="1">
      <c r="C175" s="28" t="str">
        <f>IF(tbl_TubeLaser[[#This Row],[Part'#]]="", "Batch", "Part")</f>
        <v>Batch</v>
      </c>
      <c r="G175" s="28"/>
      <c r="I175" s="70" t="e">
        <f>tbl_TubeLaser[[#This Row],[Qty Complete]]/tbl_TubeLaser[[#This Row],[Qty Required]]</f>
        <v>#DIV/0!</v>
      </c>
      <c r="L175" s="31">
        <f>IF(tbl_TubeLaser[[#This Row],[Job Type]]="Batch",0,tbl_TubeLaser[[#This Row],[Qty Required]]/tbl_TubeLaser[[#This Row],[PPH]]*tbl_TubeLaser[[#This Row],['# of men]])</f>
        <v>0</v>
      </c>
      <c r="M175" s="31" t="e">
        <f>IF(tbl_TubeLaser[[#This Row],[Job Type]]="Batch",tbl_TubeLaser[[#This Row],[Batch Hours]]*tbl_TubeLaser[[#This Row],[% Complete]],tbl_TubeLaser[[#This Row],[Total hours]]*tbl_TubeLaser[[#This Row],[% Complete]])</f>
        <v>#DIV/0!</v>
      </c>
      <c r="N175" s="31"/>
      <c r="P175" s="28" t="e">
        <f>tbl_TubeLaser[[#This Row],[Mat. Qty]]*tbl_TubeLaser[[#This Row],[% Complete]]</f>
        <v>#DIV/0!</v>
      </c>
      <c r="R175" s="32" t="str">
        <f>IFERROR(tbl_TubeLaser[[#This Row],[Qty Complete]]/tbl_TubeLaser[[#This Row],[Total Hours Act]]*tbl_TubeLaser[[#This Row],['# of men Act]],"")</f>
        <v/>
      </c>
      <c r="T175"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75" s="35" t="str">
        <f>IFERROR((tbl_TubeLaser[[#This Row],[Adj. Total Hours]]+tbl_TubeLaser[[#This Row],[Est. Hours]])/(tbl_TubeLaser[[#This Row],[Total Hours Act]]+tbl_TubeLaser[[#This Row],[Act. Hours]]),"")</f>
        <v/>
      </c>
      <c r="Y175"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75" s="104" t="str">
        <f>IFERROR(tbl_TubeLaser[[#This Row],[Act. Mat. Qty]]-tbl_TubeLaser[[#This Row],[Adj. Mat. Qty]],"")</f>
        <v/>
      </c>
      <c r="AA175"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75" s="31"/>
      <c r="AD175" s="36"/>
    </row>
    <row r="176" spans="3:30" ht="25" customHeight="1">
      <c r="C176" s="28" t="str">
        <f>IF(tbl_TubeLaser[[#This Row],[Part'#]]="", "Batch", "Part")</f>
        <v>Batch</v>
      </c>
      <c r="G176" s="28"/>
      <c r="I176" s="70" t="e">
        <f>tbl_TubeLaser[[#This Row],[Qty Complete]]/tbl_TubeLaser[[#This Row],[Qty Required]]</f>
        <v>#DIV/0!</v>
      </c>
      <c r="L176" s="31">
        <f>IF(tbl_TubeLaser[[#This Row],[Job Type]]="Batch",0,tbl_TubeLaser[[#This Row],[Qty Required]]/tbl_TubeLaser[[#This Row],[PPH]]*tbl_TubeLaser[[#This Row],['# of men]])</f>
        <v>0</v>
      </c>
      <c r="M176" s="31" t="e">
        <f>IF(tbl_TubeLaser[[#This Row],[Job Type]]="Batch",tbl_TubeLaser[[#This Row],[Batch Hours]]*tbl_TubeLaser[[#This Row],[% Complete]],tbl_TubeLaser[[#This Row],[Total hours]]*tbl_TubeLaser[[#This Row],[% Complete]])</f>
        <v>#DIV/0!</v>
      </c>
      <c r="N176" s="31"/>
      <c r="P176" s="28" t="e">
        <f>tbl_TubeLaser[[#This Row],[Mat. Qty]]*tbl_TubeLaser[[#This Row],[% Complete]]</f>
        <v>#DIV/0!</v>
      </c>
      <c r="R176" s="32" t="str">
        <f>IFERROR(tbl_TubeLaser[[#This Row],[Qty Complete]]/tbl_TubeLaser[[#This Row],[Total Hours Act]]*tbl_TubeLaser[[#This Row],['# of men Act]],"")</f>
        <v/>
      </c>
      <c r="T176"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76" s="35" t="str">
        <f>IFERROR((tbl_TubeLaser[[#This Row],[Adj. Total Hours]]+tbl_TubeLaser[[#This Row],[Est. Hours]])/(tbl_TubeLaser[[#This Row],[Total Hours Act]]+tbl_TubeLaser[[#This Row],[Act. Hours]]),"")</f>
        <v/>
      </c>
      <c r="Y176"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76" s="104" t="str">
        <f>IFERROR(tbl_TubeLaser[[#This Row],[Act. Mat. Qty]]-tbl_TubeLaser[[#This Row],[Adj. Mat. Qty]],"")</f>
        <v/>
      </c>
      <c r="AA176"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76" s="31"/>
      <c r="AD176" s="36"/>
    </row>
    <row r="177" spans="3:30" ht="25" customHeight="1">
      <c r="C177" s="28" t="str">
        <f>IF(tbl_TubeLaser[[#This Row],[Part'#]]="", "Batch", "Part")</f>
        <v>Batch</v>
      </c>
      <c r="G177" s="28"/>
      <c r="I177" s="70" t="e">
        <f>tbl_TubeLaser[[#This Row],[Qty Complete]]/tbl_TubeLaser[[#This Row],[Qty Required]]</f>
        <v>#DIV/0!</v>
      </c>
      <c r="L177" s="31">
        <f>IF(tbl_TubeLaser[[#This Row],[Job Type]]="Batch",0,tbl_TubeLaser[[#This Row],[Qty Required]]/tbl_TubeLaser[[#This Row],[PPH]]*tbl_TubeLaser[[#This Row],['# of men]])</f>
        <v>0</v>
      </c>
      <c r="M177" s="31" t="e">
        <f>IF(tbl_TubeLaser[[#This Row],[Job Type]]="Batch",tbl_TubeLaser[[#This Row],[Batch Hours]]*tbl_TubeLaser[[#This Row],[% Complete]],tbl_TubeLaser[[#This Row],[Total hours]]*tbl_TubeLaser[[#This Row],[% Complete]])</f>
        <v>#DIV/0!</v>
      </c>
      <c r="N177" s="31"/>
      <c r="P177" s="28" t="e">
        <f>tbl_TubeLaser[[#This Row],[Mat. Qty]]*tbl_TubeLaser[[#This Row],[% Complete]]</f>
        <v>#DIV/0!</v>
      </c>
      <c r="R177" s="32" t="str">
        <f>IFERROR(tbl_TubeLaser[[#This Row],[Qty Complete]]/tbl_TubeLaser[[#This Row],[Total Hours Act]]*tbl_TubeLaser[[#This Row],['# of men Act]],"")</f>
        <v/>
      </c>
      <c r="T177"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77" s="35" t="str">
        <f>IFERROR((tbl_TubeLaser[[#This Row],[Adj. Total Hours]]+tbl_TubeLaser[[#This Row],[Est. Hours]])/(tbl_TubeLaser[[#This Row],[Total Hours Act]]+tbl_TubeLaser[[#This Row],[Act. Hours]]),"")</f>
        <v/>
      </c>
      <c r="Y177"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77" s="104" t="str">
        <f>IFERROR(tbl_TubeLaser[[#This Row],[Act. Mat. Qty]]-tbl_TubeLaser[[#This Row],[Adj. Mat. Qty]],"")</f>
        <v/>
      </c>
      <c r="AA177"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77" s="31"/>
      <c r="AD177" s="36"/>
    </row>
    <row r="178" spans="3:30" ht="25" customHeight="1">
      <c r="C178" s="28" t="str">
        <f>IF(tbl_TubeLaser[[#This Row],[Part'#]]="", "Batch", "Part")</f>
        <v>Batch</v>
      </c>
      <c r="G178" s="28"/>
      <c r="I178" s="70" t="e">
        <f>tbl_TubeLaser[[#This Row],[Qty Complete]]/tbl_TubeLaser[[#This Row],[Qty Required]]</f>
        <v>#DIV/0!</v>
      </c>
      <c r="L178" s="31">
        <f>IF(tbl_TubeLaser[[#This Row],[Job Type]]="Batch",0,tbl_TubeLaser[[#This Row],[Qty Required]]/tbl_TubeLaser[[#This Row],[PPH]]*tbl_TubeLaser[[#This Row],['# of men]])</f>
        <v>0</v>
      </c>
      <c r="M178" s="31" t="e">
        <f>IF(tbl_TubeLaser[[#This Row],[Job Type]]="Batch",tbl_TubeLaser[[#This Row],[Batch Hours]]*tbl_TubeLaser[[#This Row],[% Complete]],tbl_TubeLaser[[#This Row],[Total hours]]*tbl_TubeLaser[[#This Row],[% Complete]])</f>
        <v>#DIV/0!</v>
      </c>
      <c r="N178" s="31"/>
      <c r="P178" s="28" t="e">
        <f>tbl_TubeLaser[[#This Row],[Mat. Qty]]*tbl_TubeLaser[[#This Row],[% Complete]]</f>
        <v>#DIV/0!</v>
      </c>
      <c r="R178" s="32" t="str">
        <f>IFERROR(tbl_TubeLaser[[#This Row],[Qty Complete]]/tbl_TubeLaser[[#This Row],[Total Hours Act]]*tbl_TubeLaser[[#This Row],['# of men Act]],"")</f>
        <v/>
      </c>
      <c r="T178"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78" s="35" t="str">
        <f>IFERROR((tbl_TubeLaser[[#This Row],[Adj. Total Hours]]+tbl_TubeLaser[[#This Row],[Est. Hours]])/(tbl_TubeLaser[[#This Row],[Total Hours Act]]+tbl_TubeLaser[[#This Row],[Act. Hours]]),"")</f>
        <v/>
      </c>
      <c r="Y178"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78" s="104" t="str">
        <f>IFERROR(tbl_TubeLaser[[#This Row],[Act. Mat. Qty]]-tbl_TubeLaser[[#This Row],[Adj. Mat. Qty]],"")</f>
        <v/>
      </c>
      <c r="AA178"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78" s="31"/>
      <c r="AD178" s="36"/>
    </row>
    <row r="179" spans="3:30" ht="25" customHeight="1">
      <c r="C179" s="28" t="str">
        <f>IF(tbl_TubeLaser[[#This Row],[Part'#]]="", "Batch", "Part")</f>
        <v>Batch</v>
      </c>
      <c r="G179" s="28"/>
      <c r="I179" s="70" t="e">
        <f>tbl_TubeLaser[[#This Row],[Qty Complete]]/tbl_TubeLaser[[#This Row],[Qty Required]]</f>
        <v>#DIV/0!</v>
      </c>
      <c r="L179" s="31">
        <f>IF(tbl_TubeLaser[[#This Row],[Job Type]]="Batch",0,tbl_TubeLaser[[#This Row],[Qty Required]]/tbl_TubeLaser[[#This Row],[PPH]]*tbl_TubeLaser[[#This Row],['# of men]])</f>
        <v>0</v>
      </c>
      <c r="M179" s="31" t="e">
        <f>IF(tbl_TubeLaser[[#This Row],[Job Type]]="Batch",tbl_TubeLaser[[#This Row],[Batch Hours]]*tbl_TubeLaser[[#This Row],[% Complete]],tbl_TubeLaser[[#This Row],[Total hours]]*tbl_TubeLaser[[#This Row],[% Complete]])</f>
        <v>#DIV/0!</v>
      </c>
      <c r="N179" s="31"/>
      <c r="P179" s="28" t="e">
        <f>tbl_TubeLaser[[#This Row],[Mat. Qty]]*tbl_TubeLaser[[#This Row],[% Complete]]</f>
        <v>#DIV/0!</v>
      </c>
      <c r="R179" s="32" t="str">
        <f>IFERROR(tbl_TubeLaser[[#This Row],[Qty Complete]]/tbl_TubeLaser[[#This Row],[Total Hours Act]]*tbl_TubeLaser[[#This Row],['# of men Act]],"")</f>
        <v/>
      </c>
      <c r="T179"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79" s="35" t="str">
        <f>IFERROR((tbl_TubeLaser[[#This Row],[Adj. Total Hours]]+tbl_TubeLaser[[#This Row],[Est. Hours]])/(tbl_TubeLaser[[#This Row],[Total Hours Act]]+tbl_TubeLaser[[#This Row],[Act. Hours]]),"")</f>
        <v/>
      </c>
      <c r="Y179"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79" s="104" t="str">
        <f>IFERROR(tbl_TubeLaser[[#This Row],[Act. Mat. Qty]]-tbl_TubeLaser[[#This Row],[Adj. Mat. Qty]],"")</f>
        <v/>
      </c>
      <c r="AA179"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79" s="31"/>
      <c r="AD179" s="36"/>
    </row>
    <row r="180" spans="3:30" ht="25" customHeight="1">
      <c r="C180" s="28" t="str">
        <f>IF(tbl_TubeLaser[[#This Row],[Part'#]]="", "Batch", "Part")</f>
        <v>Batch</v>
      </c>
      <c r="G180" s="28"/>
      <c r="I180" s="70" t="e">
        <f>tbl_TubeLaser[[#This Row],[Qty Complete]]/tbl_TubeLaser[[#This Row],[Qty Required]]</f>
        <v>#DIV/0!</v>
      </c>
      <c r="L180" s="31">
        <f>IF(tbl_TubeLaser[[#This Row],[Job Type]]="Batch",0,tbl_TubeLaser[[#This Row],[Qty Required]]/tbl_TubeLaser[[#This Row],[PPH]]*tbl_TubeLaser[[#This Row],['# of men]])</f>
        <v>0</v>
      </c>
      <c r="M180" s="31" t="e">
        <f>IF(tbl_TubeLaser[[#This Row],[Job Type]]="Batch",tbl_TubeLaser[[#This Row],[Batch Hours]]*tbl_TubeLaser[[#This Row],[% Complete]],tbl_TubeLaser[[#This Row],[Total hours]]*tbl_TubeLaser[[#This Row],[% Complete]])</f>
        <v>#DIV/0!</v>
      </c>
      <c r="N180" s="31"/>
      <c r="P180" s="28" t="e">
        <f>tbl_TubeLaser[[#This Row],[Mat. Qty]]*tbl_TubeLaser[[#This Row],[% Complete]]</f>
        <v>#DIV/0!</v>
      </c>
      <c r="R180" s="32" t="str">
        <f>IFERROR(tbl_TubeLaser[[#This Row],[Qty Complete]]/tbl_TubeLaser[[#This Row],[Total Hours Act]]*tbl_TubeLaser[[#This Row],['# of men Act]],"")</f>
        <v/>
      </c>
      <c r="T180"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80" s="35" t="str">
        <f>IFERROR((tbl_TubeLaser[[#This Row],[Adj. Total Hours]]+tbl_TubeLaser[[#This Row],[Est. Hours]])/(tbl_TubeLaser[[#This Row],[Total Hours Act]]+tbl_TubeLaser[[#This Row],[Act. Hours]]),"")</f>
        <v/>
      </c>
      <c r="Y180"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80" s="104" t="str">
        <f>IFERROR(tbl_TubeLaser[[#This Row],[Act. Mat. Qty]]-tbl_TubeLaser[[#This Row],[Adj. Mat. Qty]],"")</f>
        <v/>
      </c>
      <c r="AA180"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80" s="31"/>
      <c r="AD180" s="36"/>
    </row>
    <row r="181" spans="3:30" ht="25" customHeight="1">
      <c r="C181" s="28" t="str">
        <f>IF(tbl_TubeLaser[[#This Row],[Part'#]]="", "Batch", "Part")</f>
        <v>Batch</v>
      </c>
      <c r="G181" s="28"/>
      <c r="I181" s="70" t="e">
        <f>tbl_TubeLaser[[#This Row],[Qty Complete]]/tbl_TubeLaser[[#This Row],[Qty Required]]</f>
        <v>#DIV/0!</v>
      </c>
      <c r="L181" s="31">
        <f>IF(tbl_TubeLaser[[#This Row],[Job Type]]="Batch",0,tbl_TubeLaser[[#This Row],[Qty Required]]/tbl_TubeLaser[[#This Row],[PPH]]*tbl_TubeLaser[[#This Row],['# of men]])</f>
        <v>0</v>
      </c>
      <c r="M181" s="31" t="e">
        <f>IF(tbl_TubeLaser[[#This Row],[Job Type]]="Batch",tbl_TubeLaser[[#This Row],[Batch Hours]]*tbl_TubeLaser[[#This Row],[% Complete]],tbl_TubeLaser[[#This Row],[Total hours]]*tbl_TubeLaser[[#This Row],[% Complete]])</f>
        <v>#DIV/0!</v>
      </c>
      <c r="N181" s="31"/>
      <c r="P181" s="28" t="e">
        <f>tbl_TubeLaser[[#This Row],[Mat. Qty]]*tbl_TubeLaser[[#This Row],[% Complete]]</f>
        <v>#DIV/0!</v>
      </c>
      <c r="R181" s="32" t="str">
        <f>IFERROR(tbl_TubeLaser[[#This Row],[Qty Complete]]/tbl_TubeLaser[[#This Row],[Total Hours Act]]*tbl_TubeLaser[[#This Row],['# of men Act]],"")</f>
        <v/>
      </c>
      <c r="T181"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81" s="35" t="str">
        <f>IFERROR((tbl_TubeLaser[[#This Row],[Adj. Total Hours]]+tbl_TubeLaser[[#This Row],[Est. Hours]])/(tbl_TubeLaser[[#This Row],[Total Hours Act]]+tbl_TubeLaser[[#This Row],[Act. Hours]]),"")</f>
        <v/>
      </c>
      <c r="Y181"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81" s="104" t="str">
        <f>IFERROR(tbl_TubeLaser[[#This Row],[Act. Mat. Qty]]-tbl_TubeLaser[[#This Row],[Adj. Mat. Qty]],"")</f>
        <v/>
      </c>
      <c r="AA181"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81" s="31"/>
      <c r="AD181" s="36"/>
    </row>
    <row r="182" spans="3:30" ht="25" customHeight="1">
      <c r="C182" s="28" t="str">
        <f>IF(tbl_TubeLaser[[#This Row],[Part'#]]="", "Batch", "Part")</f>
        <v>Batch</v>
      </c>
      <c r="G182" s="28"/>
      <c r="I182" s="70" t="e">
        <f>tbl_TubeLaser[[#This Row],[Qty Complete]]/tbl_TubeLaser[[#This Row],[Qty Required]]</f>
        <v>#DIV/0!</v>
      </c>
      <c r="L182" s="31">
        <f>IF(tbl_TubeLaser[[#This Row],[Job Type]]="Batch",0,tbl_TubeLaser[[#This Row],[Qty Required]]/tbl_TubeLaser[[#This Row],[PPH]]*tbl_TubeLaser[[#This Row],['# of men]])</f>
        <v>0</v>
      </c>
      <c r="M182" s="31" t="e">
        <f>IF(tbl_TubeLaser[[#This Row],[Job Type]]="Batch",tbl_TubeLaser[[#This Row],[Batch Hours]]*tbl_TubeLaser[[#This Row],[% Complete]],tbl_TubeLaser[[#This Row],[Total hours]]*tbl_TubeLaser[[#This Row],[% Complete]])</f>
        <v>#DIV/0!</v>
      </c>
      <c r="N182" s="31"/>
      <c r="P182" s="28" t="e">
        <f>tbl_TubeLaser[[#This Row],[Mat. Qty]]*tbl_TubeLaser[[#This Row],[% Complete]]</f>
        <v>#DIV/0!</v>
      </c>
      <c r="R182" s="32" t="str">
        <f>IFERROR(tbl_TubeLaser[[#This Row],[Qty Complete]]/tbl_TubeLaser[[#This Row],[Total Hours Act]]*tbl_TubeLaser[[#This Row],['# of men Act]],"")</f>
        <v/>
      </c>
      <c r="T182"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82" s="35" t="str">
        <f>IFERROR((tbl_TubeLaser[[#This Row],[Adj. Total Hours]]+tbl_TubeLaser[[#This Row],[Est. Hours]])/(tbl_TubeLaser[[#This Row],[Total Hours Act]]+tbl_TubeLaser[[#This Row],[Act. Hours]]),"")</f>
        <v/>
      </c>
      <c r="Y182"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82" s="104" t="str">
        <f>IFERROR(tbl_TubeLaser[[#This Row],[Act. Mat. Qty]]-tbl_TubeLaser[[#This Row],[Adj. Mat. Qty]],"")</f>
        <v/>
      </c>
      <c r="AA182"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82" s="31"/>
      <c r="AD182" s="36"/>
    </row>
    <row r="183" spans="3:30" ht="25" customHeight="1">
      <c r="C183" s="28" t="str">
        <f>IF(tbl_TubeLaser[[#This Row],[Part'#]]="", "Batch", "Part")</f>
        <v>Batch</v>
      </c>
      <c r="G183" s="28"/>
      <c r="I183" s="70" t="e">
        <f>tbl_TubeLaser[[#This Row],[Qty Complete]]/tbl_TubeLaser[[#This Row],[Qty Required]]</f>
        <v>#DIV/0!</v>
      </c>
      <c r="L183" s="31">
        <f>IF(tbl_TubeLaser[[#This Row],[Job Type]]="Batch",0,tbl_TubeLaser[[#This Row],[Qty Required]]/tbl_TubeLaser[[#This Row],[PPH]]*tbl_TubeLaser[[#This Row],['# of men]])</f>
        <v>0</v>
      </c>
      <c r="M183" s="31" t="e">
        <f>IF(tbl_TubeLaser[[#This Row],[Job Type]]="Batch",tbl_TubeLaser[[#This Row],[Batch Hours]]*tbl_TubeLaser[[#This Row],[% Complete]],tbl_TubeLaser[[#This Row],[Total hours]]*tbl_TubeLaser[[#This Row],[% Complete]])</f>
        <v>#DIV/0!</v>
      </c>
      <c r="N183" s="31"/>
      <c r="P183" s="28" t="e">
        <f>tbl_TubeLaser[[#This Row],[Mat. Qty]]*tbl_TubeLaser[[#This Row],[% Complete]]</f>
        <v>#DIV/0!</v>
      </c>
      <c r="R183" s="32" t="str">
        <f>IFERROR(tbl_TubeLaser[[#This Row],[Qty Complete]]/tbl_TubeLaser[[#This Row],[Total Hours Act]]*tbl_TubeLaser[[#This Row],['# of men Act]],"")</f>
        <v/>
      </c>
      <c r="T183"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83" s="35" t="str">
        <f>IFERROR((tbl_TubeLaser[[#This Row],[Adj. Total Hours]]+tbl_TubeLaser[[#This Row],[Est. Hours]])/(tbl_TubeLaser[[#This Row],[Total Hours Act]]+tbl_TubeLaser[[#This Row],[Act. Hours]]),"")</f>
        <v/>
      </c>
      <c r="Y183"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83" s="104" t="str">
        <f>IFERROR(tbl_TubeLaser[[#This Row],[Act. Mat. Qty]]-tbl_TubeLaser[[#This Row],[Adj. Mat. Qty]],"")</f>
        <v/>
      </c>
      <c r="AA183"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83" s="31"/>
      <c r="AD183" s="36"/>
    </row>
    <row r="184" spans="3:30" ht="25" customHeight="1">
      <c r="C184" s="28" t="str">
        <f>IF(tbl_TubeLaser[[#This Row],[Part'#]]="", "Batch", "Part")</f>
        <v>Batch</v>
      </c>
      <c r="G184" s="28"/>
      <c r="I184" s="70" t="e">
        <f>tbl_TubeLaser[[#This Row],[Qty Complete]]/tbl_TubeLaser[[#This Row],[Qty Required]]</f>
        <v>#DIV/0!</v>
      </c>
      <c r="L184" s="31">
        <f>IF(tbl_TubeLaser[[#This Row],[Job Type]]="Batch",0,tbl_TubeLaser[[#This Row],[Qty Required]]/tbl_TubeLaser[[#This Row],[PPH]]*tbl_TubeLaser[[#This Row],['# of men]])</f>
        <v>0</v>
      </c>
      <c r="M184" s="31" t="e">
        <f>IF(tbl_TubeLaser[[#This Row],[Job Type]]="Batch",tbl_TubeLaser[[#This Row],[Batch Hours]]*tbl_TubeLaser[[#This Row],[% Complete]],tbl_TubeLaser[[#This Row],[Total hours]]*tbl_TubeLaser[[#This Row],[% Complete]])</f>
        <v>#DIV/0!</v>
      </c>
      <c r="N184" s="31"/>
      <c r="P184" s="28" t="e">
        <f>tbl_TubeLaser[[#This Row],[Mat. Qty]]*tbl_TubeLaser[[#This Row],[% Complete]]</f>
        <v>#DIV/0!</v>
      </c>
      <c r="R184" s="32" t="str">
        <f>IFERROR(tbl_TubeLaser[[#This Row],[Qty Complete]]/tbl_TubeLaser[[#This Row],[Total Hours Act]]*tbl_TubeLaser[[#This Row],['# of men Act]],"")</f>
        <v/>
      </c>
      <c r="T184"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84" s="35" t="str">
        <f>IFERROR((tbl_TubeLaser[[#This Row],[Adj. Total Hours]]+tbl_TubeLaser[[#This Row],[Est. Hours]])/(tbl_TubeLaser[[#This Row],[Total Hours Act]]+tbl_TubeLaser[[#This Row],[Act. Hours]]),"")</f>
        <v/>
      </c>
      <c r="Y184"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84" s="104" t="str">
        <f>IFERROR(tbl_TubeLaser[[#This Row],[Act. Mat. Qty]]-tbl_TubeLaser[[#This Row],[Adj. Mat. Qty]],"")</f>
        <v/>
      </c>
      <c r="AA184"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84" s="31"/>
      <c r="AD184" s="36"/>
    </row>
    <row r="185" spans="3:30" ht="25" customHeight="1">
      <c r="C185" s="28" t="str">
        <f>IF(tbl_TubeLaser[[#This Row],[Part'#]]="", "Batch", "Part")</f>
        <v>Batch</v>
      </c>
      <c r="G185" s="28"/>
      <c r="I185" s="70" t="e">
        <f>tbl_TubeLaser[[#This Row],[Qty Complete]]/tbl_TubeLaser[[#This Row],[Qty Required]]</f>
        <v>#DIV/0!</v>
      </c>
      <c r="L185" s="31">
        <f>IF(tbl_TubeLaser[[#This Row],[Job Type]]="Batch",0,tbl_TubeLaser[[#This Row],[Qty Required]]/tbl_TubeLaser[[#This Row],[PPH]]*tbl_TubeLaser[[#This Row],['# of men]])</f>
        <v>0</v>
      </c>
      <c r="M185" s="31" t="e">
        <f>IF(tbl_TubeLaser[[#This Row],[Job Type]]="Batch",tbl_TubeLaser[[#This Row],[Batch Hours]]*tbl_TubeLaser[[#This Row],[% Complete]],tbl_TubeLaser[[#This Row],[Total hours]]*tbl_TubeLaser[[#This Row],[% Complete]])</f>
        <v>#DIV/0!</v>
      </c>
      <c r="N185" s="31"/>
      <c r="P185" s="28" t="e">
        <f>tbl_TubeLaser[[#This Row],[Mat. Qty]]*tbl_TubeLaser[[#This Row],[% Complete]]</f>
        <v>#DIV/0!</v>
      </c>
      <c r="R185" s="32" t="str">
        <f>IFERROR(tbl_TubeLaser[[#This Row],[Qty Complete]]/tbl_TubeLaser[[#This Row],[Total Hours Act]]*tbl_TubeLaser[[#This Row],['# of men Act]],"")</f>
        <v/>
      </c>
      <c r="T185"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85" s="35" t="str">
        <f>IFERROR((tbl_TubeLaser[[#This Row],[Adj. Total Hours]]+tbl_TubeLaser[[#This Row],[Est. Hours]])/(tbl_TubeLaser[[#This Row],[Total Hours Act]]+tbl_TubeLaser[[#This Row],[Act. Hours]]),"")</f>
        <v/>
      </c>
      <c r="Y185"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85" s="104" t="str">
        <f>IFERROR(tbl_TubeLaser[[#This Row],[Act. Mat. Qty]]-tbl_TubeLaser[[#This Row],[Adj. Mat. Qty]],"")</f>
        <v/>
      </c>
      <c r="AA185"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85" s="31"/>
      <c r="AD185" s="36"/>
    </row>
    <row r="186" spans="3:30" ht="25" customHeight="1">
      <c r="C186" s="28" t="str">
        <f>IF(tbl_TubeLaser[[#This Row],[Part'#]]="", "Batch", "Part")</f>
        <v>Batch</v>
      </c>
      <c r="G186" s="28"/>
      <c r="I186" s="70" t="e">
        <f>tbl_TubeLaser[[#This Row],[Qty Complete]]/tbl_TubeLaser[[#This Row],[Qty Required]]</f>
        <v>#DIV/0!</v>
      </c>
      <c r="L186" s="31">
        <f>IF(tbl_TubeLaser[[#This Row],[Job Type]]="Batch",0,tbl_TubeLaser[[#This Row],[Qty Required]]/tbl_TubeLaser[[#This Row],[PPH]]*tbl_TubeLaser[[#This Row],['# of men]])</f>
        <v>0</v>
      </c>
      <c r="M186" s="31" t="e">
        <f>IF(tbl_TubeLaser[[#This Row],[Job Type]]="Batch",tbl_TubeLaser[[#This Row],[Batch Hours]]*tbl_TubeLaser[[#This Row],[% Complete]],tbl_TubeLaser[[#This Row],[Total hours]]*tbl_TubeLaser[[#This Row],[% Complete]])</f>
        <v>#DIV/0!</v>
      </c>
      <c r="N186" s="31"/>
      <c r="P186" s="28" t="e">
        <f>tbl_TubeLaser[[#This Row],[Mat. Qty]]*tbl_TubeLaser[[#This Row],[% Complete]]</f>
        <v>#DIV/0!</v>
      </c>
      <c r="R186" s="32" t="str">
        <f>IFERROR(tbl_TubeLaser[[#This Row],[Qty Complete]]/tbl_TubeLaser[[#This Row],[Total Hours Act]]*tbl_TubeLaser[[#This Row],['# of men Act]],"")</f>
        <v/>
      </c>
      <c r="T186"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86" s="35" t="str">
        <f>IFERROR((tbl_TubeLaser[[#This Row],[Adj. Total Hours]]+tbl_TubeLaser[[#This Row],[Est. Hours]])/(tbl_TubeLaser[[#This Row],[Total Hours Act]]+tbl_TubeLaser[[#This Row],[Act. Hours]]),"")</f>
        <v/>
      </c>
      <c r="Y186"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86" s="104" t="str">
        <f>IFERROR(tbl_TubeLaser[[#This Row],[Act. Mat. Qty]]-tbl_TubeLaser[[#This Row],[Adj. Mat. Qty]],"")</f>
        <v/>
      </c>
      <c r="AA186"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86" s="31"/>
      <c r="AD186" s="36"/>
    </row>
    <row r="187" spans="3:30" ht="25" customHeight="1">
      <c r="C187" s="28" t="str">
        <f>IF(tbl_TubeLaser[[#This Row],[Part'#]]="", "Batch", "Part")</f>
        <v>Batch</v>
      </c>
      <c r="G187" s="28"/>
      <c r="I187" s="70" t="e">
        <f>tbl_TubeLaser[[#This Row],[Qty Complete]]/tbl_TubeLaser[[#This Row],[Qty Required]]</f>
        <v>#DIV/0!</v>
      </c>
      <c r="L187" s="31">
        <f>IF(tbl_TubeLaser[[#This Row],[Job Type]]="Batch",0,tbl_TubeLaser[[#This Row],[Qty Required]]/tbl_TubeLaser[[#This Row],[PPH]]*tbl_TubeLaser[[#This Row],['# of men]])</f>
        <v>0</v>
      </c>
      <c r="M187" s="31" t="e">
        <f>IF(tbl_TubeLaser[[#This Row],[Job Type]]="Batch",tbl_TubeLaser[[#This Row],[Batch Hours]]*tbl_TubeLaser[[#This Row],[% Complete]],tbl_TubeLaser[[#This Row],[Total hours]]*tbl_TubeLaser[[#This Row],[% Complete]])</f>
        <v>#DIV/0!</v>
      </c>
      <c r="N187" s="31"/>
      <c r="P187" s="28" t="e">
        <f>tbl_TubeLaser[[#This Row],[Mat. Qty]]*tbl_TubeLaser[[#This Row],[% Complete]]</f>
        <v>#DIV/0!</v>
      </c>
      <c r="R187" s="32" t="str">
        <f>IFERROR(tbl_TubeLaser[[#This Row],[Qty Complete]]/tbl_TubeLaser[[#This Row],[Total Hours Act]]*tbl_TubeLaser[[#This Row],['# of men Act]],"")</f>
        <v/>
      </c>
      <c r="T187"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87" s="35" t="str">
        <f>IFERROR((tbl_TubeLaser[[#This Row],[Adj. Total Hours]]+tbl_TubeLaser[[#This Row],[Est. Hours]])/(tbl_TubeLaser[[#This Row],[Total Hours Act]]+tbl_TubeLaser[[#This Row],[Act. Hours]]),"")</f>
        <v/>
      </c>
      <c r="Y187"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87" s="104" t="str">
        <f>IFERROR(tbl_TubeLaser[[#This Row],[Act. Mat. Qty]]-tbl_TubeLaser[[#This Row],[Adj. Mat. Qty]],"")</f>
        <v/>
      </c>
      <c r="AA187"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87" s="31"/>
      <c r="AD187" s="36"/>
    </row>
    <row r="188" spans="3:30" ht="25" customHeight="1">
      <c r="C188" s="28" t="str">
        <f>IF(tbl_TubeLaser[[#This Row],[Part'#]]="", "Batch", "Part")</f>
        <v>Batch</v>
      </c>
      <c r="G188" s="28"/>
      <c r="I188" s="70" t="e">
        <f>tbl_TubeLaser[[#This Row],[Qty Complete]]/tbl_TubeLaser[[#This Row],[Qty Required]]</f>
        <v>#DIV/0!</v>
      </c>
      <c r="L188" s="31">
        <f>IF(tbl_TubeLaser[[#This Row],[Job Type]]="Batch",0,tbl_TubeLaser[[#This Row],[Qty Required]]/tbl_TubeLaser[[#This Row],[PPH]]*tbl_TubeLaser[[#This Row],['# of men]])</f>
        <v>0</v>
      </c>
      <c r="M188" s="31" t="e">
        <f>IF(tbl_TubeLaser[[#This Row],[Job Type]]="Batch",tbl_TubeLaser[[#This Row],[Batch Hours]]*tbl_TubeLaser[[#This Row],[% Complete]],tbl_TubeLaser[[#This Row],[Total hours]]*tbl_TubeLaser[[#This Row],[% Complete]])</f>
        <v>#DIV/0!</v>
      </c>
      <c r="N188" s="31"/>
      <c r="P188" s="28" t="e">
        <f>tbl_TubeLaser[[#This Row],[Mat. Qty]]*tbl_TubeLaser[[#This Row],[% Complete]]</f>
        <v>#DIV/0!</v>
      </c>
      <c r="R188" s="32" t="str">
        <f>IFERROR(tbl_TubeLaser[[#This Row],[Qty Complete]]/tbl_TubeLaser[[#This Row],[Total Hours Act]]*tbl_TubeLaser[[#This Row],['# of men Act]],"")</f>
        <v/>
      </c>
      <c r="T188"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88" s="35" t="str">
        <f>IFERROR((tbl_TubeLaser[[#This Row],[Adj. Total Hours]]+tbl_TubeLaser[[#This Row],[Est. Hours]])/(tbl_TubeLaser[[#This Row],[Total Hours Act]]+tbl_TubeLaser[[#This Row],[Act. Hours]]),"")</f>
        <v/>
      </c>
      <c r="Y188"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88" s="104" t="str">
        <f>IFERROR(tbl_TubeLaser[[#This Row],[Act. Mat. Qty]]-tbl_TubeLaser[[#This Row],[Adj. Mat. Qty]],"")</f>
        <v/>
      </c>
      <c r="AA188"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88" s="31"/>
      <c r="AD188" s="36"/>
    </row>
    <row r="189" spans="3:30" ht="25" customHeight="1">
      <c r="C189" s="28" t="str">
        <f>IF(tbl_TubeLaser[[#This Row],[Part'#]]="", "Batch", "Part")</f>
        <v>Batch</v>
      </c>
      <c r="G189" s="28"/>
      <c r="I189" s="70" t="e">
        <f>tbl_TubeLaser[[#This Row],[Qty Complete]]/tbl_TubeLaser[[#This Row],[Qty Required]]</f>
        <v>#DIV/0!</v>
      </c>
      <c r="L189" s="31">
        <f>IF(tbl_TubeLaser[[#This Row],[Job Type]]="Batch",0,tbl_TubeLaser[[#This Row],[Qty Required]]/tbl_TubeLaser[[#This Row],[PPH]]*tbl_TubeLaser[[#This Row],['# of men]])</f>
        <v>0</v>
      </c>
      <c r="M189" s="31" t="e">
        <f>IF(tbl_TubeLaser[[#This Row],[Job Type]]="Batch",tbl_TubeLaser[[#This Row],[Batch Hours]]*tbl_TubeLaser[[#This Row],[% Complete]],tbl_TubeLaser[[#This Row],[Total hours]]*tbl_TubeLaser[[#This Row],[% Complete]])</f>
        <v>#DIV/0!</v>
      </c>
      <c r="N189" s="31"/>
      <c r="P189" s="28" t="e">
        <f>tbl_TubeLaser[[#This Row],[Mat. Qty]]*tbl_TubeLaser[[#This Row],[% Complete]]</f>
        <v>#DIV/0!</v>
      </c>
      <c r="R189" s="32" t="str">
        <f>IFERROR(tbl_TubeLaser[[#This Row],[Qty Complete]]/tbl_TubeLaser[[#This Row],[Total Hours Act]]*tbl_TubeLaser[[#This Row],['# of men Act]],"")</f>
        <v/>
      </c>
      <c r="T189"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89" s="35" t="str">
        <f>IFERROR((tbl_TubeLaser[[#This Row],[Adj. Total Hours]]+tbl_TubeLaser[[#This Row],[Est. Hours]])/(tbl_TubeLaser[[#This Row],[Total Hours Act]]+tbl_TubeLaser[[#This Row],[Act. Hours]]),"")</f>
        <v/>
      </c>
      <c r="Y189"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89" s="104" t="str">
        <f>IFERROR(tbl_TubeLaser[[#This Row],[Act. Mat. Qty]]-tbl_TubeLaser[[#This Row],[Adj. Mat. Qty]],"")</f>
        <v/>
      </c>
      <c r="AA189"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89" s="31"/>
      <c r="AD189" s="36"/>
    </row>
    <row r="190" spans="3:30" ht="25" customHeight="1">
      <c r="C190" s="28" t="str">
        <f>IF(tbl_TubeLaser[[#This Row],[Part'#]]="", "Batch", "Part")</f>
        <v>Batch</v>
      </c>
      <c r="G190" s="28"/>
      <c r="I190" s="70" t="e">
        <f>tbl_TubeLaser[[#This Row],[Qty Complete]]/tbl_TubeLaser[[#This Row],[Qty Required]]</f>
        <v>#DIV/0!</v>
      </c>
      <c r="L190" s="31">
        <f>IF(tbl_TubeLaser[[#This Row],[Job Type]]="Batch",0,tbl_TubeLaser[[#This Row],[Qty Required]]/tbl_TubeLaser[[#This Row],[PPH]]*tbl_TubeLaser[[#This Row],['# of men]])</f>
        <v>0</v>
      </c>
      <c r="M190" s="31" t="e">
        <f>IF(tbl_TubeLaser[[#This Row],[Job Type]]="Batch",tbl_TubeLaser[[#This Row],[Batch Hours]]*tbl_TubeLaser[[#This Row],[% Complete]],tbl_TubeLaser[[#This Row],[Total hours]]*tbl_TubeLaser[[#This Row],[% Complete]])</f>
        <v>#DIV/0!</v>
      </c>
      <c r="N190" s="31"/>
      <c r="P190" s="28" t="e">
        <f>tbl_TubeLaser[[#This Row],[Mat. Qty]]*tbl_TubeLaser[[#This Row],[% Complete]]</f>
        <v>#DIV/0!</v>
      </c>
      <c r="R190" s="32" t="str">
        <f>IFERROR(tbl_TubeLaser[[#This Row],[Qty Complete]]/tbl_TubeLaser[[#This Row],[Total Hours Act]]*tbl_TubeLaser[[#This Row],['# of men Act]],"")</f>
        <v/>
      </c>
      <c r="T190"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90" s="35" t="str">
        <f>IFERROR((tbl_TubeLaser[[#This Row],[Adj. Total Hours]]+tbl_TubeLaser[[#This Row],[Est. Hours]])/(tbl_TubeLaser[[#This Row],[Total Hours Act]]+tbl_TubeLaser[[#This Row],[Act. Hours]]),"")</f>
        <v/>
      </c>
      <c r="Y190"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90" s="104" t="str">
        <f>IFERROR(tbl_TubeLaser[[#This Row],[Act. Mat. Qty]]-tbl_TubeLaser[[#This Row],[Adj. Mat. Qty]],"")</f>
        <v/>
      </c>
      <c r="AA190"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90" s="31"/>
      <c r="AD190" s="36"/>
    </row>
    <row r="191" spans="3:30" ht="25" customHeight="1">
      <c r="C191" s="28" t="str">
        <f>IF(tbl_TubeLaser[[#This Row],[Part'#]]="", "Batch", "Part")</f>
        <v>Batch</v>
      </c>
      <c r="G191" s="28"/>
      <c r="I191" s="70" t="e">
        <f>tbl_TubeLaser[[#This Row],[Qty Complete]]/tbl_TubeLaser[[#This Row],[Qty Required]]</f>
        <v>#DIV/0!</v>
      </c>
      <c r="L191" s="31">
        <f>IF(tbl_TubeLaser[[#This Row],[Job Type]]="Batch",0,tbl_TubeLaser[[#This Row],[Qty Required]]/tbl_TubeLaser[[#This Row],[PPH]]*tbl_TubeLaser[[#This Row],['# of men]])</f>
        <v>0</v>
      </c>
      <c r="M191" s="31" t="e">
        <f>IF(tbl_TubeLaser[[#This Row],[Job Type]]="Batch",tbl_TubeLaser[[#This Row],[Batch Hours]]*tbl_TubeLaser[[#This Row],[% Complete]],tbl_TubeLaser[[#This Row],[Total hours]]*tbl_TubeLaser[[#This Row],[% Complete]])</f>
        <v>#DIV/0!</v>
      </c>
      <c r="N191" s="31"/>
      <c r="P191" s="28" t="e">
        <f>tbl_TubeLaser[[#This Row],[Mat. Qty]]*tbl_TubeLaser[[#This Row],[% Complete]]</f>
        <v>#DIV/0!</v>
      </c>
      <c r="R191" s="32" t="str">
        <f>IFERROR(tbl_TubeLaser[[#This Row],[Qty Complete]]/tbl_TubeLaser[[#This Row],[Total Hours Act]]*tbl_TubeLaser[[#This Row],['# of men Act]],"")</f>
        <v/>
      </c>
      <c r="T191"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91" s="35" t="str">
        <f>IFERROR((tbl_TubeLaser[[#This Row],[Adj. Total Hours]]+tbl_TubeLaser[[#This Row],[Est. Hours]])/(tbl_TubeLaser[[#This Row],[Total Hours Act]]+tbl_TubeLaser[[#This Row],[Act. Hours]]),"")</f>
        <v/>
      </c>
      <c r="Y191"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91" s="104" t="str">
        <f>IFERROR(tbl_TubeLaser[[#This Row],[Act. Mat. Qty]]-tbl_TubeLaser[[#This Row],[Adj. Mat. Qty]],"")</f>
        <v/>
      </c>
      <c r="AA191"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91" s="31"/>
      <c r="AD191" s="36"/>
    </row>
    <row r="192" spans="3:30" ht="25" customHeight="1">
      <c r="C192" s="28" t="str">
        <f>IF(tbl_TubeLaser[[#This Row],[Part'#]]="", "Batch", "Part")</f>
        <v>Batch</v>
      </c>
      <c r="G192" s="28"/>
      <c r="I192" s="70" t="e">
        <f>tbl_TubeLaser[[#This Row],[Qty Complete]]/tbl_TubeLaser[[#This Row],[Qty Required]]</f>
        <v>#DIV/0!</v>
      </c>
      <c r="L192" s="31">
        <f>IF(tbl_TubeLaser[[#This Row],[Job Type]]="Batch",0,tbl_TubeLaser[[#This Row],[Qty Required]]/tbl_TubeLaser[[#This Row],[PPH]]*tbl_TubeLaser[[#This Row],['# of men]])</f>
        <v>0</v>
      </c>
      <c r="M192" s="31" t="e">
        <f>IF(tbl_TubeLaser[[#This Row],[Job Type]]="Batch",tbl_TubeLaser[[#This Row],[Batch Hours]]*tbl_TubeLaser[[#This Row],[% Complete]],tbl_TubeLaser[[#This Row],[Total hours]]*tbl_TubeLaser[[#This Row],[% Complete]])</f>
        <v>#DIV/0!</v>
      </c>
      <c r="N192" s="31"/>
      <c r="P192" s="28" t="e">
        <f>tbl_TubeLaser[[#This Row],[Mat. Qty]]*tbl_TubeLaser[[#This Row],[% Complete]]</f>
        <v>#DIV/0!</v>
      </c>
      <c r="R192" s="32" t="str">
        <f>IFERROR(tbl_TubeLaser[[#This Row],[Qty Complete]]/tbl_TubeLaser[[#This Row],[Total Hours Act]]*tbl_TubeLaser[[#This Row],['# of men Act]],"")</f>
        <v/>
      </c>
      <c r="T192"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92" s="35" t="str">
        <f>IFERROR((tbl_TubeLaser[[#This Row],[Adj. Total Hours]]+tbl_TubeLaser[[#This Row],[Est. Hours]])/(tbl_TubeLaser[[#This Row],[Total Hours Act]]+tbl_TubeLaser[[#This Row],[Act. Hours]]),"")</f>
        <v/>
      </c>
      <c r="Y192"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92" s="104" t="str">
        <f>IFERROR(tbl_TubeLaser[[#This Row],[Act. Mat. Qty]]-tbl_TubeLaser[[#This Row],[Adj. Mat. Qty]],"")</f>
        <v/>
      </c>
      <c r="AA192"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92" s="31"/>
      <c r="AD192" s="36"/>
    </row>
    <row r="193" spans="3:30" ht="25" customHeight="1">
      <c r="C193" s="28" t="str">
        <f>IF(tbl_TubeLaser[[#This Row],[Part'#]]="", "Batch", "Part")</f>
        <v>Batch</v>
      </c>
      <c r="G193" s="28"/>
      <c r="I193" s="70" t="e">
        <f>tbl_TubeLaser[[#This Row],[Qty Complete]]/tbl_TubeLaser[[#This Row],[Qty Required]]</f>
        <v>#DIV/0!</v>
      </c>
      <c r="L193" s="31">
        <f>IF(tbl_TubeLaser[[#This Row],[Job Type]]="Batch",0,tbl_TubeLaser[[#This Row],[Qty Required]]/tbl_TubeLaser[[#This Row],[PPH]]*tbl_TubeLaser[[#This Row],['# of men]])</f>
        <v>0</v>
      </c>
      <c r="M193" s="31" t="e">
        <f>IF(tbl_TubeLaser[[#This Row],[Job Type]]="Batch",tbl_TubeLaser[[#This Row],[Batch Hours]]*tbl_TubeLaser[[#This Row],[% Complete]],tbl_TubeLaser[[#This Row],[Total hours]]*tbl_TubeLaser[[#This Row],[% Complete]])</f>
        <v>#DIV/0!</v>
      </c>
      <c r="N193" s="31"/>
      <c r="P193" s="28" t="e">
        <f>tbl_TubeLaser[[#This Row],[Mat. Qty]]*tbl_TubeLaser[[#This Row],[% Complete]]</f>
        <v>#DIV/0!</v>
      </c>
      <c r="R193" s="32" t="str">
        <f>IFERROR(tbl_TubeLaser[[#This Row],[Qty Complete]]/tbl_TubeLaser[[#This Row],[Total Hours Act]]*tbl_TubeLaser[[#This Row],['# of men Act]],"")</f>
        <v/>
      </c>
      <c r="T193"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93" s="35" t="str">
        <f>IFERROR((tbl_TubeLaser[[#This Row],[Adj. Total Hours]]+tbl_TubeLaser[[#This Row],[Est. Hours]])/(tbl_TubeLaser[[#This Row],[Total Hours Act]]+tbl_TubeLaser[[#This Row],[Act. Hours]]),"")</f>
        <v/>
      </c>
      <c r="Y193"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93" s="104" t="str">
        <f>IFERROR(tbl_TubeLaser[[#This Row],[Act. Mat. Qty]]-tbl_TubeLaser[[#This Row],[Adj. Mat. Qty]],"")</f>
        <v/>
      </c>
      <c r="AA193"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93" s="31"/>
      <c r="AD193" s="36"/>
    </row>
    <row r="194" spans="3:30" ht="25" customHeight="1">
      <c r="C194" s="28" t="str">
        <f>IF(tbl_TubeLaser[[#This Row],[Part'#]]="", "Batch", "Part")</f>
        <v>Batch</v>
      </c>
      <c r="G194" s="28"/>
      <c r="I194" s="70" t="e">
        <f>tbl_TubeLaser[[#This Row],[Qty Complete]]/tbl_TubeLaser[[#This Row],[Qty Required]]</f>
        <v>#DIV/0!</v>
      </c>
      <c r="L194" s="31">
        <f>IF(tbl_TubeLaser[[#This Row],[Job Type]]="Batch",0,tbl_TubeLaser[[#This Row],[Qty Required]]/tbl_TubeLaser[[#This Row],[PPH]]*tbl_TubeLaser[[#This Row],['# of men]])</f>
        <v>0</v>
      </c>
      <c r="M194" s="31" t="e">
        <f>IF(tbl_TubeLaser[[#This Row],[Job Type]]="Batch",tbl_TubeLaser[[#This Row],[Batch Hours]]*tbl_TubeLaser[[#This Row],[% Complete]],tbl_TubeLaser[[#This Row],[Total hours]]*tbl_TubeLaser[[#This Row],[% Complete]])</f>
        <v>#DIV/0!</v>
      </c>
      <c r="N194" s="31"/>
      <c r="P194" s="28" t="e">
        <f>tbl_TubeLaser[[#This Row],[Mat. Qty]]*tbl_TubeLaser[[#This Row],[% Complete]]</f>
        <v>#DIV/0!</v>
      </c>
      <c r="R194" s="32" t="str">
        <f>IFERROR(tbl_TubeLaser[[#This Row],[Qty Complete]]/tbl_TubeLaser[[#This Row],[Total Hours Act]]*tbl_TubeLaser[[#This Row],['# of men Act]],"")</f>
        <v/>
      </c>
      <c r="T194"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94" s="35" t="str">
        <f>IFERROR((tbl_TubeLaser[[#This Row],[Adj. Total Hours]]+tbl_TubeLaser[[#This Row],[Est. Hours]])/(tbl_TubeLaser[[#This Row],[Total Hours Act]]+tbl_TubeLaser[[#This Row],[Act. Hours]]),"")</f>
        <v/>
      </c>
      <c r="Y194"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94" s="104" t="str">
        <f>IFERROR(tbl_TubeLaser[[#This Row],[Act. Mat. Qty]]-tbl_TubeLaser[[#This Row],[Adj. Mat. Qty]],"")</f>
        <v/>
      </c>
      <c r="AA194"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94" s="31"/>
      <c r="AD194" s="36"/>
    </row>
    <row r="195" spans="3:30" ht="25" customHeight="1">
      <c r="C195" s="28" t="str">
        <f>IF(tbl_TubeLaser[[#This Row],[Part'#]]="", "Batch", "Part")</f>
        <v>Batch</v>
      </c>
      <c r="G195" s="28"/>
      <c r="I195" s="70" t="e">
        <f>tbl_TubeLaser[[#This Row],[Qty Complete]]/tbl_TubeLaser[[#This Row],[Qty Required]]</f>
        <v>#DIV/0!</v>
      </c>
      <c r="L195" s="31">
        <f>IF(tbl_TubeLaser[[#This Row],[Job Type]]="Batch",0,tbl_TubeLaser[[#This Row],[Qty Required]]/tbl_TubeLaser[[#This Row],[PPH]]*tbl_TubeLaser[[#This Row],['# of men]])</f>
        <v>0</v>
      </c>
      <c r="M195" s="31" t="e">
        <f>IF(tbl_TubeLaser[[#This Row],[Job Type]]="Batch",tbl_TubeLaser[[#This Row],[Batch Hours]]*tbl_TubeLaser[[#This Row],[% Complete]],tbl_TubeLaser[[#This Row],[Total hours]]*tbl_TubeLaser[[#This Row],[% Complete]])</f>
        <v>#DIV/0!</v>
      </c>
      <c r="N195" s="31"/>
      <c r="P195" s="28" t="e">
        <f>tbl_TubeLaser[[#This Row],[Mat. Qty]]*tbl_TubeLaser[[#This Row],[% Complete]]</f>
        <v>#DIV/0!</v>
      </c>
      <c r="R195" s="32" t="str">
        <f>IFERROR(tbl_TubeLaser[[#This Row],[Qty Complete]]/tbl_TubeLaser[[#This Row],[Total Hours Act]]*tbl_TubeLaser[[#This Row],['# of men Act]],"")</f>
        <v/>
      </c>
      <c r="T195"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95" s="35" t="str">
        <f>IFERROR((tbl_TubeLaser[[#This Row],[Adj. Total Hours]]+tbl_TubeLaser[[#This Row],[Est. Hours]])/(tbl_TubeLaser[[#This Row],[Total Hours Act]]+tbl_TubeLaser[[#This Row],[Act. Hours]]),"")</f>
        <v/>
      </c>
      <c r="Y195"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95" s="104" t="str">
        <f>IFERROR(tbl_TubeLaser[[#This Row],[Act. Mat. Qty]]-tbl_TubeLaser[[#This Row],[Adj. Mat. Qty]],"")</f>
        <v/>
      </c>
      <c r="AA195"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95" s="31"/>
      <c r="AD195" s="36"/>
    </row>
    <row r="196" spans="3:30" ht="25" customHeight="1">
      <c r="C196" s="28" t="str">
        <f>IF(tbl_TubeLaser[[#This Row],[Part'#]]="", "Batch", "Part")</f>
        <v>Batch</v>
      </c>
      <c r="G196" s="28"/>
      <c r="I196" s="70" t="e">
        <f>tbl_TubeLaser[[#This Row],[Qty Complete]]/tbl_TubeLaser[[#This Row],[Qty Required]]</f>
        <v>#DIV/0!</v>
      </c>
      <c r="L196" s="31">
        <f>IF(tbl_TubeLaser[[#This Row],[Job Type]]="Batch",0,tbl_TubeLaser[[#This Row],[Qty Required]]/tbl_TubeLaser[[#This Row],[PPH]]*tbl_TubeLaser[[#This Row],['# of men]])</f>
        <v>0</v>
      </c>
      <c r="M196" s="31" t="e">
        <f>IF(tbl_TubeLaser[[#This Row],[Job Type]]="Batch",tbl_TubeLaser[[#This Row],[Batch Hours]]*tbl_TubeLaser[[#This Row],[% Complete]],tbl_TubeLaser[[#This Row],[Total hours]]*tbl_TubeLaser[[#This Row],[% Complete]])</f>
        <v>#DIV/0!</v>
      </c>
      <c r="N196" s="31"/>
      <c r="P196" s="28" t="e">
        <f>tbl_TubeLaser[[#This Row],[Mat. Qty]]*tbl_TubeLaser[[#This Row],[% Complete]]</f>
        <v>#DIV/0!</v>
      </c>
      <c r="R196" s="32" t="str">
        <f>IFERROR(tbl_TubeLaser[[#This Row],[Qty Complete]]/tbl_TubeLaser[[#This Row],[Total Hours Act]]*tbl_TubeLaser[[#This Row],['# of men Act]],"")</f>
        <v/>
      </c>
      <c r="T196"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96" s="35" t="str">
        <f>IFERROR((tbl_TubeLaser[[#This Row],[Adj. Total Hours]]+tbl_TubeLaser[[#This Row],[Est. Hours]])/(tbl_TubeLaser[[#This Row],[Total Hours Act]]+tbl_TubeLaser[[#This Row],[Act. Hours]]),"")</f>
        <v/>
      </c>
      <c r="Y196"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96" s="104" t="str">
        <f>IFERROR(tbl_TubeLaser[[#This Row],[Act. Mat. Qty]]-tbl_TubeLaser[[#This Row],[Adj. Mat. Qty]],"")</f>
        <v/>
      </c>
      <c r="AA196"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96" s="31"/>
      <c r="AD196" s="36"/>
    </row>
    <row r="197" spans="3:30" ht="25" customHeight="1">
      <c r="C197" s="28" t="str">
        <f>IF(tbl_TubeLaser[[#This Row],[Part'#]]="", "Batch", "Part")</f>
        <v>Batch</v>
      </c>
      <c r="G197" s="28"/>
      <c r="I197" s="70" t="e">
        <f>tbl_TubeLaser[[#This Row],[Qty Complete]]/tbl_TubeLaser[[#This Row],[Qty Required]]</f>
        <v>#DIV/0!</v>
      </c>
      <c r="L197" s="31">
        <f>IF(tbl_TubeLaser[[#This Row],[Job Type]]="Batch",0,tbl_TubeLaser[[#This Row],[Qty Required]]/tbl_TubeLaser[[#This Row],[PPH]]*tbl_TubeLaser[[#This Row],['# of men]])</f>
        <v>0</v>
      </c>
      <c r="M197" s="31" t="e">
        <f>IF(tbl_TubeLaser[[#This Row],[Job Type]]="Batch",tbl_TubeLaser[[#This Row],[Batch Hours]]*tbl_TubeLaser[[#This Row],[% Complete]],tbl_TubeLaser[[#This Row],[Total hours]]*tbl_TubeLaser[[#This Row],[% Complete]])</f>
        <v>#DIV/0!</v>
      </c>
      <c r="N197" s="31"/>
      <c r="P197" s="28" t="e">
        <f>tbl_TubeLaser[[#This Row],[Mat. Qty]]*tbl_TubeLaser[[#This Row],[% Complete]]</f>
        <v>#DIV/0!</v>
      </c>
      <c r="R197" s="32" t="str">
        <f>IFERROR(tbl_TubeLaser[[#This Row],[Qty Complete]]/tbl_TubeLaser[[#This Row],[Total Hours Act]]*tbl_TubeLaser[[#This Row],['# of men Act]],"")</f>
        <v/>
      </c>
      <c r="T197"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97" s="35" t="str">
        <f>IFERROR((tbl_TubeLaser[[#This Row],[Adj. Total Hours]]+tbl_TubeLaser[[#This Row],[Est. Hours]])/(tbl_TubeLaser[[#This Row],[Total Hours Act]]+tbl_TubeLaser[[#This Row],[Act. Hours]]),"")</f>
        <v/>
      </c>
      <c r="Y197"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97" s="104" t="str">
        <f>IFERROR(tbl_TubeLaser[[#This Row],[Act. Mat. Qty]]-tbl_TubeLaser[[#This Row],[Adj. Mat. Qty]],"")</f>
        <v/>
      </c>
      <c r="AA197"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97" s="31"/>
      <c r="AD197" s="36"/>
    </row>
    <row r="198" spans="3:30" ht="25" customHeight="1">
      <c r="C198" s="28" t="str">
        <f>IF(tbl_TubeLaser[[#This Row],[Part'#]]="", "Batch", "Part")</f>
        <v>Batch</v>
      </c>
      <c r="G198" s="28"/>
      <c r="I198" s="70" t="e">
        <f>tbl_TubeLaser[[#This Row],[Qty Complete]]/tbl_TubeLaser[[#This Row],[Qty Required]]</f>
        <v>#DIV/0!</v>
      </c>
      <c r="L198" s="31">
        <f>IF(tbl_TubeLaser[[#This Row],[Job Type]]="Batch",0,tbl_TubeLaser[[#This Row],[Qty Required]]/tbl_TubeLaser[[#This Row],[PPH]]*tbl_TubeLaser[[#This Row],['# of men]])</f>
        <v>0</v>
      </c>
      <c r="M198" s="31" t="e">
        <f>IF(tbl_TubeLaser[[#This Row],[Job Type]]="Batch",tbl_TubeLaser[[#This Row],[Batch Hours]]*tbl_TubeLaser[[#This Row],[% Complete]],tbl_TubeLaser[[#This Row],[Total hours]]*tbl_TubeLaser[[#This Row],[% Complete]])</f>
        <v>#DIV/0!</v>
      </c>
      <c r="N198" s="31"/>
      <c r="P198" s="28" t="e">
        <f>tbl_TubeLaser[[#This Row],[Mat. Qty]]*tbl_TubeLaser[[#This Row],[% Complete]]</f>
        <v>#DIV/0!</v>
      </c>
      <c r="R198" s="32" t="str">
        <f>IFERROR(tbl_TubeLaser[[#This Row],[Qty Complete]]/tbl_TubeLaser[[#This Row],[Total Hours Act]]*tbl_TubeLaser[[#This Row],['# of men Act]],"")</f>
        <v/>
      </c>
      <c r="T198"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98" s="35" t="str">
        <f>IFERROR((tbl_TubeLaser[[#This Row],[Adj. Total Hours]]+tbl_TubeLaser[[#This Row],[Est. Hours]])/(tbl_TubeLaser[[#This Row],[Total Hours Act]]+tbl_TubeLaser[[#This Row],[Act. Hours]]),"")</f>
        <v/>
      </c>
      <c r="Y198"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98" s="104" t="str">
        <f>IFERROR(tbl_TubeLaser[[#This Row],[Act. Mat. Qty]]-tbl_TubeLaser[[#This Row],[Adj. Mat. Qty]],"")</f>
        <v/>
      </c>
      <c r="AA198"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98" s="31"/>
      <c r="AD198" s="36"/>
    </row>
    <row r="199" spans="3:30" ht="25" customHeight="1">
      <c r="C199" s="28" t="str">
        <f>IF(tbl_TubeLaser[[#This Row],[Part'#]]="", "Batch", "Part")</f>
        <v>Batch</v>
      </c>
      <c r="G199" s="28"/>
      <c r="I199" s="70" t="e">
        <f>tbl_TubeLaser[[#This Row],[Qty Complete]]/tbl_TubeLaser[[#This Row],[Qty Required]]</f>
        <v>#DIV/0!</v>
      </c>
      <c r="L199" s="31">
        <f>IF(tbl_TubeLaser[[#This Row],[Job Type]]="Batch",0,tbl_TubeLaser[[#This Row],[Qty Required]]/tbl_TubeLaser[[#This Row],[PPH]]*tbl_TubeLaser[[#This Row],['# of men]])</f>
        <v>0</v>
      </c>
      <c r="M199" s="31" t="e">
        <f>IF(tbl_TubeLaser[[#This Row],[Job Type]]="Batch",tbl_TubeLaser[[#This Row],[Batch Hours]]*tbl_TubeLaser[[#This Row],[% Complete]],tbl_TubeLaser[[#This Row],[Total hours]]*tbl_TubeLaser[[#This Row],[% Complete]])</f>
        <v>#DIV/0!</v>
      </c>
      <c r="N199" s="31"/>
      <c r="P199" s="28" t="e">
        <f>tbl_TubeLaser[[#This Row],[Mat. Qty]]*tbl_TubeLaser[[#This Row],[% Complete]]</f>
        <v>#DIV/0!</v>
      </c>
      <c r="R199" s="32" t="str">
        <f>IFERROR(tbl_TubeLaser[[#This Row],[Qty Complete]]/tbl_TubeLaser[[#This Row],[Total Hours Act]]*tbl_TubeLaser[[#This Row],['# of men Act]],"")</f>
        <v/>
      </c>
      <c r="T199"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199" s="35" t="str">
        <f>IFERROR((tbl_TubeLaser[[#This Row],[Adj. Total Hours]]+tbl_TubeLaser[[#This Row],[Est. Hours]])/(tbl_TubeLaser[[#This Row],[Total Hours Act]]+tbl_TubeLaser[[#This Row],[Act. Hours]]),"")</f>
        <v/>
      </c>
      <c r="Y199"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199" s="104" t="str">
        <f>IFERROR(tbl_TubeLaser[[#This Row],[Act. Mat. Qty]]-tbl_TubeLaser[[#This Row],[Adj. Mat. Qty]],"")</f>
        <v/>
      </c>
      <c r="AA199"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199" s="31"/>
      <c r="AD199" s="36"/>
    </row>
    <row r="200" spans="3:30" ht="25" customHeight="1">
      <c r="C200" s="28" t="str">
        <f>IF(tbl_TubeLaser[[#This Row],[Part'#]]="", "Batch", "Part")</f>
        <v>Batch</v>
      </c>
      <c r="G200" s="28"/>
      <c r="I200" s="70" t="e">
        <f>tbl_TubeLaser[[#This Row],[Qty Complete]]/tbl_TubeLaser[[#This Row],[Qty Required]]</f>
        <v>#DIV/0!</v>
      </c>
      <c r="L200" s="31">
        <f>IF(tbl_TubeLaser[[#This Row],[Job Type]]="Batch",0,tbl_TubeLaser[[#This Row],[Qty Required]]/tbl_TubeLaser[[#This Row],[PPH]]*tbl_TubeLaser[[#This Row],['# of men]])</f>
        <v>0</v>
      </c>
      <c r="M200" s="31" t="e">
        <f>IF(tbl_TubeLaser[[#This Row],[Job Type]]="Batch",tbl_TubeLaser[[#This Row],[Batch Hours]]*tbl_TubeLaser[[#This Row],[% Complete]],tbl_TubeLaser[[#This Row],[Total hours]]*tbl_TubeLaser[[#This Row],[% Complete]])</f>
        <v>#DIV/0!</v>
      </c>
      <c r="N200" s="31"/>
      <c r="P200" s="28" t="e">
        <f>tbl_TubeLaser[[#This Row],[Mat. Qty]]*tbl_TubeLaser[[#This Row],[% Complete]]</f>
        <v>#DIV/0!</v>
      </c>
      <c r="R200" s="32" t="str">
        <f>IFERROR(tbl_TubeLaser[[#This Row],[Qty Complete]]/tbl_TubeLaser[[#This Row],[Total Hours Act]]*tbl_TubeLaser[[#This Row],['# of men Act]],"")</f>
        <v/>
      </c>
      <c r="T200"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200" s="35" t="str">
        <f>IFERROR((tbl_TubeLaser[[#This Row],[Adj. Total Hours]]+tbl_TubeLaser[[#This Row],[Est. Hours]])/(tbl_TubeLaser[[#This Row],[Total Hours Act]]+tbl_TubeLaser[[#This Row],[Act. Hours]]),"")</f>
        <v/>
      </c>
      <c r="Y200"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200" s="104" t="str">
        <f>IFERROR(tbl_TubeLaser[[#This Row],[Act. Mat. Qty]]-tbl_TubeLaser[[#This Row],[Adj. Mat. Qty]],"")</f>
        <v/>
      </c>
      <c r="AA200"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200" s="31"/>
      <c r="AD200" s="36"/>
    </row>
    <row r="201" spans="3:30" ht="25" customHeight="1">
      <c r="C201" s="28" t="str">
        <f>IF(tbl_TubeLaser[[#This Row],[Part'#]]="", "Batch", "Part")</f>
        <v>Batch</v>
      </c>
      <c r="G201" s="28"/>
      <c r="I201" s="70" t="e">
        <f>tbl_TubeLaser[[#This Row],[Qty Complete]]/tbl_TubeLaser[[#This Row],[Qty Required]]</f>
        <v>#DIV/0!</v>
      </c>
      <c r="L201" s="31">
        <f>IF(tbl_TubeLaser[[#This Row],[Job Type]]="Batch",0,tbl_TubeLaser[[#This Row],[Qty Required]]/tbl_TubeLaser[[#This Row],[PPH]]*tbl_TubeLaser[[#This Row],['# of men]])</f>
        <v>0</v>
      </c>
      <c r="M201" s="31" t="e">
        <f>IF(tbl_TubeLaser[[#This Row],[Job Type]]="Batch",tbl_TubeLaser[[#This Row],[Batch Hours]]*tbl_TubeLaser[[#This Row],[% Complete]],tbl_TubeLaser[[#This Row],[Total hours]]*tbl_TubeLaser[[#This Row],[% Complete]])</f>
        <v>#DIV/0!</v>
      </c>
      <c r="N201" s="31"/>
      <c r="P201" s="28" t="e">
        <f>tbl_TubeLaser[[#This Row],[Mat. Qty]]*tbl_TubeLaser[[#This Row],[% Complete]]</f>
        <v>#DIV/0!</v>
      </c>
      <c r="R201" s="32" t="str">
        <f>IFERROR(tbl_TubeLaser[[#This Row],[Qty Complete]]/tbl_TubeLaser[[#This Row],[Total Hours Act]]*tbl_TubeLaser[[#This Row],['# of men Act]],"")</f>
        <v/>
      </c>
      <c r="T201"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201" s="35" t="str">
        <f>IFERROR((tbl_TubeLaser[[#This Row],[Adj. Total Hours]]+tbl_TubeLaser[[#This Row],[Est. Hours]])/(tbl_TubeLaser[[#This Row],[Total Hours Act]]+tbl_TubeLaser[[#This Row],[Act. Hours]]),"")</f>
        <v/>
      </c>
      <c r="Y201"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201" s="104" t="str">
        <f>IFERROR(tbl_TubeLaser[[#This Row],[Act. Mat. Qty]]-tbl_TubeLaser[[#This Row],[Adj. Mat. Qty]],"")</f>
        <v/>
      </c>
      <c r="AA201"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201" s="31"/>
      <c r="AD201" s="36"/>
    </row>
    <row r="202" spans="3:30" ht="25" customHeight="1">
      <c r="C202" s="28" t="str">
        <f>IF(tbl_TubeLaser[[#This Row],[Part'#]]="", "Batch", "Part")</f>
        <v>Batch</v>
      </c>
      <c r="G202" s="28"/>
      <c r="I202" s="70" t="e">
        <f>tbl_TubeLaser[[#This Row],[Qty Complete]]/tbl_TubeLaser[[#This Row],[Qty Required]]</f>
        <v>#DIV/0!</v>
      </c>
      <c r="L202" s="31">
        <f>IF(tbl_TubeLaser[[#This Row],[Job Type]]="Batch",0,tbl_TubeLaser[[#This Row],[Qty Required]]/tbl_TubeLaser[[#This Row],[PPH]]*tbl_TubeLaser[[#This Row],['# of men]])</f>
        <v>0</v>
      </c>
      <c r="M202" s="31" t="e">
        <f>IF(tbl_TubeLaser[[#This Row],[Job Type]]="Batch",tbl_TubeLaser[[#This Row],[Batch Hours]]*tbl_TubeLaser[[#This Row],[% Complete]],tbl_TubeLaser[[#This Row],[Total hours]]*tbl_TubeLaser[[#This Row],[% Complete]])</f>
        <v>#DIV/0!</v>
      </c>
      <c r="N202" s="31"/>
      <c r="P202" s="28" t="e">
        <f>tbl_TubeLaser[[#This Row],[Mat. Qty]]*tbl_TubeLaser[[#This Row],[% Complete]]</f>
        <v>#DIV/0!</v>
      </c>
      <c r="R202" s="32" t="str">
        <f>IFERROR(tbl_TubeLaser[[#This Row],[Qty Complete]]/tbl_TubeLaser[[#This Row],[Total Hours Act]]*tbl_TubeLaser[[#This Row],['# of men Act]],"")</f>
        <v/>
      </c>
      <c r="T202"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202" s="35" t="str">
        <f>IFERROR((tbl_TubeLaser[[#This Row],[Adj. Total Hours]]+tbl_TubeLaser[[#This Row],[Est. Hours]])/(tbl_TubeLaser[[#This Row],[Total Hours Act]]+tbl_TubeLaser[[#This Row],[Act. Hours]]),"")</f>
        <v/>
      </c>
      <c r="Y202"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202" s="104" t="str">
        <f>IFERROR(tbl_TubeLaser[[#This Row],[Act. Mat. Qty]]-tbl_TubeLaser[[#This Row],[Adj. Mat. Qty]],"")</f>
        <v/>
      </c>
      <c r="AA202"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202" s="31"/>
      <c r="AD202" s="36"/>
    </row>
    <row r="203" spans="3:30" ht="25" customHeight="1">
      <c r="C203" s="28" t="str">
        <f>IF(tbl_TubeLaser[[#This Row],[Part'#]]="", "Batch", "Part")</f>
        <v>Batch</v>
      </c>
      <c r="G203" s="28"/>
      <c r="I203" s="70" t="e">
        <f>tbl_TubeLaser[[#This Row],[Qty Complete]]/tbl_TubeLaser[[#This Row],[Qty Required]]</f>
        <v>#DIV/0!</v>
      </c>
      <c r="L203" s="31">
        <f>IF(tbl_TubeLaser[[#This Row],[Job Type]]="Batch",0,tbl_TubeLaser[[#This Row],[Qty Required]]/tbl_TubeLaser[[#This Row],[PPH]]*tbl_TubeLaser[[#This Row],['# of men]])</f>
        <v>0</v>
      </c>
      <c r="M203" s="31" t="e">
        <f>IF(tbl_TubeLaser[[#This Row],[Job Type]]="Batch",tbl_TubeLaser[[#This Row],[Batch Hours]]*tbl_TubeLaser[[#This Row],[% Complete]],tbl_TubeLaser[[#This Row],[Total hours]]*tbl_TubeLaser[[#This Row],[% Complete]])</f>
        <v>#DIV/0!</v>
      </c>
      <c r="N203" s="31"/>
      <c r="P203" s="28" t="e">
        <f>tbl_TubeLaser[[#This Row],[Mat. Qty]]*tbl_TubeLaser[[#This Row],[% Complete]]</f>
        <v>#DIV/0!</v>
      </c>
      <c r="R203" s="32" t="str">
        <f>IFERROR(tbl_TubeLaser[[#This Row],[Qty Complete]]/tbl_TubeLaser[[#This Row],[Total Hours Act]]*tbl_TubeLaser[[#This Row],['# of men Act]],"")</f>
        <v/>
      </c>
      <c r="T203"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203" s="35" t="str">
        <f>IFERROR((tbl_TubeLaser[[#This Row],[Adj. Total Hours]]+tbl_TubeLaser[[#This Row],[Est. Hours]])/(tbl_TubeLaser[[#This Row],[Total Hours Act]]+tbl_TubeLaser[[#This Row],[Act. Hours]]),"")</f>
        <v/>
      </c>
      <c r="Y203"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203" s="104" t="str">
        <f>IFERROR(tbl_TubeLaser[[#This Row],[Act. Mat. Qty]]-tbl_TubeLaser[[#This Row],[Adj. Mat. Qty]],"")</f>
        <v/>
      </c>
      <c r="AA203"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203" s="31"/>
      <c r="AD203" s="36"/>
    </row>
    <row r="204" spans="3:30" ht="25" customHeight="1">
      <c r="C204" s="28" t="str">
        <f>IF(tbl_TubeLaser[[#This Row],[Part'#]]="", "Batch", "Part")</f>
        <v>Batch</v>
      </c>
      <c r="G204" s="28"/>
      <c r="I204" s="70" t="e">
        <f>tbl_TubeLaser[[#This Row],[Qty Complete]]/tbl_TubeLaser[[#This Row],[Qty Required]]</f>
        <v>#DIV/0!</v>
      </c>
      <c r="L204" s="31">
        <f>IF(tbl_TubeLaser[[#This Row],[Job Type]]="Batch",0,tbl_TubeLaser[[#This Row],[Qty Required]]/tbl_TubeLaser[[#This Row],[PPH]]*tbl_TubeLaser[[#This Row],['# of men]])</f>
        <v>0</v>
      </c>
      <c r="M204" s="31" t="e">
        <f>IF(tbl_TubeLaser[[#This Row],[Job Type]]="Batch",tbl_TubeLaser[[#This Row],[Batch Hours]]*tbl_TubeLaser[[#This Row],[% Complete]],tbl_TubeLaser[[#This Row],[Total hours]]*tbl_TubeLaser[[#This Row],[% Complete]])</f>
        <v>#DIV/0!</v>
      </c>
      <c r="N204" s="31"/>
      <c r="P204" s="28" t="e">
        <f>tbl_TubeLaser[[#This Row],[Mat. Qty]]*tbl_TubeLaser[[#This Row],[% Complete]]</f>
        <v>#DIV/0!</v>
      </c>
      <c r="R204" s="32" t="str">
        <f>IFERROR(tbl_TubeLaser[[#This Row],[Qty Complete]]/tbl_TubeLaser[[#This Row],[Total Hours Act]]*tbl_TubeLaser[[#This Row],['# of men Act]],"")</f>
        <v/>
      </c>
      <c r="T204"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204" s="35" t="str">
        <f>IFERROR((tbl_TubeLaser[[#This Row],[Adj. Total Hours]]+tbl_TubeLaser[[#This Row],[Est. Hours]])/(tbl_TubeLaser[[#This Row],[Total Hours Act]]+tbl_TubeLaser[[#This Row],[Act. Hours]]),"")</f>
        <v/>
      </c>
      <c r="Y204"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204" s="104" t="str">
        <f>IFERROR(tbl_TubeLaser[[#This Row],[Act. Mat. Qty]]-tbl_TubeLaser[[#This Row],[Adj. Mat. Qty]],"")</f>
        <v/>
      </c>
      <c r="AA204"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204" s="31"/>
      <c r="AD204" s="36"/>
    </row>
    <row r="205" spans="3:30" ht="25" customHeight="1">
      <c r="C205" s="28" t="str">
        <f>IF(tbl_TubeLaser[[#This Row],[Part'#]]="", "Batch", "Part")</f>
        <v>Batch</v>
      </c>
      <c r="G205" s="28"/>
      <c r="I205" s="70" t="e">
        <f>tbl_TubeLaser[[#This Row],[Qty Complete]]/tbl_TubeLaser[[#This Row],[Qty Required]]</f>
        <v>#DIV/0!</v>
      </c>
      <c r="L205" s="31">
        <f>IF(tbl_TubeLaser[[#This Row],[Job Type]]="Batch",0,tbl_TubeLaser[[#This Row],[Qty Required]]/tbl_TubeLaser[[#This Row],[PPH]]*tbl_TubeLaser[[#This Row],['# of men]])</f>
        <v>0</v>
      </c>
      <c r="M205" s="31" t="e">
        <f>IF(tbl_TubeLaser[[#This Row],[Job Type]]="Batch",tbl_TubeLaser[[#This Row],[Batch Hours]]*tbl_TubeLaser[[#This Row],[% Complete]],tbl_TubeLaser[[#This Row],[Total hours]]*tbl_TubeLaser[[#This Row],[% Complete]])</f>
        <v>#DIV/0!</v>
      </c>
      <c r="N205" s="31"/>
      <c r="P205" s="28" t="e">
        <f>tbl_TubeLaser[[#This Row],[Mat. Qty]]*tbl_TubeLaser[[#This Row],[% Complete]]</f>
        <v>#DIV/0!</v>
      </c>
      <c r="R205" s="32" t="str">
        <f>IFERROR(tbl_TubeLaser[[#This Row],[Qty Complete]]/tbl_TubeLaser[[#This Row],[Total Hours Act]]*tbl_TubeLaser[[#This Row],['# of men Act]],"")</f>
        <v/>
      </c>
      <c r="T205"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205" s="35" t="str">
        <f>IFERROR((tbl_TubeLaser[[#This Row],[Adj. Total Hours]]+tbl_TubeLaser[[#This Row],[Est. Hours]])/(tbl_TubeLaser[[#This Row],[Total Hours Act]]+tbl_TubeLaser[[#This Row],[Act. Hours]]),"")</f>
        <v/>
      </c>
      <c r="Y205"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205" s="104" t="str">
        <f>IFERROR(tbl_TubeLaser[[#This Row],[Act. Mat. Qty]]-tbl_TubeLaser[[#This Row],[Adj. Mat. Qty]],"")</f>
        <v/>
      </c>
      <c r="AA205"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205" s="31"/>
      <c r="AD205" s="36"/>
    </row>
    <row r="206" spans="3:30" ht="25" customHeight="1">
      <c r="C206" s="28" t="str">
        <f>IF(tbl_TubeLaser[[#This Row],[Part'#]]="", "Batch", "Part")</f>
        <v>Batch</v>
      </c>
      <c r="G206" s="28"/>
      <c r="I206" s="70" t="e">
        <f>tbl_TubeLaser[[#This Row],[Qty Complete]]/tbl_TubeLaser[[#This Row],[Qty Required]]</f>
        <v>#DIV/0!</v>
      </c>
      <c r="L206" s="31">
        <f>IF(tbl_TubeLaser[[#This Row],[Job Type]]="Batch",0,tbl_TubeLaser[[#This Row],[Qty Required]]/tbl_TubeLaser[[#This Row],[PPH]]*tbl_TubeLaser[[#This Row],['# of men]])</f>
        <v>0</v>
      </c>
      <c r="M206" s="31" t="e">
        <f>IF(tbl_TubeLaser[[#This Row],[Job Type]]="Batch",tbl_TubeLaser[[#This Row],[Batch Hours]]*tbl_TubeLaser[[#This Row],[% Complete]],tbl_TubeLaser[[#This Row],[Total hours]]*tbl_TubeLaser[[#This Row],[% Complete]])</f>
        <v>#DIV/0!</v>
      </c>
      <c r="N206" s="31"/>
      <c r="P206" s="28" t="e">
        <f>tbl_TubeLaser[[#This Row],[Mat. Qty]]*tbl_TubeLaser[[#This Row],[% Complete]]</f>
        <v>#DIV/0!</v>
      </c>
      <c r="R206" s="32" t="str">
        <f>IFERROR(tbl_TubeLaser[[#This Row],[Qty Complete]]/tbl_TubeLaser[[#This Row],[Total Hours Act]]*tbl_TubeLaser[[#This Row],['# of men Act]],"")</f>
        <v/>
      </c>
      <c r="T206"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206" s="35" t="str">
        <f>IFERROR((tbl_TubeLaser[[#This Row],[Adj. Total Hours]]+tbl_TubeLaser[[#This Row],[Est. Hours]])/(tbl_TubeLaser[[#This Row],[Total Hours Act]]+tbl_TubeLaser[[#This Row],[Act. Hours]]),"")</f>
        <v/>
      </c>
      <c r="Y206"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206" s="104" t="str">
        <f>IFERROR(tbl_TubeLaser[[#This Row],[Act. Mat. Qty]]-tbl_TubeLaser[[#This Row],[Adj. Mat. Qty]],"")</f>
        <v/>
      </c>
      <c r="AA206"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206" s="31"/>
      <c r="AD206" s="36"/>
    </row>
    <row r="207" spans="3:30" ht="25" customHeight="1">
      <c r="C207" s="28" t="str">
        <f>IF(tbl_TubeLaser[[#This Row],[Part'#]]="", "Batch", "Part")</f>
        <v>Batch</v>
      </c>
      <c r="G207" s="28"/>
      <c r="I207" s="70" t="e">
        <f>tbl_TubeLaser[[#This Row],[Qty Complete]]/tbl_TubeLaser[[#This Row],[Qty Required]]</f>
        <v>#DIV/0!</v>
      </c>
      <c r="L207" s="31">
        <f>IF(tbl_TubeLaser[[#This Row],[Job Type]]="Batch",0,tbl_TubeLaser[[#This Row],[Qty Required]]/tbl_TubeLaser[[#This Row],[PPH]]*tbl_TubeLaser[[#This Row],['# of men]])</f>
        <v>0</v>
      </c>
      <c r="M207" s="31" t="e">
        <f>IF(tbl_TubeLaser[[#This Row],[Job Type]]="Batch",tbl_TubeLaser[[#This Row],[Batch Hours]]*tbl_TubeLaser[[#This Row],[% Complete]],tbl_TubeLaser[[#This Row],[Total hours]]*tbl_TubeLaser[[#This Row],[% Complete]])</f>
        <v>#DIV/0!</v>
      </c>
      <c r="N207" s="31"/>
      <c r="P207" s="28" t="e">
        <f>tbl_TubeLaser[[#This Row],[Mat. Qty]]*tbl_TubeLaser[[#This Row],[% Complete]]</f>
        <v>#DIV/0!</v>
      </c>
      <c r="R207" s="32" t="str">
        <f>IFERROR(tbl_TubeLaser[[#This Row],[Qty Complete]]/tbl_TubeLaser[[#This Row],[Total Hours Act]]*tbl_TubeLaser[[#This Row],['# of men Act]],"")</f>
        <v/>
      </c>
      <c r="T207"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207" s="35" t="str">
        <f>IFERROR((tbl_TubeLaser[[#This Row],[Adj. Total Hours]]+tbl_TubeLaser[[#This Row],[Est. Hours]])/(tbl_TubeLaser[[#This Row],[Total Hours Act]]+tbl_TubeLaser[[#This Row],[Act. Hours]]),"")</f>
        <v/>
      </c>
      <c r="Y207"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207" s="104" t="str">
        <f>IFERROR(tbl_TubeLaser[[#This Row],[Act. Mat. Qty]]-tbl_TubeLaser[[#This Row],[Adj. Mat. Qty]],"")</f>
        <v/>
      </c>
      <c r="AA207"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207" s="31"/>
      <c r="AD207" s="36"/>
    </row>
    <row r="208" spans="3:30" ht="25" customHeight="1">
      <c r="C208" s="28" t="str">
        <f>IF(tbl_TubeLaser[[#This Row],[Part'#]]="", "Batch", "Part")</f>
        <v>Batch</v>
      </c>
      <c r="G208" s="28"/>
      <c r="I208" s="70" t="e">
        <f>tbl_TubeLaser[[#This Row],[Qty Complete]]/tbl_TubeLaser[[#This Row],[Qty Required]]</f>
        <v>#DIV/0!</v>
      </c>
      <c r="L208" s="31">
        <f>IF(tbl_TubeLaser[[#This Row],[Job Type]]="Batch",0,tbl_TubeLaser[[#This Row],[Qty Required]]/tbl_TubeLaser[[#This Row],[PPH]]*tbl_TubeLaser[[#This Row],['# of men]])</f>
        <v>0</v>
      </c>
      <c r="M208" s="31" t="e">
        <f>IF(tbl_TubeLaser[[#This Row],[Job Type]]="Batch",tbl_TubeLaser[[#This Row],[Batch Hours]]*tbl_TubeLaser[[#This Row],[% Complete]],tbl_TubeLaser[[#This Row],[Total hours]]*tbl_TubeLaser[[#This Row],[% Complete]])</f>
        <v>#DIV/0!</v>
      </c>
      <c r="N208" s="31"/>
      <c r="P208" s="28" t="e">
        <f>tbl_TubeLaser[[#This Row],[Mat. Qty]]*tbl_TubeLaser[[#This Row],[% Complete]]</f>
        <v>#DIV/0!</v>
      </c>
      <c r="R208" s="32" t="str">
        <f>IFERROR(tbl_TubeLaser[[#This Row],[Qty Complete]]/tbl_TubeLaser[[#This Row],[Total Hours Act]]*tbl_TubeLaser[[#This Row],['# of men Act]],"")</f>
        <v/>
      </c>
      <c r="T208"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208" s="35" t="str">
        <f>IFERROR((tbl_TubeLaser[[#This Row],[Adj. Total Hours]]+tbl_TubeLaser[[#This Row],[Est. Hours]])/(tbl_TubeLaser[[#This Row],[Total Hours Act]]+tbl_TubeLaser[[#This Row],[Act. Hours]]),"")</f>
        <v/>
      </c>
      <c r="Y208"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208" s="104" t="str">
        <f>IFERROR(tbl_TubeLaser[[#This Row],[Act. Mat. Qty]]-tbl_TubeLaser[[#This Row],[Adj. Mat. Qty]],"")</f>
        <v/>
      </c>
      <c r="AA208"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208" s="31"/>
      <c r="AD208" s="36"/>
    </row>
    <row r="209" spans="3:30" ht="25" customHeight="1">
      <c r="C209" s="28" t="str">
        <f>IF(tbl_TubeLaser[[#This Row],[Part'#]]="", "Batch", "Part")</f>
        <v>Batch</v>
      </c>
      <c r="G209" s="28"/>
      <c r="I209" s="70" t="e">
        <f>tbl_TubeLaser[[#This Row],[Qty Complete]]/tbl_TubeLaser[[#This Row],[Qty Required]]</f>
        <v>#DIV/0!</v>
      </c>
      <c r="L209" s="31">
        <f>IF(tbl_TubeLaser[[#This Row],[Job Type]]="Batch",0,tbl_TubeLaser[[#This Row],[Qty Required]]/tbl_TubeLaser[[#This Row],[PPH]]*tbl_TubeLaser[[#This Row],['# of men]])</f>
        <v>0</v>
      </c>
      <c r="M209" s="31" t="e">
        <f>IF(tbl_TubeLaser[[#This Row],[Job Type]]="Batch",tbl_TubeLaser[[#This Row],[Batch Hours]]*tbl_TubeLaser[[#This Row],[% Complete]],tbl_TubeLaser[[#This Row],[Total hours]]*tbl_TubeLaser[[#This Row],[% Complete]])</f>
        <v>#DIV/0!</v>
      </c>
      <c r="N209" s="31"/>
      <c r="P209" s="28" t="e">
        <f>tbl_TubeLaser[[#This Row],[Mat. Qty]]*tbl_TubeLaser[[#This Row],[% Complete]]</f>
        <v>#DIV/0!</v>
      </c>
      <c r="R209" s="32" t="str">
        <f>IFERROR(tbl_TubeLaser[[#This Row],[Qty Complete]]/tbl_TubeLaser[[#This Row],[Total Hours Act]]*tbl_TubeLaser[[#This Row],['# of men Act]],"")</f>
        <v/>
      </c>
      <c r="T209"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209" s="35" t="str">
        <f>IFERROR((tbl_TubeLaser[[#This Row],[Adj. Total Hours]]+tbl_TubeLaser[[#This Row],[Est. Hours]])/(tbl_TubeLaser[[#This Row],[Total Hours Act]]+tbl_TubeLaser[[#This Row],[Act. Hours]]),"")</f>
        <v/>
      </c>
      <c r="Y209"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209" s="104" t="str">
        <f>IFERROR(tbl_TubeLaser[[#This Row],[Act. Mat. Qty]]-tbl_TubeLaser[[#This Row],[Adj. Mat. Qty]],"")</f>
        <v/>
      </c>
      <c r="AA209"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209" s="31"/>
      <c r="AD209" s="36"/>
    </row>
    <row r="210" spans="3:30" ht="25" customHeight="1">
      <c r="C210" s="28" t="str">
        <f>IF(tbl_TubeLaser[[#This Row],[Part'#]]="", "Batch", "Part")</f>
        <v>Batch</v>
      </c>
      <c r="G210" s="28"/>
      <c r="I210" s="70" t="e">
        <f>tbl_TubeLaser[[#This Row],[Qty Complete]]/tbl_TubeLaser[[#This Row],[Qty Required]]</f>
        <v>#DIV/0!</v>
      </c>
      <c r="L210" s="31">
        <f>IF(tbl_TubeLaser[[#This Row],[Job Type]]="Batch",0,tbl_TubeLaser[[#This Row],[Qty Required]]/tbl_TubeLaser[[#This Row],[PPH]]*tbl_TubeLaser[[#This Row],['# of men]])</f>
        <v>0</v>
      </c>
      <c r="M210" s="31" t="e">
        <f>IF(tbl_TubeLaser[[#This Row],[Job Type]]="Batch",tbl_TubeLaser[[#This Row],[Batch Hours]]*tbl_TubeLaser[[#This Row],[% Complete]],tbl_TubeLaser[[#This Row],[Total hours]]*tbl_TubeLaser[[#This Row],[% Complete]])</f>
        <v>#DIV/0!</v>
      </c>
      <c r="N210" s="31"/>
      <c r="P210" s="28" t="e">
        <f>tbl_TubeLaser[[#This Row],[Mat. Qty]]*tbl_TubeLaser[[#This Row],[% Complete]]</f>
        <v>#DIV/0!</v>
      </c>
      <c r="R210" s="32" t="str">
        <f>IFERROR(tbl_TubeLaser[[#This Row],[Qty Complete]]/tbl_TubeLaser[[#This Row],[Total Hours Act]]*tbl_TubeLaser[[#This Row],['# of men Act]],"")</f>
        <v/>
      </c>
      <c r="T210"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210" s="35" t="str">
        <f>IFERROR((tbl_TubeLaser[[#This Row],[Adj. Total Hours]]+tbl_TubeLaser[[#This Row],[Est. Hours]])/(tbl_TubeLaser[[#This Row],[Total Hours Act]]+tbl_TubeLaser[[#This Row],[Act. Hours]]),"")</f>
        <v/>
      </c>
      <c r="Y210"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210" s="104" t="str">
        <f>IFERROR(tbl_TubeLaser[[#This Row],[Act. Mat. Qty]]-tbl_TubeLaser[[#This Row],[Adj. Mat. Qty]],"")</f>
        <v/>
      </c>
      <c r="AA210"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210" s="31"/>
      <c r="AD210" s="36"/>
    </row>
    <row r="211" spans="3:30" ht="25" customHeight="1">
      <c r="C211" s="28" t="str">
        <f>IF(tbl_TubeLaser[[#This Row],[Part'#]]="", "Batch", "Part")</f>
        <v>Batch</v>
      </c>
      <c r="G211" s="28"/>
      <c r="I211" s="70" t="e">
        <f>tbl_TubeLaser[[#This Row],[Qty Complete]]/tbl_TubeLaser[[#This Row],[Qty Required]]</f>
        <v>#DIV/0!</v>
      </c>
      <c r="L211" s="31">
        <f>IF(tbl_TubeLaser[[#This Row],[Job Type]]="Batch",0,tbl_TubeLaser[[#This Row],[Qty Required]]/tbl_TubeLaser[[#This Row],[PPH]]*tbl_TubeLaser[[#This Row],['# of men]])</f>
        <v>0</v>
      </c>
      <c r="M211" s="31" t="e">
        <f>IF(tbl_TubeLaser[[#This Row],[Job Type]]="Batch",tbl_TubeLaser[[#This Row],[Batch Hours]]*tbl_TubeLaser[[#This Row],[% Complete]],tbl_TubeLaser[[#This Row],[Total hours]]*tbl_TubeLaser[[#This Row],[% Complete]])</f>
        <v>#DIV/0!</v>
      </c>
      <c r="N211" s="31"/>
      <c r="P211" s="28" t="e">
        <f>tbl_TubeLaser[[#This Row],[Mat. Qty]]*tbl_TubeLaser[[#This Row],[% Complete]]</f>
        <v>#DIV/0!</v>
      </c>
      <c r="R211" s="32" t="str">
        <f>IFERROR(tbl_TubeLaser[[#This Row],[Qty Complete]]/tbl_TubeLaser[[#This Row],[Total Hours Act]]*tbl_TubeLaser[[#This Row],['# of men Act]],"")</f>
        <v/>
      </c>
      <c r="T211"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211" s="35" t="str">
        <f>IFERROR((tbl_TubeLaser[[#This Row],[Adj. Total Hours]]+tbl_TubeLaser[[#This Row],[Est. Hours]])/(tbl_TubeLaser[[#This Row],[Total Hours Act]]+tbl_TubeLaser[[#This Row],[Act. Hours]]),"")</f>
        <v/>
      </c>
      <c r="Y211"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211" s="104" t="str">
        <f>IFERROR(tbl_TubeLaser[[#This Row],[Act. Mat. Qty]]-tbl_TubeLaser[[#This Row],[Adj. Mat. Qty]],"")</f>
        <v/>
      </c>
      <c r="AA211"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211" s="31"/>
      <c r="AD211" s="36"/>
    </row>
    <row r="212" spans="3:30" ht="25" customHeight="1">
      <c r="C212" s="28" t="str">
        <f>IF(tbl_TubeLaser[[#This Row],[Part'#]]="", "Batch", "Part")</f>
        <v>Batch</v>
      </c>
      <c r="G212" s="28"/>
      <c r="I212" s="70" t="e">
        <f>tbl_TubeLaser[[#This Row],[Qty Complete]]/tbl_TubeLaser[[#This Row],[Qty Required]]</f>
        <v>#DIV/0!</v>
      </c>
      <c r="L212" s="31">
        <f>IF(tbl_TubeLaser[[#This Row],[Job Type]]="Batch",0,tbl_TubeLaser[[#This Row],[Qty Required]]/tbl_TubeLaser[[#This Row],[PPH]]*tbl_TubeLaser[[#This Row],['# of men]])</f>
        <v>0</v>
      </c>
      <c r="M212" s="31" t="e">
        <f>IF(tbl_TubeLaser[[#This Row],[Job Type]]="Batch",tbl_TubeLaser[[#This Row],[Batch Hours]]*tbl_TubeLaser[[#This Row],[% Complete]],tbl_TubeLaser[[#This Row],[Total hours]]*tbl_TubeLaser[[#This Row],[% Complete]])</f>
        <v>#DIV/0!</v>
      </c>
      <c r="N212" s="31"/>
      <c r="P212" s="28" t="e">
        <f>tbl_TubeLaser[[#This Row],[Mat. Qty]]*tbl_TubeLaser[[#This Row],[% Complete]]</f>
        <v>#DIV/0!</v>
      </c>
      <c r="R212" s="32" t="str">
        <f>IFERROR(tbl_TubeLaser[[#This Row],[Qty Complete]]/tbl_TubeLaser[[#This Row],[Total Hours Act]]*tbl_TubeLaser[[#This Row],['# of men Act]],"")</f>
        <v/>
      </c>
      <c r="T212"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212" s="35" t="str">
        <f>IFERROR((tbl_TubeLaser[[#This Row],[Adj. Total Hours]]+tbl_TubeLaser[[#This Row],[Est. Hours]])/(tbl_TubeLaser[[#This Row],[Total Hours Act]]+tbl_TubeLaser[[#This Row],[Act. Hours]]),"")</f>
        <v/>
      </c>
      <c r="Y212"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212" s="104" t="str">
        <f>IFERROR(tbl_TubeLaser[[#This Row],[Act. Mat. Qty]]-tbl_TubeLaser[[#This Row],[Adj. Mat. Qty]],"")</f>
        <v/>
      </c>
      <c r="AA212"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212" s="31"/>
      <c r="AD212" s="36"/>
    </row>
    <row r="213" spans="3:30" ht="25" customHeight="1">
      <c r="C213" s="28" t="str">
        <f>IF(tbl_TubeLaser[[#This Row],[Part'#]]="", "Batch", "Part")</f>
        <v>Batch</v>
      </c>
      <c r="G213" s="28"/>
      <c r="I213" s="70" t="e">
        <f>tbl_TubeLaser[[#This Row],[Qty Complete]]/tbl_TubeLaser[[#This Row],[Qty Required]]</f>
        <v>#DIV/0!</v>
      </c>
      <c r="L213" s="31">
        <f>IF(tbl_TubeLaser[[#This Row],[Job Type]]="Batch",0,tbl_TubeLaser[[#This Row],[Qty Required]]/tbl_TubeLaser[[#This Row],[PPH]]*tbl_TubeLaser[[#This Row],['# of men]])</f>
        <v>0</v>
      </c>
      <c r="M213" s="31" t="e">
        <f>IF(tbl_TubeLaser[[#This Row],[Job Type]]="Batch",tbl_TubeLaser[[#This Row],[Batch Hours]]*tbl_TubeLaser[[#This Row],[% Complete]],tbl_TubeLaser[[#This Row],[Total hours]]*tbl_TubeLaser[[#This Row],[% Complete]])</f>
        <v>#DIV/0!</v>
      </c>
      <c r="N213" s="31"/>
      <c r="P213" s="28" t="e">
        <f>tbl_TubeLaser[[#This Row],[Mat. Qty]]*tbl_TubeLaser[[#This Row],[% Complete]]</f>
        <v>#DIV/0!</v>
      </c>
      <c r="R213" s="32" t="str">
        <f>IFERROR(tbl_TubeLaser[[#This Row],[Qty Complete]]/tbl_TubeLaser[[#This Row],[Total Hours Act]]*tbl_TubeLaser[[#This Row],['# of men Act]],"")</f>
        <v/>
      </c>
      <c r="T213"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213" s="35" t="str">
        <f>IFERROR((tbl_TubeLaser[[#This Row],[Adj. Total Hours]]+tbl_TubeLaser[[#This Row],[Est. Hours]])/(tbl_TubeLaser[[#This Row],[Total Hours Act]]+tbl_TubeLaser[[#This Row],[Act. Hours]]),"")</f>
        <v/>
      </c>
      <c r="Y213"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213" s="104" t="str">
        <f>IFERROR(tbl_TubeLaser[[#This Row],[Act. Mat. Qty]]-tbl_TubeLaser[[#This Row],[Adj. Mat. Qty]],"")</f>
        <v/>
      </c>
      <c r="AA213"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213" s="31"/>
      <c r="AD213" s="36"/>
    </row>
    <row r="214" spans="3:30" ht="25" customHeight="1">
      <c r="C214" s="28" t="str">
        <f>IF(tbl_TubeLaser[[#This Row],[Part'#]]="", "Batch", "Part")</f>
        <v>Batch</v>
      </c>
      <c r="G214" s="28"/>
      <c r="I214" s="70" t="e">
        <f>tbl_TubeLaser[[#This Row],[Qty Complete]]/tbl_TubeLaser[[#This Row],[Qty Required]]</f>
        <v>#DIV/0!</v>
      </c>
      <c r="L214" s="31">
        <f>IF(tbl_TubeLaser[[#This Row],[Job Type]]="Batch",0,tbl_TubeLaser[[#This Row],[Qty Required]]/tbl_TubeLaser[[#This Row],[PPH]]*tbl_TubeLaser[[#This Row],['# of men]])</f>
        <v>0</v>
      </c>
      <c r="M214" s="31" t="e">
        <f>IF(tbl_TubeLaser[[#This Row],[Job Type]]="Batch",tbl_TubeLaser[[#This Row],[Batch Hours]]*tbl_TubeLaser[[#This Row],[% Complete]],tbl_TubeLaser[[#This Row],[Total hours]]*tbl_TubeLaser[[#This Row],[% Complete]])</f>
        <v>#DIV/0!</v>
      </c>
      <c r="N214" s="31"/>
      <c r="P214" s="28" t="e">
        <f>tbl_TubeLaser[[#This Row],[Mat. Qty]]*tbl_TubeLaser[[#This Row],[% Complete]]</f>
        <v>#DIV/0!</v>
      </c>
      <c r="R214" s="32" t="str">
        <f>IFERROR(tbl_TubeLaser[[#This Row],[Qty Complete]]/tbl_TubeLaser[[#This Row],[Total Hours Act]]*tbl_TubeLaser[[#This Row],['# of men Act]],"")</f>
        <v/>
      </c>
      <c r="T214"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214" s="35" t="str">
        <f>IFERROR((tbl_TubeLaser[[#This Row],[Adj. Total Hours]]+tbl_TubeLaser[[#This Row],[Est. Hours]])/(tbl_TubeLaser[[#This Row],[Total Hours Act]]+tbl_TubeLaser[[#This Row],[Act. Hours]]),"")</f>
        <v/>
      </c>
      <c r="Y214"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214" s="104" t="str">
        <f>IFERROR(tbl_TubeLaser[[#This Row],[Act. Mat. Qty]]-tbl_TubeLaser[[#This Row],[Adj. Mat. Qty]],"")</f>
        <v/>
      </c>
      <c r="AA214"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214" s="31"/>
      <c r="AD214" s="36"/>
    </row>
    <row r="215" spans="3:30" ht="25" customHeight="1">
      <c r="C215" s="28" t="str">
        <f>IF(tbl_TubeLaser[[#This Row],[Part'#]]="", "Batch", "Part")</f>
        <v>Batch</v>
      </c>
      <c r="G215" s="28"/>
      <c r="I215" s="70" t="e">
        <f>tbl_TubeLaser[[#This Row],[Qty Complete]]/tbl_TubeLaser[[#This Row],[Qty Required]]</f>
        <v>#DIV/0!</v>
      </c>
      <c r="L215" s="31">
        <f>IF(tbl_TubeLaser[[#This Row],[Job Type]]="Batch",0,tbl_TubeLaser[[#This Row],[Qty Required]]/tbl_TubeLaser[[#This Row],[PPH]]*tbl_TubeLaser[[#This Row],['# of men]])</f>
        <v>0</v>
      </c>
      <c r="M215" s="31" t="e">
        <f>IF(tbl_TubeLaser[[#This Row],[Job Type]]="Batch",tbl_TubeLaser[[#This Row],[Batch Hours]]*tbl_TubeLaser[[#This Row],[% Complete]],tbl_TubeLaser[[#This Row],[Total hours]]*tbl_TubeLaser[[#This Row],[% Complete]])</f>
        <v>#DIV/0!</v>
      </c>
      <c r="N215" s="31"/>
      <c r="P215" s="28" t="e">
        <f>tbl_TubeLaser[[#This Row],[Mat. Qty]]*tbl_TubeLaser[[#This Row],[% Complete]]</f>
        <v>#DIV/0!</v>
      </c>
      <c r="R215" s="32" t="str">
        <f>IFERROR(tbl_TubeLaser[[#This Row],[Qty Complete]]/tbl_TubeLaser[[#This Row],[Total Hours Act]]*tbl_TubeLaser[[#This Row],['# of men Act]],"")</f>
        <v/>
      </c>
      <c r="T215"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215" s="35" t="str">
        <f>IFERROR((tbl_TubeLaser[[#This Row],[Adj. Total Hours]]+tbl_TubeLaser[[#This Row],[Est. Hours]])/(tbl_TubeLaser[[#This Row],[Total Hours Act]]+tbl_TubeLaser[[#This Row],[Act. Hours]]),"")</f>
        <v/>
      </c>
      <c r="Y215"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215" s="104" t="str">
        <f>IFERROR(tbl_TubeLaser[[#This Row],[Act. Mat. Qty]]-tbl_TubeLaser[[#This Row],[Adj. Mat. Qty]],"")</f>
        <v/>
      </c>
      <c r="AA215"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215" s="31"/>
      <c r="AD215" s="36"/>
    </row>
    <row r="216" spans="3:30" ht="25" customHeight="1">
      <c r="C216" s="28" t="str">
        <f>IF(tbl_TubeLaser[[#This Row],[Part'#]]="", "Batch", "Part")</f>
        <v>Batch</v>
      </c>
      <c r="G216" s="28"/>
      <c r="I216" s="70" t="e">
        <f>tbl_TubeLaser[[#This Row],[Qty Complete]]/tbl_TubeLaser[[#This Row],[Qty Required]]</f>
        <v>#DIV/0!</v>
      </c>
      <c r="L216" s="31">
        <f>IF(tbl_TubeLaser[[#This Row],[Job Type]]="Batch",0,tbl_TubeLaser[[#This Row],[Qty Required]]/tbl_TubeLaser[[#This Row],[PPH]]*tbl_TubeLaser[[#This Row],['# of men]])</f>
        <v>0</v>
      </c>
      <c r="M216" s="31" t="e">
        <f>IF(tbl_TubeLaser[[#This Row],[Job Type]]="Batch",tbl_TubeLaser[[#This Row],[Batch Hours]]*tbl_TubeLaser[[#This Row],[% Complete]],tbl_TubeLaser[[#This Row],[Total hours]]*tbl_TubeLaser[[#This Row],[% Complete]])</f>
        <v>#DIV/0!</v>
      </c>
      <c r="N216" s="31"/>
      <c r="P216" s="28" t="e">
        <f>tbl_TubeLaser[[#This Row],[Mat. Qty]]*tbl_TubeLaser[[#This Row],[% Complete]]</f>
        <v>#DIV/0!</v>
      </c>
      <c r="R216" s="32" t="str">
        <f>IFERROR(tbl_TubeLaser[[#This Row],[Qty Complete]]/tbl_TubeLaser[[#This Row],[Total Hours Act]]*tbl_TubeLaser[[#This Row],['# of men Act]],"")</f>
        <v/>
      </c>
      <c r="T216"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216" s="35" t="str">
        <f>IFERROR((tbl_TubeLaser[[#This Row],[Adj. Total Hours]]+tbl_TubeLaser[[#This Row],[Est. Hours]])/(tbl_TubeLaser[[#This Row],[Total Hours Act]]+tbl_TubeLaser[[#This Row],[Act. Hours]]),"")</f>
        <v/>
      </c>
      <c r="Y216"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216" s="104" t="str">
        <f>IFERROR(tbl_TubeLaser[[#This Row],[Act. Mat. Qty]]-tbl_TubeLaser[[#This Row],[Adj. Mat. Qty]],"")</f>
        <v/>
      </c>
      <c r="AA216"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216" s="31"/>
      <c r="AD216" s="36"/>
    </row>
    <row r="217" spans="3:30" ht="25" customHeight="1">
      <c r="C217" s="28" t="str">
        <f>IF(tbl_TubeLaser[[#This Row],[Part'#]]="", "Batch", "Part")</f>
        <v>Batch</v>
      </c>
      <c r="G217" s="28"/>
      <c r="I217" s="70" t="e">
        <f>tbl_TubeLaser[[#This Row],[Qty Complete]]/tbl_TubeLaser[[#This Row],[Qty Required]]</f>
        <v>#DIV/0!</v>
      </c>
      <c r="L217" s="31">
        <f>IF(tbl_TubeLaser[[#This Row],[Job Type]]="Batch",0,tbl_TubeLaser[[#This Row],[Qty Required]]/tbl_TubeLaser[[#This Row],[PPH]]*tbl_TubeLaser[[#This Row],['# of men]])</f>
        <v>0</v>
      </c>
      <c r="M217" s="31" t="e">
        <f>IF(tbl_TubeLaser[[#This Row],[Job Type]]="Batch",tbl_TubeLaser[[#This Row],[Batch Hours]]*tbl_TubeLaser[[#This Row],[% Complete]],tbl_TubeLaser[[#This Row],[Total hours]]*tbl_TubeLaser[[#This Row],[% Complete]])</f>
        <v>#DIV/0!</v>
      </c>
      <c r="N217" s="31"/>
      <c r="P217" s="28" t="e">
        <f>tbl_TubeLaser[[#This Row],[Mat. Qty]]*tbl_TubeLaser[[#This Row],[% Complete]]</f>
        <v>#DIV/0!</v>
      </c>
      <c r="R217" s="32" t="str">
        <f>IFERROR(tbl_TubeLaser[[#This Row],[Qty Complete]]/tbl_TubeLaser[[#This Row],[Total Hours Act]]*tbl_TubeLaser[[#This Row],['# of men Act]],"")</f>
        <v/>
      </c>
      <c r="T217"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217" s="35" t="str">
        <f>IFERROR((tbl_TubeLaser[[#This Row],[Adj. Total Hours]]+tbl_TubeLaser[[#This Row],[Est. Hours]])/(tbl_TubeLaser[[#This Row],[Total Hours Act]]+tbl_TubeLaser[[#This Row],[Act. Hours]]),"")</f>
        <v/>
      </c>
      <c r="Y217"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217" s="104" t="str">
        <f>IFERROR(tbl_TubeLaser[[#This Row],[Act. Mat. Qty]]-tbl_TubeLaser[[#This Row],[Adj. Mat. Qty]],"")</f>
        <v/>
      </c>
      <c r="AA217"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217" s="31"/>
      <c r="AD217" s="36"/>
    </row>
    <row r="218" spans="3:30" ht="25" customHeight="1">
      <c r="C218" s="28" t="str">
        <f>IF(tbl_TubeLaser[[#This Row],[Part'#]]="", "Batch", "Part")</f>
        <v>Batch</v>
      </c>
      <c r="G218" s="28"/>
      <c r="I218" s="70" t="e">
        <f>tbl_TubeLaser[[#This Row],[Qty Complete]]/tbl_TubeLaser[[#This Row],[Qty Required]]</f>
        <v>#DIV/0!</v>
      </c>
      <c r="L218" s="31">
        <f>IF(tbl_TubeLaser[[#This Row],[Job Type]]="Batch",0,tbl_TubeLaser[[#This Row],[Qty Required]]/tbl_TubeLaser[[#This Row],[PPH]]*tbl_TubeLaser[[#This Row],['# of men]])</f>
        <v>0</v>
      </c>
      <c r="M218" s="31" t="e">
        <f>IF(tbl_TubeLaser[[#This Row],[Job Type]]="Batch",tbl_TubeLaser[[#This Row],[Batch Hours]]*tbl_TubeLaser[[#This Row],[% Complete]],tbl_TubeLaser[[#This Row],[Total hours]]*tbl_TubeLaser[[#This Row],[% Complete]])</f>
        <v>#DIV/0!</v>
      </c>
      <c r="N218" s="31"/>
      <c r="P218" s="28" t="e">
        <f>tbl_TubeLaser[[#This Row],[Mat. Qty]]*tbl_TubeLaser[[#This Row],[% Complete]]</f>
        <v>#DIV/0!</v>
      </c>
      <c r="R218" s="32" t="str">
        <f>IFERROR(tbl_TubeLaser[[#This Row],[Qty Complete]]/tbl_TubeLaser[[#This Row],[Total Hours Act]]*tbl_TubeLaser[[#This Row],['# of men Act]],"")</f>
        <v/>
      </c>
      <c r="T218"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218" s="35" t="str">
        <f>IFERROR((tbl_TubeLaser[[#This Row],[Adj. Total Hours]]+tbl_TubeLaser[[#This Row],[Est. Hours]])/(tbl_TubeLaser[[#This Row],[Total Hours Act]]+tbl_TubeLaser[[#This Row],[Act. Hours]]),"")</f>
        <v/>
      </c>
      <c r="Y218"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218" s="104" t="str">
        <f>IFERROR(tbl_TubeLaser[[#This Row],[Act. Mat. Qty]]-tbl_TubeLaser[[#This Row],[Adj. Mat. Qty]],"")</f>
        <v/>
      </c>
      <c r="AA218"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218" s="31"/>
      <c r="AD218" s="36"/>
    </row>
    <row r="219" spans="3:30" ht="25" customHeight="1">
      <c r="C219" s="28" t="str">
        <f>IF(tbl_TubeLaser[[#This Row],[Part'#]]="", "Batch", "Part")</f>
        <v>Batch</v>
      </c>
      <c r="G219" s="28"/>
      <c r="I219" s="70" t="e">
        <f>tbl_TubeLaser[[#This Row],[Qty Complete]]/tbl_TubeLaser[[#This Row],[Qty Required]]</f>
        <v>#DIV/0!</v>
      </c>
      <c r="L219" s="31">
        <f>IF(tbl_TubeLaser[[#This Row],[Job Type]]="Batch",0,tbl_TubeLaser[[#This Row],[Qty Required]]/tbl_TubeLaser[[#This Row],[PPH]]*tbl_TubeLaser[[#This Row],['# of men]])</f>
        <v>0</v>
      </c>
      <c r="M219" s="31" t="e">
        <f>IF(tbl_TubeLaser[[#This Row],[Job Type]]="Batch",tbl_TubeLaser[[#This Row],[Batch Hours]]*tbl_TubeLaser[[#This Row],[% Complete]],tbl_TubeLaser[[#This Row],[Total hours]]*tbl_TubeLaser[[#This Row],[% Complete]])</f>
        <v>#DIV/0!</v>
      </c>
      <c r="N219" s="31"/>
      <c r="P219" s="28" t="e">
        <f>tbl_TubeLaser[[#This Row],[Mat. Qty]]*tbl_TubeLaser[[#This Row],[% Complete]]</f>
        <v>#DIV/0!</v>
      </c>
      <c r="R219" s="32" t="str">
        <f>IFERROR(tbl_TubeLaser[[#This Row],[Qty Complete]]/tbl_TubeLaser[[#This Row],[Total Hours Act]]*tbl_TubeLaser[[#This Row],['# of men Act]],"")</f>
        <v/>
      </c>
      <c r="T219"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219" s="35" t="str">
        <f>IFERROR((tbl_TubeLaser[[#This Row],[Adj. Total Hours]]+tbl_TubeLaser[[#This Row],[Est. Hours]])/(tbl_TubeLaser[[#This Row],[Total Hours Act]]+tbl_TubeLaser[[#This Row],[Act. Hours]]),"")</f>
        <v/>
      </c>
      <c r="Y219"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219" s="104" t="str">
        <f>IFERROR(tbl_TubeLaser[[#This Row],[Act. Mat. Qty]]-tbl_TubeLaser[[#This Row],[Adj. Mat. Qty]],"")</f>
        <v/>
      </c>
      <c r="AA219"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219" s="31"/>
      <c r="AD219" s="36"/>
    </row>
    <row r="220" spans="3:30" ht="25" customHeight="1">
      <c r="C220" s="28" t="str">
        <f>IF(tbl_TubeLaser[[#This Row],[Part'#]]="", "Batch", "Part")</f>
        <v>Batch</v>
      </c>
      <c r="G220" s="28"/>
      <c r="I220" s="70" t="e">
        <f>tbl_TubeLaser[[#This Row],[Qty Complete]]/tbl_TubeLaser[[#This Row],[Qty Required]]</f>
        <v>#DIV/0!</v>
      </c>
      <c r="L220" s="31">
        <f>IF(tbl_TubeLaser[[#This Row],[Job Type]]="Batch",0,tbl_TubeLaser[[#This Row],[Qty Required]]/tbl_TubeLaser[[#This Row],[PPH]]*tbl_TubeLaser[[#This Row],['# of men]])</f>
        <v>0</v>
      </c>
      <c r="M220" s="31" t="e">
        <f>IF(tbl_TubeLaser[[#This Row],[Job Type]]="Batch",tbl_TubeLaser[[#This Row],[Batch Hours]]*tbl_TubeLaser[[#This Row],[% Complete]],tbl_TubeLaser[[#This Row],[Total hours]]*tbl_TubeLaser[[#This Row],[% Complete]])</f>
        <v>#DIV/0!</v>
      </c>
      <c r="N220" s="31"/>
      <c r="P220" s="28" t="e">
        <f>tbl_TubeLaser[[#This Row],[Mat. Qty]]*tbl_TubeLaser[[#This Row],[% Complete]]</f>
        <v>#DIV/0!</v>
      </c>
      <c r="R220" s="32" t="str">
        <f>IFERROR(tbl_TubeLaser[[#This Row],[Qty Complete]]/tbl_TubeLaser[[#This Row],[Total Hours Act]]*tbl_TubeLaser[[#This Row],['# of men Act]],"")</f>
        <v/>
      </c>
      <c r="T220"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220" s="35" t="str">
        <f>IFERROR((tbl_TubeLaser[[#This Row],[Adj. Total Hours]]+tbl_TubeLaser[[#This Row],[Est. Hours]])/(tbl_TubeLaser[[#This Row],[Total Hours Act]]+tbl_TubeLaser[[#This Row],[Act. Hours]]),"")</f>
        <v/>
      </c>
      <c r="Y220"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220" s="104" t="str">
        <f>IFERROR(tbl_TubeLaser[[#This Row],[Act. Mat. Qty]]-tbl_TubeLaser[[#This Row],[Adj. Mat. Qty]],"")</f>
        <v/>
      </c>
      <c r="AA220"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220" s="31"/>
      <c r="AD220" s="36"/>
    </row>
    <row r="221" spans="3:30" ht="25" customHeight="1">
      <c r="C221" s="28" t="str">
        <f>IF(tbl_TubeLaser[[#This Row],[Part'#]]="", "Batch", "Part")</f>
        <v>Batch</v>
      </c>
      <c r="G221" s="28"/>
      <c r="I221" s="70" t="e">
        <f>tbl_TubeLaser[[#This Row],[Qty Complete]]/tbl_TubeLaser[[#This Row],[Qty Required]]</f>
        <v>#DIV/0!</v>
      </c>
      <c r="L221" s="31">
        <f>IF(tbl_TubeLaser[[#This Row],[Job Type]]="Batch",0,tbl_TubeLaser[[#This Row],[Qty Required]]/tbl_TubeLaser[[#This Row],[PPH]]*tbl_TubeLaser[[#This Row],['# of men]])</f>
        <v>0</v>
      </c>
      <c r="M221" s="31" t="e">
        <f>IF(tbl_TubeLaser[[#This Row],[Job Type]]="Batch",tbl_TubeLaser[[#This Row],[Batch Hours]]*tbl_TubeLaser[[#This Row],[% Complete]],tbl_TubeLaser[[#This Row],[Total hours]]*tbl_TubeLaser[[#This Row],[% Complete]])</f>
        <v>#DIV/0!</v>
      </c>
      <c r="N221" s="31"/>
      <c r="P221" s="28" t="e">
        <f>tbl_TubeLaser[[#This Row],[Mat. Qty]]*tbl_TubeLaser[[#This Row],[% Complete]]</f>
        <v>#DIV/0!</v>
      </c>
      <c r="R221" s="32" t="str">
        <f>IFERROR(tbl_TubeLaser[[#This Row],[Qty Complete]]/tbl_TubeLaser[[#This Row],[Total Hours Act]]*tbl_TubeLaser[[#This Row],['# of men Act]],"")</f>
        <v/>
      </c>
      <c r="T221"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221" s="35" t="str">
        <f>IFERROR((tbl_TubeLaser[[#This Row],[Adj. Total Hours]]+tbl_TubeLaser[[#This Row],[Est. Hours]])/(tbl_TubeLaser[[#This Row],[Total Hours Act]]+tbl_TubeLaser[[#This Row],[Act. Hours]]),"")</f>
        <v/>
      </c>
      <c r="Y221"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221" s="104" t="str">
        <f>IFERROR(tbl_TubeLaser[[#This Row],[Act. Mat. Qty]]-tbl_TubeLaser[[#This Row],[Adj. Mat. Qty]],"")</f>
        <v/>
      </c>
      <c r="AA221"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221" s="31"/>
      <c r="AD221" s="36"/>
    </row>
    <row r="222" spans="3:30" ht="25" customHeight="1">
      <c r="C222" s="28" t="str">
        <f>IF(tbl_TubeLaser[[#This Row],[Part'#]]="", "Batch", "Part")</f>
        <v>Batch</v>
      </c>
      <c r="G222" s="28"/>
      <c r="I222" s="70" t="e">
        <f>tbl_TubeLaser[[#This Row],[Qty Complete]]/tbl_TubeLaser[[#This Row],[Qty Required]]</f>
        <v>#DIV/0!</v>
      </c>
      <c r="L222" s="31">
        <f>IF(tbl_TubeLaser[[#This Row],[Job Type]]="Batch",0,tbl_TubeLaser[[#This Row],[Qty Required]]/tbl_TubeLaser[[#This Row],[PPH]]*tbl_TubeLaser[[#This Row],['# of men]])</f>
        <v>0</v>
      </c>
      <c r="M222" s="31" t="e">
        <f>IF(tbl_TubeLaser[[#This Row],[Job Type]]="Batch",tbl_TubeLaser[[#This Row],[Batch Hours]]*tbl_TubeLaser[[#This Row],[% Complete]],tbl_TubeLaser[[#This Row],[Total hours]]*tbl_TubeLaser[[#This Row],[% Complete]])</f>
        <v>#DIV/0!</v>
      </c>
      <c r="N222" s="31"/>
      <c r="P222" s="28" t="e">
        <f>tbl_TubeLaser[[#This Row],[Mat. Qty]]*tbl_TubeLaser[[#This Row],[% Complete]]</f>
        <v>#DIV/0!</v>
      </c>
      <c r="R222" s="32" t="str">
        <f>IFERROR(tbl_TubeLaser[[#This Row],[Qty Complete]]/tbl_TubeLaser[[#This Row],[Total Hours Act]]*tbl_TubeLaser[[#This Row],['# of men Act]],"")</f>
        <v/>
      </c>
      <c r="T222"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222" s="35" t="str">
        <f>IFERROR((tbl_TubeLaser[[#This Row],[Adj. Total Hours]]+tbl_TubeLaser[[#This Row],[Est. Hours]])/(tbl_TubeLaser[[#This Row],[Total Hours Act]]+tbl_TubeLaser[[#This Row],[Act. Hours]]),"")</f>
        <v/>
      </c>
      <c r="Y222"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222" s="104" t="str">
        <f>IFERROR(tbl_TubeLaser[[#This Row],[Act. Mat. Qty]]-tbl_TubeLaser[[#This Row],[Adj. Mat. Qty]],"")</f>
        <v/>
      </c>
      <c r="AA222"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222" s="31"/>
      <c r="AD222" s="36"/>
    </row>
    <row r="223" spans="3:30" ht="25" customHeight="1">
      <c r="C223" s="28" t="str">
        <f>IF(tbl_TubeLaser[[#This Row],[Part'#]]="", "Batch", "Part")</f>
        <v>Batch</v>
      </c>
      <c r="G223" s="28"/>
      <c r="I223" s="70" t="e">
        <f>tbl_TubeLaser[[#This Row],[Qty Complete]]/tbl_TubeLaser[[#This Row],[Qty Required]]</f>
        <v>#DIV/0!</v>
      </c>
      <c r="L223" s="31">
        <f>IF(tbl_TubeLaser[[#This Row],[Job Type]]="Batch",0,tbl_TubeLaser[[#This Row],[Qty Required]]/tbl_TubeLaser[[#This Row],[PPH]]*tbl_TubeLaser[[#This Row],['# of men]])</f>
        <v>0</v>
      </c>
      <c r="M223" s="31" t="e">
        <f>IF(tbl_TubeLaser[[#This Row],[Job Type]]="Batch",tbl_TubeLaser[[#This Row],[Batch Hours]]*tbl_TubeLaser[[#This Row],[% Complete]],tbl_TubeLaser[[#This Row],[Total hours]]*tbl_TubeLaser[[#This Row],[% Complete]])</f>
        <v>#DIV/0!</v>
      </c>
      <c r="N223" s="31"/>
      <c r="P223" s="28" t="e">
        <f>tbl_TubeLaser[[#This Row],[Mat. Qty]]*tbl_TubeLaser[[#This Row],[% Complete]]</f>
        <v>#DIV/0!</v>
      </c>
      <c r="R223" s="32" t="str">
        <f>IFERROR(tbl_TubeLaser[[#This Row],[Qty Complete]]/tbl_TubeLaser[[#This Row],[Total Hours Act]]*tbl_TubeLaser[[#This Row],['# of men Act]],"")</f>
        <v/>
      </c>
      <c r="T223"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223" s="35" t="str">
        <f>IFERROR((tbl_TubeLaser[[#This Row],[Adj. Total Hours]]+tbl_TubeLaser[[#This Row],[Est. Hours]])/(tbl_TubeLaser[[#This Row],[Total Hours Act]]+tbl_TubeLaser[[#This Row],[Act. Hours]]),"")</f>
        <v/>
      </c>
      <c r="Y223"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223" s="104" t="str">
        <f>IFERROR(tbl_TubeLaser[[#This Row],[Act. Mat. Qty]]-tbl_TubeLaser[[#This Row],[Adj. Mat. Qty]],"")</f>
        <v/>
      </c>
      <c r="AA223"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223" s="31"/>
      <c r="AD223" s="36"/>
    </row>
    <row r="224" spans="3:30" ht="25" customHeight="1">
      <c r="C224" s="28" t="str">
        <f>IF(tbl_TubeLaser[[#This Row],[Part'#]]="", "Batch", "Part")</f>
        <v>Batch</v>
      </c>
      <c r="G224" s="28"/>
      <c r="I224" s="70" t="e">
        <f>tbl_TubeLaser[[#This Row],[Qty Complete]]/tbl_TubeLaser[[#This Row],[Qty Required]]</f>
        <v>#DIV/0!</v>
      </c>
      <c r="L224" s="31">
        <f>IF(tbl_TubeLaser[[#This Row],[Job Type]]="Batch",0,tbl_TubeLaser[[#This Row],[Qty Required]]/tbl_TubeLaser[[#This Row],[PPH]]*tbl_TubeLaser[[#This Row],['# of men]])</f>
        <v>0</v>
      </c>
      <c r="M224" s="31" t="e">
        <f>IF(tbl_TubeLaser[[#This Row],[Job Type]]="Batch",tbl_TubeLaser[[#This Row],[Batch Hours]]*tbl_TubeLaser[[#This Row],[% Complete]],tbl_TubeLaser[[#This Row],[Total hours]]*tbl_TubeLaser[[#This Row],[% Complete]])</f>
        <v>#DIV/0!</v>
      </c>
      <c r="N224" s="31"/>
      <c r="P224" s="28" t="e">
        <f>tbl_TubeLaser[[#This Row],[Mat. Qty]]*tbl_TubeLaser[[#This Row],[% Complete]]</f>
        <v>#DIV/0!</v>
      </c>
      <c r="R224" s="32" t="str">
        <f>IFERROR(tbl_TubeLaser[[#This Row],[Qty Complete]]/tbl_TubeLaser[[#This Row],[Total Hours Act]]*tbl_TubeLaser[[#This Row],['# of men Act]],"")</f>
        <v/>
      </c>
      <c r="T224"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224" s="35" t="str">
        <f>IFERROR((tbl_TubeLaser[[#This Row],[Adj. Total Hours]]+tbl_TubeLaser[[#This Row],[Est. Hours]])/(tbl_TubeLaser[[#This Row],[Total Hours Act]]+tbl_TubeLaser[[#This Row],[Act. Hours]]),"")</f>
        <v/>
      </c>
      <c r="Y224"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224" s="104" t="str">
        <f>IFERROR(tbl_TubeLaser[[#This Row],[Act. Mat. Qty]]-tbl_TubeLaser[[#This Row],[Adj. Mat. Qty]],"")</f>
        <v/>
      </c>
      <c r="AA224"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224" s="31"/>
      <c r="AD224" s="36"/>
    </row>
    <row r="225" spans="3:30" ht="25" customHeight="1">
      <c r="C225" s="28" t="str">
        <f>IF(tbl_TubeLaser[[#This Row],[Part'#]]="", "Batch", "Part")</f>
        <v>Batch</v>
      </c>
      <c r="G225" s="28"/>
      <c r="I225" s="70" t="e">
        <f>tbl_TubeLaser[[#This Row],[Qty Complete]]/tbl_TubeLaser[[#This Row],[Qty Required]]</f>
        <v>#DIV/0!</v>
      </c>
      <c r="L225" s="31">
        <f>IF(tbl_TubeLaser[[#This Row],[Job Type]]="Batch",0,tbl_TubeLaser[[#This Row],[Qty Required]]/tbl_TubeLaser[[#This Row],[PPH]]*tbl_TubeLaser[[#This Row],['# of men]])</f>
        <v>0</v>
      </c>
      <c r="M225" s="31" t="e">
        <f>IF(tbl_TubeLaser[[#This Row],[Job Type]]="Batch",tbl_TubeLaser[[#This Row],[Batch Hours]]*tbl_TubeLaser[[#This Row],[% Complete]],tbl_TubeLaser[[#This Row],[Total hours]]*tbl_TubeLaser[[#This Row],[% Complete]])</f>
        <v>#DIV/0!</v>
      </c>
      <c r="N225" s="31"/>
      <c r="P225" s="28" t="e">
        <f>tbl_TubeLaser[[#This Row],[Mat. Qty]]*tbl_TubeLaser[[#This Row],[% Complete]]</f>
        <v>#DIV/0!</v>
      </c>
      <c r="R225" s="32" t="str">
        <f>IFERROR(tbl_TubeLaser[[#This Row],[Qty Complete]]/tbl_TubeLaser[[#This Row],[Total Hours Act]]*tbl_TubeLaser[[#This Row],['# of men Act]],"")</f>
        <v/>
      </c>
      <c r="T225"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225" s="35" t="str">
        <f>IFERROR((tbl_TubeLaser[[#This Row],[Adj. Total Hours]]+tbl_TubeLaser[[#This Row],[Est. Hours]])/(tbl_TubeLaser[[#This Row],[Total Hours Act]]+tbl_TubeLaser[[#This Row],[Act. Hours]]),"")</f>
        <v/>
      </c>
      <c r="Y225"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225" s="104" t="str">
        <f>IFERROR(tbl_TubeLaser[[#This Row],[Act. Mat. Qty]]-tbl_TubeLaser[[#This Row],[Adj. Mat. Qty]],"")</f>
        <v/>
      </c>
      <c r="AA225"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225" s="31"/>
      <c r="AD225" s="36"/>
    </row>
    <row r="226" spans="3:30" ht="25" customHeight="1">
      <c r="C226" s="28" t="str">
        <f>IF(tbl_TubeLaser[[#This Row],[Part'#]]="", "Batch", "Part")</f>
        <v>Batch</v>
      </c>
      <c r="G226" s="28"/>
      <c r="I226" s="70" t="e">
        <f>tbl_TubeLaser[[#This Row],[Qty Complete]]/tbl_TubeLaser[[#This Row],[Qty Required]]</f>
        <v>#DIV/0!</v>
      </c>
      <c r="L226" s="31">
        <f>IF(tbl_TubeLaser[[#This Row],[Job Type]]="Batch",0,tbl_TubeLaser[[#This Row],[Qty Required]]/tbl_TubeLaser[[#This Row],[PPH]]*tbl_TubeLaser[[#This Row],['# of men]])</f>
        <v>0</v>
      </c>
      <c r="M226" s="31" t="e">
        <f>IF(tbl_TubeLaser[[#This Row],[Job Type]]="Batch",tbl_TubeLaser[[#This Row],[Batch Hours]]*tbl_TubeLaser[[#This Row],[% Complete]],tbl_TubeLaser[[#This Row],[Total hours]]*tbl_TubeLaser[[#This Row],[% Complete]])</f>
        <v>#DIV/0!</v>
      </c>
      <c r="N226" s="31"/>
      <c r="P226" s="28" t="e">
        <f>tbl_TubeLaser[[#This Row],[Mat. Qty]]*tbl_TubeLaser[[#This Row],[% Complete]]</f>
        <v>#DIV/0!</v>
      </c>
      <c r="R226" s="32" t="str">
        <f>IFERROR(tbl_TubeLaser[[#This Row],[Qty Complete]]/tbl_TubeLaser[[#This Row],[Total Hours Act]]*tbl_TubeLaser[[#This Row],['# of men Act]],"")</f>
        <v/>
      </c>
      <c r="T226"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226" s="35" t="str">
        <f>IFERROR((tbl_TubeLaser[[#This Row],[Adj. Total Hours]]+tbl_TubeLaser[[#This Row],[Est. Hours]])/(tbl_TubeLaser[[#This Row],[Total Hours Act]]+tbl_TubeLaser[[#This Row],[Act. Hours]]),"")</f>
        <v/>
      </c>
      <c r="Y226"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226" s="104" t="str">
        <f>IFERROR(tbl_TubeLaser[[#This Row],[Act. Mat. Qty]]-tbl_TubeLaser[[#This Row],[Adj. Mat. Qty]],"")</f>
        <v/>
      </c>
      <c r="AA226"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226" s="31"/>
      <c r="AD226" s="36"/>
    </row>
    <row r="227" spans="3:30" ht="25" customHeight="1">
      <c r="C227" s="28" t="str">
        <f>IF(tbl_TubeLaser[[#This Row],[Part'#]]="", "Batch", "Part")</f>
        <v>Batch</v>
      </c>
      <c r="G227" s="28"/>
      <c r="I227" s="70" t="e">
        <f>tbl_TubeLaser[[#This Row],[Qty Complete]]/tbl_TubeLaser[[#This Row],[Qty Required]]</f>
        <v>#DIV/0!</v>
      </c>
      <c r="L227" s="31">
        <f>IF(tbl_TubeLaser[[#This Row],[Job Type]]="Batch",0,tbl_TubeLaser[[#This Row],[Qty Required]]/tbl_TubeLaser[[#This Row],[PPH]]*tbl_TubeLaser[[#This Row],['# of men]])</f>
        <v>0</v>
      </c>
      <c r="M227" s="31" t="e">
        <f>IF(tbl_TubeLaser[[#This Row],[Job Type]]="Batch",tbl_TubeLaser[[#This Row],[Batch Hours]]*tbl_TubeLaser[[#This Row],[% Complete]],tbl_TubeLaser[[#This Row],[Total hours]]*tbl_TubeLaser[[#This Row],[% Complete]])</f>
        <v>#DIV/0!</v>
      </c>
      <c r="N227" s="31"/>
      <c r="P227" s="28" t="e">
        <f>tbl_TubeLaser[[#This Row],[Mat. Qty]]*tbl_TubeLaser[[#This Row],[% Complete]]</f>
        <v>#DIV/0!</v>
      </c>
      <c r="R227" s="32" t="str">
        <f>IFERROR(tbl_TubeLaser[[#This Row],[Qty Complete]]/tbl_TubeLaser[[#This Row],[Total Hours Act]]*tbl_TubeLaser[[#This Row],['# of men Act]],"")</f>
        <v/>
      </c>
      <c r="T227"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227" s="35" t="str">
        <f>IFERROR((tbl_TubeLaser[[#This Row],[Adj. Total Hours]]+tbl_TubeLaser[[#This Row],[Est. Hours]])/(tbl_TubeLaser[[#This Row],[Total Hours Act]]+tbl_TubeLaser[[#This Row],[Act. Hours]]),"")</f>
        <v/>
      </c>
      <c r="Y227"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227" s="104" t="str">
        <f>IFERROR(tbl_TubeLaser[[#This Row],[Act. Mat. Qty]]-tbl_TubeLaser[[#This Row],[Adj. Mat. Qty]],"")</f>
        <v/>
      </c>
      <c r="AA227"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227" s="31"/>
      <c r="AD227" s="36"/>
    </row>
    <row r="228" spans="3:30" ht="25" customHeight="1">
      <c r="C228" s="28" t="str">
        <f>IF(tbl_TubeLaser[[#This Row],[Part'#]]="", "Batch", "Part")</f>
        <v>Batch</v>
      </c>
      <c r="G228" s="28"/>
      <c r="I228" s="70" t="e">
        <f>tbl_TubeLaser[[#This Row],[Qty Complete]]/tbl_TubeLaser[[#This Row],[Qty Required]]</f>
        <v>#DIV/0!</v>
      </c>
      <c r="L228" s="31">
        <f>IF(tbl_TubeLaser[[#This Row],[Job Type]]="Batch",0,tbl_TubeLaser[[#This Row],[Qty Required]]/tbl_TubeLaser[[#This Row],[PPH]]*tbl_TubeLaser[[#This Row],['# of men]])</f>
        <v>0</v>
      </c>
      <c r="M228" s="31" t="e">
        <f>IF(tbl_TubeLaser[[#This Row],[Job Type]]="Batch",tbl_TubeLaser[[#This Row],[Batch Hours]]*tbl_TubeLaser[[#This Row],[% Complete]],tbl_TubeLaser[[#This Row],[Total hours]]*tbl_TubeLaser[[#This Row],[% Complete]])</f>
        <v>#DIV/0!</v>
      </c>
      <c r="N228" s="31"/>
      <c r="P228" s="28" t="e">
        <f>tbl_TubeLaser[[#This Row],[Mat. Qty]]*tbl_TubeLaser[[#This Row],[% Complete]]</f>
        <v>#DIV/0!</v>
      </c>
      <c r="R228" s="32" t="str">
        <f>IFERROR(tbl_TubeLaser[[#This Row],[Qty Complete]]/tbl_TubeLaser[[#This Row],[Total Hours Act]]*tbl_TubeLaser[[#This Row],['# of men Act]],"")</f>
        <v/>
      </c>
      <c r="T228"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228" s="35" t="str">
        <f>IFERROR((tbl_TubeLaser[[#This Row],[Adj. Total Hours]]+tbl_TubeLaser[[#This Row],[Est. Hours]])/(tbl_TubeLaser[[#This Row],[Total Hours Act]]+tbl_TubeLaser[[#This Row],[Act. Hours]]),"")</f>
        <v/>
      </c>
      <c r="Y228"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228" s="104" t="str">
        <f>IFERROR(tbl_TubeLaser[[#This Row],[Act. Mat. Qty]]-tbl_TubeLaser[[#This Row],[Adj. Mat. Qty]],"")</f>
        <v/>
      </c>
      <c r="AA228"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228" s="31"/>
      <c r="AD228" s="36"/>
    </row>
    <row r="229" spans="3:30" ht="25" customHeight="1">
      <c r="C229" s="28" t="str">
        <f>IF(tbl_TubeLaser[[#This Row],[Part'#]]="", "Batch", "Part")</f>
        <v>Batch</v>
      </c>
      <c r="G229" s="28"/>
      <c r="I229" s="70" t="e">
        <f>tbl_TubeLaser[[#This Row],[Qty Complete]]/tbl_TubeLaser[[#This Row],[Qty Required]]</f>
        <v>#DIV/0!</v>
      </c>
      <c r="L229" s="31">
        <f>IF(tbl_TubeLaser[[#This Row],[Job Type]]="Batch",0,tbl_TubeLaser[[#This Row],[Qty Required]]/tbl_TubeLaser[[#This Row],[PPH]]*tbl_TubeLaser[[#This Row],['# of men]])</f>
        <v>0</v>
      </c>
      <c r="M229" s="31" t="e">
        <f>IF(tbl_TubeLaser[[#This Row],[Job Type]]="Batch",tbl_TubeLaser[[#This Row],[Batch Hours]]*tbl_TubeLaser[[#This Row],[% Complete]],tbl_TubeLaser[[#This Row],[Total hours]]*tbl_TubeLaser[[#This Row],[% Complete]])</f>
        <v>#DIV/0!</v>
      </c>
      <c r="N229" s="31"/>
      <c r="P229" s="28" t="e">
        <f>tbl_TubeLaser[[#This Row],[Mat. Qty]]*tbl_TubeLaser[[#This Row],[% Complete]]</f>
        <v>#DIV/0!</v>
      </c>
      <c r="R229" s="32" t="str">
        <f>IFERROR(tbl_TubeLaser[[#This Row],[Qty Complete]]/tbl_TubeLaser[[#This Row],[Total Hours Act]]*tbl_TubeLaser[[#This Row],['# of men Act]],"")</f>
        <v/>
      </c>
      <c r="T229"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229" s="35" t="str">
        <f>IFERROR((tbl_TubeLaser[[#This Row],[Adj. Total Hours]]+tbl_TubeLaser[[#This Row],[Est. Hours]])/(tbl_TubeLaser[[#This Row],[Total Hours Act]]+tbl_TubeLaser[[#This Row],[Act. Hours]]),"")</f>
        <v/>
      </c>
      <c r="Y229"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229" s="104" t="str">
        <f>IFERROR(tbl_TubeLaser[[#This Row],[Act. Mat. Qty]]-tbl_TubeLaser[[#This Row],[Adj. Mat. Qty]],"")</f>
        <v/>
      </c>
      <c r="AA229"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229" s="31"/>
      <c r="AD229" s="36"/>
    </row>
    <row r="230" spans="3:30" ht="25" customHeight="1">
      <c r="C230" s="28" t="str">
        <f>IF(tbl_TubeLaser[[#This Row],[Part'#]]="", "Batch", "Part")</f>
        <v>Batch</v>
      </c>
      <c r="G230" s="28"/>
      <c r="I230" s="70" t="e">
        <f>tbl_TubeLaser[[#This Row],[Qty Complete]]/tbl_TubeLaser[[#This Row],[Qty Required]]</f>
        <v>#DIV/0!</v>
      </c>
      <c r="L230" s="31">
        <f>IF(tbl_TubeLaser[[#This Row],[Job Type]]="Batch",0,tbl_TubeLaser[[#This Row],[Qty Required]]/tbl_TubeLaser[[#This Row],[PPH]]*tbl_TubeLaser[[#This Row],['# of men]])</f>
        <v>0</v>
      </c>
      <c r="M230" s="31" t="e">
        <f>IF(tbl_TubeLaser[[#This Row],[Job Type]]="Batch",tbl_TubeLaser[[#This Row],[Batch Hours]]*tbl_TubeLaser[[#This Row],[% Complete]],tbl_TubeLaser[[#This Row],[Total hours]]*tbl_TubeLaser[[#This Row],[% Complete]])</f>
        <v>#DIV/0!</v>
      </c>
      <c r="N230" s="31"/>
      <c r="P230" s="28" t="e">
        <f>tbl_TubeLaser[[#This Row],[Mat. Qty]]*tbl_TubeLaser[[#This Row],[% Complete]]</f>
        <v>#DIV/0!</v>
      </c>
      <c r="R230" s="32" t="str">
        <f>IFERROR(tbl_TubeLaser[[#This Row],[Qty Complete]]/tbl_TubeLaser[[#This Row],[Total Hours Act]]*tbl_TubeLaser[[#This Row],['# of men Act]],"")</f>
        <v/>
      </c>
      <c r="T230"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230" s="35" t="str">
        <f>IFERROR((tbl_TubeLaser[[#This Row],[Adj. Total Hours]]+tbl_TubeLaser[[#This Row],[Est. Hours]])/(tbl_TubeLaser[[#This Row],[Total Hours Act]]+tbl_TubeLaser[[#This Row],[Act. Hours]]),"")</f>
        <v/>
      </c>
      <c r="Y230"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230" s="104" t="str">
        <f>IFERROR(tbl_TubeLaser[[#This Row],[Act. Mat. Qty]]-tbl_TubeLaser[[#This Row],[Adj. Mat. Qty]],"")</f>
        <v/>
      </c>
      <c r="AA230"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230" s="31"/>
      <c r="AD230" s="36"/>
    </row>
    <row r="231" spans="3:30" ht="25" customHeight="1">
      <c r="C231" s="28" t="str">
        <f>IF(tbl_TubeLaser[[#This Row],[Part'#]]="", "Batch", "Part")</f>
        <v>Batch</v>
      </c>
      <c r="G231" s="28"/>
      <c r="I231" s="70" t="e">
        <f>tbl_TubeLaser[[#This Row],[Qty Complete]]/tbl_TubeLaser[[#This Row],[Qty Required]]</f>
        <v>#DIV/0!</v>
      </c>
      <c r="L231" s="31">
        <f>IF(tbl_TubeLaser[[#This Row],[Job Type]]="Batch",0,tbl_TubeLaser[[#This Row],[Qty Required]]/tbl_TubeLaser[[#This Row],[PPH]]*tbl_TubeLaser[[#This Row],['# of men]])</f>
        <v>0</v>
      </c>
      <c r="M231" s="31" t="e">
        <f>IF(tbl_TubeLaser[[#This Row],[Job Type]]="Batch",tbl_TubeLaser[[#This Row],[Batch Hours]]*tbl_TubeLaser[[#This Row],[% Complete]],tbl_TubeLaser[[#This Row],[Total hours]]*tbl_TubeLaser[[#This Row],[% Complete]])</f>
        <v>#DIV/0!</v>
      </c>
      <c r="N231" s="31"/>
      <c r="P231" s="28" t="e">
        <f>tbl_TubeLaser[[#This Row],[Mat. Qty]]*tbl_TubeLaser[[#This Row],[% Complete]]</f>
        <v>#DIV/0!</v>
      </c>
      <c r="R231" s="32" t="str">
        <f>IFERROR(tbl_TubeLaser[[#This Row],[Qty Complete]]/tbl_TubeLaser[[#This Row],[Total Hours Act]]*tbl_TubeLaser[[#This Row],['# of men Act]],"")</f>
        <v/>
      </c>
      <c r="T231"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231" s="35" t="str">
        <f>IFERROR((tbl_TubeLaser[[#This Row],[Adj. Total Hours]]+tbl_TubeLaser[[#This Row],[Est. Hours]])/(tbl_TubeLaser[[#This Row],[Total Hours Act]]+tbl_TubeLaser[[#This Row],[Act. Hours]]),"")</f>
        <v/>
      </c>
      <c r="Y231"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231" s="104" t="str">
        <f>IFERROR(tbl_TubeLaser[[#This Row],[Act. Mat. Qty]]-tbl_TubeLaser[[#This Row],[Adj. Mat. Qty]],"")</f>
        <v/>
      </c>
      <c r="AA231"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231" s="31"/>
      <c r="AD231" s="36"/>
    </row>
    <row r="232" spans="3:30" ht="25" customHeight="1">
      <c r="C232" s="28" t="str">
        <f>IF(tbl_TubeLaser[[#This Row],[Part'#]]="", "Batch", "Part")</f>
        <v>Batch</v>
      </c>
      <c r="G232" s="28"/>
      <c r="I232" s="70" t="e">
        <f>tbl_TubeLaser[[#This Row],[Qty Complete]]/tbl_TubeLaser[[#This Row],[Qty Required]]</f>
        <v>#DIV/0!</v>
      </c>
      <c r="L232" s="31">
        <f>IF(tbl_TubeLaser[[#This Row],[Job Type]]="Batch",0,tbl_TubeLaser[[#This Row],[Qty Required]]/tbl_TubeLaser[[#This Row],[PPH]]*tbl_TubeLaser[[#This Row],['# of men]])</f>
        <v>0</v>
      </c>
      <c r="M232" s="31" t="e">
        <f>IF(tbl_TubeLaser[[#This Row],[Job Type]]="Batch",tbl_TubeLaser[[#This Row],[Batch Hours]]*tbl_TubeLaser[[#This Row],[% Complete]],tbl_TubeLaser[[#This Row],[Total hours]]*tbl_TubeLaser[[#This Row],[% Complete]])</f>
        <v>#DIV/0!</v>
      </c>
      <c r="N232" s="31"/>
      <c r="P232" s="28" t="e">
        <f>tbl_TubeLaser[[#This Row],[Mat. Qty]]*tbl_TubeLaser[[#This Row],[% Complete]]</f>
        <v>#DIV/0!</v>
      </c>
      <c r="R232" s="32" t="str">
        <f>IFERROR(tbl_TubeLaser[[#This Row],[Qty Complete]]/tbl_TubeLaser[[#This Row],[Total Hours Act]]*tbl_TubeLaser[[#This Row],['# of men Act]],"")</f>
        <v/>
      </c>
      <c r="T232"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232" s="35" t="str">
        <f>IFERROR((tbl_TubeLaser[[#This Row],[Adj. Total Hours]]+tbl_TubeLaser[[#This Row],[Est. Hours]])/(tbl_TubeLaser[[#This Row],[Total Hours Act]]+tbl_TubeLaser[[#This Row],[Act. Hours]]),"")</f>
        <v/>
      </c>
      <c r="Y232"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232" s="104" t="str">
        <f>IFERROR(tbl_TubeLaser[[#This Row],[Act. Mat. Qty]]-tbl_TubeLaser[[#This Row],[Adj. Mat. Qty]],"")</f>
        <v/>
      </c>
      <c r="AA232"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232" s="31"/>
      <c r="AD232" s="36"/>
    </row>
    <row r="233" spans="3:30" ht="25" customHeight="1">
      <c r="C233" s="28" t="str">
        <f>IF(tbl_TubeLaser[[#This Row],[Part'#]]="", "Batch", "Part")</f>
        <v>Batch</v>
      </c>
      <c r="G233" s="28"/>
      <c r="I233" s="70" t="e">
        <f>tbl_TubeLaser[[#This Row],[Qty Complete]]/tbl_TubeLaser[[#This Row],[Qty Required]]</f>
        <v>#DIV/0!</v>
      </c>
      <c r="L233" s="31">
        <f>IF(tbl_TubeLaser[[#This Row],[Job Type]]="Batch",0,tbl_TubeLaser[[#This Row],[Qty Required]]/tbl_TubeLaser[[#This Row],[PPH]]*tbl_TubeLaser[[#This Row],['# of men]])</f>
        <v>0</v>
      </c>
      <c r="M233" s="31" t="e">
        <f>IF(tbl_TubeLaser[[#This Row],[Job Type]]="Batch",tbl_TubeLaser[[#This Row],[Batch Hours]]*tbl_TubeLaser[[#This Row],[% Complete]],tbl_TubeLaser[[#This Row],[Total hours]]*tbl_TubeLaser[[#This Row],[% Complete]])</f>
        <v>#DIV/0!</v>
      </c>
      <c r="N233" s="31"/>
      <c r="P233" s="28" t="e">
        <f>tbl_TubeLaser[[#This Row],[Mat. Qty]]*tbl_TubeLaser[[#This Row],[% Complete]]</f>
        <v>#DIV/0!</v>
      </c>
      <c r="R233" s="32" t="str">
        <f>IFERROR(tbl_TubeLaser[[#This Row],[Qty Complete]]/tbl_TubeLaser[[#This Row],[Total Hours Act]]*tbl_TubeLaser[[#This Row],['# of men Act]],"")</f>
        <v/>
      </c>
      <c r="T233"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233" s="35" t="str">
        <f>IFERROR((tbl_TubeLaser[[#This Row],[Adj. Total Hours]]+tbl_TubeLaser[[#This Row],[Est. Hours]])/(tbl_TubeLaser[[#This Row],[Total Hours Act]]+tbl_TubeLaser[[#This Row],[Act. Hours]]),"")</f>
        <v/>
      </c>
      <c r="Y233"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233" s="104" t="str">
        <f>IFERROR(tbl_TubeLaser[[#This Row],[Act. Mat. Qty]]-tbl_TubeLaser[[#This Row],[Adj. Mat. Qty]],"")</f>
        <v/>
      </c>
      <c r="AA233"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233" s="31"/>
      <c r="AD233" s="36"/>
    </row>
    <row r="234" spans="3:30" ht="25" customHeight="1">
      <c r="C234" s="28" t="str">
        <f>IF(tbl_TubeLaser[[#This Row],[Part'#]]="", "Batch", "Part")</f>
        <v>Batch</v>
      </c>
      <c r="G234" s="28"/>
      <c r="I234" s="70" t="e">
        <f>tbl_TubeLaser[[#This Row],[Qty Complete]]/tbl_TubeLaser[[#This Row],[Qty Required]]</f>
        <v>#DIV/0!</v>
      </c>
      <c r="L234" s="31">
        <f>IF(tbl_TubeLaser[[#This Row],[Job Type]]="Batch",0,tbl_TubeLaser[[#This Row],[Qty Required]]/tbl_TubeLaser[[#This Row],[PPH]]*tbl_TubeLaser[[#This Row],['# of men]])</f>
        <v>0</v>
      </c>
      <c r="M234" s="31" t="e">
        <f>IF(tbl_TubeLaser[[#This Row],[Job Type]]="Batch",tbl_TubeLaser[[#This Row],[Batch Hours]]*tbl_TubeLaser[[#This Row],[% Complete]],tbl_TubeLaser[[#This Row],[Total hours]]*tbl_TubeLaser[[#This Row],[% Complete]])</f>
        <v>#DIV/0!</v>
      </c>
      <c r="N234" s="31"/>
      <c r="P234" s="28" t="e">
        <f>tbl_TubeLaser[[#This Row],[Mat. Qty]]*tbl_TubeLaser[[#This Row],[% Complete]]</f>
        <v>#DIV/0!</v>
      </c>
      <c r="R234" s="32" t="str">
        <f>IFERROR(tbl_TubeLaser[[#This Row],[Qty Complete]]/tbl_TubeLaser[[#This Row],[Total Hours Act]]*tbl_TubeLaser[[#This Row],['# of men Act]],"")</f>
        <v/>
      </c>
      <c r="T234"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234" s="35" t="str">
        <f>IFERROR((tbl_TubeLaser[[#This Row],[Adj. Total Hours]]+tbl_TubeLaser[[#This Row],[Est. Hours]])/(tbl_TubeLaser[[#This Row],[Total Hours Act]]+tbl_TubeLaser[[#This Row],[Act. Hours]]),"")</f>
        <v/>
      </c>
      <c r="Y234"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234" s="104" t="str">
        <f>IFERROR(tbl_TubeLaser[[#This Row],[Act. Mat. Qty]]-tbl_TubeLaser[[#This Row],[Adj. Mat. Qty]],"")</f>
        <v/>
      </c>
      <c r="AA234"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234" s="31"/>
      <c r="AD234" s="36"/>
    </row>
    <row r="235" spans="3:30" ht="25" customHeight="1">
      <c r="C235" s="28" t="str">
        <f>IF(tbl_TubeLaser[[#This Row],[Part'#]]="", "Batch", "Part")</f>
        <v>Batch</v>
      </c>
      <c r="G235" s="28"/>
      <c r="I235" s="70" t="e">
        <f>tbl_TubeLaser[[#This Row],[Qty Complete]]/tbl_TubeLaser[[#This Row],[Qty Required]]</f>
        <v>#DIV/0!</v>
      </c>
      <c r="L235" s="31">
        <f>IF(tbl_TubeLaser[[#This Row],[Job Type]]="Batch",0,tbl_TubeLaser[[#This Row],[Qty Required]]/tbl_TubeLaser[[#This Row],[PPH]]*tbl_TubeLaser[[#This Row],['# of men]])</f>
        <v>0</v>
      </c>
      <c r="M235" s="31" t="e">
        <f>IF(tbl_TubeLaser[[#This Row],[Job Type]]="Batch",tbl_TubeLaser[[#This Row],[Batch Hours]]*tbl_TubeLaser[[#This Row],[% Complete]],tbl_TubeLaser[[#This Row],[Total hours]]*tbl_TubeLaser[[#This Row],[% Complete]])</f>
        <v>#DIV/0!</v>
      </c>
      <c r="N235" s="31"/>
      <c r="P235" s="28" t="e">
        <f>tbl_TubeLaser[[#This Row],[Mat. Qty]]*tbl_TubeLaser[[#This Row],[% Complete]]</f>
        <v>#DIV/0!</v>
      </c>
      <c r="R235" s="32" t="str">
        <f>IFERROR(tbl_TubeLaser[[#This Row],[Qty Complete]]/tbl_TubeLaser[[#This Row],[Total Hours Act]]*tbl_TubeLaser[[#This Row],['# of men Act]],"")</f>
        <v/>
      </c>
      <c r="T235"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235" s="35" t="str">
        <f>IFERROR((tbl_TubeLaser[[#This Row],[Adj. Total Hours]]+tbl_TubeLaser[[#This Row],[Est. Hours]])/(tbl_TubeLaser[[#This Row],[Total Hours Act]]+tbl_TubeLaser[[#This Row],[Act. Hours]]),"")</f>
        <v/>
      </c>
      <c r="Y235"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235" s="104" t="str">
        <f>IFERROR(tbl_TubeLaser[[#This Row],[Act. Mat. Qty]]-tbl_TubeLaser[[#This Row],[Adj. Mat. Qty]],"")</f>
        <v/>
      </c>
      <c r="AA235"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235" s="31"/>
      <c r="AD235" s="36"/>
    </row>
    <row r="236" spans="3:30" ht="25" customHeight="1">
      <c r="C236" s="28" t="str">
        <f>IF(tbl_TubeLaser[[#This Row],[Part'#]]="", "Batch", "Part")</f>
        <v>Batch</v>
      </c>
      <c r="G236" s="28"/>
      <c r="I236" s="70" t="e">
        <f>tbl_TubeLaser[[#This Row],[Qty Complete]]/tbl_TubeLaser[[#This Row],[Qty Required]]</f>
        <v>#DIV/0!</v>
      </c>
      <c r="L236" s="31">
        <f>IF(tbl_TubeLaser[[#This Row],[Job Type]]="Batch",0,tbl_TubeLaser[[#This Row],[Qty Required]]/tbl_TubeLaser[[#This Row],[PPH]]*tbl_TubeLaser[[#This Row],['# of men]])</f>
        <v>0</v>
      </c>
      <c r="M236" s="31" t="e">
        <f>IF(tbl_TubeLaser[[#This Row],[Job Type]]="Batch",tbl_TubeLaser[[#This Row],[Batch Hours]]*tbl_TubeLaser[[#This Row],[% Complete]],tbl_TubeLaser[[#This Row],[Total hours]]*tbl_TubeLaser[[#This Row],[% Complete]])</f>
        <v>#DIV/0!</v>
      </c>
      <c r="N236" s="31"/>
      <c r="P236" s="28" t="e">
        <f>tbl_TubeLaser[[#This Row],[Mat. Qty]]*tbl_TubeLaser[[#This Row],[% Complete]]</f>
        <v>#DIV/0!</v>
      </c>
      <c r="R236" s="32" t="str">
        <f>IFERROR(tbl_TubeLaser[[#This Row],[Qty Complete]]/tbl_TubeLaser[[#This Row],[Total Hours Act]]*tbl_TubeLaser[[#This Row],['# of men Act]],"")</f>
        <v/>
      </c>
      <c r="T236"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236" s="35" t="str">
        <f>IFERROR((tbl_TubeLaser[[#This Row],[Adj. Total Hours]]+tbl_TubeLaser[[#This Row],[Est. Hours]])/(tbl_TubeLaser[[#This Row],[Total Hours Act]]+tbl_TubeLaser[[#This Row],[Act. Hours]]),"")</f>
        <v/>
      </c>
      <c r="Y236"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236" s="104" t="str">
        <f>IFERROR(tbl_TubeLaser[[#This Row],[Act. Mat. Qty]]-tbl_TubeLaser[[#This Row],[Adj. Mat. Qty]],"")</f>
        <v/>
      </c>
      <c r="AA236"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236" s="31"/>
      <c r="AD236" s="36"/>
    </row>
    <row r="237" spans="3:30" ht="25" customHeight="1">
      <c r="C237" s="28" t="str">
        <f>IF(tbl_TubeLaser[[#This Row],[Part'#]]="", "Batch", "Part")</f>
        <v>Batch</v>
      </c>
      <c r="G237" s="28"/>
      <c r="I237" s="70" t="e">
        <f>tbl_TubeLaser[[#This Row],[Qty Complete]]/tbl_TubeLaser[[#This Row],[Qty Required]]</f>
        <v>#DIV/0!</v>
      </c>
      <c r="L237" s="31">
        <f>IF(tbl_TubeLaser[[#This Row],[Job Type]]="Batch",0,tbl_TubeLaser[[#This Row],[Qty Required]]/tbl_TubeLaser[[#This Row],[PPH]]*tbl_TubeLaser[[#This Row],['# of men]])</f>
        <v>0</v>
      </c>
      <c r="M237" s="31" t="e">
        <f>IF(tbl_TubeLaser[[#This Row],[Job Type]]="Batch",tbl_TubeLaser[[#This Row],[Batch Hours]]*tbl_TubeLaser[[#This Row],[% Complete]],tbl_TubeLaser[[#This Row],[Total hours]]*tbl_TubeLaser[[#This Row],[% Complete]])</f>
        <v>#DIV/0!</v>
      </c>
      <c r="N237" s="31"/>
      <c r="P237" s="28" t="e">
        <f>tbl_TubeLaser[[#This Row],[Mat. Qty]]*tbl_TubeLaser[[#This Row],[% Complete]]</f>
        <v>#DIV/0!</v>
      </c>
      <c r="R237" s="32" t="str">
        <f>IFERROR(tbl_TubeLaser[[#This Row],[Qty Complete]]/tbl_TubeLaser[[#This Row],[Total Hours Act]]*tbl_TubeLaser[[#This Row],['# of men Act]],"")</f>
        <v/>
      </c>
      <c r="T237"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237" s="35" t="str">
        <f>IFERROR((tbl_TubeLaser[[#This Row],[Adj. Total Hours]]+tbl_TubeLaser[[#This Row],[Est. Hours]])/(tbl_TubeLaser[[#This Row],[Total Hours Act]]+tbl_TubeLaser[[#This Row],[Act. Hours]]),"")</f>
        <v/>
      </c>
      <c r="Y237"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237" s="104" t="str">
        <f>IFERROR(tbl_TubeLaser[[#This Row],[Act. Mat. Qty]]-tbl_TubeLaser[[#This Row],[Adj. Mat. Qty]],"")</f>
        <v/>
      </c>
      <c r="AA237"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237" s="31"/>
      <c r="AD237" s="36"/>
    </row>
    <row r="238" spans="3:30" ht="25" customHeight="1">
      <c r="C238" s="28" t="str">
        <f>IF(tbl_TubeLaser[[#This Row],[Part'#]]="", "Batch", "Part")</f>
        <v>Batch</v>
      </c>
      <c r="G238" s="28"/>
      <c r="I238" s="70" t="e">
        <f>tbl_TubeLaser[[#This Row],[Qty Complete]]/tbl_TubeLaser[[#This Row],[Qty Required]]</f>
        <v>#DIV/0!</v>
      </c>
      <c r="L238" s="31">
        <f>IF(tbl_TubeLaser[[#This Row],[Job Type]]="Batch",0,tbl_TubeLaser[[#This Row],[Qty Required]]/tbl_TubeLaser[[#This Row],[PPH]]*tbl_TubeLaser[[#This Row],['# of men]])</f>
        <v>0</v>
      </c>
      <c r="M238" s="31" t="e">
        <f>IF(tbl_TubeLaser[[#This Row],[Job Type]]="Batch",tbl_TubeLaser[[#This Row],[Batch Hours]]*tbl_TubeLaser[[#This Row],[% Complete]],tbl_TubeLaser[[#This Row],[Total hours]]*tbl_TubeLaser[[#This Row],[% Complete]])</f>
        <v>#DIV/0!</v>
      </c>
      <c r="N238" s="31"/>
      <c r="P238" s="28" t="e">
        <f>tbl_TubeLaser[[#This Row],[Mat. Qty]]*tbl_TubeLaser[[#This Row],[% Complete]]</f>
        <v>#DIV/0!</v>
      </c>
      <c r="R238" s="32" t="str">
        <f>IFERROR(tbl_TubeLaser[[#This Row],[Qty Complete]]/tbl_TubeLaser[[#This Row],[Total Hours Act]]*tbl_TubeLaser[[#This Row],['# of men Act]],"")</f>
        <v/>
      </c>
      <c r="T238"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238" s="35" t="str">
        <f>IFERROR((tbl_TubeLaser[[#This Row],[Adj. Total Hours]]+tbl_TubeLaser[[#This Row],[Est. Hours]])/(tbl_TubeLaser[[#This Row],[Total Hours Act]]+tbl_TubeLaser[[#This Row],[Act. Hours]]),"")</f>
        <v/>
      </c>
      <c r="Y238"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238" s="104" t="str">
        <f>IFERROR(tbl_TubeLaser[[#This Row],[Act. Mat. Qty]]-tbl_TubeLaser[[#This Row],[Adj. Mat. Qty]],"")</f>
        <v/>
      </c>
      <c r="AA238"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238" s="31"/>
      <c r="AD238" s="36"/>
    </row>
    <row r="239" spans="3:30" ht="25" customHeight="1">
      <c r="C239" s="28" t="str">
        <f>IF(tbl_TubeLaser[[#This Row],[Part'#]]="", "Batch", "Part")</f>
        <v>Batch</v>
      </c>
      <c r="G239" s="28"/>
      <c r="I239" s="70" t="e">
        <f>tbl_TubeLaser[[#This Row],[Qty Complete]]/tbl_TubeLaser[[#This Row],[Qty Required]]</f>
        <v>#DIV/0!</v>
      </c>
      <c r="L239" s="31">
        <f>IF(tbl_TubeLaser[[#This Row],[Job Type]]="Batch",0,tbl_TubeLaser[[#This Row],[Qty Required]]/tbl_TubeLaser[[#This Row],[PPH]]*tbl_TubeLaser[[#This Row],['# of men]])</f>
        <v>0</v>
      </c>
      <c r="M239" s="31" t="e">
        <f>IF(tbl_TubeLaser[[#This Row],[Job Type]]="Batch",tbl_TubeLaser[[#This Row],[Batch Hours]]*tbl_TubeLaser[[#This Row],[% Complete]],tbl_TubeLaser[[#This Row],[Total hours]]*tbl_TubeLaser[[#This Row],[% Complete]])</f>
        <v>#DIV/0!</v>
      </c>
      <c r="N239" s="31"/>
      <c r="P239" s="28" t="e">
        <f>tbl_TubeLaser[[#This Row],[Mat. Qty]]*tbl_TubeLaser[[#This Row],[% Complete]]</f>
        <v>#DIV/0!</v>
      </c>
      <c r="R239" s="32" t="str">
        <f>IFERROR(tbl_TubeLaser[[#This Row],[Qty Complete]]/tbl_TubeLaser[[#This Row],[Total Hours Act]]*tbl_TubeLaser[[#This Row],['# of men Act]],"")</f>
        <v/>
      </c>
      <c r="T239"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239" s="35" t="str">
        <f>IFERROR((tbl_TubeLaser[[#This Row],[Adj. Total Hours]]+tbl_TubeLaser[[#This Row],[Est. Hours]])/(tbl_TubeLaser[[#This Row],[Total Hours Act]]+tbl_TubeLaser[[#This Row],[Act. Hours]]),"")</f>
        <v/>
      </c>
      <c r="Y239"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239" s="104" t="str">
        <f>IFERROR(tbl_TubeLaser[[#This Row],[Act. Mat. Qty]]-tbl_TubeLaser[[#This Row],[Adj. Mat. Qty]],"")</f>
        <v/>
      </c>
      <c r="AA239"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239" s="31"/>
      <c r="AD239" s="36"/>
    </row>
    <row r="240" spans="3:30" ht="25" customHeight="1">
      <c r="C240" s="28" t="str">
        <f>IF(tbl_TubeLaser[[#This Row],[Part'#]]="", "Batch", "Part")</f>
        <v>Batch</v>
      </c>
      <c r="G240" s="28"/>
      <c r="I240" s="70" t="e">
        <f>tbl_TubeLaser[[#This Row],[Qty Complete]]/tbl_TubeLaser[[#This Row],[Qty Required]]</f>
        <v>#DIV/0!</v>
      </c>
      <c r="L240" s="31">
        <f>IF(tbl_TubeLaser[[#This Row],[Job Type]]="Batch",0,tbl_TubeLaser[[#This Row],[Qty Required]]/tbl_TubeLaser[[#This Row],[PPH]]*tbl_TubeLaser[[#This Row],['# of men]])</f>
        <v>0</v>
      </c>
      <c r="M240" s="31" t="e">
        <f>IF(tbl_TubeLaser[[#This Row],[Job Type]]="Batch",tbl_TubeLaser[[#This Row],[Batch Hours]]*tbl_TubeLaser[[#This Row],[% Complete]],tbl_TubeLaser[[#This Row],[Total hours]]*tbl_TubeLaser[[#This Row],[% Complete]])</f>
        <v>#DIV/0!</v>
      </c>
      <c r="N240" s="31"/>
      <c r="P240" s="28" t="e">
        <f>tbl_TubeLaser[[#This Row],[Mat. Qty]]*tbl_TubeLaser[[#This Row],[% Complete]]</f>
        <v>#DIV/0!</v>
      </c>
      <c r="R240" s="32" t="str">
        <f>IFERROR(tbl_TubeLaser[[#This Row],[Qty Complete]]/tbl_TubeLaser[[#This Row],[Total Hours Act]]*tbl_TubeLaser[[#This Row],['# of men Act]],"")</f>
        <v/>
      </c>
      <c r="T240"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240" s="35" t="str">
        <f>IFERROR((tbl_TubeLaser[[#This Row],[Adj. Total Hours]]+tbl_TubeLaser[[#This Row],[Est. Hours]])/(tbl_TubeLaser[[#This Row],[Total Hours Act]]+tbl_TubeLaser[[#This Row],[Act. Hours]]),"")</f>
        <v/>
      </c>
      <c r="Y240"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240" s="104" t="str">
        <f>IFERROR(tbl_TubeLaser[[#This Row],[Act. Mat. Qty]]-tbl_TubeLaser[[#This Row],[Adj. Mat. Qty]],"")</f>
        <v/>
      </c>
      <c r="AA240"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240" s="31"/>
      <c r="AD240" s="36"/>
    </row>
    <row r="241" spans="3:30" ht="25" customHeight="1">
      <c r="C241" s="28" t="str">
        <f>IF(tbl_TubeLaser[[#This Row],[Part'#]]="", "Batch", "Part")</f>
        <v>Batch</v>
      </c>
      <c r="G241" s="28"/>
      <c r="I241" s="70" t="e">
        <f>tbl_TubeLaser[[#This Row],[Qty Complete]]/tbl_TubeLaser[[#This Row],[Qty Required]]</f>
        <v>#DIV/0!</v>
      </c>
      <c r="L241" s="31">
        <f>IF(tbl_TubeLaser[[#This Row],[Job Type]]="Batch",0,tbl_TubeLaser[[#This Row],[Qty Required]]/tbl_TubeLaser[[#This Row],[PPH]]*tbl_TubeLaser[[#This Row],['# of men]])</f>
        <v>0</v>
      </c>
      <c r="M241" s="31" t="e">
        <f>IF(tbl_TubeLaser[[#This Row],[Job Type]]="Batch",tbl_TubeLaser[[#This Row],[Batch Hours]]*tbl_TubeLaser[[#This Row],[% Complete]],tbl_TubeLaser[[#This Row],[Total hours]]*tbl_TubeLaser[[#This Row],[% Complete]])</f>
        <v>#DIV/0!</v>
      </c>
      <c r="N241" s="31"/>
      <c r="P241" s="28" t="e">
        <f>tbl_TubeLaser[[#This Row],[Mat. Qty]]*tbl_TubeLaser[[#This Row],[% Complete]]</f>
        <v>#DIV/0!</v>
      </c>
      <c r="R241" s="32" t="str">
        <f>IFERROR(tbl_TubeLaser[[#This Row],[Qty Complete]]/tbl_TubeLaser[[#This Row],[Total Hours Act]]*tbl_TubeLaser[[#This Row],['# of men Act]],"")</f>
        <v/>
      </c>
      <c r="T241"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241" s="35" t="str">
        <f>IFERROR((tbl_TubeLaser[[#This Row],[Adj. Total Hours]]+tbl_TubeLaser[[#This Row],[Est. Hours]])/(tbl_TubeLaser[[#This Row],[Total Hours Act]]+tbl_TubeLaser[[#This Row],[Act. Hours]]),"")</f>
        <v/>
      </c>
      <c r="Y241"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241" s="104" t="str">
        <f>IFERROR(tbl_TubeLaser[[#This Row],[Act. Mat. Qty]]-tbl_TubeLaser[[#This Row],[Adj. Mat. Qty]],"")</f>
        <v/>
      </c>
      <c r="AA241"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241" s="31"/>
      <c r="AD241" s="36"/>
    </row>
    <row r="242" spans="3:30" ht="25" customHeight="1">
      <c r="C242" s="28" t="str">
        <f>IF(tbl_TubeLaser[[#This Row],[Part'#]]="", "Batch", "Part")</f>
        <v>Batch</v>
      </c>
      <c r="G242" s="28"/>
      <c r="I242" s="70" t="e">
        <f>tbl_TubeLaser[[#This Row],[Qty Complete]]/tbl_TubeLaser[[#This Row],[Qty Required]]</f>
        <v>#DIV/0!</v>
      </c>
      <c r="L242" s="31">
        <f>IF(tbl_TubeLaser[[#This Row],[Job Type]]="Batch",0,tbl_TubeLaser[[#This Row],[Qty Required]]/tbl_TubeLaser[[#This Row],[PPH]]*tbl_TubeLaser[[#This Row],['# of men]])</f>
        <v>0</v>
      </c>
      <c r="M242" s="31" t="e">
        <f>IF(tbl_TubeLaser[[#This Row],[Job Type]]="Batch",tbl_TubeLaser[[#This Row],[Batch Hours]]*tbl_TubeLaser[[#This Row],[% Complete]],tbl_TubeLaser[[#This Row],[Total hours]]*tbl_TubeLaser[[#This Row],[% Complete]])</f>
        <v>#DIV/0!</v>
      </c>
      <c r="N242" s="31"/>
      <c r="P242" s="28" t="e">
        <f>tbl_TubeLaser[[#This Row],[Mat. Qty]]*tbl_TubeLaser[[#This Row],[% Complete]]</f>
        <v>#DIV/0!</v>
      </c>
      <c r="R242" s="32" t="str">
        <f>IFERROR(tbl_TubeLaser[[#This Row],[Qty Complete]]/tbl_TubeLaser[[#This Row],[Total Hours Act]]*tbl_TubeLaser[[#This Row],['# of men Act]],"")</f>
        <v/>
      </c>
      <c r="T242"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242" s="35" t="str">
        <f>IFERROR((tbl_TubeLaser[[#This Row],[Adj. Total Hours]]+tbl_TubeLaser[[#This Row],[Est. Hours]])/(tbl_TubeLaser[[#This Row],[Total Hours Act]]+tbl_TubeLaser[[#This Row],[Act. Hours]]),"")</f>
        <v/>
      </c>
      <c r="Y242"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242" s="104" t="str">
        <f>IFERROR(tbl_TubeLaser[[#This Row],[Act. Mat. Qty]]-tbl_TubeLaser[[#This Row],[Adj. Mat. Qty]],"")</f>
        <v/>
      </c>
      <c r="AA242"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242" s="31"/>
      <c r="AD242" s="36"/>
    </row>
    <row r="243" spans="3:30" ht="25" customHeight="1">
      <c r="C243" s="28" t="str">
        <f>IF(tbl_TubeLaser[[#This Row],[Part'#]]="", "Batch", "Part")</f>
        <v>Batch</v>
      </c>
      <c r="G243" s="28"/>
      <c r="I243" s="70" t="e">
        <f>tbl_TubeLaser[[#This Row],[Qty Complete]]/tbl_TubeLaser[[#This Row],[Qty Required]]</f>
        <v>#DIV/0!</v>
      </c>
      <c r="L243" s="31">
        <f>IF(tbl_TubeLaser[[#This Row],[Job Type]]="Batch",0,tbl_TubeLaser[[#This Row],[Qty Required]]/tbl_TubeLaser[[#This Row],[PPH]]*tbl_TubeLaser[[#This Row],['# of men]])</f>
        <v>0</v>
      </c>
      <c r="M243" s="31" t="e">
        <f>IF(tbl_TubeLaser[[#This Row],[Job Type]]="Batch",tbl_TubeLaser[[#This Row],[Batch Hours]]*tbl_TubeLaser[[#This Row],[% Complete]],tbl_TubeLaser[[#This Row],[Total hours]]*tbl_TubeLaser[[#This Row],[% Complete]])</f>
        <v>#DIV/0!</v>
      </c>
      <c r="N243" s="31"/>
      <c r="P243" s="28" t="e">
        <f>tbl_TubeLaser[[#This Row],[Mat. Qty]]*tbl_TubeLaser[[#This Row],[% Complete]]</f>
        <v>#DIV/0!</v>
      </c>
      <c r="R243" s="32" t="str">
        <f>IFERROR(tbl_TubeLaser[[#This Row],[Qty Complete]]/tbl_TubeLaser[[#This Row],[Total Hours Act]]*tbl_TubeLaser[[#This Row],['# of men Act]],"")</f>
        <v/>
      </c>
      <c r="T243"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243" s="35" t="str">
        <f>IFERROR((tbl_TubeLaser[[#This Row],[Adj. Total Hours]]+tbl_TubeLaser[[#This Row],[Est. Hours]])/(tbl_TubeLaser[[#This Row],[Total Hours Act]]+tbl_TubeLaser[[#This Row],[Act. Hours]]),"")</f>
        <v/>
      </c>
      <c r="Y243"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243" s="104" t="str">
        <f>IFERROR(tbl_TubeLaser[[#This Row],[Act. Mat. Qty]]-tbl_TubeLaser[[#This Row],[Adj. Mat. Qty]],"")</f>
        <v/>
      </c>
      <c r="AA243"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243" s="31"/>
      <c r="AD243" s="36"/>
    </row>
    <row r="244" spans="3:30" ht="25" customHeight="1">
      <c r="C244" s="28" t="str">
        <f>IF(tbl_TubeLaser[[#This Row],[Part'#]]="", "Batch", "Part")</f>
        <v>Batch</v>
      </c>
      <c r="G244" s="28"/>
      <c r="I244" s="70" t="e">
        <f>tbl_TubeLaser[[#This Row],[Qty Complete]]/tbl_TubeLaser[[#This Row],[Qty Required]]</f>
        <v>#DIV/0!</v>
      </c>
      <c r="L244" s="31">
        <f>IF(tbl_TubeLaser[[#This Row],[Job Type]]="Batch",0,tbl_TubeLaser[[#This Row],[Qty Required]]/tbl_TubeLaser[[#This Row],[PPH]]*tbl_TubeLaser[[#This Row],['# of men]])</f>
        <v>0</v>
      </c>
      <c r="M244" s="31" t="e">
        <f>IF(tbl_TubeLaser[[#This Row],[Job Type]]="Batch",tbl_TubeLaser[[#This Row],[Batch Hours]]*tbl_TubeLaser[[#This Row],[% Complete]],tbl_TubeLaser[[#This Row],[Total hours]]*tbl_TubeLaser[[#This Row],[% Complete]])</f>
        <v>#DIV/0!</v>
      </c>
      <c r="N244" s="31"/>
      <c r="P244" s="28" t="e">
        <f>tbl_TubeLaser[[#This Row],[Mat. Qty]]*tbl_TubeLaser[[#This Row],[% Complete]]</f>
        <v>#DIV/0!</v>
      </c>
      <c r="R244" s="32" t="str">
        <f>IFERROR(tbl_TubeLaser[[#This Row],[Qty Complete]]/tbl_TubeLaser[[#This Row],[Total Hours Act]]*tbl_TubeLaser[[#This Row],['# of men Act]],"")</f>
        <v/>
      </c>
      <c r="T244"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244" s="35" t="str">
        <f>IFERROR((tbl_TubeLaser[[#This Row],[Adj. Total Hours]]+tbl_TubeLaser[[#This Row],[Est. Hours]])/(tbl_TubeLaser[[#This Row],[Total Hours Act]]+tbl_TubeLaser[[#This Row],[Act. Hours]]),"")</f>
        <v/>
      </c>
      <c r="Y244"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244" s="104" t="str">
        <f>IFERROR(tbl_TubeLaser[[#This Row],[Act. Mat. Qty]]-tbl_TubeLaser[[#This Row],[Adj. Mat. Qty]],"")</f>
        <v/>
      </c>
      <c r="AA244"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244" s="31"/>
      <c r="AD244" s="36"/>
    </row>
    <row r="245" spans="3:30" ht="25" customHeight="1">
      <c r="C245" s="28" t="str">
        <f>IF(tbl_TubeLaser[[#This Row],[Part'#]]="", "Batch", "Part")</f>
        <v>Batch</v>
      </c>
      <c r="G245" s="28"/>
      <c r="I245" s="70" t="e">
        <f>tbl_TubeLaser[[#This Row],[Qty Complete]]/tbl_TubeLaser[[#This Row],[Qty Required]]</f>
        <v>#DIV/0!</v>
      </c>
      <c r="L245" s="31">
        <f>IF(tbl_TubeLaser[[#This Row],[Job Type]]="Batch",0,tbl_TubeLaser[[#This Row],[Qty Required]]/tbl_TubeLaser[[#This Row],[PPH]]*tbl_TubeLaser[[#This Row],['# of men]])</f>
        <v>0</v>
      </c>
      <c r="M245" s="31" t="e">
        <f>IF(tbl_TubeLaser[[#This Row],[Job Type]]="Batch",tbl_TubeLaser[[#This Row],[Batch Hours]]*tbl_TubeLaser[[#This Row],[% Complete]],tbl_TubeLaser[[#This Row],[Total hours]]*tbl_TubeLaser[[#This Row],[% Complete]])</f>
        <v>#DIV/0!</v>
      </c>
      <c r="N245" s="31"/>
      <c r="P245" s="28" t="e">
        <f>tbl_TubeLaser[[#This Row],[Mat. Qty]]*tbl_TubeLaser[[#This Row],[% Complete]]</f>
        <v>#DIV/0!</v>
      </c>
      <c r="R245" s="32" t="str">
        <f>IFERROR(tbl_TubeLaser[[#This Row],[Qty Complete]]/tbl_TubeLaser[[#This Row],[Total Hours Act]]*tbl_TubeLaser[[#This Row],['# of men Act]],"")</f>
        <v/>
      </c>
      <c r="T245"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245" s="35" t="str">
        <f>IFERROR((tbl_TubeLaser[[#This Row],[Adj. Total Hours]]+tbl_TubeLaser[[#This Row],[Est. Hours]])/(tbl_TubeLaser[[#This Row],[Total Hours Act]]+tbl_TubeLaser[[#This Row],[Act. Hours]]),"")</f>
        <v/>
      </c>
      <c r="Y245"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245" s="104" t="str">
        <f>IFERROR(tbl_TubeLaser[[#This Row],[Act. Mat. Qty]]-tbl_TubeLaser[[#This Row],[Adj. Mat. Qty]],"")</f>
        <v/>
      </c>
      <c r="AA245"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245" s="31"/>
      <c r="AD245" s="36"/>
    </row>
    <row r="246" spans="3:30" ht="25" customHeight="1">
      <c r="C246" s="28" t="str">
        <f>IF(tbl_TubeLaser[[#This Row],[Part'#]]="", "Batch", "Part")</f>
        <v>Batch</v>
      </c>
      <c r="G246" s="28"/>
      <c r="I246" s="70" t="e">
        <f>tbl_TubeLaser[[#This Row],[Qty Complete]]/tbl_TubeLaser[[#This Row],[Qty Required]]</f>
        <v>#DIV/0!</v>
      </c>
      <c r="L246" s="31">
        <f>IF(tbl_TubeLaser[[#This Row],[Job Type]]="Batch",0,tbl_TubeLaser[[#This Row],[Qty Required]]/tbl_TubeLaser[[#This Row],[PPH]]*tbl_TubeLaser[[#This Row],['# of men]])</f>
        <v>0</v>
      </c>
      <c r="M246" s="31" t="e">
        <f>IF(tbl_TubeLaser[[#This Row],[Job Type]]="Batch",tbl_TubeLaser[[#This Row],[Batch Hours]]*tbl_TubeLaser[[#This Row],[% Complete]],tbl_TubeLaser[[#This Row],[Total hours]]*tbl_TubeLaser[[#This Row],[% Complete]])</f>
        <v>#DIV/0!</v>
      </c>
      <c r="N246" s="31"/>
      <c r="P246" s="28" t="e">
        <f>tbl_TubeLaser[[#This Row],[Mat. Qty]]*tbl_TubeLaser[[#This Row],[% Complete]]</f>
        <v>#DIV/0!</v>
      </c>
      <c r="R246" s="32" t="str">
        <f>IFERROR(tbl_TubeLaser[[#This Row],[Qty Complete]]/tbl_TubeLaser[[#This Row],[Total Hours Act]]*tbl_TubeLaser[[#This Row],['# of men Act]],"")</f>
        <v/>
      </c>
      <c r="T246"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246" s="35" t="str">
        <f>IFERROR((tbl_TubeLaser[[#This Row],[Adj. Total Hours]]+tbl_TubeLaser[[#This Row],[Est. Hours]])/(tbl_TubeLaser[[#This Row],[Total Hours Act]]+tbl_TubeLaser[[#This Row],[Act. Hours]]),"")</f>
        <v/>
      </c>
      <c r="Y246"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246" s="104" t="str">
        <f>IFERROR(tbl_TubeLaser[[#This Row],[Act. Mat. Qty]]-tbl_TubeLaser[[#This Row],[Adj. Mat. Qty]],"")</f>
        <v/>
      </c>
      <c r="AA246"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246" s="31"/>
      <c r="AD246" s="36"/>
    </row>
    <row r="247" spans="3:30" ht="25" customHeight="1">
      <c r="C247" s="28" t="str">
        <f>IF(tbl_TubeLaser[[#This Row],[Part'#]]="", "Batch", "Part")</f>
        <v>Batch</v>
      </c>
      <c r="G247" s="28"/>
      <c r="I247" s="70" t="e">
        <f>tbl_TubeLaser[[#This Row],[Qty Complete]]/tbl_TubeLaser[[#This Row],[Qty Required]]</f>
        <v>#DIV/0!</v>
      </c>
      <c r="L247" s="31">
        <f>IF(tbl_TubeLaser[[#This Row],[Job Type]]="Batch",0,tbl_TubeLaser[[#This Row],[Qty Required]]/tbl_TubeLaser[[#This Row],[PPH]]*tbl_TubeLaser[[#This Row],['# of men]])</f>
        <v>0</v>
      </c>
      <c r="M247" s="31" t="e">
        <f>IF(tbl_TubeLaser[[#This Row],[Job Type]]="Batch",tbl_TubeLaser[[#This Row],[Batch Hours]]*tbl_TubeLaser[[#This Row],[% Complete]],tbl_TubeLaser[[#This Row],[Total hours]]*tbl_TubeLaser[[#This Row],[% Complete]])</f>
        <v>#DIV/0!</v>
      </c>
      <c r="N247" s="31"/>
      <c r="P247" s="28" t="e">
        <f>tbl_TubeLaser[[#This Row],[Mat. Qty]]*tbl_TubeLaser[[#This Row],[% Complete]]</f>
        <v>#DIV/0!</v>
      </c>
      <c r="R247" s="32" t="str">
        <f>IFERROR(tbl_TubeLaser[[#This Row],[Qty Complete]]/tbl_TubeLaser[[#This Row],[Total Hours Act]]*tbl_TubeLaser[[#This Row],['# of men Act]],"")</f>
        <v/>
      </c>
      <c r="T247"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247" s="35" t="str">
        <f>IFERROR((tbl_TubeLaser[[#This Row],[Adj. Total Hours]]+tbl_TubeLaser[[#This Row],[Est. Hours]])/(tbl_TubeLaser[[#This Row],[Total Hours Act]]+tbl_TubeLaser[[#This Row],[Act. Hours]]),"")</f>
        <v/>
      </c>
      <c r="Y247"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247" s="104" t="str">
        <f>IFERROR(tbl_TubeLaser[[#This Row],[Act. Mat. Qty]]-tbl_TubeLaser[[#This Row],[Adj. Mat. Qty]],"")</f>
        <v/>
      </c>
      <c r="AA247"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247" s="31"/>
      <c r="AD247" s="36"/>
    </row>
    <row r="248" spans="3:30" ht="25" customHeight="1">
      <c r="C248" s="28" t="str">
        <f>IF(tbl_TubeLaser[[#This Row],[Part'#]]="", "Batch", "Part")</f>
        <v>Batch</v>
      </c>
      <c r="G248" s="28"/>
      <c r="I248" s="70" t="e">
        <f>tbl_TubeLaser[[#This Row],[Qty Complete]]/tbl_TubeLaser[[#This Row],[Qty Required]]</f>
        <v>#DIV/0!</v>
      </c>
      <c r="L248" s="31">
        <f>IF(tbl_TubeLaser[[#This Row],[Job Type]]="Batch",0,tbl_TubeLaser[[#This Row],[Qty Required]]/tbl_TubeLaser[[#This Row],[PPH]]*tbl_TubeLaser[[#This Row],['# of men]])</f>
        <v>0</v>
      </c>
      <c r="M248" s="31" t="e">
        <f>IF(tbl_TubeLaser[[#This Row],[Job Type]]="Batch",tbl_TubeLaser[[#This Row],[Batch Hours]]*tbl_TubeLaser[[#This Row],[% Complete]],tbl_TubeLaser[[#This Row],[Total hours]]*tbl_TubeLaser[[#This Row],[% Complete]])</f>
        <v>#DIV/0!</v>
      </c>
      <c r="N248" s="31"/>
      <c r="P248" s="28" t="e">
        <f>tbl_TubeLaser[[#This Row],[Mat. Qty]]*tbl_TubeLaser[[#This Row],[% Complete]]</f>
        <v>#DIV/0!</v>
      </c>
      <c r="R248" s="32" t="str">
        <f>IFERROR(tbl_TubeLaser[[#This Row],[Qty Complete]]/tbl_TubeLaser[[#This Row],[Total Hours Act]]*tbl_TubeLaser[[#This Row],['# of men Act]],"")</f>
        <v/>
      </c>
      <c r="T248"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248" s="35" t="str">
        <f>IFERROR((tbl_TubeLaser[[#This Row],[Adj. Total Hours]]+tbl_TubeLaser[[#This Row],[Est. Hours]])/(tbl_TubeLaser[[#This Row],[Total Hours Act]]+tbl_TubeLaser[[#This Row],[Act. Hours]]),"")</f>
        <v/>
      </c>
      <c r="Y248"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248" s="104" t="str">
        <f>IFERROR(tbl_TubeLaser[[#This Row],[Act. Mat. Qty]]-tbl_TubeLaser[[#This Row],[Adj. Mat. Qty]],"")</f>
        <v/>
      </c>
      <c r="AA248"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248" s="31"/>
      <c r="AD248" s="36"/>
    </row>
    <row r="249" spans="3:30" ht="25" customHeight="1">
      <c r="C249" s="28" t="str">
        <f>IF(tbl_TubeLaser[[#This Row],[Part'#]]="", "Batch", "Part")</f>
        <v>Batch</v>
      </c>
      <c r="G249" s="28"/>
      <c r="I249" s="70" t="e">
        <f>tbl_TubeLaser[[#This Row],[Qty Complete]]/tbl_TubeLaser[[#This Row],[Qty Required]]</f>
        <v>#DIV/0!</v>
      </c>
      <c r="L249" s="31">
        <f>IF(tbl_TubeLaser[[#This Row],[Job Type]]="Batch",0,tbl_TubeLaser[[#This Row],[Qty Required]]/tbl_TubeLaser[[#This Row],[PPH]]*tbl_TubeLaser[[#This Row],['# of men]])</f>
        <v>0</v>
      </c>
      <c r="M249" s="31" t="e">
        <f>IF(tbl_TubeLaser[[#This Row],[Job Type]]="Batch",tbl_TubeLaser[[#This Row],[Batch Hours]]*tbl_TubeLaser[[#This Row],[% Complete]],tbl_TubeLaser[[#This Row],[Total hours]]*tbl_TubeLaser[[#This Row],[% Complete]])</f>
        <v>#DIV/0!</v>
      </c>
      <c r="N249" s="31"/>
      <c r="P249" s="28" t="e">
        <f>tbl_TubeLaser[[#This Row],[Mat. Qty]]*tbl_TubeLaser[[#This Row],[% Complete]]</f>
        <v>#DIV/0!</v>
      </c>
      <c r="R249" s="32" t="str">
        <f>IFERROR(tbl_TubeLaser[[#This Row],[Qty Complete]]/tbl_TubeLaser[[#This Row],[Total Hours Act]]*tbl_TubeLaser[[#This Row],['# of men Act]],"")</f>
        <v/>
      </c>
      <c r="T249"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249" s="35" t="str">
        <f>IFERROR((tbl_TubeLaser[[#This Row],[Adj. Total Hours]]+tbl_TubeLaser[[#This Row],[Est. Hours]])/(tbl_TubeLaser[[#This Row],[Total Hours Act]]+tbl_TubeLaser[[#This Row],[Act. Hours]]),"")</f>
        <v/>
      </c>
      <c r="Y249"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249" s="104" t="str">
        <f>IFERROR(tbl_TubeLaser[[#This Row],[Act. Mat. Qty]]-tbl_TubeLaser[[#This Row],[Adj. Mat. Qty]],"")</f>
        <v/>
      </c>
      <c r="AA249"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249" s="31"/>
      <c r="AD249" s="36"/>
    </row>
    <row r="250" spans="3:30" ht="25" customHeight="1">
      <c r="C250" s="28" t="str">
        <f>IF(tbl_TubeLaser[[#This Row],[Part'#]]="", "Batch", "Part")</f>
        <v>Batch</v>
      </c>
      <c r="G250" s="28"/>
      <c r="I250" s="70" t="e">
        <f>tbl_TubeLaser[[#This Row],[Qty Complete]]/tbl_TubeLaser[[#This Row],[Qty Required]]</f>
        <v>#DIV/0!</v>
      </c>
      <c r="L250" s="31">
        <f>IF(tbl_TubeLaser[[#This Row],[Job Type]]="Batch",0,tbl_TubeLaser[[#This Row],[Qty Required]]/tbl_TubeLaser[[#This Row],[PPH]]*tbl_TubeLaser[[#This Row],['# of men]])</f>
        <v>0</v>
      </c>
      <c r="M250" s="31" t="e">
        <f>IF(tbl_TubeLaser[[#This Row],[Job Type]]="Batch",tbl_TubeLaser[[#This Row],[Batch Hours]]*tbl_TubeLaser[[#This Row],[% Complete]],tbl_TubeLaser[[#This Row],[Total hours]]*tbl_TubeLaser[[#This Row],[% Complete]])</f>
        <v>#DIV/0!</v>
      </c>
      <c r="N250" s="31"/>
      <c r="P250" s="28" t="e">
        <f>tbl_TubeLaser[[#This Row],[Mat. Qty]]*tbl_TubeLaser[[#This Row],[% Complete]]</f>
        <v>#DIV/0!</v>
      </c>
      <c r="R250" s="32" t="str">
        <f>IFERROR(tbl_TubeLaser[[#This Row],[Qty Complete]]/tbl_TubeLaser[[#This Row],[Total Hours Act]]*tbl_TubeLaser[[#This Row],['# of men Act]],"")</f>
        <v/>
      </c>
      <c r="T250" s="33">
        <f>(MOD(tbl_TubeLaser[[#This Row],[End Time]]-tbl_TubeLaser[[#This Row],[Start Time]],1)*24*tbl_TubeLaser[[#This Row],['# of men Act]])-
(
IF(AND(tbl_TubeLaser[[#This Row],[Start Time]]&lt;=Data!$B$2+(Data!$B$2&lt;tbl_TubeLaser[[#This Row],[Start Time]]),tbl_TubeLaser[[#This Row],[Start Time]]+MOD(tbl_TubeLaser[[#This Row],[End Time]]-tbl_TubeLaser[[#This Row],[Start Time]],1)&gt;=Data!$C$2+(Data!$C$2&lt;tbl_TubeLaser[[#This Row],[Start Time]])),0.5*tbl_TubeLaser[[#This Row],['# of men Act]],0)
+
IF(AND(tbl_TubeLaser[[#This Row],[Start Time]]&lt;=Data!$B$3+(Data!$B$3&lt;tbl_TubeLaser[[#This Row],[Start Time]]),tbl_TubeLaser[[#This Row],[Start Time]]+MOD(tbl_TubeLaser[[#This Row],[End Time]]-tbl_TubeLaser[[#This Row],[Start Time]],1)&gt;=Data!$C$3+(Data!$C$3&lt;tbl_TubeLaser[[#This Row],[Start Time]])),0.5*tbl_TubeLaser[[#This Row],['# of men Act]],0)
)</f>
        <v>0</v>
      </c>
      <c r="X250" s="35" t="str">
        <f>IFERROR((tbl_TubeLaser[[#This Row],[Adj. Total Hours]]+tbl_TubeLaser[[#This Row],[Est. Hours]])/(tbl_TubeLaser[[#This Row],[Total Hours Act]]+tbl_TubeLaser[[#This Row],[Act. Hours]]),"")</f>
        <v/>
      </c>
      <c r="Y250" s="102" t="str">
        <f>IF(AND(SUMIFS(tbl_TubeLaser[% Complete],tbl_TubeLaser[Job'#],tbl_TubeLaser[[#This Row],[Job'#]])&gt;=1,COUNTIF(INDEX(tbl_TubeLaser[Job'#],1):tbl_TubeLaser[[#This Row],[Job'#]],tbl_TubeLaser[[#This Row],[Job'#]])=COUNTIF(tbl_TubeLaser[Job'#],tbl_TubeLaser[[#This Row],[Job'#]])),IFERROR((SUMIFS(tbl_TubeLaser[Adj. Total Hours],tbl_TubeLaser[Job'#],tbl_TubeLaser[[#This Row],[Job'#]])+SUMIFS(tbl_TubeLaser[Est. Hours],tbl_TubeLaser[Job'#],tbl_TubeLaser[[#This Row],[Job'#]]))/(SUMIFS(tbl_TubeLaser[Total Hours Act],tbl_TubeLaser[Job'#],tbl_TubeLaser[[#This Row],[Job'#]])+SUMIFS(tbl_TubeLaser[Act. Hours],tbl_TubeLaser[Job'#],tbl_TubeLaser[[#This Row],[Job'#]])),""),"")</f>
        <v/>
      </c>
      <c r="Z250" s="104" t="str">
        <f>IFERROR(tbl_TubeLaser[[#This Row],[Act. Mat. Qty]]-tbl_TubeLaser[[#This Row],[Adj. Mat. Qty]],"")</f>
        <v/>
      </c>
      <c r="AA250" s="105" t="str">
        <f>IF(AND(SUMIFS(tbl_TubeLaser[% Complete],tbl_TubeLaser[Job'#],tbl_TubeLaser[[#This Row],[Job'#]])&gt;=1,COUNTIF(INDEX(tbl_TubeLaser[Job'#],1):tbl_TubeLaser[[#This Row],[Job'#]],tbl_TubeLaser[[#This Row],[Job'#]])=COUNTIF(tbl_TubeLaser[Job'#],tbl_TubeLaser[[#This Row],[Job'#]])),(SUMIFS(tbl_TubeLaser[Act. Mat. Qty],tbl_TubeLaser[Job'#],tbl_TubeLaser[[#This Row],[Job'#]]))-(SUMIFS(tbl_TubeLaser[Adj. Mat. Qty],tbl_TubeLaser[Job'#],tbl_TubeLaser[[#This Row],[Job'#]])),"")</f>
        <v/>
      </c>
      <c r="AC250" s="31"/>
      <c r="AD250" s="36"/>
    </row>
    <row r="251" spans="3:30" ht="25" customHeight="1">
      <c r="L251" s="31"/>
      <c r="M251" s="31"/>
      <c r="N251" s="31"/>
      <c r="R251" s="32"/>
      <c r="X251" s="35"/>
      <c r="Y251" s="102"/>
      <c r="Z251" s="104"/>
      <c r="AA251" s="105"/>
    </row>
    <row r="252" spans="3:30" ht="25" customHeight="1">
      <c r="L252" s="31"/>
      <c r="M252" s="31"/>
      <c r="N252" s="31"/>
      <c r="R252" s="32"/>
      <c r="X252" s="35"/>
      <c r="Y252" s="102"/>
      <c r="Z252" s="104"/>
      <c r="AA252" s="105"/>
    </row>
    <row r="253" spans="3:30" ht="25" customHeight="1">
      <c r="L253" s="31"/>
      <c r="M253" s="31"/>
      <c r="N253" s="31"/>
      <c r="R253" s="32"/>
      <c r="X253" s="35"/>
      <c r="Y253" s="102"/>
      <c r="Z253" s="104"/>
      <c r="AA253" s="105"/>
    </row>
    <row r="254" spans="3:30" ht="25" customHeight="1">
      <c r="L254" s="31"/>
      <c r="M254" s="31"/>
      <c r="N254" s="31"/>
      <c r="R254" s="32"/>
      <c r="X254" s="35"/>
      <c r="Y254" s="102"/>
      <c r="Z254" s="104"/>
      <c r="AA254" s="105"/>
    </row>
    <row r="255" spans="3:30" ht="25" customHeight="1">
      <c r="L255" s="31"/>
      <c r="M255" s="31"/>
      <c r="N255" s="31"/>
      <c r="R255" s="32"/>
      <c r="X255" s="35"/>
      <c r="Y255" s="102"/>
      <c r="Z255" s="104"/>
      <c r="AA255" s="105"/>
    </row>
    <row r="256" spans="3:30" ht="25" customHeight="1">
      <c r="L256" s="31"/>
      <c r="M256" s="31"/>
      <c r="N256" s="31"/>
      <c r="R256" s="32"/>
      <c r="X256" s="35"/>
      <c r="Y256" s="102"/>
      <c r="Z256" s="104"/>
      <c r="AA256" s="105"/>
    </row>
    <row r="257" spans="12:27" ht="25" customHeight="1">
      <c r="L257" s="31"/>
      <c r="M257" s="31"/>
      <c r="N257" s="31"/>
      <c r="R257" s="32"/>
      <c r="X257" s="35"/>
      <c r="Y257" s="102"/>
      <c r="Z257" s="104"/>
      <c r="AA257" s="105"/>
    </row>
    <row r="258" spans="12:27" ht="25" customHeight="1">
      <c r="L258" s="31"/>
      <c r="M258" s="31"/>
      <c r="N258" s="31"/>
      <c r="R258" s="32"/>
      <c r="X258" s="35"/>
      <c r="Y258" s="102"/>
      <c r="Z258" s="104"/>
      <c r="AA258" s="105"/>
    </row>
    <row r="259" spans="12:27" ht="25" customHeight="1">
      <c r="L259" s="31"/>
      <c r="M259" s="31"/>
      <c r="N259" s="31"/>
      <c r="R259" s="32"/>
      <c r="X259" s="35"/>
      <c r="Y259" s="102"/>
      <c r="Z259" s="104"/>
      <c r="AA259" s="105"/>
    </row>
    <row r="260" spans="12:27" ht="25" customHeight="1">
      <c r="L260" s="31"/>
      <c r="M260" s="31"/>
      <c r="N260" s="31"/>
      <c r="R260" s="32"/>
      <c r="X260" s="35"/>
      <c r="Y260" s="102"/>
      <c r="Z260" s="104"/>
      <c r="AA260" s="105"/>
    </row>
    <row r="261" spans="12:27" ht="25" customHeight="1">
      <c r="L261" s="31"/>
      <c r="M261" s="31"/>
      <c r="N261" s="31"/>
      <c r="R261" s="32"/>
      <c r="X261" s="35"/>
      <c r="Y261" s="102"/>
      <c r="Z261" s="104"/>
      <c r="AA261" s="105"/>
    </row>
    <row r="262" spans="12:27" ht="25" customHeight="1">
      <c r="L262" s="31"/>
      <c r="M262" s="31"/>
      <c r="N262" s="31"/>
      <c r="R262" s="32"/>
      <c r="X262" s="35"/>
      <c r="Y262" s="102"/>
      <c r="Z262" s="104"/>
      <c r="AA262" s="105"/>
    </row>
    <row r="263" spans="12:27" ht="25" customHeight="1">
      <c r="L263" s="31"/>
      <c r="M263" s="31"/>
      <c r="N263" s="31"/>
      <c r="R263" s="32"/>
      <c r="X263" s="35"/>
      <c r="Y263" s="102"/>
      <c r="Z263" s="104"/>
      <c r="AA263" s="105"/>
    </row>
    <row r="264" spans="12:27" ht="25" customHeight="1">
      <c r="L264" s="31"/>
      <c r="M264" s="31"/>
      <c r="N264" s="31"/>
      <c r="R264" s="32"/>
      <c r="X264" s="35"/>
      <c r="Y264" s="102"/>
      <c r="Z264" s="104"/>
      <c r="AA264" s="105"/>
    </row>
    <row r="265" spans="12:27" ht="25" customHeight="1">
      <c r="L265" s="31"/>
      <c r="M265" s="31"/>
      <c r="N265" s="31"/>
      <c r="R265" s="32"/>
      <c r="X265" s="35"/>
      <c r="Y265" s="102"/>
      <c r="Z265" s="104"/>
      <c r="AA265" s="105"/>
    </row>
    <row r="266" spans="12:27" ht="25" customHeight="1">
      <c r="L266" s="31"/>
      <c r="M266" s="31"/>
      <c r="N266" s="31"/>
      <c r="R266" s="32"/>
      <c r="X266" s="35"/>
      <c r="Y266" s="102"/>
      <c r="Z266" s="104"/>
      <c r="AA266" s="105"/>
    </row>
    <row r="267" spans="12:27" ht="25" customHeight="1">
      <c r="L267" s="31"/>
      <c r="M267" s="31"/>
      <c r="N267" s="31"/>
      <c r="R267" s="32"/>
      <c r="X267" s="35"/>
      <c r="Y267" s="102"/>
      <c r="Z267" s="104"/>
      <c r="AA267" s="105"/>
    </row>
    <row r="268" spans="12:27" ht="25" customHeight="1">
      <c r="L268" s="31"/>
      <c r="M268" s="31"/>
      <c r="N268" s="31"/>
      <c r="R268" s="32"/>
      <c r="X268" s="35"/>
      <c r="Y268" s="102"/>
      <c r="Z268" s="104"/>
      <c r="AA268" s="105"/>
    </row>
    <row r="269" spans="12:27" ht="25" customHeight="1">
      <c r="L269" s="31"/>
      <c r="M269" s="31"/>
      <c r="N269" s="31"/>
      <c r="R269" s="32"/>
      <c r="X269" s="35"/>
      <c r="Y269" s="102"/>
      <c r="Z269" s="104"/>
      <c r="AA269" s="105"/>
    </row>
    <row r="270" spans="12:27" ht="25" customHeight="1">
      <c r="L270" s="31"/>
      <c r="M270" s="31"/>
      <c r="N270" s="31"/>
      <c r="R270" s="32"/>
      <c r="X270" s="35"/>
      <c r="Y270" s="102"/>
      <c r="Z270" s="104"/>
      <c r="AA270" s="105"/>
    </row>
    <row r="271" spans="12:27" ht="25" customHeight="1">
      <c r="L271" s="31"/>
      <c r="M271" s="31"/>
      <c r="N271" s="31"/>
      <c r="R271" s="32"/>
      <c r="X271" s="35"/>
      <c r="Y271" s="102"/>
      <c r="Z271" s="104"/>
      <c r="AA271" s="105"/>
    </row>
    <row r="272" spans="12:27" ht="25" customHeight="1">
      <c r="L272" s="31"/>
      <c r="M272" s="31"/>
      <c r="N272" s="31"/>
      <c r="R272" s="32"/>
      <c r="X272" s="35"/>
      <c r="Y272" s="102"/>
      <c r="Z272" s="104"/>
      <c r="AA272" s="105"/>
    </row>
    <row r="273" spans="12:27" ht="25" customHeight="1">
      <c r="L273" s="31"/>
      <c r="M273" s="31"/>
      <c r="N273" s="31"/>
      <c r="R273" s="32"/>
      <c r="X273" s="35"/>
      <c r="Y273" s="102"/>
      <c r="Z273" s="104"/>
      <c r="AA273" s="105"/>
    </row>
    <row r="274" spans="12:27" ht="25" customHeight="1">
      <c r="L274" s="31"/>
      <c r="M274" s="31"/>
      <c r="N274" s="31"/>
      <c r="R274" s="32"/>
      <c r="X274" s="35"/>
      <c r="Y274" s="102"/>
      <c r="Z274" s="104"/>
      <c r="AA274" s="105"/>
    </row>
    <row r="275" spans="12:27" ht="25" customHeight="1">
      <c r="L275" s="31"/>
      <c r="M275" s="31"/>
      <c r="N275" s="31"/>
      <c r="R275" s="32"/>
      <c r="X275" s="35"/>
      <c r="Y275" s="102"/>
      <c r="Z275" s="104"/>
      <c r="AA275" s="105"/>
    </row>
    <row r="276" spans="12:27" ht="25" customHeight="1">
      <c r="L276" s="31"/>
      <c r="M276" s="31"/>
      <c r="N276" s="31"/>
      <c r="R276" s="32"/>
      <c r="X276" s="35"/>
      <c r="Y276" s="102"/>
      <c r="Z276" s="104"/>
      <c r="AA276" s="105"/>
    </row>
    <row r="277" spans="12:27" ht="25" customHeight="1">
      <c r="L277" s="31"/>
      <c r="M277" s="31"/>
      <c r="N277" s="31"/>
      <c r="R277" s="32"/>
      <c r="X277" s="35"/>
      <c r="Y277" s="102"/>
      <c r="Z277" s="104"/>
      <c r="AA277" s="105"/>
    </row>
    <row r="278" spans="12:27" ht="25" customHeight="1">
      <c r="L278" s="31"/>
      <c r="M278" s="31"/>
      <c r="N278" s="31"/>
      <c r="R278" s="32"/>
      <c r="X278" s="35"/>
      <c r="Y278" s="102"/>
      <c r="Z278" s="104"/>
      <c r="AA278" s="105"/>
    </row>
    <row r="279" spans="12:27" ht="25" customHeight="1">
      <c r="L279" s="31"/>
      <c r="M279" s="31"/>
      <c r="N279" s="31"/>
      <c r="R279" s="32"/>
      <c r="X279" s="35"/>
      <c r="Y279" s="102"/>
      <c r="Z279" s="104"/>
      <c r="AA279" s="105"/>
    </row>
    <row r="280" spans="12:27" ht="25" customHeight="1">
      <c r="L280" s="31"/>
      <c r="M280" s="31"/>
      <c r="N280" s="31"/>
      <c r="R280" s="32"/>
      <c r="X280" s="35"/>
      <c r="Y280" s="102"/>
      <c r="Z280" s="104"/>
      <c r="AA280" s="105"/>
    </row>
    <row r="281" spans="12:27" ht="25" customHeight="1">
      <c r="L281" s="31"/>
      <c r="M281" s="31"/>
      <c r="N281" s="31"/>
      <c r="R281" s="32"/>
      <c r="X281" s="35"/>
      <c r="Y281" s="102"/>
      <c r="Z281" s="104"/>
      <c r="AA281" s="105"/>
    </row>
    <row r="282" spans="12:27" ht="25" customHeight="1">
      <c r="L282" s="31"/>
      <c r="M282" s="31"/>
      <c r="N282" s="31"/>
      <c r="R282" s="32"/>
      <c r="X282" s="35"/>
      <c r="Y282" s="102"/>
      <c r="Z282" s="104"/>
      <c r="AA282" s="105"/>
    </row>
    <row r="283" spans="12:27" ht="25" customHeight="1">
      <c r="L283" s="31"/>
      <c r="M283" s="31"/>
      <c r="N283" s="31"/>
      <c r="R283" s="32"/>
      <c r="X283" s="35"/>
      <c r="Y283" s="102"/>
      <c r="Z283" s="104"/>
      <c r="AA283" s="105"/>
    </row>
    <row r="284" spans="12:27" ht="25" customHeight="1">
      <c r="L284" s="31"/>
      <c r="M284" s="31"/>
      <c r="N284" s="31"/>
      <c r="R284" s="32"/>
      <c r="X284" s="35"/>
      <c r="Y284" s="102"/>
      <c r="Z284" s="104"/>
      <c r="AA284" s="105"/>
    </row>
    <row r="285" spans="12:27" ht="25" customHeight="1">
      <c r="L285" s="31"/>
      <c r="M285" s="31"/>
      <c r="N285" s="31"/>
      <c r="R285" s="32"/>
      <c r="X285" s="35"/>
      <c r="Y285" s="102"/>
      <c r="Z285" s="104"/>
      <c r="AA285" s="105"/>
    </row>
    <row r="286" spans="12:27" ht="25" customHeight="1">
      <c r="L286" s="31"/>
      <c r="M286" s="31"/>
      <c r="N286" s="31"/>
      <c r="R286" s="32"/>
      <c r="X286" s="35"/>
      <c r="Y286" s="102"/>
      <c r="Z286" s="104"/>
      <c r="AA286" s="105"/>
    </row>
    <row r="287" spans="12:27" ht="25" customHeight="1">
      <c r="L287" s="31"/>
      <c r="M287" s="31"/>
      <c r="N287" s="31"/>
      <c r="R287" s="32"/>
      <c r="X287" s="35"/>
      <c r="Y287" s="102"/>
      <c r="Z287" s="104"/>
      <c r="AA287" s="105"/>
    </row>
    <row r="288" spans="12:27" ht="25" customHeight="1">
      <c r="L288" s="31"/>
      <c r="M288" s="31"/>
      <c r="N288" s="31"/>
      <c r="R288" s="32"/>
      <c r="X288" s="35"/>
      <c r="Y288" s="102"/>
      <c r="Z288" s="104"/>
      <c r="AA288" s="105"/>
    </row>
    <row r="289" spans="12:27" ht="25" customHeight="1">
      <c r="L289" s="31"/>
      <c r="M289" s="31"/>
      <c r="N289" s="31"/>
      <c r="R289" s="32"/>
      <c r="X289" s="35"/>
      <c r="Y289" s="102"/>
      <c r="Z289" s="104"/>
      <c r="AA289" s="105"/>
    </row>
    <row r="290" spans="12:27" ht="25" customHeight="1">
      <c r="L290" s="31"/>
      <c r="M290" s="31"/>
      <c r="N290" s="31"/>
      <c r="R290" s="32"/>
      <c r="X290" s="35"/>
      <c r="Y290" s="102"/>
      <c r="Z290" s="104"/>
      <c r="AA290" s="105"/>
    </row>
    <row r="291" spans="12:27" ht="25" customHeight="1">
      <c r="L291" s="31"/>
      <c r="M291" s="31"/>
      <c r="N291" s="31"/>
      <c r="R291" s="32"/>
      <c r="X291" s="35"/>
      <c r="Y291" s="102"/>
      <c r="Z291" s="104"/>
      <c r="AA291" s="105"/>
    </row>
    <row r="292" spans="12:27" ht="25" customHeight="1">
      <c r="L292" s="31"/>
      <c r="M292" s="31"/>
      <c r="N292" s="31"/>
      <c r="R292" s="32"/>
      <c r="X292" s="35"/>
      <c r="Y292" s="102"/>
      <c r="Z292" s="104"/>
      <c r="AA292" s="105"/>
    </row>
    <row r="293" spans="12:27" ht="25" customHeight="1">
      <c r="L293" s="31"/>
      <c r="M293" s="31"/>
      <c r="N293" s="31"/>
      <c r="R293" s="32"/>
      <c r="X293" s="35"/>
      <c r="Y293" s="102"/>
      <c r="Z293" s="104"/>
      <c r="AA293" s="105"/>
    </row>
    <row r="294" spans="12:27" ht="25" customHeight="1">
      <c r="L294" s="31"/>
      <c r="M294" s="31"/>
      <c r="N294" s="31"/>
      <c r="R294" s="32"/>
      <c r="X294" s="35"/>
      <c r="Y294" s="102"/>
      <c r="Z294" s="104"/>
      <c r="AA294" s="105"/>
    </row>
    <row r="295" spans="12:27" ht="25" customHeight="1">
      <c r="L295" s="31"/>
      <c r="M295" s="31"/>
      <c r="N295" s="31"/>
      <c r="R295" s="32"/>
      <c r="X295" s="35"/>
      <c r="Y295" s="102"/>
      <c r="Z295" s="104"/>
      <c r="AA295" s="105"/>
    </row>
    <row r="296" spans="12:27" ht="25" customHeight="1">
      <c r="L296" s="31"/>
      <c r="M296" s="31"/>
      <c r="N296" s="31"/>
      <c r="R296" s="32"/>
      <c r="X296" s="35"/>
      <c r="Y296" s="102"/>
      <c r="Z296" s="104"/>
      <c r="AA296" s="105"/>
    </row>
    <row r="297" spans="12:27" ht="25" customHeight="1">
      <c r="L297" s="31"/>
      <c r="M297" s="31"/>
      <c r="N297" s="31"/>
      <c r="R297" s="32"/>
      <c r="X297" s="35"/>
      <c r="Y297" s="102"/>
      <c r="Z297" s="104"/>
      <c r="AA297" s="105"/>
    </row>
    <row r="298" spans="12:27" ht="25" customHeight="1">
      <c r="L298" s="31"/>
      <c r="M298" s="31"/>
      <c r="N298" s="31"/>
      <c r="R298" s="32"/>
      <c r="X298" s="35"/>
      <c r="Y298" s="102"/>
      <c r="Z298" s="104"/>
      <c r="AA298" s="105"/>
    </row>
    <row r="299" spans="12:27" ht="25" customHeight="1">
      <c r="L299" s="31"/>
      <c r="M299" s="31"/>
      <c r="N299" s="31"/>
      <c r="R299" s="32"/>
      <c r="X299" s="35"/>
      <c r="Y299" s="102"/>
      <c r="Z299" s="104"/>
      <c r="AA299" s="105"/>
    </row>
    <row r="300" spans="12:27" ht="25" customHeight="1">
      <c r="L300" s="31"/>
      <c r="M300" s="31"/>
      <c r="N300" s="31"/>
      <c r="R300" s="32"/>
      <c r="X300" s="35"/>
      <c r="Y300" s="102"/>
      <c r="Z300" s="104"/>
      <c r="AA300" s="105"/>
    </row>
    <row r="301" spans="12:27" ht="25" customHeight="1">
      <c r="L301" s="31"/>
      <c r="M301" s="31"/>
      <c r="N301" s="31"/>
      <c r="R301" s="32"/>
      <c r="X301" s="35"/>
      <c r="Y301" s="102"/>
      <c r="Z301" s="104"/>
      <c r="AA301" s="105"/>
    </row>
    <row r="302" spans="12:27" ht="25" customHeight="1">
      <c r="L302" s="31"/>
      <c r="M302" s="31"/>
      <c r="N302" s="31"/>
      <c r="R302" s="32"/>
      <c r="X302" s="35"/>
      <c r="Y302" s="102"/>
      <c r="Z302" s="104"/>
      <c r="AA302" s="105"/>
    </row>
    <row r="303" spans="12:27" ht="25" customHeight="1">
      <c r="L303" s="31"/>
      <c r="M303" s="31"/>
      <c r="N303" s="31"/>
      <c r="R303" s="32"/>
      <c r="X303" s="35"/>
      <c r="Y303" s="102"/>
      <c r="Z303" s="104"/>
      <c r="AA303" s="105"/>
    </row>
    <row r="304" spans="12:27" ht="25" customHeight="1">
      <c r="L304" s="31"/>
      <c r="M304" s="31"/>
      <c r="N304" s="31"/>
      <c r="R304" s="32"/>
      <c r="X304" s="35"/>
      <c r="Y304" s="102"/>
      <c r="Z304" s="104"/>
      <c r="AA304" s="105"/>
    </row>
    <row r="305" spans="12:27" ht="25" customHeight="1">
      <c r="L305" s="31"/>
      <c r="M305" s="31"/>
      <c r="N305" s="31"/>
      <c r="R305" s="32"/>
      <c r="X305" s="35"/>
      <c r="Y305" s="102"/>
      <c r="Z305" s="104"/>
      <c r="AA305" s="105"/>
    </row>
    <row r="306" spans="12:27" ht="25" customHeight="1">
      <c r="L306" s="31"/>
      <c r="M306" s="31"/>
      <c r="N306" s="31"/>
      <c r="R306" s="32"/>
      <c r="X306" s="35"/>
      <c r="Y306" s="102"/>
      <c r="Z306" s="104"/>
      <c r="AA306" s="105"/>
    </row>
    <row r="307" spans="12:27" ht="25" customHeight="1">
      <c r="L307" s="31"/>
      <c r="M307" s="31"/>
      <c r="N307" s="31"/>
      <c r="R307" s="32"/>
      <c r="X307" s="35"/>
      <c r="Y307" s="102"/>
      <c r="Z307" s="104"/>
      <c r="AA307" s="105"/>
    </row>
    <row r="308" spans="12:27" ht="25" customHeight="1">
      <c r="L308" s="31"/>
      <c r="M308" s="31"/>
      <c r="N308" s="31"/>
      <c r="R308" s="32"/>
      <c r="X308" s="35"/>
      <c r="Y308" s="102"/>
      <c r="Z308" s="104"/>
      <c r="AA308" s="105"/>
    </row>
    <row r="309" spans="12:27" ht="25" customHeight="1">
      <c r="L309" s="31"/>
      <c r="M309" s="31"/>
      <c r="N309" s="31"/>
      <c r="R309" s="32"/>
      <c r="X309" s="35"/>
      <c r="Y309" s="102"/>
      <c r="Z309" s="104"/>
      <c r="AA309" s="105"/>
    </row>
    <row r="310" spans="12:27" ht="25" customHeight="1">
      <c r="L310" s="31"/>
      <c r="M310" s="31"/>
      <c r="N310" s="31"/>
      <c r="R310" s="32"/>
      <c r="X310" s="35"/>
      <c r="Y310" s="102"/>
      <c r="Z310" s="104"/>
      <c r="AA310" s="105"/>
    </row>
    <row r="311" spans="12:27" ht="25" customHeight="1">
      <c r="L311" s="31"/>
      <c r="M311" s="31"/>
      <c r="N311" s="31"/>
      <c r="R311" s="32"/>
      <c r="X311" s="35"/>
      <c r="Y311" s="102"/>
      <c r="Z311" s="104"/>
      <c r="AA311" s="105"/>
    </row>
    <row r="312" spans="12:27" ht="25" customHeight="1">
      <c r="L312" s="31"/>
      <c r="M312" s="31"/>
      <c r="N312" s="31"/>
      <c r="R312" s="32"/>
      <c r="X312" s="35"/>
      <c r="Y312" s="102"/>
      <c r="Z312" s="104"/>
      <c r="AA312" s="105"/>
    </row>
    <row r="313" spans="12:27" ht="25" customHeight="1">
      <c r="L313" s="31"/>
      <c r="M313" s="31"/>
      <c r="N313" s="31"/>
      <c r="R313" s="32"/>
      <c r="X313" s="35"/>
      <c r="Y313" s="102"/>
      <c r="Z313" s="104"/>
      <c r="AA313" s="105"/>
    </row>
    <row r="314" spans="12:27" ht="25" customHeight="1">
      <c r="L314" s="31"/>
      <c r="M314" s="31"/>
      <c r="N314" s="31"/>
      <c r="R314" s="32"/>
      <c r="X314" s="35"/>
      <c r="Y314" s="102"/>
      <c r="Z314" s="104"/>
      <c r="AA314" s="105"/>
    </row>
    <row r="315" spans="12:27" ht="25" customHeight="1">
      <c r="L315" s="31"/>
      <c r="M315" s="31"/>
      <c r="N315" s="31"/>
      <c r="R315" s="32"/>
      <c r="X315" s="35"/>
      <c r="Y315" s="102"/>
      <c r="Z315" s="104"/>
      <c r="AA315" s="105"/>
    </row>
    <row r="316" spans="12:27" ht="25" customHeight="1">
      <c r="L316" s="31"/>
      <c r="M316" s="31"/>
      <c r="N316" s="31"/>
      <c r="R316" s="32"/>
      <c r="X316" s="35"/>
      <c r="Y316" s="102"/>
      <c r="Z316" s="104"/>
      <c r="AA316" s="105"/>
    </row>
    <row r="317" spans="12:27" ht="25" customHeight="1">
      <c r="L317" s="31"/>
      <c r="M317" s="31"/>
      <c r="N317" s="31"/>
      <c r="R317" s="32"/>
      <c r="X317" s="35"/>
      <c r="Y317" s="102"/>
      <c r="Z317" s="104"/>
      <c r="AA317" s="105"/>
    </row>
    <row r="318" spans="12:27" ht="25" customHeight="1">
      <c r="L318" s="31"/>
      <c r="M318" s="31"/>
      <c r="N318" s="31"/>
      <c r="R318" s="32"/>
      <c r="X318" s="35"/>
      <c r="Y318" s="102"/>
      <c r="Z318" s="104"/>
      <c r="AA318" s="105"/>
    </row>
    <row r="319" spans="12:27" ht="25" customHeight="1">
      <c r="L319" s="31"/>
      <c r="M319" s="31"/>
      <c r="N319" s="31"/>
      <c r="R319" s="32"/>
      <c r="X319" s="35"/>
      <c r="Y319" s="102"/>
      <c r="Z319" s="104"/>
      <c r="AA319" s="105"/>
    </row>
    <row r="320" spans="12:27" ht="25" customHeight="1">
      <c r="L320" s="31"/>
      <c r="M320" s="31"/>
      <c r="N320" s="31"/>
      <c r="R320" s="32"/>
      <c r="X320" s="35"/>
      <c r="Y320" s="102"/>
      <c r="Z320" s="104"/>
      <c r="AA320" s="105"/>
    </row>
    <row r="321" spans="12:27" ht="25" customHeight="1">
      <c r="L321" s="31"/>
      <c r="M321" s="31"/>
      <c r="N321" s="31"/>
      <c r="R321" s="32"/>
      <c r="X321" s="35"/>
      <c r="Y321" s="102"/>
      <c r="Z321" s="104"/>
      <c r="AA321" s="105"/>
    </row>
    <row r="322" spans="12:27" ht="25" customHeight="1">
      <c r="L322" s="31"/>
      <c r="M322" s="31"/>
      <c r="N322" s="31"/>
      <c r="R322" s="32"/>
      <c r="X322" s="35"/>
      <c r="Y322" s="102"/>
      <c r="Z322" s="104"/>
      <c r="AA322" s="105"/>
    </row>
    <row r="323" spans="12:27" ht="25" customHeight="1">
      <c r="L323" s="31"/>
      <c r="M323" s="31"/>
      <c r="N323" s="31"/>
      <c r="R323" s="32"/>
      <c r="X323" s="35"/>
      <c r="Y323" s="102"/>
      <c r="Z323" s="104"/>
      <c r="AA323" s="105"/>
    </row>
    <row r="324" spans="12:27" ht="25" customHeight="1">
      <c r="L324" s="31"/>
      <c r="M324" s="31"/>
      <c r="N324" s="31"/>
      <c r="R324" s="32"/>
      <c r="X324" s="35"/>
      <c r="Y324" s="102"/>
      <c r="Z324" s="104"/>
      <c r="AA324" s="105"/>
    </row>
    <row r="325" spans="12:27" ht="25" customHeight="1">
      <c r="L325" s="31"/>
      <c r="M325" s="31"/>
      <c r="N325" s="31"/>
      <c r="R325" s="32"/>
      <c r="X325" s="35"/>
      <c r="Y325" s="102"/>
      <c r="Z325" s="104"/>
      <c r="AA325" s="105"/>
    </row>
    <row r="326" spans="12:27" ht="25" customHeight="1">
      <c r="L326" s="31"/>
      <c r="M326" s="31"/>
      <c r="N326" s="31"/>
      <c r="R326" s="32"/>
      <c r="X326" s="35"/>
      <c r="Y326" s="102"/>
      <c r="Z326" s="104"/>
      <c r="AA326" s="105"/>
    </row>
    <row r="327" spans="12:27" ht="25" customHeight="1">
      <c r="L327" s="31"/>
      <c r="M327" s="31"/>
      <c r="N327" s="31"/>
      <c r="R327" s="32"/>
      <c r="X327" s="35"/>
      <c r="Y327" s="102"/>
      <c r="Z327" s="104"/>
      <c r="AA327" s="105"/>
    </row>
    <row r="328" spans="12:27" ht="25" customHeight="1">
      <c r="L328" s="31"/>
      <c r="M328" s="31"/>
      <c r="N328" s="31"/>
      <c r="R328" s="32"/>
      <c r="X328" s="35"/>
      <c r="Y328" s="102"/>
      <c r="Z328" s="104"/>
      <c r="AA328" s="105"/>
    </row>
    <row r="329" spans="12:27" ht="25" customHeight="1">
      <c r="L329" s="31"/>
      <c r="M329" s="31"/>
      <c r="N329" s="31"/>
      <c r="R329" s="32"/>
      <c r="X329" s="35"/>
      <c r="Y329" s="102"/>
      <c r="Z329" s="104"/>
      <c r="AA329" s="105"/>
    </row>
    <row r="330" spans="12:27" ht="25" customHeight="1">
      <c r="L330" s="31"/>
      <c r="M330" s="31"/>
      <c r="N330" s="31"/>
      <c r="R330" s="32"/>
      <c r="X330" s="35"/>
      <c r="Y330" s="102"/>
      <c r="Z330" s="104"/>
      <c r="AA330" s="105"/>
    </row>
    <row r="331" spans="12:27" ht="25" customHeight="1">
      <c r="L331" s="31"/>
      <c r="M331" s="31"/>
      <c r="N331" s="31"/>
      <c r="R331" s="32"/>
      <c r="X331" s="35"/>
      <c r="Y331" s="102"/>
      <c r="Z331" s="104"/>
      <c r="AA331" s="105"/>
    </row>
    <row r="332" spans="12:27" ht="25" customHeight="1">
      <c r="L332" s="31"/>
      <c r="M332" s="31"/>
      <c r="N332" s="31"/>
      <c r="R332" s="32"/>
      <c r="X332" s="35"/>
      <c r="Y332" s="102"/>
      <c r="Z332" s="104"/>
      <c r="AA332" s="105"/>
    </row>
    <row r="333" spans="12:27" ht="25" customHeight="1">
      <c r="L333" s="31"/>
      <c r="M333" s="31"/>
      <c r="N333" s="31"/>
      <c r="R333" s="32"/>
      <c r="X333" s="35"/>
      <c r="Y333" s="102"/>
      <c r="Z333" s="104"/>
      <c r="AA333" s="105"/>
    </row>
    <row r="334" spans="12:27" ht="25" customHeight="1">
      <c r="L334" s="31"/>
      <c r="M334" s="31"/>
      <c r="N334" s="31"/>
      <c r="R334" s="32"/>
      <c r="X334" s="35"/>
      <c r="Y334" s="102"/>
      <c r="Z334" s="104"/>
      <c r="AA334" s="105"/>
    </row>
    <row r="335" spans="12:27" ht="25" customHeight="1">
      <c r="L335" s="31"/>
      <c r="M335" s="31"/>
      <c r="N335" s="31"/>
      <c r="R335" s="32"/>
      <c r="X335" s="35"/>
      <c r="Y335" s="102"/>
      <c r="Z335" s="104"/>
      <c r="AA335" s="105"/>
    </row>
    <row r="336" spans="12:27" ht="25" customHeight="1">
      <c r="L336" s="31"/>
      <c r="M336" s="31"/>
      <c r="N336" s="31"/>
      <c r="R336" s="32"/>
      <c r="X336" s="35"/>
      <c r="Y336" s="102"/>
      <c r="Z336" s="104"/>
      <c r="AA336" s="105"/>
    </row>
    <row r="337" spans="12:27" ht="25" customHeight="1">
      <c r="L337" s="31"/>
      <c r="M337" s="31"/>
      <c r="N337" s="31"/>
      <c r="R337" s="32"/>
      <c r="X337" s="35"/>
      <c r="Y337" s="102"/>
      <c r="Z337" s="104"/>
      <c r="AA337" s="105"/>
    </row>
    <row r="338" spans="12:27" ht="25" customHeight="1">
      <c r="L338" s="31"/>
      <c r="M338" s="31"/>
      <c r="N338" s="31"/>
      <c r="R338" s="32"/>
      <c r="X338" s="35"/>
      <c r="Y338" s="102"/>
      <c r="Z338" s="104"/>
      <c r="AA338" s="105"/>
    </row>
    <row r="339" spans="12:27" ht="25" customHeight="1">
      <c r="L339" s="31"/>
      <c r="M339" s="31"/>
      <c r="N339" s="31"/>
      <c r="R339" s="32"/>
      <c r="X339" s="35"/>
      <c r="Y339" s="102"/>
      <c r="Z339" s="104"/>
      <c r="AA339" s="105"/>
    </row>
    <row r="340" spans="12:27" ht="25" customHeight="1">
      <c r="L340" s="31"/>
      <c r="M340" s="31"/>
      <c r="N340" s="31"/>
      <c r="R340" s="32"/>
      <c r="X340" s="35"/>
      <c r="Y340" s="102"/>
      <c r="Z340" s="104"/>
      <c r="AA340" s="105"/>
    </row>
    <row r="341" spans="12:27" ht="25" customHeight="1">
      <c r="L341" s="31"/>
      <c r="M341" s="31"/>
      <c r="N341" s="31"/>
      <c r="R341" s="32"/>
      <c r="X341" s="35"/>
      <c r="Y341" s="102"/>
      <c r="Z341" s="104"/>
      <c r="AA341" s="105"/>
    </row>
    <row r="342" spans="12:27" ht="25" customHeight="1">
      <c r="L342" s="31"/>
      <c r="M342" s="31"/>
      <c r="N342" s="31"/>
      <c r="R342" s="32"/>
      <c r="X342" s="35"/>
      <c r="Y342" s="102"/>
      <c r="Z342" s="104"/>
      <c r="AA342" s="105"/>
    </row>
    <row r="343" spans="12:27" ht="25" customHeight="1">
      <c r="L343" s="31"/>
      <c r="M343" s="31"/>
      <c r="N343" s="31"/>
      <c r="R343" s="32"/>
      <c r="X343" s="35"/>
      <c r="Y343" s="102"/>
      <c r="Z343" s="104"/>
      <c r="AA343" s="105"/>
    </row>
    <row r="344" spans="12:27" ht="25" customHeight="1">
      <c r="L344" s="31"/>
      <c r="M344" s="31"/>
      <c r="N344" s="31"/>
      <c r="R344" s="32"/>
      <c r="X344" s="35"/>
      <c r="Y344" s="102"/>
      <c r="Z344" s="104"/>
      <c r="AA344" s="105"/>
    </row>
    <row r="345" spans="12:27" ht="25" customHeight="1">
      <c r="L345" s="31"/>
      <c r="M345" s="31"/>
      <c r="N345" s="31"/>
      <c r="R345" s="32"/>
      <c r="X345" s="35"/>
      <c r="Y345" s="102"/>
      <c r="Z345" s="104"/>
      <c r="AA345" s="105"/>
    </row>
    <row r="346" spans="12:27" ht="25" customHeight="1">
      <c r="L346" s="31"/>
      <c r="M346" s="31"/>
      <c r="N346" s="31"/>
      <c r="R346" s="32"/>
      <c r="X346" s="35"/>
      <c r="Y346" s="102"/>
      <c r="Z346" s="104"/>
      <c r="AA346" s="105"/>
    </row>
    <row r="347" spans="12:27" ht="25" customHeight="1">
      <c r="L347" s="31"/>
      <c r="M347" s="31"/>
      <c r="N347" s="31"/>
      <c r="R347" s="32"/>
      <c r="X347" s="35"/>
      <c r="Y347" s="102"/>
      <c r="Z347" s="104"/>
      <c r="AA347" s="105"/>
    </row>
    <row r="348" spans="12:27" ht="25" customHeight="1">
      <c r="L348" s="31"/>
      <c r="M348" s="31"/>
      <c r="N348" s="31"/>
      <c r="R348" s="32"/>
      <c r="X348" s="35"/>
      <c r="Y348" s="102"/>
      <c r="Z348" s="104"/>
      <c r="AA348" s="105"/>
    </row>
    <row r="349" spans="12:27" ht="25" customHeight="1">
      <c r="L349" s="31"/>
      <c r="M349" s="31"/>
      <c r="N349" s="31"/>
      <c r="R349" s="32"/>
      <c r="X349" s="35"/>
      <c r="Y349" s="102"/>
      <c r="Z349" s="104"/>
      <c r="AA349" s="105"/>
    </row>
    <row r="350" spans="12:27" ht="25" customHeight="1">
      <c r="L350" s="31"/>
      <c r="M350" s="31"/>
      <c r="N350" s="31"/>
      <c r="R350" s="32"/>
      <c r="X350" s="35"/>
      <c r="Y350" s="102"/>
      <c r="Z350" s="104"/>
      <c r="AA350" s="105"/>
    </row>
    <row r="351" spans="12:27" ht="25" customHeight="1">
      <c r="L351" s="31"/>
      <c r="M351" s="31"/>
      <c r="N351" s="31"/>
      <c r="R351" s="32"/>
      <c r="X351" s="35"/>
      <c r="Y351" s="102"/>
      <c r="Z351" s="104"/>
      <c r="AA351" s="105"/>
    </row>
    <row r="352" spans="12:27" ht="25" customHeight="1">
      <c r="L352" s="31"/>
      <c r="M352" s="31"/>
      <c r="N352" s="31"/>
      <c r="R352" s="32"/>
      <c r="X352" s="35"/>
      <c r="Y352" s="102"/>
      <c r="Z352" s="104"/>
      <c r="AA352" s="105"/>
    </row>
    <row r="353" spans="12:27" ht="25" customHeight="1">
      <c r="L353" s="31"/>
      <c r="M353" s="31"/>
      <c r="N353" s="31"/>
      <c r="R353" s="32"/>
      <c r="X353" s="35"/>
      <c r="Y353" s="102"/>
      <c r="Z353" s="104"/>
      <c r="AA353" s="105"/>
    </row>
    <row r="354" spans="12:27" ht="25" customHeight="1">
      <c r="L354" s="31"/>
      <c r="M354" s="31"/>
      <c r="N354" s="31"/>
      <c r="R354" s="32"/>
      <c r="X354" s="35"/>
      <c r="Y354" s="102"/>
      <c r="Z354" s="104"/>
      <c r="AA354" s="105"/>
    </row>
    <row r="355" spans="12:27" ht="25" customHeight="1">
      <c r="L355" s="31"/>
      <c r="M355" s="31"/>
      <c r="N355" s="31"/>
      <c r="R355" s="32"/>
      <c r="X355" s="35"/>
      <c r="Y355" s="102"/>
      <c r="Z355" s="104"/>
      <c r="AA355" s="105"/>
    </row>
    <row r="356" spans="12:27" ht="25" customHeight="1">
      <c r="L356" s="31"/>
      <c r="M356" s="31"/>
      <c r="N356" s="31"/>
      <c r="R356" s="32"/>
      <c r="X356" s="35"/>
      <c r="Y356" s="102"/>
      <c r="Z356" s="104"/>
      <c r="AA356" s="105"/>
    </row>
    <row r="357" spans="12:27" ht="25" customHeight="1">
      <c r="L357" s="31"/>
      <c r="M357" s="31"/>
      <c r="N357" s="31"/>
      <c r="R357" s="32"/>
      <c r="X357" s="35"/>
      <c r="Y357" s="102"/>
      <c r="Z357" s="104"/>
      <c r="AA357" s="105"/>
    </row>
    <row r="358" spans="12:27" ht="25" customHeight="1">
      <c r="L358" s="31"/>
      <c r="M358" s="31"/>
      <c r="N358" s="31"/>
      <c r="R358" s="32"/>
      <c r="X358" s="35"/>
      <c r="Y358" s="102"/>
      <c r="Z358" s="104"/>
      <c r="AA358" s="105"/>
    </row>
    <row r="359" spans="12:27" ht="25" customHeight="1">
      <c r="L359" s="31"/>
      <c r="M359" s="31"/>
      <c r="N359" s="31"/>
      <c r="R359" s="32"/>
      <c r="X359" s="35"/>
      <c r="Y359" s="102"/>
      <c r="Z359" s="104"/>
      <c r="AA359" s="105"/>
    </row>
    <row r="360" spans="12:27" ht="25" customHeight="1">
      <c r="L360" s="31"/>
      <c r="M360" s="31"/>
      <c r="N360" s="31"/>
      <c r="R360" s="32"/>
      <c r="X360" s="35"/>
      <c r="Y360" s="102"/>
      <c r="Z360" s="104"/>
      <c r="AA360" s="105"/>
    </row>
    <row r="361" spans="12:27" ht="25" customHeight="1">
      <c r="L361" s="31"/>
      <c r="M361" s="31"/>
      <c r="N361" s="31"/>
      <c r="R361" s="32"/>
      <c r="X361" s="35"/>
      <c r="Y361" s="102"/>
      <c r="Z361" s="104"/>
      <c r="AA361" s="105"/>
    </row>
    <row r="362" spans="12:27" ht="25" customHeight="1">
      <c r="L362" s="31"/>
      <c r="M362" s="31"/>
      <c r="N362" s="31"/>
      <c r="R362" s="32"/>
      <c r="X362" s="35"/>
      <c r="Y362" s="102"/>
      <c r="Z362" s="104"/>
      <c r="AA362" s="105"/>
    </row>
    <row r="363" spans="12:27" ht="25" customHeight="1">
      <c r="L363" s="31"/>
      <c r="M363" s="31"/>
      <c r="N363" s="31"/>
      <c r="R363" s="32"/>
      <c r="X363" s="35"/>
      <c r="Y363" s="102"/>
      <c r="Z363" s="104"/>
      <c r="AA363" s="105"/>
    </row>
    <row r="364" spans="12:27" ht="25" customHeight="1">
      <c r="L364" s="31"/>
      <c r="M364" s="31"/>
      <c r="N364" s="31"/>
      <c r="R364" s="32"/>
      <c r="X364" s="35"/>
      <c r="Y364" s="102"/>
      <c r="Z364" s="104"/>
      <c r="AA364" s="105"/>
    </row>
    <row r="365" spans="12:27" ht="25" customHeight="1">
      <c r="L365" s="31"/>
      <c r="M365" s="31"/>
      <c r="N365" s="31"/>
      <c r="R365" s="32"/>
      <c r="X365" s="35"/>
      <c r="Y365" s="102"/>
      <c r="Z365" s="104"/>
      <c r="AA365" s="105"/>
    </row>
    <row r="366" spans="12:27" ht="25" customHeight="1">
      <c r="L366" s="31"/>
      <c r="M366" s="31"/>
      <c r="N366" s="31"/>
      <c r="R366" s="32"/>
      <c r="X366" s="35"/>
      <c r="Y366" s="102"/>
      <c r="Z366" s="104"/>
      <c r="AA366" s="105"/>
    </row>
    <row r="367" spans="12:27" ht="25" customHeight="1">
      <c r="L367" s="31"/>
      <c r="M367" s="31"/>
      <c r="N367" s="31"/>
      <c r="R367" s="32"/>
      <c r="X367" s="35"/>
      <c r="Y367" s="102"/>
      <c r="Z367" s="104"/>
      <c r="AA367" s="105"/>
    </row>
    <row r="368" spans="12:27" ht="25" customHeight="1">
      <c r="L368" s="31"/>
      <c r="M368" s="31"/>
      <c r="N368" s="31"/>
      <c r="R368" s="32"/>
      <c r="X368" s="35"/>
      <c r="Y368" s="102"/>
      <c r="Z368" s="104"/>
      <c r="AA368" s="105"/>
    </row>
    <row r="369" spans="12:27" ht="25" customHeight="1">
      <c r="L369" s="31"/>
      <c r="M369" s="31"/>
      <c r="N369" s="31"/>
      <c r="R369" s="32"/>
      <c r="X369" s="35"/>
      <c r="Y369" s="102"/>
      <c r="Z369" s="104"/>
      <c r="AA369" s="105"/>
    </row>
    <row r="370" spans="12:27" ht="25" customHeight="1">
      <c r="L370" s="31"/>
      <c r="M370" s="31"/>
      <c r="N370" s="31"/>
      <c r="R370" s="32"/>
      <c r="X370" s="35"/>
      <c r="Y370" s="102"/>
      <c r="Z370" s="104"/>
      <c r="AA370" s="105"/>
    </row>
    <row r="371" spans="12:27" ht="25" customHeight="1">
      <c r="L371" s="31"/>
      <c r="M371" s="31"/>
      <c r="N371" s="31"/>
      <c r="R371" s="32"/>
      <c r="X371" s="35"/>
      <c r="Y371" s="102"/>
      <c r="Z371" s="104"/>
      <c r="AA371" s="105"/>
    </row>
    <row r="372" spans="12:27" ht="25" customHeight="1">
      <c r="L372" s="31"/>
      <c r="M372" s="31"/>
      <c r="N372" s="31"/>
      <c r="R372" s="32"/>
      <c r="X372" s="35"/>
      <c r="Y372" s="102"/>
      <c r="Z372" s="104"/>
      <c r="AA372" s="105"/>
    </row>
    <row r="373" spans="12:27" ht="25" customHeight="1">
      <c r="L373" s="31"/>
      <c r="M373" s="31"/>
      <c r="N373" s="31"/>
      <c r="R373" s="32"/>
      <c r="X373" s="35"/>
      <c r="Y373" s="102"/>
      <c r="Z373" s="104"/>
      <c r="AA373" s="105"/>
    </row>
    <row r="374" spans="12:27" ht="25" customHeight="1">
      <c r="L374" s="31"/>
      <c r="M374" s="31"/>
      <c r="N374" s="31"/>
      <c r="R374" s="32"/>
      <c r="X374" s="35"/>
      <c r="Y374" s="102"/>
      <c r="Z374" s="104"/>
      <c r="AA374" s="105"/>
    </row>
    <row r="375" spans="12:27" ht="25" customHeight="1">
      <c r="L375" s="31"/>
      <c r="M375" s="31"/>
      <c r="N375" s="31"/>
      <c r="R375" s="32"/>
      <c r="X375" s="35"/>
      <c r="Y375" s="102"/>
      <c r="Z375" s="104"/>
      <c r="AA375" s="105"/>
    </row>
    <row r="376" spans="12:27" ht="25" customHeight="1">
      <c r="L376" s="31"/>
      <c r="M376" s="31"/>
      <c r="N376" s="31"/>
      <c r="R376" s="32"/>
      <c r="X376" s="35"/>
      <c r="Y376" s="102"/>
      <c r="Z376" s="104"/>
      <c r="AA376" s="105"/>
    </row>
    <row r="377" spans="12:27" ht="25" customHeight="1">
      <c r="L377" s="31"/>
      <c r="M377" s="31"/>
      <c r="N377" s="31"/>
      <c r="R377" s="32"/>
      <c r="X377" s="35"/>
      <c r="Y377" s="102"/>
      <c r="Z377" s="104"/>
      <c r="AA377" s="105"/>
    </row>
    <row r="378" spans="12:27" ht="25" customHeight="1">
      <c r="L378" s="31"/>
      <c r="M378" s="31"/>
      <c r="N378" s="31"/>
      <c r="R378" s="32"/>
      <c r="X378" s="35"/>
      <c r="Y378" s="102"/>
      <c r="Z378" s="104"/>
      <c r="AA378" s="105"/>
    </row>
    <row r="379" spans="12:27" ht="25" customHeight="1">
      <c r="L379" s="31"/>
      <c r="M379" s="31"/>
      <c r="N379" s="31"/>
      <c r="R379" s="32"/>
      <c r="X379" s="35"/>
      <c r="Y379" s="102"/>
      <c r="Z379" s="104"/>
      <c r="AA379" s="105"/>
    </row>
    <row r="380" spans="12:27" ht="25" customHeight="1">
      <c r="L380" s="31"/>
      <c r="M380" s="31"/>
      <c r="N380" s="31"/>
      <c r="R380" s="32"/>
      <c r="X380" s="35"/>
      <c r="Y380" s="102"/>
      <c r="Z380" s="104"/>
      <c r="AA380" s="105"/>
    </row>
    <row r="381" spans="12:27" ht="25" customHeight="1">
      <c r="L381" s="31"/>
      <c r="M381" s="31"/>
      <c r="N381" s="31"/>
      <c r="R381" s="32"/>
      <c r="X381" s="35"/>
      <c r="Y381" s="102"/>
      <c r="Z381" s="104"/>
      <c r="AA381" s="105"/>
    </row>
    <row r="382" spans="12:27" ht="25" customHeight="1">
      <c r="L382" s="31"/>
      <c r="M382" s="31"/>
      <c r="N382" s="31"/>
      <c r="R382" s="32"/>
      <c r="X382" s="35"/>
      <c r="Y382" s="102"/>
      <c r="Z382" s="104"/>
      <c r="AA382" s="105"/>
    </row>
    <row r="383" spans="12:27" ht="25" customHeight="1">
      <c r="L383" s="31"/>
      <c r="M383" s="31"/>
      <c r="N383" s="31"/>
      <c r="R383" s="32"/>
      <c r="X383" s="35"/>
      <c r="Y383" s="102"/>
      <c r="Z383" s="104"/>
      <c r="AA383" s="105"/>
    </row>
    <row r="384" spans="12:27" ht="25" customHeight="1">
      <c r="L384" s="31"/>
      <c r="M384" s="31"/>
      <c r="N384" s="31"/>
      <c r="R384" s="32"/>
      <c r="X384" s="35"/>
      <c r="Y384" s="102"/>
      <c r="Z384" s="104"/>
      <c r="AA384" s="105"/>
    </row>
    <row r="385" spans="12:27" ht="25" customHeight="1">
      <c r="L385" s="31"/>
      <c r="M385" s="31"/>
      <c r="N385" s="31"/>
      <c r="R385" s="32"/>
      <c r="X385" s="35"/>
      <c r="Y385" s="102"/>
      <c r="Z385" s="104"/>
      <c r="AA385" s="105"/>
    </row>
    <row r="386" spans="12:27" ht="25" customHeight="1">
      <c r="L386" s="31"/>
      <c r="M386" s="31"/>
      <c r="N386" s="31"/>
      <c r="R386" s="32"/>
      <c r="X386" s="35"/>
      <c r="Y386" s="102"/>
      <c r="Z386" s="104"/>
      <c r="AA386" s="105"/>
    </row>
    <row r="387" spans="12:27" ht="25" customHeight="1">
      <c r="L387" s="31"/>
      <c r="M387" s="31"/>
      <c r="N387" s="31"/>
      <c r="R387" s="32"/>
      <c r="X387" s="35"/>
      <c r="Y387" s="102"/>
      <c r="Z387" s="104"/>
      <c r="AA387" s="105"/>
    </row>
    <row r="388" spans="12:27" ht="25" customHeight="1">
      <c r="L388" s="31"/>
      <c r="M388" s="31"/>
      <c r="N388" s="31"/>
      <c r="R388" s="32"/>
      <c r="X388" s="35"/>
      <c r="Y388" s="102"/>
      <c r="Z388" s="104"/>
      <c r="AA388" s="105"/>
    </row>
    <row r="389" spans="12:27" ht="25" customHeight="1">
      <c r="L389" s="31"/>
      <c r="M389" s="31"/>
      <c r="N389" s="31"/>
      <c r="R389" s="32"/>
      <c r="X389" s="35"/>
      <c r="Y389" s="102"/>
      <c r="Z389" s="104"/>
      <c r="AA389" s="105"/>
    </row>
    <row r="390" spans="12:27" ht="25" customHeight="1">
      <c r="L390" s="31"/>
      <c r="M390" s="31"/>
      <c r="N390" s="31"/>
      <c r="R390" s="32"/>
      <c r="X390" s="35"/>
      <c r="Y390" s="102"/>
      <c r="Z390" s="104"/>
      <c r="AA390" s="105"/>
    </row>
    <row r="391" spans="12:27" ht="25" customHeight="1">
      <c r="L391" s="31"/>
      <c r="M391" s="31"/>
      <c r="N391" s="31"/>
      <c r="R391" s="32"/>
      <c r="X391" s="35"/>
      <c r="Y391" s="102"/>
      <c r="Z391" s="104"/>
      <c r="AA391" s="105"/>
    </row>
    <row r="392" spans="12:27" ht="25" customHeight="1">
      <c r="L392" s="31"/>
      <c r="M392" s="31"/>
      <c r="N392" s="31"/>
      <c r="R392" s="32"/>
      <c r="X392" s="35"/>
      <c r="Y392" s="102"/>
      <c r="Z392" s="104"/>
      <c r="AA392" s="105"/>
    </row>
    <row r="393" spans="12:27" ht="25" customHeight="1">
      <c r="L393" s="31"/>
      <c r="M393" s="31"/>
      <c r="N393" s="31"/>
      <c r="R393" s="32"/>
      <c r="X393" s="35"/>
      <c r="Y393" s="102"/>
      <c r="Z393" s="104"/>
      <c r="AA393" s="105"/>
    </row>
    <row r="394" spans="12:27" ht="25" customHeight="1">
      <c r="L394" s="31"/>
      <c r="M394" s="31"/>
      <c r="N394" s="31"/>
      <c r="R394" s="32"/>
      <c r="X394" s="35"/>
      <c r="Y394" s="102"/>
      <c r="Z394" s="104"/>
      <c r="AA394" s="105"/>
    </row>
    <row r="395" spans="12:27" ht="25" customHeight="1">
      <c r="L395" s="31"/>
      <c r="M395" s="31"/>
      <c r="N395" s="31"/>
      <c r="R395" s="32"/>
      <c r="X395" s="35"/>
      <c r="Y395" s="102"/>
      <c r="Z395" s="104"/>
      <c r="AA395" s="105"/>
    </row>
    <row r="396" spans="12:27" ht="25" customHeight="1">
      <c r="L396" s="31"/>
      <c r="M396" s="31"/>
      <c r="N396" s="31"/>
      <c r="R396" s="32"/>
      <c r="X396" s="35"/>
      <c r="Y396" s="102"/>
      <c r="Z396" s="104"/>
      <c r="AA396" s="105"/>
    </row>
    <row r="397" spans="12:27" ht="25" customHeight="1">
      <c r="L397" s="31"/>
      <c r="M397" s="31"/>
      <c r="N397" s="31"/>
      <c r="R397" s="32"/>
      <c r="X397" s="35"/>
      <c r="Y397" s="102"/>
      <c r="Z397" s="104"/>
      <c r="AA397" s="105"/>
    </row>
    <row r="398" spans="12:27" ht="25" customHeight="1">
      <c r="L398" s="31"/>
      <c r="M398" s="31"/>
      <c r="N398" s="31"/>
      <c r="R398" s="32"/>
      <c r="X398" s="35"/>
      <c r="Y398" s="102"/>
      <c r="Z398" s="104"/>
      <c r="AA398" s="105"/>
    </row>
    <row r="399" spans="12:27" ht="25" customHeight="1">
      <c r="L399" s="31"/>
      <c r="M399" s="31"/>
      <c r="N399" s="31"/>
      <c r="R399" s="32"/>
      <c r="X399" s="35"/>
      <c r="Y399" s="102"/>
      <c r="Z399" s="104"/>
      <c r="AA399" s="105"/>
    </row>
    <row r="400" spans="12:27" ht="25" customHeight="1">
      <c r="L400" s="31"/>
      <c r="M400" s="31"/>
      <c r="N400" s="31"/>
      <c r="R400" s="32"/>
      <c r="X400" s="35"/>
      <c r="Y400" s="102"/>
      <c r="Z400" s="104"/>
      <c r="AA400" s="105"/>
    </row>
    <row r="401" spans="12:27" ht="25" customHeight="1">
      <c r="L401" s="31"/>
      <c r="M401" s="31"/>
      <c r="N401" s="31"/>
      <c r="R401" s="32"/>
      <c r="X401" s="35"/>
      <c r="Y401" s="102"/>
      <c r="Z401" s="104"/>
      <c r="AA401" s="105"/>
    </row>
    <row r="402" spans="12:27" ht="25" customHeight="1">
      <c r="L402" s="31"/>
      <c r="M402" s="31"/>
      <c r="N402" s="31"/>
      <c r="R402" s="32"/>
      <c r="X402" s="35"/>
      <c r="Y402" s="102"/>
      <c r="Z402" s="104"/>
      <c r="AA402" s="105"/>
    </row>
    <row r="403" spans="12:27" ht="25" customHeight="1">
      <c r="L403" s="31"/>
      <c r="M403" s="31"/>
      <c r="N403" s="31"/>
      <c r="R403" s="32"/>
      <c r="X403" s="35"/>
      <c r="Y403" s="102"/>
      <c r="Z403" s="104"/>
      <c r="AA403" s="105"/>
    </row>
    <row r="404" spans="12:27" ht="25" customHeight="1">
      <c r="L404" s="31"/>
      <c r="M404" s="31"/>
      <c r="N404" s="31"/>
      <c r="R404" s="32"/>
      <c r="X404" s="35"/>
      <c r="Y404" s="102"/>
      <c r="Z404" s="104"/>
      <c r="AA404" s="105"/>
    </row>
    <row r="405" spans="12:27" ht="25" customHeight="1">
      <c r="L405" s="31"/>
      <c r="M405" s="31"/>
      <c r="N405" s="31"/>
      <c r="R405" s="32"/>
      <c r="X405" s="35"/>
      <c r="Y405" s="102"/>
      <c r="Z405" s="104"/>
      <c r="AA405" s="105"/>
    </row>
    <row r="406" spans="12:27" ht="25" customHeight="1">
      <c r="L406" s="31"/>
      <c r="M406" s="31"/>
      <c r="N406" s="31"/>
      <c r="R406" s="32"/>
      <c r="X406" s="35"/>
      <c r="Y406" s="102"/>
      <c r="Z406" s="104"/>
      <c r="AA406" s="105"/>
    </row>
    <row r="407" spans="12:27" ht="25" customHeight="1">
      <c r="L407" s="31"/>
      <c r="M407" s="31"/>
      <c r="N407" s="31"/>
      <c r="R407" s="32"/>
      <c r="X407" s="35"/>
      <c r="Y407" s="102"/>
      <c r="Z407" s="104"/>
      <c r="AA407" s="105"/>
    </row>
    <row r="408" spans="12:27" ht="25" customHeight="1">
      <c r="L408" s="31"/>
      <c r="M408" s="31"/>
      <c r="N408" s="31"/>
      <c r="R408" s="32"/>
      <c r="X408" s="35"/>
      <c r="Y408" s="102"/>
      <c r="Z408" s="104"/>
      <c r="AA408" s="105"/>
    </row>
    <row r="409" spans="12:27" ht="25" customHeight="1">
      <c r="L409" s="31"/>
      <c r="M409" s="31"/>
      <c r="N409" s="31"/>
      <c r="R409" s="32"/>
      <c r="X409" s="35"/>
      <c r="Y409" s="102"/>
      <c r="Z409" s="104"/>
      <c r="AA409" s="105"/>
    </row>
    <row r="410" spans="12:27" ht="25" customHeight="1">
      <c r="L410" s="31"/>
      <c r="M410" s="31"/>
      <c r="N410" s="31"/>
      <c r="R410" s="32"/>
      <c r="X410" s="35"/>
      <c r="Y410" s="102"/>
      <c r="Z410" s="104"/>
      <c r="AA410" s="105"/>
    </row>
    <row r="411" spans="12:27" ht="25" customHeight="1">
      <c r="L411" s="31"/>
      <c r="M411" s="31"/>
      <c r="N411" s="31"/>
      <c r="R411" s="32"/>
      <c r="X411" s="35"/>
      <c r="Y411" s="102"/>
      <c r="Z411" s="104"/>
      <c r="AA411" s="105"/>
    </row>
    <row r="412" spans="12:27" ht="25" customHeight="1">
      <c r="L412" s="31"/>
      <c r="M412" s="31"/>
      <c r="N412" s="31"/>
      <c r="R412" s="32"/>
      <c r="X412" s="35"/>
      <c r="Y412" s="102"/>
      <c r="Z412" s="104"/>
      <c r="AA412" s="105"/>
    </row>
    <row r="413" spans="12:27" ht="25" customHeight="1">
      <c r="L413" s="31"/>
      <c r="M413" s="31"/>
      <c r="N413" s="31"/>
      <c r="R413" s="32"/>
      <c r="X413" s="35"/>
      <c r="Y413" s="102"/>
      <c r="Z413" s="104"/>
      <c r="AA413" s="105"/>
    </row>
    <row r="414" spans="12:27" ht="25" customHeight="1">
      <c r="L414" s="31"/>
      <c r="M414" s="31"/>
      <c r="N414" s="31"/>
      <c r="R414" s="32"/>
      <c r="X414" s="35"/>
      <c r="Y414" s="102"/>
      <c r="Z414" s="104"/>
      <c r="AA414" s="105"/>
    </row>
    <row r="415" spans="12:27" ht="25" customHeight="1">
      <c r="L415" s="31"/>
      <c r="M415" s="31"/>
      <c r="N415" s="31"/>
      <c r="R415" s="32"/>
      <c r="X415" s="35"/>
      <c r="Y415" s="102"/>
      <c r="Z415" s="104"/>
      <c r="AA415" s="105"/>
    </row>
    <row r="416" spans="12:27" ht="25" customHeight="1">
      <c r="L416" s="31"/>
      <c r="M416" s="31"/>
      <c r="N416" s="31"/>
      <c r="R416" s="32"/>
      <c r="X416" s="35"/>
      <c r="Y416" s="102"/>
      <c r="Z416" s="104"/>
      <c r="AA416" s="105"/>
    </row>
    <row r="417" spans="12:27" ht="25" customHeight="1">
      <c r="L417" s="31"/>
      <c r="M417" s="31"/>
      <c r="N417" s="31"/>
      <c r="R417" s="32"/>
      <c r="X417" s="35"/>
      <c r="Y417" s="102"/>
      <c r="Z417" s="104"/>
      <c r="AA417" s="105"/>
    </row>
    <row r="418" spans="12:27" ht="25" customHeight="1">
      <c r="L418" s="31"/>
      <c r="M418" s="31"/>
      <c r="N418" s="31"/>
      <c r="R418" s="32"/>
      <c r="X418" s="35"/>
      <c r="Y418" s="102"/>
      <c r="Z418" s="104"/>
      <c r="AA418" s="105"/>
    </row>
    <row r="419" spans="12:27" ht="25" customHeight="1">
      <c r="L419" s="31"/>
      <c r="M419" s="31"/>
      <c r="N419" s="31"/>
      <c r="R419" s="32"/>
      <c r="X419" s="35"/>
      <c r="Y419" s="102"/>
      <c r="Z419" s="104"/>
      <c r="AA419" s="105"/>
    </row>
    <row r="420" spans="12:27" ht="25" customHeight="1">
      <c r="L420" s="31"/>
      <c r="M420" s="31"/>
      <c r="N420" s="31"/>
      <c r="R420" s="32"/>
      <c r="X420" s="35"/>
      <c r="Y420" s="102"/>
      <c r="Z420" s="104"/>
      <c r="AA420" s="105"/>
    </row>
    <row r="421" spans="12:27" ht="25" customHeight="1">
      <c r="L421" s="31"/>
      <c r="M421" s="31"/>
      <c r="N421" s="31"/>
      <c r="R421" s="32"/>
      <c r="X421" s="35"/>
      <c r="Y421" s="102"/>
      <c r="Z421" s="104"/>
      <c r="AA421" s="105"/>
    </row>
    <row r="422" spans="12:27" ht="25" customHeight="1">
      <c r="L422" s="31"/>
      <c r="M422" s="31"/>
      <c r="N422" s="31"/>
      <c r="R422" s="32"/>
      <c r="X422" s="35"/>
      <c r="Y422" s="102"/>
      <c r="Z422" s="104"/>
      <c r="AA422" s="105"/>
    </row>
    <row r="423" spans="12:27" ht="25" customHeight="1">
      <c r="L423" s="31"/>
      <c r="M423" s="31"/>
      <c r="N423" s="31"/>
      <c r="R423" s="32"/>
      <c r="X423" s="35"/>
      <c r="Y423" s="102"/>
      <c r="Z423" s="104"/>
      <c r="AA423" s="105"/>
    </row>
    <row r="424" spans="12:27" ht="25" customHeight="1">
      <c r="L424" s="31"/>
      <c r="M424" s="31"/>
      <c r="N424" s="31"/>
      <c r="R424" s="32"/>
      <c r="X424" s="35"/>
      <c r="Y424" s="102"/>
      <c r="Z424" s="104"/>
      <c r="AA424" s="105"/>
    </row>
    <row r="425" spans="12:27" ht="25" customHeight="1">
      <c r="L425" s="31"/>
      <c r="M425" s="31"/>
      <c r="N425" s="31"/>
      <c r="R425" s="32"/>
      <c r="X425" s="35"/>
      <c r="Y425" s="102"/>
      <c r="Z425" s="104"/>
      <c r="AA425" s="105"/>
    </row>
    <row r="426" spans="12:27" ht="25" customHeight="1">
      <c r="L426" s="31"/>
      <c r="M426" s="31"/>
      <c r="N426" s="31"/>
      <c r="R426" s="32"/>
      <c r="X426" s="35"/>
      <c r="Y426" s="102"/>
      <c r="Z426" s="104"/>
      <c r="AA426" s="105"/>
    </row>
    <row r="427" spans="12:27" ht="25" customHeight="1">
      <c r="L427" s="31"/>
      <c r="M427" s="31"/>
      <c r="N427" s="31"/>
      <c r="R427" s="32"/>
      <c r="X427" s="35"/>
      <c r="Y427" s="102"/>
      <c r="Z427" s="104"/>
      <c r="AA427" s="105"/>
    </row>
    <row r="428" spans="12:27" ht="25" customHeight="1">
      <c r="L428" s="31"/>
      <c r="M428" s="31"/>
      <c r="N428" s="31"/>
      <c r="R428" s="32"/>
      <c r="X428" s="35"/>
      <c r="Y428" s="102"/>
      <c r="Z428" s="104"/>
      <c r="AA428" s="105"/>
    </row>
    <row r="429" spans="12:27" ht="25" customHeight="1">
      <c r="L429" s="31"/>
      <c r="M429" s="31"/>
      <c r="N429" s="31"/>
      <c r="R429" s="32"/>
      <c r="X429" s="35"/>
      <c r="Y429" s="102"/>
      <c r="Z429" s="104"/>
      <c r="AA429" s="105"/>
    </row>
    <row r="430" spans="12:27" ht="25" customHeight="1">
      <c r="L430" s="31"/>
      <c r="M430" s="31"/>
      <c r="N430" s="31"/>
      <c r="R430" s="32"/>
      <c r="X430" s="35"/>
      <c r="Y430" s="102"/>
      <c r="Z430" s="104"/>
      <c r="AA430" s="105"/>
    </row>
    <row r="431" spans="12:27" ht="25" customHeight="1">
      <c r="L431" s="31"/>
      <c r="M431" s="31"/>
      <c r="N431" s="31"/>
      <c r="R431" s="32"/>
      <c r="X431" s="35"/>
      <c r="Y431" s="102"/>
      <c r="Z431" s="104"/>
      <c r="AA431" s="105"/>
    </row>
    <row r="432" spans="12:27" ht="25" customHeight="1">
      <c r="L432" s="31"/>
      <c r="M432" s="31"/>
      <c r="N432" s="31"/>
      <c r="R432" s="32"/>
      <c r="X432" s="35"/>
      <c r="Y432" s="102"/>
      <c r="Z432" s="104"/>
      <c r="AA432" s="105"/>
    </row>
    <row r="433" spans="12:27" ht="25" customHeight="1">
      <c r="L433" s="31"/>
      <c r="M433" s="31"/>
      <c r="N433" s="31"/>
      <c r="R433" s="32"/>
      <c r="X433" s="35"/>
      <c r="Y433" s="102"/>
      <c r="Z433" s="104"/>
      <c r="AA433" s="105"/>
    </row>
    <row r="434" spans="12:27" ht="25" customHeight="1">
      <c r="L434" s="31"/>
      <c r="M434" s="31"/>
      <c r="N434" s="31"/>
      <c r="R434" s="32"/>
      <c r="X434" s="35"/>
      <c r="Y434" s="102"/>
      <c r="Z434" s="104"/>
      <c r="AA434" s="105"/>
    </row>
    <row r="435" spans="12:27" ht="25" customHeight="1">
      <c r="L435" s="31"/>
      <c r="M435" s="31"/>
      <c r="N435" s="31"/>
      <c r="R435" s="32"/>
      <c r="X435" s="35"/>
      <c r="Y435" s="102"/>
      <c r="Z435" s="104"/>
      <c r="AA435" s="105"/>
    </row>
    <row r="436" spans="12:27" ht="25" customHeight="1">
      <c r="L436" s="31"/>
      <c r="M436" s="31"/>
      <c r="N436" s="31"/>
      <c r="R436" s="32"/>
      <c r="X436" s="35"/>
      <c r="Y436" s="102"/>
      <c r="Z436" s="104"/>
      <c r="AA436" s="105"/>
    </row>
    <row r="437" spans="12:27" ht="25" customHeight="1">
      <c r="L437" s="31"/>
      <c r="M437" s="31"/>
      <c r="N437" s="31"/>
      <c r="R437" s="32"/>
      <c r="X437" s="35"/>
      <c r="Y437" s="102"/>
      <c r="Z437" s="104"/>
      <c r="AA437" s="105"/>
    </row>
    <row r="438" spans="12:27" ht="25" customHeight="1">
      <c r="L438" s="31"/>
      <c r="M438" s="31"/>
      <c r="N438" s="31"/>
      <c r="R438" s="32"/>
      <c r="X438" s="35"/>
      <c r="Y438" s="102"/>
      <c r="Z438" s="104"/>
      <c r="AA438" s="105"/>
    </row>
    <row r="439" spans="12:27" ht="25" customHeight="1">
      <c r="L439" s="31"/>
      <c r="M439" s="31"/>
      <c r="N439" s="31"/>
      <c r="R439" s="32"/>
      <c r="X439" s="35"/>
      <c r="Y439" s="102"/>
      <c r="Z439" s="104"/>
      <c r="AA439" s="105"/>
    </row>
    <row r="440" spans="12:27" ht="25" customHeight="1">
      <c r="L440" s="31"/>
      <c r="M440" s="31"/>
      <c r="N440" s="31"/>
      <c r="R440" s="32"/>
      <c r="X440" s="35"/>
      <c r="Y440" s="102"/>
      <c r="Z440" s="104"/>
      <c r="AA440" s="105"/>
    </row>
    <row r="441" spans="12:27" ht="25" customHeight="1">
      <c r="L441" s="31"/>
      <c r="M441" s="31"/>
      <c r="N441" s="31"/>
      <c r="R441" s="32"/>
      <c r="X441" s="35"/>
      <c r="Y441" s="102"/>
      <c r="Z441" s="104"/>
      <c r="AA441" s="105"/>
    </row>
    <row r="442" spans="12:27" ht="25" customHeight="1">
      <c r="L442" s="31"/>
      <c r="M442" s="31"/>
      <c r="N442" s="31"/>
      <c r="R442" s="32"/>
      <c r="X442" s="35"/>
      <c r="Y442" s="102"/>
      <c r="Z442" s="104"/>
      <c r="AA442" s="105"/>
    </row>
    <row r="443" spans="12:27" ht="25" customHeight="1">
      <c r="L443" s="31"/>
      <c r="M443" s="31"/>
      <c r="N443" s="31"/>
      <c r="R443" s="32"/>
      <c r="X443" s="35"/>
      <c r="Y443" s="102"/>
      <c r="Z443" s="104"/>
      <c r="AA443" s="105"/>
    </row>
    <row r="444" spans="12:27" ht="25" customHeight="1">
      <c r="L444" s="31"/>
      <c r="M444" s="31"/>
      <c r="N444" s="31"/>
      <c r="R444" s="32"/>
      <c r="X444" s="35"/>
      <c r="Y444" s="102"/>
      <c r="Z444" s="104"/>
      <c r="AA444" s="105"/>
    </row>
    <row r="445" spans="12:27" ht="25" customHeight="1">
      <c r="L445" s="31"/>
      <c r="M445" s="31"/>
      <c r="N445" s="31"/>
      <c r="R445" s="32"/>
      <c r="X445" s="35"/>
      <c r="Y445" s="102"/>
      <c r="Z445" s="104"/>
      <c r="AA445" s="105"/>
    </row>
    <row r="446" spans="12:27" ht="25" customHeight="1">
      <c r="L446" s="31"/>
      <c r="M446" s="31"/>
      <c r="N446" s="31"/>
      <c r="R446" s="32"/>
      <c r="X446" s="35"/>
      <c r="Y446" s="102"/>
      <c r="Z446" s="104"/>
      <c r="AA446" s="105"/>
    </row>
    <row r="447" spans="12:27" ht="25" customHeight="1">
      <c r="L447" s="31"/>
      <c r="M447" s="31"/>
      <c r="N447" s="31"/>
      <c r="R447" s="32"/>
      <c r="X447" s="35"/>
      <c r="Y447" s="102"/>
      <c r="Z447" s="104"/>
      <c r="AA447" s="105"/>
    </row>
    <row r="448" spans="12:27" ht="25" customHeight="1">
      <c r="L448" s="31"/>
      <c r="M448" s="31"/>
      <c r="N448" s="31"/>
      <c r="R448" s="32"/>
      <c r="X448" s="35"/>
      <c r="Y448" s="102"/>
      <c r="Z448" s="104"/>
      <c r="AA448" s="105"/>
    </row>
    <row r="449" spans="12:27" ht="25" customHeight="1">
      <c r="L449" s="31"/>
      <c r="M449" s="31"/>
      <c r="N449" s="31"/>
      <c r="R449" s="32"/>
      <c r="X449" s="35"/>
      <c r="Y449" s="102"/>
      <c r="Z449" s="104"/>
      <c r="AA449" s="105"/>
    </row>
    <row r="450" spans="12:27" ht="25" customHeight="1">
      <c r="L450" s="31"/>
      <c r="M450" s="31"/>
      <c r="N450" s="31"/>
      <c r="R450" s="32"/>
      <c r="X450" s="35"/>
      <c r="Y450" s="102"/>
      <c r="Z450" s="104"/>
      <c r="AA450" s="105"/>
    </row>
    <row r="451" spans="12:27" ht="25" customHeight="1">
      <c r="L451" s="31"/>
      <c r="M451" s="31"/>
      <c r="N451" s="31"/>
      <c r="R451" s="32"/>
      <c r="X451" s="35"/>
      <c r="Y451" s="102"/>
      <c r="Z451" s="104"/>
      <c r="AA451" s="105"/>
    </row>
    <row r="452" spans="12:27" ht="25" customHeight="1">
      <c r="L452" s="31"/>
      <c r="M452" s="31"/>
      <c r="N452" s="31"/>
      <c r="R452" s="32"/>
      <c r="X452" s="35"/>
      <c r="Y452" s="102"/>
      <c r="Z452" s="104"/>
      <c r="AA452" s="105"/>
    </row>
    <row r="453" spans="12:27" ht="25" customHeight="1">
      <c r="L453" s="31"/>
      <c r="M453" s="31"/>
      <c r="N453" s="31"/>
      <c r="R453" s="32"/>
      <c r="X453" s="35"/>
      <c r="Y453" s="102"/>
      <c r="Z453" s="104"/>
      <c r="AA453" s="105"/>
    </row>
    <row r="454" spans="12:27" ht="25" customHeight="1">
      <c r="L454" s="31"/>
      <c r="M454" s="31"/>
      <c r="N454" s="31"/>
      <c r="R454" s="32"/>
      <c r="X454" s="35"/>
      <c r="Y454" s="102"/>
      <c r="Z454" s="104"/>
      <c r="AA454" s="105"/>
    </row>
    <row r="455" spans="12:27" ht="25" customHeight="1">
      <c r="L455" s="31"/>
      <c r="M455" s="31"/>
      <c r="N455" s="31"/>
      <c r="R455" s="32"/>
      <c r="X455" s="35"/>
      <c r="Y455" s="102"/>
      <c r="Z455" s="104"/>
      <c r="AA455" s="105"/>
    </row>
    <row r="456" spans="12:27" ht="25" customHeight="1">
      <c r="L456" s="31"/>
      <c r="M456" s="31"/>
      <c r="N456" s="31"/>
      <c r="R456" s="32"/>
      <c r="X456" s="35"/>
      <c r="Y456" s="102"/>
      <c r="Z456" s="104"/>
      <c r="AA456" s="105"/>
    </row>
    <row r="457" spans="12:27" ht="25" customHeight="1">
      <c r="L457" s="31"/>
      <c r="M457" s="31"/>
      <c r="N457" s="31"/>
      <c r="R457" s="32"/>
      <c r="X457" s="35"/>
      <c r="Y457" s="102"/>
      <c r="Z457" s="104"/>
      <c r="AA457" s="105"/>
    </row>
    <row r="458" spans="12:27" ht="25" customHeight="1">
      <c r="L458" s="31"/>
      <c r="M458" s="31"/>
      <c r="N458" s="31"/>
      <c r="R458" s="32"/>
      <c r="X458" s="35"/>
      <c r="Y458" s="102"/>
      <c r="Z458" s="104"/>
      <c r="AA458" s="105"/>
    </row>
    <row r="459" spans="12:27" ht="25" customHeight="1">
      <c r="L459" s="31"/>
      <c r="M459" s="31"/>
      <c r="N459" s="31"/>
      <c r="R459" s="32"/>
      <c r="X459" s="35"/>
      <c r="Y459" s="102"/>
      <c r="Z459" s="104"/>
      <c r="AA459" s="105"/>
    </row>
    <row r="460" spans="12:27" ht="25" customHeight="1">
      <c r="L460" s="31"/>
      <c r="M460" s="31"/>
      <c r="N460" s="31"/>
      <c r="R460" s="32"/>
      <c r="X460" s="35"/>
      <c r="Y460" s="102"/>
      <c r="Z460" s="104"/>
      <c r="AA460" s="105"/>
    </row>
    <row r="461" spans="12:27" ht="25" customHeight="1">
      <c r="L461" s="31"/>
      <c r="M461" s="31"/>
      <c r="N461" s="31"/>
      <c r="R461" s="32"/>
      <c r="X461" s="35"/>
      <c r="Y461" s="102"/>
      <c r="Z461" s="104"/>
      <c r="AA461" s="105"/>
    </row>
    <row r="462" spans="12:27" ht="25" customHeight="1">
      <c r="L462" s="31"/>
      <c r="M462" s="31"/>
      <c r="N462" s="31"/>
      <c r="R462" s="32"/>
      <c r="X462" s="35"/>
      <c r="Y462" s="102"/>
      <c r="Z462" s="104"/>
      <c r="AA462" s="105"/>
    </row>
    <row r="463" spans="12:27" ht="25" customHeight="1">
      <c r="L463" s="31"/>
      <c r="M463" s="31"/>
      <c r="N463" s="31"/>
      <c r="R463" s="32"/>
      <c r="X463" s="35"/>
      <c r="Y463" s="102"/>
      <c r="Z463" s="104"/>
      <c r="AA463" s="105"/>
    </row>
    <row r="464" spans="12:27" ht="25" customHeight="1">
      <c r="L464" s="31"/>
      <c r="M464" s="31"/>
      <c r="N464" s="31"/>
      <c r="R464" s="32"/>
      <c r="X464" s="35"/>
      <c r="Y464" s="102"/>
      <c r="Z464" s="104"/>
      <c r="AA464" s="105"/>
    </row>
    <row r="465" spans="12:27" ht="25" customHeight="1">
      <c r="L465" s="31"/>
      <c r="M465" s="31"/>
      <c r="N465" s="31"/>
      <c r="R465" s="32"/>
      <c r="X465" s="35"/>
      <c r="Y465" s="102"/>
      <c r="Z465" s="104"/>
      <c r="AA465" s="105"/>
    </row>
    <row r="466" spans="12:27" ht="25" customHeight="1">
      <c r="L466" s="31"/>
      <c r="M466" s="31"/>
      <c r="N466" s="31"/>
      <c r="R466" s="32"/>
      <c r="X466" s="35"/>
      <c r="Y466" s="102"/>
      <c r="Z466" s="104"/>
      <c r="AA466" s="105"/>
    </row>
    <row r="467" spans="12:27" ht="25" customHeight="1">
      <c r="L467" s="31"/>
      <c r="M467" s="31"/>
      <c r="N467" s="31"/>
      <c r="R467" s="32"/>
      <c r="X467" s="35"/>
      <c r="Y467" s="102"/>
      <c r="Z467" s="104"/>
      <c r="AA467" s="105"/>
    </row>
    <row r="468" spans="12:27" ht="25" customHeight="1">
      <c r="L468" s="31"/>
      <c r="M468" s="31"/>
      <c r="N468" s="31"/>
      <c r="R468" s="32"/>
      <c r="X468" s="35"/>
      <c r="Y468" s="102"/>
      <c r="Z468" s="104"/>
      <c r="AA468" s="105"/>
    </row>
    <row r="469" spans="12:27" ht="25" customHeight="1">
      <c r="L469" s="31"/>
      <c r="M469" s="31"/>
      <c r="N469" s="31"/>
      <c r="R469" s="32"/>
      <c r="X469" s="35"/>
      <c r="Y469" s="102"/>
      <c r="Z469" s="104"/>
      <c r="AA469" s="105"/>
    </row>
    <row r="470" spans="12:27" ht="25" customHeight="1">
      <c r="L470" s="31"/>
      <c r="M470" s="31"/>
      <c r="N470" s="31"/>
      <c r="R470" s="32"/>
      <c r="X470" s="35"/>
      <c r="Y470" s="102"/>
      <c r="Z470" s="104"/>
      <c r="AA470" s="105"/>
    </row>
    <row r="471" spans="12:27" ht="25" customHeight="1">
      <c r="L471" s="31"/>
      <c r="M471" s="31"/>
      <c r="N471" s="31"/>
      <c r="R471" s="32"/>
      <c r="X471" s="35"/>
      <c r="Y471" s="102"/>
      <c r="Z471" s="104"/>
      <c r="AA471" s="105"/>
    </row>
    <row r="472" spans="12:27" ht="25" customHeight="1">
      <c r="L472" s="31"/>
      <c r="M472" s="31"/>
      <c r="N472" s="31"/>
      <c r="R472" s="32"/>
      <c r="X472" s="35"/>
      <c r="Y472" s="102"/>
      <c r="Z472" s="104"/>
      <c r="AA472" s="105"/>
    </row>
    <row r="473" spans="12:27" ht="25" customHeight="1">
      <c r="L473" s="31"/>
      <c r="M473" s="31"/>
      <c r="N473" s="31"/>
      <c r="R473" s="32"/>
      <c r="X473" s="35"/>
      <c r="Y473" s="102"/>
      <c r="Z473" s="104"/>
      <c r="AA473" s="105"/>
    </row>
    <row r="474" spans="12:27" ht="25" customHeight="1">
      <c r="L474" s="31"/>
      <c r="M474" s="31"/>
      <c r="N474" s="31"/>
      <c r="R474" s="32"/>
      <c r="X474" s="35"/>
      <c r="Y474" s="102"/>
      <c r="Z474" s="104"/>
      <c r="AA474" s="105"/>
    </row>
    <row r="475" spans="12:27" ht="25" customHeight="1">
      <c r="L475" s="31"/>
      <c r="M475" s="31"/>
      <c r="N475" s="31"/>
      <c r="R475" s="32"/>
      <c r="X475" s="35"/>
      <c r="Y475" s="102"/>
      <c r="Z475" s="104"/>
      <c r="AA475" s="105"/>
    </row>
    <row r="476" spans="12:27" ht="25" customHeight="1">
      <c r="L476" s="31"/>
      <c r="M476" s="31"/>
      <c r="N476" s="31"/>
      <c r="R476" s="32"/>
      <c r="X476" s="35"/>
      <c r="Y476" s="102"/>
      <c r="Z476" s="104"/>
      <c r="AA476" s="105"/>
    </row>
    <row r="477" spans="12:27" ht="25" customHeight="1">
      <c r="L477" s="31"/>
      <c r="M477" s="31"/>
      <c r="N477" s="31"/>
      <c r="R477" s="32"/>
      <c r="X477" s="35"/>
      <c r="Y477" s="102"/>
      <c r="Z477" s="104"/>
      <c r="AA477" s="105"/>
    </row>
    <row r="478" spans="12:27" ht="25" customHeight="1">
      <c r="L478" s="31"/>
      <c r="M478" s="31"/>
      <c r="N478" s="31"/>
      <c r="R478" s="32"/>
      <c r="X478" s="35"/>
      <c r="Y478" s="102"/>
      <c r="Z478" s="104"/>
      <c r="AA478" s="105"/>
    </row>
    <row r="479" spans="12:27" ht="25" customHeight="1">
      <c r="L479" s="31"/>
      <c r="M479" s="31"/>
      <c r="N479" s="31"/>
      <c r="R479" s="32"/>
      <c r="X479" s="35"/>
      <c r="Y479" s="102"/>
      <c r="Z479" s="104"/>
      <c r="AA479" s="105"/>
    </row>
    <row r="480" spans="12:27" ht="25" customHeight="1">
      <c r="L480" s="31"/>
      <c r="M480" s="31"/>
      <c r="N480" s="31"/>
      <c r="R480" s="32"/>
      <c r="X480" s="35"/>
      <c r="Y480" s="102"/>
      <c r="Z480" s="104"/>
      <c r="AA480" s="105"/>
    </row>
    <row r="481" spans="12:27" ht="25" customHeight="1">
      <c r="L481" s="31"/>
      <c r="M481" s="31"/>
      <c r="N481" s="31"/>
      <c r="R481" s="32"/>
      <c r="X481" s="35"/>
      <c r="Y481" s="102"/>
      <c r="Z481" s="104"/>
      <c r="AA481" s="105"/>
    </row>
    <row r="482" spans="12:27" ht="25" customHeight="1">
      <c r="L482" s="31"/>
      <c r="M482" s="31"/>
      <c r="N482" s="31"/>
      <c r="R482" s="32"/>
      <c r="X482" s="35"/>
      <c r="Y482" s="102"/>
      <c r="Z482" s="104"/>
      <c r="AA482" s="105"/>
    </row>
    <row r="483" spans="12:27" ht="25" customHeight="1">
      <c r="L483" s="31"/>
      <c r="M483" s="31"/>
      <c r="N483" s="31"/>
      <c r="R483" s="32"/>
      <c r="X483" s="35"/>
      <c r="Y483" s="102"/>
      <c r="Z483" s="104"/>
      <c r="AA483" s="105"/>
    </row>
    <row r="484" spans="12:27" ht="25" customHeight="1">
      <c r="L484" s="31"/>
      <c r="M484" s="31"/>
      <c r="N484" s="31"/>
      <c r="R484" s="32"/>
      <c r="X484" s="35"/>
      <c r="Y484" s="102"/>
      <c r="Z484" s="104"/>
      <c r="AA484" s="105"/>
    </row>
    <row r="485" spans="12:27" ht="25" customHeight="1">
      <c r="L485" s="31"/>
      <c r="M485" s="31"/>
      <c r="N485" s="31"/>
      <c r="R485" s="32"/>
      <c r="X485" s="35"/>
      <c r="Y485" s="102"/>
      <c r="Z485" s="104"/>
      <c r="AA485" s="105"/>
    </row>
    <row r="486" spans="12:27" ht="25" customHeight="1">
      <c r="L486" s="31"/>
      <c r="M486" s="31"/>
      <c r="N486" s="31"/>
      <c r="R486" s="32"/>
      <c r="X486" s="35"/>
      <c r="Y486" s="102"/>
      <c r="Z486" s="104"/>
      <c r="AA486" s="105"/>
    </row>
    <row r="487" spans="12:27" ht="25" customHeight="1">
      <c r="L487" s="31"/>
      <c r="M487" s="31"/>
      <c r="N487" s="31"/>
      <c r="R487" s="32"/>
      <c r="X487" s="35"/>
      <c r="Y487" s="102"/>
      <c r="Z487" s="104"/>
      <c r="AA487" s="105"/>
    </row>
    <row r="488" spans="12:27" ht="25" customHeight="1">
      <c r="L488" s="31"/>
      <c r="M488" s="31"/>
      <c r="N488" s="31"/>
      <c r="R488" s="32"/>
      <c r="X488" s="35"/>
      <c r="Y488" s="102"/>
      <c r="Z488" s="104"/>
      <c r="AA488" s="105"/>
    </row>
    <row r="489" spans="12:27" ht="25" customHeight="1">
      <c r="L489" s="31"/>
      <c r="M489" s="31"/>
      <c r="N489" s="31"/>
      <c r="R489" s="32"/>
      <c r="X489" s="35"/>
      <c r="Y489" s="102"/>
      <c r="Z489" s="104"/>
      <c r="AA489" s="105"/>
    </row>
    <row r="490" spans="12:27" ht="25" customHeight="1">
      <c r="L490" s="31"/>
      <c r="M490" s="31"/>
      <c r="N490" s="31"/>
      <c r="R490" s="32"/>
      <c r="X490" s="35"/>
      <c r="Y490" s="102"/>
      <c r="Z490" s="104"/>
      <c r="AA490" s="105"/>
    </row>
    <row r="491" spans="12:27" ht="25" customHeight="1">
      <c r="L491" s="31"/>
      <c r="M491" s="31"/>
      <c r="N491" s="31"/>
      <c r="R491" s="32"/>
      <c r="X491" s="35"/>
      <c r="Y491" s="102"/>
      <c r="Z491" s="104"/>
      <c r="AA491" s="105"/>
    </row>
    <row r="492" spans="12:27" ht="25" customHeight="1">
      <c r="L492" s="31"/>
      <c r="M492" s="31"/>
      <c r="N492" s="31"/>
      <c r="R492" s="32"/>
      <c r="X492" s="35"/>
      <c r="Y492" s="102"/>
      <c r="Z492" s="104"/>
      <c r="AA492" s="105"/>
    </row>
    <row r="493" spans="12:27" ht="25" customHeight="1">
      <c r="L493" s="31"/>
      <c r="M493" s="31"/>
      <c r="N493" s="31"/>
      <c r="R493" s="32"/>
      <c r="X493" s="35"/>
      <c r="Y493" s="102"/>
      <c r="Z493" s="104"/>
      <c r="AA493" s="105"/>
    </row>
    <row r="494" spans="12:27" ht="25" customHeight="1">
      <c r="L494" s="31"/>
      <c r="M494" s="31"/>
      <c r="N494" s="31"/>
      <c r="R494" s="32"/>
      <c r="X494" s="35"/>
      <c r="Y494" s="102"/>
      <c r="Z494" s="104"/>
      <c r="AA494" s="105"/>
    </row>
    <row r="495" spans="12:27" ht="25" customHeight="1">
      <c r="L495" s="31"/>
      <c r="M495" s="31"/>
      <c r="N495" s="31"/>
      <c r="R495" s="32"/>
      <c r="X495" s="35"/>
      <c r="Y495" s="102"/>
      <c r="Z495" s="104"/>
      <c r="AA495" s="105"/>
    </row>
    <row r="496" spans="12:27" ht="25" customHeight="1">
      <c r="L496" s="31"/>
      <c r="M496" s="31"/>
      <c r="N496" s="31"/>
      <c r="R496" s="32"/>
      <c r="X496" s="35"/>
      <c r="Y496" s="102"/>
      <c r="Z496" s="104"/>
      <c r="AA496" s="105"/>
    </row>
    <row r="497" spans="12:27" ht="25" customHeight="1">
      <c r="L497" s="31"/>
      <c r="M497" s="31"/>
      <c r="N497" s="31"/>
      <c r="R497" s="32"/>
      <c r="X497" s="35"/>
      <c r="Y497" s="102"/>
      <c r="Z497" s="104"/>
      <c r="AA497" s="105"/>
    </row>
    <row r="498" spans="12:27" ht="25" customHeight="1">
      <c r="L498" s="31"/>
      <c r="M498" s="31"/>
      <c r="N498" s="31"/>
      <c r="R498" s="32"/>
      <c r="X498" s="35"/>
      <c r="Y498" s="102"/>
      <c r="Z498" s="104"/>
      <c r="AA498" s="105"/>
    </row>
    <row r="499" spans="12:27" ht="25" customHeight="1">
      <c r="L499" s="31"/>
      <c r="M499" s="31"/>
      <c r="N499" s="31"/>
      <c r="R499" s="32"/>
      <c r="X499" s="35"/>
      <c r="Y499" s="102"/>
      <c r="Z499" s="104"/>
      <c r="AA499" s="105"/>
    </row>
    <row r="500" spans="12:27" ht="25" customHeight="1">
      <c r="L500" s="31"/>
      <c r="M500" s="31"/>
      <c r="N500" s="31"/>
      <c r="R500" s="32"/>
      <c r="X500" s="35"/>
      <c r="Y500" s="102"/>
      <c r="Z500" s="104"/>
      <c r="AA500" s="105"/>
    </row>
    <row r="501" spans="12:27" ht="25" customHeight="1">
      <c r="L501" s="31"/>
      <c r="M501" s="31"/>
      <c r="N501" s="31"/>
      <c r="R501" s="32"/>
      <c r="X501" s="35"/>
      <c r="Y501" s="102"/>
      <c r="Z501" s="104"/>
      <c r="AA501" s="105"/>
    </row>
    <row r="502" spans="12:27" ht="25" customHeight="1">
      <c r="L502" s="31"/>
      <c r="M502" s="31"/>
      <c r="N502" s="31"/>
      <c r="R502" s="32"/>
      <c r="X502" s="35"/>
      <c r="Y502" s="102"/>
      <c r="Z502" s="104"/>
      <c r="AA502" s="105"/>
    </row>
    <row r="503" spans="12:27" ht="25" customHeight="1">
      <c r="L503" s="31"/>
      <c r="M503" s="31"/>
      <c r="N503" s="31"/>
      <c r="R503" s="32"/>
      <c r="X503" s="35"/>
      <c r="Y503" s="102"/>
      <c r="Z503" s="104"/>
      <c r="AA503" s="105"/>
    </row>
    <row r="504" spans="12:27" ht="25" customHeight="1">
      <c r="L504" s="31"/>
      <c r="M504" s="31"/>
      <c r="N504" s="31"/>
      <c r="R504" s="32"/>
      <c r="X504" s="35"/>
      <c r="Y504" s="102"/>
      <c r="Z504" s="104"/>
      <c r="AA504" s="105"/>
    </row>
    <row r="505" spans="12:27" ht="25" customHeight="1">
      <c r="L505" s="31"/>
      <c r="M505" s="31"/>
      <c r="N505" s="31"/>
      <c r="R505" s="32"/>
      <c r="X505" s="35"/>
      <c r="Y505" s="102"/>
      <c r="Z505" s="104"/>
      <c r="AA505" s="105"/>
    </row>
    <row r="506" spans="12:27" ht="25" customHeight="1">
      <c r="L506" s="31"/>
      <c r="M506" s="31"/>
      <c r="N506" s="31"/>
      <c r="R506" s="32"/>
      <c r="X506" s="35"/>
      <c r="Y506" s="102"/>
      <c r="Z506" s="104"/>
      <c r="AA506" s="105"/>
    </row>
    <row r="507" spans="12:27" ht="25" customHeight="1">
      <c r="L507" s="31"/>
      <c r="M507" s="31"/>
      <c r="N507" s="31"/>
      <c r="R507" s="32"/>
      <c r="X507" s="35"/>
      <c r="Y507" s="102"/>
      <c r="Z507" s="104"/>
      <c r="AA507" s="105"/>
    </row>
    <row r="508" spans="12:27" ht="25" customHeight="1">
      <c r="L508" s="31"/>
      <c r="M508" s="31"/>
      <c r="N508" s="31"/>
      <c r="R508" s="32"/>
      <c r="X508" s="35"/>
      <c r="Y508" s="102"/>
      <c r="Z508" s="104"/>
      <c r="AA508" s="105"/>
    </row>
    <row r="509" spans="12:27" ht="25" customHeight="1">
      <c r="L509" s="31"/>
      <c r="M509" s="31"/>
      <c r="N509" s="31"/>
      <c r="R509" s="32"/>
      <c r="X509" s="35"/>
      <c r="Y509" s="102"/>
      <c r="Z509" s="104"/>
      <c r="AA509" s="105"/>
    </row>
    <row r="510" spans="12:27" ht="25" customHeight="1">
      <c r="L510" s="31"/>
      <c r="M510" s="31"/>
      <c r="N510" s="31"/>
      <c r="R510" s="32"/>
      <c r="X510" s="35"/>
      <c r="Y510" s="102"/>
      <c r="Z510" s="104"/>
      <c r="AA510" s="105"/>
    </row>
    <row r="511" spans="12:27" ht="25" customHeight="1">
      <c r="L511" s="31"/>
      <c r="M511" s="31"/>
      <c r="N511" s="31"/>
      <c r="R511" s="32"/>
      <c r="X511" s="35"/>
      <c r="Y511" s="102"/>
      <c r="Z511" s="104"/>
      <c r="AA511" s="105"/>
    </row>
    <row r="512" spans="12:27" ht="25" customHeight="1">
      <c r="L512" s="31"/>
      <c r="M512" s="31"/>
      <c r="N512" s="31"/>
      <c r="R512" s="32"/>
      <c r="X512" s="35"/>
      <c r="Y512" s="102"/>
      <c r="Z512" s="104"/>
      <c r="AA512" s="105"/>
    </row>
    <row r="513" spans="12:27" ht="25" customHeight="1">
      <c r="L513" s="31"/>
      <c r="M513" s="31"/>
      <c r="N513" s="31"/>
      <c r="R513" s="32"/>
      <c r="X513" s="35"/>
      <c r="Y513" s="102"/>
      <c r="Z513" s="104"/>
      <c r="AA513" s="105"/>
    </row>
    <row r="514" spans="12:27" ht="25" customHeight="1">
      <c r="L514" s="31"/>
      <c r="M514" s="31"/>
      <c r="N514" s="31"/>
      <c r="R514" s="32"/>
      <c r="X514" s="35"/>
      <c r="Y514" s="102"/>
      <c r="Z514" s="104"/>
      <c r="AA514" s="105"/>
    </row>
    <row r="515" spans="12:27" ht="25" customHeight="1">
      <c r="L515" s="31"/>
      <c r="M515" s="31"/>
      <c r="N515" s="31"/>
      <c r="R515" s="32"/>
      <c r="X515" s="35"/>
      <c r="Y515" s="102"/>
      <c r="Z515" s="104"/>
      <c r="AA515" s="105"/>
    </row>
    <row r="516" spans="12:27" ht="25" customHeight="1">
      <c r="L516" s="31"/>
      <c r="M516" s="31"/>
      <c r="N516" s="31"/>
      <c r="R516" s="32"/>
      <c r="X516" s="35"/>
      <c r="Y516" s="102"/>
      <c r="Z516" s="104"/>
      <c r="AA516" s="105"/>
    </row>
    <row r="517" spans="12:27" ht="25" customHeight="1">
      <c r="L517" s="31"/>
      <c r="M517" s="31"/>
      <c r="N517" s="31"/>
      <c r="R517" s="32"/>
      <c r="X517" s="35"/>
      <c r="Y517" s="102"/>
      <c r="Z517" s="104"/>
      <c r="AA517" s="105"/>
    </row>
    <row r="518" spans="12:27" ht="25" customHeight="1">
      <c r="L518" s="31"/>
      <c r="M518" s="31"/>
      <c r="N518" s="31"/>
      <c r="R518" s="32"/>
      <c r="X518" s="35"/>
      <c r="Y518" s="102"/>
      <c r="Z518" s="104"/>
      <c r="AA518" s="105"/>
    </row>
    <row r="519" spans="12:27" ht="25" customHeight="1">
      <c r="L519" s="31"/>
      <c r="M519" s="31"/>
      <c r="N519" s="31"/>
      <c r="R519" s="32"/>
      <c r="X519" s="35"/>
      <c r="Y519" s="102"/>
      <c r="Z519" s="104"/>
      <c r="AA519" s="105"/>
    </row>
    <row r="520" spans="12:27" ht="25" customHeight="1">
      <c r="L520" s="31"/>
      <c r="M520" s="31"/>
      <c r="N520" s="31"/>
      <c r="R520" s="32"/>
      <c r="X520" s="35"/>
      <c r="Y520" s="102"/>
      <c r="Z520" s="104"/>
      <c r="AA520" s="105"/>
    </row>
    <row r="521" spans="12:27" ht="25" customHeight="1">
      <c r="L521" s="31"/>
      <c r="M521" s="31"/>
      <c r="N521" s="31"/>
      <c r="R521" s="32"/>
      <c r="X521" s="35"/>
      <c r="Y521" s="102"/>
      <c r="Z521" s="104"/>
      <c r="AA521" s="105"/>
    </row>
    <row r="522" spans="12:27" ht="25" customHeight="1">
      <c r="L522" s="31"/>
      <c r="M522" s="31"/>
      <c r="N522" s="31"/>
      <c r="R522" s="32"/>
      <c r="X522" s="35"/>
      <c r="Y522" s="102"/>
      <c r="Z522" s="104"/>
      <c r="AA522" s="105"/>
    </row>
    <row r="523" spans="12:27" ht="25" customHeight="1">
      <c r="L523" s="31"/>
      <c r="M523" s="31"/>
      <c r="N523" s="31"/>
      <c r="R523" s="32"/>
      <c r="X523" s="35"/>
      <c r="Y523" s="102"/>
      <c r="Z523" s="104"/>
      <c r="AA523" s="105"/>
    </row>
    <row r="524" spans="12:27" ht="25" customHeight="1">
      <c r="L524" s="31"/>
      <c r="M524" s="31"/>
      <c r="N524" s="31"/>
      <c r="R524" s="32"/>
      <c r="X524" s="35"/>
      <c r="Y524" s="102"/>
      <c r="Z524" s="104"/>
      <c r="AA524" s="105"/>
    </row>
    <row r="525" spans="12:27" ht="25" customHeight="1">
      <c r="L525" s="31"/>
      <c r="M525" s="31"/>
      <c r="N525" s="31"/>
      <c r="R525" s="32"/>
      <c r="X525" s="35"/>
      <c r="Y525" s="102"/>
      <c r="Z525" s="104"/>
      <c r="AA525" s="105"/>
    </row>
    <row r="526" spans="12:27" ht="25" customHeight="1">
      <c r="L526" s="31"/>
      <c r="M526" s="31"/>
      <c r="N526" s="31"/>
      <c r="R526" s="32"/>
      <c r="X526" s="35"/>
      <c r="Y526" s="102"/>
      <c r="Z526" s="104"/>
      <c r="AA526" s="105"/>
    </row>
    <row r="527" spans="12:27" ht="25" customHeight="1">
      <c r="L527" s="31"/>
      <c r="M527" s="31"/>
      <c r="N527" s="31"/>
      <c r="R527" s="32"/>
      <c r="X527" s="35"/>
      <c r="Y527" s="102"/>
      <c r="Z527" s="104"/>
      <c r="AA527" s="105"/>
    </row>
    <row r="528" spans="12:27" ht="25" customHeight="1">
      <c r="L528" s="31"/>
      <c r="M528" s="31"/>
      <c r="N528" s="31"/>
      <c r="R528" s="32"/>
      <c r="X528" s="35"/>
      <c r="Y528" s="102"/>
      <c r="Z528" s="104"/>
      <c r="AA528" s="105"/>
    </row>
    <row r="529" spans="12:27" ht="25" customHeight="1">
      <c r="L529" s="31"/>
      <c r="M529" s="31"/>
      <c r="N529" s="31"/>
      <c r="R529" s="32"/>
      <c r="X529" s="35"/>
      <c r="Y529" s="102"/>
      <c r="Z529" s="104"/>
      <c r="AA529" s="105"/>
    </row>
    <row r="530" spans="12:27" ht="25" customHeight="1">
      <c r="L530" s="31"/>
      <c r="M530" s="31"/>
      <c r="N530" s="31"/>
      <c r="R530" s="32"/>
      <c r="X530" s="35"/>
      <c r="Y530" s="102"/>
      <c r="Z530" s="104"/>
      <c r="AA530" s="105"/>
    </row>
    <row r="531" spans="12:27" ht="25" customHeight="1">
      <c r="L531" s="31"/>
      <c r="M531" s="31"/>
      <c r="N531" s="31"/>
      <c r="R531" s="32"/>
      <c r="X531" s="35"/>
      <c r="Y531" s="102"/>
      <c r="Z531" s="104"/>
      <c r="AA531" s="105"/>
    </row>
    <row r="532" spans="12:27" ht="25" customHeight="1">
      <c r="L532" s="31"/>
      <c r="M532" s="31"/>
      <c r="N532" s="31"/>
      <c r="R532" s="32"/>
      <c r="X532" s="35"/>
      <c r="Y532" s="102"/>
      <c r="Z532" s="104"/>
      <c r="AA532" s="105"/>
    </row>
    <row r="533" spans="12:27" ht="25" customHeight="1">
      <c r="L533" s="31"/>
      <c r="M533" s="31"/>
      <c r="N533" s="31"/>
      <c r="R533" s="32"/>
      <c r="X533" s="35"/>
      <c r="Y533" s="102"/>
      <c r="Z533" s="104"/>
      <c r="AA533" s="105"/>
    </row>
    <row r="534" spans="12:27" ht="25" customHeight="1">
      <c r="L534" s="31"/>
      <c r="M534" s="31"/>
      <c r="N534" s="31"/>
      <c r="R534" s="32"/>
      <c r="X534" s="35"/>
      <c r="Y534" s="102"/>
      <c r="Z534" s="104"/>
      <c r="AA534" s="105"/>
    </row>
    <row r="535" spans="12:27" ht="25" customHeight="1">
      <c r="L535" s="31"/>
      <c r="M535" s="31"/>
      <c r="N535" s="31"/>
      <c r="R535" s="32"/>
      <c r="X535" s="35"/>
      <c r="Y535" s="102"/>
      <c r="Z535" s="104"/>
      <c r="AA535" s="105"/>
    </row>
    <row r="536" spans="12:27" ht="25" customHeight="1">
      <c r="L536" s="31"/>
      <c r="M536" s="31"/>
      <c r="N536" s="31"/>
      <c r="R536" s="32"/>
      <c r="X536" s="35"/>
      <c r="Y536" s="102"/>
      <c r="Z536" s="104"/>
      <c r="AA536" s="105"/>
    </row>
    <row r="537" spans="12:27" ht="25" customHeight="1">
      <c r="L537" s="31"/>
      <c r="M537" s="31"/>
      <c r="N537" s="31"/>
      <c r="R537" s="32"/>
      <c r="X537" s="35"/>
      <c r="Y537" s="102"/>
      <c r="Z537" s="104"/>
      <c r="AA537" s="105"/>
    </row>
    <row r="538" spans="12:27" ht="25" customHeight="1">
      <c r="L538" s="31"/>
      <c r="M538" s="31"/>
      <c r="N538" s="31"/>
      <c r="R538" s="32"/>
      <c r="X538" s="35"/>
      <c r="Y538" s="102"/>
      <c r="Z538" s="104"/>
      <c r="AA538" s="105"/>
    </row>
    <row r="539" spans="12:27" ht="25" customHeight="1">
      <c r="L539" s="31"/>
      <c r="M539" s="31"/>
      <c r="N539" s="31"/>
      <c r="R539" s="32"/>
      <c r="X539" s="35"/>
      <c r="Y539" s="102"/>
      <c r="Z539" s="104"/>
      <c r="AA539" s="105"/>
    </row>
    <row r="540" spans="12:27" ht="25" customHeight="1">
      <c r="L540" s="31"/>
      <c r="M540" s="31"/>
      <c r="N540" s="31"/>
      <c r="R540" s="32"/>
      <c r="X540" s="35"/>
      <c r="Y540" s="102"/>
      <c r="Z540" s="104"/>
      <c r="AA540" s="105"/>
    </row>
    <row r="541" spans="12:27" ht="25" customHeight="1">
      <c r="L541" s="31"/>
      <c r="M541" s="31"/>
      <c r="N541" s="31"/>
      <c r="R541" s="32"/>
      <c r="X541" s="35"/>
      <c r="Y541" s="102"/>
      <c r="Z541" s="104"/>
      <c r="AA541" s="105"/>
    </row>
    <row r="542" spans="12:27" ht="25" customHeight="1">
      <c r="L542" s="31"/>
      <c r="M542" s="31"/>
      <c r="N542" s="31"/>
      <c r="R542" s="32"/>
      <c r="X542" s="35"/>
      <c r="Y542" s="102"/>
      <c r="Z542" s="104"/>
      <c r="AA542" s="105"/>
    </row>
    <row r="543" spans="12:27" ht="25" customHeight="1">
      <c r="L543" s="31"/>
      <c r="M543" s="31"/>
      <c r="N543" s="31"/>
      <c r="R543" s="32"/>
      <c r="X543" s="35"/>
      <c r="Y543" s="102"/>
      <c r="Z543" s="104"/>
      <c r="AA543" s="105"/>
    </row>
    <row r="544" spans="12:27" ht="25" customHeight="1">
      <c r="L544" s="31"/>
      <c r="M544" s="31"/>
      <c r="N544" s="31"/>
      <c r="R544" s="32"/>
      <c r="X544" s="35"/>
      <c r="Y544" s="102"/>
      <c r="Z544" s="104"/>
      <c r="AA544" s="105"/>
    </row>
    <row r="545" spans="12:27" ht="25" customHeight="1">
      <c r="L545" s="31"/>
      <c r="M545" s="31"/>
      <c r="N545" s="31"/>
      <c r="R545" s="32"/>
      <c r="X545" s="35"/>
      <c r="Y545" s="102"/>
      <c r="Z545" s="104"/>
      <c r="AA545" s="105"/>
    </row>
    <row r="546" spans="12:27" ht="25" customHeight="1">
      <c r="L546" s="31"/>
      <c r="M546" s="31"/>
      <c r="N546" s="31"/>
      <c r="R546" s="32"/>
      <c r="X546" s="35"/>
      <c r="Y546" s="102"/>
      <c r="Z546" s="104"/>
      <c r="AA546" s="105"/>
    </row>
    <row r="547" spans="12:27" ht="25" customHeight="1">
      <c r="L547" s="31"/>
      <c r="M547" s="31"/>
      <c r="N547" s="31"/>
      <c r="R547" s="32"/>
      <c r="X547" s="35"/>
      <c r="Y547" s="102"/>
      <c r="Z547" s="104"/>
      <c r="AA547" s="105"/>
    </row>
    <row r="548" spans="12:27" ht="25" customHeight="1">
      <c r="L548" s="31"/>
      <c r="M548" s="31"/>
      <c r="N548" s="31"/>
      <c r="R548" s="32"/>
      <c r="X548" s="35"/>
      <c r="Y548" s="102"/>
      <c r="Z548" s="104"/>
      <c r="AA548" s="105"/>
    </row>
    <row r="549" spans="12:27" ht="25" customHeight="1">
      <c r="L549" s="31"/>
      <c r="M549" s="31"/>
      <c r="N549" s="31"/>
      <c r="R549" s="32"/>
      <c r="X549" s="35"/>
      <c r="Y549" s="102"/>
      <c r="Z549" s="104"/>
      <c r="AA549" s="105"/>
    </row>
    <row r="550" spans="12:27" ht="25" customHeight="1">
      <c r="L550" s="31"/>
      <c r="M550" s="31"/>
      <c r="N550" s="31"/>
      <c r="R550" s="32"/>
      <c r="X550" s="35"/>
      <c r="Y550" s="102"/>
      <c r="Z550" s="104"/>
      <c r="AA550" s="105"/>
    </row>
    <row r="551" spans="12:27" ht="25" customHeight="1">
      <c r="L551" s="31"/>
      <c r="M551" s="31"/>
      <c r="N551" s="31"/>
      <c r="R551" s="32"/>
      <c r="X551" s="35"/>
      <c r="Y551" s="102"/>
      <c r="Z551" s="104"/>
      <c r="AA551" s="105"/>
    </row>
    <row r="552" spans="12:27" ht="25" customHeight="1">
      <c r="L552" s="31"/>
      <c r="M552" s="31"/>
      <c r="N552" s="31"/>
      <c r="R552" s="32"/>
      <c r="X552" s="35"/>
      <c r="Y552" s="102"/>
      <c r="Z552" s="104"/>
      <c r="AA552" s="105"/>
    </row>
    <row r="553" spans="12:27" ht="25" customHeight="1">
      <c r="L553" s="31"/>
      <c r="M553" s="31"/>
      <c r="N553" s="31"/>
      <c r="R553" s="32"/>
      <c r="X553" s="35"/>
      <c r="Y553" s="102"/>
      <c r="Z553" s="104"/>
      <c r="AA553" s="105"/>
    </row>
    <row r="554" spans="12:27" ht="25" customHeight="1">
      <c r="L554" s="31"/>
      <c r="M554" s="31"/>
      <c r="N554" s="31"/>
      <c r="R554" s="32"/>
      <c r="X554" s="35"/>
      <c r="Y554" s="102"/>
      <c r="Z554" s="104"/>
      <c r="AA554" s="105"/>
    </row>
    <row r="555" spans="12:27" ht="25" customHeight="1">
      <c r="L555" s="31"/>
      <c r="M555" s="31"/>
      <c r="N555" s="31"/>
      <c r="R555" s="32"/>
      <c r="X555" s="35"/>
      <c r="Y555" s="102"/>
      <c r="Z555" s="104"/>
      <c r="AA555" s="105"/>
    </row>
    <row r="556" spans="12:27" ht="25" customHeight="1">
      <c r="L556" s="31"/>
      <c r="M556" s="31"/>
      <c r="N556" s="31"/>
      <c r="R556" s="32"/>
      <c r="X556" s="35"/>
      <c r="Y556" s="102"/>
      <c r="Z556" s="104"/>
      <c r="AA556" s="105"/>
    </row>
    <row r="557" spans="12:27" ht="25" customHeight="1">
      <c r="L557" s="31"/>
      <c r="M557" s="31"/>
      <c r="N557" s="31"/>
      <c r="R557" s="32"/>
      <c r="X557" s="35"/>
      <c r="Y557" s="102"/>
      <c r="Z557" s="104"/>
      <c r="AA557" s="105"/>
    </row>
    <row r="558" spans="12:27" ht="25" customHeight="1">
      <c r="L558" s="31"/>
      <c r="M558" s="31"/>
      <c r="N558" s="31"/>
      <c r="R558" s="32"/>
      <c r="X558" s="35"/>
      <c r="Y558" s="102"/>
      <c r="Z558" s="104"/>
      <c r="AA558" s="105"/>
    </row>
    <row r="559" spans="12:27" ht="25" customHeight="1">
      <c r="L559" s="31"/>
      <c r="M559" s="31"/>
      <c r="N559" s="31"/>
      <c r="R559" s="32"/>
      <c r="X559" s="35"/>
      <c r="Y559" s="102"/>
      <c r="Z559" s="104"/>
      <c r="AA559" s="105"/>
    </row>
    <row r="560" spans="12:27" ht="25" customHeight="1">
      <c r="L560" s="31"/>
      <c r="M560" s="31"/>
      <c r="N560" s="31"/>
      <c r="R560" s="32"/>
      <c r="X560" s="35"/>
      <c r="Y560" s="102"/>
      <c r="Z560" s="104"/>
      <c r="AA560" s="105"/>
    </row>
    <row r="561" spans="12:27" ht="25" customHeight="1">
      <c r="L561" s="31"/>
      <c r="M561" s="31"/>
      <c r="N561" s="31"/>
      <c r="R561" s="32"/>
      <c r="X561" s="35"/>
      <c r="Y561" s="102"/>
      <c r="Z561" s="104"/>
      <c r="AA561" s="105"/>
    </row>
    <row r="562" spans="12:27" ht="25" customHeight="1">
      <c r="L562" s="31"/>
      <c r="M562" s="31"/>
      <c r="N562" s="31"/>
      <c r="R562" s="32"/>
      <c r="X562" s="35"/>
      <c r="Y562" s="102"/>
      <c r="Z562" s="104"/>
      <c r="AA562" s="105"/>
    </row>
    <row r="563" spans="12:27" ht="25" customHeight="1">
      <c r="L563" s="31"/>
      <c r="M563" s="31"/>
      <c r="N563" s="31"/>
      <c r="R563" s="32"/>
      <c r="X563" s="35"/>
      <c r="Y563" s="102"/>
      <c r="Z563" s="104"/>
      <c r="AA563" s="105"/>
    </row>
    <row r="564" spans="12:27" ht="25" customHeight="1">
      <c r="L564" s="31"/>
      <c r="M564" s="31"/>
      <c r="N564" s="31"/>
      <c r="R564" s="32"/>
      <c r="X564" s="35"/>
      <c r="Y564" s="102"/>
      <c r="Z564" s="104"/>
      <c r="AA564" s="105"/>
    </row>
    <row r="565" spans="12:27" ht="25" customHeight="1">
      <c r="L565" s="31"/>
      <c r="M565" s="31"/>
      <c r="N565" s="31"/>
      <c r="R565" s="32"/>
      <c r="X565" s="35"/>
      <c r="Y565" s="102"/>
      <c r="Z565" s="104"/>
      <c r="AA565" s="105"/>
    </row>
    <row r="566" spans="12:27" ht="25" customHeight="1">
      <c r="L566" s="31"/>
      <c r="M566" s="31"/>
      <c r="N566" s="31"/>
      <c r="R566" s="32"/>
      <c r="X566" s="35"/>
      <c r="Y566" s="102"/>
      <c r="Z566" s="104"/>
      <c r="AA566" s="105"/>
    </row>
    <row r="567" spans="12:27" ht="25" customHeight="1">
      <c r="L567" s="31"/>
      <c r="M567" s="31"/>
      <c r="N567" s="31"/>
      <c r="R567" s="32"/>
      <c r="X567" s="35"/>
      <c r="Y567" s="102"/>
      <c r="Z567" s="104"/>
      <c r="AA567" s="105"/>
    </row>
    <row r="568" spans="12:27" ht="25" customHeight="1">
      <c r="L568" s="31"/>
      <c r="M568" s="31"/>
      <c r="N568" s="31"/>
      <c r="R568" s="32"/>
      <c r="X568" s="35"/>
      <c r="Y568" s="102"/>
      <c r="Z568" s="104"/>
      <c r="AA568" s="105"/>
    </row>
    <row r="569" spans="12:27" ht="25" customHeight="1">
      <c r="L569" s="31"/>
      <c r="M569" s="31"/>
      <c r="N569" s="31"/>
      <c r="R569" s="32"/>
      <c r="X569" s="35"/>
      <c r="Y569" s="102"/>
      <c r="Z569" s="104"/>
      <c r="AA569" s="105"/>
    </row>
    <row r="570" spans="12:27" ht="25" customHeight="1">
      <c r="L570" s="31"/>
      <c r="M570" s="31"/>
      <c r="N570" s="31"/>
      <c r="R570" s="32"/>
      <c r="X570" s="35"/>
      <c r="Y570" s="102"/>
      <c r="Z570" s="104"/>
      <c r="AA570" s="105"/>
    </row>
    <row r="571" spans="12:27" ht="25" customHeight="1">
      <c r="L571" s="31"/>
      <c r="M571" s="31"/>
      <c r="N571" s="31"/>
      <c r="R571" s="32"/>
      <c r="X571" s="35"/>
      <c r="Y571" s="102"/>
      <c r="Z571" s="104"/>
      <c r="AA571" s="105"/>
    </row>
    <row r="572" spans="12:27" ht="25" customHeight="1">
      <c r="L572" s="31"/>
      <c r="M572" s="31"/>
      <c r="N572" s="31"/>
      <c r="R572" s="32"/>
      <c r="X572" s="35"/>
      <c r="Y572" s="102"/>
      <c r="Z572" s="104"/>
      <c r="AA572" s="105"/>
    </row>
    <row r="573" spans="12:27" ht="25" customHeight="1">
      <c r="L573" s="31"/>
      <c r="M573" s="31"/>
      <c r="N573" s="31"/>
      <c r="R573" s="32"/>
      <c r="X573" s="35"/>
      <c r="Y573" s="102"/>
      <c r="Z573" s="104"/>
      <c r="AA573" s="105"/>
    </row>
    <row r="574" spans="12:27" ht="25" customHeight="1">
      <c r="L574" s="31"/>
      <c r="M574" s="31"/>
      <c r="N574" s="31"/>
      <c r="R574" s="32"/>
      <c r="X574" s="35"/>
      <c r="Y574" s="102"/>
      <c r="Z574" s="104"/>
      <c r="AA574" s="105"/>
    </row>
    <row r="575" spans="12:27" ht="25" customHeight="1">
      <c r="L575" s="31"/>
      <c r="M575" s="31"/>
      <c r="N575" s="31"/>
      <c r="R575" s="32"/>
      <c r="X575" s="35"/>
      <c r="Y575" s="102"/>
      <c r="Z575" s="104"/>
      <c r="AA575" s="105"/>
    </row>
    <row r="576" spans="12:27" ht="25" customHeight="1">
      <c r="L576" s="31"/>
      <c r="M576" s="31"/>
      <c r="N576" s="31"/>
      <c r="R576" s="32"/>
      <c r="X576" s="35"/>
      <c r="Y576" s="102"/>
      <c r="Z576" s="104"/>
      <c r="AA576" s="105"/>
    </row>
    <row r="577" spans="12:27" ht="25" customHeight="1">
      <c r="L577" s="31"/>
      <c r="M577" s="31"/>
      <c r="N577" s="31"/>
      <c r="R577" s="32"/>
      <c r="X577" s="35"/>
      <c r="Y577" s="102"/>
      <c r="Z577" s="104"/>
      <c r="AA577" s="105"/>
    </row>
    <row r="578" spans="12:27" ht="25" customHeight="1">
      <c r="L578" s="31"/>
      <c r="M578" s="31"/>
      <c r="N578" s="31"/>
      <c r="R578" s="32"/>
      <c r="X578" s="35"/>
      <c r="Y578" s="102"/>
      <c r="Z578" s="104"/>
      <c r="AA578" s="105"/>
    </row>
    <row r="579" spans="12:27" ht="25" customHeight="1">
      <c r="L579" s="31"/>
      <c r="M579" s="31"/>
      <c r="N579" s="31"/>
      <c r="R579" s="32"/>
      <c r="X579" s="35"/>
      <c r="Y579" s="102"/>
      <c r="Z579" s="104"/>
      <c r="AA579" s="105"/>
    </row>
    <row r="580" spans="12:27" ht="25" customHeight="1">
      <c r="L580" s="31"/>
      <c r="M580" s="31"/>
      <c r="N580" s="31"/>
      <c r="R580" s="32"/>
      <c r="X580" s="35"/>
      <c r="Y580" s="102"/>
      <c r="Z580" s="104"/>
      <c r="AA580" s="105"/>
    </row>
    <row r="581" spans="12:27" ht="25" customHeight="1">
      <c r="L581" s="31"/>
      <c r="M581" s="31"/>
      <c r="N581" s="31"/>
      <c r="R581" s="32"/>
      <c r="X581" s="35"/>
      <c r="Y581" s="102"/>
      <c r="Z581" s="104"/>
      <c r="AA581" s="105"/>
    </row>
    <row r="582" spans="12:27" ht="25" customHeight="1">
      <c r="L582" s="31"/>
      <c r="M582" s="31"/>
      <c r="N582" s="31"/>
      <c r="R582" s="32"/>
      <c r="X582" s="35"/>
      <c r="Y582" s="102"/>
      <c r="Z582" s="104"/>
      <c r="AA582" s="105"/>
    </row>
    <row r="583" spans="12:27" ht="25" customHeight="1">
      <c r="L583" s="31"/>
      <c r="M583" s="31"/>
      <c r="N583" s="31"/>
      <c r="R583" s="32"/>
      <c r="X583" s="35"/>
      <c r="Y583" s="102"/>
      <c r="Z583" s="104"/>
      <c r="AA583" s="105"/>
    </row>
    <row r="584" spans="12:27" ht="25" customHeight="1">
      <c r="L584" s="31"/>
      <c r="M584" s="31"/>
      <c r="N584" s="31"/>
      <c r="R584" s="32"/>
      <c r="X584" s="35"/>
      <c r="Y584" s="102"/>
      <c r="Z584" s="104"/>
      <c r="AA584" s="105"/>
    </row>
    <row r="585" spans="12:27" ht="25" customHeight="1">
      <c r="L585" s="31"/>
      <c r="M585" s="31"/>
      <c r="N585" s="31"/>
      <c r="R585" s="32"/>
      <c r="X585" s="35"/>
      <c r="Y585" s="102"/>
      <c r="Z585" s="104"/>
      <c r="AA585" s="105"/>
    </row>
    <row r="586" spans="12:27" ht="25" customHeight="1">
      <c r="L586" s="31"/>
      <c r="M586" s="31"/>
      <c r="N586" s="31"/>
      <c r="R586" s="32"/>
      <c r="X586" s="35"/>
      <c r="Y586" s="102"/>
      <c r="Z586" s="104"/>
      <c r="AA586" s="105"/>
    </row>
    <row r="587" spans="12:27" ht="25" customHeight="1">
      <c r="L587" s="31"/>
      <c r="M587" s="31"/>
      <c r="N587" s="31"/>
      <c r="R587" s="32"/>
      <c r="X587" s="35"/>
      <c r="Y587" s="102"/>
      <c r="Z587" s="104"/>
      <c r="AA587" s="105"/>
    </row>
    <row r="588" spans="12:27" ht="25" customHeight="1">
      <c r="L588" s="31"/>
      <c r="M588" s="31"/>
      <c r="N588" s="31"/>
      <c r="R588" s="32"/>
      <c r="X588" s="35"/>
      <c r="Y588" s="102"/>
      <c r="Z588" s="104"/>
      <c r="AA588" s="105"/>
    </row>
    <row r="589" spans="12:27" ht="25" customHeight="1">
      <c r="L589" s="31"/>
      <c r="M589" s="31"/>
      <c r="N589" s="31"/>
      <c r="R589" s="32"/>
      <c r="X589" s="35"/>
      <c r="Y589" s="102"/>
      <c r="Z589" s="104"/>
      <c r="AA589" s="105"/>
    </row>
    <row r="590" spans="12:27" ht="25" customHeight="1">
      <c r="L590" s="31"/>
      <c r="M590" s="31"/>
      <c r="N590" s="31"/>
      <c r="R590" s="32"/>
      <c r="X590" s="35"/>
      <c r="Y590" s="102"/>
      <c r="Z590" s="104"/>
      <c r="AA590" s="105"/>
    </row>
    <row r="591" spans="12:27" ht="25" customHeight="1">
      <c r="L591" s="31"/>
      <c r="M591" s="31"/>
      <c r="N591" s="31"/>
      <c r="R591" s="32"/>
      <c r="X591" s="35"/>
      <c r="Y591" s="102"/>
      <c r="Z591" s="104"/>
      <c r="AA591" s="105"/>
    </row>
    <row r="592" spans="12:27" ht="25" customHeight="1">
      <c r="L592" s="31"/>
      <c r="M592" s="31"/>
      <c r="N592" s="31"/>
      <c r="R592" s="32"/>
      <c r="X592" s="35"/>
      <c r="Y592" s="102"/>
      <c r="Z592" s="104"/>
      <c r="AA592" s="105"/>
    </row>
    <row r="593" spans="12:27" ht="25" customHeight="1">
      <c r="L593" s="31"/>
      <c r="M593" s="31"/>
      <c r="N593" s="31"/>
      <c r="R593" s="32"/>
      <c r="X593" s="35"/>
      <c r="Y593" s="102"/>
      <c r="Z593" s="104"/>
      <c r="AA593" s="105"/>
    </row>
    <row r="594" spans="12:27" ht="25" customHeight="1">
      <c r="L594" s="31"/>
      <c r="M594" s="31"/>
      <c r="N594" s="31"/>
      <c r="R594" s="32"/>
      <c r="X594" s="35"/>
      <c r="Y594" s="102"/>
      <c r="Z594" s="104"/>
      <c r="AA594" s="105"/>
    </row>
    <row r="595" spans="12:27" ht="25" customHeight="1">
      <c r="L595" s="31"/>
      <c r="M595" s="31"/>
      <c r="N595" s="31"/>
      <c r="R595" s="32"/>
      <c r="X595" s="35"/>
      <c r="Y595" s="102"/>
      <c r="Z595" s="104"/>
      <c r="AA595" s="105"/>
    </row>
    <row r="596" spans="12:27" ht="25" customHeight="1">
      <c r="L596" s="31"/>
      <c r="M596" s="31"/>
      <c r="N596" s="31"/>
      <c r="R596" s="32"/>
      <c r="X596" s="35"/>
      <c r="Y596" s="102"/>
      <c r="Z596" s="104"/>
      <c r="AA596" s="105"/>
    </row>
    <row r="597" spans="12:27" ht="25" customHeight="1">
      <c r="L597" s="31"/>
      <c r="M597" s="31"/>
      <c r="N597" s="31"/>
      <c r="R597" s="32"/>
      <c r="X597" s="35"/>
      <c r="Y597" s="102"/>
      <c r="Z597" s="104"/>
      <c r="AA597" s="105"/>
    </row>
    <row r="598" spans="12:27" ht="25" customHeight="1">
      <c r="L598" s="31"/>
      <c r="M598" s="31"/>
      <c r="N598" s="31"/>
      <c r="R598" s="32"/>
      <c r="X598" s="35"/>
      <c r="Y598" s="102"/>
      <c r="Z598" s="104"/>
      <c r="AA598" s="105"/>
    </row>
    <row r="599" spans="12:27" ht="25" customHeight="1">
      <c r="L599" s="31"/>
      <c r="M599" s="31"/>
      <c r="N599" s="31"/>
      <c r="R599" s="32"/>
      <c r="X599" s="35"/>
      <c r="Y599" s="102"/>
      <c r="Z599" s="104"/>
      <c r="AA599" s="105"/>
    </row>
    <row r="600" spans="12:27" ht="25" customHeight="1">
      <c r="L600" s="31"/>
      <c r="M600" s="31"/>
      <c r="N600" s="31"/>
      <c r="R600" s="32"/>
      <c r="X600" s="35"/>
      <c r="Y600" s="102"/>
      <c r="Z600" s="104"/>
      <c r="AA600" s="105"/>
    </row>
    <row r="601" spans="12:27" ht="25" customHeight="1">
      <c r="L601" s="31"/>
      <c r="M601" s="31"/>
      <c r="N601" s="31"/>
      <c r="R601" s="32"/>
      <c r="X601" s="35"/>
      <c r="Y601" s="102"/>
      <c r="Z601" s="104"/>
      <c r="AA601" s="105"/>
    </row>
    <row r="602" spans="12:27" ht="25" customHeight="1">
      <c r="L602" s="31"/>
      <c r="M602" s="31"/>
      <c r="N602" s="31"/>
      <c r="R602" s="32"/>
      <c r="X602" s="35"/>
      <c r="Y602" s="102"/>
      <c r="Z602" s="104"/>
      <c r="AA602" s="105"/>
    </row>
    <row r="603" spans="12:27" ht="25" customHeight="1">
      <c r="L603" s="31"/>
      <c r="M603" s="31"/>
      <c r="N603" s="31"/>
      <c r="R603" s="32"/>
      <c r="X603" s="35"/>
      <c r="Y603" s="102"/>
      <c r="Z603" s="104"/>
      <c r="AA603" s="105"/>
    </row>
    <row r="604" spans="12:27" ht="25" customHeight="1">
      <c r="L604" s="31"/>
      <c r="M604" s="31"/>
      <c r="N604" s="31"/>
      <c r="R604" s="32"/>
      <c r="X604" s="35"/>
      <c r="Y604" s="102"/>
      <c r="Z604" s="104"/>
      <c r="AA604" s="105"/>
    </row>
    <row r="605" spans="12:27" ht="25" customHeight="1">
      <c r="L605" s="31"/>
      <c r="M605" s="31"/>
      <c r="N605" s="31"/>
      <c r="R605" s="32"/>
      <c r="X605" s="35"/>
      <c r="Y605" s="102"/>
      <c r="Z605" s="104"/>
      <c r="AA605" s="105"/>
    </row>
    <row r="606" spans="12:27" ht="25" customHeight="1">
      <c r="L606" s="31"/>
      <c r="M606" s="31"/>
      <c r="N606" s="31"/>
      <c r="R606" s="32"/>
      <c r="X606" s="35"/>
      <c r="Y606" s="102"/>
      <c r="Z606" s="104"/>
      <c r="AA606" s="105"/>
    </row>
    <row r="607" spans="12:27" ht="25" customHeight="1">
      <c r="L607" s="31"/>
      <c r="M607" s="31"/>
      <c r="N607" s="31"/>
      <c r="R607" s="32"/>
      <c r="X607" s="35"/>
      <c r="Y607" s="102"/>
      <c r="Z607" s="104"/>
      <c r="AA607" s="105"/>
    </row>
    <row r="608" spans="12:27" ht="25" customHeight="1">
      <c r="L608" s="31"/>
      <c r="M608" s="31"/>
      <c r="N608" s="31"/>
      <c r="R608" s="32"/>
      <c r="X608" s="35"/>
      <c r="Y608" s="102"/>
      <c r="Z608" s="104"/>
      <c r="AA608" s="105"/>
    </row>
    <row r="609" spans="12:27" ht="25" customHeight="1">
      <c r="L609" s="31"/>
      <c r="M609" s="31"/>
      <c r="N609" s="31"/>
      <c r="R609" s="32"/>
      <c r="X609" s="35"/>
      <c r="Y609" s="102"/>
      <c r="Z609" s="104"/>
      <c r="AA609" s="105"/>
    </row>
    <row r="610" spans="12:27" ht="25" customHeight="1">
      <c r="L610" s="31"/>
      <c r="M610" s="31"/>
      <c r="N610" s="31"/>
      <c r="R610" s="32"/>
      <c r="X610" s="35"/>
      <c r="Y610" s="102"/>
      <c r="Z610" s="104"/>
      <c r="AA610" s="105"/>
    </row>
    <row r="611" spans="12:27" ht="25" customHeight="1">
      <c r="L611" s="31"/>
      <c r="M611" s="31"/>
      <c r="N611" s="31"/>
      <c r="R611" s="32"/>
      <c r="X611" s="35"/>
      <c r="Y611" s="102"/>
      <c r="Z611" s="104"/>
      <c r="AA611" s="105"/>
    </row>
    <row r="612" spans="12:27" ht="25" customHeight="1">
      <c r="L612" s="31"/>
      <c r="M612" s="31"/>
      <c r="N612" s="31"/>
      <c r="R612" s="32"/>
      <c r="X612" s="35"/>
      <c r="Y612" s="102"/>
      <c r="Z612" s="104"/>
      <c r="AA612" s="105"/>
    </row>
    <row r="613" spans="12:27" ht="25" customHeight="1">
      <c r="L613" s="31"/>
      <c r="M613" s="31"/>
      <c r="N613" s="31"/>
      <c r="R613" s="32"/>
      <c r="X613" s="35"/>
      <c r="Y613" s="102"/>
      <c r="Z613" s="104"/>
      <c r="AA613" s="105"/>
    </row>
    <row r="614" spans="12:27" ht="25" customHeight="1">
      <c r="L614" s="31"/>
      <c r="M614" s="31"/>
      <c r="N614" s="31"/>
      <c r="R614" s="32"/>
      <c r="X614" s="35"/>
      <c r="Y614" s="102"/>
      <c r="Z614" s="104"/>
      <c r="AA614" s="105"/>
    </row>
    <row r="615" spans="12:27" ht="25" customHeight="1">
      <c r="L615" s="31"/>
      <c r="M615" s="31"/>
      <c r="N615" s="31"/>
      <c r="R615" s="32"/>
      <c r="X615" s="35"/>
      <c r="Y615" s="102"/>
      <c r="Z615" s="104"/>
      <c r="AA615" s="105"/>
    </row>
    <row r="616" spans="12:27" ht="25" customHeight="1">
      <c r="L616" s="31"/>
      <c r="M616" s="31"/>
      <c r="N616" s="31"/>
      <c r="R616" s="32"/>
      <c r="X616" s="35"/>
      <c r="Y616" s="102"/>
      <c r="Z616" s="104"/>
      <c r="AA616" s="105"/>
    </row>
    <row r="617" spans="12:27" ht="25" customHeight="1">
      <c r="L617" s="31"/>
      <c r="M617" s="31"/>
      <c r="N617" s="31"/>
      <c r="R617" s="32"/>
      <c r="X617" s="35"/>
      <c r="Y617" s="102"/>
      <c r="Z617" s="104"/>
      <c r="AA617" s="105"/>
    </row>
    <row r="618" spans="12:27" ht="25" customHeight="1">
      <c r="L618" s="31"/>
      <c r="M618" s="31"/>
      <c r="N618" s="31"/>
      <c r="R618" s="32"/>
      <c r="X618" s="35"/>
      <c r="Y618" s="102"/>
      <c r="Z618" s="104"/>
      <c r="AA618" s="105"/>
    </row>
    <row r="619" spans="12:27" ht="25" customHeight="1">
      <c r="L619" s="31"/>
      <c r="M619" s="31"/>
      <c r="N619" s="31"/>
      <c r="R619" s="32"/>
      <c r="X619" s="35"/>
      <c r="Y619" s="102"/>
      <c r="Z619" s="104"/>
      <c r="AA619" s="105"/>
    </row>
    <row r="620" spans="12:27" ht="25" customHeight="1">
      <c r="L620" s="31"/>
      <c r="M620" s="31"/>
      <c r="N620" s="31"/>
      <c r="R620" s="32"/>
      <c r="X620" s="35"/>
      <c r="Y620" s="102"/>
      <c r="Z620" s="104"/>
      <c r="AA620" s="105"/>
    </row>
    <row r="621" spans="12:27" ht="25" customHeight="1">
      <c r="L621" s="31"/>
      <c r="M621" s="31"/>
      <c r="N621" s="31"/>
      <c r="R621" s="32"/>
      <c r="X621" s="35"/>
      <c r="Y621" s="102"/>
      <c r="Z621" s="104"/>
      <c r="AA621" s="105"/>
    </row>
    <row r="622" spans="12:27" ht="25" customHeight="1">
      <c r="L622" s="31"/>
      <c r="M622" s="31"/>
      <c r="N622" s="31"/>
      <c r="R622" s="32"/>
      <c r="X622" s="35"/>
      <c r="Y622" s="102"/>
      <c r="Z622" s="104"/>
      <c r="AA622" s="105"/>
    </row>
    <row r="623" spans="12:27" ht="25" customHeight="1">
      <c r="L623" s="31"/>
      <c r="M623" s="31"/>
      <c r="N623" s="31"/>
      <c r="R623" s="32"/>
      <c r="X623" s="35"/>
      <c r="Y623" s="102"/>
      <c r="Z623" s="104"/>
      <c r="AA623" s="105"/>
    </row>
    <row r="624" spans="12:27" ht="25" customHeight="1">
      <c r="L624" s="31"/>
      <c r="M624" s="31"/>
      <c r="N624" s="31"/>
      <c r="R624" s="32"/>
      <c r="X624" s="35"/>
      <c r="Y624" s="102"/>
      <c r="Z624" s="104"/>
      <c r="AA624" s="105"/>
    </row>
    <row r="625" spans="12:27" ht="25" customHeight="1">
      <c r="L625" s="31"/>
      <c r="M625" s="31"/>
      <c r="N625" s="31"/>
      <c r="R625" s="32"/>
      <c r="X625" s="35"/>
      <c r="Y625" s="102"/>
      <c r="Z625" s="104"/>
      <c r="AA625" s="105"/>
    </row>
    <row r="626" spans="12:27" ht="25" customHeight="1">
      <c r="L626" s="31"/>
      <c r="M626" s="31"/>
      <c r="N626" s="31"/>
      <c r="R626" s="32"/>
      <c r="X626" s="35"/>
      <c r="Y626" s="102"/>
      <c r="Z626" s="104"/>
      <c r="AA626" s="105"/>
    </row>
    <row r="627" spans="12:27" ht="25" customHeight="1">
      <c r="L627" s="31"/>
      <c r="M627" s="31"/>
      <c r="N627" s="31"/>
      <c r="R627" s="32"/>
      <c r="X627" s="35"/>
      <c r="Y627" s="102"/>
      <c r="Z627" s="104"/>
      <c r="AA627" s="105"/>
    </row>
    <row r="628" spans="12:27" ht="25" customHeight="1">
      <c r="L628" s="31"/>
      <c r="M628" s="31"/>
      <c r="N628" s="31"/>
      <c r="R628" s="32"/>
      <c r="X628" s="35"/>
      <c r="Y628" s="102"/>
      <c r="Z628" s="104"/>
      <c r="AA628" s="105"/>
    </row>
    <row r="629" spans="12:27" ht="25" customHeight="1">
      <c r="L629" s="31"/>
      <c r="M629" s="31"/>
      <c r="N629" s="31"/>
      <c r="R629" s="32"/>
      <c r="X629" s="35"/>
      <c r="Y629" s="102"/>
      <c r="Z629" s="104"/>
      <c r="AA629" s="105"/>
    </row>
    <row r="630" spans="12:27" ht="25" customHeight="1">
      <c r="L630" s="31"/>
      <c r="M630" s="31"/>
      <c r="N630" s="31"/>
      <c r="R630" s="32"/>
      <c r="X630" s="35"/>
      <c r="Y630" s="102"/>
      <c r="Z630" s="104"/>
      <c r="AA630" s="105"/>
    </row>
    <row r="631" spans="12:27" ht="25" customHeight="1">
      <c r="L631" s="31"/>
      <c r="M631" s="31"/>
      <c r="N631" s="31"/>
      <c r="R631" s="32"/>
      <c r="X631" s="35"/>
      <c r="Y631" s="102"/>
      <c r="Z631" s="104"/>
      <c r="AA631" s="105"/>
    </row>
    <row r="632" spans="12:27" ht="25" customHeight="1">
      <c r="L632" s="31"/>
      <c r="M632" s="31"/>
      <c r="N632" s="31"/>
      <c r="R632" s="32"/>
      <c r="X632" s="35"/>
      <c r="Y632" s="102"/>
      <c r="Z632" s="104"/>
      <c r="AA632" s="105"/>
    </row>
    <row r="633" spans="12:27" ht="25" customHeight="1">
      <c r="L633" s="31"/>
      <c r="M633" s="31"/>
      <c r="N633" s="31"/>
      <c r="R633" s="32"/>
      <c r="X633" s="35"/>
      <c r="Y633" s="102"/>
      <c r="Z633" s="104"/>
      <c r="AA633" s="105"/>
    </row>
    <row r="634" spans="12:27" ht="25" customHeight="1">
      <c r="L634" s="31"/>
      <c r="M634" s="31"/>
      <c r="N634" s="31"/>
      <c r="R634" s="32"/>
      <c r="X634" s="35"/>
      <c r="Y634" s="102"/>
      <c r="Z634" s="104"/>
      <c r="AA634" s="105"/>
    </row>
    <row r="635" spans="12:27" ht="25" customHeight="1">
      <c r="L635" s="31"/>
      <c r="M635" s="31"/>
      <c r="N635" s="31"/>
      <c r="R635" s="32"/>
      <c r="X635" s="35"/>
      <c r="Y635" s="102"/>
      <c r="Z635" s="104"/>
      <c r="AA635" s="105"/>
    </row>
    <row r="636" spans="12:27" ht="25" customHeight="1">
      <c r="L636" s="31"/>
      <c r="M636" s="31"/>
      <c r="N636" s="31"/>
      <c r="R636" s="32"/>
      <c r="X636" s="35"/>
      <c r="Y636" s="102"/>
      <c r="Z636" s="104"/>
      <c r="AA636" s="105"/>
    </row>
    <row r="637" spans="12:27" ht="25" customHeight="1">
      <c r="L637" s="31"/>
      <c r="M637" s="31"/>
      <c r="N637" s="31"/>
      <c r="R637" s="32"/>
      <c r="X637" s="35"/>
      <c r="Y637" s="102"/>
      <c r="Z637" s="104"/>
      <c r="AA637" s="105"/>
    </row>
    <row r="638" spans="12:27" ht="25" customHeight="1">
      <c r="L638" s="31"/>
      <c r="M638" s="31"/>
      <c r="N638" s="31"/>
      <c r="R638" s="32"/>
      <c r="X638" s="35"/>
      <c r="Y638" s="102"/>
      <c r="Z638" s="104"/>
      <c r="AA638" s="105"/>
    </row>
    <row r="639" spans="12:27" ht="25" customHeight="1">
      <c r="L639" s="31"/>
      <c r="M639" s="31"/>
      <c r="N639" s="31"/>
      <c r="R639" s="32"/>
      <c r="X639" s="35"/>
      <c r="Y639" s="102"/>
      <c r="Z639" s="104"/>
      <c r="AA639" s="105"/>
    </row>
    <row r="640" spans="12:27" ht="25" customHeight="1">
      <c r="L640" s="31"/>
      <c r="M640" s="31"/>
      <c r="N640" s="31"/>
      <c r="R640" s="32"/>
      <c r="X640" s="35"/>
      <c r="Y640" s="102"/>
      <c r="Z640" s="104"/>
      <c r="AA640" s="105"/>
    </row>
    <row r="641" spans="12:27" ht="25" customHeight="1">
      <c r="L641" s="31"/>
      <c r="M641" s="31"/>
      <c r="N641" s="31"/>
      <c r="R641" s="32"/>
      <c r="X641" s="35"/>
      <c r="Y641" s="102"/>
      <c r="Z641" s="104"/>
      <c r="AA641" s="105"/>
    </row>
    <row r="642" spans="12:27" ht="25" customHeight="1">
      <c r="L642" s="31"/>
      <c r="M642" s="31"/>
      <c r="N642" s="31"/>
      <c r="R642" s="32"/>
      <c r="X642" s="35"/>
      <c r="Y642" s="102"/>
      <c r="Z642" s="104"/>
      <c r="AA642" s="105"/>
    </row>
    <row r="643" spans="12:27" ht="25" customHeight="1">
      <c r="L643" s="31"/>
      <c r="M643" s="31"/>
      <c r="N643" s="31"/>
      <c r="R643" s="32"/>
      <c r="X643" s="35"/>
      <c r="Y643" s="102"/>
      <c r="Z643" s="104"/>
      <c r="AA643" s="105"/>
    </row>
    <row r="644" spans="12:27" ht="25" customHeight="1">
      <c r="L644" s="31"/>
      <c r="M644" s="31"/>
      <c r="N644" s="31"/>
      <c r="R644" s="32"/>
      <c r="X644" s="35"/>
      <c r="Y644" s="102"/>
      <c r="Z644" s="104"/>
      <c r="AA644" s="105"/>
    </row>
    <row r="645" spans="12:27" ht="25" customHeight="1">
      <c r="L645" s="31"/>
      <c r="M645" s="31"/>
      <c r="N645" s="31"/>
      <c r="R645" s="32"/>
      <c r="X645" s="35"/>
      <c r="Y645" s="102"/>
      <c r="Z645" s="104"/>
      <c r="AA645" s="105"/>
    </row>
    <row r="646" spans="12:27" ht="25" customHeight="1">
      <c r="L646" s="31"/>
      <c r="M646" s="31"/>
      <c r="N646" s="31"/>
      <c r="R646" s="32"/>
      <c r="X646" s="35"/>
      <c r="Y646" s="102"/>
      <c r="Z646" s="104"/>
      <c r="AA646" s="105"/>
    </row>
    <row r="647" spans="12:27" ht="25" customHeight="1">
      <c r="L647" s="31"/>
      <c r="M647" s="31"/>
      <c r="N647" s="31"/>
      <c r="R647" s="32"/>
      <c r="X647" s="35"/>
      <c r="Y647" s="102"/>
      <c r="Z647" s="104"/>
      <c r="AA647" s="105"/>
    </row>
    <row r="648" spans="12:27" ht="25" customHeight="1">
      <c r="L648" s="31"/>
      <c r="M648" s="31"/>
      <c r="N648" s="31"/>
      <c r="R648" s="32"/>
      <c r="X648" s="35"/>
      <c r="Y648" s="102"/>
      <c r="Z648" s="104"/>
      <c r="AA648" s="105"/>
    </row>
    <row r="649" spans="12:27" ht="25" customHeight="1">
      <c r="L649" s="31"/>
      <c r="M649" s="31"/>
      <c r="N649" s="31"/>
      <c r="R649" s="32"/>
      <c r="X649" s="35"/>
      <c r="Y649" s="102"/>
      <c r="Z649" s="104"/>
      <c r="AA649" s="105"/>
    </row>
    <row r="650" spans="12:27" ht="25" customHeight="1">
      <c r="L650" s="31"/>
      <c r="M650" s="31"/>
      <c r="N650" s="31"/>
      <c r="R650" s="32"/>
      <c r="X650" s="35"/>
      <c r="Y650" s="102"/>
      <c r="Z650" s="104"/>
      <c r="AA650" s="105"/>
    </row>
    <row r="651" spans="12:27" ht="25" customHeight="1">
      <c r="L651" s="31"/>
      <c r="M651" s="31"/>
      <c r="N651" s="31"/>
      <c r="R651" s="32"/>
      <c r="X651" s="35"/>
      <c r="Y651" s="102"/>
      <c r="Z651" s="104"/>
      <c r="AA651" s="105"/>
    </row>
    <row r="652" spans="12:27" ht="25" customHeight="1">
      <c r="L652" s="31"/>
      <c r="M652" s="31"/>
      <c r="N652" s="31"/>
      <c r="R652" s="32"/>
      <c r="X652" s="35"/>
      <c r="Y652" s="102"/>
      <c r="Z652" s="104"/>
      <c r="AA652" s="105"/>
    </row>
    <row r="653" spans="12:27" ht="25" customHeight="1">
      <c r="L653" s="31"/>
      <c r="M653" s="31"/>
      <c r="N653" s="31"/>
      <c r="R653" s="32"/>
      <c r="X653" s="35"/>
      <c r="Y653" s="102"/>
      <c r="Z653" s="104"/>
      <c r="AA653" s="105"/>
    </row>
    <row r="654" spans="12:27" ht="25" customHeight="1">
      <c r="L654" s="31"/>
      <c r="M654" s="31"/>
      <c r="N654" s="31"/>
      <c r="R654" s="32"/>
      <c r="X654" s="35"/>
      <c r="Y654" s="102"/>
      <c r="Z654" s="104"/>
      <c r="AA654" s="105"/>
    </row>
    <row r="655" spans="12:27" ht="25" customHeight="1">
      <c r="L655" s="31"/>
      <c r="M655" s="31"/>
      <c r="N655" s="31"/>
      <c r="R655" s="32"/>
      <c r="X655" s="35"/>
      <c r="Y655" s="102"/>
      <c r="Z655" s="104"/>
      <c r="AA655" s="105"/>
    </row>
    <row r="656" spans="12:27" ht="25" customHeight="1">
      <c r="L656" s="31"/>
      <c r="M656" s="31"/>
      <c r="N656" s="31"/>
      <c r="R656" s="32"/>
      <c r="X656" s="35"/>
      <c r="Y656" s="102"/>
      <c r="Z656" s="104"/>
      <c r="AA656" s="105"/>
    </row>
    <row r="657" spans="12:27" ht="25" customHeight="1">
      <c r="L657" s="31"/>
      <c r="M657" s="31"/>
      <c r="N657" s="31"/>
      <c r="R657" s="32"/>
      <c r="X657" s="35"/>
      <c r="Y657" s="102"/>
      <c r="Z657" s="104"/>
      <c r="AA657" s="105"/>
    </row>
    <row r="658" spans="12:27" ht="25" customHeight="1">
      <c r="L658" s="31"/>
      <c r="M658" s="31"/>
      <c r="N658" s="31"/>
      <c r="R658" s="32"/>
      <c r="X658" s="35"/>
      <c r="Y658" s="102"/>
      <c r="Z658" s="104"/>
      <c r="AA658" s="105"/>
    </row>
    <row r="659" spans="12:27" ht="25" customHeight="1">
      <c r="L659" s="31"/>
      <c r="M659" s="31"/>
      <c r="N659" s="31"/>
      <c r="R659" s="32"/>
      <c r="X659" s="35"/>
      <c r="Y659" s="102"/>
      <c r="Z659" s="104"/>
      <c r="AA659" s="105"/>
    </row>
    <row r="660" spans="12:27" ht="25" customHeight="1">
      <c r="L660" s="31"/>
      <c r="M660" s="31"/>
      <c r="N660" s="31"/>
      <c r="R660" s="32"/>
      <c r="X660" s="35"/>
      <c r="Y660" s="102"/>
      <c r="Z660" s="104"/>
      <c r="AA660" s="105"/>
    </row>
    <row r="661" spans="12:27" ht="25" customHeight="1">
      <c r="L661" s="31"/>
      <c r="M661" s="31"/>
      <c r="N661" s="31"/>
      <c r="R661" s="32"/>
      <c r="X661" s="35"/>
      <c r="Y661" s="102"/>
      <c r="Z661" s="104"/>
      <c r="AA661" s="105"/>
    </row>
    <row r="662" spans="12:27" ht="25" customHeight="1">
      <c r="L662" s="31"/>
      <c r="M662" s="31"/>
      <c r="N662" s="31"/>
      <c r="R662" s="32"/>
      <c r="X662" s="35"/>
      <c r="Y662" s="102"/>
      <c r="Z662" s="104"/>
      <c r="AA662" s="105"/>
    </row>
    <row r="663" spans="12:27" ht="25" customHeight="1">
      <c r="L663" s="31"/>
      <c r="M663" s="31"/>
      <c r="N663" s="31"/>
      <c r="R663" s="32"/>
      <c r="X663" s="35"/>
      <c r="Y663" s="102"/>
      <c r="Z663" s="104"/>
      <c r="AA663" s="105"/>
    </row>
    <row r="664" spans="12:27" ht="25" customHeight="1">
      <c r="L664" s="31"/>
      <c r="M664" s="31"/>
      <c r="N664" s="31"/>
      <c r="R664" s="32"/>
      <c r="X664" s="35"/>
      <c r="Y664" s="102"/>
      <c r="Z664" s="104"/>
      <c r="AA664" s="105"/>
    </row>
    <row r="665" spans="12:27" ht="25" customHeight="1">
      <c r="L665" s="31"/>
      <c r="M665" s="31"/>
      <c r="N665" s="31"/>
      <c r="R665" s="32"/>
      <c r="X665" s="35"/>
      <c r="Y665" s="102"/>
      <c r="Z665" s="104"/>
      <c r="AA665" s="105"/>
    </row>
    <row r="666" spans="12:27" ht="25" customHeight="1">
      <c r="L666" s="31"/>
      <c r="M666" s="31"/>
      <c r="N666" s="31"/>
      <c r="R666" s="32"/>
      <c r="X666" s="35"/>
      <c r="Y666" s="102"/>
      <c r="Z666" s="104"/>
      <c r="AA666" s="105"/>
    </row>
    <row r="667" spans="12:27" ht="25" customHeight="1">
      <c r="L667" s="31"/>
      <c r="M667" s="31"/>
      <c r="N667" s="31"/>
      <c r="R667" s="32"/>
      <c r="X667" s="35"/>
      <c r="Y667" s="102"/>
      <c r="Z667" s="104"/>
      <c r="AA667" s="105"/>
    </row>
    <row r="668" spans="12:27" ht="25" customHeight="1">
      <c r="L668" s="31"/>
      <c r="M668" s="31"/>
      <c r="N668" s="31"/>
      <c r="R668" s="32"/>
      <c r="X668" s="35"/>
      <c r="Y668" s="102"/>
      <c r="Z668" s="104"/>
      <c r="AA668" s="105"/>
    </row>
    <row r="669" spans="12:27" ht="25" customHeight="1">
      <c r="L669" s="31"/>
      <c r="M669" s="31"/>
      <c r="N669" s="31"/>
      <c r="R669" s="32"/>
      <c r="X669" s="35"/>
      <c r="Y669" s="102"/>
      <c r="Z669" s="104"/>
      <c r="AA669" s="105"/>
    </row>
    <row r="670" spans="12:27" ht="25" customHeight="1">
      <c r="L670" s="31"/>
      <c r="M670" s="31"/>
      <c r="N670" s="31"/>
      <c r="R670" s="32"/>
      <c r="X670" s="35"/>
      <c r="Y670" s="102"/>
      <c r="Z670" s="104"/>
      <c r="AA670" s="105"/>
    </row>
    <row r="671" spans="12:27" ht="25" customHeight="1">
      <c r="L671" s="31"/>
      <c r="M671" s="31"/>
      <c r="N671" s="31"/>
      <c r="R671" s="32"/>
      <c r="X671" s="35"/>
      <c r="Y671" s="102"/>
      <c r="Z671" s="104"/>
      <c r="AA671" s="105"/>
    </row>
    <row r="672" spans="12:27" ht="25" customHeight="1">
      <c r="L672" s="31"/>
      <c r="M672" s="31"/>
      <c r="N672" s="31"/>
      <c r="R672" s="32"/>
      <c r="X672" s="35"/>
      <c r="Y672" s="102"/>
      <c r="Z672" s="104"/>
      <c r="AA672" s="105"/>
    </row>
    <row r="673" spans="12:27" ht="25" customHeight="1">
      <c r="L673" s="31"/>
      <c r="M673" s="31"/>
      <c r="N673" s="31"/>
      <c r="R673" s="32"/>
      <c r="X673" s="35"/>
      <c r="Y673" s="102"/>
      <c r="Z673" s="104"/>
      <c r="AA673" s="105"/>
    </row>
    <row r="674" spans="12:27" ht="25" customHeight="1">
      <c r="L674" s="31"/>
      <c r="M674" s="31"/>
      <c r="N674" s="31"/>
      <c r="R674" s="32"/>
      <c r="X674" s="35"/>
      <c r="Y674" s="102"/>
      <c r="Z674" s="104"/>
      <c r="AA674" s="105"/>
    </row>
    <row r="675" spans="12:27" ht="25" customHeight="1">
      <c r="L675" s="31"/>
      <c r="M675" s="31"/>
      <c r="N675" s="31"/>
      <c r="R675" s="32"/>
      <c r="X675" s="35"/>
      <c r="Y675" s="102"/>
      <c r="Z675" s="104"/>
      <c r="AA675" s="105"/>
    </row>
    <row r="676" spans="12:27" ht="25" customHeight="1">
      <c r="L676" s="31"/>
      <c r="M676" s="31"/>
      <c r="N676" s="31"/>
      <c r="R676" s="32"/>
      <c r="X676" s="35"/>
      <c r="Y676" s="102"/>
      <c r="Z676" s="104"/>
      <c r="AA676" s="105"/>
    </row>
    <row r="677" spans="12:27" ht="25" customHeight="1">
      <c r="L677" s="31"/>
      <c r="M677" s="31"/>
      <c r="N677" s="31"/>
      <c r="R677" s="32"/>
      <c r="X677" s="35"/>
      <c r="Y677" s="102"/>
      <c r="Z677" s="104"/>
      <c r="AA677" s="105"/>
    </row>
    <row r="678" spans="12:27" ht="25" customHeight="1">
      <c r="L678" s="31"/>
      <c r="M678" s="31"/>
      <c r="N678" s="31"/>
      <c r="R678" s="32"/>
      <c r="X678" s="35"/>
      <c r="Y678" s="102"/>
      <c r="Z678" s="104"/>
      <c r="AA678" s="105"/>
    </row>
    <row r="679" spans="12:27" ht="25" customHeight="1">
      <c r="L679" s="31"/>
      <c r="M679" s="31"/>
      <c r="N679" s="31"/>
      <c r="R679" s="32"/>
      <c r="X679" s="35"/>
      <c r="Y679" s="102"/>
      <c r="Z679" s="104"/>
      <c r="AA679" s="105"/>
    </row>
    <row r="680" spans="12:27" ht="25" customHeight="1">
      <c r="L680" s="31"/>
      <c r="M680" s="31"/>
      <c r="N680" s="31"/>
      <c r="R680" s="32"/>
      <c r="X680" s="35"/>
      <c r="Y680" s="102"/>
      <c r="Z680" s="104"/>
      <c r="AA680" s="105"/>
    </row>
    <row r="681" spans="12:27" ht="25" customHeight="1">
      <c r="L681" s="31"/>
      <c r="M681" s="31"/>
      <c r="N681" s="31"/>
      <c r="R681" s="32"/>
      <c r="X681" s="35"/>
      <c r="Y681" s="102"/>
      <c r="Z681" s="104"/>
      <c r="AA681" s="105"/>
    </row>
    <row r="682" spans="12:27" ht="25" customHeight="1">
      <c r="L682" s="31"/>
      <c r="M682" s="31"/>
      <c r="N682" s="31"/>
      <c r="R682" s="32"/>
      <c r="X682" s="35"/>
      <c r="Y682" s="102"/>
      <c r="Z682" s="104"/>
      <c r="AA682" s="105"/>
    </row>
    <row r="683" spans="12:27" ht="25" customHeight="1">
      <c r="L683" s="31"/>
      <c r="M683" s="31"/>
      <c r="N683" s="31"/>
      <c r="R683" s="32"/>
      <c r="X683" s="35"/>
      <c r="Y683" s="102"/>
      <c r="Z683" s="104"/>
      <c r="AA683" s="105"/>
    </row>
    <row r="684" spans="12:27" ht="25" customHeight="1">
      <c r="L684" s="31"/>
      <c r="M684" s="31"/>
      <c r="N684" s="31"/>
      <c r="R684" s="32"/>
      <c r="X684" s="35"/>
      <c r="Y684" s="102"/>
      <c r="Z684" s="104"/>
      <c r="AA684" s="105"/>
    </row>
    <row r="685" spans="12:27" ht="25" customHeight="1">
      <c r="L685" s="31"/>
      <c r="M685" s="31"/>
      <c r="N685" s="31"/>
      <c r="R685" s="32"/>
      <c r="X685" s="35"/>
      <c r="Y685" s="102"/>
      <c r="Z685" s="104"/>
      <c r="AA685" s="105"/>
    </row>
    <row r="686" spans="12:27" ht="25" customHeight="1">
      <c r="L686" s="31"/>
      <c r="M686" s="31"/>
      <c r="N686" s="31"/>
      <c r="R686" s="32"/>
      <c r="X686" s="35"/>
      <c r="Y686" s="102"/>
      <c r="Z686" s="104"/>
      <c r="AA686" s="105"/>
    </row>
    <row r="687" spans="12:27" ht="25" customHeight="1">
      <c r="L687" s="31"/>
      <c r="M687" s="31"/>
      <c r="N687" s="31"/>
      <c r="R687" s="32"/>
      <c r="X687" s="35"/>
      <c r="Y687" s="102"/>
      <c r="Z687" s="104"/>
      <c r="AA687" s="105"/>
    </row>
    <row r="688" spans="12:27" ht="25" customHeight="1">
      <c r="L688" s="31"/>
      <c r="M688" s="31"/>
      <c r="N688" s="31"/>
      <c r="R688" s="32"/>
      <c r="X688" s="35"/>
      <c r="Y688" s="102"/>
      <c r="Z688" s="104"/>
      <c r="AA688" s="105"/>
    </row>
    <row r="689" spans="12:27" ht="25" customHeight="1">
      <c r="L689" s="31"/>
      <c r="M689" s="31"/>
      <c r="N689" s="31"/>
      <c r="R689" s="32"/>
      <c r="X689" s="35"/>
      <c r="Y689" s="102"/>
      <c r="Z689" s="104"/>
      <c r="AA689" s="105"/>
    </row>
    <row r="690" spans="12:27" ht="25" customHeight="1">
      <c r="L690" s="31"/>
      <c r="M690" s="31"/>
      <c r="N690" s="31"/>
      <c r="R690" s="32"/>
      <c r="X690" s="35"/>
      <c r="Y690" s="102"/>
      <c r="Z690" s="104"/>
      <c r="AA690" s="105"/>
    </row>
    <row r="691" spans="12:27" ht="25" customHeight="1">
      <c r="L691" s="31"/>
      <c r="M691" s="31"/>
      <c r="N691" s="31"/>
      <c r="R691" s="32"/>
      <c r="X691" s="35"/>
      <c r="Y691" s="102"/>
      <c r="Z691" s="104"/>
      <c r="AA691" s="105"/>
    </row>
    <row r="692" spans="12:27" ht="25" customHeight="1">
      <c r="L692" s="31"/>
      <c r="M692" s="31"/>
      <c r="N692" s="31"/>
      <c r="R692" s="32"/>
      <c r="X692" s="35"/>
      <c r="Y692" s="102"/>
      <c r="Z692" s="104"/>
      <c r="AA692" s="105"/>
    </row>
    <row r="693" spans="12:27" ht="25" customHeight="1">
      <c r="L693" s="31"/>
      <c r="M693" s="31"/>
      <c r="N693" s="31"/>
      <c r="R693" s="32"/>
      <c r="X693" s="35"/>
      <c r="Y693" s="102"/>
      <c r="Z693" s="104"/>
      <c r="AA693" s="105"/>
    </row>
    <row r="694" spans="12:27" ht="25" customHeight="1">
      <c r="L694" s="31"/>
      <c r="M694" s="31"/>
      <c r="N694" s="31"/>
      <c r="R694" s="32"/>
      <c r="X694" s="35"/>
      <c r="Y694" s="102"/>
      <c r="Z694" s="104"/>
      <c r="AA694" s="105"/>
    </row>
    <row r="695" spans="12:27" ht="25" customHeight="1">
      <c r="L695" s="31"/>
      <c r="M695" s="31"/>
      <c r="N695" s="31"/>
      <c r="R695" s="32"/>
      <c r="X695" s="35"/>
      <c r="Y695" s="102"/>
      <c r="Z695" s="104"/>
      <c r="AA695" s="105"/>
    </row>
    <row r="696" spans="12:27" ht="25" customHeight="1">
      <c r="L696" s="31"/>
      <c r="M696" s="31"/>
      <c r="N696" s="31"/>
      <c r="R696" s="32"/>
      <c r="X696" s="35"/>
      <c r="Y696" s="102"/>
      <c r="Z696" s="104"/>
      <c r="AA696" s="105"/>
    </row>
    <row r="697" spans="12:27" ht="25" customHeight="1">
      <c r="L697" s="31"/>
      <c r="M697" s="31"/>
      <c r="N697" s="31"/>
      <c r="R697" s="32"/>
      <c r="X697" s="35"/>
      <c r="Y697" s="102"/>
      <c r="Z697" s="104"/>
      <c r="AA697" s="105"/>
    </row>
    <row r="698" spans="12:27" ht="25" customHeight="1">
      <c r="L698" s="31"/>
      <c r="M698" s="31"/>
      <c r="N698" s="31"/>
      <c r="R698" s="32"/>
      <c r="X698" s="35"/>
      <c r="Y698" s="102"/>
      <c r="Z698" s="104"/>
      <c r="AA698" s="105"/>
    </row>
    <row r="699" spans="12:27" ht="25" customHeight="1">
      <c r="L699" s="31"/>
      <c r="M699" s="31"/>
      <c r="N699" s="31"/>
      <c r="R699" s="32"/>
      <c r="X699" s="35"/>
      <c r="Y699" s="102"/>
      <c r="Z699" s="104"/>
      <c r="AA699" s="105"/>
    </row>
    <row r="700" spans="12:27" ht="25" customHeight="1">
      <c r="L700" s="31"/>
      <c r="M700" s="31"/>
      <c r="N700" s="31"/>
      <c r="R700" s="32"/>
      <c r="X700" s="35"/>
      <c r="Y700" s="102"/>
      <c r="Z700" s="104"/>
      <c r="AA700" s="105"/>
    </row>
    <row r="701" spans="12:27" ht="25" customHeight="1">
      <c r="L701" s="31"/>
      <c r="M701" s="31"/>
      <c r="N701" s="31"/>
      <c r="R701" s="32"/>
      <c r="X701" s="35"/>
      <c r="Y701" s="102"/>
      <c r="Z701" s="104"/>
      <c r="AA701" s="105"/>
    </row>
    <row r="702" spans="12:27" ht="25" customHeight="1">
      <c r="L702" s="31"/>
      <c r="M702" s="31"/>
      <c r="N702" s="31"/>
      <c r="R702" s="32"/>
      <c r="X702" s="35"/>
      <c r="Y702" s="102"/>
      <c r="Z702" s="104"/>
      <c r="AA702" s="105"/>
    </row>
    <row r="703" spans="12:27" ht="25" customHeight="1">
      <c r="L703" s="31"/>
      <c r="M703" s="31"/>
      <c r="N703" s="31"/>
      <c r="R703" s="32"/>
      <c r="X703" s="35"/>
      <c r="Y703" s="102"/>
      <c r="Z703" s="104"/>
      <c r="AA703" s="105"/>
    </row>
    <row r="704" spans="12:27" ht="25" customHeight="1">
      <c r="L704" s="31"/>
      <c r="M704" s="31"/>
      <c r="N704" s="31"/>
      <c r="R704" s="32"/>
      <c r="X704" s="35"/>
      <c r="Y704" s="102"/>
      <c r="Z704" s="104"/>
      <c r="AA704" s="105"/>
    </row>
    <row r="705" spans="12:27" ht="25" customHeight="1">
      <c r="L705" s="31"/>
      <c r="M705" s="31"/>
      <c r="N705" s="31"/>
      <c r="R705" s="32"/>
      <c r="X705" s="35"/>
      <c r="Y705" s="102"/>
      <c r="Z705" s="104"/>
      <c r="AA705" s="105"/>
    </row>
    <row r="706" spans="12:27" ht="25" customHeight="1">
      <c r="L706" s="31"/>
      <c r="M706" s="31"/>
      <c r="N706" s="31"/>
      <c r="R706" s="32"/>
      <c r="X706" s="35"/>
      <c r="Y706" s="102"/>
      <c r="Z706" s="104"/>
      <c r="AA706" s="105"/>
    </row>
    <row r="707" spans="12:27" ht="25" customHeight="1">
      <c r="L707" s="31"/>
      <c r="M707" s="31"/>
      <c r="N707" s="31"/>
      <c r="R707" s="32"/>
      <c r="X707" s="35"/>
      <c r="Y707" s="102"/>
      <c r="Z707" s="104"/>
      <c r="AA707" s="105"/>
    </row>
    <row r="708" spans="12:27" ht="25" customHeight="1">
      <c r="L708" s="31"/>
      <c r="M708" s="31"/>
      <c r="N708" s="31"/>
      <c r="R708" s="32"/>
      <c r="X708" s="35"/>
      <c r="Y708" s="102"/>
      <c r="Z708" s="104"/>
      <c r="AA708" s="105"/>
    </row>
    <row r="709" spans="12:27" ht="25" customHeight="1">
      <c r="L709" s="31"/>
      <c r="M709" s="31"/>
      <c r="N709" s="31"/>
      <c r="R709" s="32"/>
      <c r="X709" s="35"/>
      <c r="Y709" s="102"/>
      <c r="Z709" s="104"/>
      <c r="AA709" s="105"/>
    </row>
    <row r="710" spans="12:27" ht="25" customHeight="1">
      <c r="L710" s="31"/>
      <c r="M710" s="31"/>
      <c r="N710" s="31"/>
      <c r="R710" s="32"/>
      <c r="X710" s="35"/>
      <c r="Y710" s="102"/>
      <c r="Z710" s="104"/>
      <c r="AA710" s="105"/>
    </row>
    <row r="711" spans="12:27" ht="25" customHeight="1">
      <c r="L711" s="31"/>
      <c r="M711" s="31"/>
      <c r="N711" s="31"/>
      <c r="R711" s="32"/>
      <c r="X711" s="35"/>
      <c r="Y711" s="102"/>
      <c r="Z711" s="104"/>
      <c r="AA711" s="105"/>
    </row>
    <row r="712" spans="12:27" ht="25" customHeight="1">
      <c r="L712" s="31"/>
      <c r="M712" s="31"/>
      <c r="N712" s="31"/>
      <c r="R712" s="32"/>
      <c r="X712" s="35"/>
      <c r="Y712" s="102"/>
      <c r="Z712" s="104"/>
      <c r="AA712" s="105"/>
    </row>
    <row r="713" spans="12:27" ht="25" customHeight="1">
      <c r="L713" s="31"/>
      <c r="M713" s="31"/>
      <c r="N713" s="31"/>
      <c r="R713" s="32"/>
      <c r="X713" s="35"/>
      <c r="Y713" s="102"/>
      <c r="Z713" s="104"/>
      <c r="AA713" s="105"/>
    </row>
    <row r="714" spans="12:27" ht="25" customHeight="1">
      <c r="L714" s="31"/>
      <c r="M714" s="31"/>
      <c r="N714" s="31"/>
      <c r="R714" s="32"/>
      <c r="X714" s="35"/>
      <c r="Y714" s="102"/>
      <c r="Z714" s="104"/>
      <c r="AA714" s="105"/>
    </row>
    <row r="715" spans="12:27" ht="25" customHeight="1">
      <c r="L715" s="31"/>
      <c r="M715" s="31"/>
      <c r="N715" s="31"/>
      <c r="R715" s="32"/>
      <c r="X715" s="35"/>
      <c r="Y715" s="102"/>
      <c r="Z715" s="104"/>
      <c r="AA715" s="105"/>
    </row>
    <row r="716" spans="12:27" ht="25" customHeight="1">
      <c r="L716" s="31"/>
      <c r="M716" s="31"/>
      <c r="N716" s="31"/>
      <c r="R716" s="32"/>
      <c r="X716" s="35"/>
      <c r="Y716" s="102"/>
      <c r="Z716" s="104"/>
      <c r="AA716" s="105"/>
    </row>
    <row r="717" spans="12:27" ht="25" customHeight="1">
      <c r="L717" s="31"/>
      <c r="M717" s="31"/>
      <c r="N717" s="31"/>
      <c r="R717" s="32"/>
      <c r="X717" s="35"/>
      <c r="Y717" s="102"/>
      <c r="Z717" s="104"/>
      <c r="AA717" s="105"/>
    </row>
    <row r="718" spans="12:27" ht="25" customHeight="1">
      <c r="L718" s="31"/>
      <c r="M718" s="31"/>
      <c r="N718" s="31"/>
      <c r="R718" s="32"/>
      <c r="X718" s="35"/>
      <c r="Y718" s="102"/>
      <c r="Z718" s="104"/>
      <c r="AA718" s="105"/>
    </row>
    <row r="719" spans="12:27" ht="25" customHeight="1">
      <c r="L719" s="31"/>
      <c r="M719" s="31"/>
      <c r="N719" s="31"/>
      <c r="R719" s="32"/>
      <c r="X719" s="35"/>
      <c r="Y719" s="102"/>
      <c r="Z719" s="104"/>
      <c r="AA719" s="105"/>
    </row>
    <row r="720" spans="12:27" ht="25" customHeight="1">
      <c r="L720" s="31"/>
      <c r="M720" s="31"/>
      <c r="N720" s="31"/>
      <c r="R720" s="32"/>
      <c r="X720" s="35"/>
      <c r="Y720" s="102"/>
      <c r="Z720" s="104"/>
      <c r="AA720" s="105"/>
    </row>
    <row r="721" spans="12:27" ht="25" customHeight="1">
      <c r="L721" s="31"/>
      <c r="M721" s="31"/>
      <c r="N721" s="31"/>
      <c r="R721" s="32"/>
      <c r="X721" s="35"/>
      <c r="Y721" s="102"/>
      <c r="Z721" s="104"/>
      <c r="AA721" s="105"/>
    </row>
    <row r="722" spans="12:27" ht="25" customHeight="1">
      <c r="L722" s="31"/>
      <c r="M722" s="31"/>
      <c r="N722" s="31"/>
      <c r="R722" s="32"/>
      <c r="X722" s="35"/>
      <c r="Y722" s="102"/>
      <c r="Z722" s="104"/>
      <c r="AA722" s="105"/>
    </row>
    <row r="723" spans="12:27" ht="25" customHeight="1">
      <c r="L723" s="31"/>
      <c r="M723" s="31"/>
      <c r="N723" s="31"/>
      <c r="R723" s="32"/>
      <c r="X723" s="35"/>
      <c r="Y723" s="102"/>
      <c r="Z723" s="104"/>
      <c r="AA723" s="105"/>
    </row>
    <row r="724" spans="12:27" ht="25" customHeight="1">
      <c r="L724" s="31"/>
      <c r="M724" s="31"/>
      <c r="N724" s="31"/>
      <c r="R724" s="32"/>
      <c r="X724" s="35"/>
      <c r="Y724" s="102"/>
      <c r="Z724" s="104"/>
      <c r="AA724" s="105"/>
    </row>
    <row r="725" spans="12:27" ht="25" customHeight="1">
      <c r="L725" s="31"/>
      <c r="M725" s="31"/>
      <c r="N725" s="31"/>
      <c r="R725" s="32"/>
      <c r="X725" s="35"/>
      <c r="Y725" s="102"/>
      <c r="Z725" s="104"/>
      <c r="AA725" s="105"/>
    </row>
    <row r="726" spans="12:27" ht="25" customHeight="1">
      <c r="L726" s="31"/>
      <c r="M726" s="31"/>
      <c r="N726" s="31"/>
      <c r="R726" s="32"/>
      <c r="X726" s="35"/>
      <c r="Y726" s="102"/>
      <c r="Z726" s="104"/>
      <c r="AA726" s="105"/>
    </row>
    <row r="727" spans="12:27" ht="25" customHeight="1">
      <c r="L727" s="31"/>
      <c r="M727" s="31"/>
      <c r="N727" s="31"/>
      <c r="R727" s="32"/>
      <c r="X727" s="35"/>
      <c r="Y727" s="102"/>
      <c r="Z727" s="104"/>
      <c r="AA727" s="105"/>
    </row>
    <row r="728" spans="12:27" ht="25" customHeight="1">
      <c r="L728" s="31"/>
      <c r="M728" s="31"/>
      <c r="N728" s="31"/>
      <c r="R728" s="32"/>
      <c r="X728" s="35"/>
      <c r="Y728" s="102"/>
      <c r="Z728" s="104"/>
      <c r="AA728" s="105"/>
    </row>
    <row r="729" spans="12:27" ht="25" customHeight="1">
      <c r="L729" s="31"/>
      <c r="M729" s="31"/>
      <c r="N729" s="31"/>
      <c r="R729" s="32"/>
      <c r="X729" s="35"/>
      <c r="Y729" s="102"/>
      <c r="Z729" s="104"/>
      <c r="AA729" s="105"/>
    </row>
    <row r="730" spans="12:27" ht="25" customHeight="1">
      <c r="L730" s="31"/>
      <c r="M730" s="31"/>
      <c r="N730" s="31"/>
      <c r="R730" s="32"/>
      <c r="X730" s="35"/>
      <c r="Y730" s="102"/>
      <c r="Z730" s="104"/>
      <c r="AA730" s="105"/>
    </row>
    <row r="731" spans="12:27" ht="25" customHeight="1">
      <c r="L731" s="31"/>
      <c r="M731" s="31"/>
      <c r="N731" s="31"/>
      <c r="R731" s="32"/>
      <c r="X731" s="35"/>
      <c r="Y731" s="102"/>
      <c r="Z731" s="104"/>
      <c r="AA731" s="105"/>
    </row>
    <row r="732" spans="12:27" ht="25" customHeight="1">
      <c r="L732" s="31"/>
      <c r="M732" s="31"/>
      <c r="N732" s="31"/>
      <c r="R732" s="32"/>
      <c r="X732" s="35"/>
      <c r="Y732" s="102"/>
      <c r="Z732" s="104"/>
      <c r="AA732" s="105"/>
    </row>
    <row r="733" spans="12:27" ht="25" customHeight="1">
      <c r="L733" s="31"/>
      <c r="M733" s="31"/>
      <c r="N733" s="31"/>
      <c r="R733" s="32"/>
      <c r="X733" s="35"/>
      <c r="Y733" s="102"/>
      <c r="Z733" s="104"/>
      <c r="AA733" s="105"/>
    </row>
    <row r="734" spans="12:27" ht="25" customHeight="1">
      <c r="L734" s="31"/>
      <c r="M734" s="31"/>
      <c r="N734" s="31"/>
      <c r="R734" s="32"/>
      <c r="X734" s="35"/>
      <c r="Y734" s="102"/>
      <c r="Z734" s="104"/>
      <c r="AA734" s="105"/>
    </row>
    <row r="735" spans="12:27" ht="25" customHeight="1">
      <c r="L735" s="31"/>
      <c r="M735" s="31"/>
      <c r="N735" s="31"/>
      <c r="R735" s="32"/>
      <c r="X735" s="35"/>
      <c r="Y735" s="102"/>
      <c r="Z735" s="104"/>
      <c r="AA735" s="105"/>
    </row>
    <row r="736" spans="12:27" ht="25" customHeight="1">
      <c r="L736" s="31"/>
      <c r="M736" s="31"/>
      <c r="N736" s="31"/>
      <c r="R736" s="32"/>
      <c r="X736" s="35"/>
      <c r="Y736" s="102"/>
      <c r="Z736" s="104"/>
      <c r="AA736" s="105"/>
    </row>
    <row r="737" spans="12:27" ht="25" customHeight="1">
      <c r="L737" s="31"/>
      <c r="M737" s="31"/>
      <c r="N737" s="31"/>
      <c r="R737" s="32"/>
      <c r="X737" s="35"/>
      <c r="Y737" s="102"/>
      <c r="Z737" s="104"/>
      <c r="AA737" s="105"/>
    </row>
    <row r="738" spans="12:27" ht="25" customHeight="1">
      <c r="L738" s="31"/>
      <c r="M738" s="31"/>
      <c r="N738" s="31"/>
      <c r="R738" s="32"/>
      <c r="X738" s="35"/>
      <c r="Y738" s="102"/>
      <c r="Z738" s="104"/>
      <c r="AA738" s="105"/>
    </row>
    <row r="739" spans="12:27" ht="25" customHeight="1">
      <c r="L739" s="31"/>
      <c r="M739" s="31"/>
      <c r="N739" s="31"/>
      <c r="R739" s="32"/>
      <c r="X739" s="35"/>
      <c r="Y739" s="102"/>
      <c r="Z739" s="104"/>
      <c r="AA739" s="105"/>
    </row>
    <row r="740" spans="12:27" ht="25" customHeight="1">
      <c r="L740" s="31"/>
      <c r="M740" s="31"/>
      <c r="N740" s="31"/>
      <c r="R740" s="32"/>
      <c r="X740" s="35"/>
      <c r="Y740" s="102"/>
      <c r="Z740" s="104"/>
      <c r="AA740" s="105"/>
    </row>
    <row r="741" spans="12:27" ht="25" customHeight="1">
      <c r="L741" s="31"/>
      <c r="M741" s="31"/>
      <c r="N741" s="31"/>
      <c r="R741" s="32"/>
      <c r="X741" s="35"/>
      <c r="Y741" s="102"/>
      <c r="Z741" s="104"/>
      <c r="AA741" s="105"/>
    </row>
    <row r="742" spans="12:27" ht="25" customHeight="1">
      <c r="L742" s="31"/>
      <c r="M742" s="31"/>
      <c r="N742" s="31"/>
      <c r="R742" s="32"/>
      <c r="X742" s="35"/>
      <c r="Y742" s="102"/>
      <c r="Z742" s="104"/>
      <c r="AA742" s="105"/>
    </row>
    <row r="743" spans="12:27" ht="25" customHeight="1">
      <c r="L743" s="31"/>
      <c r="M743" s="31"/>
      <c r="N743" s="31"/>
      <c r="R743" s="32"/>
      <c r="X743" s="35"/>
      <c r="Y743" s="102"/>
      <c r="Z743" s="104"/>
      <c r="AA743" s="105"/>
    </row>
    <row r="744" spans="12:27" ht="25" customHeight="1">
      <c r="L744" s="31"/>
      <c r="M744" s="31"/>
      <c r="N744" s="31"/>
      <c r="R744" s="32"/>
      <c r="X744" s="35"/>
      <c r="Y744" s="102"/>
      <c r="Z744" s="104"/>
      <c r="AA744" s="105"/>
    </row>
    <row r="745" spans="12:27" ht="25" customHeight="1">
      <c r="L745" s="31"/>
      <c r="M745" s="31"/>
      <c r="N745" s="31"/>
      <c r="R745" s="32"/>
      <c r="X745" s="35"/>
      <c r="Y745" s="102"/>
      <c r="Z745" s="104"/>
      <c r="AA745" s="105"/>
    </row>
    <row r="746" spans="12:27" ht="25" customHeight="1">
      <c r="L746" s="31"/>
      <c r="M746" s="31"/>
      <c r="N746" s="31"/>
      <c r="R746" s="32"/>
      <c r="X746" s="35"/>
      <c r="Y746" s="102"/>
      <c r="Z746" s="104"/>
      <c r="AA746" s="105"/>
    </row>
    <row r="747" spans="12:27" ht="25" customHeight="1">
      <c r="L747" s="31"/>
      <c r="M747" s="31"/>
      <c r="N747" s="31"/>
      <c r="R747" s="32"/>
      <c r="X747" s="35"/>
      <c r="Y747" s="102"/>
      <c r="Z747" s="104"/>
      <c r="AA747" s="105"/>
    </row>
    <row r="748" spans="12:27" ht="25" customHeight="1">
      <c r="L748" s="31"/>
      <c r="M748" s="31"/>
      <c r="N748" s="31"/>
      <c r="R748" s="32"/>
      <c r="X748" s="35"/>
      <c r="Y748" s="102"/>
      <c r="Z748" s="104"/>
      <c r="AA748" s="105"/>
    </row>
    <row r="749" spans="12:27" ht="25" customHeight="1">
      <c r="L749" s="31"/>
      <c r="M749" s="31"/>
      <c r="N749" s="31"/>
      <c r="R749" s="32"/>
      <c r="X749" s="35"/>
      <c r="Y749" s="102"/>
      <c r="Z749" s="104"/>
      <c r="AA749" s="105"/>
    </row>
    <row r="750" spans="12:27" ht="25" customHeight="1">
      <c r="L750" s="31"/>
      <c r="M750" s="31"/>
      <c r="N750" s="31"/>
      <c r="R750" s="32"/>
      <c r="X750" s="35"/>
      <c r="Y750" s="102"/>
      <c r="Z750" s="104"/>
      <c r="AA750" s="105"/>
    </row>
    <row r="751" spans="12:27" ht="25" customHeight="1">
      <c r="L751" s="31"/>
      <c r="M751" s="31"/>
      <c r="N751" s="31"/>
      <c r="R751" s="32"/>
      <c r="X751" s="35"/>
      <c r="Y751" s="102"/>
      <c r="Z751" s="104"/>
      <c r="AA751" s="105"/>
    </row>
    <row r="752" spans="12:27" ht="25" customHeight="1">
      <c r="L752" s="31"/>
      <c r="M752" s="31"/>
      <c r="N752" s="31"/>
      <c r="R752" s="32"/>
      <c r="X752" s="35"/>
      <c r="Y752" s="102"/>
      <c r="Z752" s="104"/>
      <c r="AA752" s="105"/>
    </row>
    <row r="753" spans="12:27" ht="25" customHeight="1">
      <c r="L753" s="31"/>
      <c r="M753" s="31"/>
      <c r="N753" s="31"/>
      <c r="R753" s="32"/>
      <c r="X753" s="35"/>
      <c r="Y753" s="102"/>
      <c r="Z753" s="104"/>
      <c r="AA753" s="105"/>
    </row>
    <row r="754" spans="12:27" ht="25" customHeight="1">
      <c r="L754" s="31"/>
      <c r="M754" s="31"/>
      <c r="N754" s="31"/>
      <c r="R754" s="32"/>
      <c r="X754" s="35"/>
      <c r="Y754" s="102"/>
      <c r="Z754" s="104"/>
      <c r="AA754" s="105"/>
    </row>
    <row r="755" spans="12:27" ht="25" customHeight="1">
      <c r="L755" s="31"/>
      <c r="M755" s="31"/>
      <c r="N755" s="31"/>
      <c r="R755" s="32"/>
      <c r="X755" s="35"/>
      <c r="Y755" s="102"/>
      <c r="Z755" s="104"/>
      <c r="AA755" s="105"/>
    </row>
    <row r="756" spans="12:27" ht="25" customHeight="1">
      <c r="L756" s="31"/>
      <c r="M756" s="31"/>
      <c r="N756" s="31"/>
      <c r="R756" s="32"/>
      <c r="X756" s="35"/>
      <c r="Y756" s="102"/>
      <c r="Z756" s="104"/>
      <c r="AA756" s="105"/>
    </row>
    <row r="757" spans="12:27" ht="25" customHeight="1">
      <c r="L757" s="31"/>
      <c r="M757" s="31"/>
      <c r="N757" s="31"/>
      <c r="R757" s="32"/>
      <c r="X757" s="35"/>
      <c r="Y757" s="102"/>
      <c r="Z757" s="104"/>
      <c r="AA757" s="105"/>
    </row>
    <row r="758" spans="12:27" ht="25" customHeight="1">
      <c r="L758" s="31"/>
      <c r="M758" s="31"/>
      <c r="N758" s="31"/>
      <c r="R758" s="32"/>
      <c r="X758" s="35"/>
      <c r="Y758" s="102"/>
      <c r="Z758" s="104"/>
      <c r="AA758" s="105"/>
    </row>
    <row r="759" spans="12:27" ht="25" customHeight="1">
      <c r="L759" s="31"/>
      <c r="M759" s="31"/>
      <c r="N759" s="31"/>
      <c r="R759" s="32"/>
      <c r="X759" s="35"/>
      <c r="Y759" s="102"/>
      <c r="Z759" s="104"/>
      <c r="AA759" s="105"/>
    </row>
    <row r="760" spans="12:27" ht="25" customHeight="1">
      <c r="L760" s="31"/>
      <c r="M760" s="31"/>
      <c r="N760" s="31"/>
      <c r="R760" s="32"/>
      <c r="X760" s="35"/>
      <c r="Y760" s="102"/>
      <c r="Z760" s="104"/>
      <c r="AA760" s="105"/>
    </row>
    <row r="761" spans="12:27" ht="25" customHeight="1">
      <c r="L761" s="31"/>
      <c r="M761" s="31"/>
      <c r="N761" s="31"/>
      <c r="R761" s="32"/>
      <c r="X761" s="35"/>
      <c r="Y761" s="102"/>
      <c r="Z761" s="104"/>
      <c r="AA761" s="105"/>
    </row>
    <row r="762" spans="12:27" ht="25" customHeight="1">
      <c r="L762" s="31"/>
      <c r="M762" s="31"/>
      <c r="N762" s="31"/>
      <c r="R762" s="32"/>
      <c r="X762" s="35"/>
      <c r="Y762" s="102"/>
      <c r="Z762" s="104"/>
      <c r="AA762" s="105"/>
    </row>
    <row r="763" spans="12:27" ht="25" customHeight="1">
      <c r="L763" s="31"/>
      <c r="M763" s="31"/>
      <c r="N763" s="31"/>
      <c r="R763" s="32"/>
      <c r="X763" s="35"/>
      <c r="Y763" s="102"/>
      <c r="Z763" s="104"/>
      <c r="AA763" s="105"/>
    </row>
    <row r="764" spans="12:27" ht="25" customHeight="1">
      <c r="L764" s="31"/>
      <c r="M764" s="31"/>
      <c r="N764" s="31"/>
      <c r="R764" s="32"/>
      <c r="X764" s="35"/>
      <c r="Y764" s="102"/>
      <c r="Z764" s="104"/>
      <c r="AA764" s="105"/>
    </row>
    <row r="765" spans="12:27" ht="25" customHeight="1">
      <c r="L765" s="31"/>
      <c r="M765" s="31"/>
      <c r="N765" s="31"/>
      <c r="R765" s="32"/>
      <c r="X765" s="35"/>
      <c r="Y765" s="102"/>
      <c r="Z765" s="104"/>
      <c r="AA765" s="105"/>
    </row>
    <row r="766" spans="12:27" ht="25" customHeight="1">
      <c r="L766" s="31"/>
      <c r="M766" s="31"/>
      <c r="N766" s="31"/>
      <c r="R766" s="32"/>
      <c r="X766" s="35"/>
      <c r="Y766" s="102"/>
      <c r="Z766" s="104"/>
      <c r="AA766" s="105"/>
    </row>
    <row r="767" spans="12:27" ht="25" customHeight="1">
      <c r="L767" s="31"/>
      <c r="M767" s="31"/>
      <c r="N767" s="31"/>
      <c r="R767" s="32"/>
      <c r="X767" s="35"/>
      <c r="Y767" s="102"/>
      <c r="Z767" s="104"/>
      <c r="AA767" s="105"/>
    </row>
    <row r="768" spans="12:27" ht="25" customHeight="1">
      <c r="L768" s="31"/>
      <c r="M768" s="31"/>
      <c r="N768" s="31"/>
      <c r="R768" s="32"/>
      <c r="X768" s="35"/>
      <c r="Y768" s="102"/>
      <c r="Z768" s="104"/>
      <c r="AA768" s="105"/>
    </row>
    <row r="769" spans="12:27" ht="25" customHeight="1">
      <c r="L769" s="31"/>
      <c r="M769" s="31"/>
      <c r="N769" s="31"/>
      <c r="R769" s="32"/>
      <c r="X769" s="35"/>
      <c r="Y769" s="102"/>
      <c r="Z769" s="104"/>
      <c r="AA769" s="105"/>
    </row>
    <row r="770" spans="12:27" ht="25" customHeight="1">
      <c r="L770" s="31"/>
      <c r="M770" s="31"/>
      <c r="N770" s="31"/>
      <c r="R770" s="32"/>
      <c r="X770" s="35"/>
      <c r="Y770" s="102"/>
      <c r="Z770" s="104"/>
      <c r="AA770" s="105"/>
    </row>
    <row r="771" spans="12:27" ht="25" customHeight="1">
      <c r="L771" s="31"/>
      <c r="M771" s="31"/>
      <c r="N771" s="31"/>
      <c r="R771" s="32"/>
      <c r="X771" s="35"/>
      <c r="Y771" s="102"/>
      <c r="Z771" s="104"/>
      <c r="AA771" s="105"/>
    </row>
    <row r="772" spans="12:27" ht="25" customHeight="1">
      <c r="L772" s="31"/>
      <c r="M772" s="31"/>
      <c r="N772" s="31"/>
      <c r="R772" s="32"/>
      <c r="X772" s="35"/>
      <c r="Y772" s="102"/>
      <c r="Z772" s="104"/>
      <c r="AA772" s="105"/>
    </row>
    <row r="773" spans="12:27" ht="25" customHeight="1">
      <c r="L773" s="31"/>
      <c r="M773" s="31"/>
      <c r="N773" s="31"/>
      <c r="R773" s="32"/>
      <c r="X773" s="35"/>
      <c r="Y773" s="102"/>
      <c r="Z773" s="104"/>
      <c r="AA773" s="105"/>
    </row>
    <row r="774" spans="12:27" ht="25" customHeight="1">
      <c r="L774" s="31"/>
      <c r="M774" s="31"/>
      <c r="N774" s="31"/>
      <c r="R774" s="32"/>
      <c r="X774" s="35"/>
      <c r="Y774" s="102"/>
      <c r="Z774" s="104"/>
      <c r="AA774" s="105"/>
    </row>
    <row r="775" spans="12:27" ht="25" customHeight="1">
      <c r="L775" s="31"/>
      <c r="M775" s="31"/>
      <c r="N775" s="31"/>
      <c r="R775" s="32"/>
      <c r="X775" s="35"/>
      <c r="Y775" s="102"/>
      <c r="Z775" s="104"/>
      <c r="AA775" s="105"/>
    </row>
    <row r="776" spans="12:27" ht="25" customHeight="1">
      <c r="L776" s="31"/>
      <c r="M776" s="31"/>
      <c r="N776" s="31"/>
      <c r="R776" s="32"/>
      <c r="X776" s="35"/>
      <c r="Y776" s="102"/>
      <c r="Z776" s="104"/>
      <c r="AA776" s="105"/>
    </row>
    <row r="777" spans="12:27" ht="25" customHeight="1">
      <c r="L777" s="31"/>
      <c r="M777" s="31"/>
      <c r="N777" s="31"/>
      <c r="R777" s="32"/>
      <c r="X777" s="35"/>
      <c r="Y777" s="102"/>
      <c r="Z777" s="104"/>
      <c r="AA777" s="105"/>
    </row>
    <row r="778" spans="12:27" ht="25" customHeight="1">
      <c r="L778" s="31"/>
      <c r="M778" s="31"/>
      <c r="N778" s="31"/>
      <c r="R778" s="32"/>
      <c r="X778" s="35"/>
      <c r="Y778" s="102"/>
      <c r="Z778" s="104"/>
      <c r="AA778" s="105"/>
    </row>
    <row r="779" spans="12:27" ht="25" customHeight="1">
      <c r="L779" s="31"/>
      <c r="M779" s="31"/>
      <c r="N779" s="31"/>
      <c r="R779" s="32"/>
      <c r="X779" s="35"/>
      <c r="Y779" s="102"/>
      <c r="Z779" s="104"/>
      <c r="AA779" s="105"/>
    </row>
    <row r="780" spans="12:27" ht="25" customHeight="1">
      <c r="L780" s="31"/>
      <c r="M780" s="31"/>
      <c r="N780" s="31"/>
      <c r="R780" s="32"/>
      <c r="X780" s="35"/>
      <c r="Y780" s="102"/>
      <c r="Z780" s="104"/>
      <c r="AA780" s="105"/>
    </row>
    <row r="781" spans="12:27" ht="25" customHeight="1">
      <c r="L781" s="31"/>
      <c r="M781" s="31"/>
      <c r="N781" s="31"/>
      <c r="R781" s="32"/>
      <c r="X781" s="35"/>
      <c r="Y781" s="102"/>
      <c r="Z781" s="104"/>
      <c r="AA781" s="105"/>
    </row>
    <row r="782" spans="12:27" ht="25" customHeight="1">
      <c r="L782" s="31"/>
      <c r="M782" s="31"/>
      <c r="N782" s="31"/>
      <c r="R782" s="32"/>
      <c r="X782" s="35"/>
      <c r="Y782" s="102"/>
      <c r="Z782" s="104"/>
      <c r="AA782" s="105"/>
    </row>
    <row r="783" spans="12:27" ht="25" customHeight="1">
      <c r="L783" s="31"/>
      <c r="M783" s="31"/>
      <c r="N783" s="31"/>
      <c r="R783" s="32"/>
      <c r="X783" s="35"/>
      <c r="Y783" s="102"/>
      <c r="Z783" s="104"/>
      <c r="AA783" s="105"/>
    </row>
    <row r="784" spans="12:27" ht="25" customHeight="1">
      <c r="L784" s="31"/>
      <c r="M784" s="31"/>
      <c r="N784" s="31"/>
      <c r="R784" s="32"/>
      <c r="X784" s="35"/>
      <c r="Y784" s="102"/>
      <c r="Z784" s="104"/>
      <c r="AA784" s="105"/>
    </row>
    <row r="785" spans="12:27" ht="25" customHeight="1">
      <c r="L785" s="31"/>
      <c r="M785" s="31"/>
      <c r="N785" s="31"/>
      <c r="R785" s="32"/>
      <c r="X785" s="35"/>
      <c r="Y785" s="102"/>
      <c r="Z785" s="104"/>
      <c r="AA785" s="105"/>
    </row>
    <row r="786" spans="12:27" ht="25" customHeight="1">
      <c r="L786" s="31"/>
      <c r="M786" s="31"/>
      <c r="N786" s="31"/>
      <c r="R786" s="32"/>
      <c r="X786" s="35"/>
      <c r="Y786" s="102"/>
      <c r="Z786" s="104"/>
      <c r="AA786" s="105"/>
    </row>
    <row r="787" spans="12:27" ht="25" customHeight="1">
      <c r="L787" s="31"/>
      <c r="M787" s="31"/>
      <c r="N787" s="31"/>
      <c r="R787" s="32"/>
      <c r="X787" s="35"/>
      <c r="Y787" s="102"/>
      <c r="Z787" s="104"/>
      <c r="AA787" s="105"/>
    </row>
    <row r="788" spans="12:27" ht="25" customHeight="1">
      <c r="L788" s="31"/>
      <c r="M788" s="31"/>
      <c r="N788" s="31"/>
      <c r="R788" s="32"/>
      <c r="X788" s="35"/>
      <c r="Y788" s="102"/>
      <c r="Z788" s="104"/>
      <c r="AA788" s="105"/>
    </row>
    <row r="789" spans="12:27" ht="25" customHeight="1">
      <c r="L789" s="31"/>
      <c r="M789" s="31"/>
      <c r="N789" s="31"/>
      <c r="R789" s="32"/>
      <c r="X789" s="35"/>
      <c r="Y789" s="102"/>
      <c r="Z789" s="104"/>
      <c r="AA789" s="105"/>
    </row>
    <row r="790" spans="12:27" ht="25" customHeight="1">
      <c r="L790" s="31"/>
      <c r="M790" s="31"/>
      <c r="N790" s="31"/>
      <c r="R790" s="32"/>
      <c r="X790" s="35"/>
      <c r="Y790" s="102"/>
      <c r="Z790" s="104"/>
      <c r="AA790" s="105"/>
    </row>
    <row r="791" spans="12:27" ht="25" customHeight="1">
      <c r="L791" s="31"/>
      <c r="M791" s="31"/>
      <c r="N791" s="31"/>
      <c r="R791" s="32"/>
      <c r="X791" s="35"/>
      <c r="Y791" s="102"/>
      <c r="Z791" s="104"/>
      <c r="AA791" s="105"/>
    </row>
    <row r="792" spans="12:27" ht="25" customHeight="1">
      <c r="L792" s="31"/>
      <c r="M792" s="31"/>
      <c r="N792" s="31"/>
      <c r="R792" s="32"/>
      <c r="X792" s="35"/>
      <c r="Y792" s="102"/>
      <c r="Z792" s="104"/>
      <c r="AA792" s="105"/>
    </row>
    <row r="793" spans="12:27" ht="25" customHeight="1">
      <c r="L793" s="31"/>
      <c r="M793" s="31"/>
      <c r="N793" s="31"/>
      <c r="R793" s="32"/>
      <c r="X793" s="35"/>
      <c r="Y793" s="102"/>
      <c r="Z793" s="104"/>
      <c r="AA793" s="105"/>
    </row>
    <row r="794" spans="12:27" ht="25" customHeight="1">
      <c r="L794" s="31"/>
      <c r="M794" s="31"/>
      <c r="N794" s="31"/>
      <c r="R794" s="32"/>
      <c r="X794" s="35"/>
      <c r="Y794" s="102"/>
      <c r="Z794" s="104"/>
      <c r="AA794" s="105"/>
    </row>
    <row r="795" spans="12:27" ht="25" customHeight="1">
      <c r="L795" s="31"/>
      <c r="M795" s="31"/>
      <c r="N795" s="31"/>
      <c r="R795" s="32"/>
      <c r="X795" s="35"/>
      <c r="Y795" s="102"/>
      <c r="Z795" s="104"/>
      <c r="AA795" s="105"/>
    </row>
    <row r="796" spans="12:27" ht="25" customHeight="1">
      <c r="L796" s="31"/>
      <c r="M796" s="31"/>
      <c r="N796" s="31"/>
      <c r="R796" s="32"/>
      <c r="X796" s="35"/>
      <c r="Y796" s="102"/>
      <c r="Z796" s="104"/>
      <c r="AA796" s="105"/>
    </row>
    <row r="797" spans="12:27" ht="25" customHeight="1">
      <c r="L797" s="31"/>
      <c r="M797" s="31"/>
      <c r="N797" s="31"/>
      <c r="R797" s="32"/>
      <c r="X797" s="35"/>
      <c r="Y797" s="102"/>
      <c r="Z797" s="104"/>
      <c r="AA797" s="105"/>
    </row>
    <row r="798" spans="12:27" ht="25" customHeight="1">
      <c r="L798" s="31"/>
      <c r="M798" s="31"/>
      <c r="N798" s="31"/>
      <c r="R798" s="32"/>
      <c r="X798" s="35"/>
      <c r="Y798" s="102"/>
      <c r="Z798" s="104"/>
      <c r="AA798" s="105"/>
    </row>
    <row r="799" spans="12:27" ht="25" customHeight="1">
      <c r="L799" s="31"/>
      <c r="M799" s="31"/>
      <c r="N799" s="31"/>
      <c r="R799" s="32"/>
      <c r="X799" s="35"/>
      <c r="Y799" s="102"/>
      <c r="Z799" s="104"/>
      <c r="AA799" s="105"/>
    </row>
    <row r="800" spans="12:27" ht="25" customHeight="1">
      <c r="L800" s="31"/>
      <c r="M800" s="31"/>
      <c r="N800" s="31"/>
      <c r="R800" s="32"/>
      <c r="X800" s="35"/>
      <c r="Y800" s="102"/>
      <c r="Z800" s="104"/>
      <c r="AA800" s="105"/>
    </row>
    <row r="801" spans="12:27" ht="25" customHeight="1">
      <c r="L801" s="31"/>
      <c r="M801" s="31"/>
      <c r="N801" s="31"/>
      <c r="R801" s="32"/>
      <c r="X801" s="35"/>
      <c r="Y801" s="102"/>
      <c r="Z801" s="104"/>
      <c r="AA801" s="105"/>
    </row>
    <row r="802" spans="12:27" ht="25" customHeight="1">
      <c r="L802" s="31"/>
      <c r="M802" s="31"/>
      <c r="N802" s="31"/>
      <c r="R802" s="32"/>
      <c r="X802" s="35"/>
      <c r="Y802" s="102"/>
      <c r="Z802" s="104"/>
      <c r="AA802" s="105"/>
    </row>
    <row r="803" spans="12:27" ht="25" customHeight="1">
      <c r="L803" s="31"/>
      <c r="M803" s="31"/>
      <c r="N803" s="31"/>
      <c r="R803" s="32"/>
      <c r="X803" s="35"/>
      <c r="Y803" s="102"/>
      <c r="Z803" s="104"/>
      <c r="AA803" s="105"/>
    </row>
    <row r="804" spans="12:27" ht="25" customHeight="1">
      <c r="L804" s="31"/>
      <c r="M804" s="31"/>
      <c r="N804" s="31"/>
      <c r="R804" s="32"/>
      <c r="X804" s="35"/>
      <c r="Y804" s="102"/>
      <c r="Z804" s="104"/>
      <c r="AA804" s="105"/>
    </row>
    <row r="805" spans="12:27" ht="25" customHeight="1">
      <c r="L805" s="31"/>
      <c r="M805" s="31"/>
      <c r="N805" s="31"/>
      <c r="R805" s="32"/>
      <c r="X805" s="35"/>
      <c r="Y805" s="102"/>
      <c r="Z805" s="104"/>
      <c r="AA805" s="105"/>
    </row>
    <row r="806" spans="12:27" ht="25" customHeight="1">
      <c r="L806" s="31"/>
      <c r="M806" s="31"/>
      <c r="N806" s="31"/>
      <c r="R806" s="32"/>
      <c r="X806" s="35"/>
      <c r="Y806" s="102"/>
      <c r="Z806" s="104"/>
      <c r="AA806" s="105"/>
    </row>
    <row r="807" spans="12:27" ht="25" customHeight="1">
      <c r="L807" s="31"/>
      <c r="M807" s="31"/>
      <c r="N807" s="31"/>
      <c r="R807" s="32"/>
      <c r="X807" s="35"/>
      <c r="Y807" s="102"/>
      <c r="Z807" s="104"/>
      <c r="AA807" s="105"/>
    </row>
    <row r="808" spans="12:27" ht="25" customHeight="1">
      <c r="L808" s="31"/>
      <c r="M808" s="31"/>
      <c r="N808" s="31"/>
      <c r="R808" s="32"/>
      <c r="X808" s="35"/>
      <c r="Y808" s="102"/>
      <c r="Z808" s="104"/>
      <c r="AA808" s="105"/>
    </row>
    <row r="809" spans="12:27" ht="25" customHeight="1">
      <c r="L809" s="31"/>
      <c r="M809" s="31"/>
      <c r="N809" s="31"/>
      <c r="R809" s="32"/>
      <c r="X809" s="35"/>
      <c r="Y809" s="102"/>
      <c r="Z809" s="104"/>
      <c r="AA809" s="105"/>
    </row>
    <row r="810" spans="12:27" ht="25" customHeight="1">
      <c r="L810" s="31"/>
      <c r="M810" s="31"/>
      <c r="N810" s="31"/>
      <c r="R810" s="32"/>
      <c r="X810" s="35"/>
      <c r="Y810" s="102"/>
      <c r="Z810" s="104"/>
      <c r="AA810" s="105"/>
    </row>
    <row r="811" spans="12:27" ht="25" customHeight="1">
      <c r="L811" s="31"/>
      <c r="M811" s="31"/>
      <c r="N811" s="31"/>
      <c r="R811" s="32"/>
      <c r="X811" s="35"/>
      <c r="Y811" s="102"/>
      <c r="Z811" s="104"/>
      <c r="AA811" s="105"/>
    </row>
    <row r="812" spans="12:27" ht="25" customHeight="1">
      <c r="L812" s="31"/>
      <c r="M812" s="31"/>
      <c r="N812" s="31"/>
      <c r="R812" s="32"/>
      <c r="X812" s="35"/>
      <c r="Y812" s="102"/>
      <c r="Z812" s="104"/>
      <c r="AA812" s="105"/>
    </row>
    <row r="813" spans="12:27" ht="25" customHeight="1">
      <c r="L813" s="31"/>
      <c r="M813" s="31"/>
      <c r="N813" s="31"/>
      <c r="R813" s="32"/>
      <c r="X813" s="35"/>
      <c r="Y813" s="102"/>
      <c r="Z813" s="104"/>
      <c r="AA813" s="105"/>
    </row>
    <row r="814" spans="12:27" ht="25" customHeight="1">
      <c r="L814" s="31"/>
      <c r="M814" s="31"/>
      <c r="N814" s="31"/>
      <c r="R814" s="32"/>
      <c r="X814" s="35"/>
      <c r="Y814" s="102"/>
      <c r="Z814" s="104"/>
      <c r="AA814" s="105"/>
    </row>
    <row r="815" spans="12:27" ht="25" customHeight="1">
      <c r="L815" s="31"/>
      <c r="M815" s="31"/>
      <c r="N815" s="31"/>
      <c r="R815" s="32"/>
      <c r="X815" s="35"/>
      <c r="Y815" s="102"/>
      <c r="Z815" s="104"/>
      <c r="AA815" s="105"/>
    </row>
    <row r="816" spans="12:27" ht="25" customHeight="1">
      <c r="L816" s="31"/>
      <c r="M816" s="31"/>
      <c r="N816" s="31"/>
      <c r="R816" s="32"/>
      <c r="X816" s="35"/>
      <c r="Y816" s="102"/>
      <c r="Z816" s="104"/>
      <c r="AA816" s="105"/>
    </row>
    <row r="817" spans="12:27" ht="25" customHeight="1">
      <c r="L817" s="31"/>
      <c r="M817" s="31"/>
      <c r="N817" s="31"/>
      <c r="R817" s="32"/>
      <c r="X817" s="35"/>
      <c r="Y817" s="102"/>
      <c r="Z817" s="104"/>
      <c r="AA817" s="105"/>
    </row>
    <row r="818" spans="12:27" ht="25" customHeight="1">
      <c r="L818" s="31"/>
      <c r="M818" s="31"/>
      <c r="N818" s="31"/>
      <c r="R818" s="32"/>
      <c r="X818" s="35"/>
      <c r="Y818" s="102"/>
      <c r="Z818" s="104"/>
      <c r="AA818" s="105"/>
    </row>
    <row r="819" spans="12:27" ht="25" customHeight="1">
      <c r="L819" s="31"/>
      <c r="M819" s="31"/>
      <c r="N819" s="31"/>
      <c r="R819" s="32"/>
      <c r="X819" s="35"/>
      <c r="Y819" s="102"/>
      <c r="Z819" s="104"/>
      <c r="AA819" s="105"/>
    </row>
    <row r="820" spans="12:27" ht="25" customHeight="1">
      <c r="L820" s="31"/>
      <c r="M820" s="31"/>
      <c r="N820" s="31"/>
      <c r="R820" s="32"/>
      <c r="X820" s="35"/>
      <c r="Y820" s="102"/>
      <c r="Z820" s="104"/>
      <c r="AA820" s="105"/>
    </row>
    <row r="821" spans="12:27" ht="25" customHeight="1">
      <c r="L821" s="31"/>
      <c r="M821" s="31"/>
      <c r="N821" s="31"/>
      <c r="R821" s="32"/>
      <c r="X821" s="35"/>
      <c r="Y821" s="102"/>
      <c r="Z821" s="104"/>
      <c r="AA821" s="105"/>
    </row>
    <row r="822" spans="12:27" ht="25" customHeight="1">
      <c r="L822" s="31"/>
      <c r="M822" s="31"/>
      <c r="N822" s="31"/>
      <c r="R822" s="32"/>
      <c r="X822" s="35"/>
      <c r="Y822" s="102"/>
      <c r="Z822" s="104"/>
      <c r="AA822" s="105"/>
    </row>
    <row r="823" spans="12:27" ht="25" customHeight="1">
      <c r="L823" s="31"/>
      <c r="M823" s="31"/>
      <c r="N823" s="31"/>
      <c r="R823" s="32"/>
      <c r="X823" s="35"/>
      <c r="Y823" s="102"/>
      <c r="Z823" s="104"/>
      <c r="AA823" s="105"/>
    </row>
    <row r="824" spans="12:27" ht="25" customHeight="1">
      <c r="L824" s="31"/>
      <c r="M824" s="31"/>
      <c r="N824" s="31"/>
      <c r="R824" s="32"/>
      <c r="X824" s="35"/>
      <c r="Y824" s="102"/>
      <c r="Z824" s="104"/>
      <c r="AA824" s="105"/>
    </row>
    <row r="825" spans="12:27" ht="25" customHeight="1">
      <c r="L825" s="31"/>
      <c r="M825" s="31"/>
      <c r="N825" s="31"/>
      <c r="R825" s="32"/>
      <c r="X825" s="35"/>
      <c r="Y825" s="102"/>
      <c r="Z825" s="104"/>
      <c r="AA825" s="105"/>
    </row>
    <row r="826" spans="12:27" ht="25" customHeight="1">
      <c r="L826" s="31"/>
      <c r="M826" s="31"/>
      <c r="N826" s="31"/>
      <c r="R826" s="32"/>
      <c r="X826" s="35"/>
      <c r="Y826" s="102"/>
      <c r="Z826" s="104"/>
      <c r="AA826" s="105"/>
    </row>
    <row r="827" spans="12:27" ht="25" customHeight="1">
      <c r="L827" s="31"/>
      <c r="M827" s="31"/>
      <c r="N827" s="31"/>
      <c r="R827" s="32"/>
      <c r="X827" s="35"/>
      <c r="Y827" s="102"/>
      <c r="Z827" s="104"/>
      <c r="AA827" s="105"/>
    </row>
    <row r="828" spans="12:27" ht="25" customHeight="1">
      <c r="L828" s="31"/>
      <c r="M828" s="31"/>
      <c r="N828" s="31"/>
      <c r="R828" s="32"/>
      <c r="X828" s="35"/>
      <c r="Y828" s="102"/>
      <c r="Z828" s="104"/>
      <c r="AA828" s="105"/>
    </row>
    <row r="829" spans="12:27" ht="25" customHeight="1">
      <c r="L829" s="31"/>
      <c r="M829" s="31"/>
      <c r="N829" s="31"/>
      <c r="R829" s="32"/>
      <c r="X829" s="35"/>
      <c r="Y829" s="102"/>
      <c r="Z829" s="104"/>
      <c r="AA829" s="105"/>
    </row>
    <row r="830" spans="12:27" ht="25" customHeight="1">
      <c r="L830" s="31"/>
      <c r="M830" s="31"/>
      <c r="N830" s="31"/>
      <c r="R830" s="32"/>
      <c r="X830" s="35"/>
      <c r="Y830" s="102"/>
      <c r="Z830" s="104"/>
      <c r="AA830" s="105"/>
    </row>
    <row r="831" spans="12:27" ht="25" customHeight="1">
      <c r="L831" s="31"/>
      <c r="M831" s="31"/>
      <c r="N831" s="31"/>
      <c r="R831" s="32"/>
      <c r="X831" s="35"/>
      <c r="Y831" s="102"/>
      <c r="Z831" s="104"/>
      <c r="AA831" s="105"/>
    </row>
    <row r="832" spans="12:27" ht="25" customHeight="1">
      <c r="L832" s="31"/>
      <c r="M832" s="31"/>
      <c r="N832" s="31"/>
      <c r="R832" s="32"/>
      <c r="X832" s="35"/>
      <c r="Y832" s="102"/>
      <c r="Z832" s="104"/>
      <c r="AA832" s="105"/>
    </row>
    <row r="833" spans="12:27" ht="25" customHeight="1">
      <c r="L833" s="31"/>
      <c r="M833" s="31"/>
      <c r="N833" s="31"/>
      <c r="R833" s="32"/>
      <c r="X833" s="35"/>
      <c r="Y833" s="102"/>
      <c r="Z833" s="104"/>
      <c r="AA833" s="105"/>
    </row>
    <row r="834" spans="12:27" ht="25" customHeight="1">
      <c r="L834" s="31"/>
      <c r="M834" s="31"/>
      <c r="N834" s="31"/>
      <c r="R834" s="32"/>
      <c r="X834" s="35"/>
      <c r="Y834" s="102"/>
      <c r="Z834" s="104"/>
      <c r="AA834" s="105"/>
    </row>
    <row r="835" spans="12:27" ht="25" customHeight="1">
      <c r="L835" s="31"/>
      <c r="M835" s="31"/>
      <c r="N835" s="31"/>
      <c r="R835" s="32"/>
      <c r="X835" s="35"/>
      <c r="Y835" s="102"/>
      <c r="Z835" s="104"/>
      <c r="AA835" s="105"/>
    </row>
    <row r="836" spans="12:27" ht="25" customHeight="1">
      <c r="L836" s="31"/>
      <c r="M836" s="31"/>
      <c r="N836" s="31"/>
      <c r="R836" s="32"/>
      <c r="X836" s="35"/>
      <c r="Y836" s="102"/>
      <c r="Z836" s="104"/>
      <c r="AA836" s="105"/>
    </row>
    <row r="837" spans="12:27" ht="25" customHeight="1">
      <c r="L837" s="31"/>
      <c r="M837" s="31"/>
      <c r="N837" s="31"/>
      <c r="R837" s="32"/>
      <c r="X837" s="35"/>
      <c r="Y837" s="102"/>
      <c r="Z837" s="104"/>
      <c r="AA837" s="105"/>
    </row>
    <row r="838" spans="12:27" ht="25" customHeight="1">
      <c r="L838" s="31"/>
      <c r="M838" s="31"/>
      <c r="N838" s="31"/>
      <c r="R838" s="32"/>
      <c r="X838" s="35"/>
      <c r="Y838" s="102"/>
      <c r="Z838" s="104"/>
      <c r="AA838" s="105"/>
    </row>
    <row r="839" spans="12:27" ht="25" customHeight="1">
      <c r="L839" s="31"/>
      <c r="M839" s="31"/>
      <c r="N839" s="31"/>
      <c r="R839" s="32"/>
      <c r="X839" s="35"/>
      <c r="Y839" s="102"/>
      <c r="Z839" s="104"/>
      <c r="AA839" s="105"/>
    </row>
    <row r="840" spans="12:27" ht="25" customHeight="1">
      <c r="L840" s="31"/>
      <c r="M840" s="31"/>
      <c r="N840" s="31"/>
      <c r="R840" s="32"/>
      <c r="X840" s="35"/>
      <c r="Y840" s="102"/>
      <c r="Z840" s="104"/>
      <c r="AA840" s="105"/>
    </row>
    <row r="841" spans="12:27" ht="25" customHeight="1">
      <c r="L841" s="31"/>
      <c r="M841" s="31"/>
      <c r="N841" s="31"/>
      <c r="R841" s="32"/>
      <c r="X841" s="35"/>
      <c r="Y841" s="102"/>
      <c r="Z841" s="104"/>
      <c r="AA841" s="105"/>
    </row>
    <row r="842" spans="12:27" ht="25" customHeight="1">
      <c r="L842" s="31"/>
      <c r="M842" s="31"/>
      <c r="N842" s="31"/>
      <c r="R842" s="32"/>
      <c r="X842" s="35"/>
      <c r="Y842" s="102"/>
      <c r="Z842" s="104"/>
      <c r="AA842" s="105"/>
    </row>
    <row r="843" spans="12:27" ht="25" customHeight="1">
      <c r="L843" s="31"/>
      <c r="M843" s="31"/>
      <c r="N843" s="31"/>
      <c r="R843" s="32"/>
      <c r="X843" s="35"/>
      <c r="Y843" s="102"/>
      <c r="Z843" s="104"/>
      <c r="AA843" s="105"/>
    </row>
    <row r="844" spans="12:27" ht="25" customHeight="1">
      <c r="L844" s="31"/>
      <c r="M844" s="31"/>
      <c r="N844" s="31"/>
      <c r="R844" s="32"/>
      <c r="X844" s="35"/>
      <c r="Y844" s="102"/>
      <c r="Z844" s="104"/>
      <c r="AA844" s="105"/>
    </row>
    <row r="845" spans="12:27" ht="25" customHeight="1">
      <c r="L845" s="31"/>
      <c r="M845" s="31"/>
      <c r="N845" s="31"/>
      <c r="R845" s="32"/>
      <c r="X845" s="35"/>
      <c r="Y845" s="102"/>
      <c r="Z845" s="104"/>
      <c r="AA845" s="105"/>
    </row>
    <row r="846" spans="12:27" ht="25" customHeight="1">
      <c r="L846" s="31"/>
      <c r="M846" s="31"/>
      <c r="N846" s="31"/>
      <c r="R846" s="32"/>
      <c r="X846" s="35"/>
      <c r="Y846" s="102"/>
      <c r="Z846" s="104"/>
      <c r="AA846" s="105"/>
    </row>
    <row r="847" spans="12:27" ht="25" customHeight="1">
      <c r="L847" s="31"/>
      <c r="M847" s="31"/>
      <c r="N847" s="31"/>
      <c r="R847" s="32"/>
      <c r="X847" s="35"/>
      <c r="Y847" s="102"/>
      <c r="Z847" s="104"/>
      <c r="AA847" s="105"/>
    </row>
    <row r="848" spans="12:27" ht="25" customHeight="1">
      <c r="L848" s="31"/>
      <c r="M848" s="31"/>
      <c r="N848" s="31"/>
      <c r="R848" s="32"/>
      <c r="X848" s="35"/>
      <c r="Y848" s="102"/>
      <c r="Z848" s="104"/>
      <c r="AA848" s="105"/>
    </row>
    <row r="849" spans="12:27" ht="25" customHeight="1">
      <c r="L849" s="31"/>
      <c r="M849" s="31"/>
      <c r="N849" s="31"/>
      <c r="R849" s="32"/>
      <c r="X849" s="35"/>
      <c r="Y849" s="102"/>
      <c r="Z849" s="104"/>
      <c r="AA849" s="105"/>
    </row>
    <row r="850" spans="12:27" ht="25" customHeight="1">
      <c r="L850" s="31"/>
      <c r="M850" s="31"/>
      <c r="N850" s="31"/>
      <c r="R850" s="32"/>
      <c r="X850" s="35"/>
      <c r="Y850" s="102"/>
      <c r="Z850" s="104"/>
      <c r="AA850" s="105"/>
    </row>
    <row r="851" spans="12:27" ht="25" customHeight="1">
      <c r="L851" s="31"/>
      <c r="M851" s="31"/>
      <c r="N851" s="31"/>
      <c r="R851" s="32"/>
      <c r="X851" s="35"/>
      <c r="Y851" s="102"/>
      <c r="Z851" s="104"/>
      <c r="AA851" s="105"/>
    </row>
    <row r="852" spans="12:27" ht="25" customHeight="1">
      <c r="L852" s="31"/>
      <c r="M852" s="31"/>
      <c r="N852" s="31"/>
      <c r="R852" s="32"/>
      <c r="X852" s="35"/>
      <c r="Y852" s="102"/>
      <c r="Z852" s="104"/>
      <c r="AA852" s="105"/>
    </row>
    <row r="853" spans="12:27" ht="25" customHeight="1">
      <c r="L853" s="31"/>
      <c r="M853" s="31"/>
      <c r="N853" s="31"/>
      <c r="R853" s="32"/>
      <c r="X853" s="35"/>
      <c r="Y853" s="102"/>
      <c r="Z853" s="104"/>
      <c r="AA853" s="105"/>
    </row>
    <row r="854" spans="12:27" ht="25" customHeight="1">
      <c r="L854" s="31"/>
      <c r="M854" s="31"/>
      <c r="N854" s="31"/>
      <c r="R854" s="32"/>
      <c r="X854" s="35"/>
      <c r="Y854" s="102"/>
      <c r="Z854" s="104"/>
      <c r="AA854" s="105"/>
    </row>
    <row r="855" spans="12:27" ht="25" customHeight="1">
      <c r="L855" s="31"/>
      <c r="M855" s="31"/>
      <c r="N855" s="31"/>
      <c r="R855" s="32"/>
      <c r="X855" s="35"/>
      <c r="Y855" s="102"/>
      <c r="Z855" s="104"/>
      <c r="AA855" s="105"/>
    </row>
    <row r="856" spans="12:27" ht="25" customHeight="1">
      <c r="L856" s="31"/>
      <c r="M856" s="31"/>
      <c r="N856" s="31"/>
      <c r="R856" s="32"/>
      <c r="X856" s="35"/>
      <c r="Y856" s="102"/>
      <c r="Z856" s="104"/>
      <c r="AA856" s="105"/>
    </row>
    <row r="857" spans="12:27" ht="25" customHeight="1">
      <c r="L857" s="31"/>
      <c r="M857" s="31"/>
      <c r="N857" s="31"/>
      <c r="R857" s="32"/>
      <c r="X857" s="35"/>
      <c r="Y857" s="102"/>
      <c r="Z857" s="104"/>
      <c r="AA857" s="105"/>
    </row>
    <row r="858" spans="12:27" ht="25" customHeight="1">
      <c r="L858" s="31"/>
      <c r="M858" s="31"/>
      <c r="N858" s="31"/>
      <c r="R858" s="32"/>
      <c r="X858" s="35"/>
      <c r="Y858" s="102"/>
      <c r="Z858" s="104"/>
      <c r="AA858" s="105"/>
    </row>
    <row r="859" spans="12:27" ht="25" customHeight="1">
      <c r="L859" s="31"/>
      <c r="M859" s="31"/>
      <c r="N859" s="31"/>
      <c r="R859" s="32"/>
      <c r="X859" s="35"/>
      <c r="Y859" s="102"/>
      <c r="Z859" s="104"/>
      <c r="AA859" s="105"/>
    </row>
    <row r="860" spans="12:27" ht="25" customHeight="1">
      <c r="L860" s="31"/>
      <c r="M860" s="31"/>
      <c r="N860" s="31"/>
      <c r="R860" s="32"/>
      <c r="X860" s="35"/>
      <c r="Y860" s="102"/>
      <c r="Z860" s="104"/>
      <c r="AA860" s="105"/>
    </row>
    <row r="861" spans="12:27" ht="25" customHeight="1">
      <c r="L861" s="31"/>
      <c r="M861" s="31"/>
      <c r="N861" s="31"/>
      <c r="R861" s="32"/>
      <c r="X861" s="35"/>
      <c r="Y861" s="102"/>
      <c r="Z861" s="104"/>
      <c r="AA861" s="105"/>
    </row>
    <row r="862" spans="12:27" ht="25" customHeight="1">
      <c r="L862" s="31"/>
      <c r="M862" s="31"/>
      <c r="N862" s="31"/>
      <c r="R862" s="32"/>
      <c r="X862" s="35"/>
      <c r="Y862" s="102"/>
      <c r="Z862" s="104"/>
      <c r="AA862" s="105"/>
    </row>
    <row r="863" spans="12:27" ht="25" customHeight="1">
      <c r="L863" s="31"/>
      <c r="M863" s="31"/>
      <c r="N863" s="31"/>
      <c r="R863" s="32"/>
      <c r="X863" s="35"/>
      <c r="Y863" s="102"/>
      <c r="Z863" s="104"/>
      <c r="AA863" s="105"/>
    </row>
    <row r="864" spans="12:27" ht="25" customHeight="1">
      <c r="L864" s="31"/>
      <c r="M864" s="31"/>
      <c r="N864" s="31"/>
      <c r="R864" s="32"/>
      <c r="X864" s="35"/>
      <c r="Y864" s="102"/>
      <c r="Z864" s="104"/>
      <c r="AA864" s="105"/>
    </row>
    <row r="865" spans="12:27" ht="25" customHeight="1">
      <c r="L865" s="31"/>
      <c r="M865" s="31"/>
      <c r="N865" s="31"/>
      <c r="R865" s="32"/>
      <c r="X865" s="35"/>
      <c r="Y865" s="102"/>
      <c r="Z865" s="104"/>
      <c r="AA865" s="105"/>
    </row>
    <row r="866" spans="12:27" ht="25" customHeight="1">
      <c r="L866" s="31"/>
      <c r="M866" s="31"/>
      <c r="N866" s="31"/>
      <c r="R866" s="32"/>
      <c r="X866" s="35"/>
      <c r="Y866" s="102"/>
      <c r="Z866" s="104"/>
      <c r="AA866" s="105"/>
    </row>
    <row r="867" spans="12:27" ht="25" customHeight="1">
      <c r="L867" s="31"/>
      <c r="M867" s="31"/>
      <c r="N867" s="31"/>
      <c r="R867" s="32"/>
      <c r="X867" s="35"/>
      <c r="Y867" s="102"/>
      <c r="Z867" s="104"/>
      <c r="AA867" s="105"/>
    </row>
    <row r="868" spans="12:27" ht="25" customHeight="1">
      <c r="L868" s="31"/>
      <c r="M868" s="31"/>
      <c r="N868" s="31"/>
      <c r="R868" s="32"/>
      <c r="X868" s="35"/>
      <c r="Y868" s="102"/>
      <c r="Z868" s="104"/>
      <c r="AA868" s="105"/>
    </row>
    <row r="869" spans="12:27" ht="25" customHeight="1">
      <c r="L869" s="31"/>
      <c r="M869" s="31"/>
      <c r="N869" s="31"/>
      <c r="R869" s="32"/>
      <c r="X869" s="35"/>
      <c r="Y869" s="102"/>
      <c r="Z869" s="104"/>
      <c r="AA869" s="105"/>
    </row>
    <row r="870" spans="12:27" ht="25" customHeight="1">
      <c r="L870" s="31"/>
      <c r="M870" s="31"/>
      <c r="N870" s="31"/>
      <c r="R870" s="32"/>
      <c r="X870" s="35"/>
      <c r="Y870" s="102"/>
      <c r="Z870" s="104"/>
      <c r="AA870" s="105"/>
    </row>
    <row r="871" spans="12:27" ht="25" customHeight="1">
      <c r="L871" s="31"/>
      <c r="M871" s="31"/>
      <c r="N871" s="31"/>
      <c r="R871" s="32"/>
      <c r="X871" s="35"/>
      <c r="Y871" s="102"/>
      <c r="Z871" s="104"/>
      <c r="AA871" s="105"/>
    </row>
    <row r="872" spans="12:27" ht="25" customHeight="1">
      <c r="L872" s="31"/>
      <c r="M872" s="31"/>
      <c r="N872" s="31"/>
      <c r="R872" s="32"/>
      <c r="X872" s="35"/>
      <c r="Y872" s="102"/>
      <c r="Z872" s="104"/>
      <c r="AA872" s="105"/>
    </row>
    <row r="873" spans="12:27" ht="25" customHeight="1">
      <c r="L873" s="31"/>
      <c r="M873" s="31"/>
      <c r="N873" s="31"/>
      <c r="R873" s="32"/>
      <c r="X873" s="35"/>
      <c r="Y873" s="102"/>
      <c r="Z873" s="104"/>
      <c r="AA873" s="105"/>
    </row>
    <row r="874" spans="12:27" ht="25" customHeight="1">
      <c r="L874" s="31"/>
      <c r="M874" s="31"/>
      <c r="N874" s="31"/>
      <c r="R874" s="32"/>
      <c r="X874" s="35"/>
      <c r="Y874" s="102"/>
      <c r="Z874" s="104"/>
      <c r="AA874" s="105"/>
    </row>
    <row r="875" spans="12:27" ht="25" customHeight="1">
      <c r="L875" s="31"/>
      <c r="M875" s="31"/>
      <c r="N875" s="31"/>
      <c r="R875" s="32"/>
      <c r="X875" s="35"/>
      <c r="Y875" s="102"/>
      <c r="Z875" s="104"/>
      <c r="AA875" s="105"/>
    </row>
    <row r="876" spans="12:27" ht="25" customHeight="1">
      <c r="L876" s="31"/>
      <c r="M876" s="31"/>
      <c r="N876" s="31"/>
      <c r="R876" s="32"/>
      <c r="X876" s="35"/>
      <c r="Y876" s="102"/>
      <c r="Z876" s="104"/>
      <c r="AA876" s="105"/>
    </row>
    <row r="877" spans="12:27" ht="25" customHeight="1">
      <c r="L877" s="31"/>
      <c r="M877" s="31"/>
      <c r="N877" s="31"/>
      <c r="R877" s="32"/>
      <c r="X877" s="35"/>
      <c r="Y877" s="102"/>
      <c r="Z877" s="104"/>
      <c r="AA877" s="105"/>
    </row>
    <row r="878" spans="12:27" ht="25" customHeight="1">
      <c r="L878" s="31"/>
      <c r="M878" s="31"/>
      <c r="N878" s="31"/>
      <c r="R878" s="32"/>
      <c r="X878" s="35"/>
      <c r="Y878" s="102"/>
      <c r="Z878" s="104"/>
      <c r="AA878" s="105"/>
    </row>
    <row r="879" spans="12:27" ht="25" customHeight="1">
      <c r="L879" s="31"/>
      <c r="M879" s="31"/>
      <c r="N879" s="31"/>
      <c r="R879" s="32"/>
      <c r="X879" s="35"/>
      <c r="Y879" s="102"/>
      <c r="Z879" s="104"/>
      <c r="AA879" s="105"/>
    </row>
    <row r="880" spans="12:27" ht="25" customHeight="1">
      <c r="L880" s="31"/>
      <c r="M880" s="31"/>
      <c r="N880" s="31"/>
      <c r="R880" s="32"/>
      <c r="X880" s="35"/>
      <c r="Y880" s="102"/>
      <c r="Z880" s="104"/>
      <c r="AA880" s="105"/>
    </row>
    <row r="881" spans="12:27" ht="25" customHeight="1">
      <c r="L881" s="31"/>
      <c r="M881" s="31"/>
      <c r="N881" s="31"/>
      <c r="R881" s="32"/>
      <c r="X881" s="35"/>
      <c r="Y881" s="102"/>
      <c r="Z881" s="104"/>
      <c r="AA881" s="105"/>
    </row>
    <row r="882" spans="12:27" ht="25" customHeight="1">
      <c r="L882" s="31"/>
      <c r="M882" s="31"/>
      <c r="N882" s="31"/>
      <c r="R882" s="32"/>
      <c r="X882" s="35"/>
      <c r="Y882" s="102"/>
      <c r="Z882" s="104"/>
      <c r="AA882" s="105"/>
    </row>
    <row r="883" spans="12:27" ht="25" customHeight="1">
      <c r="L883" s="31"/>
      <c r="M883" s="31"/>
      <c r="N883" s="31"/>
      <c r="R883" s="32"/>
      <c r="X883" s="35"/>
      <c r="Y883" s="102"/>
      <c r="Z883" s="104"/>
      <c r="AA883" s="105"/>
    </row>
    <row r="884" spans="12:27" ht="25" customHeight="1">
      <c r="L884" s="31"/>
      <c r="M884" s="31"/>
      <c r="N884" s="31"/>
      <c r="R884" s="32"/>
      <c r="X884" s="35"/>
      <c r="Y884" s="102"/>
      <c r="Z884" s="104"/>
      <c r="AA884" s="105"/>
    </row>
    <row r="885" spans="12:27" ht="25" customHeight="1">
      <c r="L885" s="31"/>
      <c r="M885" s="31"/>
      <c r="N885" s="31"/>
      <c r="R885" s="32"/>
      <c r="X885" s="35"/>
      <c r="Y885" s="102"/>
      <c r="Z885" s="104"/>
      <c r="AA885" s="105"/>
    </row>
    <row r="886" spans="12:27" ht="25" customHeight="1">
      <c r="L886" s="31"/>
      <c r="M886" s="31"/>
      <c r="N886" s="31"/>
      <c r="R886" s="32"/>
      <c r="X886" s="35"/>
      <c r="Y886" s="102"/>
      <c r="Z886" s="104"/>
      <c r="AA886" s="105"/>
    </row>
    <row r="887" spans="12:27" ht="25" customHeight="1">
      <c r="L887" s="31"/>
      <c r="M887" s="31"/>
      <c r="N887" s="31"/>
      <c r="R887" s="32"/>
      <c r="X887" s="35"/>
      <c r="Y887" s="102"/>
      <c r="Z887" s="104"/>
      <c r="AA887" s="105"/>
    </row>
    <row r="888" spans="12:27" ht="25" customHeight="1">
      <c r="L888" s="31"/>
      <c r="M888" s="31"/>
      <c r="N888" s="31"/>
      <c r="R888" s="32"/>
      <c r="X888" s="35"/>
      <c r="Y888" s="102"/>
      <c r="Z888" s="104"/>
      <c r="AA888" s="105"/>
    </row>
    <row r="889" spans="12:27" ht="25" customHeight="1">
      <c r="L889" s="31"/>
      <c r="M889" s="31"/>
      <c r="N889" s="31"/>
      <c r="R889" s="32"/>
      <c r="X889" s="35"/>
      <c r="Y889" s="102"/>
      <c r="Z889" s="104"/>
      <c r="AA889" s="105"/>
    </row>
    <row r="890" spans="12:27" ht="25" customHeight="1">
      <c r="L890" s="31"/>
      <c r="M890" s="31"/>
      <c r="N890" s="31"/>
      <c r="R890" s="32"/>
      <c r="X890" s="35"/>
      <c r="Y890" s="102"/>
      <c r="Z890" s="104"/>
      <c r="AA890" s="105"/>
    </row>
    <row r="891" spans="12:27" ht="25" customHeight="1">
      <c r="L891" s="31"/>
      <c r="M891" s="31"/>
      <c r="N891" s="31"/>
      <c r="R891" s="32"/>
      <c r="X891" s="35"/>
      <c r="Y891" s="102"/>
      <c r="Z891" s="104"/>
      <c r="AA891" s="105"/>
    </row>
    <row r="892" spans="12:27" ht="25" customHeight="1">
      <c r="L892" s="31"/>
      <c r="M892" s="31"/>
      <c r="N892" s="31"/>
      <c r="R892" s="32"/>
      <c r="X892" s="35"/>
      <c r="Y892" s="102"/>
      <c r="Z892" s="104"/>
      <c r="AA892" s="105"/>
    </row>
    <row r="893" spans="12:27" ht="25" customHeight="1">
      <c r="L893" s="31"/>
      <c r="M893" s="31"/>
      <c r="N893" s="31"/>
      <c r="R893" s="32"/>
      <c r="X893" s="35"/>
      <c r="Y893" s="102"/>
      <c r="Z893" s="104"/>
      <c r="AA893" s="105"/>
    </row>
    <row r="894" spans="12:27" ht="25" customHeight="1">
      <c r="L894" s="31"/>
      <c r="M894" s="31"/>
      <c r="N894" s="31"/>
      <c r="R894" s="32"/>
      <c r="X894" s="35"/>
      <c r="Y894" s="102"/>
      <c r="Z894" s="104"/>
      <c r="AA894" s="105"/>
    </row>
    <row r="895" spans="12:27" ht="25" customHeight="1">
      <c r="L895" s="31"/>
      <c r="M895" s="31"/>
      <c r="N895" s="31"/>
      <c r="R895" s="32"/>
      <c r="X895" s="35"/>
      <c r="Y895" s="102"/>
      <c r="Z895" s="104"/>
      <c r="AA895" s="105"/>
    </row>
    <row r="896" spans="12:27" ht="25" customHeight="1">
      <c r="L896" s="31"/>
      <c r="M896" s="31"/>
      <c r="N896" s="31"/>
      <c r="R896" s="32"/>
      <c r="X896" s="35"/>
      <c r="Y896" s="102"/>
      <c r="Z896" s="104"/>
      <c r="AA896" s="105"/>
    </row>
    <row r="897" spans="12:27" ht="25" customHeight="1">
      <c r="L897" s="31"/>
      <c r="M897" s="31"/>
      <c r="N897" s="31"/>
      <c r="R897" s="32"/>
      <c r="X897" s="35"/>
      <c r="Y897" s="102"/>
      <c r="Z897" s="104"/>
      <c r="AA897" s="105"/>
    </row>
    <row r="898" spans="12:27" ht="25" customHeight="1">
      <c r="L898" s="31"/>
      <c r="M898" s="31"/>
      <c r="N898" s="31"/>
      <c r="R898" s="32"/>
      <c r="X898" s="35"/>
      <c r="Y898" s="102"/>
      <c r="Z898" s="104"/>
      <c r="AA898" s="105"/>
    </row>
    <row r="899" spans="12:27" ht="25" customHeight="1">
      <c r="L899" s="31"/>
      <c r="M899" s="31"/>
      <c r="N899" s="31"/>
      <c r="R899" s="32"/>
      <c r="X899" s="35"/>
      <c r="Y899" s="102"/>
      <c r="Z899" s="104"/>
      <c r="AA899" s="105"/>
    </row>
    <row r="900" spans="12:27" ht="25" customHeight="1">
      <c r="L900" s="31"/>
      <c r="M900" s="31"/>
      <c r="N900" s="31"/>
      <c r="R900" s="32"/>
      <c r="X900" s="35"/>
      <c r="Y900" s="102"/>
      <c r="Z900" s="104"/>
      <c r="AA900" s="105"/>
    </row>
    <row r="901" spans="12:27" ht="25" customHeight="1">
      <c r="L901" s="31"/>
      <c r="M901" s="31"/>
      <c r="N901" s="31"/>
      <c r="R901" s="32"/>
      <c r="X901" s="35"/>
      <c r="Y901" s="102"/>
      <c r="Z901" s="104"/>
      <c r="AA901" s="105"/>
    </row>
    <row r="902" spans="12:27" ht="25" customHeight="1">
      <c r="L902" s="31"/>
      <c r="M902" s="31"/>
      <c r="N902" s="31"/>
      <c r="R902" s="32"/>
      <c r="X902" s="35"/>
      <c r="Y902" s="102"/>
      <c r="Z902" s="104"/>
      <c r="AA902" s="105"/>
    </row>
    <row r="903" spans="12:27" ht="25" customHeight="1">
      <c r="L903" s="31"/>
      <c r="M903" s="31"/>
      <c r="N903" s="31"/>
      <c r="R903" s="32"/>
      <c r="X903" s="35"/>
      <c r="Y903" s="102"/>
      <c r="Z903" s="104"/>
      <c r="AA903" s="105"/>
    </row>
    <row r="904" spans="12:27" ht="25" customHeight="1">
      <c r="L904" s="31"/>
      <c r="M904" s="31"/>
      <c r="N904" s="31"/>
      <c r="R904" s="32"/>
      <c r="X904" s="35"/>
      <c r="Y904" s="102"/>
      <c r="Z904" s="104"/>
      <c r="AA904" s="105"/>
    </row>
    <row r="905" spans="12:27" ht="25" customHeight="1">
      <c r="L905" s="31"/>
      <c r="M905" s="31"/>
      <c r="N905" s="31"/>
      <c r="R905" s="32"/>
      <c r="X905" s="35"/>
      <c r="Y905" s="102"/>
      <c r="Z905" s="104"/>
      <c r="AA905" s="105"/>
    </row>
    <row r="906" spans="12:27" ht="25" customHeight="1">
      <c r="L906" s="31"/>
      <c r="M906" s="31"/>
      <c r="N906" s="31"/>
      <c r="R906" s="32"/>
      <c r="X906" s="35"/>
      <c r="Y906" s="102"/>
      <c r="Z906" s="104"/>
      <c r="AA906" s="105"/>
    </row>
    <row r="907" spans="12:27" ht="25" customHeight="1">
      <c r="L907" s="31"/>
      <c r="M907" s="31"/>
      <c r="N907" s="31"/>
      <c r="R907" s="32"/>
      <c r="X907" s="35"/>
      <c r="Y907" s="102"/>
      <c r="Z907" s="104"/>
      <c r="AA907" s="105"/>
    </row>
    <row r="908" spans="12:27" ht="25" customHeight="1">
      <c r="L908" s="31"/>
      <c r="M908" s="31"/>
      <c r="N908" s="31"/>
      <c r="R908" s="32"/>
      <c r="X908" s="35"/>
      <c r="Y908" s="102"/>
      <c r="Z908" s="104"/>
      <c r="AA908" s="105"/>
    </row>
    <row r="909" spans="12:27" ht="25" customHeight="1">
      <c r="L909" s="31"/>
      <c r="M909" s="31"/>
      <c r="N909" s="31"/>
      <c r="R909" s="32"/>
      <c r="X909" s="35"/>
      <c r="Y909" s="102"/>
      <c r="Z909" s="104"/>
      <c r="AA909" s="105"/>
    </row>
    <row r="910" spans="12:27" ht="25" customHeight="1">
      <c r="L910" s="31"/>
      <c r="M910" s="31"/>
      <c r="N910" s="31"/>
      <c r="R910" s="32"/>
      <c r="X910" s="35"/>
      <c r="Y910" s="102"/>
      <c r="Z910" s="104"/>
      <c r="AA910" s="105"/>
    </row>
    <row r="911" spans="12:27" ht="25" customHeight="1">
      <c r="L911" s="31"/>
      <c r="M911" s="31"/>
      <c r="N911" s="31"/>
      <c r="R911" s="32"/>
      <c r="X911" s="35"/>
      <c r="Y911" s="102"/>
      <c r="Z911" s="104"/>
      <c r="AA911" s="105"/>
    </row>
    <row r="912" spans="12:27" ht="25" customHeight="1">
      <c r="L912" s="31"/>
      <c r="M912" s="31"/>
      <c r="N912" s="31"/>
      <c r="R912" s="32"/>
      <c r="X912" s="35"/>
      <c r="Y912" s="102"/>
      <c r="Z912" s="104"/>
      <c r="AA912" s="105"/>
    </row>
    <row r="913" spans="12:27" ht="25" customHeight="1">
      <c r="L913" s="31"/>
      <c r="M913" s="31"/>
      <c r="N913" s="31"/>
      <c r="R913" s="32"/>
      <c r="X913" s="35"/>
      <c r="Y913" s="102"/>
      <c r="Z913" s="104"/>
      <c r="AA913" s="105"/>
    </row>
    <row r="914" spans="12:27" ht="25" customHeight="1">
      <c r="L914" s="31"/>
      <c r="M914" s="31"/>
      <c r="N914" s="31"/>
      <c r="R914" s="32"/>
      <c r="X914" s="35"/>
      <c r="Y914" s="102"/>
      <c r="Z914" s="104"/>
      <c r="AA914" s="105"/>
    </row>
    <row r="915" spans="12:27" ht="25" customHeight="1">
      <c r="L915" s="31"/>
      <c r="M915" s="31"/>
      <c r="N915" s="31"/>
      <c r="R915" s="32"/>
      <c r="X915" s="35"/>
      <c r="Y915" s="102"/>
      <c r="Z915" s="104"/>
      <c r="AA915" s="105"/>
    </row>
    <row r="916" spans="12:27" ht="25" customHeight="1">
      <c r="L916" s="31"/>
      <c r="M916" s="31"/>
      <c r="N916" s="31"/>
      <c r="R916" s="32"/>
      <c r="X916" s="35"/>
      <c r="Y916" s="102"/>
      <c r="Z916" s="104"/>
      <c r="AA916" s="105"/>
    </row>
    <row r="917" spans="12:27" ht="25" customHeight="1">
      <c r="L917" s="31"/>
      <c r="M917" s="31"/>
      <c r="N917" s="31"/>
      <c r="R917" s="32"/>
      <c r="X917" s="35"/>
      <c r="Y917" s="102"/>
      <c r="Z917" s="104"/>
      <c r="AA917" s="105"/>
    </row>
    <row r="918" spans="12:27" ht="25" customHeight="1">
      <c r="L918" s="31"/>
      <c r="M918" s="31"/>
      <c r="N918" s="31"/>
      <c r="R918" s="32"/>
      <c r="X918" s="35"/>
      <c r="Y918" s="102"/>
      <c r="Z918" s="104"/>
      <c r="AA918" s="105"/>
    </row>
    <row r="919" spans="12:27" ht="25" customHeight="1">
      <c r="L919" s="31"/>
      <c r="M919" s="31"/>
      <c r="N919" s="31"/>
      <c r="R919" s="32"/>
      <c r="X919" s="35"/>
      <c r="Y919" s="102"/>
      <c r="Z919" s="104"/>
      <c r="AA919" s="105"/>
    </row>
    <row r="920" spans="12:27" ht="25" customHeight="1">
      <c r="L920" s="31"/>
      <c r="M920" s="31"/>
      <c r="N920" s="31"/>
      <c r="R920" s="32"/>
      <c r="X920" s="35"/>
      <c r="Y920" s="102"/>
      <c r="Z920" s="104"/>
      <c r="AA920" s="105"/>
    </row>
    <row r="921" spans="12:27" ht="25" customHeight="1">
      <c r="L921" s="31"/>
      <c r="M921" s="31"/>
      <c r="N921" s="31"/>
      <c r="R921" s="32"/>
      <c r="X921" s="35"/>
      <c r="Y921" s="102"/>
      <c r="Z921" s="104"/>
      <c r="AA921" s="105"/>
    </row>
    <row r="922" spans="12:27" ht="25" customHeight="1">
      <c r="L922" s="31"/>
      <c r="M922" s="31"/>
      <c r="N922" s="31"/>
      <c r="R922" s="32"/>
      <c r="X922" s="35"/>
      <c r="Y922" s="102"/>
      <c r="Z922" s="104"/>
      <c r="AA922" s="105"/>
    </row>
    <row r="923" spans="12:27" ht="25" customHeight="1">
      <c r="L923" s="31"/>
      <c r="M923" s="31"/>
      <c r="N923" s="31"/>
      <c r="R923" s="32"/>
      <c r="X923" s="35"/>
      <c r="Y923" s="102"/>
      <c r="Z923" s="104"/>
      <c r="AA923" s="105"/>
    </row>
    <row r="924" spans="12:27" ht="25" customHeight="1">
      <c r="L924" s="31"/>
      <c r="M924" s="31"/>
      <c r="N924" s="31"/>
      <c r="R924" s="32"/>
      <c r="X924" s="35"/>
      <c r="Y924" s="102"/>
      <c r="Z924" s="104"/>
      <c r="AA924" s="105"/>
    </row>
    <row r="925" spans="12:27" ht="25" customHeight="1">
      <c r="L925" s="31"/>
      <c r="M925" s="31"/>
      <c r="N925" s="31"/>
      <c r="R925" s="32"/>
      <c r="X925" s="35"/>
      <c r="Y925" s="102"/>
      <c r="Z925" s="104"/>
      <c r="AA925" s="105"/>
    </row>
    <row r="926" spans="12:27" ht="25" customHeight="1">
      <c r="L926" s="31"/>
      <c r="M926" s="31"/>
      <c r="N926" s="31"/>
      <c r="R926" s="32"/>
      <c r="X926" s="35"/>
      <c r="Y926" s="102"/>
      <c r="Z926" s="104"/>
      <c r="AA926" s="105"/>
    </row>
    <row r="927" spans="12:27" ht="25" customHeight="1">
      <c r="L927" s="31"/>
      <c r="M927" s="31"/>
      <c r="N927" s="31"/>
      <c r="R927" s="32"/>
      <c r="X927" s="35"/>
      <c r="Y927" s="102"/>
      <c r="Z927" s="104"/>
      <c r="AA927" s="105"/>
    </row>
    <row r="928" spans="12:27" ht="25" customHeight="1">
      <c r="L928" s="31"/>
      <c r="M928" s="31"/>
      <c r="N928" s="31"/>
      <c r="R928" s="32"/>
      <c r="X928" s="35"/>
      <c r="Y928" s="102"/>
      <c r="Z928" s="104"/>
      <c r="AA928" s="105"/>
    </row>
    <row r="929" spans="12:27" ht="25" customHeight="1">
      <c r="L929" s="31"/>
      <c r="M929" s="31"/>
      <c r="N929" s="31"/>
      <c r="R929" s="32"/>
      <c r="X929" s="35"/>
      <c r="Y929" s="102"/>
      <c r="Z929" s="104"/>
      <c r="AA929" s="105"/>
    </row>
    <row r="930" spans="12:27" ht="25" customHeight="1">
      <c r="L930" s="31"/>
      <c r="M930" s="31"/>
      <c r="N930" s="31"/>
      <c r="R930" s="32"/>
      <c r="X930" s="35"/>
      <c r="Y930" s="102"/>
      <c r="Z930" s="104"/>
      <c r="AA930" s="105"/>
    </row>
    <row r="931" spans="12:27" ht="25" customHeight="1">
      <c r="L931" s="31"/>
      <c r="M931" s="31"/>
      <c r="N931" s="31"/>
      <c r="R931" s="32"/>
      <c r="X931" s="35"/>
      <c r="Y931" s="102"/>
      <c r="Z931" s="104"/>
      <c r="AA931" s="105"/>
    </row>
    <row r="932" spans="12:27" ht="25" customHeight="1">
      <c r="L932" s="31"/>
      <c r="M932" s="31"/>
      <c r="N932" s="31"/>
      <c r="R932" s="32"/>
      <c r="X932" s="35"/>
      <c r="Y932" s="102"/>
      <c r="Z932" s="104"/>
      <c r="AA932" s="105"/>
    </row>
    <row r="933" spans="12:27" ht="25" customHeight="1">
      <c r="L933" s="31"/>
      <c r="M933" s="31"/>
      <c r="N933" s="31"/>
      <c r="R933" s="32"/>
      <c r="X933" s="35"/>
      <c r="Y933" s="102"/>
      <c r="Z933" s="104"/>
      <c r="AA933" s="105"/>
    </row>
    <row r="934" spans="12:27" ht="25" customHeight="1">
      <c r="L934" s="31"/>
      <c r="M934" s="31"/>
      <c r="N934" s="31"/>
      <c r="R934" s="32"/>
      <c r="X934" s="35"/>
      <c r="Y934" s="102"/>
      <c r="Z934" s="104"/>
      <c r="AA934" s="105"/>
    </row>
    <row r="935" spans="12:27" ht="25" customHeight="1">
      <c r="L935" s="31"/>
      <c r="M935" s="31"/>
      <c r="N935" s="31"/>
      <c r="R935" s="32"/>
      <c r="X935" s="35"/>
      <c r="Y935" s="102"/>
      <c r="Z935" s="104"/>
      <c r="AA935" s="105"/>
    </row>
    <row r="936" spans="12:27" ht="25" customHeight="1">
      <c r="L936" s="31"/>
      <c r="M936" s="31"/>
      <c r="N936" s="31"/>
      <c r="R936" s="32"/>
      <c r="X936" s="35"/>
      <c r="Y936" s="102"/>
      <c r="Z936" s="104"/>
      <c r="AA936" s="105"/>
    </row>
    <row r="937" spans="12:27" ht="25" customHeight="1">
      <c r="L937" s="31"/>
      <c r="M937" s="31"/>
      <c r="N937" s="31"/>
      <c r="R937" s="32"/>
      <c r="X937" s="35"/>
      <c r="Y937" s="102"/>
      <c r="Z937" s="104"/>
      <c r="AA937" s="105"/>
    </row>
    <row r="938" spans="12:27" ht="25" customHeight="1">
      <c r="L938" s="31"/>
      <c r="M938" s="31"/>
      <c r="N938" s="31"/>
      <c r="R938" s="32"/>
      <c r="X938" s="35"/>
      <c r="Y938" s="102"/>
      <c r="Z938" s="104"/>
      <c r="AA938" s="105"/>
    </row>
    <row r="939" spans="12:27" ht="25" customHeight="1">
      <c r="L939" s="31"/>
      <c r="M939" s="31"/>
      <c r="N939" s="31"/>
      <c r="R939" s="32"/>
      <c r="X939" s="35"/>
      <c r="Y939" s="102"/>
      <c r="Z939" s="104"/>
      <c r="AA939" s="105"/>
    </row>
    <row r="940" spans="12:27" ht="25" customHeight="1">
      <c r="L940" s="31"/>
      <c r="M940" s="31"/>
      <c r="N940" s="31"/>
      <c r="R940" s="32"/>
      <c r="X940" s="35"/>
      <c r="Y940" s="102"/>
      <c r="Z940" s="104"/>
      <c r="AA940" s="105"/>
    </row>
    <row r="941" spans="12:27" ht="25" customHeight="1">
      <c r="L941" s="31"/>
      <c r="M941" s="31"/>
      <c r="N941" s="31"/>
      <c r="R941" s="32"/>
      <c r="X941" s="35"/>
      <c r="Y941" s="102"/>
      <c r="Z941" s="104"/>
      <c r="AA941" s="105"/>
    </row>
    <row r="942" spans="12:27" ht="25" customHeight="1">
      <c r="L942" s="31"/>
      <c r="M942" s="31"/>
      <c r="N942" s="31"/>
      <c r="R942" s="32"/>
      <c r="X942" s="35"/>
      <c r="Y942" s="102"/>
      <c r="Z942" s="104"/>
      <c r="AA942" s="105"/>
    </row>
    <row r="943" spans="12:27" ht="25" customHeight="1">
      <c r="L943" s="31"/>
      <c r="M943" s="31"/>
      <c r="N943" s="31"/>
      <c r="R943" s="32"/>
      <c r="X943" s="35"/>
      <c r="Y943" s="102"/>
      <c r="Z943" s="104"/>
      <c r="AA943" s="105"/>
    </row>
    <row r="944" spans="12:27" ht="25" customHeight="1">
      <c r="L944" s="31"/>
      <c r="M944" s="31"/>
      <c r="N944" s="31"/>
      <c r="R944" s="32"/>
      <c r="X944" s="35"/>
      <c r="Y944" s="102"/>
      <c r="Z944" s="104"/>
      <c r="AA944" s="105"/>
    </row>
    <row r="945" spans="12:27" ht="25" customHeight="1">
      <c r="L945" s="31"/>
      <c r="M945" s="31"/>
      <c r="N945" s="31"/>
      <c r="R945" s="32"/>
      <c r="X945" s="35"/>
      <c r="Y945" s="102"/>
      <c r="Z945" s="104"/>
      <c r="AA945" s="105"/>
    </row>
    <row r="946" spans="12:27" ht="25" customHeight="1">
      <c r="L946" s="31"/>
      <c r="M946" s="31"/>
      <c r="N946" s="31"/>
      <c r="R946" s="32"/>
      <c r="X946" s="35"/>
      <c r="Y946" s="102"/>
      <c r="Z946" s="104"/>
      <c r="AA946" s="105"/>
    </row>
    <row r="947" spans="12:27" ht="25" customHeight="1">
      <c r="L947" s="31"/>
      <c r="M947" s="31"/>
      <c r="N947" s="31"/>
      <c r="R947" s="32"/>
      <c r="X947" s="35"/>
      <c r="Y947" s="102"/>
      <c r="Z947" s="104"/>
      <c r="AA947" s="105"/>
    </row>
    <row r="948" spans="12:27" ht="25" customHeight="1">
      <c r="L948" s="31"/>
      <c r="M948" s="31"/>
      <c r="N948" s="31"/>
      <c r="R948" s="32"/>
      <c r="X948" s="35"/>
      <c r="Y948" s="102"/>
      <c r="Z948" s="104"/>
      <c r="AA948" s="105"/>
    </row>
    <row r="949" spans="12:27" ht="25" customHeight="1">
      <c r="L949" s="31"/>
      <c r="M949" s="31"/>
      <c r="N949" s="31"/>
      <c r="R949" s="32"/>
      <c r="X949" s="35"/>
      <c r="Y949" s="102"/>
      <c r="Z949" s="104"/>
      <c r="AA949" s="105"/>
    </row>
    <row r="950" spans="12:27" ht="25" customHeight="1">
      <c r="L950" s="31"/>
      <c r="M950" s="31"/>
      <c r="N950" s="31"/>
      <c r="R950" s="32"/>
      <c r="X950" s="35"/>
      <c r="Y950" s="102"/>
      <c r="Z950" s="104"/>
      <c r="AA950" s="105"/>
    </row>
    <row r="951" spans="12:27" ht="25" customHeight="1">
      <c r="L951" s="31"/>
      <c r="M951" s="31"/>
      <c r="N951" s="31"/>
      <c r="R951" s="32"/>
      <c r="X951" s="35"/>
      <c r="Y951" s="102"/>
      <c r="Z951" s="104"/>
      <c r="AA951" s="105"/>
    </row>
    <row r="952" spans="12:27" ht="25" customHeight="1">
      <c r="L952" s="31"/>
      <c r="M952" s="31"/>
      <c r="N952" s="31"/>
      <c r="R952" s="32"/>
      <c r="X952" s="35"/>
      <c r="Y952" s="102"/>
      <c r="Z952" s="104"/>
      <c r="AA952" s="105"/>
    </row>
    <row r="953" spans="12:27" ht="25" customHeight="1">
      <c r="L953" s="31"/>
      <c r="M953" s="31"/>
      <c r="N953" s="31"/>
      <c r="R953" s="32"/>
      <c r="X953" s="35"/>
      <c r="Y953" s="102"/>
      <c r="Z953" s="104"/>
      <c r="AA953" s="105"/>
    </row>
    <row r="954" spans="12:27" ht="25" customHeight="1">
      <c r="L954" s="31"/>
      <c r="M954" s="31"/>
      <c r="N954" s="31"/>
      <c r="R954" s="32"/>
      <c r="X954" s="35"/>
      <c r="Y954" s="102"/>
      <c r="Z954" s="104"/>
      <c r="AA954" s="105"/>
    </row>
    <row r="955" spans="12:27" ht="25" customHeight="1">
      <c r="L955" s="31"/>
      <c r="M955" s="31"/>
      <c r="N955" s="31"/>
      <c r="R955" s="32"/>
      <c r="X955" s="35"/>
      <c r="Y955" s="102"/>
      <c r="Z955" s="104"/>
      <c r="AA955" s="105"/>
    </row>
    <row r="956" spans="12:27" ht="25" customHeight="1">
      <c r="L956" s="31"/>
      <c r="M956" s="31"/>
      <c r="N956" s="31"/>
      <c r="R956" s="32"/>
      <c r="X956" s="35"/>
      <c r="Y956" s="102"/>
      <c r="Z956" s="104"/>
      <c r="AA956" s="105"/>
    </row>
    <row r="957" spans="12:27" ht="25" customHeight="1">
      <c r="L957" s="31"/>
      <c r="M957" s="31"/>
      <c r="N957" s="31"/>
      <c r="R957" s="32"/>
      <c r="X957" s="35"/>
      <c r="Y957" s="102"/>
      <c r="Z957" s="104"/>
      <c r="AA957" s="105"/>
    </row>
    <row r="958" spans="12:27" ht="25" customHeight="1">
      <c r="L958" s="31"/>
      <c r="M958" s="31"/>
      <c r="N958" s="31"/>
      <c r="R958" s="32"/>
      <c r="X958" s="35"/>
      <c r="Y958" s="102"/>
      <c r="Z958" s="104"/>
      <c r="AA958" s="105"/>
    </row>
    <row r="959" spans="12:27" ht="25" customHeight="1">
      <c r="L959" s="31"/>
      <c r="M959" s="31"/>
      <c r="N959" s="31"/>
      <c r="R959" s="32"/>
      <c r="X959" s="35"/>
      <c r="Y959" s="102"/>
      <c r="Z959" s="104"/>
      <c r="AA959" s="105"/>
    </row>
    <row r="960" spans="12:27" ht="25" customHeight="1">
      <c r="L960" s="31"/>
      <c r="M960" s="31"/>
      <c r="N960" s="31"/>
      <c r="R960" s="32"/>
      <c r="X960" s="35"/>
      <c r="Y960" s="102"/>
      <c r="Z960" s="104"/>
      <c r="AA960" s="105"/>
    </row>
    <row r="961" spans="12:27" ht="25" customHeight="1">
      <c r="L961" s="31"/>
      <c r="M961" s="31"/>
      <c r="N961" s="31"/>
      <c r="R961" s="32"/>
      <c r="X961" s="35"/>
      <c r="Y961" s="102"/>
      <c r="Z961" s="104"/>
      <c r="AA961" s="105"/>
    </row>
    <row r="962" spans="12:27" ht="25" customHeight="1">
      <c r="L962" s="31"/>
      <c r="M962" s="31"/>
      <c r="N962" s="31"/>
      <c r="R962" s="32"/>
      <c r="X962" s="35"/>
      <c r="Y962" s="102"/>
      <c r="Z962" s="104"/>
      <c r="AA962" s="105"/>
    </row>
    <row r="963" spans="12:27" ht="25" customHeight="1">
      <c r="L963" s="31"/>
      <c r="M963" s="31"/>
      <c r="N963" s="31"/>
      <c r="R963" s="32"/>
      <c r="X963" s="35"/>
      <c r="Y963" s="102"/>
      <c r="Z963" s="104"/>
      <c r="AA963" s="105"/>
    </row>
    <row r="964" spans="12:27" ht="25" customHeight="1">
      <c r="L964" s="31"/>
      <c r="M964" s="31"/>
      <c r="N964" s="31"/>
      <c r="R964" s="32"/>
      <c r="X964" s="35"/>
      <c r="Y964" s="102"/>
      <c r="Z964" s="104"/>
      <c r="AA964" s="105"/>
    </row>
    <row r="965" spans="12:27" ht="25" customHeight="1">
      <c r="L965" s="31"/>
      <c r="M965" s="31"/>
      <c r="N965" s="31"/>
      <c r="R965" s="32"/>
      <c r="X965" s="35"/>
      <c r="Y965" s="102"/>
      <c r="Z965" s="104"/>
      <c r="AA965" s="105"/>
    </row>
    <row r="966" spans="12:27" ht="25" customHeight="1">
      <c r="L966" s="31"/>
      <c r="M966" s="31"/>
      <c r="N966" s="31"/>
      <c r="R966" s="32"/>
      <c r="X966" s="35"/>
      <c r="Y966" s="102"/>
      <c r="Z966" s="104"/>
      <c r="AA966" s="105"/>
    </row>
    <row r="967" spans="12:27" ht="25" customHeight="1">
      <c r="L967" s="31"/>
      <c r="M967" s="31"/>
      <c r="N967" s="31"/>
      <c r="R967" s="32"/>
      <c r="X967" s="35"/>
      <c r="Y967" s="102"/>
      <c r="Z967" s="104"/>
      <c r="AA967" s="105"/>
    </row>
    <row r="968" spans="12:27" ht="25" customHeight="1">
      <c r="L968" s="31"/>
      <c r="M968" s="31"/>
      <c r="N968" s="31"/>
      <c r="R968" s="32"/>
      <c r="X968" s="35"/>
      <c r="Y968" s="102"/>
      <c r="Z968" s="104"/>
      <c r="AA968" s="105"/>
    </row>
    <row r="969" spans="12:27" ht="25" customHeight="1">
      <c r="L969" s="31"/>
      <c r="M969" s="31"/>
      <c r="N969" s="31"/>
      <c r="R969" s="32"/>
      <c r="X969" s="35"/>
      <c r="Y969" s="102"/>
      <c r="Z969" s="104"/>
      <c r="AA969" s="105"/>
    </row>
    <row r="970" spans="12:27" ht="25" customHeight="1">
      <c r="L970" s="31"/>
      <c r="M970" s="31"/>
      <c r="N970" s="31"/>
      <c r="R970" s="32"/>
      <c r="X970" s="35"/>
      <c r="Y970" s="102"/>
      <c r="Z970" s="104"/>
      <c r="AA970" s="105"/>
    </row>
    <row r="971" spans="12:27" ht="25" customHeight="1">
      <c r="L971" s="31"/>
      <c r="M971" s="31"/>
      <c r="N971" s="31"/>
      <c r="R971" s="32"/>
      <c r="X971" s="35"/>
      <c r="Y971" s="102"/>
      <c r="Z971" s="104"/>
      <c r="AA971" s="105"/>
    </row>
    <row r="972" spans="12:27" ht="25" customHeight="1">
      <c r="L972" s="31"/>
      <c r="M972" s="31"/>
      <c r="N972" s="31"/>
      <c r="R972" s="32"/>
      <c r="X972" s="35"/>
      <c r="Y972" s="102"/>
      <c r="Z972" s="104"/>
      <c r="AA972" s="105"/>
    </row>
    <row r="973" spans="12:27" ht="25" customHeight="1">
      <c r="L973" s="31"/>
      <c r="M973" s="31"/>
      <c r="N973" s="31"/>
      <c r="R973" s="32"/>
      <c r="X973" s="35"/>
      <c r="Y973" s="102"/>
      <c r="Z973" s="104"/>
      <c r="AA973" s="105"/>
    </row>
    <row r="974" spans="12:27" ht="25" customHeight="1">
      <c r="L974" s="31"/>
      <c r="M974" s="31"/>
      <c r="N974" s="31"/>
      <c r="R974" s="32"/>
      <c r="X974" s="35"/>
      <c r="Y974" s="102"/>
      <c r="Z974" s="104"/>
      <c r="AA974" s="105"/>
    </row>
    <row r="975" spans="12:27" ht="25" customHeight="1">
      <c r="L975" s="31"/>
      <c r="M975" s="31"/>
      <c r="N975" s="31"/>
      <c r="R975" s="32"/>
      <c r="X975" s="35"/>
      <c r="Y975" s="102"/>
      <c r="Z975" s="104"/>
      <c r="AA975" s="105"/>
    </row>
    <row r="976" spans="12:27" ht="25" customHeight="1">
      <c r="L976" s="31"/>
      <c r="M976" s="31"/>
      <c r="N976" s="31"/>
      <c r="R976" s="32"/>
      <c r="X976" s="35"/>
      <c r="Y976" s="102"/>
      <c r="Z976" s="104"/>
      <c r="AA976" s="105"/>
    </row>
    <row r="977" spans="12:27" ht="25" customHeight="1">
      <c r="L977" s="31"/>
      <c r="M977" s="31"/>
      <c r="N977" s="31"/>
      <c r="R977" s="32"/>
      <c r="X977" s="35"/>
      <c r="Y977" s="102"/>
      <c r="Z977" s="104"/>
      <c r="AA977" s="105"/>
    </row>
    <row r="978" spans="12:27" ht="25" customHeight="1">
      <c r="L978" s="31"/>
      <c r="M978" s="31"/>
      <c r="N978" s="31"/>
      <c r="R978" s="32"/>
      <c r="X978" s="35"/>
      <c r="Y978" s="102"/>
      <c r="Z978" s="104"/>
      <c r="AA978" s="105"/>
    </row>
    <row r="979" spans="12:27" ht="25" customHeight="1">
      <c r="L979" s="31"/>
      <c r="M979" s="31"/>
      <c r="N979" s="31"/>
      <c r="R979" s="32"/>
      <c r="X979" s="35"/>
      <c r="Y979" s="102"/>
      <c r="Z979" s="104"/>
      <c r="AA979" s="105"/>
    </row>
    <row r="980" spans="12:27" ht="25" customHeight="1">
      <c r="L980" s="31"/>
      <c r="M980" s="31"/>
      <c r="N980" s="31"/>
      <c r="R980" s="32"/>
      <c r="X980" s="35"/>
      <c r="Y980" s="102"/>
      <c r="Z980" s="104"/>
      <c r="AA980" s="105"/>
    </row>
    <row r="981" spans="12:27" ht="25" customHeight="1">
      <c r="L981" s="31"/>
      <c r="M981" s="31"/>
      <c r="N981" s="31"/>
      <c r="R981" s="32"/>
      <c r="X981" s="35"/>
      <c r="Y981" s="102"/>
      <c r="Z981" s="104"/>
      <c r="AA981" s="105"/>
    </row>
    <row r="982" spans="12:27" ht="25" customHeight="1">
      <c r="L982" s="31"/>
      <c r="M982" s="31"/>
      <c r="N982" s="31"/>
      <c r="R982" s="32"/>
      <c r="X982" s="35"/>
      <c r="Y982" s="102"/>
      <c r="Z982" s="104"/>
      <c r="AA982" s="105"/>
    </row>
    <row r="983" spans="12:27" ht="25" customHeight="1">
      <c r="L983" s="31"/>
      <c r="M983" s="31"/>
      <c r="N983" s="31"/>
      <c r="R983" s="32"/>
      <c r="X983" s="35"/>
      <c r="Y983" s="102"/>
      <c r="Z983" s="104"/>
      <c r="AA983" s="105"/>
    </row>
    <row r="984" spans="12:27" ht="25" customHeight="1">
      <c r="L984" s="31"/>
      <c r="M984" s="31"/>
      <c r="N984" s="31"/>
      <c r="R984" s="32"/>
      <c r="X984" s="35"/>
      <c r="Y984" s="102"/>
      <c r="Z984" s="104"/>
      <c r="AA984" s="105"/>
    </row>
    <row r="985" spans="12:27" ht="25" customHeight="1">
      <c r="L985" s="31"/>
      <c r="M985" s="31"/>
      <c r="N985" s="31"/>
      <c r="R985" s="32"/>
      <c r="X985" s="35"/>
      <c r="Y985" s="102"/>
      <c r="Z985" s="104"/>
      <c r="AA985" s="105"/>
    </row>
    <row r="986" spans="12:27" ht="25" customHeight="1">
      <c r="L986" s="31"/>
      <c r="M986" s="31"/>
      <c r="N986" s="31"/>
      <c r="R986" s="32"/>
      <c r="X986" s="35"/>
      <c r="Y986" s="102"/>
      <c r="Z986" s="104"/>
      <c r="AA986" s="105"/>
    </row>
    <row r="987" spans="12:27" ht="25" customHeight="1">
      <c r="L987" s="31"/>
      <c r="M987" s="31"/>
      <c r="N987" s="31"/>
      <c r="R987" s="32"/>
      <c r="X987" s="35"/>
      <c r="Y987" s="102"/>
      <c r="Z987" s="104"/>
      <c r="AA987" s="105"/>
    </row>
    <row r="988" spans="12:27" ht="25" customHeight="1">
      <c r="L988" s="31"/>
      <c r="M988" s="31"/>
      <c r="N988" s="31"/>
      <c r="R988" s="32"/>
      <c r="X988" s="35"/>
      <c r="Y988" s="102"/>
      <c r="Z988" s="104"/>
      <c r="AA988" s="105"/>
    </row>
    <row r="989" spans="12:27" ht="25" customHeight="1">
      <c r="L989" s="31"/>
      <c r="M989" s="31"/>
      <c r="N989" s="31"/>
      <c r="R989" s="32"/>
      <c r="X989" s="35"/>
      <c r="Y989" s="102"/>
      <c r="Z989" s="104"/>
      <c r="AA989" s="105"/>
    </row>
    <row r="990" spans="12:27" ht="25" customHeight="1">
      <c r="L990" s="31"/>
      <c r="M990" s="31"/>
      <c r="N990" s="31"/>
      <c r="R990" s="32"/>
      <c r="X990" s="35"/>
      <c r="Y990" s="102"/>
      <c r="Z990" s="104"/>
      <c r="AA990" s="105"/>
    </row>
    <row r="991" spans="12:27" ht="25" customHeight="1">
      <c r="L991" s="31"/>
      <c r="M991" s="31"/>
      <c r="N991" s="31"/>
      <c r="R991" s="32"/>
      <c r="X991" s="35"/>
      <c r="Y991" s="102"/>
      <c r="Z991" s="104"/>
      <c r="AA991" s="105"/>
    </row>
    <row r="992" spans="12:27" ht="25" customHeight="1">
      <c r="L992" s="31"/>
      <c r="M992" s="31"/>
      <c r="N992" s="31"/>
      <c r="R992" s="32"/>
      <c r="X992" s="35"/>
      <c r="Y992" s="102"/>
      <c r="Z992" s="104"/>
      <c r="AA992" s="105"/>
    </row>
    <row r="993" spans="12:27" ht="25" customHeight="1">
      <c r="L993" s="31"/>
      <c r="M993" s="31"/>
      <c r="N993" s="31"/>
      <c r="R993" s="32"/>
      <c r="X993" s="35"/>
      <c r="Y993" s="102"/>
      <c r="Z993" s="104"/>
      <c r="AA993" s="105"/>
    </row>
    <row r="994" spans="12:27" ht="25" customHeight="1">
      <c r="L994" s="31"/>
      <c r="M994" s="31"/>
      <c r="N994" s="31"/>
      <c r="R994" s="32"/>
      <c r="X994" s="35"/>
      <c r="Y994" s="102"/>
      <c r="Z994" s="104"/>
      <c r="AA994" s="105"/>
    </row>
    <row r="995" spans="12:27" ht="25" customHeight="1">
      <c r="L995" s="31"/>
      <c r="M995" s="31"/>
      <c r="N995" s="31"/>
      <c r="R995" s="32"/>
      <c r="X995" s="35"/>
      <c r="Y995" s="102"/>
      <c r="Z995" s="104"/>
      <c r="AA995" s="105"/>
    </row>
    <row r="996" spans="12:27" ht="25" customHeight="1">
      <c r="L996" s="31"/>
      <c r="M996" s="31"/>
      <c r="N996" s="31"/>
      <c r="R996" s="32"/>
      <c r="X996" s="35"/>
      <c r="Y996" s="102"/>
      <c r="Z996" s="104"/>
      <c r="AA996" s="105"/>
    </row>
    <row r="997" spans="12:27" ht="25" customHeight="1">
      <c r="L997" s="31"/>
      <c r="M997" s="31"/>
      <c r="N997" s="31"/>
      <c r="R997" s="32"/>
      <c r="X997" s="35"/>
      <c r="Y997" s="102"/>
      <c r="Z997" s="104"/>
      <c r="AA997" s="105"/>
    </row>
    <row r="998" spans="12:27" ht="25" customHeight="1">
      <c r="L998" s="31"/>
      <c r="M998" s="31"/>
      <c r="N998" s="31"/>
      <c r="R998" s="32"/>
      <c r="X998" s="35"/>
      <c r="Y998" s="102"/>
      <c r="Z998" s="104"/>
      <c r="AA998" s="105"/>
    </row>
    <row r="999" spans="12:27" ht="25" customHeight="1">
      <c r="L999" s="31"/>
      <c r="M999" s="31"/>
      <c r="N999" s="31"/>
      <c r="R999" s="32"/>
      <c r="X999" s="35"/>
      <c r="Y999" s="102"/>
      <c r="Z999" s="104"/>
      <c r="AA999" s="105"/>
    </row>
    <row r="1000" spans="12:27" ht="25" customHeight="1">
      <c r="L1000" s="31"/>
      <c r="M1000" s="31"/>
      <c r="N1000" s="31"/>
      <c r="R1000" s="32"/>
      <c r="X1000" s="35"/>
      <c r="Y1000" s="102"/>
      <c r="Z1000" s="104"/>
      <c r="AA1000" s="105"/>
    </row>
    <row r="1001" spans="12:27" ht="25" customHeight="1">
      <c r="L1001" s="31"/>
      <c r="M1001" s="31"/>
      <c r="N1001" s="31"/>
      <c r="R1001" s="32"/>
      <c r="X1001" s="35"/>
      <c r="Y1001" s="102"/>
      <c r="Z1001" s="104"/>
      <c r="AA1001" s="105"/>
    </row>
    <row r="1002" spans="12:27" ht="25" customHeight="1">
      <c r="L1002" s="31"/>
      <c r="M1002" s="31"/>
      <c r="N1002" s="31"/>
      <c r="R1002" s="32"/>
      <c r="X1002" s="35"/>
      <c r="Y1002" s="102"/>
      <c r="Z1002" s="104"/>
      <c r="AA1002" s="105"/>
    </row>
    <row r="1003" spans="12:27" ht="25" customHeight="1">
      <c r="L1003" s="31"/>
      <c r="M1003" s="31"/>
      <c r="N1003" s="31"/>
      <c r="R1003" s="32"/>
      <c r="X1003" s="35"/>
      <c r="Y1003" s="102"/>
      <c r="Z1003" s="104"/>
      <c r="AA1003" s="105"/>
    </row>
    <row r="1004" spans="12:27" ht="25" customHeight="1">
      <c r="L1004" s="31"/>
      <c r="M1004" s="31"/>
      <c r="N1004" s="31"/>
      <c r="R1004" s="32"/>
      <c r="X1004" s="35"/>
      <c r="Y1004" s="102"/>
      <c r="Z1004" s="104"/>
      <c r="AA1004" s="105"/>
    </row>
    <row r="1005" spans="12:27" ht="25" customHeight="1">
      <c r="L1005" s="31"/>
      <c r="M1005" s="31"/>
      <c r="N1005" s="31"/>
      <c r="R1005" s="32"/>
      <c r="X1005" s="35"/>
      <c r="Y1005" s="102"/>
      <c r="Z1005" s="104"/>
      <c r="AA1005" s="105"/>
    </row>
    <row r="1006" spans="12:27" ht="25" customHeight="1">
      <c r="L1006" s="31"/>
      <c r="M1006" s="31"/>
      <c r="N1006" s="31"/>
      <c r="R1006" s="32"/>
      <c r="X1006" s="35"/>
      <c r="Y1006" s="102"/>
      <c r="Z1006" s="104"/>
      <c r="AA1006" s="105"/>
    </row>
    <row r="1007" spans="12:27" ht="25" customHeight="1">
      <c r="L1007" s="31"/>
      <c r="M1007" s="31"/>
      <c r="N1007" s="31"/>
      <c r="R1007" s="32"/>
      <c r="X1007" s="35"/>
      <c r="Y1007" s="102"/>
      <c r="Z1007" s="104"/>
      <c r="AA1007" s="105"/>
    </row>
    <row r="1008" spans="12:27" ht="25" customHeight="1">
      <c r="L1008" s="31"/>
      <c r="M1008" s="31"/>
      <c r="N1008" s="31"/>
      <c r="R1008" s="32"/>
      <c r="X1008" s="35"/>
      <c r="Y1008" s="102"/>
      <c r="Z1008" s="104"/>
      <c r="AA1008" s="105"/>
    </row>
    <row r="1009" spans="12:27" ht="25" customHeight="1">
      <c r="L1009" s="31"/>
      <c r="M1009" s="31"/>
      <c r="N1009" s="31"/>
      <c r="R1009" s="32"/>
      <c r="X1009" s="35"/>
      <c r="Y1009" s="102"/>
      <c r="Z1009" s="104"/>
      <c r="AA1009" s="105"/>
    </row>
    <row r="1010" spans="12:27" ht="25" customHeight="1">
      <c r="L1010" s="31"/>
      <c r="M1010" s="31"/>
      <c r="N1010" s="31"/>
      <c r="R1010" s="32"/>
      <c r="X1010" s="35"/>
      <c r="Y1010" s="102"/>
      <c r="Z1010" s="104"/>
      <c r="AA1010" s="105"/>
    </row>
    <row r="1011" spans="12:27" ht="25" customHeight="1">
      <c r="L1011" s="31"/>
      <c r="M1011" s="31"/>
      <c r="N1011" s="31"/>
      <c r="R1011" s="32"/>
      <c r="X1011" s="35"/>
      <c r="Y1011" s="102"/>
      <c r="Z1011" s="104"/>
      <c r="AA1011" s="105"/>
    </row>
    <row r="1012" spans="12:27" ht="25" customHeight="1">
      <c r="L1012" s="31"/>
      <c r="M1012" s="31"/>
      <c r="N1012" s="31"/>
      <c r="R1012" s="32"/>
      <c r="X1012" s="35"/>
      <c r="Y1012" s="102"/>
      <c r="Z1012" s="104"/>
      <c r="AA1012" s="105"/>
    </row>
    <row r="1013" spans="12:27" ht="25" customHeight="1">
      <c r="L1013" s="31"/>
      <c r="M1013" s="31"/>
      <c r="N1013" s="31"/>
      <c r="R1013" s="32"/>
      <c r="X1013" s="35"/>
      <c r="Y1013" s="102"/>
      <c r="Z1013" s="104"/>
      <c r="AA1013" s="105"/>
    </row>
    <row r="1014" spans="12:27" ht="25" customHeight="1">
      <c r="L1014" s="31"/>
      <c r="M1014" s="31"/>
      <c r="N1014" s="31"/>
      <c r="R1014" s="32"/>
      <c r="X1014" s="35"/>
      <c r="Y1014" s="102"/>
      <c r="Z1014" s="104"/>
      <c r="AA1014" s="105"/>
    </row>
    <row r="1015" spans="12:27" ht="25" customHeight="1">
      <c r="L1015" s="31"/>
      <c r="M1015" s="31"/>
      <c r="N1015" s="31"/>
      <c r="R1015" s="32"/>
      <c r="X1015" s="35"/>
      <c r="Y1015" s="102"/>
      <c r="Z1015" s="104"/>
      <c r="AA1015" s="105"/>
    </row>
    <row r="1016" spans="12:27" ht="25" customHeight="1">
      <c r="L1016" s="31"/>
      <c r="M1016" s="31"/>
      <c r="N1016" s="31"/>
      <c r="R1016" s="32"/>
      <c r="X1016" s="35"/>
      <c r="Y1016" s="102"/>
      <c r="Z1016" s="104"/>
      <c r="AA1016" s="105"/>
    </row>
    <row r="1017" spans="12:27" ht="25" customHeight="1">
      <c r="L1017" s="31"/>
      <c r="M1017" s="31"/>
      <c r="N1017" s="31"/>
      <c r="R1017" s="32"/>
      <c r="X1017" s="35"/>
      <c r="Y1017" s="102"/>
      <c r="Z1017" s="104"/>
      <c r="AA1017" s="105"/>
    </row>
    <row r="1018" spans="12:27" ht="25" customHeight="1">
      <c r="L1018" s="31"/>
      <c r="M1018" s="31"/>
      <c r="N1018" s="31"/>
      <c r="R1018" s="32"/>
      <c r="X1018" s="35"/>
      <c r="Y1018" s="102"/>
      <c r="Z1018" s="104"/>
      <c r="AA1018" s="105"/>
    </row>
    <row r="1019" spans="12:27" ht="25" customHeight="1">
      <c r="L1019" s="31"/>
      <c r="M1019" s="31"/>
      <c r="N1019" s="31"/>
      <c r="R1019" s="32"/>
      <c r="X1019" s="35"/>
      <c r="Y1019" s="102"/>
      <c r="Z1019" s="104"/>
      <c r="AA1019" s="105"/>
    </row>
    <row r="1020" spans="12:27" ht="25" customHeight="1">
      <c r="L1020" s="31"/>
      <c r="M1020" s="31"/>
      <c r="N1020" s="31"/>
      <c r="R1020" s="32"/>
      <c r="X1020" s="35"/>
      <c r="Y1020" s="102"/>
      <c r="Z1020" s="104"/>
      <c r="AA1020" s="105"/>
    </row>
    <row r="1021" spans="12:27" ht="25" customHeight="1">
      <c r="L1021" s="31"/>
      <c r="M1021" s="31"/>
      <c r="N1021" s="31"/>
      <c r="R1021" s="32"/>
      <c r="X1021" s="35"/>
      <c r="Y1021" s="102"/>
      <c r="Z1021" s="104"/>
      <c r="AA1021" s="105"/>
    </row>
    <row r="1022" spans="12:27" ht="25" customHeight="1">
      <c r="L1022" s="31"/>
      <c r="M1022" s="31"/>
      <c r="N1022" s="31"/>
      <c r="R1022" s="32"/>
      <c r="X1022" s="35"/>
      <c r="Y1022" s="102"/>
      <c r="Z1022" s="104"/>
      <c r="AA1022" s="105"/>
    </row>
    <row r="1023" spans="12:27" ht="25" customHeight="1">
      <c r="L1023" s="31"/>
      <c r="M1023" s="31"/>
      <c r="N1023" s="31"/>
      <c r="R1023" s="32"/>
      <c r="X1023" s="35"/>
      <c r="Y1023" s="102"/>
      <c r="Z1023" s="104"/>
      <c r="AA1023" s="105"/>
    </row>
    <row r="1024" spans="12:27" ht="25" customHeight="1">
      <c r="L1024" s="31"/>
      <c r="M1024" s="31"/>
      <c r="N1024" s="31"/>
      <c r="R1024" s="32"/>
      <c r="X1024" s="35"/>
      <c r="Y1024" s="102"/>
      <c r="Z1024" s="104"/>
      <c r="AA1024" s="105"/>
    </row>
    <row r="1025" spans="12:27" ht="25" customHeight="1">
      <c r="L1025" s="31"/>
      <c r="M1025" s="31"/>
      <c r="N1025" s="31"/>
      <c r="R1025" s="32"/>
      <c r="X1025" s="35"/>
      <c r="Y1025" s="102"/>
      <c r="Z1025" s="104"/>
      <c r="AA1025" s="105"/>
    </row>
    <row r="1026" spans="12:27" ht="25" customHeight="1">
      <c r="L1026" s="31"/>
      <c r="M1026" s="31"/>
      <c r="N1026" s="31"/>
      <c r="R1026" s="32"/>
      <c r="X1026" s="35"/>
      <c r="Y1026" s="102"/>
      <c r="Z1026" s="104"/>
      <c r="AA1026" s="105"/>
    </row>
    <row r="1027" spans="12:27" ht="25" customHeight="1">
      <c r="L1027" s="31"/>
      <c r="M1027" s="31"/>
      <c r="N1027" s="31"/>
      <c r="R1027" s="32"/>
      <c r="X1027" s="35"/>
      <c r="Y1027" s="102"/>
      <c r="Z1027" s="104"/>
      <c r="AA1027" s="105"/>
    </row>
    <row r="1028" spans="12:27" ht="25" customHeight="1">
      <c r="L1028" s="31"/>
      <c r="M1028" s="31"/>
      <c r="N1028" s="31"/>
      <c r="R1028" s="32"/>
      <c r="X1028" s="35"/>
      <c r="Y1028" s="102"/>
      <c r="Z1028" s="104"/>
      <c r="AA1028" s="105"/>
    </row>
    <row r="1029" spans="12:27" ht="25" customHeight="1">
      <c r="L1029" s="31"/>
      <c r="M1029" s="31"/>
      <c r="N1029" s="31"/>
      <c r="R1029" s="32"/>
      <c r="X1029" s="35"/>
      <c r="Y1029" s="102"/>
      <c r="Z1029" s="104"/>
      <c r="AA1029" s="105"/>
    </row>
    <row r="1030" spans="12:27" ht="25" customHeight="1">
      <c r="L1030" s="31"/>
      <c r="M1030" s="31"/>
      <c r="N1030" s="31"/>
      <c r="R1030" s="32"/>
      <c r="X1030" s="35"/>
      <c r="Y1030" s="102"/>
      <c r="Z1030" s="104"/>
      <c r="AA1030" s="105"/>
    </row>
    <row r="1031" spans="12:27" ht="25" customHeight="1">
      <c r="L1031" s="31"/>
      <c r="M1031" s="31"/>
      <c r="N1031" s="31"/>
      <c r="R1031" s="32"/>
      <c r="X1031" s="35"/>
      <c r="Y1031" s="102"/>
      <c r="Z1031" s="104"/>
      <c r="AA1031" s="105"/>
    </row>
    <row r="1032" spans="12:27" ht="25" customHeight="1">
      <c r="L1032" s="31"/>
      <c r="M1032" s="31"/>
      <c r="N1032" s="31"/>
      <c r="R1032" s="32"/>
      <c r="X1032" s="35"/>
      <c r="Y1032" s="102"/>
      <c r="Z1032" s="104"/>
      <c r="AA1032" s="105"/>
    </row>
    <row r="1033" spans="12:27" ht="25" customHeight="1">
      <c r="L1033" s="31"/>
      <c r="M1033" s="31"/>
      <c r="N1033" s="31"/>
      <c r="R1033" s="32"/>
      <c r="X1033" s="35"/>
      <c r="Y1033" s="102"/>
      <c r="Z1033" s="104"/>
      <c r="AA1033" s="105"/>
    </row>
    <row r="1034" spans="12:27" ht="25" customHeight="1">
      <c r="L1034" s="31"/>
      <c r="M1034" s="31"/>
      <c r="N1034" s="31"/>
      <c r="R1034" s="32"/>
      <c r="X1034" s="35"/>
      <c r="Y1034" s="102"/>
      <c r="Z1034" s="104"/>
      <c r="AA1034" s="105"/>
    </row>
    <row r="1035" spans="12:27" ht="25" customHeight="1">
      <c r="L1035" s="31"/>
      <c r="M1035" s="31"/>
      <c r="N1035" s="31"/>
      <c r="R1035" s="32"/>
      <c r="X1035" s="35"/>
      <c r="Y1035" s="102"/>
      <c r="Z1035" s="104"/>
      <c r="AA1035" s="105"/>
    </row>
    <row r="1036" spans="12:27" ht="25" customHeight="1">
      <c r="L1036" s="31"/>
      <c r="M1036" s="31"/>
      <c r="N1036" s="31"/>
      <c r="R1036" s="32"/>
      <c r="X1036" s="35"/>
      <c r="Y1036" s="102"/>
      <c r="Z1036" s="104"/>
      <c r="AA1036" s="105"/>
    </row>
    <row r="1037" spans="12:27" ht="25" customHeight="1">
      <c r="L1037" s="31"/>
      <c r="M1037" s="31"/>
      <c r="N1037" s="31"/>
      <c r="R1037" s="32"/>
      <c r="X1037" s="35"/>
      <c r="Y1037" s="102"/>
      <c r="Z1037" s="104"/>
      <c r="AA1037" s="105"/>
    </row>
    <row r="1038" spans="12:27" ht="25" customHeight="1">
      <c r="L1038" s="31"/>
      <c r="M1038" s="31"/>
      <c r="N1038" s="31"/>
      <c r="R1038" s="32"/>
      <c r="X1038" s="35"/>
      <c r="Y1038" s="102"/>
      <c r="Z1038" s="104"/>
      <c r="AA1038" s="105"/>
    </row>
    <row r="1039" spans="12:27" ht="25" customHeight="1">
      <c r="L1039" s="31"/>
      <c r="M1039" s="31"/>
      <c r="N1039" s="31"/>
      <c r="R1039" s="32"/>
      <c r="X1039" s="35"/>
      <c r="Y1039" s="102"/>
      <c r="Z1039" s="104"/>
      <c r="AA1039" s="105"/>
    </row>
    <row r="1040" spans="12:27" ht="25" customHeight="1">
      <c r="L1040" s="31"/>
      <c r="M1040" s="31"/>
      <c r="N1040" s="31"/>
      <c r="R1040" s="32"/>
      <c r="X1040" s="35"/>
      <c r="Y1040" s="102"/>
      <c r="Z1040" s="104"/>
      <c r="AA1040" s="105"/>
    </row>
    <row r="1041" spans="12:27" ht="25" customHeight="1">
      <c r="L1041" s="31"/>
      <c r="M1041" s="31"/>
      <c r="N1041" s="31"/>
      <c r="R1041" s="32"/>
      <c r="X1041" s="35"/>
      <c r="Y1041" s="102"/>
      <c r="Z1041" s="104"/>
      <c r="AA1041" s="105"/>
    </row>
    <row r="1042" spans="12:27" ht="25" customHeight="1">
      <c r="L1042" s="31"/>
      <c r="M1042" s="31"/>
      <c r="N1042" s="31"/>
      <c r="R1042" s="32"/>
      <c r="X1042" s="35"/>
      <c r="Y1042" s="102"/>
      <c r="Z1042" s="104"/>
      <c r="AA1042" s="105"/>
    </row>
    <row r="1043" spans="12:27" ht="25" customHeight="1">
      <c r="L1043" s="31"/>
      <c r="M1043" s="31"/>
      <c r="N1043" s="31"/>
      <c r="R1043" s="32"/>
      <c r="X1043" s="35"/>
      <c r="Y1043" s="102"/>
      <c r="Z1043" s="104"/>
      <c r="AA1043" s="105"/>
    </row>
    <row r="1044" spans="12:27" ht="25" customHeight="1">
      <c r="L1044" s="31"/>
      <c r="M1044" s="31"/>
      <c r="N1044" s="31"/>
      <c r="R1044" s="32"/>
      <c r="X1044" s="35"/>
      <c r="Y1044" s="102"/>
      <c r="Z1044" s="104"/>
      <c r="AA1044" s="105"/>
    </row>
    <row r="1045" spans="12:27" ht="25" customHeight="1">
      <c r="L1045" s="31"/>
      <c r="M1045" s="31"/>
      <c r="N1045" s="31"/>
      <c r="R1045" s="32"/>
      <c r="X1045" s="35"/>
      <c r="Y1045" s="102"/>
      <c r="Z1045" s="104"/>
      <c r="AA1045" s="105"/>
    </row>
    <row r="1046" spans="12:27" ht="25" customHeight="1">
      <c r="L1046" s="31"/>
      <c r="M1046" s="31"/>
      <c r="N1046" s="31"/>
      <c r="R1046" s="32"/>
      <c r="X1046" s="35"/>
      <c r="Y1046" s="102"/>
      <c r="Z1046" s="104"/>
      <c r="AA1046" s="105"/>
    </row>
    <row r="1047" spans="12:27" ht="25" customHeight="1">
      <c r="L1047" s="31"/>
      <c r="M1047" s="31"/>
      <c r="N1047" s="31"/>
      <c r="R1047" s="32"/>
      <c r="X1047" s="35"/>
      <c r="Y1047" s="102"/>
      <c r="Z1047" s="104"/>
      <c r="AA1047" s="105"/>
    </row>
    <row r="1048" spans="12:27" ht="25" customHeight="1">
      <c r="L1048" s="31"/>
      <c r="M1048" s="31"/>
      <c r="N1048" s="31"/>
      <c r="R1048" s="32"/>
      <c r="X1048" s="35"/>
      <c r="Y1048" s="102"/>
      <c r="Z1048" s="104"/>
      <c r="AA1048" s="105"/>
    </row>
    <row r="1049" spans="12:27" ht="25" customHeight="1">
      <c r="L1049" s="31"/>
      <c r="M1049" s="31"/>
      <c r="N1049" s="31"/>
      <c r="R1049" s="32"/>
      <c r="X1049" s="35"/>
      <c r="Y1049" s="102"/>
      <c r="Z1049" s="104"/>
      <c r="AA1049" s="105"/>
    </row>
    <row r="1050" spans="12:27" ht="25" customHeight="1">
      <c r="L1050" s="31"/>
      <c r="M1050" s="31"/>
      <c r="N1050" s="31"/>
      <c r="R1050" s="32"/>
      <c r="X1050" s="35"/>
      <c r="Y1050" s="102"/>
      <c r="Z1050" s="104"/>
      <c r="AA1050" s="105"/>
    </row>
    <row r="1051" spans="12:27" ht="25" customHeight="1">
      <c r="L1051" s="31"/>
      <c r="M1051" s="31"/>
      <c r="N1051" s="31"/>
      <c r="R1051" s="32"/>
      <c r="X1051" s="35"/>
      <c r="Y1051" s="102"/>
      <c r="Z1051" s="104"/>
      <c r="AA1051" s="105"/>
    </row>
    <row r="1052" spans="12:27" ht="25" customHeight="1">
      <c r="L1052" s="31"/>
      <c r="M1052" s="31"/>
      <c r="N1052" s="31"/>
      <c r="R1052" s="32"/>
      <c r="X1052" s="35"/>
      <c r="Y1052" s="102"/>
      <c r="Z1052" s="104"/>
      <c r="AA1052" s="105"/>
    </row>
    <row r="1053" spans="12:27" ht="25" customHeight="1">
      <c r="L1053" s="31"/>
      <c r="M1053" s="31"/>
      <c r="N1053" s="31"/>
      <c r="R1053" s="32"/>
      <c r="X1053" s="35"/>
      <c r="Y1053" s="102"/>
      <c r="Z1053" s="104"/>
      <c r="AA1053" s="105"/>
    </row>
    <row r="1054" spans="12:27" ht="25" customHeight="1">
      <c r="L1054" s="31"/>
      <c r="M1054" s="31"/>
      <c r="N1054" s="31"/>
      <c r="R1054" s="32"/>
      <c r="X1054" s="35"/>
      <c r="Y1054" s="102"/>
      <c r="Z1054" s="104"/>
      <c r="AA1054" s="105"/>
    </row>
    <row r="1055" spans="12:27" ht="25" customHeight="1">
      <c r="L1055" s="31"/>
      <c r="M1055" s="31"/>
      <c r="N1055" s="31"/>
      <c r="R1055" s="32"/>
      <c r="X1055" s="35"/>
      <c r="Y1055" s="102"/>
      <c r="Z1055" s="104"/>
      <c r="AA1055" s="105"/>
    </row>
    <row r="1056" spans="12:27" ht="25" customHeight="1">
      <c r="L1056" s="31"/>
      <c r="M1056" s="31"/>
      <c r="N1056" s="31"/>
      <c r="R1056" s="32"/>
      <c r="X1056" s="35"/>
      <c r="Y1056" s="102"/>
      <c r="Z1056" s="104"/>
      <c r="AA1056" s="105"/>
    </row>
    <row r="1057" spans="12:27" ht="25" customHeight="1">
      <c r="L1057" s="31"/>
      <c r="M1057" s="31"/>
      <c r="N1057" s="31"/>
      <c r="R1057" s="32"/>
      <c r="X1057" s="35"/>
      <c r="Y1057" s="102"/>
      <c r="Z1057" s="104"/>
      <c r="AA1057" s="105"/>
    </row>
    <row r="1058" spans="12:27" ht="25" customHeight="1">
      <c r="L1058" s="31"/>
      <c r="M1058" s="31"/>
      <c r="N1058" s="31"/>
      <c r="R1058" s="32"/>
      <c r="X1058" s="35"/>
      <c r="Y1058" s="102"/>
      <c r="Z1058" s="104"/>
      <c r="AA1058" s="105"/>
    </row>
    <row r="1059" spans="12:27" ht="25" customHeight="1">
      <c r="L1059" s="31"/>
      <c r="M1059" s="31"/>
      <c r="N1059" s="31"/>
      <c r="R1059" s="32"/>
      <c r="X1059" s="35"/>
      <c r="Y1059" s="102"/>
      <c r="Z1059" s="104"/>
      <c r="AA1059" s="105"/>
    </row>
    <row r="1060" spans="12:27" ht="25" customHeight="1">
      <c r="L1060" s="31"/>
      <c r="M1060" s="31"/>
      <c r="N1060" s="31"/>
      <c r="R1060" s="32"/>
      <c r="X1060" s="35"/>
      <c r="Y1060" s="102"/>
      <c r="Z1060" s="104"/>
      <c r="AA1060" s="105"/>
    </row>
    <row r="1061" spans="12:27" ht="25" customHeight="1">
      <c r="L1061" s="31"/>
      <c r="M1061" s="31"/>
      <c r="N1061" s="31"/>
      <c r="R1061" s="32"/>
      <c r="X1061" s="35"/>
      <c r="Y1061" s="102"/>
      <c r="Z1061" s="104"/>
      <c r="AA1061" s="105"/>
    </row>
    <row r="1062" spans="12:27" ht="25" customHeight="1">
      <c r="L1062" s="31"/>
      <c r="M1062" s="31"/>
      <c r="N1062" s="31"/>
      <c r="R1062" s="32"/>
      <c r="X1062" s="35"/>
      <c r="Y1062" s="102"/>
      <c r="Z1062" s="104"/>
      <c r="AA1062" s="105"/>
    </row>
    <row r="1063" spans="12:27" ht="25" customHeight="1">
      <c r="L1063" s="31"/>
      <c r="M1063" s="31"/>
      <c r="N1063" s="31"/>
      <c r="R1063" s="32"/>
      <c r="X1063" s="35"/>
      <c r="Y1063" s="102"/>
      <c r="Z1063" s="104"/>
      <c r="AA1063" s="105"/>
    </row>
    <row r="1064" spans="12:27" ht="25" customHeight="1">
      <c r="L1064" s="31"/>
      <c r="M1064" s="31"/>
      <c r="N1064" s="31"/>
      <c r="R1064" s="32"/>
      <c r="X1064" s="35"/>
      <c r="Y1064" s="102"/>
      <c r="Z1064" s="104"/>
      <c r="AA1064" s="105"/>
    </row>
    <row r="1065" spans="12:27" ht="25" customHeight="1">
      <c r="L1065" s="31"/>
      <c r="M1065" s="31"/>
      <c r="N1065" s="31"/>
      <c r="R1065" s="32"/>
      <c r="X1065" s="35"/>
      <c r="Y1065" s="102"/>
      <c r="Z1065" s="104"/>
      <c r="AA1065" s="105"/>
    </row>
    <row r="1066" spans="12:27" ht="25" customHeight="1">
      <c r="L1066" s="31"/>
      <c r="M1066" s="31"/>
      <c r="N1066" s="31"/>
      <c r="R1066" s="32"/>
      <c r="X1066" s="35"/>
      <c r="Y1066" s="102"/>
      <c r="Z1066" s="104"/>
      <c r="AA1066" s="105"/>
    </row>
    <row r="1067" spans="12:27" ht="25" customHeight="1">
      <c r="L1067" s="31"/>
      <c r="M1067" s="31"/>
      <c r="N1067" s="31"/>
      <c r="R1067" s="32"/>
      <c r="X1067" s="35"/>
      <c r="Y1067" s="102"/>
      <c r="Z1067" s="104"/>
      <c r="AA1067" s="105"/>
    </row>
    <row r="1068" spans="12:27" ht="25" customHeight="1">
      <c r="L1068" s="31"/>
      <c r="M1068" s="31"/>
      <c r="N1068" s="31"/>
      <c r="R1068" s="32"/>
      <c r="X1068" s="35"/>
      <c r="Y1068" s="102"/>
      <c r="Z1068" s="104"/>
      <c r="AA1068" s="105"/>
    </row>
    <row r="1069" spans="12:27" ht="25" customHeight="1">
      <c r="L1069" s="31"/>
      <c r="M1069" s="31"/>
      <c r="N1069" s="31"/>
      <c r="R1069" s="32"/>
      <c r="X1069" s="35"/>
      <c r="Y1069" s="102"/>
      <c r="Z1069" s="104"/>
      <c r="AA1069" s="105"/>
    </row>
    <row r="1070" spans="12:27" ht="25" customHeight="1">
      <c r="L1070" s="31"/>
      <c r="M1070" s="31"/>
      <c r="N1070" s="31"/>
      <c r="R1070" s="32"/>
      <c r="X1070" s="35"/>
      <c r="Y1070" s="102"/>
      <c r="Z1070" s="104"/>
      <c r="AA1070" s="105"/>
    </row>
    <row r="1071" spans="12:27" ht="25" customHeight="1">
      <c r="L1071" s="31"/>
      <c r="M1071" s="31"/>
      <c r="N1071" s="31"/>
      <c r="R1071" s="32"/>
      <c r="X1071" s="35"/>
      <c r="Y1071" s="102"/>
      <c r="Z1071" s="104"/>
      <c r="AA1071" s="105"/>
    </row>
    <row r="1072" spans="12:27" ht="25" customHeight="1">
      <c r="L1072" s="31"/>
      <c r="M1072" s="31"/>
      <c r="N1072" s="31"/>
      <c r="R1072" s="32"/>
      <c r="X1072" s="35"/>
      <c r="Y1072" s="102"/>
      <c r="Z1072" s="104"/>
      <c r="AA1072" s="105"/>
    </row>
    <row r="1073" spans="12:27" ht="25" customHeight="1">
      <c r="L1073" s="31"/>
      <c r="M1073" s="31"/>
      <c r="N1073" s="31"/>
      <c r="R1073" s="32"/>
      <c r="X1073" s="35"/>
      <c r="Y1073" s="102"/>
      <c r="Z1073" s="104"/>
      <c r="AA1073" s="105"/>
    </row>
    <row r="1074" spans="12:27" ht="25" customHeight="1">
      <c r="L1074" s="31"/>
      <c r="M1074" s="31"/>
      <c r="N1074" s="31"/>
      <c r="R1074" s="32"/>
      <c r="X1074" s="35"/>
      <c r="Y1074" s="102"/>
      <c r="Z1074" s="104"/>
      <c r="AA1074" s="105"/>
    </row>
    <row r="1075" spans="12:27" ht="25" customHeight="1">
      <c r="L1075" s="31"/>
      <c r="M1075" s="31"/>
      <c r="N1075" s="31"/>
      <c r="R1075" s="32"/>
      <c r="X1075" s="35"/>
      <c r="Y1075" s="102"/>
      <c r="Z1075" s="104"/>
      <c r="AA1075" s="105"/>
    </row>
    <row r="1076" spans="12:27" ht="25" customHeight="1">
      <c r="L1076" s="31"/>
      <c r="M1076" s="31"/>
      <c r="N1076" s="31"/>
      <c r="R1076" s="32"/>
      <c r="X1076" s="35"/>
      <c r="Y1076" s="102"/>
      <c r="Z1076" s="104"/>
      <c r="AA1076" s="105"/>
    </row>
    <row r="1077" spans="12:27" ht="25" customHeight="1">
      <c r="L1077" s="31"/>
      <c r="M1077" s="31"/>
      <c r="N1077" s="31"/>
      <c r="R1077" s="32"/>
      <c r="X1077" s="35"/>
      <c r="Y1077" s="102"/>
      <c r="Z1077" s="104"/>
      <c r="AA1077" s="105"/>
    </row>
    <row r="1078" spans="12:27" ht="25" customHeight="1">
      <c r="L1078" s="31"/>
      <c r="M1078" s="31"/>
      <c r="N1078" s="31"/>
      <c r="R1078" s="32"/>
      <c r="X1078" s="35"/>
      <c r="Y1078" s="102"/>
      <c r="Z1078" s="104"/>
      <c r="AA1078" s="105"/>
    </row>
    <row r="1079" spans="12:27" ht="25" customHeight="1">
      <c r="L1079" s="31"/>
      <c r="M1079" s="31"/>
      <c r="N1079" s="31"/>
      <c r="R1079" s="32"/>
      <c r="X1079" s="35"/>
      <c r="Y1079" s="102"/>
      <c r="Z1079" s="104"/>
      <c r="AA1079" s="105"/>
    </row>
    <row r="1080" spans="12:27" ht="25" customHeight="1">
      <c r="L1080" s="31"/>
      <c r="M1080" s="31"/>
      <c r="N1080" s="31"/>
      <c r="R1080" s="32"/>
      <c r="X1080" s="35"/>
      <c r="Y1080" s="102"/>
      <c r="Z1080" s="104"/>
      <c r="AA1080" s="105"/>
    </row>
    <row r="1081" spans="12:27" ht="25" customHeight="1">
      <c r="L1081" s="31"/>
      <c r="M1081" s="31"/>
      <c r="N1081" s="31"/>
      <c r="R1081" s="32"/>
      <c r="X1081" s="35"/>
      <c r="Y1081" s="102"/>
      <c r="Z1081" s="104"/>
      <c r="AA1081" s="105"/>
    </row>
    <row r="1082" spans="12:27" ht="25" customHeight="1">
      <c r="L1082" s="31"/>
      <c r="M1082" s="31"/>
      <c r="N1082" s="31"/>
      <c r="R1082" s="32"/>
      <c r="X1082" s="35"/>
      <c r="Y1082" s="102"/>
      <c r="Z1082" s="104"/>
      <c r="AA1082" s="105"/>
    </row>
    <row r="1083" spans="12:27" ht="25" customHeight="1">
      <c r="L1083" s="31"/>
      <c r="M1083" s="31"/>
      <c r="N1083" s="31"/>
      <c r="R1083" s="32"/>
      <c r="X1083" s="35"/>
      <c r="Y1083" s="102"/>
      <c r="Z1083" s="104"/>
      <c r="AA1083" s="105"/>
    </row>
    <row r="1084" spans="12:27" ht="25" customHeight="1">
      <c r="L1084" s="31"/>
      <c r="M1084" s="31"/>
      <c r="N1084" s="31"/>
      <c r="R1084" s="32"/>
      <c r="X1084" s="35"/>
      <c r="Y1084" s="102"/>
      <c r="Z1084" s="104"/>
      <c r="AA1084" s="105"/>
    </row>
    <row r="1085" spans="12:27" ht="25" customHeight="1">
      <c r="L1085" s="31"/>
      <c r="M1085" s="31"/>
      <c r="N1085" s="31"/>
      <c r="R1085" s="32"/>
      <c r="X1085" s="35"/>
      <c r="Y1085" s="102"/>
      <c r="Z1085" s="104"/>
      <c r="AA1085" s="105"/>
    </row>
    <row r="1086" spans="12:27" ht="25" customHeight="1">
      <c r="L1086" s="31"/>
      <c r="M1086" s="31"/>
      <c r="N1086" s="31"/>
      <c r="R1086" s="32"/>
      <c r="X1086" s="35"/>
      <c r="Y1086" s="102"/>
      <c r="Z1086" s="104"/>
      <c r="AA1086" s="105"/>
    </row>
    <row r="1087" spans="12:27" ht="25" customHeight="1">
      <c r="L1087" s="31"/>
      <c r="M1087" s="31"/>
      <c r="N1087" s="31"/>
      <c r="R1087" s="32"/>
      <c r="X1087" s="35"/>
      <c r="Y1087" s="102"/>
      <c r="Z1087" s="104"/>
      <c r="AA1087" s="105"/>
    </row>
    <row r="1088" spans="12:27" ht="25" customHeight="1">
      <c r="L1088" s="31"/>
      <c r="M1088" s="31"/>
      <c r="N1088" s="31"/>
      <c r="R1088" s="32"/>
      <c r="X1088" s="35"/>
      <c r="Y1088" s="102"/>
      <c r="Z1088" s="104"/>
      <c r="AA1088" s="105"/>
    </row>
    <row r="1089" spans="12:27" ht="25" customHeight="1">
      <c r="L1089" s="31"/>
      <c r="M1089" s="31"/>
      <c r="N1089" s="31"/>
      <c r="R1089" s="32"/>
      <c r="X1089" s="35"/>
      <c r="Y1089" s="102"/>
      <c r="Z1089" s="104"/>
      <c r="AA1089" s="105"/>
    </row>
    <row r="1090" spans="12:27" ht="25" customHeight="1">
      <c r="L1090" s="31"/>
      <c r="M1090" s="31"/>
      <c r="N1090" s="31"/>
      <c r="R1090" s="32"/>
      <c r="X1090" s="35"/>
      <c r="Y1090" s="102"/>
      <c r="Z1090" s="104"/>
      <c r="AA1090" s="105"/>
    </row>
    <row r="1091" spans="12:27" ht="25" customHeight="1">
      <c r="L1091" s="31"/>
      <c r="M1091" s="31"/>
      <c r="N1091" s="31"/>
      <c r="R1091" s="32"/>
      <c r="X1091" s="35"/>
      <c r="Y1091" s="102"/>
      <c r="Z1091" s="104"/>
      <c r="AA1091" s="105"/>
    </row>
    <row r="1092" spans="12:27" ht="25" customHeight="1">
      <c r="L1092" s="31"/>
      <c r="M1092" s="31"/>
      <c r="N1092" s="31"/>
      <c r="R1092" s="32"/>
      <c r="X1092" s="35"/>
      <c r="Y1092" s="102"/>
      <c r="Z1092" s="104"/>
      <c r="AA1092" s="105"/>
    </row>
    <row r="1093" spans="12:27" ht="25" customHeight="1">
      <c r="L1093" s="31"/>
      <c r="M1093" s="31"/>
      <c r="N1093" s="31"/>
      <c r="R1093" s="32"/>
      <c r="X1093" s="35"/>
      <c r="Y1093" s="102"/>
      <c r="Z1093" s="104"/>
      <c r="AA1093" s="105"/>
    </row>
    <row r="1094" spans="12:27" ht="25" customHeight="1">
      <c r="L1094" s="31"/>
      <c r="M1094" s="31"/>
      <c r="N1094" s="31"/>
      <c r="R1094" s="32"/>
      <c r="X1094" s="35"/>
      <c r="Y1094" s="102"/>
      <c r="Z1094" s="104"/>
      <c r="AA1094" s="105"/>
    </row>
    <row r="1095" spans="12:27" ht="25" customHeight="1">
      <c r="L1095" s="31"/>
      <c r="M1095" s="31"/>
      <c r="N1095" s="31"/>
      <c r="R1095" s="32"/>
      <c r="X1095" s="35"/>
      <c r="Y1095" s="102"/>
      <c r="Z1095" s="104"/>
      <c r="AA1095" s="105"/>
    </row>
    <row r="1096" spans="12:27" ht="25" customHeight="1">
      <c r="L1096" s="31"/>
      <c r="M1096" s="31"/>
      <c r="N1096" s="31"/>
      <c r="R1096" s="32"/>
      <c r="X1096" s="35"/>
      <c r="Y1096" s="102"/>
      <c r="Z1096" s="104"/>
      <c r="AA1096" s="105"/>
    </row>
    <row r="1097" spans="12:27" ht="25" customHeight="1">
      <c r="L1097" s="31"/>
      <c r="M1097" s="31"/>
      <c r="N1097" s="31"/>
      <c r="R1097" s="32"/>
      <c r="X1097" s="35"/>
      <c r="Y1097" s="102"/>
      <c r="Z1097" s="104"/>
      <c r="AA1097" s="105"/>
    </row>
    <row r="1098" spans="12:27" ht="25" customHeight="1">
      <c r="L1098" s="31"/>
      <c r="M1098" s="31"/>
      <c r="N1098" s="31"/>
      <c r="R1098" s="32"/>
      <c r="X1098" s="35"/>
      <c r="Y1098" s="102"/>
      <c r="Z1098" s="104"/>
      <c r="AA1098" s="105"/>
    </row>
    <row r="1099" spans="12:27" ht="25" customHeight="1">
      <c r="L1099" s="31"/>
      <c r="M1099" s="31"/>
      <c r="N1099" s="31"/>
      <c r="R1099" s="32"/>
      <c r="X1099" s="35"/>
      <c r="Y1099" s="102"/>
      <c r="Z1099" s="104"/>
      <c r="AA1099" s="105"/>
    </row>
    <row r="1100" spans="12:27" ht="25" customHeight="1">
      <c r="L1100" s="31"/>
      <c r="M1100" s="31"/>
      <c r="N1100" s="31"/>
      <c r="R1100" s="32"/>
      <c r="X1100" s="35"/>
      <c r="Y1100" s="102"/>
      <c r="Z1100" s="104"/>
      <c r="AA1100" s="105"/>
    </row>
    <row r="1101" spans="12:27" ht="25" customHeight="1">
      <c r="L1101" s="31"/>
      <c r="M1101" s="31"/>
      <c r="N1101" s="31"/>
      <c r="R1101" s="32"/>
      <c r="X1101" s="35"/>
      <c r="Y1101" s="102"/>
      <c r="Z1101" s="104"/>
      <c r="AA1101" s="105"/>
    </row>
    <row r="1102" spans="12:27" ht="25" customHeight="1">
      <c r="L1102" s="31"/>
      <c r="M1102" s="31"/>
      <c r="N1102" s="31"/>
      <c r="R1102" s="32"/>
      <c r="X1102" s="35"/>
      <c r="Y1102" s="102"/>
      <c r="Z1102" s="104"/>
      <c r="AA1102" s="105"/>
    </row>
    <row r="1103" spans="12:27" ht="25" customHeight="1">
      <c r="L1103" s="31"/>
      <c r="M1103" s="31"/>
      <c r="N1103" s="31"/>
      <c r="R1103" s="32"/>
      <c r="X1103" s="35"/>
      <c r="Y1103" s="102"/>
      <c r="Z1103" s="104"/>
      <c r="AA1103" s="105"/>
    </row>
    <row r="1104" spans="12:27" ht="25" customHeight="1">
      <c r="L1104" s="31"/>
      <c r="M1104" s="31"/>
      <c r="N1104" s="31"/>
      <c r="R1104" s="32"/>
      <c r="X1104" s="35"/>
      <c r="Y1104" s="102"/>
      <c r="Z1104" s="104"/>
      <c r="AA1104" s="105"/>
    </row>
    <row r="1105" spans="12:27" ht="25" customHeight="1">
      <c r="L1105" s="31"/>
      <c r="M1105" s="31"/>
      <c r="N1105" s="31"/>
      <c r="R1105" s="32"/>
      <c r="X1105" s="35"/>
      <c r="Y1105" s="102"/>
      <c r="Z1105" s="104"/>
      <c r="AA1105" s="105"/>
    </row>
    <row r="1106" spans="12:27" ht="25" customHeight="1">
      <c r="L1106" s="31"/>
      <c r="M1106" s="31"/>
      <c r="N1106" s="31"/>
      <c r="R1106" s="32"/>
      <c r="X1106" s="35"/>
      <c r="Y1106" s="102"/>
      <c r="Z1106" s="104"/>
      <c r="AA1106" s="105"/>
    </row>
    <row r="1107" spans="12:27" ht="25" customHeight="1">
      <c r="L1107" s="31"/>
      <c r="M1107" s="31"/>
      <c r="N1107" s="31"/>
      <c r="R1107" s="32"/>
      <c r="X1107" s="35"/>
      <c r="Y1107" s="102"/>
      <c r="Z1107" s="104"/>
      <c r="AA1107" s="105"/>
    </row>
    <row r="1108" spans="12:27" ht="25" customHeight="1">
      <c r="L1108" s="31"/>
      <c r="M1108" s="31"/>
      <c r="N1108" s="31"/>
      <c r="R1108" s="32"/>
      <c r="X1108" s="35"/>
      <c r="Y1108" s="102"/>
      <c r="Z1108" s="104"/>
      <c r="AA1108" s="105"/>
    </row>
    <row r="1109" spans="12:27" ht="25" customHeight="1">
      <c r="L1109" s="31"/>
      <c r="M1109" s="31"/>
      <c r="N1109" s="31"/>
      <c r="R1109" s="32"/>
      <c r="X1109" s="35"/>
      <c r="Y1109" s="102"/>
      <c r="Z1109" s="104"/>
      <c r="AA1109" s="105"/>
    </row>
    <row r="1110" spans="12:27" ht="25" customHeight="1">
      <c r="L1110" s="31"/>
      <c r="M1110" s="31"/>
      <c r="N1110" s="31"/>
      <c r="R1110" s="32"/>
      <c r="X1110" s="35"/>
      <c r="Y1110" s="102"/>
      <c r="Z1110" s="104"/>
      <c r="AA1110" s="105"/>
    </row>
    <row r="1111" spans="12:27" ht="25" customHeight="1">
      <c r="L1111" s="31"/>
      <c r="M1111" s="31"/>
      <c r="N1111" s="31"/>
      <c r="R1111" s="32"/>
      <c r="X1111" s="35"/>
      <c r="Y1111" s="102"/>
      <c r="Z1111" s="104"/>
      <c r="AA1111" s="105"/>
    </row>
    <row r="1112" spans="12:27" ht="25" customHeight="1">
      <c r="L1112" s="31"/>
      <c r="M1112" s="31"/>
      <c r="N1112" s="31"/>
      <c r="R1112" s="32"/>
      <c r="X1112" s="35"/>
      <c r="Y1112" s="102"/>
      <c r="Z1112" s="104"/>
      <c r="AA1112" s="105"/>
    </row>
    <row r="1113" spans="12:27" ht="25" customHeight="1">
      <c r="L1113" s="31"/>
      <c r="M1113" s="31"/>
      <c r="N1113" s="31"/>
      <c r="R1113" s="32"/>
      <c r="X1113" s="35"/>
      <c r="Y1113" s="102"/>
      <c r="Z1113" s="104"/>
      <c r="AA1113" s="105"/>
    </row>
    <row r="1114" spans="12:27" ht="25" customHeight="1">
      <c r="L1114" s="31"/>
      <c r="M1114" s="31"/>
      <c r="N1114" s="31"/>
      <c r="R1114" s="32"/>
      <c r="X1114" s="35"/>
      <c r="Y1114" s="102"/>
      <c r="Z1114" s="104"/>
      <c r="AA1114" s="105"/>
    </row>
    <row r="1115" spans="12:27" ht="25" customHeight="1">
      <c r="L1115" s="31"/>
      <c r="M1115" s="31"/>
      <c r="N1115" s="31"/>
      <c r="R1115" s="32"/>
      <c r="X1115" s="35"/>
      <c r="Y1115" s="102"/>
      <c r="Z1115" s="104"/>
      <c r="AA1115" s="105"/>
    </row>
    <row r="1116" spans="12:27" ht="25" customHeight="1">
      <c r="L1116" s="31"/>
      <c r="M1116" s="31"/>
      <c r="N1116" s="31"/>
      <c r="R1116" s="32"/>
      <c r="X1116" s="35"/>
      <c r="Y1116" s="102"/>
      <c r="Z1116" s="104"/>
      <c r="AA1116" s="105"/>
    </row>
    <row r="1117" spans="12:27" ht="25" customHeight="1">
      <c r="L1117" s="31"/>
      <c r="M1117" s="31"/>
      <c r="N1117" s="31"/>
      <c r="R1117" s="32"/>
      <c r="X1117" s="35"/>
      <c r="Y1117" s="102"/>
      <c r="Z1117" s="104"/>
      <c r="AA1117" s="105"/>
    </row>
    <row r="1118" spans="12:27" ht="25" customHeight="1">
      <c r="L1118" s="31"/>
      <c r="M1118" s="31"/>
      <c r="N1118" s="31"/>
      <c r="R1118" s="32"/>
      <c r="X1118" s="35"/>
      <c r="Y1118" s="102"/>
      <c r="Z1118" s="104"/>
      <c r="AA1118" s="105"/>
    </row>
    <row r="1119" spans="12:27" ht="25" customHeight="1">
      <c r="L1119" s="31"/>
      <c r="M1119" s="31"/>
      <c r="N1119" s="31"/>
      <c r="R1119" s="32"/>
      <c r="X1119" s="35"/>
      <c r="Y1119" s="102"/>
      <c r="Z1119" s="104"/>
      <c r="AA1119" s="105"/>
    </row>
    <row r="1120" spans="12:27" ht="25" customHeight="1">
      <c r="L1120" s="31"/>
      <c r="M1120" s="31"/>
      <c r="N1120" s="31"/>
      <c r="R1120" s="32"/>
      <c r="X1120" s="35"/>
      <c r="Y1120" s="102"/>
      <c r="Z1120" s="104"/>
      <c r="AA1120" s="105"/>
    </row>
    <row r="1121" spans="12:27" ht="25" customHeight="1">
      <c r="L1121" s="31"/>
      <c r="M1121" s="31"/>
      <c r="N1121" s="31"/>
      <c r="R1121" s="32"/>
      <c r="X1121" s="35"/>
      <c r="Y1121" s="102"/>
      <c r="Z1121" s="104"/>
      <c r="AA1121" s="105"/>
    </row>
    <row r="1122" spans="12:27" ht="25" customHeight="1">
      <c r="L1122" s="31"/>
      <c r="M1122" s="31"/>
      <c r="N1122" s="31"/>
      <c r="R1122" s="32"/>
      <c r="X1122" s="35"/>
      <c r="Y1122" s="102"/>
      <c r="Z1122" s="104"/>
      <c r="AA1122" s="105"/>
    </row>
    <row r="1123" spans="12:27" ht="25" customHeight="1">
      <c r="L1123" s="31"/>
      <c r="M1123" s="31"/>
      <c r="N1123" s="31"/>
      <c r="R1123" s="32"/>
      <c r="X1123" s="35"/>
      <c r="Y1123" s="102"/>
      <c r="Z1123" s="104"/>
      <c r="AA1123" s="105"/>
    </row>
    <row r="1124" spans="12:27" ht="25" customHeight="1">
      <c r="L1124" s="31"/>
      <c r="M1124" s="31"/>
      <c r="N1124" s="31"/>
      <c r="R1124" s="32"/>
      <c r="X1124" s="35"/>
      <c r="Y1124" s="102"/>
      <c r="Z1124" s="104"/>
      <c r="AA1124" s="105"/>
    </row>
    <row r="1125" spans="12:27" ht="25" customHeight="1">
      <c r="L1125" s="31"/>
      <c r="M1125" s="31"/>
      <c r="N1125" s="31"/>
      <c r="R1125" s="32"/>
      <c r="X1125" s="35"/>
      <c r="Y1125" s="102"/>
      <c r="Z1125" s="104"/>
      <c r="AA1125" s="105"/>
    </row>
    <row r="1126" spans="12:27" ht="25" customHeight="1">
      <c r="L1126" s="31"/>
      <c r="M1126" s="31"/>
      <c r="N1126" s="31"/>
      <c r="R1126" s="32"/>
      <c r="X1126" s="35"/>
      <c r="Y1126" s="102"/>
      <c r="Z1126" s="104"/>
      <c r="AA1126" s="105"/>
    </row>
    <row r="1127" spans="12:27" ht="25" customHeight="1">
      <c r="L1127" s="31"/>
      <c r="M1127" s="31"/>
      <c r="N1127" s="31"/>
      <c r="R1127" s="32"/>
      <c r="X1127" s="35"/>
      <c r="Y1127" s="102"/>
      <c r="Z1127" s="104"/>
      <c r="AA1127" s="105"/>
    </row>
    <row r="1128" spans="12:27" ht="25" customHeight="1">
      <c r="L1128" s="31"/>
      <c r="M1128" s="31"/>
      <c r="N1128" s="31"/>
      <c r="R1128" s="32"/>
      <c r="X1128" s="35"/>
      <c r="Y1128" s="102"/>
      <c r="Z1128" s="104"/>
      <c r="AA1128" s="105"/>
    </row>
    <row r="1129" spans="12:27" ht="25" customHeight="1">
      <c r="L1129" s="31"/>
      <c r="M1129" s="31"/>
      <c r="N1129" s="31"/>
      <c r="R1129" s="32"/>
      <c r="X1129" s="35"/>
      <c r="Y1129" s="102"/>
      <c r="Z1129" s="104"/>
      <c r="AA1129" s="105"/>
    </row>
    <row r="1130" spans="12:27" ht="25" customHeight="1">
      <c r="L1130" s="31"/>
      <c r="M1130" s="31"/>
      <c r="N1130" s="31"/>
      <c r="R1130" s="32"/>
      <c r="X1130" s="35"/>
      <c r="Y1130" s="102"/>
      <c r="Z1130" s="104"/>
      <c r="AA1130" s="105"/>
    </row>
    <row r="1131" spans="12:27" ht="25" customHeight="1">
      <c r="L1131" s="31"/>
      <c r="M1131" s="31"/>
      <c r="N1131" s="31"/>
      <c r="R1131" s="32"/>
      <c r="X1131" s="35"/>
      <c r="Y1131" s="102"/>
      <c r="Z1131" s="104"/>
      <c r="AA1131" s="105"/>
    </row>
    <row r="1132" spans="12:27" ht="25" customHeight="1">
      <c r="L1132" s="31"/>
      <c r="M1132" s="31"/>
      <c r="N1132" s="31"/>
      <c r="R1132" s="32"/>
      <c r="X1132" s="35"/>
      <c r="Y1132" s="102"/>
      <c r="Z1132" s="104"/>
      <c r="AA1132" s="105"/>
    </row>
    <row r="1133" spans="12:27" ht="25" customHeight="1">
      <c r="L1133" s="31"/>
      <c r="M1133" s="31"/>
      <c r="N1133" s="31"/>
      <c r="R1133" s="32"/>
      <c r="X1133" s="35"/>
      <c r="Y1133" s="102"/>
      <c r="Z1133" s="104"/>
      <c r="AA1133" s="105"/>
    </row>
    <row r="1134" spans="12:27" ht="25" customHeight="1">
      <c r="L1134" s="31"/>
      <c r="M1134" s="31"/>
      <c r="N1134" s="31"/>
      <c r="R1134" s="32"/>
      <c r="X1134" s="35"/>
      <c r="Y1134" s="102"/>
      <c r="Z1134" s="104"/>
      <c r="AA1134" s="105"/>
    </row>
    <row r="1135" spans="12:27" ht="25" customHeight="1">
      <c r="L1135" s="31"/>
      <c r="M1135" s="31"/>
      <c r="N1135" s="31"/>
      <c r="R1135" s="32"/>
      <c r="X1135" s="35"/>
      <c r="Y1135" s="102"/>
      <c r="Z1135" s="104"/>
      <c r="AA1135" s="105"/>
    </row>
    <row r="1136" spans="12:27" ht="25" customHeight="1">
      <c r="L1136" s="31"/>
      <c r="M1136" s="31"/>
      <c r="N1136" s="31"/>
      <c r="R1136" s="32"/>
      <c r="X1136" s="35"/>
      <c r="Y1136" s="102"/>
      <c r="Z1136" s="104"/>
      <c r="AA1136" s="105"/>
    </row>
    <row r="1137" spans="12:27" ht="25" customHeight="1">
      <c r="L1137" s="31"/>
      <c r="M1137" s="31"/>
      <c r="N1137" s="31"/>
      <c r="R1137" s="32"/>
      <c r="X1137" s="35"/>
      <c r="Y1137" s="102"/>
      <c r="Z1137" s="104"/>
      <c r="AA1137" s="105"/>
    </row>
    <row r="1138" spans="12:27" ht="25" customHeight="1">
      <c r="L1138" s="31"/>
      <c r="M1138" s="31"/>
      <c r="N1138" s="31"/>
      <c r="R1138" s="32"/>
      <c r="X1138" s="35"/>
      <c r="Y1138" s="102"/>
      <c r="Z1138" s="104"/>
      <c r="AA1138" s="105"/>
    </row>
    <row r="1139" spans="12:27" ht="25" customHeight="1">
      <c r="L1139" s="31"/>
      <c r="M1139" s="31"/>
      <c r="N1139" s="31"/>
      <c r="R1139" s="32"/>
      <c r="X1139" s="35"/>
      <c r="Y1139" s="102"/>
      <c r="Z1139" s="104"/>
      <c r="AA1139" s="105"/>
    </row>
    <row r="1140" spans="12:27" ht="25" customHeight="1">
      <c r="L1140" s="31"/>
      <c r="M1140" s="31"/>
      <c r="N1140" s="31"/>
      <c r="R1140" s="32"/>
      <c r="X1140" s="35"/>
      <c r="Y1140" s="102"/>
      <c r="Z1140" s="104"/>
      <c r="AA1140" s="105"/>
    </row>
    <row r="1141" spans="12:27" ht="25" customHeight="1">
      <c r="L1141" s="31"/>
      <c r="M1141" s="31"/>
      <c r="N1141" s="31"/>
      <c r="R1141" s="32"/>
      <c r="X1141" s="35"/>
      <c r="Y1141" s="102"/>
      <c r="Z1141" s="104"/>
      <c r="AA1141" s="105"/>
    </row>
    <row r="1142" spans="12:27" ht="25" customHeight="1">
      <c r="L1142" s="31"/>
      <c r="M1142" s="31"/>
      <c r="N1142" s="31"/>
      <c r="R1142" s="32"/>
      <c r="X1142" s="35"/>
      <c r="Y1142" s="102"/>
      <c r="Z1142" s="104"/>
      <c r="AA1142" s="105"/>
    </row>
    <row r="1143" spans="12:27" ht="25" customHeight="1">
      <c r="L1143" s="31"/>
      <c r="M1143" s="31"/>
      <c r="N1143" s="31"/>
      <c r="R1143" s="32"/>
      <c r="X1143" s="35"/>
      <c r="Y1143" s="102"/>
      <c r="Z1143" s="104"/>
      <c r="AA1143" s="105"/>
    </row>
    <row r="1144" spans="12:27" ht="25" customHeight="1">
      <c r="L1144" s="31"/>
      <c r="M1144" s="31"/>
      <c r="N1144" s="31"/>
      <c r="R1144" s="32"/>
      <c r="X1144" s="35"/>
      <c r="Y1144" s="102"/>
      <c r="Z1144" s="104"/>
      <c r="AA1144" s="105"/>
    </row>
    <row r="1145" spans="12:27" ht="25" customHeight="1">
      <c r="L1145" s="31"/>
      <c r="M1145" s="31"/>
      <c r="N1145" s="31"/>
      <c r="R1145" s="32"/>
      <c r="X1145" s="35"/>
      <c r="Y1145" s="102"/>
      <c r="Z1145" s="104"/>
      <c r="AA1145" s="105"/>
    </row>
    <row r="1146" spans="12:27" ht="25" customHeight="1">
      <c r="L1146" s="31"/>
      <c r="M1146" s="31"/>
      <c r="N1146" s="31"/>
      <c r="R1146" s="32"/>
      <c r="X1146" s="35"/>
      <c r="Y1146" s="102"/>
      <c r="Z1146" s="104"/>
      <c r="AA1146" s="105"/>
    </row>
    <row r="1147" spans="12:27" ht="25" customHeight="1">
      <c r="L1147" s="31"/>
      <c r="M1147" s="31"/>
      <c r="N1147" s="31"/>
      <c r="R1147" s="32"/>
      <c r="X1147" s="35"/>
      <c r="Y1147" s="102"/>
      <c r="Z1147" s="104"/>
      <c r="AA1147" s="105"/>
    </row>
    <row r="1148" spans="12:27" ht="25" customHeight="1">
      <c r="L1148" s="31"/>
      <c r="M1148" s="31"/>
      <c r="N1148" s="31"/>
      <c r="R1148" s="32"/>
      <c r="X1148" s="35"/>
      <c r="Y1148" s="102"/>
      <c r="Z1148" s="104"/>
      <c r="AA1148" s="105"/>
    </row>
    <row r="1149" spans="12:27" ht="25" customHeight="1">
      <c r="L1149" s="31"/>
      <c r="M1149" s="31"/>
      <c r="N1149" s="31"/>
      <c r="X1149" s="35"/>
      <c r="Y1149" s="102"/>
      <c r="Z1149" s="104"/>
      <c r="AA1149" s="105"/>
    </row>
    <row r="1150" spans="12:27" ht="25" customHeight="1">
      <c r="L1150" s="31"/>
      <c r="M1150" s="31"/>
      <c r="N1150" s="31"/>
      <c r="X1150" s="35"/>
      <c r="Y1150" s="102"/>
      <c r="Z1150" s="104"/>
      <c r="AA1150" s="105"/>
    </row>
    <row r="1151" spans="12:27" ht="25" customHeight="1">
      <c r="L1151" s="31"/>
      <c r="M1151" s="31"/>
      <c r="N1151" s="31"/>
      <c r="X1151" s="35"/>
      <c r="Y1151" s="102"/>
      <c r="Z1151" s="104"/>
      <c r="AA1151" s="105"/>
    </row>
    <row r="1152" spans="12:27" ht="25" customHeight="1">
      <c r="L1152" s="31"/>
      <c r="M1152" s="31"/>
      <c r="N1152" s="31"/>
      <c r="X1152" s="35"/>
      <c r="Y1152" s="102"/>
      <c r="Z1152" s="104"/>
      <c r="AA1152" s="105"/>
    </row>
    <row r="1153" spans="12:27" ht="25" customHeight="1">
      <c r="L1153" s="31"/>
      <c r="M1153" s="31"/>
      <c r="N1153" s="31"/>
      <c r="X1153" s="35"/>
      <c r="Y1153" s="102"/>
      <c r="Z1153" s="104"/>
      <c r="AA1153" s="105"/>
    </row>
    <row r="1154" spans="12:27" ht="25" customHeight="1">
      <c r="L1154" s="31"/>
      <c r="M1154" s="31"/>
      <c r="N1154" s="31"/>
      <c r="X1154" s="35"/>
      <c r="Y1154" s="102"/>
      <c r="Z1154" s="104"/>
      <c r="AA1154" s="105"/>
    </row>
    <row r="1155" spans="12:27" ht="25" customHeight="1">
      <c r="L1155" s="31"/>
      <c r="M1155" s="31"/>
      <c r="N1155" s="31"/>
      <c r="X1155" s="35"/>
      <c r="Y1155" s="102"/>
      <c r="Z1155" s="104"/>
      <c r="AA1155" s="105"/>
    </row>
    <row r="1156" spans="12:27" ht="25" customHeight="1">
      <c r="L1156" s="31"/>
      <c r="M1156" s="31"/>
      <c r="N1156" s="31"/>
      <c r="X1156" s="35"/>
      <c r="Y1156" s="102"/>
      <c r="Z1156" s="104"/>
      <c r="AA1156" s="105"/>
    </row>
    <row r="1157" spans="12:27" ht="25" customHeight="1">
      <c r="L1157" s="31"/>
      <c r="M1157" s="31"/>
      <c r="N1157" s="31"/>
      <c r="X1157" s="35"/>
      <c r="Y1157" s="102"/>
      <c r="Z1157" s="104"/>
      <c r="AA1157" s="105"/>
    </row>
    <row r="1158" spans="12:27" ht="25" customHeight="1">
      <c r="L1158" s="31"/>
      <c r="M1158" s="31"/>
      <c r="N1158" s="31"/>
      <c r="X1158" s="35"/>
      <c r="Y1158" s="102"/>
      <c r="Z1158" s="104"/>
      <c r="AA1158" s="105"/>
    </row>
    <row r="1159" spans="12:27" ht="25" customHeight="1">
      <c r="L1159" s="31"/>
      <c r="M1159" s="31"/>
      <c r="N1159" s="31"/>
      <c r="X1159" s="35"/>
      <c r="Y1159" s="102"/>
      <c r="Z1159" s="104"/>
      <c r="AA1159" s="105"/>
    </row>
    <row r="1160" spans="12:27" ht="25" customHeight="1">
      <c r="L1160" s="31"/>
      <c r="M1160" s="31"/>
      <c r="N1160" s="31"/>
      <c r="X1160" s="35"/>
      <c r="Y1160" s="102"/>
      <c r="Z1160" s="104"/>
      <c r="AA1160" s="105"/>
    </row>
    <row r="1161" spans="12:27" ht="25" customHeight="1">
      <c r="L1161" s="31"/>
      <c r="M1161" s="31"/>
      <c r="N1161" s="31"/>
      <c r="X1161" s="35"/>
      <c r="Y1161" s="102"/>
      <c r="Z1161" s="104"/>
      <c r="AA1161" s="105"/>
    </row>
    <row r="1162" spans="12:27" ht="25" customHeight="1">
      <c r="L1162" s="31"/>
      <c r="M1162" s="31"/>
      <c r="N1162" s="31"/>
      <c r="X1162" s="35"/>
      <c r="Y1162" s="102"/>
      <c r="Z1162" s="104"/>
      <c r="AA1162" s="105"/>
    </row>
    <row r="1163" spans="12:27" ht="25" customHeight="1">
      <c r="L1163" s="31"/>
      <c r="M1163" s="31"/>
      <c r="N1163" s="31"/>
      <c r="X1163" s="35"/>
      <c r="Y1163" s="102"/>
      <c r="Z1163" s="104"/>
      <c r="AA1163" s="105"/>
    </row>
    <row r="1164" spans="12:27" ht="25" customHeight="1">
      <c r="L1164" s="31"/>
      <c r="M1164" s="31"/>
      <c r="N1164" s="31"/>
      <c r="X1164" s="35"/>
      <c r="Y1164" s="102"/>
      <c r="Z1164" s="104"/>
      <c r="AA1164" s="105"/>
    </row>
    <row r="1165" spans="12:27" ht="25" customHeight="1">
      <c r="L1165" s="31"/>
      <c r="M1165" s="31"/>
      <c r="N1165" s="31"/>
      <c r="X1165" s="35"/>
      <c r="Y1165" s="102"/>
      <c r="Z1165" s="104"/>
      <c r="AA1165" s="105"/>
    </row>
    <row r="1166" spans="12:27" ht="25" customHeight="1">
      <c r="L1166" s="31"/>
      <c r="M1166" s="31"/>
      <c r="N1166" s="31"/>
      <c r="X1166" s="35"/>
      <c r="Y1166" s="102"/>
      <c r="Z1166" s="104"/>
      <c r="AA1166" s="105"/>
    </row>
    <row r="1167" spans="12:27" ht="25" customHeight="1">
      <c r="L1167" s="31"/>
      <c r="M1167" s="31"/>
      <c r="N1167" s="31"/>
      <c r="X1167" s="35"/>
      <c r="Y1167" s="102"/>
      <c r="Z1167" s="104"/>
      <c r="AA1167" s="105"/>
    </row>
    <row r="1168" spans="12:27" ht="25" customHeight="1">
      <c r="L1168" s="31"/>
      <c r="M1168" s="31"/>
      <c r="N1168" s="31"/>
      <c r="X1168" s="35"/>
      <c r="Y1168" s="102"/>
      <c r="Z1168" s="104"/>
      <c r="AA1168" s="105"/>
    </row>
    <row r="1169" spans="12:27" ht="25" customHeight="1">
      <c r="L1169" s="31"/>
      <c r="M1169" s="31"/>
      <c r="N1169" s="31"/>
      <c r="X1169" s="35"/>
      <c r="Y1169" s="102"/>
      <c r="Z1169" s="104"/>
      <c r="AA1169" s="105"/>
    </row>
    <row r="1170" spans="12:27" ht="25" customHeight="1">
      <c r="L1170" s="31"/>
      <c r="M1170" s="31"/>
      <c r="N1170" s="31"/>
      <c r="X1170" s="35"/>
      <c r="Y1170" s="102"/>
      <c r="Z1170" s="104"/>
      <c r="AA1170" s="105"/>
    </row>
    <row r="1171" spans="12:27" ht="25" customHeight="1">
      <c r="L1171" s="31"/>
      <c r="M1171" s="31"/>
      <c r="N1171" s="31"/>
      <c r="X1171" s="35"/>
      <c r="Y1171" s="102"/>
      <c r="Z1171" s="104"/>
      <c r="AA1171" s="105"/>
    </row>
    <row r="1172" spans="12:27" ht="25" customHeight="1">
      <c r="L1172" s="31"/>
      <c r="M1172" s="31"/>
      <c r="N1172" s="31"/>
      <c r="X1172" s="35"/>
      <c r="Y1172" s="102"/>
      <c r="Z1172" s="104"/>
      <c r="AA1172" s="105"/>
    </row>
    <row r="1173" spans="12:27" ht="25" customHeight="1">
      <c r="L1173" s="31"/>
      <c r="M1173" s="31"/>
      <c r="N1173" s="31"/>
      <c r="X1173" s="35"/>
      <c r="Y1173" s="102"/>
      <c r="Z1173" s="104"/>
      <c r="AA1173" s="105"/>
    </row>
    <row r="1174" spans="12:27" ht="25" customHeight="1">
      <c r="L1174" s="31"/>
      <c r="M1174" s="31"/>
      <c r="N1174" s="31"/>
      <c r="X1174" s="35"/>
      <c r="Y1174" s="102"/>
      <c r="Z1174" s="104"/>
      <c r="AA1174" s="105"/>
    </row>
    <row r="1175" spans="12:27" ht="25" customHeight="1">
      <c r="L1175" s="31"/>
      <c r="M1175" s="31"/>
      <c r="N1175" s="31"/>
      <c r="X1175" s="35"/>
      <c r="Y1175" s="102"/>
      <c r="Z1175" s="104"/>
      <c r="AA1175" s="105"/>
    </row>
    <row r="1176" spans="12:27" ht="25" customHeight="1">
      <c r="L1176" s="31"/>
      <c r="M1176" s="31"/>
      <c r="N1176" s="31"/>
      <c r="X1176" s="35"/>
      <c r="Y1176" s="102"/>
      <c r="Z1176" s="104"/>
      <c r="AA1176" s="105"/>
    </row>
    <row r="1177" spans="12:27" ht="25" customHeight="1">
      <c r="L1177" s="31"/>
      <c r="M1177" s="31"/>
      <c r="N1177" s="31"/>
      <c r="X1177" s="35"/>
      <c r="Y1177" s="102"/>
      <c r="Z1177" s="104"/>
      <c r="AA1177" s="105"/>
    </row>
    <row r="1178" spans="12:27" ht="25" customHeight="1">
      <c r="L1178" s="31"/>
      <c r="M1178" s="31"/>
      <c r="N1178" s="31"/>
      <c r="X1178" s="35"/>
      <c r="Y1178" s="102"/>
      <c r="Z1178" s="104"/>
      <c r="AA1178" s="105"/>
    </row>
    <row r="1179" spans="12:27" ht="25" customHeight="1">
      <c r="L1179" s="31"/>
      <c r="M1179" s="31"/>
      <c r="N1179" s="31"/>
      <c r="X1179" s="35"/>
      <c r="Y1179" s="102"/>
      <c r="Z1179" s="104"/>
      <c r="AA1179" s="105"/>
    </row>
    <row r="1180" spans="12:27" ht="25" customHeight="1">
      <c r="L1180" s="31"/>
      <c r="M1180" s="31"/>
      <c r="N1180" s="31"/>
      <c r="X1180" s="35"/>
      <c r="Y1180" s="102"/>
      <c r="Z1180" s="104"/>
      <c r="AA1180" s="105"/>
    </row>
    <row r="1181" spans="12:27" ht="25" customHeight="1">
      <c r="L1181" s="31"/>
      <c r="M1181" s="31"/>
      <c r="N1181" s="31"/>
      <c r="X1181" s="35"/>
      <c r="Y1181" s="102"/>
      <c r="Z1181" s="104"/>
      <c r="AA1181" s="105"/>
    </row>
    <row r="1182" spans="12:27" ht="25" customHeight="1">
      <c r="L1182" s="31"/>
      <c r="M1182" s="31"/>
      <c r="N1182" s="31"/>
      <c r="X1182" s="35"/>
      <c r="Y1182" s="102"/>
      <c r="Z1182" s="104"/>
      <c r="AA1182" s="105"/>
    </row>
    <row r="1183" spans="12:27" ht="25" customHeight="1">
      <c r="L1183" s="31"/>
      <c r="M1183" s="31"/>
      <c r="N1183" s="31"/>
      <c r="X1183" s="35"/>
      <c r="Y1183" s="102"/>
      <c r="Z1183" s="104"/>
      <c r="AA1183" s="105"/>
    </row>
    <row r="1184" spans="12:27" ht="25" customHeight="1">
      <c r="L1184" s="31"/>
      <c r="M1184" s="31"/>
      <c r="N1184" s="31"/>
      <c r="X1184" s="35"/>
      <c r="Y1184" s="102"/>
      <c r="Z1184" s="104"/>
      <c r="AA1184" s="105"/>
    </row>
    <row r="1185" spans="12:27" ht="25" customHeight="1">
      <c r="L1185" s="31"/>
      <c r="M1185" s="31"/>
      <c r="N1185" s="31"/>
      <c r="X1185" s="35"/>
      <c r="Y1185" s="102"/>
      <c r="Z1185" s="104"/>
      <c r="AA1185" s="105"/>
    </row>
    <row r="1186" spans="12:27" ht="25" customHeight="1">
      <c r="L1186" s="31"/>
      <c r="M1186" s="31"/>
      <c r="N1186" s="31"/>
      <c r="X1186" s="35"/>
      <c r="Y1186" s="102"/>
      <c r="Z1186" s="104"/>
      <c r="AA1186" s="105"/>
    </row>
    <row r="1187" spans="12:27" ht="25" customHeight="1">
      <c r="L1187" s="31"/>
      <c r="M1187" s="31"/>
      <c r="N1187" s="31"/>
      <c r="X1187" s="35"/>
      <c r="Y1187" s="102"/>
      <c r="Z1187" s="104"/>
      <c r="AA1187" s="105"/>
    </row>
    <row r="1188" spans="12:27" ht="25" customHeight="1">
      <c r="L1188" s="31"/>
      <c r="M1188" s="31"/>
      <c r="N1188" s="31"/>
      <c r="X1188" s="35"/>
      <c r="Y1188" s="102"/>
      <c r="Z1188" s="104"/>
      <c r="AA1188" s="105"/>
    </row>
    <row r="1189" spans="12:27" ht="25" customHeight="1">
      <c r="L1189" s="31"/>
      <c r="M1189" s="31"/>
      <c r="N1189" s="31"/>
      <c r="X1189" s="35"/>
      <c r="Y1189" s="102"/>
      <c r="Z1189" s="104"/>
      <c r="AA1189" s="105"/>
    </row>
    <row r="1190" spans="12:27" ht="25" customHeight="1">
      <c r="L1190" s="31"/>
      <c r="M1190" s="31"/>
      <c r="N1190" s="31"/>
      <c r="X1190" s="35"/>
      <c r="Y1190" s="102"/>
      <c r="Z1190" s="104"/>
      <c r="AA1190" s="105"/>
    </row>
    <row r="1191" spans="12:27" ht="25" customHeight="1">
      <c r="L1191" s="31"/>
      <c r="M1191" s="31"/>
      <c r="N1191" s="31"/>
      <c r="X1191" s="35"/>
      <c r="Y1191" s="102"/>
      <c r="Z1191" s="104"/>
      <c r="AA1191" s="105"/>
    </row>
    <row r="1192" spans="12:27" ht="25" customHeight="1">
      <c r="L1192" s="31"/>
      <c r="M1192" s="31"/>
      <c r="N1192" s="31"/>
      <c r="X1192" s="35"/>
      <c r="Y1192" s="102"/>
      <c r="Z1192" s="104"/>
      <c r="AA1192" s="105"/>
    </row>
    <row r="1193" spans="12:27" ht="25" customHeight="1">
      <c r="L1193" s="31"/>
      <c r="M1193" s="31"/>
      <c r="N1193" s="31"/>
      <c r="X1193" s="35"/>
      <c r="Y1193" s="102"/>
      <c r="Z1193" s="104"/>
      <c r="AA1193" s="105"/>
    </row>
    <row r="1194" spans="12:27" ht="25" customHeight="1">
      <c r="L1194" s="31"/>
      <c r="M1194" s="31"/>
      <c r="N1194" s="31"/>
      <c r="X1194" s="35"/>
      <c r="Y1194" s="102"/>
      <c r="Z1194" s="104"/>
      <c r="AA1194" s="105"/>
    </row>
    <row r="1195" spans="12:27" ht="25" customHeight="1">
      <c r="L1195" s="31"/>
      <c r="M1195" s="31"/>
      <c r="N1195" s="31"/>
      <c r="X1195" s="35"/>
      <c r="Y1195" s="102"/>
      <c r="Z1195" s="104"/>
      <c r="AA1195" s="105"/>
    </row>
    <row r="1196" spans="12:27" ht="25" customHeight="1">
      <c r="L1196" s="31"/>
      <c r="M1196" s="31"/>
      <c r="N1196" s="31"/>
      <c r="X1196" s="35"/>
      <c r="Y1196" s="102"/>
      <c r="Z1196" s="104"/>
      <c r="AA1196" s="105"/>
    </row>
    <row r="1197" spans="12:27" ht="25" customHeight="1">
      <c r="L1197" s="31"/>
      <c r="M1197" s="31"/>
      <c r="N1197" s="31"/>
      <c r="X1197" s="35"/>
      <c r="Y1197" s="102"/>
      <c r="Z1197" s="104"/>
      <c r="AA1197" s="105"/>
    </row>
    <row r="1198" spans="12:27" ht="25" customHeight="1">
      <c r="L1198" s="31"/>
      <c r="M1198" s="31"/>
      <c r="N1198" s="31"/>
      <c r="X1198" s="35"/>
      <c r="Y1198" s="102"/>
      <c r="Z1198" s="104"/>
      <c r="AA1198" s="105"/>
    </row>
    <row r="1199" spans="12:27" ht="25" customHeight="1">
      <c r="L1199" s="31"/>
      <c r="M1199" s="31"/>
      <c r="N1199" s="31"/>
      <c r="X1199" s="35"/>
      <c r="Y1199" s="102"/>
      <c r="Z1199" s="104"/>
      <c r="AA1199" s="105"/>
    </row>
    <row r="1200" spans="12:27" ht="25" customHeight="1">
      <c r="L1200" s="31"/>
      <c r="M1200" s="31"/>
      <c r="N1200" s="31"/>
      <c r="X1200" s="35"/>
      <c r="Y1200" s="102"/>
      <c r="Z1200" s="104"/>
      <c r="AA1200" s="105"/>
    </row>
    <row r="1201" spans="12:27" ht="25" customHeight="1">
      <c r="L1201" s="31"/>
      <c r="M1201" s="31"/>
      <c r="N1201" s="31"/>
      <c r="X1201" s="35"/>
      <c r="Y1201" s="102"/>
      <c r="Z1201" s="104"/>
      <c r="AA1201" s="105"/>
    </row>
    <row r="1202" spans="12:27" ht="25" customHeight="1">
      <c r="L1202" s="31"/>
      <c r="M1202" s="31"/>
      <c r="N1202" s="31"/>
      <c r="X1202" s="35"/>
      <c r="Y1202" s="102"/>
      <c r="Z1202" s="104"/>
      <c r="AA1202" s="105"/>
    </row>
    <row r="1203" spans="12:27" ht="25" customHeight="1">
      <c r="L1203" s="31"/>
      <c r="M1203" s="31"/>
      <c r="N1203" s="31"/>
      <c r="X1203" s="35"/>
      <c r="Y1203" s="102"/>
      <c r="Z1203" s="104"/>
      <c r="AA1203" s="105"/>
    </row>
    <row r="1204" spans="12:27" ht="25" customHeight="1">
      <c r="L1204" s="31"/>
      <c r="M1204" s="31"/>
      <c r="N1204" s="31"/>
      <c r="X1204" s="35"/>
      <c r="Y1204" s="102"/>
      <c r="Z1204" s="104"/>
      <c r="AA1204" s="105"/>
    </row>
    <row r="1205" spans="12:27" ht="25" customHeight="1">
      <c r="L1205" s="31"/>
      <c r="M1205" s="31"/>
      <c r="N1205" s="31"/>
      <c r="X1205" s="35"/>
      <c r="Y1205" s="102"/>
      <c r="Z1205" s="104"/>
      <c r="AA1205" s="105"/>
    </row>
    <row r="1206" spans="12:27" ht="25" customHeight="1">
      <c r="L1206" s="31"/>
      <c r="M1206" s="31"/>
      <c r="N1206" s="31"/>
      <c r="X1206" s="35"/>
      <c r="Y1206" s="102"/>
      <c r="Z1206" s="104"/>
      <c r="AA1206" s="105"/>
    </row>
    <row r="1207" spans="12:27" ht="25" customHeight="1">
      <c r="L1207" s="31"/>
      <c r="M1207" s="31"/>
      <c r="N1207" s="31"/>
      <c r="X1207" s="35"/>
      <c r="Y1207" s="102"/>
      <c r="Z1207" s="104"/>
      <c r="AA1207" s="105"/>
    </row>
    <row r="1208" spans="12:27" ht="25" customHeight="1">
      <c r="L1208" s="31"/>
      <c r="M1208" s="31"/>
      <c r="N1208" s="31"/>
      <c r="X1208" s="35"/>
      <c r="Y1208" s="102"/>
      <c r="Z1208" s="104"/>
      <c r="AA1208" s="105"/>
    </row>
    <row r="1209" spans="12:27" ht="25" customHeight="1">
      <c r="L1209" s="31"/>
      <c r="M1209" s="31"/>
      <c r="N1209" s="31"/>
      <c r="X1209" s="35"/>
      <c r="Y1209" s="102"/>
      <c r="Z1209" s="104"/>
      <c r="AA1209" s="105"/>
    </row>
    <row r="1210" spans="12:27" ht="25" customHeight="1">
      <c r="L1210" s="31"/>
      <c r="M1210" s="31"/>
      <c r="N1210" s="31"/>
      <c r="X1210" s="35"/>
      <c r="Y1210" s="102"/>
      <c r="Z1210" s="104"/>
      <c r="AA1210" s="105"/>
    </row>
    <row r="1211" spans="12:27" ht="25" customHeight="1">
      <c r="L1211" s="31"/>
      <c r="M1211" s="31"/>
      <c r="N1211" s="31"/>
      <c r="X1211" s="35"/>
      <c r="Y1211" s="102"/>
      <c r="Z1211" s="104"/>
      <c r="AA1211" s="105"/>
    </row>
    <row r="1212" spans="12:27" ht="25" customHeight="1">
      <c r="L1212" s="31"/>
      <c r="M1212" s="31"/>
      <c r="N1212" s="31"/>
      <c r="X1212" s="35"/>
      <c r="Y1212" s="102"/>
      <c r="Z1212" s="104"/>
      <c r="AA1212" s="105"/>
    </row>
    <row r="1213" spans="12:27" ht="25" customHeight="1">
      <c r="L1213" s="31"/>
      <c r="M1213" s="31"/>
      <c r="N1213" s="31"/>
      <c r="X1213" s="35"/>
      <c r="Y1213" s="102"/>
      <c r="Z1213" s="104"/>
      <c r="AA1213" s="105"/>
    </row>
    <row r="1214" spans="12:27" ht="25" customHeight="1">
      <c r="L1214" s="31"/>
      <c r="M1214" s="31"/>
      <c r="N1214" s="31"/>
      <c r="X1214" s="35"/>
      <c r="Y1214" s="102"/>
      <c r="Z1214" s="104"/>
      <c r="AA1214" s="105"/>
    </row>
    <row r="1215" spans="12:27" ht="25" customHeight="1">
      <c r="L1215" s="31"/>
      <c r="M1215" s="31"/>
      <c r="N1215" s="31"/>
      <c r="X1215" s="35"/>
      <c r="Y1215" s="102"/>
      <c r="Z1215" s="104"/>
      <c r="AA1215" s="105"/>
    </row>
    <row r="1216" spans="12:27" ht="25" customHeight="1">
      <c r="L1216" s="31"/>
      <c r="M1216" s="31"/>
      <c r="N1216" s="31"/>
      <c r="X1216" s="35"/>
      <c r="Y1216" s="102"/>
      <c r="Z1216" s="104"/>
      <c r="AA1216" s="105"/>
    </row>
    <row r="1217" spans="12:27" ht="25" customHeight="1">
      <c r="L1217" s="31"/>
      <c r="M1217" s="31"/>
      <c r="N1217" s="31"/>
      <c r="X1217" s="35"/>
      <c r="Y1217" s="102"/>
      <c r="Z1217" s="104"/>
      <c r="AA1217" s="105"/>
    </row>
    <row r="1218" spans="12:27" ht="25" customHeight="1">
      <c r="L1218" s="31"/>
      <c r="M1218" s="31"/>
      <c r="N1218" s="31"/>
      <c r="X1218" s="35"/>
      <c r="Y1218" s="102"/>
      <c r="Z1218" s="104"/>
      <c r="AA1218" s="105"/>
    </row>
    <row r="1219" spans="12:27" ht="25" customHeight="1">
      <c r="L1219" s="31"/>
      <c r="M1219" s="31"/>
      <c r="N1219" s="31"/>
      <c r="X1219" s="35"/>
      <c r="Y1219" s="102"/>
      <c r="Z1219" s="104"/>
      <c r="AA1219" s="105"/>
    </row>
    <row r="1220" spans="12:27" ht="25" customHeight="1">
      <c r="L1220" s="31"/>
      <c r="M1220" s="31"/>
      <c r="N1220" s="31"/>
      <c r="X1220" s="35"/>
      <c r="Y1220" s="102"/>
      <c r="Z1220" s="104"/>
      <c r="AA1220" s="105"/>
    </row>
    <row r="1221" spans="12:27" ht="25" customHeight="1">
      <c r="L1221" s="31"/>
      <c r="M1221" s="31"/>
      <c r="N1221" s="31"/>
      <c r="X1221" s="35"/>
      <c r="Y1221" s="102"/>
      <c r="Z1221" s="104"/>
      <c r="AA1221" s="105"/>
    </row>
    <row r="1222" spans="12:27" ht="25" customHeight="1">
      <c r="L1222" s="31"/>
      <c r="M1222" s="31"/>
      <c r="N1222" s="31"/>
      <c r="X1222" s="35"/>
      <c r="Y1222" s="102"/>
      <c r="Z1222" s="104"/>
      <c r="AA1222" s="105"/>
    </row>
    <row r="1223" spans="12:27" ht="25" customHeight="1">
      <c r="L1223" s="31"/>
      <c r="M1223" s="31"/>
      <c r="N1223" s="31"/>
      <c r="X1223" s="35"/>
      <c r="Y1223" s="102"/>
      <c r="Z1223" s="104"/>
      <c r="AA1223" s="105"/>
    </row>
    <row r="1224" spans="12:27" ht="25" customHeight="1">
      <c r="L1224" s="31"/>
      <c r="M1224" s="31"/>
      <c r="N1224" s="31"/>
      <c r="X1224" s="35"/>
      <c r="Y1224" s="102"/>
      <c r="Z1224" s="104"/>
      <c r="AA1224" s="105"/>
    </row>
    <row r="1225" spans="12:27" ht="25" customHeight="1">
      <c r="L1225" s="31"/>
      <c r="M1225" s="31"/>
      <c r="N1225" s="31"/>
      <c r="X1225" s="35"/>
      <c r="Y1225" s="102"/>
      <c r="Z1225" s="104"/>
      <c r="AA1225" s="105"/>
    </row>
    <row r="1226" spans="12:27" ht="25" customHeight="1">
      <c r="L1226" s="31"/>
      <c r="M1226" s="31"/>
      <c r="N1226" s="31"/>
      <c r="X1226" s="35"/>
      <c r="Y1226" s="102"/>
      <c r="Z1226" s="104"/>
      <c r="AA1226" s="105"/>
    </row>
    <row r="1227" spans="12:27" ht="25" customHeight="1">
      <c r="L1227" s="31"/>
      <c r="M1227" s="31"/>
      <c r="N1227" s="31"/>
      <c r="X1227" s="35"/>
      <c r="Y1227" s="102"/>
      <c r="Z1227" s="104"/>
      <c r="AA1227" s="105"/>
    </row>
    <row r="1228" spans="12:27" ht="25" customHeight="1">
      <c r="L1228" s="31"/>
      <c r="M1228" s="31"/>
      <c r="N1228" s="31"/>
      <c r="X1228" s="35"/>
      <c r="Y1228" s="102"/>
      <c r="Z1228" s="104"/>
      <c r="AA1228" s="105"/>
    </row>
    <row r="1229" spans="12:27" ht="25" customHeight="1">
      <c r="L1229" s="31"/>
      <c r="M1229" s="31"/>
      <c r="N1229" s="31"/>
      <c r="X1229" s="35"/>
      <c r="Y1229" s="102"/>
      <c r="Z1229" s="104"/>
      <c r="AA1229" s="105"/>
    </row>
    <row r="1230" spans="12:27" ht="25" customHeight="1">
      <c r="L1230" s="31"/>
      <c r="M1230" s="31"/>
      <c r="N1230" s="31"/>
      <c r="X1230" s="35"/>
      <c r="Y1230" s="102"/>
      <c r="Z1230" s="104"/>
      <c r="AA1230" s="105"/>
    </row>
    <row r="1231" spans="12:27" ht="25" customHeight="1">
      <c r="L1231" s="31"/>
      <c r="M1231" s="31"/>
      <c r="N1231" s="31"/>
      <c r="X1231" s="35"/>
      <c r="Y1231" s="102"/>
      <c r="Z1231" s="104"/>
      <c r="AA1231" s="105"/>
    </row>
    <row r="1232" spans="12:27" ht="25" customHeight="1">
      <c r="L1232" s="31"/>
      <c r="M1232" s="31"/>
      <c r="N1232" s="31"/>
      <c r="X1232" s="35"/>
      <c r="Y1232" s="102"/>
      <c r="Z1232" s="104"/>
      <c r="AA1232" s="105"/>
    </row>
    <row r="1233" spans="12:27" ht="25" customHeight="1">
      <c r="L1233" s="31"/>
      <c r="M1233" s="31"/>
      <c r="N1233" s="31"/>
      <c r="X1233" s="35"/>
      <c r="Y1233" s="102"/>
      <c r="Z1233" s="104"/>
      <c r="AA1233" s="105"/>
    </row>
    <row r="1234" spans="12:27" ht="25" customHeight="1">
      <c r="L1234" s="31"/>
      <c r="M1234" s="31"/>
      <c r="N1234" s="31"/>
      <c r="X1234" s="35"/>
      <c r="Y1234" s="102"/>
      <c r="Z1234" s="104"/>
      <c r="AA1234" s="105"/>
    </row>
    <row r="1235" spans="12:27" ht="25" customHeight="1">
      <c r="L1235" s="31"/>
      <c r="M1235" s="31"/>
      <c r="N1235" s="31"/>
      <c r="X1235" s="35"/>
      <c r="Y1235" s="102"/>
      <c r="Z1235" s="104"/>
      <c r="AA1235" s="105"/>
    </row>
    <row r="1236" spans="12:27" ht="25" customHeight="1">
      <c r="L1236" s="31"/>
      <c r="M1236" s="31"/>
      <c r="N1236" s="31"/>
      <c r="X1236" s="35"/>
      <c r="Y1236" s="102"/>
      <c r="Z1236" s="104"/>
      <c r="AA1236" s="105"/>
    </row>
    <row r="1237" spans="12:27" ht="25" customHeight="1">
      <c r="L1237" s="31"/>
      <c r="M1237" s="31"/>
      <c r="N1237" s="31"/>
      <c r="X1237" s="35"/>
      <c r="Y1237" s="102"/>
      <c r="Z1237" s="104"/>
      <c r="AA1237" s="105"/>
    </row>
    <row r="1238" spans="12:27" ht="25" customHeight="1">
      <c r="L1238" s="31"/>
      <c r="M1238" s="31"/>
      <c r="N1238" s="31"/>
      <c r="X1238" s="35"/>
      <c r="Y1238" s="102"/>
      <c r="Z1238" s="104"/>
      <c r="AA1238" s="105"/>
    </row>
    <row r="1239" spans="12:27" ht="25" customHeight="1">
      <c r="L1239" s="31"/>
      <c r="M1239" s="31"/>
      <c r="N1239" s="31"/>
      <c r="X1239" s="35"/>
      <c r="Y1239" s="102"/>
      <c r="Z1239" s="104"/>
      <c r="AA1239" s="105"/>
    </row>
    <row r="1240" spans="12:27" ht="25" customHeight="1">
      <c r="L1240" s="31"/>
      <c r="M1240" s="31"/>
      <c r="N1240" s="31"/>
      <c r="X1240" s="35"/>
      <c r="Y1240" s="102"/>
      <c r="Z1240" s="104"/>
      <c r="AA1240" s="105"/>
    </row>
    <row r="1241" spans="12:27" ht="25" customHeight="1">
      <c r="L1241" s="31"/>
      <c r="M1241" s="31"/>
      <c r="N1241" s="31"/>
      <c r="X1241" s="35"/>
      <c r="Y1241" s="102"/>
      <c r="Z1241" s="104"/>
      <c r="AA1241" s="105"/>
    </row>
    <row r="1242" spans="12:27" ht="25" customHeight="1">
      <c r="L1242" s="31"/>
      <c r="M1242" s="31"/>
      <c r="N1242" s="31"/>
      <c r="X1242" s="35"/>
      <c r="Y1242" s="102"/>
      <c r="Z1242" s="104"/>
      <c r="AA1242" s="105"/>
    </row>
    <row r="1243" spans="12:27" ht="25" customHeight="1">
      <c r="L1243" s="31"/>
      <c r="M1243" s="31"/>
      <c r="N1243" s="31"/>
      <c r="X1243" s="35"/>
      <c r="Y1243" s="102"/>
      <c r="Z1243" s="104"/>
      <c r="AA1243" s="105"/>
    </row>
    <row r="1244" spans="12:27" ht="25" customHeight="1">
      <c r="L1244" s="31"/>
      <c r="M1244" s="31"/>
      <c r="N1244" s="31"/>
      <c r="X1244" s="35"/>
      <c r="Y1244" s="102"/>
      <c r="Z1244" s="104"/>
      <c r="AA1244" s="105"/>
    </row>
    <row r="1245" spans="12:27" ht="25" customHeight="1">
      <c r="L1245" s="31"/>
      <c r="M1245" s="31"/>
      <c r="N1245" s="31"/>
      <c r="X1245" s="35"/>
      <c r="Y1245" s="102"/>
      <c r="Z1245" s="104"/>
      <c r="AA1245" s="105"/>
    </row>
    <row r="1246" spans="12:27" ht="25" customHeight="1">
      <c r="L1246" s="31"/>
      <c r="M1246" s="31"/>
      <c r="N1246" s="31"/>
      <c r="X1246" s="35"/>
      <c r="Y1246" s="102"/>
      <c r="Z1246" s="104"/>
      <c r="AA1246" s="105"/>
    </row>
    <row r="1247" spans="12:27" ht="25" customHeight="1">
      <c r="L1247" s="31"/>
      <c r="M1247" s="31"/>
      <c r="N1247" s="31"/>
      <c r="X1247" s="35"/>
      <c r="Y1247" s="102"/>
      <c r="Z1247" s="104"/>
      <c r="AA1247" s="105"/>
    </row>
    <row r="1248" spans="12:27" ht="25" customHeight="1">
      <c r="L1248" s="31"/>
      <c r="M1248" s="31"/>
      <c r="N1248" s="31"/>
      <c r="X1248" s="35"/>
      <c r="Y1248" s="102"/>
      <c r="Z1248" s="104"/>
      <c r="AA1248" s="105"/>
    </row>
    <row r="1249" spans="12:27" ht="25" customHeight="1">
      <c r="L1249" s="31"/>
      <c r="M1249" s="31"/>
      <c r="N1249" s="31"/>
      <c r="X1249" s="35"/>
      <c r="Y1249" s="102"/>
      <c r="Z1249" s="104"/>
      <c r="AA1249" s="105"/>
    </row>
    <row r="1250" spans="12:27" ht="25" customHeight="1">
      <c r="L1250" s="31"/>
      <c r="M1250" s="31"/>
      <c r="N1250" s="31"/>
      <c r="X1250" s="35"/>
      <c r="Y1250" s="102"/>
      <c r="Z1250" s="104"/>
      <c r="AA1250" s="105"/>
    </row>
    <row r="1251" spans="12:27" ht="25" customHeight="1">
      <c r="L1251" s="31"/>
      <c r="M1251" s="31"/>
      <c r="N1251" s="31"/>
      <c r="X1251" s="35"/>
      <c r="Y1251" s="102"/>
      <c r="Z1251" s="104"/>
      <c r="AA1251" s="105"/>
    </row>
    <row r="1252" spans="12:27" ht="25" customHeight="1">
      <c r="L1252" s="31"/>
      <c r="M1252" s="31"/>
      <c r="N1252" s="31"/>
      <c r="X1252" s="35"/>
      <c r="Y1252" s="102"/>
      <c r="Z1252" s="104"/>
      <c r="AA1252" s="105"/>
    </row>
    <row r="1253" spans="12:27" ht="25" customHeight="1">
      <c r="L1253" s="31"/>
      <c r="M1253" s="31"/>
      <c r="N1253" s="31"/>
      <c r="X1253" s="35"/>
      <c r="Y1253" s="102"/>
      <c r="Z1253" s="104"/>
      <c r="AA1253" s="105"/>
    </row>
    <row r="1254" spans="12:27" ht="25" customHeight="1">
      <c r="L1254" s="31"/>
      <c r="M1254" s="31"/>
      <c r="N1254" s="31"/>
      <c r="X1254" s="35"/>
      <c r="Y1254" s="102"/>
      <c r="Z1254" s="104"/>
      <c r="AA1254" s="105"/>
    </row>
    <row r="1255" spans="12:27" ht="25" customHeight="1">
      <c r="L1255" s="31"/>
      <c r="M1255" s="31"/>
      <c r="N1255" s="31"/>
      <c r="X1255" s="35"/>
      <c r="Y1255" s="102"/>
      <c r="Z1255" s="104"/>
      <c r="AA1255" s="105"/>
    </row>
    <row r="1256" spans="12:27" ht="25" customHeight="1">
      <c r="L1256" s="31"/>
      <c r="M1256" s="31"/>
      <c r="N1256" s="31"/>
      <c r="X1256" s="35"/>
      <c r="Y1256" s="102"/>
      <c r="Z1256" s="104"/>
      <c r="AA1256" s="105"/>
    </row>
    <row r="1257" spans="12:27" ht="25" customHeight="1">
      <c r="L1257" s="31"/>
      <c r="M1257" s="31"/>
      <c r="N1257" s="31"/>
      <c r="X1257" s="35"/>
      <c r="Y1257" s="102"/>
      <c r="Z1257" s="104"/>
      <c r="AA1257" s="105"/>
    </row>
    <row r="1258" spans="12:27" ht="25" customHeight="1">
      <c r="L1258" s="31"/>
      <c r="M1258" s="31"/>
      <c r="N1258" s="31"/>
      <c r="X1258" s="35"/>
      <c r="Y1258" s="102"/>
      <c r="Z1258" s="104"/>
      <c r="AA1258" s="105"/>
    </row>
    <row r="1259" spans="12:27" ht="25" customHeight="1">
      <c r="L1259" s="31"/>
      <c r="M1259" s="31"/>
      <c r="N1259" s="31"/>
      <c r="X1259" s="35"/>
      <c r="Y1259" s="102"/>
      <c r="Z1259" s="104"/>
      <c r="AA1259" s="105"/>
    </row>
    <row r="1260" spans="12:27" ht="25" customHeight="1">
      <c r="L1260" s="31"/>
      <c r="M1260" s="31"/>
      <c r="N1260" s="31"/>
      <c r="X1260" s="35"/>
      <c r="Y1260" s="102"/>
      <c r="Z1260" s="104"/>
      <c r="AA1260" s="105"/>
    </row>
    <row r="1261" spans="12:27" ht="25" customHeight="1">
      <c r="L1261" s="31"/>
      <c r="M1261" s="31"/>
      <c r="N1261" s="31"/>
      <c r="X1261" s="35"/>
      <c r="Y1261" s="102"/>
      <c r="Z1261" s="104"/>
      <c r="AA1261" s="105"/>
    </row>
    <row r="1262" spans="12:27" ht="25" customHeight="1">
      <c r="L1262" s="31"/>
      <c r="M1262" s="31"/>
      <c r="N1262" s="31"/>
      <c r="X1262" s="35"/>
      <c r="Y1262" s="102"/>
      <c r="Z1262" s="104"/>
      <c r="AA1262" s="105"/>
    </row>
    <row r="1263" spans="12:27" ht="25" customHeight="1">
      <c r="L1263" s="31"/>
      <c r="M1263" s="31"/>
      <c r="N1263" s="31"/>
      <c r="X1263" s="35"/>
      <c r="Y1263" s="102"/>
      <c r="Z1263" s="104"/>
      <c r="AA1263" s="105"/>
    </row>
    <row r="1264" spans="12:27" ht="25" customHeight="1">
      <c r="L1264" s="31"/>
      <c r="M1264" s="31"/>
      <c r="N1264" s="31"/>
      <c r="X1264" s="35"/>
      <c r="Y1264" s="102"/>
      <c r="Z1264" s="104"/>
      <c r="AA1264" s="105"/>
    </row>
    <row r="1265" spans="12:27" ht="25" customHeight="1">
      <c r="L1265" s="31"/>
      <c r="M1265" s="31"/>
      <c r="N1265" s="31"/>
      <c r="X1265" s="35"/>
      <c r="Y1265" s="102"/>
      <c r="Z1265" s="104"/>
      <c r="AA1265" s="105"/>
    </row>
    <row r="1266" spans="12:27" ht="25" customHeight="1">
      <c r="L1266" s="31"/>
      <c r="M1266" s="31"/>
      <c r="N1266" s="31"/>
      <c r="X1266" s="35"/>
      <c r="Y1266" s="102"/>
      <c r="Z1266" s="104"/>
      <c r="AA1266" s="105"/>
    </row>
    <row r="1267" spans="12:27" ht="25" customHeight="1">
      <c r="L1267" s="31"/>
      <c r="M1267" s="31"/>
      <c r="N1267" s="31"/>
      <c r="X1267" s="35"/>
      <c r="Y1267" s="102"/>
      <c r="Z1267" s="104"/>
      <c r="AA1267" s="105"/>
    </row>
    <row r="1268" spans="12:27" ht="25" customHeight="1">
      <c r="L1268" s="31"/>
      <c r="M1268" s="31"/>
      <c r="N1268" s="31"/>
      <c r="X1268" s="35"/>
      <c r="Y1268" s="102"/>
      <c r="Z1268" s="104"/>
      <c r="AA1268" s="105"/>
    </row>
    <row r="1269" spans="12:27" ht="25" customHeight="1">
      <c r="L1269" s="31"/>
      <c r="M1269" s="31"/>
      <c r="N1269" s="31"/>
      <c r="X1269" s="35"/>
      <c r="Y1269" s="102"/>
      <c r="Z1269" s="104"/>
      <c r="AA1269" s="105"/>
    </row>
    <row r="1270" spans="12:27" ht="25" customHeight="1">
      <c r="L1270" s="31"/>
      <c r="M1270" s="31"/>
      <c r="N1270" s="31"/>
      <c r="X1270" s="35"/>
      <c r="Y1270" s="102"/>
      <c r="Z1270" s="104"/>
      <c r="AA1270" s="105"/>
    </row>
    <row r="1271" spans="12:27" ht="25" customHeight="1">
      <c r="L1271" s="31"/>
      <c r="M1271" s="31"/>
      <c r="N1271" s="31"/>
      <c r="X1271" s="35"/>
      <c r="Y1271" s="102"/>
      <c r="Z1271" s="104"/>
      <c r="AA1271" s="105"/>
    </row>
    <row r="1272" spans="12:27" ht="25" customHeight="1">
      <c r="L1272" s="31"/>
      <c r="M1272" s="31"/>
      <c r="N1272" s="31"/>
      <c r="X1272" s="35"/>
      <c r="Y1272" s="102"/>
      <c r="Z1272" s="104"/>
      <c r="AA1272" s="105"/>
    </row>
    <row r="1273" spans="12:27" ht="25" customHeight="1">
      <c r="L1273" s="31"/>
      <c r="M1273" s="31"/>
      <c r="N1273" s="31"/>
      <c r="X1273" s="35"/>
      <c r="Y1273" s="102"/>
      <c r="Z1273" s="104"/>
      <c r="AA1273" s="105"/>
    </row>
    <row r="1274" spans="12:27" ht="25" customHeight="1">
      <c r="L1274" s="31"/>
      <c r="M1274" s="31"/>
      <c r="N1274" s="31"/>
      <c r="X1274" s="35"/>
      <c r="Y1274" s="102"/>
      <c r="Z1274" s="104"/>
      <c r="AA1274" s="105"/>
    </row>
    <row r="1275" spans="12:27" ht="25" customHeight="1">
      <c r="L1275" s="31"/>
      <c r="M1275" s="31"/>
      <c r="N1275" s="31"/>
      <c r="X1275" s="35"/>
      <c r="Y1275" s="102"/>
      <c r="Z1275" s="104"/>
      <c r="AA1275" s="105"/>
    </row>
    <row r="1276" spans="12:27" ht="25" customHeight="1">
      <c r="L1276" s="31"/>
      <c r="M1276" s="31"/>
      <c r="N1276" s="31"/>
      <c r="X1276" s="35"/>
      <c r="Y1276" s="102"/>
      <c r="Z1276" s="104"/>
      <c r="AA1276" s="105"/>
    </row>
    <row r="1277" spans="12:27" ht="25" customHeight="1">
      <c r="L1277" s="31"/>
      <c r="M1277" s="31"/>
      <c r="N1277" s="31"/>
      <c r="X1277" s="35"/>
      <c r="Y1277" s="102"/>
      <c r="Z1277" s="104"/>
      <c r="AA1277" s="105"/>
    </row>
    <row r="1278" spans="12:27" ht="25" customHeight="1">
      <c r="L1278" s="31"/>
      <c r="M1278" s="31"/>
      <c r="N1278" s="31"/>
      <c r="X1278" s="35"/>
      <c r="Y1278" s="102"/>
      <c r="Z1278" s="104"/>
      <c r="AA1278" s="105"/>
    </row>
    <row r="1279" spans="12:27" ht="25" customHeight="1">
      <c r="L1279" s="31"/>
      <c r="M1279" s="31"/>
      <c r="N1279" s="31"/>
      <c r="X1279" s="35"/>
      <c r="Y1279" s="102"/>
      <c r="Z1279" s="104"/>
      <c r="AA1279" s="105"/>
    </row>
    <row r="1280" spans="12:27" ht="25" customHeight="1">
      <c r="L1280" s="31"/>
      <c r="M1280" s="31"/>
      <c r="N1280" s="31"/>
      <c r="X1280" s="35"/>
      <c r="Y1280" s="102"/>
      <c r="Z1280" s="104"/>
      <c r="AA1280" s="105"/>
    </row>
    <row r="1281" spans="12:27" ht="25" customHeight="1">
      <c r="L1281" s="31"/>
      <c r="M1281" s="31"/>
      <c r="N1281" s="31"/>
      <c r="X1281" s="35"/>
      <c r="Y1281" s="102"/>
      <c r="Z1281" s="104"/>
      <c r="AA1281" s="105"/>
    </row>
    <row r="1282" spans="12:27" ht="25" customHeight="1">
      <c r="L1282" s="31"/>
      <c r="M1282" s="31"/>
      <c r="N1282" s="31"/>
      <c r="X1282" s="35"/>
      <c r="Y1282" s="102"/>
      <c r="Z1282" s="104"/>
      <c r="AA1282" s="105"/>
    </row>
    <row r="1283" spans="12:27" ht="25" customHeight="1">
      <c r="L1283" s="31"/>
      <c r="M1283" s="31"/>
      <c r="N1283" s="31"/>
      <c r="X1283" s="35"/>
      <c r="Y1283" s="102"/>
      <c r="Z1283" s="104"/>
      <c r="AA1283" s="105"/>
    </row>
    <row r="1284" spans="12:27" ht="25" customHeight="1">
      <c r="L1284" s="31"/>
      <c r="M1284" s="31"/>
      <c r="N1284" s="31"/>
      <c r="X1284" s="35"/>
      <c r="Y1284" s="102"/>
      <c r="Z1284" s="104"/>
      <c r="AA1284" s="105"/>
    </row>
    <row r="1285" spans="12:27" ht="25" customHeight="1">
      <c r="L1285" s="31"/>
      <c r="M1285" s="31"/>
      <c r="N1285" s="31"/>
      <c r="X1285" s="35"/>
      <c r="Y1285" s="102"/>
      <c r="Z1285" s="104"/>
      <c r="AA1285" s="105"/>
    </row>
    <row r="1286" spans="12:27" ht="25" customHeight="1">
      <c r="L1286" s="31"/>
      <c r="M1286" s="31"/>
      <c r="N1286" s="31"/>
      <c r="X1286" s="35"/>
      <c r="Y1286" s="102"/>
      <c r="Z1286" s="104"/>
      <c r="AA1286" s="105"/>
    </row>
    <row r="1287" spans="12:27" ht="25" customHeight="1">
      <c r="L1287" s="31"/>
      <c r="M1287" s="31"/>
      <c r="N1287" s="31"/>
      <c r="X1287" s="35"/>
      <c r="Y1287" s="102"/>
      <c r="Z1287" s="104"/>
      <c r="AA1287" s="105"/>
    </row>
    <row r="1288" spans="12:27" ht="25" customHeight="1">
      <c r="L1288" s="31"/>
      <c r="M1288" s="31"/>
      <c r="N1288" s="31"/>
      <c r="X1288" s="35"/>
      <c r="Y1288" s="102"/>
      <c r="Z1288" s="104"/>
      <c r="AA1288" s="105"/>
    </row>
    <row r="1289" spans="12:27" ht="25" customHeight="1">
      <c r="L1289" s="31"/>
      <c r="M1289" s="31"/>
      <c r="N1289" s="31"/>
      <c r="X1289" s="35"/>
      <c r="Y1289" s="102"/>
      <c r="Z1289" s="104"/>
      <c r="AA1289" s="105"/>
    </row>
    <row r="1290" spans="12:27" ht="25" customHeight="1">
      <c r="L1290" s="31"/>
      <c r="M1290" s="31"/>
      <c r="N1290" s="31"/>
      <c r="X1290" s="35"/>
      <c r="Y1290" s="102"/>
      <c r="Z1290" s="104"/>
      <c r="AA1290" s="105"/>
    </row>
    <row r="1291" spans="12:27" ht="25" customHeight="1">
      <c r="L1291" s="31"/>
      <c r="M1291" s="31"/>
      <c r="N1291" s="31"/>
      <c r="X1291" s="35"/>
      <c r="Y1291" s="102"/>
      <c r="Z1291" s="104"/>
      <c r="AA1291" s="105"/>
    </row>
    <row r="1292" spans="12:27" ht="25" customHeight="1">
      <c r="L1292" s="31"/>
      <c r="M1292" s="31"/>
      <c r="N1292" s="31"/>
      <c r="X1292" s="35"/>
      <c r="Y1292" s="102"/>
      <c r="Z1292" s="104"/>
      <c r="AA1292" s="105"/>
    </row>
    <row r="1293" spans="12:27" ht="25" customHeight="1">
      <c r="L1293" s="31"/>
      <c r="M1293" s="31"/>
      <c r="N1293" s="31"/>
      <c r="X1293" s="35"/>
      <c r="Y1293" s="102"/>
      <c r="Z1293" s="104"/>
      <c r="AA1293" s="105"/>
    </row>
    <row r="1294" spans="12:27" ht="25" customHeight="1">
      <c r="L1294" s="31"/>
      <c r="M1294" s="31"/>
      <c r="N1294" s="31"/>
      <c r="X1294" s="35"/>
      <c r="Y1294" s="102"/>
      <c r="Z1294" s="104"/>
      <c r="AA1294" s="105"/>
    </row>
    <row r="1295" spans="12:27" ht="25" customHeight="1">
      <c r="L1295" s="31"/>
      <c r="M1295" s="31"/>
      <c r="N1295" s="31"/>
      <c r="X1295" s="35"/>
      <c r="Y1295" s="102"/>
      <c r="Z1295" s="104"/>
      <c r="AA1295" s="105"/>
    </row>
    <row r="1296" spans="12:27" ht="25" customHeight="1">
      <c r="L1296" s="31"/>
      <c r="M1296" s="31"/>
      <c r="N1296" s="31"/>
      <c r="X1296" s="35"/>
      <c r="Y1296" s="102"/>
      <c r="Z1296" s="104"/>
      <c r="AA1296" s="105"/>
    </row>
    <row r="1297" spans="12:27" ht="25" customHeight="1">
      <c r="L1297" s="31"/>
      <c r="M1297" s="31"/>
      <c r="N1297" s="31"/>
      <c r="X1297" s="35"/>
      <c r="Y1297" s="102"/>
      <c r="Z1297" s="104"/>
      <c r="AA1297" s="105"/>
    </row>
    <row r="1298" spans="12:27" ht="25" customHeight="1">
      <c r="L1298" s="31"/>
      <c r="M1298" s="31"/>
      <c r="N1298" s="31"/>
      <c r="X1298" s="35"/>
      <c r="Y1298" s="102"/>
      <c r="Z1298" s="104"/>
      <c r="AA1298" s="105"/>
    </row>
    <row r="1299" spans="12:27" ht="25" customHeight="1">
      <c r="L1299" s="31"/>
      <c r="M1299" s="31"/>
      <c r="N1299" s="31"/>
      <c r="X1299" s="35"/>
      <c r="Y1299" s="102"/>
      <c r="Z1299" s="104"/>
      <c r="AA1299" s="105"/>
    </row>
    <row r="1300" spans="12:27" ht="25" customHeight="1">
      <c r="L1300" s="31"/>
      <c r="M1300" s="31"/>
      <c r="N1300" s="31"/>
      <c r="X1300" s="35"/>
      <c r="Y1300" s="102"/>
      <c r="Z1300" s="104"/>
      <c r="AA1300" s="105"/>
    </row>
    <row r="1301" spans="12:27" ht="25" customHeight="1">
      <c r="L1301" s="31"/>
      <c r="M1301" s="31"/>
      <c r="N1301" s="31"/>
      <c r="X1301" s="35"/>
      <c r="Y1301" s="102"/>
      <c r="Z1301" s="104"/>
      <c r="AA1301" s="105"/>
    </row>
    <row r="1302" spans="12:27" ht="25" customHeight="1">
      <c r="L1302" s="31"/>
      <c r="M1302" s="31"/>
      <c r="N1302" s="31"/>
      <c r="X1302" s="35"/>
      <c r="Y1302" s="102"/>
      <c r="Z1302" s="104"/>
      <c r="AA1302" s="105"/>
    </row>
    <row r="1303" spans="12:27" ht="25" customHeight="1">
      <c r="L1303" s="31"/>
      <c r="M1303" s="31"/>
      <c r="N1303" s="31"/>
      <c r="X1303" s="35"/>
      <c r="Y1303" s="102"/>
      <c r="Z1303" s="104"/>
      <c r="AA1303" s="105"/>
    </row>
    <row r="1304" spans="12:27" ht="25" customHeight="1">
      <c r="L1304" s="31"/>
      <c r="M1304" s="31"/>
      <c r="N1304" s="31"/>
      <c r="X1304" s="35"/>
      <c r="Y1304" s="102"/>
      <c r="Z1304" s="104"/>
      <c r="AA1304" s="105"/>
    </row>
    <row r="1305" spans="12:27" ht="25" customHeight="1">
      <c r="L1305" s="31"/>
      <c r="M1305" s="31"/>
      <c r="N1305" s="31"/>
      <c r="X1305" s="35"/>
      <c r="Y1305" s="102"/>
      <c r="Z1305" s="104"/>
      <c r="AA1305" s="105"/>
    </row>
    <row r="1306" spans="12:27" ht="25" customHeight="1">
      <c r="L1306" s="31"/>
      <c r="M1306" s="31"/>
      <c r="N1306" s="31"/>
      <c r="X1306" s="35"/>
      <c r="Y1306" s="102"/>
    </row>
    <row r="1307" spans="12:27" ht="25" customHeight="1">
      <c r="L1307" s="31"/>
      <c r="M1307" s="31"/>
      <c r="N1307" s="31"/>
      <c r="X1307" s="35"/>
      <c r="Y1307" s="102"/>
    </row>
    <row r="1308" spans="12:27" ht="25" customHeight="1">
      <c r="L1308" s="31"/>
      <c r="M1308" s="31"/>
      <c r="N1308" s="31"/>
      <c r="X1308" s="35"/>
      <c r="Y1308" s="102"/>
    </row>
    <row r="1309" spans="12:27" ht="25" customHeight="1">
      <c r="L1309" s="31"/>
      <c r="M1309" s="31"/>
      <c r="N1309" s="31"/>
      <c r="X1309" s="35"/>
      <c r="Y1309" s="102"/>
    </row>
    <row r="1310" spans="12:27" ht="25" customHeight="1">
      <c r="L1310" s="31"/>
      <c r="M1310" s="31"/>
      <c r="N1310" s="31"/>
      <c r="X1310" s="35"/>
      <c r="Y1310" s="102"/>
    </row>
    <row r="1311" spans="12:27" ht="25" customHeight="1">
      <c r="L1311" s="31"/>
      <c r="M1311" s="31"/>
      <c r="N1311" s="31"/>
      <c r="X1311" s="35"/>
      <c r="Y1311" s="102"/>
    </row>
    <row r="1312" spans="12:27" ht="25" customHeight="1">
      <c r="L1312" s="31"/>
      <c r="M1312" s="31"/>
      <c r="N1312" s="31"/>
      <c r="X1312" s="35"/>
      <c r="Y1312" s="102"/>
    </row>
    <row r="1313" spans="12:25" ht="25" customHeight="1">
      <c r="L1313" s="31"/>
      <c r="M1313" s="31"/>
      <c r="N1313" s="31"/>
      <c r="X1313" s="35"/>
      <c r="Y1313" s="102"/>
    </row>
    <row r="1314" spans="12:25" ht="25" customHeight="1">
      <c r="L1314" s="31"/>
      <c r="M1314" s="31"/>
      <c r="N1314" s="31"/>
      <c r="X1314" s="35"/>
      <c r="Y1314" s="102"/>
    </row>
    <row r="1315" spans="12:25" ht="25" customHeight="1">
      <c r="L1315" s="31"/>
      <c r="M1315" s="31"/>
      <c r="N1315" s="31"/>
      <c r="X1315" s="35"/>
      <c r="Y1315" s="102"/>
    </row>
    <row r="1316" spans="12:25" ht="25" customHeight="1">
      <c r="L1316" s="31"/>
      <c r="M1316" s="31"/>
      <c r="N1316" s="31"/>
      <c r="X1316" s="35"/>
      <c r="Y1316" s="102"/>
    </row>
    <row r="1317" spans="12:25" ht="25" customHeight="1">
      <c r="L1317" s="31"/>
      <c r="M1317" s="31"/>
      <c r="N1317" s="31"/>
      <c r="X1317" s="35"/>
      <c r="Y1317" s="102"/>
    </row>
    <row r="1318" spans="12:25" ht="25" customHeight="1">
      <c r="L1318" s="31"/>
      <c r="M1318" s="31"/>
      <c r="N1318" s="31"/>
      <c r="X1318" s="35"/>
      <c r="Y1318" s="102"/>
    </row>
    <row r="1319" spans="12:25" ht="25" customHeight="1">
      <c r="L1319" s="31"/>
      <c r="M1319" s="31"/>
      <c r="N1319" s="31"/>
      <c r="X1319" s="35"/>
      <c r="Y1319" s="102"/>
    </row>
    <row r="1320" spans="12:25" ht="25" customHeight="1">
      <c r="L1320" s="31"/>
      <c r="M1320" s="31"/>
      <c r="N1320" s="31"/>
      <c r="X1320" s="35"/>
      <c r="Y1320" s="102"/>
    </row>
    <row r="1321" spans="12:25" ht="25" customHeight="1">
      <c r="L1321" s="31"/>
      <c r="M1321" s="31"/>
      <c r="N1321" s="31"/>
      <c r="X1321" s="35"/>
      <c r="Y1321" s="102"/>
    </row>
    <row r="1322" spans="12:25" ht="25" customHeight="1">
      <c r="L1322" s="31"/>
      <c r="M1322" s="31"/>
      <c r="N1322" s="31"/>
      <c r="X1322" s="35"/>
      <c r="Y1322" s="102"/>
    </row>
    <row r="1323" spans="12:25" ht="25" customHeight="1">
      <c r="L1323" s="31"/>
      <c r="M1323" s="31"/>
      <c r="N1323" s="31"/>
      <c r="X1323" s="35"/>
      <c r="Y1323" s="102"/>
    </row>
    <row r="1324" spans="12:25" ht="25" customHeight="1">
      <c r="L1324" s="31"/>
      <c r="M1324" s="31"/>
      <c r="N1324" s="31"/>
      <c r="X1324" s="35"/>
      <c r="Y1324" s="102"/>
    </row>
    <row r="1325" spans="12:25" ht="25" customHeight="1">
      <c r="L1325" s="31"/>
      <c r="M1325" s="31"/>
      <c r="N1325" s="31"/>
      <c r="X1325" s="35"/>
      <c r="Y1325" s="102"/>
    </row>
    <row r="1326" spans="12:25" ht="25" customHeight="1">
      <c r="L1326" s="31"/>
      <c r="M1326" s="31"/>
      <c r="N1326" s="31"/>
      <c r="X1326" s="35"/>
      <c r="Y1326" s="102"/>
    </row>
    <row r="1327" spans="12:25" ht="25" customHeight="1">
      <c r="L1327" s="31"/>
      <c r="M1327" s="31"/>
      <c r="N1327" s="31"/>
      <c r="X1327" s="35"/>
      <c r="Y1327" s="102"/>
    </row>
    <row r="1328" spans="12:25" ht="25" customHeight="1">
      <c r="L1328" s="31"/>
      <c r="M1328" s="31"/>
      <c r="N1328" s="31"/>
      <c r="X1328" s="35"/>
      <c r="Y1328" s="102"/>
    </row>
    <row r="1329" spans="12:25" ht="25" customHeight="1">
      <c r="L1329" s="31"/>
      <c r="M1329" s="31"/>
      <c r="N1329" s="31"/>
      <c r="X1329" s="35"/>
      <c r="Y1329" s="102"/>
    </row>
    <row r="1330" spans="12:25" ht="25" customHeight="1">
      <c r="L1330" s="31"/>
      <c r="M1330" s="31"/>
      <c r="N1330" s="31"/>
      <c r="X1330" s="35"/>
      <c r="Y1330" s="102"/>
    </row>
    <row r="1331" spans="12:25" ht="25" customHeight="1">
      <c r="L1331" s="31"/>
      <c r="M1331" s="31"/>
      <c r="N1331" s="31"/>
      <c r="X1331" s="35"/>
      <c r="Y1331" s="102"/>
    </row>
    <row r="1332" spans="12:25" ht="25" customHeight="1">
      <c r="L1332" s="31"/>
      <c r="M1332" s="31"/>
      <c r="N1332" s="31"/>
      <c r="X1332" s="35"/>
      <c r="Y1332" s="102"/>
    </row>
    <row r="1333" spans="12:25" ht="25" customHeight="1">
      <c r="L1333" s="31"/>
      <c r="M1333" s="31"/>
      <c r="N1333" s="31"/>
      <c r="X1333" s="35"/>
      <c r="Y1333" s="102"/>
    </row>
    <row r="1334" spans="12:25" ht="25" customHeight="1">
      <c r="L1334" s="31"/>
      <c r="M1334" s="31"/>
      <c r="N1334" s="31"/>
      <c r="X1334" s="35"/>
      <c r="Y1334" s="102"/>
    </row>
    <row r="1335" spans="12:25" ht="25" customHeight="1">
      <c r="L1335" s="31"/>
      <c r="M1335" s="31"/>
      <c r="N1335" s="31"/>
      <c r="X1335" s="35"/>
      <c r="Y1335" s="102"/>
    </row>
    <row r="1336" spans="12:25" ht="25" customHeight="1">
      <c r="L1336" s="31"/>
      <c r="M1336" s="31"/>
      <c r="N1336" s="31"/>
      <c r="X1336" s="35"/>
      <c r="Y1336" s="102"/>
    </row>
    <row r="1337" spans="12:25" ht="25" customHeight="1">
      <c r="L1337" s="31"/>
      <c r="M1337" s="31"/>
      <c r="N1337" s="31"/>
      <c r="X1337" s="35"/>
      <c r="Y1337" s="102"/>
    </row>
    <row r="1338" spans="12:25" ht="25" customHeight="1">
      <c r="L1338" s="31"/>
      <c r="M1338" s="31"/>
      <c r="N1338" s="31"/>
      <c r="X1338" s="35"/>
      <c r="Y1338" s="102"/>
    </row>
    <row r="1339" spans="12:25" ht="25" customHeight="1">
      <c r="L1339" s="31"/>
      <c r="M1339" s="31"/>
      <c r="N1339" s="31"/>
      <c r="X1339" s="35"/>
      <c r="Y1339" s="102"/>
    </row>
    <row r="1340" spans="12:25" ht="25" customHeight="1">
      <c r="L1340" s="31"/>
      <c r="M1340" s="31"/>
      <c r="N1340" s="31"/>
      <c r="X1340" s="35"/>
      <c r="Y1340" s="102"/>
    </row>
    <row r="1341" spans="12:25" ht="25" customHeight="1">
      <c r="L1341" s="31"/>
      <c r="M1341" s="31"/>
      <c r="N1341" s="31"/>
      <c r="X1341" s="35"/>
      <c r="Y1341" s="102"/>
    </row>
    <row r="1342" spans="12:25" ht="25" customHeight="1">
      <c r="L1342" s="31"/>
      <c r="M1342" s="31"/>
      <c r="N1342" s="31"/>
      <c r="X1342" s="35"/>
      <c r="Y1342" s="102"/>
    </row>
    <row r="1343" spans="12:25" ht="25" customHeight="1">
      <c r="L1343" s="31"/>
      <c r="M1343" s="31"/>
      <c r="N1343" s="31"/>
      <c r="X1343" s="35"/>
      <c r="Y1343" s="102"/>
    </row>
    <row r="1344" spans="12:25" ht="25" customHeight="1">
      <c r="L1344" s="31"/>
      <c r="M1344" s="31"/>
      <c r="N1344" s="31"/>
      <c r="X1344" s="35"/>
      <c r="Y1344" s="102"/>
    </row>
    <row r="1345" spans="12:25" ht="25" customHeight="1">
      <c r="L1345" s="31"/>
      <c r="M1345" s="31"/>
      <c r="N1345" s="31"/>
      <c r="X1345" s="35"/>
      <c r="Y1345" s="102"/>
    </row>
    <row r="1346" spans="12:25" ht="25" customHeight="1">
      <c r="L1346" s="31"/>
      <c r="M1346" s="31"/>
      <c r="N1346" s="31"/>
      <c r="X1346" s="35"/>
      <c r="Y1346" s="102"/>
    </row>
    <row r="1347" spans="12:25" ht="25" customHeight="1">
      <c r="L1347" s="31"/>
      <c r="M1347" s="31"/>
      <c r="N1347" s="31"/>
      <c r="X1347" s="35"/>
      <c r="Y1347" s="102"/>
    </row>
    <row r="1348" spans="12:25" ht="25" customHeight="1">
      <c r="L1348" s="31"/>
      <c r="M1348" s="31"/>
      <c r="N1348" s="31"/>
      <c r="X1348" s="35"/>
      <c r="Y1348" s="102"/>
    </row>
    <row r="1349" spans="12:25" ht="25" customHeight="1">
      <c r="L1349" s="31"/>
      <c r="M1349" s="31"/>
      <c r="N1349" s="31"/>
      <c r="X1349" s="35"/>
      <c r="Y1349" s="102"/>
    </row>
    <row r="1350" spans="12:25" ht="25" customHeight="1">
      <c r="L1350" s="31"/>
      <c r="M1350" s="31"/>
      <c r="N1350" s="31"/>
      <c r="X1350" s="35"/>
      <c r="Y1350" s="102"/>
    </row>
    <row r="1351" spans="12:25" ht="25" customHeight="1">
      <c r="L1351" s="31"/>
      <c r="M1351" s="31"/>
      <c r="N1351" s="31"/>
      <c r="X1351" s="35"/>
      <c r="Y1351" s="102"/>
    </row>
    <row r="1352" spans="12:25" ht="25" customHeight="1">
      <c r="L1352" s="31"/>
      <c r="M1352" s="31"/>
      <c r="N1352" s="31"/>
      <c r="X1352" s="35"/>
      <c r="Y1352" s="102"/>
    </row>
    <row r="1353" spans="12:25" ht="25" customHeight="1">
      <c r="L1353" s="31"/>
      <c r="M1353" s="31"/>
      <c r="N1353" s="31"/>
      <c r="X1353" s="35"/>
      <c r="Y1353" s="102"/>
    </row>
    <row r="1354" spans="12:25" ht="25" customHeight="1">
      <c r="L1354" s="31"/>
      <c r="M1354" s="31"/>
      <c r="N1354" s="31"/>
      <c r="X1354" s="35"/>
      <c r="Y1354" s="102"/>
    </row>
    <row r="1355" spans="12:25" ht="25" customHeight="1">
      <c r="L1355" s="31"/>
      <c r="M1355" s="31"/>
      <c r="N1355" s="31"/>
      <c r="X1355" s="35"/>
      <c r="Y1355" s="102"/>
    </row>
    <row r="1356" spans="12:25" ht="25" customHeight="1">
      <c r="L1356" s="31"/>
      <c r="M1356" s="31"/>
      <c r="N1356" s="31"/>
      <c r="X1356" s="35"/>
      <c r="Y1356" s="102"/>
    </row>
    <row r="1357" spans="12:25" ht="25" customHeight="1">
      <c r="L1357" s="31"/>
      <c r="M1357" s="31"/>
      <c r="N1357" s="31"/>
      <c r="X1357" s="35"/>
      <c r="Y1357" s="102"/>
    </row>
    <row r="1358" spans="12:25" ht="25" customHeight="1">
      <c r="L1358" s="31"/>
      <c r="M1358" s="31"/>
      <c r="N1358" s="31"/>
      <c r="X1358" s="35"/>
      <c r="Y1358" s="102"/>
    </row>
    <row r="1359" spans="12:25" ht="25" customHeight="1">
      <c r="L1359" s="31"/>
      <c r="M1359" s="31"/>
      <c r="N1359" s="31"/>
      <c r="X1359" s="35"/>
      <c r="Y1359" s="102"/>
    </row>
    <row r="1360" spans="12:25" ht="25" customHeight="1">
      <c r="L1360" s="31"/>
      <c r="M1360" s="31"/>
      <c r="N1360" s="31"/>
      <c r="X1360" s="35"/>
      <c r="Y1360" s="102"/>
    </row>
    <row r="1361" spans="12:25" ht="25" customHeight="1">
      <c r="L1361" s="31"/>
      <c r="M1361" s="31"/>
      <c r="N1361" s="31"/>
      <c r="X1361" s="35"/>
      <c r="Y1361" s="102"/>
    </row>
    <row r="1362" spans="12:25" ht="25" customHeight="1">
      <c r="L1362" s="31"/>
      <c r="M1362" s="31"/>
      <c r="N1362" s="31"/>
      <c r="X1362" s="35"/>
      <c r="Y1362" s="102"/>
    </row>
    <row r="1363" spans="12:25" ht="25" customHeight="1">
      <c r="L1363" s="31"/>
      <c r="M1363" s="31"/>
      <c r="N1363" s="31"/>
      <c r="X1363" s="35"/>
      <c r="Y1363" s="102"/>
    </row>
    <row r="1364" spans="12:25" ht="25" customHeight="1">
      <c r="L1364" s="31"/>
      <c r="M1364" s="31"/>
      <c r="N1364" s="31"/>
      <c r="X1364" s="35"/>
      <c r="Y1364" s="102"/>
    </row>
    <row r="1365" spans="12:25" ht="25" customHeight="1">
      <c r="L1365" s="31"/>
      <c r="M1365" s="31"/>
      <c r="N1365" s="31"/>
      <c r="X1365" s="35"/>
      <c r="Y1365" s="102"/>
    </row>
    <row r="1366" spans="12:25" ht="25" customHeight="1">
      <c r="L1366" s="31"/>
      <c r="M1366" s="31"/>
      <c r="N1366" s="31"/>
      <c r="X1366" s="35"/>
      <c r="Y1366" s="102"/>
    </row>
    <row r="1367" spans="12:25" ht="25" customHeight="1">
      <c r="L1367" s="31"/>
      <c r="M1367" s="31"/>
      <c r="N1367" s="31"/>
      <c r="X1367" s="35"/>
      <c r="Y1367" s="102"/>
    </row>
    <row r="1368" spans="12:25" ht="25" customHeight="1">
      <c r="L1368" s="31"/>
      <c r="M1368" s="31"/>
      <c r="N1368" s="31"/>
      <c r="X1368" s="35"/>
      <c r="Y1368" s="102"/>
    </row>
    <row r="1369" spans="12:25" ht="25" customHeight="1">
      <c r="L1369" s="31"/>
      <c r="M1369" s="31"/>
      <c r="N1369" s="31"/>
      <c r="X1369" s="35"/>
      <c r="Y1369" s="102"/>
    </row>
    <row r="1370" spans="12:25" ht="25" customHeight="1">
      <c r="L1370" s="31"/>
      <c r="M1370" s="31"/>
      <c r="N1370" s="31"/>
      <c r="X1370" s="35"/>
      <c r="Y1370" s="102"/>
    </row>
    <row r="1371" spans="12:25" ht="25" customHeight="1">
      <c r="L1371" s="31"/>
      <c r="M1371" s="31"/>
      <c r="N1371" s="31"/>
      <c r="X1371" s="35"/>
      <c r="Y1371" s="102"/>
    </row>
    <row r="1372" spans="12:25" ht="25" customHeight="1">
      <c r="L1372" s="31"/>
      <c r="M1372" s="31"/>
      <c r="N1372" s="31"/>
      <c r="X1372" s="35"/>
      <c r="Y1372" s="102"/>
    </row>
    <row r="1373" spans="12:25" ht="25" customHeight="1">
      <c r="L1373" s="31"/>
      <c r="M1373" s="31"/>
      <c r="N1373" s="31"/>
      <c r="X1373" s="35"/>
      <c r="Y1373" s="102"/>
    </row>
    <row r="1374" spans="12:25" ht="25" customHeight="1">
      <c r="L1374" s="31"/>
      <c r="M1374" s="31"/>
      <c r="N1374" s="31"/>
      <c r="X1374" s="35"/>
      <c r="Y1374" s="102"/>
    </row>
    <row r="1375" spans="12:25" ht="25" customHeight="1">
      <c r="L1375" s="31"/>
      <c r="M1375" s="31"/>
      <c r="N1375" s="31"/>
      <c r="X1375" s="35"/>
      <c r="Y1375" s="102"/>
    </row>
    <row r="1376" spans="12:25" ht="25" customHeight="1">
      <c r="L1376" s="31"/>
      <c r="M1376" s="31"/>
      <c r="N1376" s="31"/>
      <c r="X1376" s="35"/>
      <c r="Y1376" s="102"/>
    </row>
    <row r="1377" spans="12:25" ht="25" customHeight="1">
      <c r="L1377" s="31"/>
      <c r="M1377" s="31"/>
      <c r="N1377" s="31"/>
      <c r="X1377" s="35"/>
      <c r="Y1377" s="102"/>
    </row>
    <row r="1378" spans="12:25" ht="25" customHeight="1">
      <c r="L1378" s="31"/>
      <c r="M1378" s="31"/>
      <c r="N1378" s="31"/>
      <c r="X1378" s="35"/>
      <c r="Y1378" s="102"/>
    </row>
    <row r="1379" spans="12:25" ht="25" customHeight="1">
      <c r="L1379" s="31"/>
      <c r="M1379" s="31"/>
      <c r="N1379" s="31"/>
      <c r="X1379" s="35"/>
      <c r="Y1379" s="102"/>
    </row>
    <row r="1380" spans="12:25" ht="25" customHeight="1">
      <c r="L1380" s="31"/>
      <c r="M1380" s="31"/>
      <c r="N1380" s="31"/>
      <c r="X1380" s="35"/>
      <c r="Y1380" s="102"/>
    </row>
    <row r="1381" spans="12:25" ht="25" customHeight="1">
      <c r="L1381" s="31"/>
      <c r="M1381" s="31"/>
      <c r="N1381" s="31"/>
      <c r="X1381" s="35"/>
      <c r="Y1381" s="102"/>
    </row>
    <row r="1382" spans="12:25" ht="25" customHeight="1">
      <c r="L1382" s="31"/>
      <c r="M1382" s="31"/>
      <c r="N1382" s="31"/>
      <c r="X1382" s="35"/>
      <c r="Y1382" s="102"/>
    </row>
    <row r="1383" spans="12:25" ht="25" customHeight="1">
      <c r="L1383" s="31"/>
      <c r="M1383" s="31"/>
      <c r="N1383" s="31"/>
      <c r="X1383" s="35"/>
      <c r="Y1383" s="102"/>
    </row>
    <row r="1384" spans="12:25" ht="25" customHeight="1">
      <c r="L1384" s="31"/>
      <c r="M1384" s="31"/>
      <c r="N1384" s="31"/>
      <c r="X1384" s="35"/>
      <c r="Y1384" s="102"/>
    </row>
    <row r="1385" spans="12:25" ht="25" customHeight="1">
      <c r="L1385" s="31"/>
      <c r="M1385" s="31"/>
      <c r="N1385" s="31"/>
      <c r="X1385" s="35"/>
      <c r="Y1385" s="102"/>
    </row>
    <row r="1386" spans="12:25" ht="25" customHeight="1">
      <c r="L1386" s="31"/>
      <c r="M1386" s="31"/>
      <c r="N1386" s="31"/>
      <c r="X1386" s="35"/>
      <c r="Y1386" s="102"/>
    </row>
    <row r="1387" spans="12:25" ht="25" customHeight="1">
      <c r="L1387" s="31"/>
      <c r="M1387" s="31"/>
      <c r="N1387" s="31"/>
      <c r="X1387" s="35"/>
      <c r="Y1387" s="102"/>
    </row>
    <row r="1388" spans="12:25" ht="25" customHeight="1">
      <c r="L1388" s="31"/>
      <c r="M1388" s="31"/>
      <c r="N1388" s="31"/>
      <c r="X1388" s="35"/>
      <c r="Y1388" s="102"/>
    </row>
    <row r="1389" spans="12:25" ht="25" customHeight="1">
      <c r="L1389" s="31"/>
      <c r="M1389" s="31"/>
      <c r="N1389" s="31"/>
      <c r="X1389" s="35"/>
      <c r="Y1389" s="102"/>
    </row>
    <row r="1390" spans="12:25" ht="25" customHeight="1">
      <c r="L1390" s="31"/>
      <c r="M1390" s="31"/>
      <c r="N1390" s="31"/>
      <c r="X1390" s="35"/>
      <c r="Y1390" s="102"/>
    </row>
    <row r="1391" spans="12:25" ht="25" customHeight="1">
      <c r="L1391" s="31"/>
      <c r="M1391" s="31"/>
      <c r="N1391" s="31"/>
      <c r="X1391" s="35"/>
      <c r="Y1391" s="102"/>
    </row>
    <row r="1392" spans="12:25" ht="25" customHeight="1">
      <c r="L1392" s="31"/>
      <c r="M1392" s="31"/>
      <c r="N1392" s="31"/>
      <c r="X1392" s="35"/>
      <c r="Y1392" s="102"/>
    </row>
    <row r="1393" spans="12:25" ht="25" customHeight="1">
      <c r="L1393" s="31"/>
      <c r="M1393" s="31"/>
      <c r="N1393" s="31"/>
      <c r="X1393" s="35"/>
      <c r="Y1393" s="102"/>
    </row>
    <row r="1394" spans="12:25" ht="25" customHeight="1">
      <c r="L1394" s="31"/>
      <c r="M1394" s="31"/>
      <c r="N1394" s="31"/>
      <c r="X1394" s="35"/>
      <c r="Y1394" s="102"/>
    </row>
    <row r="1395" spans="12:25" ht="25" customHeight="1">
      <c r="L1395" s="31"/>
      <c r="M1395" s="31"/>
      <c r="N1395" s="31"/>
      <c r="X1395" s="35"/>
      <c r="Y1395" s="102"/>
    </row>
    <row r="1396" spans="12:25" ht="25" customHeight="1">
      <c r="L1396" s="31"/>
      <c r="M1396" s="31"/>
      <c r="N1396" s="31"/>
      <c r="X1396" s="35"/>
      <c r="Y1396" s="102"/>
    </row>
    <row r="1397" spans="12:25" ht="25" customHeight="1">
      <c r="L1397" s="31"/>
      <c r="M1397" s="31"/>
      <c r="N1397" s="31"/>
      <c r="X1397" s="35"/>
      <c r="Y1397" s="102"/>
    </row>
    <row r="1398" spans="12:25" ht="25" customHeight="1">
      <c r="L1398" s="31"/>
      <c r="M1398" s="31"/>
      <c r="N1398" s="31"/>
      <c r="X1398" s="35"/>
      <c r="Y1398" s="102"/>
    </row>
    <row r="1399" spans="12:25" ht="25" customHeight="1">
      <c r="L1399" s="31"/>
      <c r="M1399" s="31"/>
      <c r="N1399" s="31"/>
      <c r="X1399" s="35"/>
      <c r="Y1399" s="102"/>
    </row>
    <row r="1400" spans="12:25" ht="25" customHeight="1">
      <c r="L1400" s="31"/>
      <c r="M1400" s="31"/>
      <c r="N1400" s="31"/>
      <c r="X1400" s="35"/>
      <c r="Y1400" s="102"/>
    </row>
    <row r="1401" spans="12:25" ht="25" customHeight="1">
      <c r="L1401" s="31"/>
      <c r="M1401" s="31"/>
      <c r="N1401" s="31"/>
      <c r="X1401" s="35"/>
      <c r="Y1401" s="102"/>
    </row>
    <row r="1402" spans="12:25" ht="25" customHeight="1">
      <c r="L1402" s="31"/>
      <c r="M1402" s="31"/>
      <c r="N1402" s="31"/>
      <c r="X1402" s="35"/>
      <c r="Y1402" s="102"/>
    </row>
    <row r="1403" spans="12:25" ht="25" customHeight="1">
      <c r="L1403" s="31"/>
      <c r="M1403" s="31"/>
      <c r="N1403" s="31"/>
      <c r="X1403" s="35"/>
      <c r="Y1403" s="102"/>
    </row>
    <row r="1404" spans="12:25" ht="25" customHeight="1">
      <c r="L1404" s="31"/>
      <c r="M1404" s="31"/>
      <c r="N1404" s="31"/>
      <c r="X1404" s="35"/>
      <c r="Y1404" s="102"/>
    </row>
    <row r="1405" spans="12:25" ht="25" customHeight="1">
      <c r="L1405" s="31"/>
      <c r="M1405" s="31"/>
      <c r="N1405" s="31"/>
      <c r="X1405" s="35"/>
      <c r="Y1405" s="102"/>
    </row>
    <row r="1406" spans="12:25" ht="25" customHeight="1">
      <c r="L1406" s="31"/>
      <c r="M1406" s="31"/>
      <c r="N1406" s="31"/>
      <c r="X1406" s="35"/>
      <c r="Y1406" s="102"/>
    </row>
    <row r="1407" spans="12:25" ht="25" customHeight="1">
      <c r="L1407" s="31"/>
      <c r="M1407" s="31"/>
      <c r="N1407" s="31"/>
      <c r="X1407" s="35"/>
      <c r="Y1407" s="102"/>
    </row>
    <row r="1408" spans="12:25" ht="25" customHeight="1">
      <c r="L1408" s="31"/>
      <c r="M1408" s="31"/>
      <c r="N1408" s="31"/>
      <c r="X1408" s="35"/>
      <c r="Y1408" s="102"/>
    </row>
    <row r="1409" spans="12:25" ht="25" customHeight="1">
      <c r="L1409" s="31"/>
      <c r="M1409" s="31"/>
      <c r="N1409" s="31"/>
      <c r="X1409" s="35"/>
      <c r="Y1409" s="102"/>
    </row>
    <row r="1410" spans="12:25" ht="25" customHeight="1">
      <c r="L1410" s="31"/>
      <c r="M1410" s="31"/>
      <c r="N1410" s="31"/>
      <c r="X1410" s="35"/>
      <c r="Y1410" s="102"/>
    </row>
    <row r="1411" spans="12:25" ht="25" customHeight="1">
      <c r="L1411" s="31"/>
      <c r="M1411" s="31"/>
      <c r="N1411" s="31"/>
      <c r="X1411" s="35"/>
      <c r="Y1411" s="102"/>
    </row>
    <row r="1412" spans="12:25" ht="25" customHeight="1">
      <c r="L1412" s="31"/>
      <c r="M1412" s="31"/>
      <c r="N1412" s="31"/>
      <c r="X1412" s="35"/>
      <c r="Y1412" s="102"/>
    </row>
    <row r="1413" spans="12:25" ht="25" customHeight="1">
      <c r="L1413" s="31"/>
      <c r="M1413" s="31"/>
      <c r="N1413" s="31"/>
      <c r="X1413" s="35"/>
      <c r="Y1413" s="102"/>
    </row>
    <row r="1414" spans="12:25" ht="25" customHeight="1">
      <c r="L1414" s="31"/>
      <c r="M1414" s="31"/>
      <c r="N1414" s="31"/>
      <c r="X1414" s="35"/>
      <c r="Y1414" s="102"/>
    </row>
    <row r="1415" spans="12:25" ht="25" customHeight="1">
      <c r="L1415" s="31"/>
      <c r="M1415" s="31"/>
      <c r="N1415" s="31"/>
      <c r="X1415" s="35"/>
      <c r="Y1415" s="102"/>
    </row>
    <row r="1416" spans="12:25" ht="25" customHeight="1">
      <c r="L1416" s="31"/>
      <c r="M1416" s="31"/>
      <c r="N1416" s="31"/>
      <c r="X1416" s="35"/>
      <c r="Y1416" s="102"/>
    </row>
    <row r="1417" spans="12:25" ht="25" customHeight="1">
      <c r="L1417" s="31"/>
      <c r="M1417" s="31"/>
      <c r="N1417" s="31"/>
      <c r="X1417" s="35"/>
      <c r="Y1417" s="102"/>
    </row>
    <row r="1418" spans="12:25" ht="25" customHeight="1">
      <c r="L1418" s="31"/>
      <c r="M1418" s="31"/>
      <c r="N1418" s="31"/>
      <c r="X1418" s="35"/>
      <c r="Y1418" s="102"/>
    </row>
    <row r="1419" spans="12:25" ht="25" customHeight="1">
      <c r="L1419" s="31"/>
      <c r="M1419" s="31"/>
      <c r="N1419" s="31"/>
      <c r="X1419" s="35"/>
      <c r="Y1419" s="102"/>
    </row>
    <row r="1420" spans="12:25" ht="25" customHeight="1">
      <c r="L1420" s="31"/>
      <c r="M1420" s="31"/>
      <c r="N1420" s="31"/>
      <c r="X1420" s="35"/>
      <c r="Y1420" s="102"/>
    </row>
    <row r="1421" spans="12:25" ht="25" customHeight="1">
      <c r="L1421" s="31"/>
      <c r="M1421" s="31"/>
      <c r="N1421" s="31"/>
      <c r="X1421" s="35"/>
      <c r="Y1421" s="102"/>
    </row>
    <row r="1422" spans="12:25" ht="25" customHeight="1">
      <c r="L1422" s="31"/>
      <c r="M1422" s="31"/>
      <c r="N1422" s="31"/>
      <c r="X1422" s="35"/>
      <c r="Y1422" s="102"/>
    </row>
    <row r="1423" spans="12:25" ht="25" customHeight="1">
      <c r="L1423" s="31"/>
      <c r="M1423" s="31"/>
      <c r="N1423" s="31"/>
      <c r="X1423" s="35"/>
      <c r="Y1423" s="102"/>
    </row>
    <row r="1424" spans="12:25" ht="25" customHeight="1">
      <c r="L1424" s="31"/>
      <c r="M1424" s="31"/>
      <c r="N1424" s="31"/>
      <c r="X1424" s="35"/>
      <c r="Y1424" s="102"/>
    </row>
    <row r="1425" spans="12:25" ht="25" customHeight="1">
      <c r="L1425" s="31"/>
      <c r="M1425" s="31"/>
      <c r="N1425" s="31"/>
      <c r="X1425" s="35"/>
      <c r="Y1425" s="102"/>
    </row>
    <row r="1426" spans="12:25" ht="25" customHeight="1">
      <c r="L1426" s="31"/>
      <c r="M1426" s="31"/>
      <c r="N1426" s="31"/>
      <c r="X1426" s="35"/>
      <c r="Y1426" s="102"/>
    </row>
    <row r="1427" spans="12:25" ht="25" customHeight="1">
      <c r="L1427" s="31"/>
      <c r="M1427" s="31"/>
      <c r="N1427" s="31"/>
      <c r="X1427" s="35"/>
      <c r="Y1427" s="102"/>
    </row>
    <row r="1428" spans="12:25" ht="25" customHeight="1">
      <c r="L1428" s="31"/>
      <c r="M1428" s="31"/>
      <c r="N1428" s="31"/>
      <c r="X1428" s="35"/>
      <c r="Y1428" s="102"/>
    </row>
    <row r="1429" spans="12:25" ht="25" customHeight="1">
      <c r="L1429" s="31"/>
      <c r="M1429" s="31"/>
      <c r="N1429" s="31"/>
      <c r="X1429" s="35"/>
      <c r="Y1429" s="102"/>
    </row>
    <row r="1430" spans="12:25" ht="25" customHeight="1">
      <c r="L1430" s="31"/>
      <c r="M1430" s="31"/>
      <c r="N1430" s="31"/>
      <c r="X1430" s="35"/>
      <c r="Y1430" s="102"/>
    </row>
    <row r="1431" spans="12:25" ht="25" customHeight="1">
      <c r="L1431" s="31"/>
      <c r="M1431" s="31"/>
      <c r="N1431" s="31"/>
      <c r="X1431" s="35"/>
      <c r="Y1431" s="102"/>
    </row>
    <row r="1432" spans="12:25" ht="25" customHeight="1">
      <c r="L1432" s="31"/>
      <c r="M1432" s="31"/>
      <c r="N1432" s="31"/>
      <c r="X1432" s="35"/>
      <c r="Y1432" s="102"/>
    </row>
    <row r="1433" spans="12:25" ht="25" customHeight="1">
      <c r="L1433" s="31"/>
      <c r="M1433" s="31"/>
      <c r="N1433" s="31"/>
      <c r="X1433" s="35"/>
      <c r="Y1433" s="102"/>
    </row>
    <row r="1434" spans="12:25" ht="25" customHeight="1">
      <c r="L1434" s="31"/>
      <c r="M1434" s="31"/>
      <c r="N1434" s="31"/>
      <c r="X1434" s="35"/>
      <c r="Y1434" s="102"/>
    </row>
    <row r="1435" spans="12:25" ht="25" customHeight="1">
      <c r="L1435" s="31"/>
      <c r="M1435" s="31"/>
      <c r="N1435" s="31"/>
      <c r="X1435" s="35"/>
      <c r="Y1435" s="102"/>
    </row>
    <row r="1436" spans="12:25" ht="25" customHeight="1">
      <c r="L1436" s="31"/>
      <c r="M1436" s="31"/>
      <c r="N1436" s="31"/>
      <c r="X1436" s="35"/>
      <c r="Y1436" s="102"/>
    </row>
    <row r="1437" spans="12:25" ht="25" customHeight="1">
      <c r="L1437" s="31"/>
      <c r="M1437" s="31"/>
      <c r="N1437" s="31"/>
      <c r="X1437" s="35"/>
      <c r="Y1437" s="102"/>
    </row>
    <row r="1438" spans="12:25" ht="25" customHeight="1">
      <c r="L1438" s="31"/>
      <c r="M1438" s="31"/>
      <c r="N1438" s="31"/>
      <c r="X1438" s="35"/>
      <c r="Y1438" s="102"/>
    </row>
    <row r="1439" spans="12:25" ht="25" customHeight="1">
      <c r="L1439" s="31"/>
      <c r="M1439" s="31"/>
      <c r="N1439" s="31"/>
      <c r="X1439" s="35"/>
      <c r="Y1439" s="102"/>
    </row>
    <row r="1440" spans="12:25" ht="25" customHeight="1">
      <c r="L1440" s="31"/>
      <c r="M1440" s="31"/>
      <c r="N1440" s="31"/>
      <c r="X1440" s="35"/>
      <c r="Y1440" s="102"/>
    </row>
    <row r="1441" spans="12:25" ht="25" customHeight="1">
      <c r="L1441" s="31"/>
      <c r="M1441" s="31"/>
      <c r="N1441" s="31"/>
      <c r="X1441" s="35"/>
      <c r="Y1441" s="102"/>
    </row>
    <row r="1442" spans="12:25" ht="25" customHeight="1">
      <c r="L1442" s="31"/>
      <c r="M1442" s="31"/>
      <c r="N1442" s="31"/>
      <c r="X1442" s="35"/>
      <c r="Y1442" s="102"/>
    </row>
    <row r="1443" spans="12:25" ht="25" customHeight="1">
      <c r="L1443" s="31"/>
      <c r="M1443" s="31"/>
      <c r="N1443" s="31"/>
      <c r="X1443" s="35"/>
      <c r="Y1443" s="102"/>
    </row>
    <row r="1444" spans="12:25" ht="25" customHeight="1">
      <c r="L1444" s="31"/>
      <c r="M1444" s="31"/>
      <c r="N1444" s="31"/>
      <c r="X1444" s="35"/>
      <c r="Y1444" s="102"/>
    </row>
    <row r="1445" spans="12:25" ht="25" customHeight="1">
      <c r="L1445" s="31"/>
      <c r="M1445" s="31"/>
      <c r="N1445" s="31"/>
      <c r="X1445" s="35"/>
      <c r="Y1445" s="102"/>
    </row>
    <row r="1446" spans="12:25" ht="25" customHeight="1">
      <c r="L1446" s="31"/>
      <c r="M1446" s="31"/>
      <c r="N1446" s="31"/>
      <c r="X1446" s="35"/>
      <c r="Y1446" s="102"/>
    </row>
    <row r="1447" spans="12:25" ht="25" customHeight="1">
      <c r="L1447" s="31"/>
      <c r="M1447" s="31"/>
      <c r="N1447" s="31"/>
      <c r="X1447" s="35"/>
      <c r="Y1447" s="102"/>
    </row>
    <row r="1448" spans="12:25" ht="25" customHeight="1">
      <c r="L1448" s="31"/>
      <c r="M1448" s="31"/>
      <c r="N1448" s="31"/>
      <c r="X1448" s="35"/>
      <c r="Y1448" s="102"/>
    </row>
    <row r="1449" spans="12:25" ht="25" customHeight="1">
      <c r="L1449" s="31"/>
      <c r="M1449" s="31"/>
      <c r="N1449" s="31"/>
      <c r="X1449" s="35"/>
      <c r="Y1449" s="102"/>
    </row>
    <row r="1450" spans="12:25" ht="25" customHeight="1">
      <c r="L1450" s="31"/>
      <c r="M1450" s="31"/>
      <c r="N1450" s="31"/>
      <c r="X1450" s="35"/>
      <c r="Y1450" s="102"/>
    </row>
    <row r="1451" spans="12:25" ht="25" customHeight="1">
      <c r="L1451" s="31"/>
      <c r="M1451" s="31"/>
      <c r="N1451" s="31"/>
      <c r="X1451" s="35"/>
      <c r="Y1451" s="102"/>
    </row>
    <row r="1452" spans="12:25" ht="25" customHeight="1">
      <c r="L1452" s="31"/>
      <c r="M1452" s="31"/>
      <c r="N1452" s="31"/>
      <c r="X1452" s="35"/>
      <c r="Y1452" s="102"/>
    </row>
    <row r="1453" spans="12:25" ht="25" customHeight="1">
      <c r="L1453" s="31"/>
      <c r="M1453" s="31"/>
      <c r="N1453" s="31"/>
      <c r="X1453" s="35"/>
      <c r="Y1453" s="102"/>
    </row>
    <row r="1454" spans="12:25" ht="25" customHeight="1">
      <c r="L1454" s="31"/>
      <c r="M1454" s="31"/>
      <c r="N1454" s="31"/>
      <c r="X1454" s="35"/>
      <c r="Y1454" s="102"/>
    </row>
    <row r="1455" spans="12:25" ht="25" customHeight="1">
      <c r="L1455" s="31"/>
      <c r="M1455" s="31"/>
      <c r="N1455" s="31"/>
      <c r="X1455" s="35"/>
      <c r="Y1455" s="102"/>
    </row>
    <row r="1456" spans="12:25" ht="25" customHeight="1">
      <c r="L1456" s="31"/>
      <c r="M1456" s="31"/>
      <c r="N1456" s="31"/>
      <c r="X1456" s="35"/>
      <c r="Y1456" s="102"/>
    </row>
    <row r="1457" spans="12:25" ht="25" customHeight="1">
      <c r="L1457" s="31"/>
      <c r="M1457" s="31"/>
      <c r="N1457" s="31"/>
      <c r="X1457" s="35"/>
      <c r="Y1457" s="102"/>
    </row>
    <row r="1458" spans="12:25" ht="25" customHeight="1">
      <c r="L1458" s="31"/>
      <c r="M1458" s="31"/>
      <c r="N1458" s="31"/>
      <c r="X1458" s="35"/>
      <c r="Y1458" s="102"/>
    </row>
    <row r="1459" spans="12:25" ht="25" customHeight="1">
      <c r="L1459" s="31"/>
      <c r="M1459" s="31"/>
      <c r="N1459" s="31"/>
      <c r="X1459" s="35"/>
      <c r="Y1459" s="102"/>
    </row>
    <row r="1460" spans="12:25" ht="25" customHeight="1">
      <c r="L1460" s="31"/>
      <c r="M1460" s="31"/>
      <c r="N1460" s="31"/>
      <c r="X1460" s="35"/>
      <c r="Y1460" s="102"/>
    </row>
    <row r="1461" spans="12:25" ht="25" customHeight="1">
      <c r="L1461" s="31"/>
      <c r="M1461" s="31"/>
      <c r="N1461" s="31"/>
      <c r="X1461" s="35"/>
      <c r="Y1461" s="102"/>
    </row>
    <row r="1462" spans="12:25" ht="25" customHeight="1">
      <c r="L1462" s="31"/>
      <c r="M1462" s="31"/>
      <c r="N1462" s="31"/>
      <c r="X1462" s="35"/>
      <c r="Y1462" s="102"/>
    </row>
    <row r="1463" spans="12:25" ht="25" customHeight="1">
      <c r="L1463" s="31"/>
      <c r="M1463" s="31"/>
      <c r="N1463" s="31"/>
      <c r="X1463" s="35"/>
      <c r="Y1463" s="102"/>
    </row>
    <row r="1464" spans="12:25" ht="25" customHeight="1">
      <c r="L1464" s="31"/>
      <c r="M1464" s="31"/>
      <c r="N1464" s="31"/>
      <c r="X1464" s="35"/>
      <c r="Y1464" s="102"/>
    </row>
    <row r="1465" spans="12:25" ht="25" customHeight="1">
      <c r="L1465" s="31"/>
      <c r="M1465" s="31"/>
      <c r="N1465" s="31"/>
      <c r="X1465" s="35"/>
      <c r="Y1465" s="102"/>
    </row>
    <row r="1466" spans="12:25" ht="25" customHeight="1">
      <c r="L1466" s="31"/>
      <c r="M1466" s="31"/>
      <c r="N1466" s="31"/>
      <c r="X1466" s="35"/>
      <c r="Y1466" s="102"/>
    </row>
    <row r="1467" spans="12:25" ht="25" customHeight="1">
      <c r="L1467" s="31"/>
      <c r="M1467" s="31"/>
      <c r="N1467" s="31"/>
      <c r="X1467" s="35"/>
      <c r="Y1467" s="102"/>
    </row>
    <row r="1468" spans="12:25" ht="25" customHeight="1">
      <c r="L1468" s="31"/>
      <c r="M1468" s="31"/>
      <c r="N1468" s="31"/>
      <c r="X1468" s="35"/>
      <c r="Y1468" s="102"/>
    </row>
    <row r="1469" spans="12:25" ht="25" customHeight="1">
      <c r="L1469" s="31"/>
      <c r="M1469" s="31"/>
      <c r="N1469" s="31"/>
      <c r="X1469" s="35"/>
      <c r="Y1469" s="102"/>
    </row>
    <row r="1470" spans="12:25" ht="25" customHeight="1">
      <c r="L1470" s="31"/>
      <c r="M1470" s="31"/>
      <c r="N1470" s="31"/>
      <c r="X1470" s="35"/>
      <c r="Y1470" s="102"/>
    </row>
    <row r="1471" spans="12:25" ht="25" customHeight="1">
      <c r="L1471" s="31"/>
      <c r="M1471" s="31"/>
      <c r="N1471" s="31"/>
      <c r="X1471" s="35"/>
      <c r="Y1471" s="102"/>
    </row>
    <row r="1472" spans="12:25" ht="25" customHeight="1">
      <c r="L1472" s="31"/>
      <c r="M1472" s="31"/>
      <c r="N1472" s="31"/>
      <c r="X1472" s="35"/>
      <c r="Y1472" s="102"/>
    </row>
    <row r="1473" spans="12:25" ht="25" customHeight="1">
      <c r="L1473" s="31"/>
      <c r="M1473" s="31"/>
      <c r="N1473" s="31"/>
      <c r="X1473" s="35"/>
      <c r="Y1473" s="102"/>
    </row>
    <row r="1474" spans="12:25" ht="25" customHeight="1">
      <c r="L1474" s="31"/>
      <c r="M1474" s="31"/>
      <c r="N1474" s="31"/>
      <c r="X1474" s="35"/>
      <c r="Y1474" s="102"/>
    </row>
    <row r="1475" spans="12:25" ht="25" customHeight="1">
      <c r="L1475" s="31"/>
      <c r="M1475" s="31"/>
      <c r="N1475" s="31"/>
      <c r="X1475" s="35"/>
      <c r="Y1475" s="102"/>
    </row>
    <row r="1476" spans="12:25" ht="25" customHeight="1">
      <c r="L1476" s="31"/>
      <c r="M1476" s="31"/>
      <c r="N1476" s="31"/>
      <c r="X1476" s="35"/>
      <c r="Y1476" s="102"/>
    </row>
    <row r="1477" spans="12:25" ht="25" customHeight="1">
      <c r="L1477" s="31"/>
      <c r="M1477" s="31"/>
      <c r="N1477" s="31"/>
      <c r="X1477" s="35"/>
      <c r="Y1477" s="102"/>
    </row>
    <row r="1478" spans="12:25" ht="25" customHeight="1">
      <c r="L1478" s="31"/>
      <c r="M1478" s="31"/>
      <c r="N1478" s="31"/>
      <c r="X1478" s="35"/>
      <c r="Y1478" s="102"/>
    </row>
    <row r="1479" spans="12:25" ht="25" customHeight="1">
      <c r="L1479" s="31"/>
      <c r="M1479" s="31"/>
      <c r="N1479" s="31"/>
      <c r="X1479" s="35"/>
      <c r="Y1479" s="102"/>
    </row>
    <row r="1480" spans="12:25" ht="25" customHeight="1">
      <c r="L1480" s="31"/>
      <c r="M1480" s="31"/>
      <c r="N1480" s="31"/>
      <c r="X1480" s="35"/>
      <c r="Y1480" s="102"/>
    </row>
    <row r="1481" spans="12:25" ht="25" customHeight="1">
      <c r="L1481" s="31"/>
      <c r="M1481" s="31"/>
      <c r="N1481" s="31"/>
      <c r="X1481" s="35"/>
      <c r="Y1481" s="102"/>
    </row>
    <row r="1482" spans="12:25" ht="25" customHeight="1">
      <c r="L1482" s="31"/>
      <c r="M1482" s="31"/>
      <c r="N1482" s="31"/>
      <c r="X1482" s="35"/>
      <c r="Y1482" s="102"/>
    </row>
    <row r="1483" spans="12:25" ht="25" customHeight="1">
      <c r="L1483" s="31"/>
      <c r="M1483" s="31"/>
      <c r="N1483" s="31"/>
      <c r="X1483" s="35"/>
      <c r="Y1483" s="102"/>
    </row>
    <row r="1484" spans="12:25" ht="25" customHeight="1">
      <c r="L1484" s="31"/>
      <c r="M1484" s="31"/>
      <c r="N1484" s="31"/>
      <c r="X1484" s="35"/>
      <c r="Y1484" s="102"/>
    </row>
    <row r="1485" spans="12:25" ht="25" customHeight="1">
      <c r="L1485" s="31"/>
      <c r="M1485" s="31"/>
      <c r="N1485" s="31"/>
      <c r="X1485" s="35"/>
      <c r="Y1485" s="102"/>
    </row>
    <row r="1486" spans="12:25" ht="25" customHeight="1">
      <c r="L1486" s="31"/>
      <c r="M1486" s="31"/>
      <c r="N1486" s="31"/>
      <c r="X1486" s="35"/>
      <c r="Y1486" s="102"/>
    </row>
    <row r="1487" spans="12:25" ht="25" customHeight="1">
      <c r="L1487" s="31"/>
      <c r="M1487" s="31"/>
      <c r="N1487" s="31"/>
      <c r="X1487" s="35"/>
      <c r="Y1487" s="102"/>
    </row>
    <row r="1488" spans="12:25" ht="25" customHeight="1">
      <c r="L1488" s="31"/>
      <c r="M1488" s="31"/>
      <c r="N1488" s="31"/>
      <c r="X1488" s="35"/>
      <c r="Y1488" s="102"/>
    </row>
    <row r="1489" spans="12:25" ht="25" customHeight="1">
      <c r="L1489" s="31"/>
      <c r="M1489" s="31"/>
      <c r="N1489" s="31"/>
      <c r="X1489" s="35"/>
      <c r="Y1489" s="102"/>
    </row>
    <row r="1490" spans="12:25" ht="25" customHeight="1">
      <c r="L1490" s="31"/>
      <c r="M1490" s="31"/>
      <c r="N1490" s="31"/>
      <c r="X1490" s="35"/>
      <c r="Y1490" s="102"/>
    </row>
    <row r="1491" spans="12:25" ht="25" customHeight="1">
      <c r="L1491" s="31"/>
      <c r="M1491" s="31"/>
      <c r="N1491" s="31"/>
      <c r="X1491" s="35"/>
      <c r="Y1491" s="102"/>
    </row>
    <row r="1492" spans="12:25" ht="25" customHeight="1">
      <c r="L1492" s="31"/>
      <c r="M1492" s="31"/>
      <c r="N1492" s="31"/>
      <c r="X1492" s="35"/>
      <c r="Y1492" s="102"/>
    </row>
    <row r="1493" spans="12:25" ht="25" customHeight="1">
      <c r="L1493" s="31"/>
      <c r="M1493" s="31"/>
      <c r="N1493" s="31"/>
      <c r="X1493" s="35"/>
      <c r="Y1493" s="102"/>
    </row>
    <row r="1494" spans="12:25" ht="25" customHeight="1">
      <c r="L1494" s="31"/>
      <c r="M1494" s="31"/>
      <c r="N1494" s="31"/>
      <c r="X1494" s="35"/>
      <c r="Y1494" s="102"/>
    </row>
    <row r="1495" spans="12:25" ht="25" customHeight="1">
      <c r="L1495" s="31"/>
      <c r="M1495" s="31"/>
      <c r="N1495" s="31"/>
      <c r="X1495" s="35"/>
      <c r="Y1495" s="102"/>
    </row>
    <row r="1496" spans="12:25" ht="25" customHeight="1">
      <c r="L1496" s="31"/>
      <c r="M1496" s="31"/>
      <c r="N1496" s="31"/>
      <c r="X1496" s="35"/>
      <c r="Y1496" s="102"/>
    </row>
    <row r="1497" spans="12:25" ht="25" customHeight="1">
      <c r="L1497" s="31"/>
      <c r="M1497" s="31"/>
      <c r="N1497" s="31"/>
      <c r="X1497" s="35"/>
      <c r="Y1497" s="102"/>
    </row>
    <row r="1498" spans="12:25" ht="25" customHeight="1">
      <c r="L1498" s="31"/>
      <c r="M1498" s="31"/>
      <c r="N1498" s="31"/>
      <c r="X1498" s="35"/>
      <c r="Y1498" s="102"/>
    </row>
    <row r="1499" spans="12:25" ht="25" customHeight="1">
      <c r="L1499" s="31"/>
      <c r="M1499" s="31"/>
      <c r="N1499" s="31"/>
      <c r="X1499" s="35"/>
      <c r="Y1499" s="102"/>
    </row>
    <row r="1500" spans="12:25" ht="25" customHeight="1">
      <c r="L1500" s="31"/>
      <c r="M1500" s="31"/>
      <c r="N1500" s="31"/>
      <c r="X1500" s="35"/>
      <c r="Y1500" s="102"/>
    </row>
    <row r="1501" spans="12:25" ht="25" customHeight="1">
      <c r="L1501" s="31"/>
      <c r="M1501" s="31"/>
      <c r="N1501" s="31"/>
      <c r="X1501" s="35"/>
      <c r="Y1501" s="102"/>
    </row>
    <row r="1502" spans="12:25" ht="25" customHeight="1">
      <c r="L1502" s="31"/>
      <c r="M1502" s="31"/>
      <c r="N1502" s="31"/>
      <c r="X1502" s="35"/>
      <c r="Y1502" s="102"/>
    </row>
    <row r="1503" spans="12:25" ht="25" customHeight="1">
      <c r="L1503" s="31"/>
      <c r="M1503" s="31"/>
      <c r="N1503" s="31"/>
      <c r="X1503" s="35"/>
      <c r="Y1503" s="102"/>
    </row>
    <row r="1504" spans="12:25" ht="25" customHeight="1">
      <c r="L1504" s="31"/>
      <c r="M1504" s="31"/>
      <c r="N1504" s="31"/>
      <c r="X1504" s="35"/>
      <c r="Y1504" s="102"/>
    </row>
    <row r="1505" spans="12:25" ht="25" customHeight="1">
      <c r="L1505" s="31"/>
      <c r="M1505" s="31"/>
      <c r="N1505" s="31"/>
      <c r="X1505" s="35"/>
      <c r="Y1505" s="102"/>
    </row>
    <row r="1506" spans="12:25" ht="25" customHeight="1">
      <c r="L1506" s="31"/>
      <c r="M1506" s="31"/>
      <c r="N1506" s="31"/>
      <c r="X1506" s="35"/>
      <c r="Y1506" s="102"/>
    </row>
    <row r="1507" spans="12:25" ht="25" customHeight="1">
      <c r="L1507" s="31"/>
      <c r="M1507" s="31"/>
      <c r="N1507" s="31"/>
      <c r="X1507" s="35"/>
      <c r="Y1507" s="102"/>
    </row>
    <row r="1508" spans="12:25" ht="25" customHeight="1">
      <c r="L1508" s="31"/>
      <c r="M1508" s="31"/>
      <c r="N1508" s="31"/>
      <c r="X1508" s="35"/>
      <c r="Y1508" s="102"/>
    </row>
    <row r="1509" spans="12:25" ht="25" customHeight="1">
      <c r="L1509" s="31"/>
      <c r="M1509" s="31"/>
      <c r="N1509" s="31"/>
      <c r="X1509" s="35"/>
      <c r="Y1509" s="102"/>
    </row>
    <row r="1510" spans="12:25" ht="25" customHeight="1">
      <c r="L1510" s="31"/>
      <c r="M1510" s="31"/>
      <c r="N1510" s="31"/>
      <c r="X1510" s="35"/>
      <c r="Y1510" s="102"/>
    </row>
    <row r="1511" spans="12:25" ht="25" customHeight="1">
      <c r="L1511" s="31"/>
      <c r="M1511" s="31"/>
      <c r="N1511" s="31"/>
      <c r="X1511" s="35"/>
      <c r="Y1511" s="102"/>
    </row>
    <row r="1512" spans="12:25" ht="25" customHeight="1">
      <c r="L1512" s="31"/>
      <c r="M1512" s="31"/>
      <c r="N1512" s="31"/>
      <c r="X1512" s="35"/>
      <c r="Y1512" s="102"/>
    </row>
    <row r="1513" spans="12:25" ht="25" customHeight="1">
      <c r="L1513" s="31"/>
      <c r="M1513" s="31"/>
      <c r="N1513" s="31"/>
      <c r="X1513" s="35"/>
      <c r="Y1513" s="102"/>
    </row>
    <row r="1514" spans="12:25" ht="25" customHeight="1">
      <c r="L1514" s="31"/>
      <c r="M1514" s="31"/>
      <c r="N1514" s="31"/>
      <c r="X1514" s="35"/>
      <c r="Y1514" s="102"/>
    </row>
    <row r="1515" spans="12:25" ht="25" customHeight="1">
      <c r="L1515" s="31"/>
      <c r="M1515" s="31"/>
      <c r="N1515" s="31"/>
      <c r="X1515" s="35"/>
      <c r="Y1515" s="102"/>
    </row>
    <row r="1516" spans="12:25" ht="25" customHeight="1">
      <c r="L1516" s="31"/>
      <c r="M1516" s="31"/>
      <c r="N1516" s="31"/>
      <c r="X1516" s="35"/>
      <c r="Y1516" s="102"/>
    </row>
    <row r="1517" spans="12:25" ht="25" customHeight="1">
      <c r="L1517" s="31"/>
      <c r="M1517" s="31"/>
      <c r="N1517" s="31"/>
      <c r="X1517" s="35"/>
      <c r="Y1517" s="102"/>
    </row>
    <row r="1518" spans="12:25" ht="25" customHeight="1">
      <c r="L1518" s="31"/>
      <c r="M1518" s="31"/>
      <c r="N1518" s="31"/>
      <c r="X1518" s="35"/>
      <c r="Y1518" s="102"/>
    </row>
    <row r="1519" spans="12:25" ht="25" customHeight="1">
      <c r="L1519" s="31"/>
      <c r="M1519" s="31"/>
      <c r="N1519" s="31"/>
      <c r="X1519" s="35"/>
      <c r="Y1519" s="102"/>
    </row>
    <row r="1520" spans="12:25" ht="25" customHeight="1">
      <c r="L1520" s="31"/>
      <c r="M1520" s="31"/>
      <c r="N1520" s="31"/>
      <c r="X1520" s="35"/>
      <c r="Y1520" s="102"/>
    </row>
    <row r="1521" spans="12:25" ht="25" customHeight="1">
      <c r="L1521" s="31"/>
      <c r="M1521" s="31"/>
      <c r="N1521" s="31"/>
      <c r="X1521" s="35"/>
      <c r="Y1521" s="102"/>
    </row>
    <row r="1522" spans="12:25" ht="25" customHeight="1">
      <c r="L1522" s="31"/>
      <c r="M1522" s="31"/>
      <c r="N1522" s="31"/>
      <c r="X1522" s="35"/>
      <c r="Y1522" s="102"/>
    </row>
    <row r="1523" spans="12:25" ht="25" customHeight="1">
      <c r="L1523" s="31"/>
      <c r="M1523" s="31"/>
      <c r="N1523" s="31"/>
      <c r="X1523" s="35"/>
      <c r="Y1523" s="102"/>
    </row>
    <row r="1524" spans="12:25" ht="25" customHeight="1">
      <c r="L1524" s="31"/>
      <c r="M1524" s="31"/>
      <c r="N1524" s="31"/>
      <c r="X1524" s="35"/>
      <c r="Y1524" s="102"/>
    </row>
    <row r="1525" spans="12:25" ht="25" customHeight="1">
      <c r="L1525" s="31"/>
      <c r="M1525" s="31"/>
      <c r="N1525" s="31"/>
      <c r="X1525" s="35"/>
      <c r="Y1525" s="102"/>
    </row>
    <row r="1526" spans="12:25" ht="25" customHeight="1">
      <c r="L1526" s="31"/>
      <c r="M1526" s="31"/>
      <c r="N1526" s="31"/>
      <c r="X1526" s="35"/>
      <c r="Y1526" s="102"/>
    </row>
    <row r="1527" spans="12:25" ht="25" customHeight="1">
      <c r="L1527" s="31"/>
      <c r="M1527" s="31"/>
      <c r="N1527" s="31"/>
      <c r="X1527" s="35"/>
      <c r="Y1527" s="102"/>
    </row>
    <row r="1528" spans="12:25" ht="25" customHeight="1">
      <c r="L1528" s="31"/>
      <c r="M1528" s="31"/>
      <c r="N1528" s="31"/>
      <c r="X1528" s="35"/>
      <c r="Y1528" s="102"/>
    </row>
    <row r="1529" spans="12:25" ht="25" customHeight="1">
      <c r="L1529" s="31"/>
      <c r="M1529" s="31"/>
      <c r="N1529" s="31"/>
      <c r="X1529" s="35"/>
      <c r="Y1529" s="102"/>
    </row>
    <row r="1530" spans="12:25" ht="25" customHeight="1">
      <c r="L1530" s="31"/>
      <c r="M1530" s="31"/>
      <c r="N1530" s="31"/>
      <c r="X1530" s="35"/>
      <c r="Y1530" s="102"/>
    </row>
    <row r="1531" spans="12:25" ht="25" customHeight="1">
      <c r="L1531" s="31"/>
      <c r="M1531" s="31"/>
      <c r="N1531" s="31"/>
      <c r="X1531" s="35"/>
      <c r="Y1531" s="102"/>
    </row>
    <row r="1532" spans="12:25" ht="25" customHeight="1">
      <c r="L1532" s="31"/>
      <c r="M1532" s="31"/>
      <c r="N1532" s="31"/>
      <c r="X1532" s="35"/>
      <c r="Y1532" s="102"/>
    </row>
    <row r="1533" spans="12:25" ht="25" customHeight="1">
      <c r="L1533" s="31"/>
      <c r="M1533" s="31"/>
      <c r="N1533" s="31"/>
      <c r="X1533" s="35"/>
      <c r="Y1533" s="102"/>
    </row>
    <row r="1534" spans="12:25" ht="25" customHeight="1">
      <c r="L1534" s="31"/>
      <c r="M1534" s="31"/>
      <c r="N1534" s="31"/>
      <c r="X1534" s="35"/>
      <c r="Y1534" s="102"/>
    </row>
    <row r="1535" spans="12:25" ht="25" customHeight="1">
      <c r="L1535" s="31"/>
      <c r="M1535" s="31"/>
      <c r="N1535" s="31"/>
      <c r="X1535" s="35"/>
      <c r="Y1535" s="102"/>
    </row>
    <row r="1536" spans="12:25" ht="25" customHeight="1">
      <c r="L1536" s="31"/>
      <c r="M1536" s="31"/>
      <c r="N1536" s="31"/>
      <c r="X1536" s="35"/>
      <c r="Y1536" s="102"/>
    </row>
    <row r="1537" spans="12:25" ht="25" customHeight="1">
      <c r="L1537" s="31"/>
      <c r="M1537" s="31"/>
      <c r="N1537" s="31"/>
      <c r="X1537" s="35"/>
      <c r="Y1537" s="102"/>
    </row>
    <row r="1538" spans="12:25" ht="25" customHeight="1">
      <c r="L1538" s="31"/>
      <c r="M1538" s="31"/>
      <c r="N1538" s="31"/>
      <c r="X1538" s="35"/>
      <c r="Y1538" s="102"/>
    </row>
    <row r="1539" spans="12:25" ht="25" customHeight="1">
      <c r="L1539" s="31"/>
      <c r="M1539" s="31"/>
      <c r="N1539" s="31"/>
      <c r="X1539" s="35"/>
      <c r="Y1539" s="102"/>
    </row>
    <row r="1540" spans="12:25" ht="25" customHeight="1">
      <c r="L1540" s="31"/>
      <c r="M1540" s="31"/>
      <c r="N1540" s="31"/>
      <c r="X1540" s="35"/>
      <c r="Y1540" s="102"/>
    </row>
    <row r="1541" spans="12:25" ht="25" customHeight="1">
      <c r="L1541" s="31"/>
      <c r="M1541" s="31"/>
      <c r="N1541" s="31"/>
      <c r="X1541" s="35"/>
      <c r="Y1541" s="102"/>
    </row>
    <row r="1542" spans="12:25" ht="25" customHeight="1">
      <c r="L1542" s="31"/>
      <c r="M1542" s="31"/>
      <c r="N1542" s="31"/>
      <c r="X1542" s="35"/>
      <c r="Y1542" s="102"/>
    </row>
    <row r="1543" spans="12:25" ht="25" customHeight="1">
      <c r="L1543" s="31"/>
      <c r="M1543" s="31"/>
      <c r="N1543" s="31"/>
      <c r="X1543" s="35"/>
      <c r="Y1543" s="102"/>
    </row>
    <row r="1544" spans="12:25" ht="25" customHeight="1">
      <c r="L1544" s="31"/>
      <c r="M1544" s="31"/>
      <c r="N1544" s="31"/>
      <c r="X1544" s="35"/>
      <c r="Y1544" s="102"/>
    </row>
    <row r="1545" spans="12:25" ht="25" customHeight="1">
      <c r="L1545" s="31"/>
      <c r="M1545" s="31"/>
      <c r="N1545" s="31"/>
      <c r="X1545" s="35"/>
      <c r="Y1545" s="102"/>
    </row>
    <row r="1546" spans="12:25" ht="25" customHeight="1">
      <c r="L1546" s="31"/>
      <c r="M1546" s="31"/>
      <c r="N1546" s="31"/>
      <c r="X1546" s="35"/>
      <c r="Y1546" s="102"/>
    </row>
    <row r="1547" spans="12:25" ht="25" customHeight="1">
      <c r="L1547" s="31"/>
      <c r="M1547" s="31"/>
      <c r="N1547" s="31"/>
      <c r="X1547" s="35"/>
      <c r="Y1547" s="102"/>
    </row>
    <row r="1548" spans="12:25" ht="25" customHeight="1">
      <c r="L1548" s="31"/>
      <c r="M1548" s="31"/>
      <c r="N1548" s="31"/>
      <c r="X1548" s="35"/>
      <c r="Y1548" s="102"/>
    </row>
    <row r="1549" spans="12:25" ht="25" customHeight="1">
      <c r="L1549" s="31"/>
      <c r="M1549" s="31"/>
      <c r="N1549" s="31"/>
      <c r="X1549" s="35"/>
      <c r="Y1549" s="102"/>
    </row>
    <row r="1550" spans="12:25" ht="25" customHeight="1">
      <c r="L1550" s="31"/>
      <c r="M1550" s="31"/>
      <c r="N1550" s="31"/>
      <c r="X1550" s="35"/>
      <c r="Y1550" s="102"/>
    </row>
    <row r="1551" spans="12:25" ht="25" customHeight="1">
      <c r="L1551" s="31"/>
      <c r="M1551" s="31"/>
      <c r="N1551" s="31"/>
      <c r="X1551" s="35"/>
      <c r="Y1551" s="102"/>
    </row>
    <row r="1552" spans="12:25" ht="25" customHeight="1">
      <c r="L1552" s="31"/>
      <c r="M1552" s="31"/>
      <c r="N1552" s="31"/>
      <c r="X1552" s="35"/>
      <c r="Y1552" s="102"/>
    </row>
    <row r="1553" spans="12:25" ht="25" customHeight="1">
      <c r="L1553" s="31"/>
      <c r="M1553" s="31"/>
      <c r="N1553" s="31"/>
      <c r="X1553" s="35"/>
      <c r="Y1553" s="102"/>
    </row>
    <row r="1554" spans="12:25" ht="25" customHeight="1">
      <c r="L1554" s="31"/>
      <c r="M1554" s="31"/>
      <c r="N1554" s="31"/>
      <c r="X1554" s="35"/>
      <c r="Y1554" s="102"/>
    </row>
    <row r="1555" spans="12:25" ht="25" customHeight="1">
      <c r="L1555" s="31"/>
      <c r="M1555" s="31"/>
      <c r="N1555" s="31"/>
      <c r="X1555" s="35"/>
      <c r="Y1555" s="102"/>
    </row>
    <row r="1556" spans="12:25" ht="25" customHeight="1">
      <c r="L1556" s="31"/>
      <c r="M1556" s="31"/>
      <c r="N1556" s="31"/>
      <c r="X1556" s="35"/>
      <c r="Y1556" s="102"/>
    </row>
    <row r="1557" spans="12:25" ht="25" customHeight="1">
      <c r="L1557" s="31"/>
      <c r="M1557" s="31"/>
      <c r="N1557" s="31"/>
      <c r="X1557" s="35"/>
      <c r="Y1557" s="102"/>
    </row>
    <row r="1558" spans="12:25" ht="25" customHeight="1">
      <c r="L1558" s="31"/>
      <c r="M1558" s="31"/>
      <c r="N1558" s="31"/>
      <c r="X1558" s="35"/>
      <c r="Y1558" s="102"/>
    </row>
    <row r="1559" spans="12:25" ht="25" customHeight="1">
      <c r="L1559" s="31"/>
      <c r="M1559" s="31"/>
      <c r="N1559" s="31"/>
      <c r="X1559" s="35"/>
      <c r="Y1559" s="102"/>
    </row>
    <row r="1560" spans="12:25" ht="25" customHeight="1">
      <c r="L1560" s="31"/>
      <c r="M1560" s="31"/>
      <c r="N1560" s="31"/>
      <c r="X1560" s="35"/>
      <c r="Y1560" s="102"/>
    </row>
    <row r="1561" spans="12:25" ht="25" customHeight="1">
      <c r="L1561" s="31"/>
      <c r="M1561" s="31"/>
      <c r="N1561" s="31"/>
      <c r="X1561" s="35"/>
      <c r="Y1561" s="102"/>
    </row>
    <row r="1562" spans="12:25" ht="25" customHeight="1">
      <c r="L1562" s="31"/>
      <c r="M1562" s="31"/>
      <c r="N1562" s="31"/>
      <c r="X1562" s="35"/>
      <c r="Y1562" s="102"/>
    </row>
    <row r="1563" spans="12:25" ht="25" customHeight="1">
      <c r="L1563" s="31"/>
      <c r="M1563" s="31"/>
      <c r="N1563" s="31"/>
      <c r="X1563" s="35"/>
      <c r="Y1563" s="102"/>
    </row>
    <row r="1564" spans="12:25" ht="25" customHeight="1">
      <c r="L1564" s="31"/>
      <c r="M1564" s="31"/>
      <c r="N1564" s="31"/>
      <c r="X1564" s="35"/>
      <c r="Y1564" s="102"/>
    </row>
    <row r="1565" spans="12:25" ht="25" customHeight="1">
      <c r="L1565" s="31"/>
      <c r="M1565" s="31"/>
      <c r="N1565" s="31"/>
      <c r="X1565" s="35"/>
      <c r="Y1565" s="102"/>
    </row>
    <row r="1566" spans="12:25" ht="25" customHeight="1">
      <c r="L1566" s="31"/>
      <c r="M1566" s="31"/>
      <c r="N1566" s="31"/>
      <c r="X1566" s="35"/>
      <c r="Y1566" s="102"/>
    </row>
    <row r="1567" spans="12:25" ht="25" customHeight="1">
      <c r="L1567" s="31"/>
      <c r="M1567" s="31"/>
      <c r="N1567" s="31"/>
      <c r="X1567" s="35"/>
      <c r="Y1567" s="102"/>
    </row>
    <row r="1568" spans="12:25" ht="25" customHeight="1">
      <c r="L1568" s="31"/>
      <c r="M1568" s="31"/>
      <c r="N1568" s="31"/>
      <c r="X1568" s="35"/>
      <c r="Y1568" s="102"/>
    </row>
    <row r="1569" spans="12:25" ht="25" customHeight="1">
      <c r="L1569" s="31"/>
      <c r="M1569" s="31"/>
      <c r="N1569" s="31"/>
      <c r="X1569" s="35"/>
      <c r="Y1569" s="102"/>
    </row>
    <row r="1570" spans="12:25" ht="25" customHeight="1">
      <c r="L1570" s="31"/>
      <c r="M1570" s="31"/>
      <c r="N1570" s="31"/>
      <c r="X1570" s="35"/>
      <c r="Y1570" s="102"/>
    </row>
    <row r="1571" spans="12:25" ht="25" customHeight="1">
      <c r="L1571" s="31"/>
      <c r="M1571" s="31"/>
      <c r="N1571" s="31"/>
      <c r="X1571" s="35"/>
      <c r="Y1571" s="102"/>
    </row>
    <row r="1572" spans="12:25" ht="25" customHeight="1">
      <c r="L1572" s="31"/>
      <c r="M1572" s="31"/>
      <c r="N1572" s="31"/>
      <c r="X1572" s="35"/>
      <c r="Y1572" s="102"/>
    </row>
    <row r="1573" spans="12:25" ht="25" customHeight="1">
      <c r="L1573" s="31"/>
      <c r="M1573" s="31"/>
      <c r="N1573" s="31"/>
      <c r="X1573" s="35"/>
      <c r="Y1573" s="102"/>
    </row>
    <row r="1574" spans="12:25" ht="25" customHeight="1">
      <c r="L1574" s="31"/>
      <c r="M1574" s="31"/>
      <c r="N1574" s="31"/>
      <c r="X1574" s="35"/>
      <c r="Y1574" s="102"/>
    </row>
    <row r="1575" spans="12:25" ht="25" customHeight="1">
      <c r="L1575" s="31"/>
      <c r="M1575" s="31"/>
      <c r="N1575" s="31"/>
      <c r="X1575" s="35"/>
      <c r="Y1575" s="102"/>
    </row>
    <row r="1576" spans="12:25" ht="25" customHeight="1">
      <c r="L1576" s="31"/>
      <c r="M1576" s="31"/>
      <c r="N1576" s="31"/>
      <c r="X1576" s="35"/>
      <c r="Y1576" s="102"/>
    </row>
    <row r="1577" spans="12:25" ht="25" customHeight="1">
      <c r="L1577" s="31"/>
      <c r="M1577" s="31"/>
      <c r="N1577" s="31"/>
      <c r="X1577" s="35"/>
      <c r="Y1577" s="102"/>
    </row>
    <row r="1578" spans="12:25" ht="25" customHeight="1">
      <c r="L1578" s="31"/>
      <c r="M1578" s="31"/>
      <c r="N1578" s="31"/>
      <c r="X1578" s="35"/>
      <c r="Y1578" s="102"/>
    </row>
    <row r="1579" spans="12:25" ht="25" customHeight="1">
      <c r="L1579" s="31"/>
      <c r="M1579" s="31"/>
      <c r="N1579" s="31"/>
      <c r="X1579" s="35"/>
      <c r="Y1579" s="102"/>
    </row>
    <row r="1580" spans="12:25" ht="25" customHeight="1">
      <c r="L1580" s="31"/>
      <c r="M1580" s="31"/>
      <c r="N1580" s="31"/>
      <c r="X1580" s="35"/>
      <c r="Y1580" s="102"/>
    </row>
    <row r="1581" spans="12:25" ht="25" customHeight="1">
      <c r="L1581" s="31"/>
      <c r="M1581" s="31"/>
      <c r="N1581" s="31"/>
      <c r="X1581" s="35"/>
      <c r="Y1581" s="102"/>
    </row>
    <row r="1582" spans="12:25" ht="25" customHeight="1">
      <c r="L1582" s="31"/>
      <c r="M1582" s="31"/>
      <c r="N1582" s="31"/>
      <c r="X1582" s="35"/>
      <c r="Y1582" s="102"/>
    </row>
    <row r="1583" spans="12:25" ht="25" customHeight="1">
      <c r="L1583" s="31"/>
      <c r="M1583" s="31"/>
      <c r="N1583" s="31"/>
      <c r="X1583" s="35"/>
      <c r="Y1583" s="102"/>
    </row>
    <row r="1584" spans="12:25" ht="25" customHeight="1">
      <c r="L1584" s="31"/>
      <c r="M1584" s="31"/>
      <c r="N1584" s="31"/>
      <c r="X1584" s="35"/>
      <c r="Y1584" s="102"/>
    </row>
    <row r="1585" spans="12:25" ht="25" customHeight="1">
      <c r="L1585" s="31"/>
      <c r="M1585" s="31"/>
      <c r="N1585" s="31"/>
      <c r="X1585" s="35"/>
      <c r="Y1585" s="102"/>
    </row>
    <row r="1586" spans="12:25" ht="25" customHeight="1">
      <c r="L1586" s="31"/>
      <c r="M1586" s="31"/>
      <c r="N1586" s="31"/>
      <c r="X1586" s="35"/>
      <c r="Y1586" s="102"/>
    </row>
    <row r="1587" spans="12:25" ht="25" customHeight="1">
      <c r="L1587" s="31"/>
      <c r="M1587" s="31"/>
      <c r="N1587" s="31"/>
      <c r="X1587" s="35"/>
      <c r="Y1587" s="102"/>
    </row>
    <row r="1588" spans="12:25" ht="25" customHeight="1">
      <c r="L1588" s="31"/>
      <c r="M1588" s="31"/>
      <c r="N1588" s="31"/>
      <c r="X1588" s="35"/>
      <c r="Y1588" s="102"/>
    </row>
    <row r="1589" spans="12:25" ht="25" customHeight="1">
      <c r="L1589" s="31"/>
      <c r="M1589" s="31"/>
      <c r="N1589" s="31"/>
      <c r="X1589" s="35"/>
      <c r="Y1589" s="102"/>
    </row>
    <row r="1590" spans="12:25" ht="25" customHeight="1">
      <c r="L1590" s="31"/>
      <c r="M1590" s="31"/>
      <c r="N1590" s="31"/>
      <c r="X1590" s="35"/>
      <c r="Y1590" s="102"/>
    </row>
    <row r="1591" spans="12:25" ht="25" customHeight="1">
      <c r="L1591" s="31"/>
      <c r="M1591" s="31"/>
      <c r="N1591" s="31"/>
      <c r="X1591" s="35"/>
      <c r="Y1591" s="102"/>
    </row>
    <row r="1592" spans="12:25" ht="25" customHeight="1">
      <c r="L1592" s="31"/>
      <c r="M1592" s="31"/>
      <c r="N1592" s="31"/>
      <c r="X1592" s="35"/>
      <c r="Y1592" s="102"/>
    </row>
    <row r="1593" spans="12:25" ht="25" customHeight="1">
      <c r="L1593" s="31"/>
      <c r="M1593" s="31"/>
      <c r="N1593" s="31"/>
      <c r="X1593" s="35"/>
      <c r="Y1593" s="102"/>
    </row>
    <row r="1594" spans="12:25" ht="25" customHeight="1">
      <c r="L1594" s="31"/>
      <c r="M1594" s="31"/>
      <c r="N1594" s="31"/>
      <c r="X1594" s="35"/>
      <c r="Y1594" s="102"/>
    </row>
    <row r="1595" spans="12:25" ht="25" customHeight="1">
      <c r="L1595" s="31"/>
      <c r="M1595" s="31"/>
      <c r="N1595" s="31"/>
      <c r="X1595" s="35"/>
      <c r="Y1595" s="102"/>
    </row>
    <row r="1596" spans="12:25" ht="25" customHeight="1">
      <c r="L1596" s="31"/>
      <c r="M1596" s="31"/>
      <c r="N1596" s="31"/>
      <c r="X1596" s="35"/>
      <c r="Y1596" s="102"/>
    </row>
    <row r="1597" spans="12:25" ht="25" customHeight="1">
      <c r="L1597" s="31"/>
      <c r="M1597" s="31"/>
      <c r="N1597" s="31"/>
      <c r="X1597" s="35"/>
      <c r="Y1597" s="102"/>
    </row>
    <row r="1598" spans="12:25" ht="25" customHeight="1">
      <c r="L1598" s="31"/>
      <c r="M1598" s="31"/>
      <c r="N1598" s="31"/>
      <c r="X1598" s="35"/>
      <c r="Y1598" s="102"/>
    </row>
    <row r="1599" spans="12:25" ht="25" customHeight="1">
      <c r="L1599" s="31"/>
      <c r="M1599" s="31"/>
      <c r="N1599" s="31"/>
      <c r="X1599" s="35"/>
      <c r="Y1599" s="102"/>
    </row>
    <row r="1600" spans="12:25" ht="25" customHeight="1">
      <c r="L1600" s="31"/>
      <c r="M1600" s="31"/>
      <c r="N1600" s="31"/>
      <c r="X1600" s="35"/>
      <c r="Y1600" s="102"/>
    </row>
    <row r="1601" spans="12:25" ht="25" customHeight="1">
      <c r="L1601" s="31"/>
      <c r="M1601" s="31"/>
      <c r="N1601" s="31"/>
      <c r="X1601" s="35"/>
      <c r="Y1601" s="102"/>
    </row>
    <row r="1602" spans="12:25" ht="25" customHeight="1">
      <c r="L1602" s="31"/>
      <c r="M1602" s="31"/>
      <c r="N1602" s="31"/>
      <c r="X1602" s="35"/>
      <c r="Y1602" s="102"/>
    </row>
    <row r="1603" spans="12:25" ht="25" customHeight="1">
      <c r="L1603" s="31"/>
      <c r="M1603" s="31"/>
      <c r="N1603" s="31"/>
      <c r="X1603" s="35"/>
      <c r="Y1603" s="102"/>
    </row>
    <row r="1604" spans="12:25" ht="25" customHeight="1">
      <c r="L1604" s="31"/>
      <c r="M1604" s="31"/>
      <c r="N1604" s="31"/>
      <c r="X1604" s="35"/>
      <c r="Y1604" s="102"/>
    </row>
    <row r="1605" spans="12:25" ht="25" customHeight="1">
      <c r="L1605" s="31"/>
      <c r="M1605" s="31"/>
      <c r="N1605" s="31"/>
      <c r="X1605" s="35"/>
      <c r="Y1605" s="102"/>
    </row>
    <row r="1606" spans="12:25" ht="25" customHeight="1">
      <c r="L1606" s="31"/>
      <c r="M1606" s="31"/>
      <c r="N1606" s="31"/>
      <c r="X1606" s="35"/>
      <c r="Y1606" s="102"/>
    </row>
    <row r="1607" spans="12:25" ht="25" customHeight="1">
      <c r="L1607" s="31"/>
      <c r="M1607" s="31"/>
      <c r="N1607" s="31"/>
      <c r="X1607" s="35"/>
      <c r="Y1607" s="102"/>
    </row>
    <row r="1608" spans="12:25" ht="25" customHeight="1">
      <c r="L1608" s="31"/>
      <c r="M1608" s="31"/>
      <c r="N1608" s="31"/>
      <c r="X1608" s="35"/>
      <c r="Y1608" s="102"/>
    </row>
    <row r="1609" spans="12:25" ht="25" customHeight="1">
      <c r="L1609" s="31"/>
      <c r="M1609" s="31"/>
      <c r="N1609" s="31"/>
      <c r="X1609" s="35"/>
      <c r="Y1609" s="102"/>
    </row>
    <row r="1610" spans="12:25" ht="25" customHeight="1">
      <c r="L1610" s="31"/>
      <c r="M1610" s="31"/>
      <c r="N1610" s="31"/>
      <c r="X1610" s="35"/>
      <c r="Y1610" s="102"/>
    </row>
    <row r="1611" spans="12:25" ht="25" customHeight="1">
      <c r="L1611" s="31"/>
      <c r="M1611" s="31"/>
      <c r="N1611" s="31"/>
      <c r="X1611" s="35"/>
      <c r="Y1611" s="102"/>
    </row>
    <row r="1612" spans="12:25" ht="25" customHeight="1">
      <c r="L1612" s="31"/>
      <c r="M1612" s="31"/>
      <c r="N1612" s="31"/>
      <c r="X1612" s="35"/>
      <c r="Y1612" s="102"/>
    </row>
    <row r="1613" spans="12:25" ht="25" customHeight="1">
      <c r="L1613" s="31"/>
      <c r="M1613" s="31"/>
      <c r="N1613" s="31"/>
      <c r="X1613" s="35"/>
      <c r="Y1613" s="102"/>
    </row>
    <row r="1614" spans="12:25" ht="25" customHeight="1">
      <c r="L1614" s="31"/>
      <c r="M1614" s="31"/>
      <c r="N1614" s="31"/>
      <c r="X1614" s="35"/>
      <c r="Y1614" s="102"/>
    </row>
    <row r="1615" spans="12:25" ht="25" customHeight="1">
      <c r="L1615" s="31"/>
      <c r="M1615" s="31"/>
      <c r="N1615" s="31"/>
      <c r="X1615" s="35"/>
      <c r="Y1615" s="102"/>
    </row>
    <row r="1616" spans="12:25" ht="25" customHeight="1">
      <c r="L1616" s="31"/>
      <c r="M1616" s="31"/>
      <c r="N1616" s="31"/>
      <c r="X1616" s="35"/>
      <c r="Y1616" s="102"/>
    </row>
    <row r="1617" spans="12:25" ht="25" customHeight="1">
      <c r="L1617" s="31"/>
      <c r="M1617" s="31"/>
      <c r="N1617" s="31"/>
      <c r="X1617" s="35"/>
      <c r="Y1617" s="102"/>
    </row>
    <row r="1618" spans="12:25" ht="25" customHeight="1">
      <c r="L1618" s="31"/>
      <c r="M1618" s="31"/>
      <c r="N1618" s="31"/>
      <c r="X1618" s="35"/>
      <c r="Y1618" s="102"/>
    </row>
    <row r="1619" spans="12:25" ht="25" customHeight="1">
      <c r="L1619" s="31"/>
      <c r="M1619" s="31"/>
      <c r="N1619" s="31"/>
      <c r="X1619" s="35"/>
      <c r="Y1619" s="102"/>
    </row>
    <row r="1620" spans="12:25" ht="25" customHeight="1">
      <c r="L1620" s="31"/>
      <c r="M1620" s="31"/>
      <c r="N1620" s="31"/>
      <c r="X1620" s="35"/>
      <c r="Y1620" s="102"/>
    </row>
    <row r="1621" spans="12:25" ht="25" customHeight="1">
      <c r="L1621" s="31"/>
      <c r="M1621" s="31"/>
      <c r="N1621" s="31"/>
      <c r="X1621" s="35"/>
      <c r="Y1621" s="102"/>
    </row>
    <row r="1622" spans="12:25" ht="25" customHeight="1">
      <c r="L1622" s="31"/>
      <c r="M1622" s="31"/>
      <c r="N1622" s="31"/>
      <c r="X1622" s="35"/>
      <c r="Y1622" s="102"/>
    </row>
    <row r="1623" spans="12:25" ht="25" customHeight="1">
      <c r="L1623" s="31"/>
      <c r="M1623" s="31"/>
      <c r="N1623" s="31"/>
      <c r="X1623" s="35"/>
      <c r="Y1623" s="102"/>
    </row>
    <row r="1624" spans="12:25" ht="25" customHeight="1">
      <c r="L1624" s="31"/>
      <c r="M1624" s="31"/>
      <c r="N1624" s="31"/>
      <c r="X1624" s="35"/>
      <c r="Y1624" s="102"/>
    </row>
    <row r="1625" spans="12:25" ht="25" customHeight="1">
      <c r="L1625" s="31"/>
      <c r="M1625" s="31"/>
      <c r="N1625" s="31"/>
      <c r="X1625" s="35"/>
      <c r="Y1625" s="102"/>
    </row>
    <row r="1626" spans="12:25" ht="25" customHeight="1">
      <c r="L1626" s="31"/>
      <c r="M1626" s="31"/>
      <c r="N1626" s="31"/>
      <c r="X1626" s="35"/>
      <c r="Y1626" s="102"/>
    </row>
    <row r="1627" spans="12:25" ht="25" customHeight="1">
      <c r="L1627" s="31"/>
      <c r="M1627" s="31"/>
      <c r="N1627" s="31"/>
      <c r="X1627" s="35"/>
      <c r="Y1627" s="102"/>
    </row>
    <row r="1628" spans="12:25" ht="25" customHeight="1">
      <c r="L1628" s="31"/>
      <c r="M1628" s="31"/>
      <c r="N1628" s="31"/>
      <c r="X1628" s="35"/>
      <c r="Y1628" s="102"/>
    </row>
    <row r="1629" spans="12:25" ht="25" customHeight="1">
      <c r="L1629" s="31"/>
      <c r="M1629" s="31"/>
      <c r="N1629" s="31"/>
      <c r="X1629" s="35"/>
      <c r="Y1629" s="102"/>
    </row>
    <row r="1630" spans="12:25" ht="25" customHeight="1">
      <c r="L1630" s="31"/>
      <c r="M1630" s="31"/>
      <c r="N1630" s="31"/>
      <c r="X1630" s="35"/>
      <c r="Y1630" s="102"/>
    </row>
    <row r="1631" spans="12:25" ht="25" customHeight="1">
      <c r="L1631" s="31"/>
      <c r="M1631" s="31"/>
      <c r="N1631" s="31"/>
      <c r="X1631" s="35"/>
      <c r="Y1631" s="102"/>
    </row>
    <row r="1632" spans="12:25" ht="25" customHeight="1">
      <c r="L1632" s="31"/>
      <c r="M1632" s="31"/>
      <c r="N1632" s="31"/>
      <c r="X1632" s="35"/>
      <c r="Y1632" s="102"/>
    </row>
    <row r="1633" spans="12:25" ht="25" customHeight="1">
      <c r="L1633" s="31"/>
      <c r="M1633" s="31"/>
      <c r="N1633" s="31"/>
      <c r="X1633" s="35"/>
      <c r="Y1633" s="102"/>
    </row>
    <row r="1634" spans="12:25" ht="25" customHeight="1">
      <c r="L1634" s="31"/>
      <c r="M1634" s="31"/>
      <c r="N1634" s="31"/>
      <c r="X1634" s="35"/>
      <c r="Y1634" s="102"/>
    </row>
    <row r="1635" spans="12:25" ht="25" customHeight="1">
      <c r="L1635" s="31"/>
      <c r="M1635" s="31"/>
      <c r="N1635" s="31"/>
      <c r="X1635" s="35"/>
      <c r="Y1635" s="102"/>
    </row>
    <row r="1636" spans="12:25" ht="25" customHeight="1">
      <c r="L1636" s="31"/>
      <c r="M1636" s="31"/>
      <c r="N1636" s="31"/>
      <c r="X1636" s="35"/>
      <c r="Y1636" s="102"/>
    </row>
    <row r="1637" spans="12:25" ht="25" customHeight="1">
      <c r="L1637" s="31"/>
      <c r="M1637" s="31"/>
      <c r="N1637" s="31"/>
      <c r="X1637" s="35"/>
      <c r="Y1637" s="102"/>
    </row>
    <row r="1638" spans="12:25" ht="25" customHeight="1">
      <c r="L1638" s="31"/>
      <c r="M1638" s="31"/>
      <c r="N1638" s="31"/>
      <c r="X1638" s="35"/>
      <c r="Y1638" s="102"/>
    </row>
    <row r="1639" spans="12:25" ht="25" customHeight="1">
      <c r="L1639" s="31"/>
      <c r="M1639" s="31"/>
      <c r="N1639" s="31"/>
      <c r="X1639" s="35"/>
      <c r="Y1639" s="102"/>
    </row>
    <row r="1640" spans="12:25" ht="25" customHeight="1">
      <c r="L1640" s="31"/>
      <c r="M1640" s="31"/>
      <c r="N1640" s="31"/>
      <c r="X1640" s="35"/>
      <c r="Y1640" s="102"/>
    </row>
    <row r="1641" spans="12:25" ht="25" customHeight="1">
      <c r="L1641" s="31"/>
      <c r="M1641" s="31"/>
      <c r="N1641" s="31"/>
      <c r="X1641" s="35"/>
      <c r="Y1641" s="102"/>
    </row>
    <row r="1642" spans="12:25" ht="25" customHeight="1">
      <c r="L1642" s="31"/>
      <c r="M1642" s="31"/>
      <c r="N1642" s="31"/>
      <c r="X1642" s="35"/>
      <c r="Y1642" s="102"/>
    </row>
    <row r="1643" spans="12:25" ht="25" customHeight="1">
      <c r="L1643" s="31"/>
      <c r="M1643" s="31"/>
      <c r="N1643" s="31"/>
      <c r="X1643" s="35"/>
      <c r="Y1643" s="102"/>
    </row>
    <row r="1644" spans="12:25" ht="25" customHeight="1">
      <c r="L1644" s="31"/>
      <c r="M1644" s="31"/>
      <c r="N1644" s="31"/>
      <c r="X1644" s="35"/>
      <c r="Y1644" s="102"/>
    </row>
    <row r="1645" spans="12:25" ht="25" customHeight="1">
      <c r="L1645" s="31"/>
      <c r="M1645" s="31"/>
      <c r="N1645" s="31"/>
      <c r="X1645" s="35"/>
      <c r="Y1645" s="102"/>
    </row>
    <row r="1646" spans="12:25" ht="25" customHeight="1">
      <c r="L1646" s="31"/>
      <c r="M1646" s="31"/>
      <c r="N1646" s="31"/>
      <c r="X1646" s="35"/>
      <c r="Y1646" s="102"/>
    </row>
    <row r="1647" spans="12:25" ht="25" customHeight="1">
      <c r="L1647" s="31"/>
      <c r="M1647" s="31"/>
      <c r="N1647" s="31"/>
      <c r="X1647" s="35"/>
      <c r="Y1647" s="102"/>
    </row>
    <row r="1648" spans="12:25" ht="25" customHeight="1">
      <c r="L1648" s="31"/>
      <c r="M1648" s="31"/>
      <c r="N1648" s="31"/>
      <c r="X1648" s="35"/>
      <c r="Y1648" s="102"/>
    </row>
    <row r="1649" spans="12:25" ht="25" customHeight="1">
      <c r="L1649" s="31"/>
      <c r="M1649" s="31"/>
      <c r="N1649" s="31"/>
      <c r="X1649" s="35"/>
      <c r="Y1649" s="102"/>
    </row>
    <row r="1650" spans="12:25" ht="25" customHeight="1">
      <c r="L1650" s="31"/>
      <c r="M1650" s="31"/>
      <c r="N1650" s="31"/>
      <c r="X1650" s="35"/>
      <c r="Y1650" s="102"/>
    </row>
    <row r="1651" spans="12:25" ht="25" customHeight="1">
      <c r="L1651" s="31"/>
      <c r="M1651" s="31"/>
      <c r="N1651" s="31"/>
      <c r="X1651" s="35"/>
      <c r="Y1651" s="102"/>
    </row>
    <row r="1652" spans="12:25" ht="25" customHeight="1">
      <c r="L1652" s="31"/>
      <c r="M1652" s="31"/>
      <c r="N1652" s="31"/>
      <c r="X1652" s="35"/>
      <c r="Y1652" s="102"/>
    </row>
    <row r="1653" spans="12:25" ht="25" customHeight="1">
      <c r="L1653" s="31"/>
      <c r="M1653" s="31"/>
      <c r="N1653" s="31"/>
      <c r="X1653" s="35"/>
      <c r="Y1653" s="102"/>
    </row>
    <row r="1654" spans="12:25" ht="25" customHeight="1">
      <c r="L1654" s="31"/>
      <c r="M1654" s="31"/>
      <c r="N1654" s="31"/>
      <c r="X1654" s="35"/>
      <c r="Y1654" s="102"/>
    </row>
    <row r="1655" spans="12:25" ht="25" customHeight="1">
      <c r="L1655" s="31"/>
      <c r="M1655" s="31"/>
      <c r="N1655" s="31"/>
      <c r="X1655" s="35"/>
      <c r="Y1655" s="102"/>
    </row>
    <row r="1656" spans="12:25" ht="25" customHeight="1">
      <c r="L1656" s="31"/>
      <c r="M1656" s="31"/>
      <c r="N1656" s="31"/>
      <c r="X1656" s="35"/>
      <c r="Y1656" s="102"/>
    </row>
    <row r="1657" spans="12:25" ht="25" customHeight="1">
      <c r="L1657" s="31"/>
      <c r="M1657" s="31"/>
      <c r="N1657" s="31"/>
      <c r="X1657" s="35"/>
      <c r="Y1657" s="102"/>
    </row>
    <row r="1658" spans="12:25" ht="25" customHeight="1">
      <c r="L1658" s="31"/>
      <c r="M1658" s="31"/>
      <c r="N1658" s="31"/>
      <c r="X1658" s="35"/>
      <c r="Y1658" s="102"/>
    </row>
    <row r="1659" spans="12:25" ht="25" customHeight="1">
      <c r="L1659" s="31"/>
      <c r="M1659" s="31"/>
      <c r="N1659" s="31"/>
      <c r="X1659" s="35"/>
      <c r="Y1659" s="102"/>
    </row>
    <row r="1660" spans="12:25" ht="25" customHeight="1">
      <c r="L1660" s="31"/>
      <c r="M1660" s="31"/>
      <c r="N1660" s="31"/>
      <c r="X1660" s="35"/>
      <c r="Y1660" s="102"/>
    </row>
    <row r="1661" spans="12:25" ht="25" customHeight="1">
      <c r="L1661" s="31"/>
      <c r="M1661" s="31"/>
      <c r="N1661" s="31"/>
      <c r="X1661" s="35"/>
      <c r="Y1661" s="102"/>
    </row>
    <row r="1662" spans="12:25" ht="25" customHeight="1">
      <c r="L1662" s="31"/>
      <c r="M1662" s="31"/>
      <c r="N1662" s="31"/>
      <c r="X1662" s="35"/>
      <c r="Y1662" s="102"/>
    </row>
    <row r="1663" spans="12:25" ht="25" customHeight="1">
      <c r="L1663" s="31"/>
      <c r="M1663" s="31"/>
      <c r="N1663" s="31"/>
      <c r="X1663" s="35"/>
      <c r="Y1663" s="102"/>
    </row>
    <row r="1664" spans="12:25" ht="25" customHeight="1">
      <c r="L1664" s="31"/>
      <c r="M1664" s="31"/>
      <c r="N1664" s="31"/>
      <c r="X1664" s="35"/>
      <c r="Y1664" s="102"/>
    </row>
    <row r="1665" spans="12:25" ht="25" customHeight="1">
      <c r="L1665" s="31"/>
      <c r="M1665" s="31"/>
      <c r="N1665" s="31"/>
      <c r="X1665" s="35"/>
      <c r="Y1665" s="102"/>
    </row>
    <row r="1666" spans="12:25" ht="25" customHeight="1">
      <c r="L1666" s="31"/>
      <c r="M1666" s="31"/>
      <c r="N1666" s="31"/>
      <c r="X1666" s="35"/>
      <c r="Y1666" s="102"/>
    </row>
    <row r="1667" spans="12:25" ht="25" customHeight="1">
      <c r="L1667" s="31"/>
      <c r="M1667" s="31"/>
      <c r="N1667" s="31"/>
      <c r="X1667" s="35"/>
      <c r="Y1667" s="102"/>
    </row>
    <row r="1668" spans="12:25" ht="25" customHeight="1">
      <c r="L1668" s="31"/>
      <c r="M1668" s="31"/>
      <c r="N1668" s="31"/>
      <c r="X1668" s="35"/>
      <c r="Y1668" s="102"/>
    </row>
    <row r="1669" spans="12:25" ht="25" customHeight="1">
      <c r="L1669" s="31"/>
      <c r="M1669" s="31"/>
      <c r="N1669" s="31"/>
      <c r="X1669" s="35"/>
      <c r="Y1669" s="102"/>
    </row>
    <row r="1670" spans="12:25" ht="25" customHeight="1">
      <c r="L1670" s="31"/>
      <c r="M1670" s="31"/>
      <c r="N1670" s="31"/>
      <c r="X1670" s="35"/>
      <c r="Y1670" s="102"/>
    </row>
    <row r="1671" spans="12:25" ht="25" customHeight="1">
      <c r="L1671" s="31"/>
      <c r="M1671" s="31"/>
      <c r="N1671" s="31"/>
      <c r="X1671" s="35"/>
      <c r="Y1671" s="102"/>
    </row>
    <row r="1672" spans="12:25" ht="25" customHeight="1">
      <c r="L1672" s="31"/>
      <c r="M1672" s="31"/>
      <c r="N1672" s="31"/>
      <c r="X1672" s="35"/>
      <c r="Y1672" s="102"/>
    </row>
    <row r="1673" spans="12:25" ht="25" customHeight="1">
      <c r="L1673" s="31"/>
      <c r="M1673" s="31"/>
      <c r="N1673" s="31"/>
      <c r="X1673" s="35"/>
      <c r="Y1673" s="102"/>
    </row>
    <row r="1674" spans="12:25" ht="25" customHeight="1">
      <c r="L1674" s="31"/>
      <c r="M1674" s="31"/>
      <c r="N1674" s="31"/>
      <c r="X1674" s="35"/>
      <c r="Y1674" s="102"/>
    </row>
    <row r="1675" spans="12:25" ht="25" customHeight="1">
      <c r="L1675" s="31"/>
      <c r="M1675" s="31"/>
      <c r="N1675" s="31"/>
      <c r="X1675" s="35"/>
      <c r="Y1675" s="102"/>
    </row>
    <row r="1676" spans="12:25" ht="25" customHeight="1">
      <c r="L1676" s="31"/>
      <c r="M1676" s="31"/>
      <c r="N1676" s="31"/>
      <c r="X1676" s="35"/>
      <c r="Y1676" s="102"/>
    </row>
    <row r="1677" spans="12:25" ht="25" customHeight="1">
      <c r="L1677" s="31"/>
      <c r="M1677" s="31"/>
      <c r="N1677" s="31"/>
      <c r="X1677" s="35"/>
      <c r="Y1677" s="102"/>
    </row>
    <row r="1678" spans="12:25" ht="25" customHeight="1">
      <c r="L1678" s="31"/>
      <c r="M1678" s="31"/>
      <c r="N1678" s="31"/>
      <c r="X1678" s="35"/>
      <c r="Y1678" s="102"/>
    </row>
    <row r="1679" spans="12:25" ht="25" customHeight="1">
      <c r="L1679" s="31"/>
      <c r="M1679" s="31"/>
      <c r="N1679" s="31"/>
      <c r="X1679" s="35"/>
      <c r="Y1679" s="102"/>
    </row>
    <row r="1680" spans="12:25" ht="25" customHeight="1">
      <c r="L1680" s="31"/>
      <c r="M1680" s="31"/>
      <c r="N1680" s="31"/>
      <c r="X1680" s="35"/>
      <c r="Y1680" s="102"/>
    </row>
    <row r="1681" spans="12:25" ht="25" customHeight="1">
      <c r="L1681" s="31"/>
      <c r="M1681" s="31"/>
      <c r="N1681" s="31"/>
      <c r="X1681" s="35"/>
      <c r="Y1681" s="102"/>
    </row>
    <row r="1682" spans="12:25" ht="25" customHeight="1">
      <c r="L1682" s="31"/>
      <c r="M1682" s="31"/>
      <c r="N1682" s="31"/>
      <c r="X1682" s="35"/>
      <c r="Y1682" s="102"/>
    </row>
    <row r="1683" spans="12:25" ht="25" customHeight="1">
      <c r="L1683" s="31"/>
      <c r="M1683" s="31"/>
      <c r="N1683" s="31"/>
      <c r="X1683" s="35"/>
      <c r="Y1683" s="102"/>
    </row>
    <row r="1684" spans="12:25" ht="25" customHeight="1">
      <c r="L1684" s="31"/>
      <c r="M1684" s="31"/>
      <c r="N1684" s="31"/>
      <c r="X1684" s="35"/>
      <c r="Y1684" s="102"/>
    </row>
    <row r="1685" spans="12:25" ht="25" customHeight="1">
      <c r="L1685" s="31"/>
      <c r="M1685" s="31"/>
      <c r="N1685" s="31"/>
      <c r="X1685" s="35"/>
      <c r="Y1685" s="102"/>
    </row>
    <row r="1686" spans="12:25" ht="25" customHeight="1">
      <c r="L1686" s="31"/>
      <c r="M1686" s="31"/>
      <c r="N1686" s="31"/>
      <c r="X1686" s="35"/>
      <c r="Y1686" s="102"/>
    </row>
    <row r="1687" spans="12:25" ht="25" customHeight="1">
      <c r="L1687" s="31"/>
      <c r="M1687" s="31"/>
      <c r="N1687" s="31"/>
      <c r="X1687" s="35"/>
      <c r="Y1687" s="102"/>
    </row>
    <row r="1688" spans="12:25" ht="25" customHeight="1">
      <c r="L1688" s="31"/>
      <c r="M1688" s="31"/>
      <c r="N1688" s="31"/>
      <c r="X1688" s="35"/>
      <c r="Y1688" s="102"/>
    </row>
    <row r="1689" spans="12:25" ht="25" customHeight="1">
      <c r="L1689" s="31"/>
      <c r="M1689" s="31"/>
      <c r="N1689" s="31"/>
      <c r="X1689" s="35"/>
      <c r="Y1689" s="102"/>
    </row>
    <row r="1690" spans="12:25" ht="25" customHeight="1">
      <c r="L1690" s="31"/>
      <c r="M1690" s="31"/>
      <c r="N1690" s="31"/>
      <c r="X1690" s="35"/>
      <c r="Y1690" s="102"/>
    </row>
    <row r="1691" spans="12:25" ht="25" customHeight="1">
      <c r="L1691" s="31"/>
      <c r="M1691" s="31"/>
      <c r="N1691" s="31"/>
      <c r="X1691" s="35"/>
      <c r="Y1691" s="102"/>
    </row>
    <row r="1692" spans="12:25" ht="25" customHeight="1">
      <c r="L1692" s="31"/>
      <c r="M1692" s="31"/>
      <c r="N1692" s="31"/>
      <c r="X1692" s="35"/>
      <c r="Y1692" s="102"/>
    </row>
    <row r="1693" spans="12:25" ht="25" customHeight="1">
      <c r="L1693" s="31"/>
      <c r="M1693" s="31"/>
      <c r="N1693" s="31"/>
      <c r="X1693" s="35"/>
      <c r="Y1693" s="102"/>
    </row>
    <row r="1694" spans="12:25" ht="25" customHeight="1">
      <c r="L1694" s="31"/>
      <c r="M1694" s="31"/>
      <c r="N1694" s="31"/>
      <c r="X1694" s="35"/>
      <c r="Y1694" s="102"/>
    </row>
    <row r="1695" spans="12:25" ht="25" customHeight="1">
      <c r="L1695" s="31"/>
      <c r="M1695" s="31"/>
      <c r="N1695" s="31"/>
      <c r="X1695" s="35"/>
      <c r="Y1695" s="102"/>
    </row>
    <row r="1696" spans="12:25" ht="25" customHeight="1">
      <c r="L1696" s="31"/>
      <c r="M1696" s="31"/>
      <c r="N1696" s="31"/>
      <c r="X1696" s="35"/>
      <c r="Y1696" s="102"/>
    </row>
    <row r="1697" spans="12:25" ht="25" customHeight="1">
      <c r="L1697" s="31"/>
      <c r="M1697" s="31"/>
      <c r="N1697" s="31"/>
      <c r="X1697" s="35"/>
      <c r="Y1697" s="102"/>
    </row>
    <row r="1698" spans="12:25" ht="25" customHeight="1">
      <c r="L1698" s="31"/>
      <c r="M1698" s="31"/>
      <c r="N1698" s="31"/>
      <c r="X1698" s="35"/>
      <c r="Y1698" s="102"/>
    </row>
    <row r="1699" spans="12:25" ht="25" customHeight="1">
      <c r="L1699" s="31"/>
      <c r="M1699" s="31"/>
      <c r="N1699" s="31"/>
      <c r="X1699" s="35"/>
      <c r="Y1699" s="102"/>
    </row>
    <row r="1700" spans="12:25" ht="25" customHeight="1">
      <c r="L1700" s="31"/>
      <c r="M1700" s="31"/>
      <c r="N1700" s="31"/>
      <c r="X1700" s="35"/>
      <c r="Y1700" s="102"/>
    </row>
    <row r="1701" spans="12:25" ht="25" customHeight="1">
      <c r="L1701" s="31"/>
      <c r="M1701" s="31"/>
      <c r="N1701" s="31"/>
      <c r="X1701" s="35"/>
      <c r="Y1701" s="102"/>
    </row>
    <row r="1702" spans="12:25" ht="25" customHeight="1">
      <c r="L1702" s="31"/>
      <c r="M1702" s="31"/>
      <c r="N1702" s="31"/>
      <c r="X1702" s="35"/>
      <c r="Y1702" s="102"/>
    </row>
    <row r="1703" spans="12:25" ht="25" customHeight="1">
      <c r="L1703" s="31"/>
      <c r="M1703" s="31"/>
      <c r="N1703" s="31"/>
      <c r="X1703" s="35"/>
      <c r="Y1703" s="102"/>
    </row>
    <row r="1704" spans="12:25" ht="25" customHeight="1">
      <c r="L1704" s="31"/>
      <c r="M1704" s="31"/>
      <c r="N1704" s="31"/>
      <c r="X1704" s="35"/>
      <c r="Y1704" s="102"/>
    </row>
    <row r="1705" spans="12:25" ht="25" customHeight="1">
      <c r="L1705" s="31"/>
      <c r="M1705" s="31"/>
      <c r="N1705" s="31"/>
      <c r="X1705" s="35"/>
      <c r="Y1705" s="102"/>
    </row>
    <row r="1706" spans="12:25" ht="25" customHeight="1">
      <c r="L1706" s="31"/>
      <c r="M1706" s="31"/>
      <c r="N1706" s="31"/>
      <c r="X1706" s="35"/>
      <c r="Y1706" s="102"/>
    </row>
    <row r="1707" spans="12:25" ht="25" customHeight="1">
      <c r="L1707" s="31"/>
      <c r="M1707" s="31"/>
      <c r="N1707" s="31"/>
      <c r="X1707" s="35"/>
      <c r="Y1707" s="102"/>
    </row>
    <row r="1708" spans="12:25" ht="25" customHeight="1">
      <c r="L1708" s="31"/>
      <c r="M1708" s="31"/>
      <c r="N1708" s="31"/>
      <c r="X1708" s="35"/>
      <c r="Y1708" s="102"/>
    </row>
    <row r="1709" spans="12:25" ht="25" customHeight="1">
      <c r="L1709" s="31"/>
      <c r="M1709" s="31"/>
      <c r="N1709" s="31"/>
      <c r="X1709" s="35"/>
      <c r="Y1709" s="102"/>
    </row>
    <row r="1710" spans="12:25" ht="25" customHeight="1">
      <c r="L1710" s="31"/>
      <c r="M1710" s="31"/>
      <c r="N1710" s="31"/>
      <c r="X1710" s="35"/>
      <c r="Y1710" s="102"/>
    </row>
    <row r="1711" spans="12:25" ht="25" customHeight="1">
      <c r="L1711" s="31"/>
      <c r="M1711" s="31"/>
      <c r="N1711" s="31"/>
      <c r="X1711" s="35"/>
      <c r="Y1711" s="102"/>
    </row>
    <row r="1712" spans="12:25" ht="25" customHeight="1">
      <c r="L1712" s="31"/>
      <c r="M1712" s="31"/>
      <c r="N1712" s="31"/>
      <c r="X1712" s="35"/>
      <c r="Y1712" s="102"/>
    </row>
    <row r="1713" spans="12:25" ht="25" customHeight="1">
      <c r="L1713" s="31"/>
      <c r="M1713" s="31"/>
      <c r="N1713" s="31"/>
      <c r="X1713" s="35"/>
      <c r="Y1713" s="102"/>
    </row>
    <row r="1714" spans="12:25" ht="25" customHeight="1">
      <c r="L1714" s="31"/>
      <c r="M1714" s="31"/>
      <c r="N1714" s="31"/>
      <c r="X1714" s="35"/>
      <c r="Y1714" s="102"/>
    </row>
    <row r="1715" spans="12:25" ht="25" customHeight="1">
      <c r="L1715" s="31"/>
      <c r="M1715" s="31"/>
      <c r="N1715" s="31"/>
      <c r="X1715" s="35"/>
      <c r="Y1715" s="102"/>
    </row>
    <row r="1716" spans="12:25" ht="25" customHeight="1">
      <c r="L1716" s="31"/>
      <c r="M1716" s="31"/>
      <c r="N1716" s="31"/>
      <c r="X1716" s="35"/>
      <c r="Y1716" s="102"/>
    </row>
    <row r="1717" spans="12:25" ht="25" customHeight="1">
      <c r="L1717" s="31"/>
      <c r="M1717" s="31"/>
      <c r="N1717" s="31"/>
      <c r="X1717" s="35"/>
      <c r="Y1717" s="102"/>
    </row>
    <row r="1718" spans="12:25" ht="25" customHeight="1">
      <c r="L1718" s="31"/>
      <c r="M1718" s="31"/>
      <c r="N1718" s="31"/>
      <c r="X1718" s="35"/>
      <c r="Y1718" s="102"/>
    </row>
    <row r="1719" spans="12:25" ht="25" customHeight="1">
      <c r="L1719" s="31"/>
      <c r="M1719" s="31"/>
      <c r="N1719" s="31"/>
      <c r="X1719" s="35"/>
      <c r="Y1719" s="102"/>
    </row>
    <row r="1720" spans="12:25" ht="25" customHeight="1">
      <c r="L1720" s="31"/>
      <c r="M1720" s="31"/>
      <c r="N1720" s="31"/>
      <c r="X1720" s="35"/>
      <c r="Y1720" s="102"/>
    </row>
    <row r="1721" spans="12:25" ht="25" customHeight="1">
      <c r="L1721" s="31"/>
      <c r="M1721" s="31"/>
      <c r="N1721" s="31"/>
      <c r="X1721" s="35"/>
      <c r="Y1721" s="102"/>
    </row>
    <row r="1722" spans="12:25" ht="25" customHeight="1">
      <c r="L1722" s="31"/>
      <c r="M1722" s="31"/>
      <c r="N1722" s="31"/>
      <c r="X1722" s="35"/>
      <c r="Y1722" s="102"/>
    </row>
    <row r="1723" spans="12:25" ht="25" customHeight="1">
      <c r="L1723" s="31"/>
      <c r="M1723" s="31"/>
      <c r="N1723" s="31"/>
      <c r="X1723" s="35"/>
      <c r="Y1723" s="102"/>
    </row>
    <row r="1724" spans="12:25" ht="25" customHeight="1">
      <c r="L1724" s="31"/>
      <c r="M1724" s="31"/>
      <c r="N1724" s="31"/>
      <c r="X1724" s="35"/>
      <c r="Y1724" s="102"/>
    </row>
    <row r="1725" spans="12:25" ht="25" customHeight="1">
      <c r="L1725" s="31"/>
      <c r="M1725" s="31"/>
      <c r="N1725" s="31"/>
      <c r="X1725" s="35"/>
      <c r="Y1725" s="102"/>
    </row>
    <row r="1726" spans="12:25" ht="25" customHeight="1">
      <c r="L1726" s="31"/>
      <c r="M1726" s="31"/>
      <c r="N1726" s="31"/>
      <c r="X1726" s="35"/>
      <c r="Y1726" s="102"/>
    </row>
    <row r="1727" spans="12:25" ht="25" customHeight="1">
      <c r="L1727" s="31"/>
      <c r="M1727" s="31"/>
      <c r="N1727" s="31"/>
      <c r="X1727" s="35"/>
      <c r="Y1727" s="102"/>
    </row>
    <row r="1728" spans="12:25" ht="25" customHeight="1">
      <c r="L1728" s="31"/>
      <c r="M1728" s="31"/>
      <c r="N1728" s="31"/>
      <c r="X1728" s="35"/>
      <c r="Y1728" s="102"/>
    </row>
    <row r="1729" spans="12:25" ht="25" customHeight="1">
      <c r="L1729" s="31"/>
      <c r="M1729" s="31"/>
      <c r="N1729" s="31"/>
      <c r="X1729" s="35"/>
      <c r="Y1729" s="102"/>
    </row>
    <row r="1730" spans="12:25" ht="25" customHeight="1">
      <c r="L1730" s="31"/>
      <c r="M1730" s="31"/>
      <c r="N1730" s="31"/>
      <c r="X1730" s="35"/>
      <c r="Y1730" s="102"/>
    </row>
    <row r="1731" spans="12:25" ht="25" customHeight="1">
      <c r="L1731" s="31"/>
      <c r="M1731" s="31"/>
      <c r="N1731" s="31"/>
      <c r="X1731" s="35"/>
      <c r="Y1731" s="102"/>
    </row>
    <row r="1732" spans="12:25" ht="25" customHeight="1">
      <c r="L1732" s="31"/>
      <c r="M1732" s="31"/>
      <c r="N1732" s="31"/>
      <c r="X1732" s="35"/>
      <c r="Y1732" s="102"/>
    </row>
    <row r="1733" spans="12:25" ht="25" customHeight="1">
      <c r="L1733" s="31"/>
      <c r="M1733" s="31"/>
      <c r="N1733" s="31"/>
      <c r="X1733" s="35"/>
      <c r="Y1733" s="102"/>
    </row>
    <row r="1734" spans="12:25" ht="25" customHeight="1">
      <c r="L1734" s="31"/>
      <c r="M1734" s="31"/>
      <c r="N1734" s="31"/>
      <c r="X1734" s="35"/>
      <c r="Y1734" s="102"/>
    </row>
    <row r="1735" spans="12:25" ht="25" customHeight="1">
      <c r="L1735" s="31"/>
      <c r="M1735" s="31"/>
      <c r="N1735" s="31"/>
      <c r="X1735" s="35"/>
      <c r="Y1735" s="102"/>
    </row>
    <row r="1736" spans="12:25" ht="25" customHeight="1">
      <c r="L1736" s="31"/>
      <c r="M1736" s="31"/>
      <c r="N1736" s="31"/>
      <c r="X1736" s="35"/>
      <c r="Y1736" s="102"/>
    </row>
    <row r="1737" spans="12:25" ht="25" customHeight="1">
      <c r="L1737" s="31"/>
      <c r="M1737" s="31"/>
      <c r="N1737" s="31"/>
      <c r="X1737" s="35"/>
      <c r="Y1737" s="102"/>
    </row>
    <row r="1738" spans="12:25" ht="25" customHeight="1">
      <c r="L1738" s="31"/>
      <c r="M1738" s="31"/>
      <c r="N1738" s="31"/>
      <c r="X1738" s="35"/>
      <c r="Y1738" s="102"/>
    </row>
    <row r="1739" spans="12:25" ht="25" customHeight="1">
      <c r="L1739" s="31"/>
      <c r="M1739" s="31"/>
      <c r="N1739" s="31"/>
      <c r="X1739" s="35"/>
      <c r="Y1739" s="102"/>
    </row>
    <row r="1740" spans="12:25" ht="25" customHeight="1">
      <c r="L1740" s="31"/>
      <c r="M1740" s="31"/>
      <c r="N1740" s="31"/>
      <c r="X1740" s="35"/>
      <c r="Y1740" s="102"/>
    </row>
    <row r="1741" spans="12:25" ht="25" customHeight="1">
      <c r="L1741" s="31"/>
      <c r="M1741" s="31"/>
      <c r="N1741" s="31"/>
      <c r="X1741" s="35"/>
      <c r="Y1741" s="102"/>
    </row>
    <row r="1742" spans="12:25" ht="25" customHeight="1">
      <c r="L1742" s="31"/>
      <c r="M1742" s="31"/>
      <c r="N1742" s="31"/>
      <c r="X1742" s="35"/>
      <c r="Y1742" s="102"/>
    </row>
    <row r="1743" spans="12:25" ht="25" customHeight="1">
      <c r="L1743" s="31"/>
      <c r="M1743" s="31"/>
      <c r="N1743" s="31"/>
      <c r="X1743" s="35"/>
      <c r="Y1743" s="102"/>
    </row>
    <row r="1744" spans="12:25" ht="25" customHeight="1">
      <c r="L1744" s="31"/>
      <c r="M1744" s="31"/>
      <c r="N1744" s="31"/>
      <c r="X1744" s="35"/>
      <c r="Y1744" s="102"/>
    </row>
    <row r="1745" spans="12:25" ht="25" customHeight="1">
      <c r="L1745" s="31"/>
      <c r="M1745" s="31"/>
      <c r="N1745" s="31"/>
      <c r="X1745" s="35"/>
      <c r="Y1745" s="102"/>
    </row>
    <row r="1746" spans="12:25" ht="25" customHeight="1">
      <c r="L1746" s="31"/>
      <c r="M1746" s="31"/>
      <c r="N1746" s="31"/>
      <c r="X1746" s="35"/>
      <c r="Y1746" s="102"/>
    </row>
    <row r="1747" spans="12:25" ht="25" customHeight="1">
      <c r="L1747" s="31"/>
      <c r="M1747" s="31"/>
      <c r="N1747" s="31"/>
      <c r="X1747" s="35"/>
      <c r="Y1747" s="102"/>
    </row>
    <row r="1748" spans="12:25" ht="25" customHeight="1">
      <c r="L1748" s="31"/>
      <c r="M1748" s="31"/>
      <c r="N1748" s="31"/>
      <c r="X1748" s="35"/>
      <c r="Y1748" s="102"/>
    </row>
    <row r="1749" spans="12:25" ht="25" customHeight="1">
      <c r="L1749" s="31"/>
      <c r="M1749" s="31"/>
      <c r="N1749" s="31"/>
      <c r="X1749" s="35"/>
      <c r="Y1749" s="102"/>
    </row>
    <row r="1750" spans="12:25" ht="25" customHeight="1">
      <c r="L1750" s="31"/>
      <c r="M1750" s="31"/>
      <c r="N1750" s="31"/>
      <c r="X1750" s="35"/>
      <c r="Y1750" s="102"/>
    </row>
    <row r="1751" spans="12:25" ht="25" customHeight="1">
      <c r="L1751" s="31"/>
      <c r="M1751" s="31"/>
      <c r="N1751" s="31"/>
      <c r="X1751" s="35"/>
      <c r="Y1751" s="102"/>
    </row>
    <row r="1752" spans="12:25" ht="25" customHeight="1">
      <c r="L1752" s="31"/>
      <c r="M1752" s="31"/>
      <c r="N1752" s="31"/>
      <c r="X1752" s="35"/>
      <c r="Y1752" s="102"/>
    </row>
    <row r="1753" spans="12:25" ht="25" customHeight="1">
      <c r="L1753" s="31"/>
      <c r="M1753" s="31"/>
      <c r="N1753" s="31"/>
      <c r="X1753" s="35"/>
      <c r="Y1753" s="102"/>
    </row>
    <row r="1754" spans="12:25" ht="25" customHeight="1">
      <c r="L1754" s="31"/>
      <c r="M1754" s="31"/>
      <c r="N1754" s="31"/>
      <c r="X1754" s="35"/>
      <c r="Y1754" s="102"/>
    </row>
    <row r="1755" spans="12:25" ht="25" customHeight="1">
      <c r="L1755" s="31"/>
      <c r="M1755" s="31"/>
      <c r="N1755" s="31"/>
      <c r="X1755" s="35"/>
      <c r="Y1755" s="102"/>
    </row>
    <row r="1756" spans="12:25" ht="25" customHeight="1">
      <c r="L1756" s="31"/>
      <c r="M1756" s="31"/>
      <c r="N1756" s="31"/>
      <c r="X1756" s="35"/>
      <c r="Y1756" s="102"/>
    </row>
    <row r="1757" spans="12:25" ht="25" customHeight="1">
      <c r="L1757" s="31"/>
      <c r="M1757" s="31"/>
      <c r="N1757" s="31"/>
      <c r="X1757" s="35"/>
      <c r="Y1757" s="102"/>
    </row>
    <row r="1758" spans="12:25" ht="25" customHeight="1">
      <c r="L1758" s="31"/>
      <c r="M1758" s="31"/>
      <c r="N1758" s="31"/>
      <c r="X1758" s="35"/>
      <c r="Y1758" s="102"/>
    </row>
    <row r="1759" spans="12:25" ht="25" customHeight="1">
      <c r="L1759" s="31"/>
      <c r="M1759" s="31"/>
      <c r="N1759" s="31"/>
      <c r="X1759" s="35"/>
      <c r="Y1759" s="102"/>
    </row>
    <row r="1760" spans="12:25" ht="25" customHeight="1">
      <c r="L1760" s="31"/>
      <c r="M1760" s="31"/>
      <c r="N1760" s="31"/>
      <c r="X1760" s="35"/>
      <c r="Y1760" s="102"/>
    </row>
    <row r="1761" spans="12:25" ht="25" customHeight="1">
      <c r="L1761" s="31"/>
      <c r="M1761" s="31"/>
      <c r="N1761" s="31"/>
      <c r="X1761" s="35"/>
      <c r="Y1761" s="102"/>
    </row>
    <row r="1762" spans="12:25" ht="25" customHeight="1">
      <c r="L1762" s="31"/>
      <c r="M1762" s="31"/>
      <c r="N1762" s="31"/>
      <c r="X1762" s="35"/>
      <c r="Y1762" s="102"/>
    </row>
    <row r="1763" spans="12:25" ht="25" customHeight="1">
      <c r="L1763" s="31"/>
      <c r="M1763" s="31"/>
      <c r="N1763" s="31"/>
      <c r="X1763" s="35"/>
      <c r="Y1763" s="102"/>
    </row>
    <row r="1764" spans="12:25" ht="25" customHeight="1">
      <c r="L1764" s="31"/>
      <c r="M1764" s="31"/>
      <c r="N1764" s="31"/>
      <c r="X1764" s="35"/>
      <c r="Y1764" s="102"/>
    </row>
    <row r="1765" spans="12:25" ht="25" customHeight="1">
      <c r="L1765" s="31"/>
      <c r="M1765" s="31"/>
      <c r="N1765" s="31"/>
      <c r="X1765" s="35"/>
      <c r="Y1765" s="102"/>
    </row>
    <row r="1766" spans="12:25" ht="25" customHeight="1">
      <c r="L1766" s="31"/>
      <c r="M1766" s="31"/>
      <c r="N1766" s="31"/>
      <c r="X1766" s="35"/>
      <c r="Y1766" s="102"/>
    </row>
    <row r="1767" spans="12:25" ht="25" customHeight="1">
      <c r="L1767" s="31"/>
      <c r="M1767" s="31"/>
      <c r="N1767" s="31"/>
      <c r="X1767" s="35"/>
      <c r="Y1767" s="102"/>
    </row>
    <row r="1768" spans="12:25" ht="25" customHeight="1">
      <c r="L1768" s="31"/>
      <c r="M1768" s="31"/>
      <c r="N1768" s="31"/>
      <c r="X1768" s="35"/>
      <c r="Y1768" s="102"/>
    </row>
    <row r="1769" spans="12:25" ht="25" customHeight="1">
      <c r="L1769" s="31"/>
      <c r="M1769" s="31"/>
      <c r="N1769" s="31"/>
      <c r="X1769" s="35"/>
      <c r="Y1769" s="102"/>
    </row>
    <row r="1770" spans="12:25" ht="25" customHeight="1">
      <c r="L1770" s="31"/>
      <c r="M1770" s="31"/>
      <c r="N1770" s="31"/>
      <c r="X1770" s="35"/>
      <c r="Y1770" s="102"/>
    </row>
    <row r="1771" spans="12:25" ht="25" customHeight="1">
      <c r="L1771" s="31"/>
      <c r="M1771" s="31"/>
      <c r="N1771" s="31"/>
      <c r="X1771" s="35"/>
      <c r="Y1771" s="102"/>
    </row>
    <row r="1772" spans="12:25" ht="25" customHeight="1">
      <c r="L1772" s="31"/>
      <c r="M1772" s="31"/>
      <c r="N1772" s="31"/>
      <c r="X1772" s="35"/>
      <c r="Y1772" s="102"/>
    </row>
    <row r="1773" spans="12:25" ht="25" customHeight="1">
      <c r="L1773" s="31"/>
      <c r="M1773" s="31"/>
      <c r="N1773" s="31"/>
      <c r="X1773" s="35"/>
      <c r="Y1773" s="102"/>
    </row>
    <row r="1774" spans="12:25" ht="25" customHeight="1">
      <c r="L1774" s="31"/>
      <c r="M1774" s="31"/>
      <c r="N1774" s="31"/>
      <c r="X1774" s="35"/>
      <c r="Y1774" s="102"/>
    </row>
    <row r="1775" spans="12:25" ht="25" customHeight="1">
      <c r="L1775" s="31"/>
      <c r="M1775" s="31"/>
      <c r="N1775" s="31"/>
      <c r="X1775" s="35"/>
      <c r="Y1775" s="102"/>
    </row>
    <row r="1776" spans="12:25" ht="25" customHeight="1">
      <c r="L1776" s="31"/>
      <c r="M1776" s="31"/>
      <c r="N1776" s="31"/>
      <c r="X1776" s="35"/>
      <c r="Y1776" s="102"/>
    </row>
    <row r="1777" spans="12:25" ht="25" customHeight="1">
      <c r="L1777" s="31"/>
      <c r="M1777" s="31"/>
      <c r="N1777" s="31"/>
      <c r="X1777" s="35"/>
      <c r="Y1777" s="102"/>
    </row>
    <row r="1778" spans="12:25" ht="25" customHeight="1">
      <c r="L1778" s="31"/>
      <c r="M1778" s="31"/>
      <c r="N1778" s="31"/>
      <c r="X1778" s="35"/>
      <c r="Y1778" s="102"/>
    </row>
    <row r="1779" spans="12:25" ht="25" customHeight="1">
      <c r="L1779" s="31"/>
      <c r="M1779" s="31"/>
      <c r="N1779" s="31"/>
      <c r="X1779" s="35"/>
      <c r="Y1779" s="102"/>
    </row>
    <row r="1780" spans="12:25" ht="25" customHeight="1">
      <c r="L1780" s="31"/>
      <c r="M1780" s="31"/>
      <c r="N1780" s="31"/>
      <c r="X1780" s="35"/>
      <c r="Y1780" s="102"/>
    </row>
    <row r="1781" spans="12:25" ht="25" customHeight="1">
      <c r="L1781" s="31"/>
      <c r="M1781" s="31"/>
      <c r="N1781" s="31"/>
      <c r="X1781" s="35"/>
      <c r="Y1781" s="102"/>
    </row>
    <row r="1782" spans="12:25" ht="25" customHeight="1">
      <c r="L1782" s="31"/>
      <c r="M1782" s="31"/>
      <c r="N1782" s="31"/>
      <c r="X1782" s="35"/>
      <c r="Y1782" s="102"/>
    </row>
    <row r="1783" spans="12:25" ht="25" customHeight="1">
      <c r="L1783" s="31"/>
      <c r="M1783" s="31"/>
      <c r="N1783" s="31"/>
      <c r="X1783" s="35"/>
      <c r="Y1783" s="102"/>
    </row>
    <row r="1784" spans="12:25" ht="25" customHeight="1">
      <c r="L1784" s="31"/>
      <c r="M1784" s="31"/>
      <c r="N1784" s="31"/>
      <c r="X1784" s="35"/>
      <c r="Y1784" s="102"/>
    </row>
    <row r="1785" spans="12:25" ht="25" customHeight="1">
      <c r="L1785" s="31"/>
      <c r="M1785" s="31"/>
      <c r="N1785" s="31"/>
      <c r="X1785" s="35"/>
      <c r="Y1785" s="102"/>
    </row>
    <row r="1786" spans="12:25" ht="25" customHeight="1">
      <c r="L1786" s="31"/>
      <c r="M1786" s="31"/>
      <c r="N1786" s="31"/>
      <c r="X1786" s="35"/>
      <c r="Y1786" s="102"/>
    </row>
    <row r="1787" spans="12:25" ht="25" customHeight="1">
      <c r="L1787" s="31"/>
      <c r="M1787" s="31"/>
      <c r="N1787" s="31"/>
      <c r="X1787" s="35"/>
      <c r="Y1787" s="102"/>
    </row>
    <row r="1788" spans="12:25" ht="25" customHeight="1">
      <c r="L1788" s="31"/>
      <c r="M1788" s="31"/>
      <c r="N1788" s="31"/>
      <c r="X1788" s="35"/>
      <c r="Y1788" s="102"/>
    </row>
    <row r="1789" spans="12:25" ht="25" customHeight="1">
      <c r="L1789" s="31"/>
      <c r="M1789" s="31"/>
      <c r="N1789" s="31"/>
      <c r="X1789" s="35"/>
      <c r="Y1789" s="102"/>
    </row>
    <row r="1790" spans="12:25" ht="25" customHeight="1">
      <c r="L1790" s="31"/>
      <c r="M1790" s="31"/>
      <c r="N1790" s="31"/>
      <c r="X1790" s="35"/>
      <c r="Y1790" s="102"/>
    </row>
    <row r="1791" spans="12:25" ht="25" customHeight="1">
      <c r="L1791" s="31"/>
      <c r="M1791" s="31"/>
      <c r="N1791" s="31"/>
      <c r="X1791" s="35"/>
      <c r="Y1791" s="102"/>
    </row>
    <row r="1792" spans="12:25" ht="25" customHeight="1">
      <c r="L1792" s="31"/>
      <c r="M1792" s="31"/>
      <c r="N1792" s="31"/>
      <c r="X1792" s="35"/>
      <c r="Y1792" s="102"/>
    </row>
    <row r="1793" spans="12:25" ht="25" customHeight="1">
      <c r="L1793" s="31"/>
      <c r="M1793" s="31"/>
      <c r="N1793" s="31"/>
      <c r="X1793" s="35"/>
      <c r="Y1793" s="102"/>
    </row>
    <row r="1794" spans="12:25" ht="25" customHeight="1">
      <c r="L1794" s="31"/>
      <c r="M1794" s="31"/>
      <c r="N1794" s="31"/>
      <c r="X1794" s="35"/>
      <c r="Y1794" s="102"/>
    </row>
    <row r="1795" spans="12:25" ht="25" customHeight="1">
      <c r="L1795" s="31"/>
      <c r="M1795" s="31"/>
      <c r="N1795" s="31"/>
      <c r="X1795" s="35"/>
      <c r="Y1795" s="102"/>
    </row>
    <row r="1796" spans="12:25" ht="25" customHeight="1">
      <c r="L1796" s="31"/>
      <c r="M1796" s="31"/>
      <c r="N1796" s="31"/>
      <c r="X1796" s="35"/>
      <c r="Y1796" s="102"/>
    </row>
    <row r="1797" spans="12:25" ht="25" customHeight="1">
      <c r="L1797" s="31"/>
      <c r="M1797" s="31"/>
      <c r="N1797" s="31"/>
      <c r="X1797" s="35"/>
      <c r="Y1797" s="102"/>
    </row>
    <row r="1798" spans="12:25" ht="25" customHeight="1">
      <c r="L1798" s="31"/>
      <c r="M1798" s="31"/>
      <c r="N1798" s="31"/>
      <c r="X1798" s="35"/>
      <c r="Y1798" s="102"/>
    </row>
    <row r="1799" spans="12:25" ht="25" customHeight="1">
      <c r="L1799" s="31"/>
      <c r="M1799" s="31"/>
      <c r="N1799" s="31"/>
      <c r="X1799" s="35"/>
      <c r="Y1799" s="102"/>
    </row>
    <row r="1800" spans="12:25" ht="25" customHeight="1">
      <c r="L1800" s="31"/>
      <c r="M1800" s="31"/>
      <c r="N1800" s="31"/>
      <c r="X1800" s="35"/>
      <c r="Y1800" s="102"/>
    </row>
    <row r="1801" spans="12:25" ht="25" customHeight="1">
      <c r="L1801" s="31"/>
      <c r="M1801" s="31"/>
      <c r="N1801" s="31"/>
      <c r="X1801" s="35"/>
      <c r="Y1801" s="102"/>
    </row>
    <row r="1802" spans="12:25" ht="25" customHeight="1">
      <c r="L1802" s="31"/>
      <c r="M1802" s="31"/>
      <c r="N1802" s="31"/>
      <c r="X1802" s="35"/>
      <c r="Y1802" s="102"/>
    </row>
    <row r="1803" spans="12:25" ht="25" customHeight="1">
      <c r="L1803" s="31"/>
      <c r="M1803" s="31"/>
      <c r="N1803" s="31"/>
      <c r="X1803" s="35"/>
      <c r="Y1803" s="102"/>
    </row>
    <row r="1804" spans="12:25" ht="25" customHeight="1">
      <c r="L1804" s="31"/>
      <c r="M1804" s="31"/>
      <c r="N1804" s="31"/>
      <c r="X1804" s="35"/>
      <c r="Y1804" s="102"/>
    </row>
    <row r="1805" spans="12:25" ht="25" customHeight="1">
      <c r="L1805" s="31"/>
      <c r="M1805" s="31"/>
      <c r="N1805" s="31"/>
      <c r="X1805" s="35"/>
      <c r="Y1805" s="102"/>
    </row>
    <row r="1806" spans="12:25" ht="25" customHeight="1">
      <c r="L1806" s="31"/>
      <c r="M1806" s="31"/>
      <c r="N1806" s="31"/>
      <c r="X1806" s="35"/>
      <c r="Y1806" s="102"/>
    </row>
    <row r="1807" spans="12:25" ht="25" customHeight="1">
      <c r="L1807" s="31"/>
      <c r="M1807" s="31"/>
      <c r="N1807" s="31"/>
      <c r="X1807" s="35"/>
      <c r="Y1807" s="102"/>
    </row>
    <row r="1808" spans="12:25" ht="25" customHeight="1">
      <c r="L1808" s="31"/>
      <c r="M1808" s="31"/>
      <c r="N1808" s="31"/>
      <c r="X1808" s="35"/>
      <c r="Y1808" s="102"/>
    </row>
    <row r="1809" spans="12:25" ht="25" customHeight="1">
      <c r="L1809" s="31"/>
      <c r="M1809" s="31"/>
      <c r="N1809" s="31"/>
      <c r="X1809" s="35"/>
      <c r="Y1809" s="102"/>
    </row>
    <row r="1810" spans="12:25" ht="25" customHeight="1">
      <c r="L1810" s="31"/>
      <c r="M1810" s="31"/>
      <c r="N1810" s="31"/>
      <c r="X1810" s="35"/>
      <c r="Y1810" s="102"/>
    </row>
    <row r="1811" spans="12:25" ht="25" customHeight="1">
      <c r="L1811" s="31"/>
      <c r="M1811" s="31"/>
      <c r="N1811" s="31"/>
      <c r="X1811" s="35"/>
      <c r="Y1811" s="102"/>
    </row>
    <row r="1812" spans="12:25" ht="25" customHeight="1">
      <c r="L1812" s="31"/>
      <c r="M1812" s="31"/>
      <c r="N1812" s="31"/>
      <c r="X1812" s="35"/>
      <c r="Y1812" s="102"/>
    </row>
    <row r="1813" spans="12:25" ht="25" customHeight="1">
      <c r="L1813" s="31"/>
      <c r="M1813" s="31"/>
      <c r="N1813" s="31"/>
      <c r="X1813" s="35"/>
      <c r="Y1813" s="102"/>
    </row>
    <row r="1814" spans="12:25" ht="25" customHeight="1">
      <c r="L1814" s="31"/>
      <c r="M1814" s="31"/>
      <c r="N1814" s="31"/>
      <c r="X1814" s="35"/>
      <c r="Y1814" s="102"/>
    </row>
    <row r="1815" spans="12:25" ht="25" customHeight="1">
      <c r="L1815" s="31"/>
      <c r="M1815" s="31"/>
      <c r="N1815" s="31"/>
      <c r="X1815" s="35"/>
      <c r="Y1815" s="102"/>
    </row>
    <row r="1816" spans="12:25" ht="25" customHeight="1">
      <c r="L1816" s="31"/>
      <c r="M1816" s="31"/>
      <c r="N1816" s="31"/>
      <c r="X1816" s="35"/>
      <c r="Y1816" s="102"/>
    </row>
    <row r="1817" spans="12:25" ht="25" customHeight="1">
      <c r="L1817" s="31"/>
      <c r="M1817" s="31"/>
      <c r="N1817" s="31"/>
      <c r="X1817" s="35"/>
      <c r="Y1817" s="102"/>
    </row>
    <row r="1818" spans="12:25" ht="25" customHeight="1">
      <c r="L1818" s="31"/>
      <c r="M1818" s="31"/>
      <c r="N1818" s="31"/>
      <c r="X1818" s="35"/>
      <c r="Y1818" s="102"/>
    </row>
    <row r="1819" spans="12:25" ht="25" customHeight="1">
      <c r="L1819" s="31"/>
      <c r="M1819" s="31"/>
      <c r="N1819" s="31"/>
      <c r="X1819" s="35"/>
      <c r="Y1819" s="102"/>
    </row>
    <row r="1820" spans="12:25" ht="25" customHeight="1">
      <c r="L1820" s="31"/>
      <c r="M1820" s="31"/>
      <c r="N1820" s="31"/>
      <c r="X1820" s="35"/>
      <c r="Y1820" s="102"/>
    </row>
    <row r="1821" spans="12:25" ht="25" customHeight="1">
      <c r="L1821" s="31"/>
      <c r="M1821" s="31"/>
      <c r="N1821" s="31"/>
      <c r="X1821" s="35"/>
      <c r="Y1821" s="102"/>
    </row>
    <row r="1822" spans="12:25" ht="25" customHeight="1">
      <c r="L1822" s="31"/>
      <c r="M1822" s="31"/>
      <c r="N1822" s="31"/>
      <c r="X1822" s="35"/>
      <c r="Y1822" s="102"/>
    </row>
    <row r="1823" spans="12:25" ht="25" customHeight="1">
      <c r="L1823" s="31"/>
      <c r="M1823" s="31"/>
      <c r="N1823" s="31"/>
      <c r="X1823" s="35"/>
      <c r="Y1823" s="102"/>
    </row>
    <row r="1824" spans="12:25" ht="25" customHeight="1">
      <c r="L1824" s="31"/>
      <c r="M1824" s="31"/>
      <c r="N1824" s="31"/>
      <c r="X1824" s="35"/>
      <c r="Y1824" s="102"/>
    </row>
    <row r="1825" spans="12:25" ht="25" customHeight="1">
      <c r="L1825" s="31"/>
      <c r="M1825" s="31"/>
      <c r="N1825" s="31"/>
      <c r="X1825" s="35"/>
      <c r="Y1825" s="102"/>
    </row>
    <row r="1826" spans="12:25" ht="25" customHeight="1">
      <c r="L1826" s="31"/>
      <c r="M1826" s="31"/>
      <c r="N1826" s="31"/>
      <c r="X1826" s="35"/>
      <c r="Y1826" s="102"/>
    </row>
    <row r="1827" spans="12:25" ht="25" customHeight="1">
      <c r="L1827" s="31"/>
      <c r="M1827" s="31"/>
      <c r="N1827" s="31"/>
      <c r="X1827" s="35"/>
      <c r="Y1827" s="102"/>
    </row>
    <row r="1828" spans="12:25" ht="25" customHeight="1">
      <c r="L1828" s="31"/>
      <c r="M1828" s="31"/>
      <c r="N1828" s="31"/>
      <c r="X1828" s="35"/>
      <c r="Y1828" s="102"/>
    </row>
    <row r="1829" spans="12:25" ht="25" customHeight="1">
      <c r="L1829" s="31"/>
      <c r="M1829" s="31"/>
      <c r="N1829" s="31"/>
      <c r="X1829" s="35"/>
      <c r="Y1829" s="102"/>
    </row>
    <row r="1830" spans="12:25" ht="25" customHeight="1">
      <c r="L1830" s="31"/>
      <c r="M1830" s="31"/>
      <c r="N1830" s="31"/>
      <c r="X1830" s="35"/>
      <c r="Y1830" s="102"/>
    </row>
    <row r="1831" spans="12:25" ht="25" customHeight="1">
      <c r="L1831" s="31"/>
      <c r="M1831" s="31"/>
      <c r="N1831" s="31"/>
      <c r="X1831" s="35"/>
      <c r="Y1831" s="102"/>
    </row>
    <row r="1832" spans="12:25" ht="25" customHeight="1">
      <c r="L1832" s="31"/>
      <c r="M1832" s="31"/>
      <c r="N1832" s="31"/>
      <c r="X1832" s="35"/>
      <c r="Y1832" s="102"/>
    </row>
    <row r="1833" spans="12:25" ht="25" customHeight="1">
      <c r="L1833" s="31"/>
      <c r="M1833" s="31"/>
      <c r="N1833" s="31"/>
      <c r="X1833" s="35"/>
      <c r="Y1833" s="102"/>
    </row>
    <row r="1834" spans="12:25" ht="25" customHeight="1">
      <c r="L1834" s="31"/>
      <c r="M1834" s="31"/>
      <c r="N1834" s="31"/>
      <c r="X1834" s="35"/>
      <c r="Y1834" s="102"/>
    </row>
    <row r="1835" spans="12:25" ht="25" customHeight="1">
      <c r="L1835" s="31"/>
      <c r="M1835" s="31"/>
      <c r="N1835" s="31"/>
      <c r="X1835" s="35"/>
      <c r="Y1835" s="102"/>
    </row>
    <row r="1836" spans="12:25" ht="25" customHeight="1">
      <c r="L1836" s="31"/>
      <c r="M1836" s="31"/>
      <c r="N1836" s="31"/>
      <c r="X1836" s="35"/>
      <c r="Y1836" s="102"/>
    </row>
    <row r="1837" spans="12:25" ht="25" customHeight="1">
      <c r="L1837" s="31"/>
      <c r="M1837" s="31"/>
      <c r="N1837" s="31"/>
      <c r="X1837" s="35"/>
      <c r="Y1837" s="102"/>
    </row>
    <row r="1838" spans="12:25" ht="25" customHeight="1">
      <c r="L1838" s="31"/>
      <c r="M1838" s="31"/>
      <c r="N1838" s="31"/>
      <c r="X1838" s="35"/>
      <c r="Y1838" s="102"/>
    </row>
    <row r="1839" spans="12:25" ht="25" customHeight="1">
      <c r="L1839" s="31"/>
      <c r="M1839" s="31"/>
      <c r="N1839" s="31"/>
      <c r="X1839" s="35"/>
      <c r="Y1839" s="102"/>
    </row>
    <row r="1840" spans="12:25" ht="25" customHeight="1">
      <c r="L1840" s="31"/>
      <c r="M1840" s="31"/>
      <c r="N1840" s="31"/>
      <c r="X1840" s="35"/>
      <c r="Y1840" s="102"/>
    </row>
    <row r="1841" spans="12:25" ht="25" customHeight="1">
      <c r="L1841" s="31"/>
      <c r="M1841" s="31"/>
      <c r="N1841" s="31"/>
      <c r="X1841" s="35"/>
      <c r="Y1841" s="102"/>
    </row>
    <row r="1842" spans="12:25" ht="25" customHeight="1">
      <c r="L1842" s="31"/>
      <c r="M1842" s="31"/>
      <c r="N1842" s="31"/>
      <c r="X1842" s="35"/>
      <c r="Y1842" s="102"/>
    </row>
    <row r="1843" spans="12:25" ht="25" customHeight="1">
      <c r="L1843" s="31"/>
      <c r="M1843" s="31"/>
      <c r="N1843" s="31"/>
      <c r="X1843" s="35"/>
      <c r="Y1843" s="102"/>
    </row>
    <row r="1844" spans="12:25" ht="25" customHeight="1">
      <c r="L1844" s="31"/>
      <c r="M1844" s="31"/>
      <c r="N1844" s="31"/>
      <c r="X1844" s="35"/>
      <c r="Y1844" s="102"/>
    </row>
    <row r="1845" spans="12:25" ht="25" customHeight="1">
      <c r="L1845" s="31"/>
      <c r="M1845" s="31"/>
      <c r="N1845" s="31"/>
      <c r="X1845" s="35"/>
      <c r="Y1845" s="102"/>
    </row>
    <row r="1846" spans="12:25" ht="25" customHeight="1">
      <c r="L1846" s="31"/>
      <c r="M1846" s="31"/>
      <c r="N1846" s="31"/>
      <c r="X1846" s="35"/>
      <c r="Y1846" s="102"/>
    </row>
    <row r="1847" spans="12:25" ht="25" customHeight="1">
      <c r="L1847" s="31"/>
      <c r="M1847" s="31"/>
      <c r="N1847" s="31"/>
      <c r="X1847" s="35"/>
      <c r="Y1847" s="102"/>
    </row>
    <row r="1848" spans="12:25" ht="25" customHeight="1">
      <c r="L1848" s="31"/>
      <c r="M1848" s="31"/>
      <c r="N1848" s="31"/>
      <c r="X1848" s="35"/>
      <c r="Y1848" s="102"/>
    </row>
    <row r="1849" spans="12:25" ht="25" customHeight="1">
      <c r="L1849" s="31"/>
      <c r="M1849" s="31"/>
      <c r="N1849" s="31"/>
      <c r="X1849" s="35"/>
      <c r="Y1849" s="102"/>
    </row>
    <row r="1850" spans="12:25" ht="25" customHeight="1">
      <c r="L1850" s="31"/>
      <c r="M1850" s="31"/>
      <c r="N1850" s="31"/>
      <c r="X1850" s="35"/>
      <c r="Y1850" s="102"/>
    </row>
    <row r="1851" spans="12:25" ht="25" customHeight="1">
      <c r="L1851" s="31"/>
      <c r="M1851" s="31"/>
      <c r="N1851" s="31"/>
      <c r="X1851" s="35"/>
      <c r="Y1851" s="102"/>
    </row>
    <row r="1852" spans="12:25" ht="25" customHeight="1">
      <c r="L1852" s="31"/>
      <c r="M1852" s="31"/>
      <c r="N1852" s="31"/>
      <c r="X1852" s="35"/>
      <c r="Y1852" s="102"/>
    </row>
    <row r="1853" spans="12:25" ht="25" customHeight="1">
      <c r="L1853" s="31"/>
      <c r="M1853" s="31"/>
      <c r="N1853" s="31"/>
      <c r="X1853" s="35"/>
      <c r="Y1853" s="102"/>
    </row>
    <row r="1854" spans="12:25" ht="25" customHeight="1">
      <c r="L1854" s="31"/>
      <c r="M1854" s="31"/>
      <c r="N1854" s="31"/>
      <c r="X1854" s="35"/>
      <c r="Y1854" s="102"/>
    </row>
    <row r="1855" spans="12:25" ht="25" customHeight="1">
      <c r="L1855" s="31"/>
      <c r="M1855" s="31"/>
      <c r="N1855" s="31"/>
      <c r="X1855" s="35"/>
      <c r="Y1855" s="102"/>
    </row>
    <row r="1856" spans="12:25" ht="25" customHeight="1">
      <c r="L1856" s="31"/>
      <c r="M1856" s="31"/>
      <c r="N1856" s="31"/>
      <c r="X1856" s="35"/>
      <c r="Y1856" s="102"/>
    </row>
    <row r="1857" spans="12:25" ht="25" customHeight="1">
      <c r="L1857" s="31"/>
      <c r="M1857" s="31"/>
      <c r="N1857" s="31"/>
      <c r="X1857" s="35"/>
      <c r="Y1857" s="102"/>
    </row>
    <row r="1858" spans="12:25" ht="25" customHeight="1">
      <c r="L1858" s="31"/>
      <c r="M1858" s="31"/>
      <c r="N1858" s="31"/>
      <c r="X1858" s="35"/>
      <c r="Y1858" s="102"/>
    </row>
    <row r="1859" spans="12:25" ht="25" customHeight="1">
      <c r="L1859" s="31"/>
      <c r="M1859" s="31"/>
      <c r="N1859" s="31"/>
      <c r="X1859" s="35"/>
      <c r="Y1859" s="102"/>
    </row>
    <row r="1860" spans="12:25" ht="25" customHeight="1">
      <c r="L1860" s="31"/>
      <c r="M1860" s="31"/>
      <c r="N1860" s="31"/>
      <c r="X1860" s="35"/>
      <c r="Y1860" s="102"/>
    </row>
    <row r="1861" spans="12:25" ht="25" customHeight="1">
      <c r="L1861" s="31"/>
      <c r="M1861" s="31"/>
      <c r="N1861" s="31"/>
      <c r="X1861" s="35"/>
      <c r="Y1861" s="102"/>
    </row>
    <row r="1862" spans="12:25" ht="25" customHeight="1">
      <c r="L1862" s="31"/>
      <c r="M1862" s="31"/>
      <c r="N1862" s="31"/>
      <c r="X1862" s="35"/>
      <c r="Y1862" s="102"/>
    </row>
    <row r="1863" spans="12:25" ht="25" customHeight="1">
      <c r="L1863" s="31"/>
      <c r="M1863" s="31"/>
      <c r="N1863" s="31"/>
      <c r="X1863" s="35"/>
      <c r="Y1863" s="102"/>
    </row>
    <row r="1864" spans="12:25" ht="25" customHeight="1">
      <c r="L1864" s="31"/>
      <c r="M1864" s="31"/>
      <c r="N1864" s="31"/>
      <c r="X1864" s="35"/>
      <c r="Y1864" s="102"/>
    </row>
    <row r="1865" spans="12:25" ht="25" customHeight="1">
      <c r="L1865" s="31"/>
      <c r="M1865" s="31"/>
      <c r="N1865" s="31"/>
      <c r="X1865" s="35"/>
      <c r="Y1865" s="102"/>
    </row>
    <row r="1866" spans="12:25" ht="25" customHeight="1">
      <c r="L1866" s="31"/>
      <c r="M1866" s="31"/>
      <c r="N1866" s="31"/>
      <c r="X1866" s="35"/>
      <c r="Y1866" s="102"/>
    </row>
    <row r="1867" spans="12:25" ht="25" customHeight="1">
      <c r="L1867" s="31"/>
      <c r="M1867" s="31"/>
      <c r="N1867" s="31"/>
      <c r="X1867" s="35"/>
      <c r="Y1867" s="102"/>
    </row>
    <row r="1868" spans="12:25" ht="25" customHeight="1">
      <c r="L1868" s="31"/>
      <c r="M1868" s="31"/>
      <c r="N1868" s="31"/>
      <c r="X1868" s="35"/>
      <c r="Y1868" s="102"/>
    </row>
    <row r="1869" spans="12:25" ht="25" customHeight="1">
      <c r="L1869" s="31"/>
      <c r="M1869" s="31"/>
      <c r="N1869" s="31"/>
      <c r="X1869" s="35"/>
      <c r="Y1869" s="102"/>
    </row>
    <row r="1870" spans="12:25" ht="25" customHeight="1">
      <c r="L1870" s="31"/>
      <c r="M1870" s="31"/>
      <c r="N1870" s="31"/>
      <c r="X1870" s="35"/>
      <c r="Y1870" s="102"/>
    </row>
    <row r="1871" spans="12:25" ht="25" customHeight="1">
      <c r="L1871" s="31"/>
      <c r="M1871" s="31"/>
      <c r="N1871" s="31"/>
      <c r="X1871" s="35"/>
      <c r="Y1871" s="102"/>
    </row>
    <row r="1872" spans="12:25" ht="25" customHeight="1">
      <c r="L1872" s="31"/>
      <c r="M1872" s="31"/>
      <c r="N1872" s="31"/>
      <c r="X1872" s="35"/>
      <c r="Y1872" s="102"/>
    </row>
    <row r="1873" spans="12:25" ht="25" customHeight="1">
      <c r="L1873" s="31"/>
      <c r="M1873" s="31"/>
      <c r="N1873" s="31"/>
      <c r="X1873" s="35"/>
      <c r="Y1873" s="102"/>
    </row>
    <row r="1874" spans="12:25" ht="25" customHeight="1">
      <c r="L1874" s="31"/>
      <c r="M1874" s="31"/>
      <c r="N1874" s="31"/>
      <c r="X1874" s="35"/>
      <c r="Y1874" s="102"/>
    </row>
    <row r="1875" spans="12:25" ht="25" customHeight="1">
      <c r="L1875" s="31"/>
      <c r="M1875" s="31"/>
      <c r="N1875" s="31"/>
      <c r="X1875" s="35"/>
      <c r="Y1875" s="102"/>
    </row>
    <row r="1876" spans="12:25" ht="25" customHeight="1">
      <c r="L1876" s="31"/>
      <c r="M1876" s="31"/>
      <c r="N1876" s="31"/>
      <c r="X1876" s="35"/>
      <c r="Y1876" s="102"/>
    </row>
    <row r="1877" spans="12:25" ht="25" customHeight="1">
      <c r="L1877" s="31"/>
      <c r="M1877" s="31"/>
      <c r="N1877" s="31"/>
      <c r="X1877" s="35"/>
      <c r="Y1877" s="102"/>
    </row>
    <row r="1878" spans="12:25" ht="25" customHeight="1">
      <c r="L1878" s="31"/>
      <c r="M1878" s="31"/>
      <c r="N1878" s="31"/>
      <c r="X1878" s="35"/>
      <c r="Y1878" s="102"/>
    </row>
    <row r="1879" spans="12:25" ht="25" customHeight="1">
      <c r="L1879" s="31"/>
      <c r="M1879" s="31"/>
      <c r="N1879" s="31"/>
      <c r="X1879" s="35"/>
      <c r="Y1879" s="102"/>
    </row>
    <row r="1880" spans="12:25" ht="25" customHeight="1">
      <c r="L1880" s="31"/>
      <c r="M1880" s="31"/>
      <c r="N1880" s="31"/>
      <c r="X1880" s="35"/>
      <c r="Y1880" s="102"/>
    </row>
    <row r="1881" spans="12:25" ht="25" customHeight="1">
      <c r="L1881" s="31"/>
      <c r="M1881" s="31"/>
      <c r="N1881" s="31"/>
      <c r="X1881" s="35"/>
      <c r="Y1881" s="102"/>
    </row>
    <row r="1882" spans="12:25" ht="25" customHeight="1">
      <c r="L1882" s="31"/>
      <c r="M1882" s="31"/>
      <c r="N1882" s="31"/>
      <c r="X1882" s="35"/>
      <c r="Y1882" s="102"/>
    </row>
    <row r="1883" spans="12:25" ht="25" customHeight="1">
      <c r="L1883" s="31"/>
      <c r="M1883" s="31"/>
      <c r="N1883" s="31"/>
      <c r="X1883" s="35"/>
      <c r="Y1883" s="102"/>
    </row>
    <row r="1884" spans="12:25" ht="25" customHeight="1">
      <c r="L1884" s="31"/>
      <c r="M1884" s="31"/>
      <c r="N1884" s="31"/>
      <c r="X1884" s="35"/>
      <c r="Y1884" s="102"/>
    </row>
    <row r="1885" spans="12:25" ht="25" customHeight="1">
      <c r="L1885" s="31"/>
      <c r="M1885" s="31"/>
      <c r="N1885" s="31"/>
      <c r="X1885" s="35"/>
      <c r="Y1885" s="102"/>
    </row>
    <row r="1886" spans="12:25" ht="25" customHeight="1">
      <c r="L1886" s="31"/>
      <c r="M1886" s="31"/>
      <c r="N1886" s="31"/>
      <c r="X1886" s="35"/>
      <c r="Y1886" s="102"/>
    </row>
    <row r="1887" spans="12:25" ht="25" customHeight="1">
      <c r="L1887" s="31"/>
      <c r="M1887" s="31"/>
      <c r="N1887" s="31"/>
      <c r="X1887" s="35"/>
      <c r="Y1887" s="102"/>
    </row>
    <row r="1888" spans="12:25" ht="25" customHeight="1">
      <c r="L1888" s="31"/>
      <c r="M1888" s="31"/>
      <c r="N1888" s="31"/>
      <c r="X1888" s="35"/>
      <c r="Y1888" s="102"/>
    </row>
    <row r="1889" spans="12:25" ht="25" customHeight="1">
      <c r="L1889" s="31"/>
      <c r="M1889" s="31"/>
      <c r="N1889" s="31"/>
      <c r="X1889" s="35"/>
      <c r="Y1889" s="102"/>
    </row>
    <row r="1890" spans="12:25" ht="25" customHeight="1">
      <c r="L1890" s="31"/>
      <c r="M1890" s="31"/>
      <c r="N1890" s="31"/>
      <c r="X1890" s="35"/>
      <c r="Y1890" s="102"/>
    </row>
    <row r="1891" spans="12:25" ht="25" customHeight="1">
      <c r="L1891" s="31"/>
      <c r="M1891" s="31"/>
      <c r="N1891" s="31"/>
      <c r="X1891" s="35"/>
      <c r="Y1891" s="102"/>
    </row>
    <row r="1892" spans="12:25" ht="25" customHeight="1">
      <c r="L1892" s="31"/>
      <c r="M1892" s="31"/>
      <c r="N1892" s="31"/>
      <c r="X1892" s="35"/>
      <c r="Y1892" s="102"/>
    </row>
    <row r="1893" spans="12:25" ht="25" customHeight="1">
      <c r="L1893" s="31"/>
      <c r="M1893" s="31"/>
      <c r="N1893" s="31"/>
      <c r="X1893" s="35"/>
      <c r="Y1893" s="102"/>
    </row>
    <row r="1894" spans="12:25" ht="25" customHeight="1">
      <c r="L1894" s="31"/>
      <c r="M1894" s="31"/>
      <c r="N1894" s="31"/>
      <c r="X1894" s="35"/>
      <c r="Y1894" s="102"/>
    </row>
    <row r="1895" spans="12:25" ht="25" customHeight="1">
      <c r="L1895" s="31"/>
      <c r="M1895" s="31"/>
      <c r="N1895" s="31"/>
      <c r="X1895" s="35"/>
      <c r="Y1895" s="102"/>
    </row>
    <row r="1896" spans="12:25" ht="25" customHeight="1">
      <c r="L1896" s="31"/>
      <c r="M1896" s="31"/>
      <c r="N1896" s="31"/>
      <c r="X1896" s="35"/>
      <c r="Y1896" s="102"/>
    </row>
    <row r="1897" spans="12:25" ht="25" customHeight="1">
      <c r="L1897" s="31"/>
      <c r="M1897" s="31"/>
      <c r="N1897" s="31"/>
      <c r="X1897" s="35"/>
      <c r="Y1897" s="102"/>
    </row>
    <row r="1898" spans="12:25" ht="25" customHeight="1">
      <c r="L1898" s="31"/>
      <c r="M1898" s="31"/>
      <c r="N1898" s="31"/>
      <c r="X1898" s="35"/>
      <c r="Y1898" s="102"/>
    </row>
    <row r="1899" spans="12:25" ht="25" customHeight="1">
      <c r="L1899" s="31"/>
      <c r="M1899" s="31"/>
      <c r="N1899" s="31"/>
      <c r="X1899" s="35"/>
      <c r="Y1899" s="102"/>
    </row>
    <row r="1900" spans="12:25" ht="25" customHeight="1">
      <c r="L1900" s="31"/>
      <c r="M1900" s="31"/>
      <c r="N1900" s="31"/>
      <c r="X1900" s="35"/>
      <c r="Y1900" s="102"/>
    </row>
    <row r="1901" spans="12:25" ht="25" customHeight="1">
      <c r="L1901" s="31"/>
      <c r="M1901" s="31"/>
      <c r="N1901" s="31"/>
      <c r="X1901" s="35"/>
      <c r="Y1901" s="102"/>
    </row>
    <row r="1902" spans="12:25" ht="25" customHeight="1">
      <c r="L1902" s="31"/>
      <c r="M1902" s="31"/>
      <c r="N1902" s="31"/>
      <c r="X1902" s="35"/>
      <c r="Y1902" s="102"/>
    </row>
    <row r="1903" spans="12:25" ht="25" customHeight="1">
      <c r="L1903" s="31"/>
      <c r="M1903" s="31"/>
      <c r="N1903" s="31"/>
      <c r="X1903" s="35"/>
      <c r="Y1903" s="102"/>
    </row>
    <row r="1904" spans="12:25" ht="25" customHeight="1">
      <c r="L1904" s="31"/>
      <c r="M1904" s="31"/>
      <c r="N1904" s="31"/>
      <c r="X1904" s="35"/>
      <c r="Y1904" s="102"/>
    </row>
    <row r="1905" spans="12:25" ht="25" customHeight="1">
      <c r="L1905" s="31"/>
      <c r="M1905" s="31"/>
      <c r="N1905" s="31"/>
      <c r="X1905" s="35"/>
      <c r="Y1905" s="102"/>
    </row>
    <row r="1906" spans="12:25" ht="25" customHeight="1">
      <c r="L1906" s="31"/>
      <c r="M1906" s="31"/>
      <c r="N1906" s="31"/>
      <c r="X1906" s="35"/>
      <c r="Y1906" s="102"/>
    </row>
    <row r="1907" spans="12:25" ht="25" customHeight="1">
      <c r="L1907" s="31"/>
      <c r="M1907" s="31"/>
      <c r="N1907" s="31"/>
      <c r="X1907" s="35"/>
      <c r="Y1907" s="102"/>
    </row>
    <row r="1908" spans="12:25" ht="25" customHeight="1">
      <c r="L1908" s="31"/>
      <c r="M1908" s="31"/>
      <c r="N1908" s="31"/>
      <c r="X1908" s="35"/>
      <c r="Y1908" s="102"/>
    </row>
    <row r="1909" spans="12:25" ht="25" customHeight="1">
      <c r="L1909" s="31"/>
      <c r="M1909" s="31"/>
      <c r="N1909" s="31"/>
      <c r="X1909" s="35"/>
      <c r="Y1909" s="102"/>
    </row>
    <row r="1910" spans="12:25" ht="25" customHeight="1">
      <c r="L1910" s="31"/>
      <c r="M1910" s="31"/>
      <c r="N1910" s="31"/>
      <c r="X1910" s="35"/>
      <c r="Y1910" s="102"/>
    </row>
    <row r="1911" spans="12:25" ht="25" customHeight="1">
      <c r="L1911" s="31"/>
      <c r="M1911" s="31"/>
      <c r="N1911" s="31"/>
      <c r="X1911" s="35"/>
      <c r="Y1911" s="102"/>
    </row>
    <row r="1912" spans="12:25" ht="25" customHeight="1">
      <c r="L1912" s="31"/>
      <c r="M1912" s="31"/>
      <c r="N1912" s="31"/>
      <c r="X1912" s="35"/>
      <c r="Y1912" s="102"/>
    </row>
    <row r="1913" spans="12:25" ht="25" customHeight="1">
      <c r="L1913" s="31"/>
      <c r="M1913" s="31"/>
      <c r="N1913" s="31"/>
      <c r="X1913" s="35"/>
      <c r="Y1913" s="102"/>
    </row>
    <row r="1914" spans="12:25" ht="25" customHeight="1">
      <c r="L1914" s="31"/>
      <c r="M1914" s="31"/>
      <c r="N1914" s="31"/>
      <c r="X1914" s="35"/>
      <c r="Y1914" s="102"/>
    </row>
    <row r="1915" spans="12:25" ht="25" customHeight="1">
      <c r="L1915" s="31"/>
      <c r="M1915" s="31"/>
      <c r="N1915" s="31"/>
      <c r="X1915" s="35"/>
      <c r="Y1915" s="102"/>
    </row>
    <row r="1916" spans="12:25" ht="25" customHeight="1">
      <c r="L1916" s="31"/>
      <c r="M1916" s="31"/>
      <c r="N1916" s="31"/>
      <c r="X1916" s="35"/>
      <c r="Y1916" s="102"/>
    </row>
    <row r="1917" spans="12:25" ht="25" customHeight="1">
      <c r="L1917" s="31"/>
      <c r="M1917" s="31"/>
      <c r="N1917" s="31"/>
      <c r="X1917" s="35"/>
      <c r="Y1917" s="102"/>
    </row>
    <row r="1918" spans="12:25" ht="25" customHeight="1">
      <c r="L1918" s="31"/>
      <c r="M1918" s="31"/>
      <c r="N1918" s="31"/>
      <c r="X1918" s="35"/>
      <c r="Y1918" s="102"/>
    </row>
    <row r="1919" spans="12:25" ht="25" customHeight="1">
      <c r="L1919" s="31"/>
      <c r="M1919" s="31"/>
      <c r="N1919" s="31"/>
      <c r="X1919" s="35"/>
      <c r="Y1919" s="102"/>
    </row>
    <row r="1920" spans="12:25" ht="25" customHeight="1">
      <c r="L1920" s="31"/>
      <c r="M1920" s="31"/>
      <c r="N1920" s="31"/>
      <c r="X1920" s="35"/>
      <c r="Y1920" s="102"/>
    </row>
    <row r="1921" spans="12:25" ht="25" customHeight="1">
      <c r="L1921" s="31"/>
      <c r="M1921" s="31"/>
      <c r="N1921" s="31"/>
      <c r="X1921" s="35"/>
      <c r="Y1921" s="102"/>
    </row>
    <row r="1922" spans="12:25" ht="25" customHeight="1">
      <c r="L1922" s="31"/>
      <c r="M1922" s="31"/>
      <c r="N1922" s="31"/>
      <c r="X1922" s="35"/>
      <c r="Y1922" s="102"/>
    </row>
    <row r="1923" spans="12:25" ht="25" customHeight="1">
      <c r="L1923" s="31"/>
      <c r="M1923" s="31"/>
      <c r="N1923" s="31"/>
      <c r="X1923" s="35"/>
      <c r="Y1923" s="102"/>
    </row>
    <row r="1924" spans="12:25" ht="25" customHeight="1">
      <c r="L1924" s="31"/>
      <c r="M1924" s="31"/>
      <c r="N1924" s="31"/>
      <c r="X1924" s="35"/>
      <c r="Y1924" s="102"/>
    </row>
    <row r="1925" spans="12:25" ht="25" customHeight="1">
      <c r="L1925" s="31"/>
      <c r="M1925" s="31"/>
      <c r="N1925" s="31"/>
      <c r="X1925" s="35"/>
      <c r="Y1925" s="102"/>
    </row>
    <row r="1926" spans="12:25" ht="25" customHeight="1">
      <c r="L1926" s="31"/>
      <c r="M1926" s="31"/>
      <c r="N1926" s="31"/>
      <c r="X1926" s="35"/>
      <c r="Y1926" s="102"/>
    </row>
    <row r="1927" spans="12:25" ht="25" customHeight="1">
      <c r="L1927" s="31"/>
      <c r="M1927" s="31"/>
      <c r="N1927" s="31"/>
      <c r="X1927" s="35"/>
      <c r="Y1927" s="102"/>
    </row>
    <row r="1928" spans="12:25" ht="25" customHeight="1">
      <c r="L1928" s="31"/>
      <c r="M1928" s="31"/>
      <c r="N1928" s="31"/>
      <c r="X1928" s="35"/>
      <c r="Y1928" s="102"/>
    </row>
    <row r="1929" spans="12:25" ht="25" customHeight="1">
      <c r="L1929" s="31"/>
      <c r="M1929" s="31"/>
      <c r="N1929" s="31"/>
      <c r="X1929" s="35"/>
      <c r="Y1929" s="102"/>
    </row>
    <row r="1930" spans="12:25" ht="25" customHeight="1">
      <c r="L1930" s="31"/>
      <c r="M1930" s="31"/>
      <c r="N1930" s="31"/>
      <c r="X1930" s="35"/>
      <c r="Y1930" s="102"/>
    </row>
    <row r="1931" spans="12:25" ht="25" customHeight="1">
      <c r="L1931" s="31"/>
      <c r="M1931" s="31"/>
      <c r="N1931" s="31"/>
      <c r="X1931" s="35"/>
      <c r="Y1931" s="102"/>
    </row>
    <row r="1932" spans="12:25" ht="25" customHeight="1">
      <c r="L1932" s="31"/>
      <c r="M1932" s="31"/>
      <c r="N1932" s="31"/>
      <c r="X1932" s="35"/>
      <c r="Y1932" s="102"/>
    </row>
    <row r="1933" spans="12:25" ht="25" customHeight="1">
      <c r="L1933" s="31"/>
      <c r="M1933" s="31"/>
      <c r="N1933" s="31"/>
      <c r="X1933" s="35"/>
      <c r="Y1933" s="102"/>
    </row>
    <row r="1934" spans="12:25" ht="25" customHeight="1">
      <c r="L1934" s="31"/>
      <c r="M1934" s="31"/>
      <c r="N1934" s="31"/>
      <c r="X1934" s="35"/>
      <c r="Y1934" s="102"/>
    </row>
    <row r="1935" spans="12:25" ht="25" customHeight="1">
      <c r="L1935" s="31"/>
      <c r="M1935" s="31"/>
      <c r="N1935" s="31"/>
      <c r="X1935" s="35"/>
      <c r="Y1935" s="102"/>
    </row>
    <row r="1936" spans="12:25" ht="25" customHeight="1">
      <c r="L1936" s="31"/>
      <c r="M1936" s="31"/>
      <c r="N1936" s="31"/>
      <c r="X1936" s="35"/>
      <c r="Y1936" s="102"/>
    </row>
    <row r="1937" spans="12:25" ht="25" customHeight="1">
      <c r="L1937" s="31"/>
      <c r="M1937" s="31"/>
      <c r="N1937" s="31"/>
      <c r="X1937" s="35"/>
      <c r="Y1937" s="102"/>
    </row>
    <row r="1938" spans="12:25" ht="25" customHeight="1">
      <c r="L1938" s="31"/>
      <c r="M1938" s="31"/>
      <c r="N1938" s="31"/>
      <c r="X1938" s="35"/>
      <c r="Y1938" s="102"/>
    </row>
    <row r="1939" spans="12:25" ht="25" customHeight="1">
      <c r="L1939" s="31"/>
      <c r="M1939" s="31"/>
      <c r="N1939" s="31"/>
      <c r="X1939" s="35"/>
      <c r="Y1939" s="102"/>
    </row>
    <row r="1940" spans="12:25" ht="25" customHeight="1">
      <c r="L1940" s="31"/>
      <c r="M1940" s="31"/>
      <c r="N1940" s="31"/>
      <c r="X1940" s="35"/>
      <c r="Y1940" s="102"/>
    </row>
    <row r="1941" spans="12:25" ht="25" customHeight="1">
      <c r="L1941" s="31"/>
      <c r="M1941" s="31"/>
      <c r="N1941" s="31"/>
      <c r="X1941" s="35"/>
      <c r="Y1941" s="102"/>
    </row>
    <row r="1942" spans="12:25" ht="25" customHeight="1">
      <c r="L1942" s="31"/>
      <c r="M1942" s="31"/>
      <c r="N1942" s="31"/>
      <c r="X1942" s="35"/>
      <c r="Y1942" s="102"/>
    </row>
    <row r="1943" spans="12:25" ht="25" customHeight="1">
      <c r="L1943" s="31"/>
      <c r="M1943" s="31"/>
      <c r="N1943" s="31"/>
      <c r="X1943" s="35"/>
      <c r="Y1943" s="102"/>
    </row>
    <row r="1944" spans="12:25" ht="25" customHeight="1">
      <c r="L1944" s="31"/>
      <c r="M1944" s="31"/>
      <c r="N1944" s="31"/>
      <c r="X1944" s="35"/>
      <c r="Y1944" s="102"/>
    </row>
    <row r="1945" spans="12:25" ht="25" customHeight="1">
      <c r="L1945" s="31"/>
      <c r="M1945" s="31"/>
      <c r="N1945" s="31"/>
      <c r="X1945" s="35"/>
      <c r="Y1945" s="102"/>
    </row>
    <row r="1946" spans="12:25" ht="25" customHeight="1">
      <c r="L1946" s="31"/>
      <c r="M1946" s="31"/>
      <c r="N1946" s="31"/>
      <c r="X1946" s="35"/>
      <c r="Y1946" s="102"/>
    </row>
    <row r="1947" spans="12:25" ht="25" customHeight="1">
      <c r="L1947" s="31"/>
      <c r="M1947" s="31"/>
      <c r="N1947" s="31"/>
      <c r="X1947" s="35"/>
      <c r="Y1947" s="102"/>
    </row>
    <row r="1948" spans="12:25" ht="25" customHeight="1">
      <c r="L1948" s="31"/>
      <c r="M1948" s="31"/>
      <c r="N1948" s="31"/>
      <c r="X1948" s="35"/>
      <c r="Y1948" s="102"/>
    </row>
    <row r="1949" spans="12:25" ht="25" customHeight="1">
      <c r="L1949" s="31"/>
      <c r="M1949" s="31"/>
      <c r="N1949" s="31"/>
      <c r="X1949" s="35"/>
      <c r="Y1949" s="102"/>
    </row>
    <row r="1950" spans="12:25" ht="25" customHeight="1">
      <c r="L1950" s="31"/>
      <c r="M1950" s="31"/>
      <c r="N1950" s="31"/>
      <c r="X1950" s="35"/>
      <c r="Y1950" s="102"/>
    </row>
    <row r="1951" spans="12:25" ht="25" customHeight="1">
      <c r="L1951" s="31"/>
      <c r="M1951" s="31"/>
      <c r="N1951" s="31"/>
      <c r="X1951" s="35"/>
      <c r="Y1951" s="102"/>
    </row>
    <row r="1952" spans="12:25" ht="25" customHeight="1">
      <c r="L1952" s="31"/>
      <c r="M1952" s="31"/>
      <c r="N1952" s="31"/>
      <c r="X1952" s="35"/>
      <c r="Y1952" s="102"/>
    </row>
    <row r="1953" spans="12:25" ht="25" customHeight="1">
      <c r="L1953" s="31"/>
      <c r="M1953" s="31"/>
      <c r="N1953" s="31"/>
      <c r="X1953" s="35"/>
      <c r="Y1953" s="102"/>
    </row>
    <row r="1954" spans="12:25" ht="25" customHeight="1">
      <c r="L1954" s="31"/>
      <c r="M1954" s="31"/>
      <c r="N1954" s="31"/>
      <c r="X1954" s="35"/>
      <c r="Y1954" s="102"/>
    </row>
    <row r="1955" spans="12:25" ht="25" customHeight="1">
      <c r="L1955" s="31"/>
      <c r="M1955" s="31"/>
      <c r="N1955" s="31"/>
      <c r="X1955" s="35"/>
      <c r="Y1955" s="102"/>
    </row>
    <row r="1956" spans="12:25" ht="25" customHeight="1">
      <c r="L1956" s="31"/>
      <c r="M1956" s="31"/>
      <c r="N1956" s="31"/>
      <c r="X1956" s="35"/>
      <c r="Y1956" s="102"/>
    </row>
    <row r="1957" spans="12:25" ht="25" customHeight="1">
      <c r="L1957" s="31"/>
      <c r="M1957" s="31"/>
      <c r="N1957" s="31"/>
      <c r="X1957" s="35"/>
      <c r="Y1957" s="102"/>
    </row>
    <row r="1958" spans="12:25" ht="25" customHeight="1">
      <c r="L1958" s="31"/>
      <c r="M1958" s="31"/>
      <c r="N1958" s="31"/>
      <c r="X1958" s="35"/>
      <c r="Y1958" s="102"/>
    </row>
    <row r="1959" spans="12:25" ht="25" customHeight="1">
      <c r="L1959" s="31"/>
      <c r="M1959" s="31"/>
      <c r="N1959" s="31"/>
      <c r="X1959" s="35"/>
      <c r="Y1959" s="102"/>
    </row>
    <row r="1960" spans="12:25" ht="25" customHeight="1">
      <c r="L1960" s="31"/>
      <c r="M1960" s="31"/>
      <c r="N1960" s="31"/>
      <c r="X1960" s="35"/>
      <c r="Y1960" s="102"/>
    </row>
    <row r="1961" spans="12:25" ht="25" customHeight="1">
      <c r="L1961" s="31"/>
      <c r="M1961" s="31"/>
      <c r="N1961" s="31"/>
      <c r="X1961" s="35"/>
      <c r="Y1961" s="102"/>
    </row>
    <row r="1962" spans="12:25" ht="25" customHeight="1">
      <c r="L1962" s="31"/>
      <c r="M1962" s="31"/>
      <c r="N1962" s="31"/>
      <c r="X1962" s="35"/>
      <c r="Y1962" s="102"/>
    </row>
    <row r="1963" spans="12:25" ht="25" customHeight="1">
      <c r="L1963" s="31"/>
      <c r="M1963" s="31"/>
      <c r="N1963" s="31"/>
      <c r="X1963" s="35"/>
      <c r="Y1963" s="102"/>
    </row>
    <row r="1964" spans="12:25" ht="25" customHeight="1">
      <c r="L1964" s="31"/>
      <c r="M1964" s="31"/>
      <c r="N1964" s="31"/>
      <c r="X1964" s="35"/>
      <c r="Y1964" s="102"/>
    </row>
    <row r="1965" spans="12:25" ht="25" customHeight="1">
      <c r="L1965" s="31"/>
      <c r="M1965" s="31"/>
      <c r="N1965" s="31"/>
      <c r="X1965" s="35"/>
      <c r="Y1965" s="102"/>
    </row>
    <row r="1966" spans="12:25" ht="25" customHeight="1">
      <c r="L1966" s="31"/>
      <c r="M1966" s="31"/>
      <c r="N1966" s="31"/>
      <c r="X1966" s="35"/>
      <c r="Y1966" s="102"/>
    </row>
    <row r="1967" spans="12:25" ht="25" customHeight="1">
      <c r="L1967" s="31"/>
      <c r="M1967" s="31"/>
      <c r="N1967" s="31"/>
      <c r="X1967" s="35"/>
      <c r="Y1967" s="102"/>
    </row>
    <row r="1968" spans="12:25" ht="25" customHeight="1">
      <c r="L1968" s="31"/>
      <c r="M1968" s="31"/>
      <c r="N1968" s="31"/>
      <c r="X1968" s="35"/>
      <c r="Y1968" s="102"/>
    </row>
    <row r="1969" spans="12:25" ht="25" customHeight="1">
      <c r="L1969" s="31"/>
      <c r="M1969" s="31"/>
      <c r="N1969" s="31"/>
      <c r="X1969" s="35"/>
      <c r="Y1969" s="102"/>
    </row>
    <row r="1970" spans="12:25" ht="25" customHeight="1">
      <c r="L1970" s="31"/>
      <c r="M1970" s="31"/>
      <c r="N1970" s="31"/>
      <c r="X1970" s="35"/>
      <c r="Y1970" s="102"/>
    </row>
    <row r="1971" spans="12:25" ht="25" customHeight="1">
      <c r="L1971" s="31"/>
      <c r="M1971" s="31"/>
      <c r="N1971" s="31"/>
      <c r="X1971" s="35"/>
      <c r="Y1971" s="102"/>
    </row>
    <row r="1972" spans="12:25" ht="25" customHeight="1">
      <c r="L1972" s="31"/>
      <c r="M1972" s="31"/>
      <c r="N1972" s="31"/>
      <c r="X1972" s="35"/>
      <c r="Y1972" s="102"/>
    </row>
    <row r="1973" spans="12:25" ht="25" customHeight="1">
      <c r="L1973" s="31"/>
      <c r="M1973" s="31"/>
      <c r="N1973" s="31"/>
      <c r="X1973" s="35"/>
      <c r="Y1973" s="102"/>
    </row>
    <row r="1974" spans="12:25" ht="25" customHeight="1">
      <c r="L1974" s="31"/>
      <c r="M1974" s="31"/>
      <c r="N1974" s="31"/>
      <c r="X1974" s="35"/>
      <c r="Y1974" s="102"/>
    </row>
    <row r="1975" spans="12:25" ht="25" customHeight="1">
      <c r="L1975" s="31"/>
      <c r="M1975" s="31"/>
      <c r="N1975" s="31"/>
      <c r="X1975" s="35"/>
      <c r="Y1975" s="102"/>
    </row>
    <row r="1976" spans="12:25" ht="25" customHeight="1">
      <c r="L1976" s="31"/>
      <c r="M1976" s="31"/>
      <c r="N1976" s="31"/>
      <c r="X1976" s="35"/>
      <c r="Y1976" s="102"/>
    </row>
    <row r="1977" spans="12:25" ht="25" customHeight="1">
      <c r="L1977" s="31"/>
      <c r="M1977" s="31"/>
      <c r="N1977" s="31"/>
      <c r="X1977" s="35"/>
      <c r="Y1977" s="102"/>
    </row>
    <row r="1978" spans="12:25" ht="25" customHeight="1">
      <c r="L1978" s="31"/>
      <c r="M1978" s="31"/>
      <c r="N1978" s="31"/>
      <c r="X1978" s="35"/>
      <c r="Y1978" s="102"/>
    </row>
    <row r="1979" spans="12:25" ht="25" customHeight="1">
      <c r="L1979" s="31"/>
      <c r="M1979" s="31"/>
      <c r="N1979" s="31"/>
      <c r="X1979" s="35"/>
      <c r="Y1979" s="102"/>
    </row>
    <row r="1980" spans="12:25" ht="25" customHeight="1">
      <c r="L1980" s="31"/>
      <c r="M1980" s="31"/>
      <c r="N1980" s="31"/>
      <c r="X1980" s="35"/>
      <c r="Y1980" s="102"/>
    </row>
    <row r="1981" spans="12:25" ht="25" customHeight="1">
      <c r="L1981" s="31"/>
      <c r="M1981" s="31"/>
      <c r="N1981" s="31"/>
      <c r="X1981" s="35"/>
      <c r="Y1981" s="102"/>
    </row>
    <row r="1982" spans="12:25" ht="25" customHeight="1">
      <c r="L1982" s="31"/>
      <c r="M1982" s="31"/>
      <c r="N1982" s="31"/>
      <c r="X1982" s="35"/>
      <c r="Y1982" s="102"/>
    </row>
    <row r="1983" spans="12:25" ht="25" customHeight="1">
      <c r="L1983" s="31"/>
      <c r="M1983" s="31"/>
      <c r="N1983" s="31"/>
      <c r="X1983" s="35"/>
      <c r="Y1983" s="102"/>
    </row>
    <row r="1984" spans="12:25" ht="25" customHeight="1">
      <c r="L1984" s="31"/>
      <c r="M1984" s="31"/>
      <c r="N1984" s="31"/>
      <c r="X1984" s="35"/>
      <c r="Y1984" s="102"/>
    </row>
    <row r="1985" spans="12:25" ht="25" customHeight="1">
      <c r="L1985" s="31"/>
      <c r="M1985" s="31"/>
      <c r="N1985" s="31"/>
      <c r="X1985" s="35"/>
      <c r="Y1985" s="102"/>
    </row>
    <row r="1986" spans="12:25" ht="25" customHeight="1">
      <c r="L1986" s="31"/>
      <c r="M1986" s="31"/>
      <c r="N1986" s="31"/>
      <c r="X1986" s="35"/>
      <c r="Y1986" s="102"/>
    </row>
    <row r="1987" spans="12:25" ht="25" customHeight="1">
      <c r="L1987" s="31"/>
      <c r="M1987" s="31"/>
      <c r="N1987" s="31"/>
      <c r="X1987" s="35"/>
      <c r="Y1987" s="102"/>
    </row>
    <row r="1988" spans="12:25" ht="25" customHeight="1">
      <c r="L1988" s="31"/>
      <c r="M1988" s="31"/>
      <c r="N1988" s="31"/>
      <c r="X1988" s="35"/>
      <c r="Y1988" s="102"/>
    </row>
    <row r="1989" spans="12:25" ht="25" customHeight="1">
      <c r="L1989" s="31"/>
      <c r="M1989" s="31"/>
      <c r="N1989" s="31"/>
      <c r="X1989" s="35"/>
      <c r="Y1989" s="102"/>
    </row>
    <row r="1990" spans="12:25" ht="25" customHeight="1">
      <c r="L1990" s="31"/>
      <c r="M1990" s="31"/>
      <c r="N1990" s="31"/>
      <c r="X1990" s="35"/>
      <c r="Y1990" s="102"/>
    </row>
    <row r="1991" spans="12:25" ht="25" customHeight="1">
      <c r="L1991" s="31"/>
      <c r="M1991" s="31"/>
      <c r="N1991" s="31"/>
      <c r="X1991" s="35"/>
      <c r="Y1991" s="102"/>
    </row>
    <row r="1992" spans="12:25" ht="25" customHeight="1">
      <c r="L1992" s="31"/>
      <c r="M1992" s="31"/>
      <c r="N1992" s="31"/>
      <c r="X1992" s="35"/>
      <c r="Y1992" s="102"/>
    </row>
    <row r="1993" spans="12:25" ht="25" customHeight="1">
      <c r="L1993" s="31"/>
      <c r="M1993" s="31"/>
      <c r="N1993" s="31"/>
      <c r="X1993" s="35"/>
      <c r="Y1993" s="102"/>
    </row>
    <row r="1994" spans="12:25" ht="25" customHeight="1">
      <c r="L1994" s="31"/>
      <c r="M1994" s="31"/>
      <c r="N1994" s="31"/>
      <c r="X1994" s="35"/>
      <c r="Y1994" s="102"/>
    </row>
    <row r="1995" spans="12:25" ht="25" customHeight="1">
      <c r="L1995" s="31"/>
      <c r="M1995" s="31"/>
      <c r="N1995" s="31"/>
      <c r="X1995" s="35"/>
      <c r="Y1995" s="102"/>
    </row>
    <row r="1996" spans="12:25" ht="25" customHeight="1">
      <c r="L1996" s="31"/>
      <c r="M1996" s="31"/>
      <c r="N1996" s="31"/>
      <c r="X1996" s="35"/>
      <c r="Y1996" s="102"/>
    </row>
    <row r="1997" spans="12:25" ht="25" customHeight="1">
      <c r="L1997" s="31"/>
      <c r="M1997" s="31"/>
      <c r="N1997" s="31"/>
      <c r="X1997" s="35"/>
      <c r="Y1997" s="102"/>
    </row>
    <row r="1998" spans="12:25" ht="25" customHeight="1">
      <c r="L1998" s="31"/>
      <c r="M1998" s="31"/>
      <c r="N1998" s="31"/>
      <c r="X1998" s="35"/>
      <c r="Y1998" s="102"/>
    </row>
    <row r="1999" spans="12:25" ht="25" customHeight="1">
      <c r="L1999" s="31"/>
      <c r="M1999" s="31"/>
      <c r="N1999" s="31"/>
      <c r="X1999" s="35"/>
      <c r="Y1999" s="102"/>
    </row>
    <row r="2000" spans="12:25" ht="25" customHeight="1">
      <c r="L2000" s="31"/>
      <c r="M2000" s="31"/>
      <c r="N2000" s="31"/>
      <c r="X2000" s="35"/>
      <c r="Y2000" s="102"/>
    </row>
    <row r="2001" spans="12:25" ht="25" customHeight="1">
      <c r="L2001" s="31"/>
      <c r="M2001" s="31"/>
      <c r="N2001" s="31"/>
      <c r="X2001" s="35"/>
      <c r="Y2001" s="102"/>
    </row>
    <row r="2002" spans="12:25" ht="25" customHeight="1">
      <c r="L2002" s="31"/>
      <c r="M2002" s="31"/>
      <c r="N2002" s="31"/>
      <c r="X2002" s="35"/>
      <c r="Y2002" s="102"/>
    </row>
    <row r="2003" spans="12:25" ht="25" customHeight="1">
      <c r="L2003" s="31"/>
      <c r="M2003" s="31"/>
      <c r="N2003" s="31"/>
      <c r="X2003" s="35"/>
      <c r="Y2003" s="102"/>
    </row>
    <row r="2004" spans="12:25" ht="25" customHeight="1">
      <c r="L2004" s="31"/>
      <c r="M2004" s="31"/>
      <c r="N2004" s="31"/>
      <c r="X2004" s="35"/>
      <c r="Y2004" s="102"/>
    </row>
    <row r="2005" spans="12:25" ht="25" customHeight="1">
      <c r="L2005" s="31"/>
      <c r="M2005" s="31"/>
      <c r="N2005" s="31"/>
      <c r="X2005" s="35"/>
      <c r="Y2005" s="102"/>
    </row>
    <row r="2006" spans="12:25" ht="25" customHeight="1">
      <c r="L2006" s="31"/>
      <c r="M2006" s="31"/>
      <c r="N2006" s="31"/>
      <c r="X2006" s="35"/>
      <c r="Y2006" s="102"/>
    </row>
    <row r="2007" spans="12:25" ht="25" customHeight="1">
      <c r="L2007" s="31"/>
      <c r="M2007" s="31"/>
      <c r="N2007" s="31"/>
      <c r="X2007" s="35"/>
      <c r="Y2007" s="102"/>
    </row>
    <row r="2008" spans="12:25" ht="25" customHeight="1">
      <c r="L2008" s="31"/>
      <c r="M2008" s="31"/>
      <c r="N2008" s="31"/>
      <c r="X2008" s="35"/>
      <c r="Y2008" s="102"/>
    </row>
    <row r="2009" spans="12:25" ht="25" customHeight="1">
      <c r="L2009" s="31"/>
      <c r="M2009" s="31"/>
      <c r="N2009" s="31"/>
      <c r="X2009" s="35"/>
      <c r="Y2009" s="102"/>
    </row>
    <row r="2010" spans="12:25" ht="25" customHeight="1">
      <c r="L2010" s="31"/>
      <c r="M2010" s="31"/>
      <c r="N2010" s="31"/>
      <c r="X2010" s="35"/>
      <c r="Y2010" s="102"/>
    </row>
    <row r="2011" spans="12:25" ht="25" customHeight="1">
      <c r="L2011" s="31"/>
      <c r="M2011" s="31"/>
      <c r="N2011" s="31"/>
      <c r="X2011" s="35"/>
      <c r="Y2011" s="102"/>
    </row>
    <row r="2012" spans="12:25" ht="25" customHeight="1">
      <c r="L2012" s="31"/>
      <c r="M2012" s="31"/>
      <c r="N2012" s="31"/>
      <c r="X2012" s="35"/>
      <c r="Y2012" s="102"/>
    </row>
    <row r="2013" spans="12:25" ht="25" customHeight="1">
      <c r="L2013" s="31"/>
      <c r="M2013" s="31"/>
      <c r="N2013" s="31"/>
      <c r="X2013" s="35"/>
      <c r="Y2013" s="102"/>
    </row>
    <row r="2014" spans="12:25" ht="25" customHeight="1">
      <c r="L2014" s="31"/>
      <c r="M2014" s="31"/>
      <c r="N2014" s="31"/>
      <c r="X2014" s="35"/>
      <c r="Y2014" s="102"/>
    </row>
    <row r="2015" spans="12:25" ht="25" customHeight="1">
      <c r="L2015" s="31"/>
      <c r="M2015" s="31"/>
      <c r="N2015" s="31"/>
      <c r="X2015" s="35"/>
      <c r="Y2015" s="102"/>
    </row>
    <row r="2016" spans="12:25" ht="25" customHeight="1">
      <c r="L2016" s="31"/>
      <c r="M2016" s="31"/>
      <c r="N2016" s="31"/>
      <c r="X2016" s="35"/>
      <c r="Y2016" s="102"/>
    </row>
    <row r="2017" spans="12:25" ht="25" customHeight="1">
      <c r="L2017" s="31"/>
      <c r="M2017" s="31"/>
      <c r="N2017" s="31"/>
      <c r="X2017" s="35"/>
      <c r="Y2017" s="102"/>
    </row>
    <row r="2018" spans="12:25" ht="25" customHeight="1">
      <c r="L2018" s="31"/>
      <c r="M2018" s="31"/>
      <c r="N2018" s="31"/>
      <c r="X2018" s="35"/>
      <c r="Y2018" s="102"/>
    </row>
    <row r="2019" spans="12:25" ht="25" customHeight="1">
      <c r="L2019" s="31"/>
      <c r="M2019" s="31"/>
      <c r="N2019" s="31"/>
      <c r="X2019" s="35"/>
      <c r="Y2019" s="102"/>
    </row>
    <row r="2020" spans="12:25" ht="25" customHeight="1">
      <c r="L2020" s="31"/>
      <c r="M2020" s="31"/>
      <c r="N2020" s="31"/>
      <c r="X2020" s="35"/>
      <c r="Y2020" s="102"/>
    </row>
    <row r="2021" spans="12:25" ht="25" customHeight="1">
      <c r="L2021" s="31"/>
      <c r="M2021" s="31"/>
      <c r="N2021" s="31"/>
      <c r="X2021" s="35"/>
      <c r="Y2021" s="102"/>
    </row>
    <row r="2022" spans="12:25" ht="25" customHeight="1">
      <c r="L2022" s="31"/>
      <c r="M2022" s="31"/>
      <c r="N2022" s="31"/>
      <c r="X2022" s="35"/>
      <c r="Y2022" s="102"/>
    </row>
    <row r="2023" spans="12:25" ht="25" customHeight="1">
      <c r="L2023" s="31"/>
      <c r="M2023" s="31"/>
      <c r="N2023" s="31"/>
      <c r="X2023" s="35"/>
      <c r="Y2023" s="102"/>
    </row>
    <row r="2024" spans="12:25" ht="25" customHeight="1">
      <c r="L2024" s="31"/>
      <c r="M2024" s="31"/>
      <c r="N2024" s="31"/>
      <c r="X2024" s="35"/>
      <c r="Y2024" s="102"/>
    </row>
    <row r="2025" spans="12:25" ht="25" customHeight="1">
      <c r="L2025" s="31"/>
      <c r="M2025" s="31"/>
      <c r="N2025" s="31"/>
      <c r="X2025" s="35"/>
      <c r="Y2025" s="102"/>
    </row>
    <row r="2026" spans="12:25" ht="25" customHeight="1">
      <c r="L2026" s="31"/>
      <c r="M2026" s="31"/>
      <c r="N2026" s="31"/>
      <c r="X2026" s="35"/>
      <c r="Y2026" s="102"/>
    </row>
    <row r="2027" spans="12:25" ht="25" customHeight="1">
      <c r="L2027" s="31"/>
      <c r="M2027" s="31"/>
      <c r="N2027" s="31"/>
      <c r="X2027" s="35"/>
      <c r="Y2027" s="102"/>
    </row>
    <row r="2028" spans="12:25" ht="25" customHeight="1">
      <c r="L2028" s="31"/>
      <c r="M2028" s="31"/>
      <c r="N2028" s="31"/>
      <c r="X2028" s="35"/>
      <c r="Y2028" s="102"/>
    </row>
    <row r="2029" spans="12:25" ht="25" customHeight="1">
      <c r="L2029" s="31"/>
      <c r="M2029" s="31"/>
      <c r="N2029" s="31"/>
      <c r="X2029" s="35"/>
      <c r="Y2029" s="102"/>
    </row>
    <row r="2030" spans="12:25" ht="25" customHeight="1">
      <c r="L2030" s="31"/>
      <c r="M2030" s="31"/>
      <c r="N2030" s="31"/>
      <c r="X2030" s="35"/>
      <c r="Y2030" s="102"/>
    </row>
    <row r="2031" spans="12:25" ht="25" customHeight="1">
      <c r="L2031" s="31"/>
      <c r="M2031" s="31"/>
      <c r="N2031" s="31"/>
      <c r="X2031" s="35"/>
      <c r="Y2031" s="102"/>
    </row>
    <row r="2032" spans="12:25" ht="25" customHeight="1">
      <c r="L2032" s="31"/>
      <c r="M2032" s="31"/>
      <c r="N2032" s="31"/>
      <c r="X2032" s="35"/>
      <c r="Y2032" s="102"/>
    </row>
    <row r="2033" spans="12:25" ht="25" customHeight="1">
      <c r="L2033" s="31"/>
      <c r="M2033" s="31"/>
      <c r="N2033" s="31"/>
      <c r="X2033" s="35"/>
      <c r="Y2033" s="102"/>
    </row>
    <row r="2034" spans="12:25" ht="25" customHeight="1">
      <c r="L2034" s="31"/>
      <c r="M2034" s="31"/>
      <c r="N2034" s="31"/>
      <c r="X2034" s="35"/>
      <c r="Y2034" s="102"/>
    </row>
    <row r="2035" spans="12:25" ht="25" customHeight="1">
      <c r="L2035" s="31"/>
      <c r="M2035" s="31"/>
      <c r="N2035" s="31"/>
      <c r="X2035" s="35"/>
      <c r="Y2035" s="102"/>
    </row>
    <row r="2036" spans="12:25" ht="25" customHeight="1">
      <c r="L2036" s="31"/>
      <c r="M2036" s="31"/>
      <c r="N2036" s="31"/>
      <c r="X2036" s="35"/>
      <c r="Y2036" s="102"/>
    </row>
    <row r="2037" spans="12:25" ht="25" customHeight="1">
      <c r="L2037" s="31"/>
      <c r="M2037" s="31"/>
      <c r="N2037" s="31"/>
      <c r="X2037" s="35"/>
      <c r="Y2037" s="102"/>
    </row>
    <row r="2038" spans="12:25" ht="25" customHeight="1">
      <c r="L2038" s="31"/>
      <c r="M2038" s="31"/>
      <c r="N2038" s="31"/>
      <c r="X2038" s="35"/>
      <c r="Y2038" s="102"/>
    </row>
    <row r="2039" spans="12:25" ht="25" customHeight="1">
      <c r="L2039" s="31"/>
      <c r="M2039" s="31"/>
      <c r="N2039" s="31"/>
      <c r="X2039" s="35"/>
      <c r="Y2039" s="102"/>
    </row>
    <row r="2040" spans="12:25" ht="25" customHeight="1">
      <c r="L2040" s="31"/>
      <c r="M2040" s="31"/>
      <c r="N2040" s="31"/>
      <c r="X2040" s="35"/>
      <c r="Y2040" s="102"/>
    </row>
    <row r="2041" spans="12:25" ht="25" customHeight="1">
      <c r="L2041" s="31"/>
      <c r="M2041" s="31"/>
      <c r="N2041" s="31"/>
      <c r="X2041" s="35"/>
      <c r="Y2041" s="102"/>
    </row>
    <row r="2042" spans="12:25" ht="25" customHeight="1">
      <c r="L2042" s="31"/>
      <c r="M2042" s="31"/>
      <c r="N2042" s="31"/>
      <c r="X2042" s="35"/>
      <c r="Y2042" s="102"/>
    </row>
    <row r="2043" spans="12:25" ht="25" customHeight="1">
      <c r="L2043" s="31"/>
      <c r="M2043" s="31"/>
      <c r="N2043" s="31"/>
      <c r="X2043" s="35"/>
      <c r="Y2043" s="102"/>
    </row>
    <row r="2044" spans="12:25" ht="25" customHeight="1">
      <c r="L2044" s="31"/>
      <c r="M2044" s="31"/>
      <c r="N2044" s="31"/>
      <c r="X2044" s="35"/>
      <c r="Y2044" s="102"/>
    </row>
    <row r="2045" spans="12:25" ht="25" customHeight="1">
      <c r="L2045" s="31"/>
      <c r="M2045" s="31"/>
      <c r="N2045" s="31"/>
      <c r="X2045" s="35"/>
      <c r="Y2045" s="102"/>
    </row>
    <row r="2046" spans="12:25" ht="25" customHeight="1">
      <c r="L2046" s="31"/>
      <c r="M2046" s="31"/>
      <c r="N2046" s="31"/>
      <c r="X2046" s="35"/>
      <c r="Y2046" s="102"/>
    </row>
    <row r="2047" spans="12:25" ht="25" customHeight="1">
      <c r="L2047" s="31"/>
      <c r="M2047" s="31"/>
      <c r="N2047" s="31"/>
      <c r="X2047" s="35"/>
      <c r="Y2047" s="102"/>
    </row>
    <row r="2048" spans="12:25" ht="25" customHeight="1">
      <c r="L2048" s="31"/>
      <c r="M2048" s="31"/>
      <c r="N2048" s="31"/>
      <c r="X2048" s="35"/>
      <c r="Y2048" s="102"/>
    </row>
    <row r="2049" spans="12:25" ht="25" customHeight="1">
      <c r="L2049" s="31"/>
      <c r="M2049" s="31"/>
      <c r="N2049" s="31"/>
      <c r="X2049" s="35"/>
      <c r="Y2049" s="102"/>
    </row>
    <row r="2050" spans="12:25" ht="25" customHeight="1">
      <c r="L2050" s="31"/>
      <c r="M2050" s="31"/>
      <c r="N2050" s="31"/>
      <c r="X2050" s="35"/>
      <c r="Y2050" s="102"/>
    </row>
    <row r="2051" spans="12:25" ht="25" customHeight="1">
      <c r="L2051" s="31"/>
      <c r="M2051" s="31"/>
      <c r="N2051" s="31"/>
      <c r="X2051" s="35"/>
      <c r="Y2051" s="102"/>
    </row>
    <row r="2052" spans="12:25" ht="25" customHeight="1">
      <c r="L2052" s="31"/>
      <c r="M2052" s="31"/>
      <c r="N2052" s="31"/>
      <c r="X2052" s="35"/>
      <c r="Y2052" s="102"/>
    </row>
    <row r="2053" spans="12:25" ht="25" customHeight="1">
      <c r="L2053" s="31"/>
      <c r="M2053" s="31"/>
      <c r="N2053" s="31"/>
      <c r="X2053" s="35"/>
      <c r="Y2053" s="102"/>
    </row>
    <row r="2054" spans="12:25" ht="25" customHeight="1">
      <c r="L2054" s="31"/>
      <c r="M2054" s="31"/>
      <c r="N2054" s="31"/>
      <c r="X2054" s="35"/>
      <c r="Y2054" s="102"/>
    </row>
    <row r="2055" spans="12:25" ht="25" customHeight="1">
      <c r="L2055" s="31"/>
      <c r="M2055" s="31"/>
      <c r="N2055" s="31"/>
      <c r="X2055" s="35"/>
      <c r="Y2055" s="102"/>
    </row>
    <row r="2056" spans="12:25" ht="25" customHeight="1">
      <c r="L2056" s="31"/>
      <c r="M2056" s="31"/>
      <c r="N2056" s="31"/>
      <c r="X2056" s="35"/>
      <c r="Y2056" s="102"/>
    </row>
    <row r="2057" spans="12:25" ht="25" customHeight="1">
      <c r="L2057" s="31"/>
      <c r="M2057" s="31"/>
      <c r="N2057" s="31"/>
      <c r="X2057" s="35"/>
      <c r="Y2057" s="102"/>
    </row>
    <row r="2058" spans="12:25" ht="25" customHeight="1">
      <c r="L2058" s="31"/>
      <c r="M2058" s="31"/>
      <c r="N2058" s="31"/>
      <c r="X2058" s="35"/>
      <c r="Y2058" s="102"/>
    </row>
    <row r="2059" spans="12:25" ht="25" customHeight="1">
      <c r="L2059" s="31"/>
      <c r="M2059" s="31"/>
      <c r="N2059" s="31"/>
      <c r="X2059" s="35"/>
      <c r="Y2059" s="102"/>
    </row>
    <row r="2060" spans="12:25" ht="25" customHeight="1">
      <c r="L2060" s="31"/>
      <c r="M2060" s="31"/>
      <c r="N2060" s="31"/>
      <c r="X2060" s="35"/>
      <c r="Y2060" s="102"/>
    </row>
    <row r="2061" spans="12:25" ht="25" customHeight="1">
      <c r="L2061" s="31"/>
      <c r="M2061" s="31"/>
      <c r="N2061" s="31"/>
      <c r="X2061" s="35"/>
      <c r="Y2061" s="102"/>
    </row>
    <row r="2062" spans="12:25" ht="25" customHeight="1">
      <c r="L2062" s="31"/>
      <c r="M2062" s="31"/>
      <c r="N2062" s="31"/>
      <c r="X2062" s="35"/>
      <c r="Y2062" s="102"/>
    </row>
    <row r="2063" spans="12:25" ht="25" customHeight="1">
      <c r="L2063" s="31"/>
      <c r="M2063" s="31"/>
      <c r="N2063" s="31"/>
      <c r="X2063" s="35"/>
      <c r="Y2063" s="102"/>
    </row>
    <row r="2064" spans="12:25" ht="25" customHeight="1">
      <c r="L2064" s="31"/>
      <c r="M2064" s="31"/>
      <c r="N2064" s="31"/>
      <c r="X2064" s="35"/>
      <c r="Y2064" s="102"/>
    </row>
    <row r="2065" spans="12:25" ht="25" customHeight="1">
      <c r="L2065" s="31"/>
      <c r="M2065" s="31"/>
      <c r="N2065" s="31"/>
      <c r="X2065" s="35"/>
      <c r="Y2065" s="102"/>
    </row>
    <row r="2066" spans="12:25" ht="25" customHeight="1">
      <c r="L2066" s="31"/>
      <c r="M2066" s="31"/>
      <c r="N2066" s="31"/>
      <c r="X2066" s="35"/>
      <c r="Y2066" s="102"/>
    </row>
    <row r="2067" spans="12:25" ht="25" customHeight="1">
      <c r="L2067" s="31"/>
      <c r="M2067" s="31"/>
      <c r="N2067" s="31"/>
      <c r="X2067" s="35"/>
      <c r="Y2067" s="102"/>
    </row>
    <row r="2068" spans="12:25" ht="25" customHeight="1">
      <c r="L2068" s="31"/>
      <c r="M2068" s="31"/>
      <c r="N2068" s="31"/>
      <c r="X2068" s="35"/>
      <c r="Y2068" s="102"/>
    </row>
    <row r="2069" spans="12:25" ht="25" customHeight="1">
      <c r="L2069" s="31"/>
      <c r="M2069" s="31"/>
      <c r="N2069" s="31"/>
      <c r="X2069" s="35"/>
      <c r="Y2069" s="102"/>
    </row>
    <row r="2070" spans="12:25" ht="25" customHeight="1">
      <c r="L2070" s="31"/>
      <c r="M2070" s="31"/>
      <c r="N2070" s="31"/>
      <c r="X2070" s="35"/>
      <c r="Y2070" s="102"/>
    </row>
    <row r="2071" spans="12:25" ht="25" customHeight="1">
      <c r="L2071" s="31"/>
      <c r="M2071" s="31"/>
      <c r="N2071" s="31"/>
      <c r="X2071" s="35"/>
      <c r="Y2071" s="102"/>
    </row>
    <row r="2072" spans="12:25" ht="25" customHeight="1">
      <c r="L2072" s="31"/>
      <c r="M2072" s="31"/>
      <c r="N2072" s="31"/>
      <c r="X2072" s="35"/>
      <c r="Y2072" s="102"/>
    </row>
    <row r="2073" spans="12:25" ht="25" customHeight="1">
      <c r="L2073" s="31"/>
      <c r="M2073" s="31"/>
      <c r="N2073" s="31"/>
      <c r="X2073" s="35"/>
      <c r="Y2073" s="102"/>
    </row>
    <row r="2074" spans="12:25" ht="25" customHeight="1">
      <c r="L2074" s="31"/>
      <c r="M2074" s="31"/>
      <c r="N2074" s="31"/>
      <c r="X2074" s="35"/>
      <c r="Y2074" s="102"/>
    </row>
    <row r="2075" spans="12:25" ht="25" customHeight="1">
      <c r="L2075" s="31"/>
      <c r="M2075" s="31"/>
      <c r="N2075" s="31"/>
      <c r="X2075" s="35"/>
      <c r="Y2075" s="102"/>
    </row>
    <row r="2076" spans="12:25" ht="25" customHeight="1">
      <c r="L2076" s="31"/>
      <c r="M2076" s="31"/>
      <c r="N2076" s="31"/>
      <c r="X2076" s="35"/>
      <c r="Y2076" s="102"/>
    </row>
    <row r="2077" spans="12:25" ht="25" customHeight="1">
      <c r="L2077" s="31"/>
      <c r="M2077" s="31"/>
      <c r="N2077" s="31"/>
      <c r="X2077" s="35"/>
      <c r="Y2077" s="102"/>
    </row>
    <row r="2078" spans="12:25" ht="25" customHeight="1">
      <c r="L2078" s="31"/>
      <c r="M2078" s="31"/>
      <c r="N2078" s="31"/>
      <c r="X2078" s="35"/>
      <c r="Y2078" s="102"/>
    </row>
    <row r="2079" spans="12:25" ht="25" customHeight="1">
      <c r="L2079" s="31"/>
      <c r="M2079" s="31"/>
      <c r="N2079" s="31"/>
      <c r="X2079" s="35"/>
      <c r="Y2079" s="102"/>
    </row>
    <row r="2080" spans="12:25" ht="25" customHeight="1">
      <c r="L2080" s="31"/>
      <c r="M2080" s="31"/>
      <c r="N2080" s="31"/>
      <c r="X2080" s="35"/>
      <c r="Y2080" s="102"/>
    </row>
    <row r="2081" spans="12:25" ht="25" customHeight="1">
      <c r="L2081" s="31"/>
      <c r="M2081" s="31"/>
      <c r="N2081" s="31"/>
      <c r="X2081" s="35"/>
      <c r="Y2081" s="102"/>
    </row>
    <row r="2082" spans="12:25" ht="25" customHeight="1">
      <c r="L2082" s="31"/>
      <c r="M2082" s="31"/>
      <c r="N2082" s="31"/>
      <c r="X2082" s="35"/>
      <c r="Y2082" s="102"/>
    </row>
    <row r="2083" spans="12:25" ht="25" customHeight="1">
      <c r="L2083" s="31"/>
      <c r="M2083" s="31"/>
      <c r="N2083" s="31"/>
      <c r="X2083" s="35"/>
      <c r="Y2083" s="102"/>
    </row>
    <row r="2084" spans="12:25" ht="25" customHeight="1">
      <c r="L2084" s="31"/>
      <c r="M2084" s="31"/>
      <c r="N2084" s="31"/>
      <c r="X2084" s="35"/>
      <c r="Y2084" s="102"/>
    </row>
    <row r="2085" spans="12:25" ht="25" customHeight="1">
      <c r="L2085" s="31"/>
      <c r="M2085" s="31"/>
      <c r="N2085" s="31"/>
      <c r="X2085" s="35"/>
      <c r="Y2085" s="102"/>
    </row>
    <row r="2086" spans="12:25" ht="25" customHeight="1">
      <c r="L2086" s="31"/>
      <c r="M2086" s="31"/>
      <c r="N2086" s="31"/>
      <c r="X2086" s="35"/>
      <c r="Y2086" s="102"/>
    </row>
    <row r="2087" spans="12:25" ht="25" customHeight="1">
      <c r="L2087" s="31"/>
      <c r="M2087" s="31"/>
      <c r="N2087" s="31"/>
      <c r="X2087" s="35"/>
      <c r="Y2087" s="102"/>
    </row>
    <row r="2088" spans="12:25" ht="25" customHeight="1">
      <c r="L2088" s="31"/>
      <c r="M2088" s="31"/>
      <c r="N2088" s="31"/>
      <c r="X2088" s="35"/>
      <c r="Y2088" s="102"/>
    </row>
    <row r="2089" spans="12:25" ht="25" customHeight="1">
      <c r="L2089" s="31"/>
      <c r="M2089" s="31"/>
      <c r="N2089" s="31"/>
      <c r="X2089" s="35"/>
      <c r="Y2089" s="102"/>
    </row>
    <row r="2090" spans="12:25" ht="25" customHeight="1">
      <c r="L2090" s="31"/>
      <c r="M2090" s="31"/>
      <c r="N2090" s="31"/>
      <c r="X2090" s="35"/>
      <c r="Y2090" s="102"/>
    </row>
    <row r="2091" spans="12:25" ht="25" customHeight="1">
      <c r="L2091" s="31"/>
      <c r="M2091" s="31"/>
      <c r="N2091" s="31"/>
      <c r="X2091" s="35"/>
      <c r="Y2091" s="102"/>
    </row>
    <row r="2092" spans="12:25" ht="25" customHeight="1">
      <c r="L2092" s="31"/>
      <c r="M2092" s="31"/>
      <c r="N2092" s="31"/>
      <c r="X2092" s="35"/>
      <c r="Y2092" s="102"/>
    </row>
    <row r="2093" spans="12:25" ht="25" customHeight="1">
      <c r="L2093" s="31"/>
      <c r="M2093" s="31"/>
      <c r="N2093" s="31"/>
      <c r="X2093" s="35"/>
      <c r="Y2093" s="102"/>
    </row>
    <row r="2094" spans="12:25" ht="25" customHeight="1">
      <c r="L2094" s="31"/>
      <c r="M2094" s="31"/>
      <c r="N2094" s="31"/>
      <c r="X2094" s="35"/>
      <c r="Y2094" s="102"/>
    </row>
    <row r="2095" spans="12:25" ht="25" customHeight="1">
      <c r="L2095" s="31"/>
      <c r="M2095" s="31"/>
      <c r="N2095" s="31"/>
      <c r="X2095" s="35"/>
      <c r="Y2095" s="102"/>
    </row>
    <row r="2096" spans="12:25" ht="25" customHeight="1">
      <c r="L2096" s="31"/>
      <c r="M2096" s="31"/>
      <c r="N2096" s="31"/>
      <c r="X2096" s="35"/>
      <c r="Y2096" s="102"/>
    </row>
    <row r="2097" spans="12:25" ht="25" customHeight="1">
      <c r="L2097" s="31"/>
      <c r="M2097" s="31"/>
      <c r="N2097" s="31"/>
      <c r="X2097" s="35"/>
      <c r="Y2097" s="102"/>
    </row>
    <row r="2098" spans="12:25" ht="25" customHeight="1">
      <c r="L2098" s="31"/>
      <c r="M2098" s="31"/>
      <c r="N2098" s="31"/>
      <c r="X2098" s="35"/>
      <c r="Y2098" s="102"/>
    </row>
    <row r="2099" spans="12:25" ht="25" customHeight="1">
      <c r="L2099" s="31"/>
      <c r="M2099" s="31"/>
      <c r="N2099" s="31"/>
      <c r="X2099" s="35"/>
      <c r="Y2099" s="102"/>
    </row>
    <row r="2100" spans="12:25" ht="25" customHeight="1">
      <c r="L2100" s="31"/>
      <c r="M2100" s="31"/>
      <c r="N2100" s="31"/>
      <c r="X2100" s="35"/>
      <c r="Y2100" s="102"/>
    </row>
    <row r="2101" spans="12:25" ht="25" customHeight="1">
      <c r="L2101" s="31"/>
      <c r="M2101" s="31"/>
      <c r="N2101" s="31"/>
      <c r="X2101" s="35"/>
      <c r="Y2101" s="102"/>
    </row>
    <row r="2102" spans="12:25" ht="25" customHeight="1">
      <c r="L2102" s="31"/>
      <c r="M2102" s="31"/>
      <c r="N2102" s="31"/>
      <c r="X2102" s="35"/>
      <c r="Y2102" s="102"/>
    </row>
    <row r="2103" spans="12:25" ht="25" customHeight="1">
      <c r="L2103" s="31"/>
      <c r="M2103" s="31"/>
      <c r="N2103" s="31"/>
      <c r="X2103" s="35"/>
      <c r="Y2103" s="102"/>
    </row>
    <row r="2104" spans="12:25" ht="25" customHeight="1">
      <c r="L2104" s="31"/>
      <c r="M2104" s="31"/>
      <c r="N2104" s="31"/>
      <c r="X2104" s="35"/>
      <c r="Y2104" s="102"/>
    </row>
    <row r="2105" spans="12:25" ht="25" customHeight="1">
      <c r="L2105" s="31"/>
      <c r="M2105" s="31"/>
      <c r="N2105" s="31"/>
      <c r="X2105" s="35"/>
      <c r="Y2105" s="102"/>
    </row>
    <row r="2106" spans="12:25" ht="25" customHeight="1">
      <c r="L2106" s="31"/>
      <c r="M2106" s="31"/>
      <c r="N2106" s="31"/>
      <c r="X2106" s="35"/>
      <c r="Y2106" s="102"/>
    </row>
    <row r="2107" spans="12:25" ht="25" customHeight="1">
      <c r="L2107" s="31"/>
      <c r="M2107" s="31"/>
      <c r="N2107" s="31"/>
      <c r="X2107" s="35"/>
      <c r="Y2107" s="102"/>
    </row>
    <row r="2108" spans="12:25" ht="25" customHeight="1">
      <c r="L2108" s="31"/>
      <c r="M2108" s="31"/>
      <c r="N2108" s="31"/>
      <c r="X2108" s="35"/>
      <c r="Y2108" s="102"/>
    </row>
    <row r="2109" spans="12:25" ht="25" customHeight="1">
      <c r="L2109" s="31"/>
      <c r="M2109" s="31"/>
      <c r="N2109" s="31"/>
      <c r="X2109" s="35"/>
      <c r="Y2109" s="102"/>
    </row>
    <row r="2110" spans="12:25" ht="25" customHeight="1">
      <c r="L2110" s="31"/>
      <c r="M2110" s="31"/>
      <c r="N2110" s="31"/>
      <c r="X2110" s="35"/>
      <c r="Y2110" s="102"/>
    </row>
    <row r="2111" spans="12:25" ht="25" customHeight="1">
      <c r="L2111" s="31"/>
      <c r="M2111" s="31"/>
      <c r="N2111" s="31"/>
      <c r="X2111" s="35"/>
      <c r="Y2111" s="102"/>
    </row>
    <row r="2112" spans="12:25" ht="25" customHeight="1">
      <c r="L2112" s="31"/>
      <c r="M2112" s="31"/>
      <c r="N2112" s="31"/>
      <c r="X2112" s="35"/>
      <c r="Y2112" s="102"/>
    </row>
    <row r="2113" spans="12:25" ht="25" customHeight="1">
      <c r="L2113" s="31"/>
      <c r="M2113" s="31"/>
      <c r="N2113" s="31"/>
      <c r="X2113" s="35"/>
      <c r="Y2113" s="102"/>
    </row>
    <row r="2114" spans="12:25" ht="25" customHeight="1">
      <c r="L2114" s="31"/>
      <c r="M2114" s="31"/>
      <c r="N2114" s="31"/>
      <c r="X2114" s="35"/>
      <c r="Y2114" s="102"/>
    </row>
    <row r="2115" spans="12:25" ht="25" customHeight="1">
      <c r="L2115" s="31"/>
      <c r="M2115" s="31"/>
      <c r="N2115" s="31"/>
      <c r="X2115" s="35"/>
      <c r="Y2115" s="102"/>
    </row>
    <row r="2116" spans="12:25" ht="25" customHeight="1">
      <c r="L2116" s="31"/>
      <c r="M2116" s="31"/>
      <c r="N2116" s="31"/>
      <c r="X2116" s="35"/>
      <c r="Y2116" s="102"/>
    </row>
    <row r="2117" spans="12:25" ht="25" customHeight="1">
      <c r="L2117" s="31"/>
      <c r="M2117" s="31"/>
      <c r="N2117" s="31"/>
      <c r="X2117" s="35"/>
      <c r="Y2117" s="102"/>
    </row>
    <row r="2118" spans="12:25" ht="25" customHeight="1">
      <c r="L2118" s="31"/>
      <c r="M2118" s="31"/>
      <c r="N2118" s="31"/>
      <c r="X2118" s="35"/>
      <c r="Y2118" s="102"/>
    </row>
    <row r="2119" spans="12:25" ht="25" customHeight="1">
      <c r="L2119" s="31"/>
      <c r="M2119" s="31"/>
      <c r="N2119" s="31"/>
      <c r="X2119" s="35"/>
      <c r="Y2119" s="102"/>
    </row>
    <row r="2120" spans="12:25" ht="25" customHeight="1">
      <c r="L2120" s="31"/>
      <c r="M2120" s="31"/>
      <c r="N2120" s="31"/>
      <c r="X2120" s="35"/>
      <c r="Y2120" s="102"/>
    </row>
    <row r="2121" spans="12:25" ht="25" customHeight="1">
      <c r="L2121" s="31"/>
      <c r="M2121" s="31"/>
      <c r="N2121" s="31"/>
      <c r="X2121" s="35"/>
      <c r="Y2121" s="102"/>
    </row>
    <row r="2122" spans="12:25" ht="25" customHeight="1">
      <c r="L2122" s="31"/>
      <c r="M2122" s="31"/>
      <c r="N2122" s="31"/>
      <c r="X2122" s="35"/>
      <c r="Y2122" s="102"/>
    </row>
    <row r="2123" spans="12:25" ht="25" customHeight="1">
      <c r="L2123" s="31"/>
      <c r="M2123" s="31"/>
      <c r="N2123" s="31"/>
      <c r="X2123" s="35"/>
      <c r="Y2123" s="102"/>
    </row>
    <row r="2124" spans="12:25" ht="25" customHeight="1">
      <c r="L2124" s="31"/>
      <c r="M2124" s="31"/>
      <c r="N2124" s="31"/>
      <c r="X2124" s="35"/>
      <c r="Y2124" s="102"/>
    </row>
    <row r="2125" spans="12:25" ht="25" customHeight="1">
      <c r="L2125" s="31"/>
      <c r="M2125" s="31"/>
      <c r="N2125" s="31"/>
      <c r="X2125" s="35"/>
      <c r="Y2125" s="102"/>
    </row>
    <row r="2126" spans="12:25" ht="25" customHeight="1">
      <c r="L2126" s="31"/>
      <c r="M2126" s="31"/>
      <c r="N2126" s="31"/>
      <c r="X2126" s="35"/>
      <c r="Y2126" s="102"/>
    </row>
    <row r="2127" spans="12:25" ht="25" customHeight="1">
      <c r="L2127" s="31"/>
      <c r="M2127" s="31"/>
      <c r="N2127" s="31"/>
      <c r="X2127" s="35"/>
      <c r="Y2127" s="102"/>
    </row>
    <row r="2128" spans="12:25" ht="25" customHeight="1">
      <c r="L2128" s="31"/>
      <c r="M2128" s="31"/>
      <c r="N2128" s="31"/>
      <c r="X2128" s="35"/>
      <c r="Y2128" s="102"/>
    </row>
    <row r="2129" spans="12:25" ht="25" customHeight="1">
      <c r="L2129" s="31"/>
      <c r="M2129" s="31"/>
      <c r="N2129" s="31"/>
      <c r="X2129" s="35"/>
      <c r="Y2129" s="102"/>
    </row>
    <row r="2130" spans="12:25" ht="25" customHeight="1">
      <c r="L2130" s="31"/>
      <c r="M2130" s="31"/>
      <c r="N2130" s="31"/>
      <c r="X2130" s="35"/>
      <c r="Y2130" s="102"/>
    </row>
    <row r="2131" spans="12:25" ht="25" customHeight="1">
      <c r="L2131" s="31"/>
      <c r="M2131" s="31"/>
      <c r="N2131" s="31"/>
      <c r="X2131" s="35"/>
      <c r="Y2131" s="102"/>
    </row>
    <row r="2132" spans="12:25" ht="25" customHeight="1">
      <c r="L2132" s="31"/>
      <c r="M2132" s="31"/>
      <c r="N2132" s="31"/>
      <c r="X2132" s="35"/>
      <c r="Y2132" s="102"/>
    </row>
    <row r="2133" spans="12:25" ht="25" customHeight="1">
      <c r="L2133" s="31"/>
      <c r="M2133" s="31"/>
      <c r="N2133" s="31"/>
      <c r="X2133" s="35"/>
      <c r="Y2133" s="102"/>
    </row>
    <row r="2134" spans="12:25" ht="25" customHeight="1">
      <c r="L2134" s="31"/>
      <c r="M2134" s="31"/>
      <c r="N2134" s="31"/>
      <c r="X2134" s="35"/>
      <c r="Y2134" s="102"/>
    </row>
    <row r="2135" spans="12:25" ht="25" customHeight="1">
      <c r="L2135" s="31"/>
      <c r="M2135" s="31"/>
      <c r="N2135" s="31"/>
      <c r="X2135" s="35"/>
      <c r="Y2135" s="102"/>
    </row>
    <row r="2136" spans="12:25" ht="25" customHeight="1">
      <c r="L2136" s="31"/>
      <c r="M2136" s="31"/>
      <c r="N2136" s="31"/>
      <c r="X2136" s="35"/>
      <c r="Y2136" s="102"/>
    </row>
    <row r="2137" spans="12:25" ht="25" customHeight="1">
      <c r="L2137" s="31"/>
      <c r="M2137" s="31"/>
      <c r="N2137" s="31"/>
      <c r="X2137" s="35"/>
      <c r="Y2137" s="102"/>
    </row>
    <row r="2138" spans="12:25" ht="25" customHeight="1">
      <c r="L2138" s="31"/>
      <c r="M2138" s="31"/>
      <c r="N2138" s="31"/>
      <c r="X2138" s="35"/>
      <c r="Y2138" s="102"/>
    </row>
    <row r="2139" spans="12:25" ht="25" customHeight="1">
      <c r="L2139" s="31"/>
      <c r="M2139" s="31"/>
      <c r="N2139" s="31"/>
      <c r="X2139" s="35"/>
      <c r="Y2139" s="102"/>
    </row>
    <row r="2140" spans="12:25" ht="25" customHeight="1">
      <c r="L2140" s="31"/>
      <c r="M2140" s="31"/>
      <c r="N2140" s="31"/>
      <c r="X2140" s="35"/>
      <c r="Y2140" s="102"/>
    </row>
    <row r="2141" spans="12:25" ht="25" customHeight="1">
      <c r="L2141" s="31"/>
      <c r="M2141" s="31"/>
      <c r="N2141" s="31"/>
      <c r="X2141" s="35"/>
      <c r="Y2141" s="102"/>
    </row>
    <row r="2142" spans="12:25" ht="25" customHeight="1">
      <c r="L2142" s="31"/>
      <c r="M2142" s="31"/>
      <c r="N2142" s="31"/>
      <c r="X2142" s="35"/>
      <c r="Y2142" s="102"/>
    </row>
    <row r="2143" spans="12:25" ht="25" customHeight="1">
      <c r="L2143" s="31"/>
      <c r="M2143" s="31"/>
      <c r="N2143" s="31"/>
      <c r="X2143" s="35"/>
      <c r="Y2143" s="102"/>
    </row>
    <row r="2144" spans="12:25" ht="25" customHeight="1">
      <c r="L2144" s="31"/>
      <c r="M2144" s="31"/>
      <c r="N2144" s="31"/>
      <c r="X2144" s="35"/>
      <c r="Y2144" s="102"/>
    </row>
    <row r="2145" spans="12:25" ht="25" customHeight="1">
      <c r="L2145" s="31"/>
      <c r="M2145" s="31"/>
      <c r="N2145" s="31"/>
      <c r="X2145" s="35"/>
      <c r="Y2145" s="102"/>
    </row>
    <row r="2146" spans="12:25" ht="25" customHeight="1">
      <c r="L2146" s="31"/>
      <c r="M2146" s="31"/>
      <c r="N2146" s="31"/>
      <c r="X2146" s="35"/>
      <c r="Y2146" s="102"/>
    </row>
    <row r="2147" spans="12:25" ht="25" customHeight="1">
      <c r="L2147" s="31"/>
      <c r="M2147" s="31"/>
      <c r="N2147" s="31"/>
      <c r="X2147" s="35"/>
      <c r="Y2147" s="102"/>
    </row>
    <row r="2148" spans="12:25" ht="25" customHeight="1">
      <c r="L2148" s="31"/>
      <c r="M2148" s="31"/>
      <c r="N2148" s="31"/>
      <c r="X2148" s="35"/>
      <c r="Y2148" s="102"/>
    </row>
    <row r="2149" spans="12:25" ht="25" customHeight="1">
      <c r="L2149" s="31"/>
      <c r="M2149" s="31"/>
      <c r="N2149" s="31"/>
      <c r="X2149" s="35"/>
      <c r="Y2149" s="102"/>
    </row>
    <row r="2150" spans="12:25" ht="25" customHeight="1">
      <c r="L2150" s="31"/>
      <c r="M2150" s="31"/>
      <c r="N2150" s="31"/>
      <c r="X2150" s="35"/>
      <c r="Y2150" s="102"/>
    </row>
    <row r="2151" spans="12:25" ht="25" customHeight="1">
      <c r="L2151" s="31"/>
      <c r="M2151" s="31"/>
      <c r="N2151" s="31"/>
      <c r="X2151" s="35"/>
      <c r="Y2151" s="102"/>
    </row>
    <row r="2152" spans="12:25" ht="25" customHeight="1">
      <c r="L2152" s="31"/>
      <c r="M2152" s="31"/>
      <c r="N2152" s="31"/>
      <c r="X2152" s="35"/>
      <c r="Y2152" s="102"/>
    </row>
    <row r="2153" spans="12:25" ht="25" customHeight="1">
      <c r="L2153" s="31"/>
      <c r="M2153" s="31"/>
      <c r="N2153" s="31"/>
      <c r="X2153" s="35"/>
      <c r="Y2153" s="102"/>
    </row>
    <row r="2154" spans="12:25" ht="25" customHeight="1">
      <c r="L2154" s="31"/>
      <c r="M2154" s="31"/>
      <c r="N2154" s="31"/>
      <c r="X2154" s="35"/>
      <c r="Y2154" s="102"/>
    </row>
    <row r="2155" spans="12:25" ht="25" customHeight="1">
      <c r="L2155" s="31"/>
      <c r="M2155" s="31"/>
      <c r="N2155" s="31"/>
      <c r="X2155" s="35"/>
      <c r="Y2155" s="102"/>
    </row>
    <row r="2156" spans="12:25" ht="25" customHeight="1">
      <c r="L2156" s="31"/>
      <c r="M2156" s="31"/>
      <c r="N2156" s="31"/>
      <c r="X2156" s="35"/>
      <c r="Y2156" s="102"/>
    </row>
    <row r="2157" spans="12:25" ht="25" customHeight="1">
      <c r="L2157" s="31"/>
      <c r="M2157" s="31"/>
      <c r="N2157" s="31"/>
      <c r="X2157" s="35"/>
      <c r="Y2157" s="102"/>
    </row>
    <row r="2158" spans="12:25" ht="25" customHeight="1">
      <c r="L2158" s="31"/>
      <c r="M2158" s="31"/>
      <c r="N2158" s="31"/>
      <c r="X2158" s="35"/>
      <c r="Y2158" s="102"/>
    </row>
    <row r="2159" spans="12:25" ht="25" customHeight="1">
      <c r="L2159" s="31"/>
      <c r="M2159" s="31"/>
      <c r="N2159" s="31"/>
      <c r="X2159" s="35"/>
      <c r="Y2159" s="102"/>
    </row>
    <row r="2160" spans="12:25" ht="25" customHeight="1">
      <c r="L2160" s="31"/>
      <c r="M2160" s="31"/>
      <c r="N2160" s="31"/>
      <c r="X2160" s="35"/>
      <c r="Y2160" s="102"/>
    </row>
    <row r="2161" spans="12:25" ht="25" customHeight="1">
      <c r="L2161" s="31"/>
      <c r="M2161" s="31"/>
      <c r="N2161" s="31"/>
      <c r="X2161" s="35"/>
      <c r="Y2161" s="102"/>
    </row>
    <row r="2162" spans="12:25" ht="25" customHeight="1">
      <c r="L2162" s="31"/>
      <c r="M2162" s="31"/>
      <c r="N2162" s="31"/>
      <c r="X2162" s="35"/>
      <c r="Y2162" s="102"/>
    </row>
    <row r="2163" spans="12:25" ht="25" customHeight="1">
      <c r="L2163" s="31"/>
      <c r="M2163" s="31"/>
      <c r="N2163" s="31"/>
      <c r="X2163" s="35"/>
      <c r="Y2163" s="102"/>
    </row>
    <row r="2164" spans="12:25" ht="25" customHeight="1">
      <c r="L2164" s="31"/>
      <c r="M2164" s="31"/>
      <c r="N2164" s="31"/>
      <c r="X2164" s="35"/>
      <c r="Y2164" s="102"/>
    </row>
    <row r="2165" spans="12:25" ht="25" customHeight="1">
      <c r="L2165" s="31"/>
      <c r="M2165" s="31"/>
      <c r="N2165" s="31"/>
      <c r="X2165" s="35"/>
      <c r="Y2165" s="102"/>
    </row>
    <row r="2166" spans="12:25" ht="25" customHeight="1">
      <c r="L2166" s="31"/>
      <c r="M2166" s="31"/>
      <c r="N2166" s="31"/>
      <c r="X2166" s="35"/>
      <c r="Y2166" s="102"/>
    </row>
    <row r="2167" spans="12:25" ht="25" customHeight="1">
      <c r="L2167" s="31"/>
      <c r="M2167" s="31"/>
      <c r="N2167" s="31"/>
      <c r="X2167" s="35"/>
      <c r="Y2167" s="102"/>
    </row>
    <row r="2168" spans="12:25" ht="25" customHeight="1">
      <c r="L2168" s="31"/>
      <c r="M2168" s="31"/>
      <c r="N2168" s="31"/>
      <c r="X2168" s="35"/>
      <c r="Y2168" s="102"/>
    </row>
    <row r="2169" spans="12:25" ht="25" customHeight="1">
      <c r="L2169" s="31"/>
      <c r="M2169" s="31"/>
      <c r="N2169" s="31"/>
      <c r="X2169" s="35"/>
      <c r="Y2169" s="102"/>
    </row>
    <row r="2170" spans="12:25" ht="25" customHeight="1">
      <c r="L2170" s="31"/>
      <c r="M2170" s="31"/>
      <c r="N2170" s="31"/>
      <c r="X2170" s="35"/>
      <c r="Y2170" s="102"/>
    </row>
    <row r="2171" spans="12:25" ht="25" customHeight="1">
      <c r="L2171" s="31"/>
      <c r="M2171" s="31"/>
      <c r="N2171" s="31"/>
      <c r="X2171" s="35"/>
      <c r="Y2171" s="102"/>
    </row>
    <row r="2172" spans="12:25" ht="25" customHeight="1">
      <c r="L2172" s="31"/>
      <c r="M2172" s="31"/>
      <c r="N2172" s="31"/>
      <c r="X2172" s="35"/>
      <c r="Y2172" s="102"/>
    </row>
    <row r="2173" spans="12:25" ht="25" customHeight="1">
      <c r="L2173" s="31"/>
      <c r="M2173" s="31"/>
      <c r="N2173" s="31"/>
      <c r="X2173" s="35"/>
      <c r="Y2173" s="102"/>
    </row>
    <row r="2174" spans="12:25" ht="25" customHeight="1">
      <c r="L2174" s="31"/>
      <c r="M2174" s="31"/>
      <c r="N2174" s="31"/>
      <c r="X2174" s="35"/>
      <c r="Y2174" s="102"/>
    </row>
    <row r="2175" spans="12:25" ht="25" customHeight="1">
      <c r="L2175" s="31"/>
      <c r="M2175" s="31"/>
      <c r="N2175" s="31"/>
      <c r="X2175" s="35"/>
      <c r="Y2175" s="102"/>
    </row>
    <row r="2176" spans="12:25" ht="25" customHeight="1">
      <c r="L2176" s="31"/>
      <c r="M2176" s="31"/>
      <c r="N2176" s="31"/>
      <c r="X2176" s="35"/>
      <c r="Y2176" s="102"/>
    </row>
    <row r="2177" spans="12:25" ht="25" customHeight="1">
      <c r="L2177" s="31"/>
      <c r="M2177" s="31"/>
      <c r="N2177" s="31"/>
      <c r="X2177" s="35"/>
      <c r="Y2177" s="102"/>
    </row>
    <row r="2178" spans="12:25" ht="25" customHeight="1">
      <c r="L2178" s="31"/>
      <c r="M2178" s="31"/>
      <c r="N2178" s="31"/>
      <c r="X2178" s="35"/>
      <c r="Y2178" s="102"/>
    </row>
    <row r="2179" spans="12:25" ht="25" customHeight="1">
      <c r="L2179" s="31"/>
      <c r="M2179" s="31"/>
      <c r="N2179" s="31"/>
      <c r="X2179" s="35"/>
      <c r="Y2179" s="102"/>
    </row>
    <row r="2180" spans="12:25" ht="25" customHeight="1">
      <c r="L2180" s="31"/>
      <c r="M2180" s="31"/>
      <c r="N2180" s="31"/>
      <c r="X2180" s="35"/>
      <c r="Y2180" s="102"/>
    </row>
    <row r="2181" spans="12:25" ht="25" customHeight="1">
      <c r="L2181" s="31"/>
      <c r="M2181" s="31"/>
      <c r="N2181" s="31"/>
      <c r="X2181" s="35"/>
      <c r="Y2181" s="102"/>
    </row>
    <row r="2182" spans="12:25" ht="25" customHeight="1">
      <c r="L2182" s="31"/>
      <c r="M2182" s="31"/>
      <c r="N2182" s="31"/>
      <c r="X2182" s="35"/>
      <c r="Y2182" s="102"/>
    </row>
    <row r="2183" spans="12:25" ht="25" customHeight="1">
      <c r="L2183" s="31"/>
      <c r="M2183" s="31"/>
      <c r="N2183" s="31"/>
      <c r="X2183" s="35"/>
      <c r="Y2183" s="102"/>
    </row>
    <row r="2184" spans="12:25" ht="25" customHeight="1">
      <c r="L2184" s="31"/>
      <c r="M2184" s="31"/>
      <c r="N2184" s="31"/>
      <c r="X2184" s="35"/>
      <c r="Y2184" s="102"/>
    </row>
    <row r="2185" spans="12:25" ht="25" customHeight="1">
      <c r="L2185" s="31"/>
      <c r="M2185" s="31"/>
      <c r="N2185" s="31"/>
      <c r="X2185" s="35"/>
      <c r="Y2185" s="102"/>
    </row>
    <row r="2186" spans="12:25" ht="25" customHeight="1">
      <c r="L2186" s="31"/>
      <c r="M2186" s="31"/>
      <c r="N2186" s="31"/>
      <c r="X2186" s="35"/>
      <c r="Y2186" s="102"/>
    </row>
    <row r="2187" spans="12:25" ht="25" customHeight="1">
      <c r="L2187" s="31"/>
      <c r="M2187" s="31"/>
      <c r="N2187" s="31"/>
      <c r="X2187" s="35"/>
      <c r="Y2187" s="102"/>
    </row>
    <row r="2188" spans="12:25" ht="25" customHeight="1">
      <c r="L2188" s="31"/>
      <c r="M2188" s="31"/>
      <c r="N2188" s="31"/>
      <c r="X2188" s="35"/>
      <c r="Y2188" s="102"/>
    </row>
    <row r="2189" spans="12:25" ht="25" customHeight="1">
      <c r="L2189" s="31"/>
      <c r="M2189" s="31"/>
      <c r="N2189" s="31"/>
      <c r="X2189" s="35"/>
      <c r="Y2189" s="102"/>
    </row>
    <row r="2190" spans="12:25" ht="25" customHeight="1">
      <c r="L2190" s="31"/>
      <c r="M2190" s="31"/>
      <c r="N2190" s="31"/>
      <c r="X2190" s="35"/>
      <c r="Y2190" s="102"/>
    </row>
    <row r="2191" spans="12:25" ht="25" customHeight="1">
      <c r="L2191" s="31"/>
      <c r="M2191" s="31"/>
      <c r="N2191" s="31"/>
      <c r="X2191" s="35"/>
      <c r="Y2191" s="102"/>
    </row>
    <row r="2192" spans="12:25" ht="25" customHeight="1">
      <c r="L2192" s="31"/>
      <c r="M2192" s="31"/>
      <c r="N2192" s="31"/>
      <c r="X2192" s="35"/>
      <c r="Y2192" s="102"/>
    </row>
    <row r="2193" spans="12:25" ht="25" customHeight="1">
      <c r="L2193" s="31"/>
      <c r="M2193" s="31"/>
      <c r="N2193" s="31"/>
      <c r="X2193" s="35"/>
      <c r="Y2193" s="102"/>
    </row>
    <row r="2194" spans="12:25" ht="25" customHeight="1">
      <c r="L2194" s="31"/>
      <c r="M2194" s="31"/>
      <c r="N2194" s="31"/>
      <c r="X2194" s="35"/>
      <c r="Y2194" s="102"/>
    </row>
    <row r="2195" spans="12:25" ht="25" customHeight="1">
      <c r="L2195" s="31"/>
      <c r="M2195" s="31"/>
      <c r="N2195" s="31"/>
      <c r="X2195" s="35"/>
      <c r="Y2195" s="102"/>
    </row>
    <row r="2196" spans="12:25" ht="25" customHeight="1">
      <c r="L2196" s="31"/>
      <c r="M2196" s="31"/>
      <c r="N2196" s="31"/>
      <c r="X2196" s="35"/>
      <c r="Y2196" s="102"/>
    </row>
    <row r="2197" spans="12:25" ht="25" customHeight="1">
      <c r="L2197" s="31"/>
      <c r="M2197" s="31"/>
      <c r="N2197" s="31"/>
      <c r="X2197" s="35"/>
      <c r="Y2197" s="102"/>
    </row>
    <row r="2198" spans="12:25" ht="25" customHeight="1">
      <c r="L2198" s="31"/>
      <c r="M2198" s="31"/>
      <c r="N2198" s="31"/>
      <c r="X2198" s="35"/>
      <c r="Y2198" s="102"/>
    </row>
    <row r="2199" spans="12:25" ht="25" customHeight="1">
      <c r="L2199" s="31"/>
      <c r="M2199" s="31"/>
      <c r="N2199" s="31"/>
      <c r="X2199" s="35"/>
      <c r="Y2199" s="102"/>
    </row>
    <row r="2200" spans="12:25" ht="25" customHeight="1">
      <c r="L2200" s="31"/>
      <c r="M2200" s="31"/>
      <c r="N2200" s="31"/>
      <c r="X2200" s="35"/>
      <c r="Y2200" s="102"/>
    </row>
    <row r="2201" spans="12:25" ht="25" customHeight="1">
      <c r="L2201" s="31"/>
      <c r="M2201" s="31"/>
      <c r="N2201" s="31"/>
      <c r="X2201" s="35"/>
      <c r="Y2201" s="102"/>
    </row>
    <row r="2202" spans="12:25" ht="25" customHeight="1">
      <c r="L2202" s="31"/>
      <c r="M2202" s="31"/>
      <c r="N2202" s="31"/>
      <c r="X2202" s="35"/>
      <c r="Y2202" s="102"/>
    </row>
    <row r="2203" spans="12:25" ht="25" customHeight="1">
      <c r="L2203" s="31"/>
      <c r="M2203" s="31"/>
      <c r="N2203" s="31"/>
      <c r="X2203" s="35"/>
      <c r="Y2203" s="102"/>
    </row>
    <row r="2204" spans="12:25" ht="25" customHeight="1">
      <c r="L2204" s="31"/>
      <c r="M2204" s="31"/>
      <c r="N2204" s="31"/>
      <c r="X2204" s="35"/>
      <c r="Y2204" s="102"/>
    </row>
    <row r="2205" spans="12:25" ht="25" customHeight="1">
      <c r="L2205" s="31"/>
      <c r="M2205" s="31"/>
      <c r="N2205" s="31"/>
      <c r="X2205" s="35"/>
      <c r="Y2205" s="102"/>
    </row>
    <row r="2206" spans="12:25" ht="25" customHeight="1">
      <c r="L2206" s="31"/>
      <c r="M2206" s="31"/>
      <c r="N2206" s="31"/>
      <c r="X2206" s="35"/>
      <c r="Y2206" s="102"/>
    </row>
    <row r="2207" spans="12:25" ht="25" customHeight="1">
      <c r="L2207" s="31"/>
      <c r="M2207" s="31"/>
      <c r="N2207" s="31"/>
      <c r="X2207" s="35"/>
      <c r="Y2207" s="102"/>
    </row>
    <row r="2208" spans="12:25" ht="25" customHeight="1">
      <c r="L2208" s="31"/>
      <c r="M2208" s="31"/>
      <c r="N2208" s="31"/>
      <c r="X2208" s="35"/>
      <c r="Y2208" s="102"/>
    </row>
    <row r="2209" spans="12:25" ht="25" customHeight="1">
      <c r="L2209" s="31"/>
      <c r="M2209" s="31"/>
      <c r="N2209" s="31"/>
      <c r="X2209" s="35"/>
      <c r="Y2209" s="102"/>
    </row>
    <row r="2210" spans="12:25" ht="25" customHeight="1">
      <c r="L2210" s="31"/>
      <c r="M2210" s="31"/>
      <c r="N2210" s="31"/>
      <c r="X2210" s="35"/>
      <c r="Y2210" s="102"/>
    </row>
    <row r="2211" spans="12:25" ht="25" customHeight="1">
      <c r="L2211" s="31"/>
      <c r="M2211" s="31"/>
      <c r="N2211" s="31"/>
      <c r="X2211" s="35"/>
      <c r="Y2211" s="102"/>
    </row>
    <row r="2212" spans="12:25" ht="25" customHeight="1">
      <c r="L2212" s="31"/>
      <c r="M2212" s="31"/>
      <c r="N2212" s="31"/>
      <c r="X2212" s="35"/>
      <c r="Y2212" s="102"/>
    </row>
    <row r="2213" spans="12:25" ht="25" customHeight="1">
      <c r="L2213" s="31"/>
      <c r="M2213" s="31"/>
      <c r="N2213" s="31"/>
      <c r="X2213" s="35"/>
      <c r="Y2213" s="102"/>
    </row>
    <row r="2214" spans="12:25" ht="25" customHeight="1">
      <c r="L2214" s="31"/>
      <c r="M2214" s="31"/>
      <c r="N2214" s="31"/>
      <c r="X2214" s="35"/>
      <c r="Y2214" s="102"/>
    </row>
    <row r="2215" spans="12:25" ht="25" customHeight="1">
      <c r="L2215" s="31"/>
      <c r="M2215" s="31"/>
      <c r="N2215" s="31"/>
      <c r="X2215" s="35"/>
      <c r="Y2215" s="102"/>
    </row>
    <row r="2216" spans="12:25" ht="25" customHeight="1">
      <c r="L2216" s="31"/>
      <c r="M2216" s="31"/>
      <c r="N2216" s="31"/>
      <c r="X2216" s="35"/>
      <c r="Y2216" s="102"/>
    </row>
    <row r="2217" spans="12:25" ht="25" customHeight="1">
      <c r="L2217" s="31"/>
      <c r="M2217" s="31"/>
      <c r="N2217" s="31"/>
      <c r="X2217" s="35"/>
      <c r="Y2217" s="102"/>
    </row>
    <row r="2218" spans="12:25" ht="25" customHeight="1">
      <c r="L2218" s="31"/>
      <c r="M2218" s="31"/>
      <c r="N2218" s="31"/>
      <c r="X2218" s="35"/>
      <c r="Y2218" s="102"/>
    </row>
    <row r="2219" spans="12:25" ht="25" customHeight="1">
      <c r="L2219" s="31"/>
      <c r="M2219" s="31"/>
      <c r="N2219" s="31"/>
      <c r="X2219" s="35"/>
      <c r="Y2219" s="102"/>
    </row>
    <row r="2220" spans="12:25" ht="25" customHeight="1">
      <c r="L2220" s="31"/>
      <c r="M2220" s="31"/>
      <c r="N2220" s="31"/>
      <c r="X2220" s="35"/>
      <c r="Y2220" s="102"/>
    </row>
    <row r="2221" spans="12:25" ht="25" customHeight="1">
      <c r="L2221" s="31"/>
      <c r="M2221" s="31"/>
      <c r="N2221" s="31"/>
      <c r="X2221" s="35"/>
      <c r="Y2221" s="102"/>
    </row>
    <row r="2222" spans="12:25" ht="25" customHeight="1">
      <c r="L2222" s="31"/>
      <c r="M2222" s="31"/>
      <c r="N2222" s="31"/>
      <c r="X2222" s="35"/>
      <c r="Y2222" s="102"/>
    </row>
    <row r="2223" spans="12:25" ht="25" customHeight="1">
      <c r="L2223" s="31"/>
      <c r="M2223" s="31"/>
      <c r="N2223" s="31"/>
      <c r="X2223" s="35"/>
      <c r="Y2223" s="102"/>
    </row>
    <row r="2224" spans="12:25" ht="25" customHeight="1">
      <c r="L2224" s="31"/>
      <c r="M2224" s="31"/>
      <c r="N2224" s="31"/>
      <c r="X2224" s="35"/>
      <c r="Y2224" s="102"/>
    </row>
    <row r="2225" spans="12:25" ht="25" customHeight="1">
      <c r="L2225" s="31"/>
      <c r="M2225" s="31"/>
      <c r="N2225" s="31"/>
      <c r="X2225" s="35"/>
      <c r="Y2225" s="102"/>
    </row>
    <row r="2226" spans="12:25" ht="25" customHeight="1">
      <c r="L2226" s="31"/>
      <c r="M2226" s="31"/>
      <c r="N2226" s="31"/>
      <c r="X2226" s="35"/>
      <c r="Y2226" s="102"/>
    </row>
    <row r="2227" spans="12:25" ht="25" customHeight="1">
      <c r="L2227" s="31"/>
      <c r="M2227" s="31"/>
      <c r="N2227" s="31"/>
      <c r="X2227" s="35"/>
      <c r="Y2227" s="102"/>
    </row>
    <row r="2228" spans="12:25" ht="25" customHeight="1">
      <c r="L2228" s="31"/>
      <c r="M2228" s="31"/>
      <c r="N2228" s="31"/>
      <c r="X2228" s="35"/>
      <c r="Y2228" s="102"/>
    </row>
    <row r="2229" spans="12:25" ht="25" customHeight="1">
      <c r="L2229" s="31"/>
      <c r="M2229" s="31"/>
      <c r="N2229" s="31"/>
      <c r="X2229" s="35"/>
      <c r="Y2229" s="102"/>
    </row>
    <row r="2230" spans="12:25" ht="25" customHeight="1">
      <c r="L2230" s="31"/>
      <c r="M2230" s="31"/>
      <c r="N2230" s="31"/>
      <c r="X2230" s="35"/>
      <c r="Y2230" s="102"/>
    </row>
    <row r="2231" spans="12:25" ht="25" customHeight="1">
      <c r="L2231" s="31"/>
      <c r="M2231" s="31"/>
      <c r="N2231" s="31"/>
      <c r="X2231" s="35"/>
      <c r="Y2231" s="102"/>
    </row>
    <row r="2232" spans="12:25" ht="25" customHeight="1">
      <c r="L2232" s="31"/>
      <c r="M2232" s="31"/>
      <c r="N2232" s="31"/>
      <c r="X2232" s="35"/>
      <c r="Y2232" s="102"/>
    </row>
    <row r="2233" spans="12:25" ht="25" customHeight="1">
      <c r="L2233" s="31"/>
      <c r="M2233" s="31"/>
      <c r="N2233" s="31"/>
      <c r="X2233" s="35"/>
      <c r="Y2233" s="102"/>
    </row>
    <row r="2234" spans="12:25" ht="25" customHeight="1">
      <c r="L2234" s="31"/>
      <c r="M2234" s="31"/>
      <c r="N2234" s="31"/>
      <c r="X2234" s="35"/>
      <c r="Y2234" s="102"/>
    </row>
    <row r="2235" spans="12:25" ht="25" customHeight="1">
      <c r="L2235" s="31"/>
      <c r="M2235" s="31"/>
      <c r="N2235" s="31"/>
      <c r="X2235" s="35"/>
      <c r="Y2235" s="102"/>
    </row>
    <row r="2236" spans="12:25" ht="25" customHeight="1">
      <c r="L2236" s="31"/>
      <c r="M2236" s="31"/>
      <c r="N2236" s="31"/>
      <c r="X2236" s="35"/>
      <c r="Y2236" s="102"/>
    </row>
    <row r="2237" spans="12:25" ht="25" customHeight="1">
      <c r="L2237" s="31"/>
      <c r="M2237" s="31"/>
      <c r="N2237" s="31"/>
      <c r="X2237" s="35"/>
      <c r="Y2237" s="102"/>
    </row>
    <row r="2238" spans="12:25" ht="25" customHeight="1">
      <c r="L2238" s="31"/>
      <c r="M2238" s="31"/>
      <c r="N2238" s="31"/>
      <c r="X2238" s="35"/>
      <c r="Y2238" s="102"/>
    </row>
    <row r="2239" spans="12:25" ht="25" customHeight="1">
      <c r="L2239" s="31"/>
      <c r="M2239" s="31"/>
      <c r="N2239" s="31"/>
      <c r="X2239" s="35"/>
      <c r="Y2239" s="102"/>
    </row>
    <row r="2240" spans="12:25" ht="25" customHeight="1">
      <c r="L2240" s="31"/>
      <c r="M2240" s="31"/>
      <c r="N2240" s="31"/>
      <c r="X2240" s="35"/>
      <c r="Y2240" s="102"/>
    </row>
    <row r="2241" spans="12:25" ht="25" customHeight="1">
      <c r="L2241" s="31"/>
      <c r="M2241" s="31"/>
      <c r="N2241" s="31"/>
      <c r="X2241" s="35"/>
      <c r="Y2241" s="102"/>
    </row>
    <row r="2242" spans="12:25" ht="25" customHeight="1">
      <c r="L2242" s="31"/>
      <c r="M2242" s="31"/>
      <c r="N2242" s="31"/>
      <c r="X2242" s="35"/>
      <c r="Y2242" s="102"/>
    </row>
    <row r="2243" spans="12:25" ht="25" customHeight="1">
      <c r="L2243" s="31"/>
      <c r="M2243" s="31"/>
      <c r="N2243" s="31"/>
      <c r="X2243" s="35"/>
      <c r="Y2243" s="102"/>
    </row>
    <row r="2244" spans="12:25" ht="25" customHeight="1">
      <c r="L2244" s="31"/>
      <c r="M2244" s="31"/>
      <c r="N2244" s="31"/>
      <c r="X2244" s="35"/>
      <c r="Y2244" s="102"/>
    </row>
    <row r="2245" spans="12:25" ht="25" customHeight="1">
      <c r="L2245" s="31"/>
      <c r="M2245" s="31"/>
      <c r="N2245" s="31"/>
      <c r="X2245" s="35"/>
      <c r="Y2245" s="102"/>
    </row>
    <row r="2246" spans="12:25" ht="25" customHeight="1">
      <c r="L2246" s="31"/>
      <c r="M2246" s="31"/>
      <c r="N2246" s="31"/>
      <c r="X2246" s="35"/>
      <c r="Y2246" s="102"/>
    </row>
    <row r="2247" spans="12:25" ht="25" customHeight="1">
      <c r="L2247" s="31"/>
      <c r="M2247" s="31"/>
      <c r="N2247" s="31"/>
      <c r="X2247" s="35"/>
      <c r="Y2247" s="102"/>
    </row>
    <row r="2248" spans="12:25" ht="25" customHeight="1">
      <c r="L2248" s="31"/>
      <c r="M2248" s="31"/>
      <c r="N2248" s="31"/>
      <c r="X2248" s="35"/>
      <c r="Y2248" s="102"/>
    </row>
    <row r="2249" spans="12:25" ht="25" customHeight="1">
      <c r="L2249" s="31"/>
      <c r="M2249" s="31"/>
      <c r="N2249" s="31"/>
      <c r="X2249" s="35"/>
      <c r="Y2249" s="102"/>
    </row>
    <row r="2250" spans="12:25" ht="25" customHeight="1">
      <c r="L2250" s="31"/>
      <c r="M2250" s="31"/>
      <c r="N2250" s="31"/>
      <c r="X2250" s="35"/>
      <c r="Y2250" s="102"/>
    </row>
    <row r="2251" spans="12:25" ht="25" customHeight="1">
      <c r="L2251" s="31"/>
      <c r="M2251" s="31"/>
      <c r="N2251" s="31"/>
      <c r="X2251" s="35"/>
      <c r="Y2251" s="102"/>
    </row>
    <row r="2252" spans="12:25" ht="25" customHeight="1">
      <c r="L2252" s="31"/>
      <c r="M2252" s="31"/>
      <c r="N2252" s="31"/>
      <c r="X2252" s="35"/>
      <c r="Y2252" s="102"/>
    </row>
    <row r="2253" spans="12:25" ht="25" customHeight="1">
      <c r="L2253" s="31"/>
      <c r="M2253" s="31"/>
      <c r="N2253" s="31"/>
      <c r="X2253" s="35"/>
      <c r="Y2253" s="102"/>
    </row>
    <row r="2254" spans="12:25" ht="25" customHeight="1">
      <c r="L2254" s="31"/>
      <c r="M2254" s="31"/>
      <c r="N2254" s="31"/>
      <c r="X2254" s="35"/>
      <c r="Y2254" s="102"/>
    </row>
    <row r="2255" spans="12:25" ht="25" customHeight="1">
      <c r="L2255" s="31"/>
      <c r="M2255" s="31"/>
      <c r="N2255" s="31"/>
      <c r="X2255" s="35"/>
      <c r="Y2255" s="102"/>
    </row>
    <row r="2256" spans="12:25" ht="25" customHeight="1">
      <c r="L2256" s="31"/>
      <c r="M2256" s="31"/>
      <c r="N2256" s="31"/>
      <c r="X2256" s="35"/>
      <c r="Y2256" s="102"/>
    </row>
    <row r="2257" spans="12:25" ht="25" customHeight="1">
      <c r="L2257" s="31"/>
      <c r="M2257" s="31"/>
      <c r="N2257" s="31"/>
      <c r="X2257" s="35"/>
      <c r="Y2257" s="102"/>
    </row>
    <row r="2258" spans="12:25" ht="25" customHeight="1">
      <c r="L2258" s="31"/>
      <c r="M2258" s="31"/>
      <c r="N2258" s="31"/>
      <c r="X2258" s="35"/>
      <c r="Y2258" s="102"/>
    </row>
    <row r="2259" spans="12:25" ht="25" customHeight="1">
      <c r="L2259" s="31"/>
      <c r="M2259" s="31"/>
      <c r="N2259" s="31"/>
      <c r="X2259" s="35"/>
      <c r="Y2259" s="102"/>
    </row>
    <row r="2260" spans="12:25" ht="25" customHeight="1">
      <c r="L2260" s="31"/>
      <c r="M2260" s="31"/>
      <c r="N2260" s="31"/>
      <c r="X2260" s="35"/>
      <c r="Y2260" s="102"/>
    </row>
    <row r="2261" spans="12:25" ht="25" customHeight="1">
      <c r="L2261" s="31"/>
      <c r="M2261" s="31"/>
      <c r="N2261" s="31"/>
      <c r="X2261" s="35"/>
      <c r="Y2261" s="102"/>
    </row>
    <row r="2262" spans="12:25" ht="25" customHeight="1">
      <c r="L2262" s="31"/>
      <c r="M2262" s="31"/>
      <c r="N2262" s="31"/>
      <c r="X2262" s="35"/>
      <c r="Y2262" s="102"/>
    </row>
    <row r="2263" spans="12:25" ht="25" customHeight="1">
      <c r="L2263" s="31"/>
      <c r="M2263" s="31"/>
      <c r="N2263" s="31"/>
      <c r="X2263" s="35"/>
      <c r="Y2263" s="102"/>
    </row>
    <row r="2264" spans="12:25" ht="25" customHeight="1">
      <c r="L2264" s="31"/>
      <c r="M2264" s="31"/>
      <c r="N2264" s="31"/>
      <c r="X2264" s="35"/>
      <c r="Y2264" s="102"/>
    </row>
    <row r="2265" spans="12:25" ht="25" customHeight="1">
      <c r="L2265" s="31"/>
      <c r="M2265" s="31"/>
      <c r="N2265" s="31"/>
      <c r="X2265" s="35"/>
      <c r="Y2265" s="102"/>
    </row>
    <row r="2266" spans="12:25" ht="25" customHeight="1">
      <c r="L2266" s="31"/>
      <c r="M2266" s="31"/>
      <c r="N2266" s="31"/>
      <c r="X2266" s="35"/>
      <c r="Y2266" s="102"/>
    </row>
    <row r="2267" spans="12:25" ht="25" customHeight="1">
      <c r="L2267" s="31"/>
      <c r="M2267" s="31"/>
      <c r="N2267" s="31"/>
      <c r="X2267" s="35"/>
      <c r="Y2267" s="102"/>
    </row>
    <row r="2268" spans="12:25" ht="25" customHeight="1">
      <c r="L2268" s="31"/>
      <c r="M2268" s="31"/>
      <c r="N2268" s="31"/>
      <c r="X2268" s="35"/>
      <c r="Y2268" s="102"/>
    </row>
    <row r="2269" spans="12:25" ht="25" customHeight="1">
      <c r="L2269" s="31"/>
      <c r="M2269" s="31"/>
      <c r="N2269" s="31"/>
      <c r="X2269" s="35"/>
      <c r="Y2269" s="102"/>
    </row>
    <row r="2270" spans="12:25" ht="25" customHeight="1">
      <c r="L2270" s="31"/>
      <c r="M2270" s="31"/>
      <c r="N2270" s="31"/>
      <c r="X2270" s="35"/>
      <c r="Y2270" s="102"/>
    </row>
    <row r="2271" spans="12:25" ht="25" customHeight="1">
      <c r="L2271" s="31"/>
      <c r="M2271" s="31"/>
      <c r="N2271" s="31"/>
      <c r="X2271" s="35"/>
      <c r="Y2271" s="102"/>
    </row>
    <row r="2272" spans="12:25" ht="25" customHeight="1">
      <c r="L2272" s="31"/>
      <c r="M2272" s="31"/>
      <c r="N2272" s="31"/>
      <c r="X2272" s="35"/>
      <c r="Y2272" s="102"/>
    </row>
    <row r="2273" spans="12:25" ht="25" customHeight="1">
      <c r="L2273" s="31"/>
      <c r="M2273" s="31"/>
      <c r="N2273" s="31"/>
      <c r="X2273" s="35"/>
      <c r="Y2273" s="102"/>
    </row>
    <row r="2274" spans="12:25" ht="25" customHeight="1">
      <c r="L2274" s="31"/>
      <c r="M2274" s="31"/>
      <c r="N2274" s="31"/>
      <c r="X2274" s="35"/>
      <c r="Y2274" s="102"/>
    </row>
    <row r="2275" spans="12:25" ht="25" customHeight="1">
      <c r="L2275" s="31"/>
      <c r="M2275" s="31"/>
      <c r="N2275" s="31"/>
      <c r="X2275" s="35"/>
      <c r="Y2275" s="102"/>
    </row>
    <row r="2276" spans="12:25" ht="25" customHeight="1">
      <c r="L2276" s="31"/>
      <c r="M2276" s="31"/>
      <c r="N2276" s="31"/>
      <c r="X2276" s="35"/>
      <c r="Y2276" s="102"/>
    </row>
    <row r="2277" spans="12:25" ht="25" customHeight="1">
      <c r="L2277" s="31"/>
      <c r="M2277" s="31"/>
      <c r="N2277" s="31"/>
      <c r="X2277" s="35"/>
      <c r="Y2277" s="102"/>
    </row>
    <row r="2278" spans="12:25" ht="25" customHeight="1">
      <c r="L2278" s="31"/>
      <c r="M2278" s="31"/>
      <c r="N2278" s="31"/>
      <c r="X2278" s="35"/>
      <c r="Y2278" s="102"/>
    </row>
    <row r="2279" spans="12:25" ht="25" customHeight="1">
      <c r="L2279" s="31"/>
      <c r="M2279" s="31"/>
      <c r="N2279" s="31"/>
      <c r="X2279" s="35"/>
      <c r="Y2279" s="102"/>
    </row>
    <row r="2280" spans="12:25" ht="25" customHeight="1">
      <c r="L2280" s="31"/>
      <c r="M2280" s="31"/>
      <c r="N2280" s="31"/>
      <c r="X2280" s="35"/>
      <c r="Y2280" s="102"/>
    </row>
    <row r="2281" spans="12:25" ht="25" customHeight="1">
      <c r="L2281" s="31"/>
      <c r="M2281" s="31"/>
      <c r="N2281" s="31"/>
      <c r="X2281" s="35"/>
      <c r="Y2281" s="102"/>
    </row>
    <row r="2282" spans="12:25" ht="25" customHeight="1">
      <c r="L2282" s="31"/>
      <c r="M2282" s="31"/>
      <c r="N2282" s="31"/>
      <c r="X2282" s="35"/>
      <c r="Y2282" s="102"/>
    </row>
    <row r="2283" spans="12:25" ht="25" customHeight="1">
      <c r="L2283" s="31"/>
      <c r="M2283" s="31"/>
      <c r="N2283" s="31"/>
      <c r="X2283" s="35"/>
      <c r="Y2283" s="102"/>
    </row>
    <row r="2284" spans="12:25" ht="25" customHeight="1">
      <c r="L2284" s="31"/>
      <c r="M2284" s="31"/>
      <c r="N2284" s="31"/>
      <c r="X2284" s="35"/>
      <c r="Y2284" s="102"/>
    </row>
    <row r="2285" spans="12:25" ht="25" customHeight="1">
      <c r="L2285" s="31"/>
      <c r="M2285" s="31"/>
      <c r="N2285" s="31"/>
      <c r="X2285" s="35"/>
      <c r="Y2285" s="102"/>
    </row>
    <row r="2286" spans="12:25" ht="25" customHeight="1">
      <c r="L2286" s="31"/>
      <c r="M2286" s="31"/>
      <c r="N2286" s="31"/>
      <c r="X2286" s="35"/>
      <c r="Y2286" s="102"/>
    </row>
    <row r="2287" spans="12:25" ht="25" customHeight="1">
      <c r="L2287" s="31"/>
      <c r="M2287" s="31"/>
      <c r="N2287" s="31"/>
      <c r="X2287" s="35"/>
      <c r="Y2287" s="102"/>
    </row>
    <row r="2288" spans="12:25" ht="25" customHeight="1">
      <c r="L2288" s="31"/>
      <c r="M2288" s="31"/>
      <c r="N2288" s="31"/>
      <c r="X2288" s="35"/>
      <c r="Y2288" s="102"/>
    </row>
    <row r="2289" spans="12:25" ht="25" customHeight="1">
      <c r="L2289" s="31"/>
      <c r="M2289" s="31"/>
      <c r="N2289" s="31"/>
      <c r="X2289" s="35"/>
      <c r="Y2289" s="102"/>
    </row>
    <row r="2290" spans="12:25" ht="25" customHeight="1">
      <c r="L2290" s="31"/>
      <c r="M2290" s="31"/>
      <c r="N2290" s="31"/>
      <c r="X2290" s="35"/>
      <c r="Y2290" s="102"/>
    </row>
    <row r="2291" spans="12:25" ht="25" customHeight="1">
      <c r="L2291" s="31"/>
      <c r="M2291" s="31"/>
      <c r="N2291" s="31"/>
      <c r="X2291" s="35"/>
      <c r="Y2291" s="102"/>
    </row>
    <row r="2292" spans="12:25" ht="25" customHeight="1">
      <c r="L2292" s="31"/>
      <c r="M2292" s="31"/>
      <c r="N2292" s="31"/>
      <c r="X2292" s="35"/>
      <c r="Y2292" s="102"/>
    </row>
    <row r="2293" spans="12:25" ht="25" customHeight="1">
      <c r="L2293" s="31"/>
      <c r="M2293" s="31"/>
      <c r="N2293" s="31"/>
      <c r="X2293" s="35"/>
      <c r="Y2293" s="102"/>
    </row>
    <row r="2294" spans="12:25" ht="25" customHeight="1">
      <c r="L2294" s="31"/>
      <c r="M2294" s="31"/>
      <c r="N2294" s="31"/>
      <c r="X2294" s="35"/>
      <c r="Y2294" s="102"/>
    </row>
    <row r="2295" spans="12:25" ht="25" customHeight="1">
      <c r="L2295" s="31"/>
      <c r="M2295" s="31"/>
      <c r="N2295" s="31"/>
      <c r="X2295" s="35"/>
      <c r="Y2295" s="102"/>
    </row>
    <row r="2296" spans="12:25" ht="25" customHeight="1">
      <c r="L2296" s="31"/>
      <c r="M2296" s="31"/>
      <c r="N2296" s="31"/>
      <c r="X2296" s="35"/>
      <c r="Y2296" s="102"/>
    </row>
    <row r="2297" spans="12:25" ht="25" customHeight="1">
      <c r="L2297" s="31"/>
      <c r="M2297" s="31"/>
      <c r="N2297" s="31"/>
      <c r="X2297" s="35"/>
      <c r="Y2297" s="102"/>
    </row>
    <row r="2298" spans="12:25" ht="25" customHeight="1">
      <c r="L2298" s="31"/>
      <c r="M2298" s="31"/>
      <c r="N2298" s="31"/>
      <c r="X2298" s="35"/>
      <c r="Y2298" s="102"/>
    </row>
    <row r="2299" spans="12:25" ht="25" customHeight="1">
      <c r="L2299" s="31"/>
      <c r="M2299" s="31"/>
      <c r="N2299" s="31"/>
      <c r="X2299" s="35"/>
      <c r="Y2299" s="102"/>
    </row>
    <row r="2300" spans="12:25" ht="25" customHeight="1">
      <c r="L2300" s="31"/>
      <c r="M2300" s="31"/>
      <c r="N2300" s="31"/>
      <c r="X2300" s="35"/>
      <c r="Y2300" s="102"/>
    </row>
    <row r="2301" spans="12:25" ht="25" customHeight="1">
      <c r="L2301" s="31"/>
      <c r="M2301" s="31"/>
      <c r="N2301" s="31"/>
      <c r="X2301" s="35"/>
      <c r="Y2301" s="102"/>
    </row>
    <row r="2302" spans="12:25" ht="25" customHeight="1">
      <c r="L2302" s="31"/>
      <c r="M2302" s="31"/>
      <c r="N2302" s="31"/>
      <c r="X2302" s="35"/>
      <c r="Y2302" s="102"/>
    </row>
    <row r="2303" spans="12:25" ht="25" customHeight="1">
      <c r="L2303" s="31"/>
      <c r="M2303" s="31"/>
      <c r="N2303" s="31"/>
      <c r="X2303" s="35"/>
      <c r="Y2303" s="102"/>
    </row>
    <row r="2304" spans="12:25" ht="25" customHeight="1">
      <c r="L2304" s="31"/>
      <c r="M2304" s="31"/>
      <c r="N2304" s="31"/>
      <c r="X2304" s="35"/>
      <c r="Y2304" s="102"/>
    </row>
    <row r="2305" spans="12:25" ht="25" customHeight="1">
      <c r="L2305" s="31"/>
      <c r="M2305" s="31"/>
      <c r="N2305" s="31"/>
      <c r="X2305" s="35"/>
      <c r="Y2305" s="102"/>
    </row>
    <row r="2306" spans="12:25" ht="25" customHeight="1">
      <c r="L2306" s="31"/>
      <c r="M2306" s="31"/>
      <c r="N2306" s="31"/>
      <c r="X2306" s="35"/>
      <c r="Y2306" s="102"/>
    </row>
    <row r="2307" spans="12:25" ht="25" customHeight="1">
      <c r="L2307" s="31"/>
      <c r="M2307" s="31"/>
      <c r="N2307" s="31"/>
      <c r="X2307" s="35"/>
      <c r="Y2307" s="102"/>
    </row>
    <row r="2308" spans="12:25" ht="25" customHeight="1">
      <c r="L2308" s="31"/>
      <c r="M2308" s="31"/>
      <c r="N2308" s="31"/>
      <c r="X2308" s="35"/>
      <c r="Y2308" s="102"/>
    </row>
    <row r="2309" spans="12:25" ht="25" customHeight="1">
      <c r="L2309" s="31"/>
      <c r="M2309" s="31"/>
      <c r="N2309" s="31"/>
      <c r="X2309" s="35"/>
      <c r="Y2309" s="102"/>
    </row>
    <row r="2310" spans="12:25" ht="25" customHeight="1">
      <c r="L2310" s="31"/>
      <c r="M2310" s="31"/>
      <c r="N2310" s="31"/>
      <c r="X2310" s="35"/>
      <c r="Y2310" s="102"/>
    </row>
    <row r="2311" spans="12:25" ht="25" customHeight="1">
      <c r="L2311" s="31"/>
      <c r="M2311" s="31"/>
      <c r="N2311" s="31"/>
      <c r="X2311" s="35"/>
      <c r="Y2311" s="102"/>
    </row>
    <row r="2312" spans="12:25" ht="25" customHeight="1">
      <c r="L2312" s="31"/>
      <c r="M2312" s="31"/>
      <c r="N2312" s="31"/>
      <c r="X2312" s="35"/>
      <c r="Y2312" s="102"/>
    </row>
    <row r="2313" spans="12:25" ht="25" customHeight="1">
      <c r="L2313" s="31"/>
      <c r="M2313" s="31"/>
      <c r="N2313" s="31"/>
      <c r="X2313" s="35"/>
      <c r="Y2313" s="102"/>
    </row>
    <row r="2314" spans="12:25" ht="25" customHeight="1">
      <c r="L2314" s="31"/>
      <c r="M2314" s="31"/>
      <c r="N2314" s="31"/>
      <c r="X2314" s="35"/>
      <c r="Y2314" s="102"/>
    </row>
    <row r="2315" spans="12:25" ht="25" customHeight="1">
      <c r="L2315" s="31"/>
      <c r="M2315" s="31"/>
      <c r="N2315" s="31"/>
      <c r="X2315" s="35"/>
      <c r="Y2315" s="102"/>
    </row>
    <row r="2316" spans="12:25" ht="25" customHeight="1">
      <c r="L2316" s="31"/>
      <c r="M2316" s="31"/>
      <c r="N2316" s="31"/>
      <c r="X2316" s="35"/>
      <c r="Y2316" s="102"/>
    </row>
    <row r="2317" spans="12:25" ht="25" customHeight="1">
      <c r="L2317" s="31"/>
      <c r="M2317" s="31"/>
      <c r="N2317" s="31"/>
      <c r="X2317" s="35"/>
      <c r="Y2317" s="102"/>
    </row>
    <row r="2318" spans="12:25" ht="25" customHeight="1">
      <c r="L2318" s="31"/>
      <c r="M2318" s="31"/>
      <c r="N2318" s="31"/>
      <c r="X2318" s="35"/>
      <c r="Y2318" s="102"/>
    </row>
    <row r="2319" spans="12:25" ht="25" customHeight="1">
      <c r="L2319" s="31"/>
      <c r="M2319" s="31"/>
      <c r="N2319" s="31"/>
      <c r="X2319" s="35"/>
      <c r="Y2319" s="102"/>
    </row>
    <row r="2320" spans="12:25" ht="25" customHeight="1">
      <c r="L2320" s="31"/>
      <c r="M2320" s="31"/>
      <c r="N2320" s="31"/>
      <c r="X2320" s="35"/>
      <c r="Y2320" s="102"/>
    </row>
    <row r="2321" spans="12:25" ht="25" customHeight="1">
      <c r="L2321" s="31"/>
      <c r="M2321" s="31"/>
      <c r="N2321" s="31"/>
      <c r="X2321" s="35"/>
      <c r="Y2321" s="102"/>
    </row>
    <row r="2322" spans="12:25" ht="25" customHeight="1">
      <c r="L2322" s="31"/>
      <c r="M2322" s="31"/>
      <c r="N2322" s="31"/>
      <c r="X2322" s="35"/>
      <c r="Y2322" s="102"/>
    </row>
    <row r="2323" spans="12:25" ht="25" customHeight="1">
      <c r="L2323" s="31"/>
      <c r="M2323" s="31"/>
      <c r="N2323" s="31"/>
      <c r="X2323" s="35"/>
      <c r="Y2323" s="102"/>
    </row>
    <row r="2324" spans="12:25" ht="25" customHeight="1">
      <c r="L2324" s="31"/>
      <c r="M2324" s="31"/>
      <c r="N2324" s="31"/>
      <c r="X2324" s="35"/>
      <c r="Y2324" s="102"/>
    </row>
    <row r="2325" spans="12:25" ht="25" customHeight="1">
      <c r="L2325" s="31"/>
      <c r="M2325" s="31"/>
      <c r="N2325" s="31"/>
      <c r="X2325" s="35"/>
      <c r="Y2325" s="102"/>
    </row>
    <row r="2326" spans="12:25" ht="25" customHeight="1">
      <c r="L2326" s="31"/>
      <c r="M2326" s="31"/>
      <c r="N2326" s="31"/>
      <c r="X2326" s="35"/>
      <c r="Y2326" s="102"/>
    </row>
    <row r="2327" spans="12:25" ht="25" customHeight="1">
      <c r="L2327" s="31"/>
      <c r="M2327" s="31"/>
      <c r="N2327" s="31"/>
      <c r="X2327" s="35"/>
      <c r="Y2327" s="102"/>
    </row>
    <row r="2328" spans="12:25" ht="25" customHeight="1">
      <c r="L2328" s="31"/>
      <c r="M2328" s="31"/>
      <c r="N2328" s="31"/>
      <c r="X2328" s="35"/>
      <c r="Y2328" s="102"/>
    </row>
    <row r="2329" spans="12:25" ht="25" customHeight="1">
      <c r="L2329" s="31"/>
      <c r="M2329" s="31"/>
      <c r="N2329" s="31"/>
      <c r="X2329" s="35"/>
      <c r="Y2329" s="102"/>
    </row>
    <row r="2330" spans="12:25" ht="25" customHeight="1">
      <c r="L2330" s="31"/>
      <c r="M2330" s="31"/>
      <c r="N2330" s="31"/>
      <c r="X2330" s="35"/>
      <c r="Y2330" s="102"/>
    </row>
    <row r="2331" spans="12:25" ht="25" customHeight="1">
      <c r="L2331" s="31"/>
      <c r="M2331" s="31"/>
      <c r="N2331" s="31"/>
      <c r="X2331" s="35"/>
      <c r="Y2331" s="102"/>
    </row>
    <row r="2332" spans="12:25" ht="25" customHeight="1">
      <c r="L2332" s="31"/>
      <c r="M2332" s="31"/>
      <c r="N2332" s="31"/>
      <c r="X2332" s="35"/>
      <c r="Y2332" s="102"/>
    </row>
    <row r="2333" spans="12:25" ht="25" customHeight="1">
      <c r="L2333" s="31"/>
      <c r="M2333" s="31"/>
      <c r="N2333" s="31"/>
      <c r="X2333" s="35"/>
      <c r="Y2333" s="102"/>
    </row>
    <row r="2334" spans="12:25" ht="25" customHeight="1">
      <c r="L2334" s="31"/>
      <c r="M2334" s="31"/>
      <c r="N2334" s="31"/>
      <c r="X2334" s="35"/>
      <c r="Y2334" s="102"/>
    </row>
    <row r="2335" spans="12:25" ht="25" customHeight="1">
      <c r="L2335" s="31"/>
      <c r="M2335" s="31"/>
      <c r="N2335" s="31"/>
      <c r="X2335" s="35"/>
      <c r="Y2335" s="102"/>
    </row>
    <row r="2336" spans="12:25" ht="25" customHeight="1">
      <c r="L2336" s="31"/>
      <c r="M2336" s="31"/>
      <c r="N2336" s="31"/>
      <c r="X2336" s="35"/>
      <c r="Y2336" s="102"/>
    </row>
    <row r="2337" spans="12:25" ht="25" customHeight="1">
      <c r="L2337" s="31"/>
      <c r="M2337" s="31"/>
      <c r="N2337" s="31"/>
      <c r="X2337" s="35"/>
      <c r="Y2337" s="102"/>
    </row>
    <row r="2338" spans="12:25" ht="25" customHeight="1">
      <c r="L2338" s="31"/>
      <c r="M2338" s="31"/>
      <c r="N2338" s="31"/>
      <c r="X2338" s="35"/>
      <c r="Y2338" s="102"/>
    </row>
    <row r="2339" spans="12:25" ht="25" customHeight="1">
      <c r="L2339" s="31"/>
      <c r="M2339" s="31"/>
      <c r="N2339" s="31"/>
      <c r="X2339" s="35"/>
      <c r="Y2339" s="102"/>
    </row>
    <row r="2340" spans="12:25" ht="25" customHeight="1">
      <c r="L2340" s="31"/>
      <c r="M2340" s="31"/>
      <c r="N2340" s="31"/>
      <c r="X2340" s="35"/>
      <c r="Y2340" s="102"/>
    </row>
    <row r="2341" spans="12:25" ht="25" customHeight="1">
      <c r="L2341" s="31"/>
      <c r="M2341" s="31"/>
      <c r="N2341" s="31"/>
      <c r="X2341" s="35"/>
      <c r="Y2341" s="102"/>
    </row>
    <row r="2342" spans="12:25" ht="25" customHeight="1">
      <c r="L2342" s="31"/>
      <c r="M2342" s="31"/>
      <c r="N2342" s="31"/>
      <c r="X2342" s="35"/>
      <c r="Y2342" s="102"/>
    </row>
    <row r="2343" spans="12:25" ht="25" customHeight="1">
      <c r="L2343" s="31"/>
      <c r="M2343" s="31"/>
      <c r="N2343" s="31"/>
      <c r="X2343" s="35"/>
      <c r="Y2343" s="102"/>
    </row>
    <row r="2344" spans="12:25" ht="25" customHeight="1">
      <c r="L2344" s="31"/>
      <c r="M2344" s="31"/>
      <c r="N2344" s="31"/>
      <c r="X2344" s="35"/>
      <c r="Y2344" s="102"/>
    </row>
    <row r="2345" spans="12:25" ht="25" customHeight="1">
      <c r="L2345" s="31"/>
      <c r="M2345" s="31"/>
      <c r="N2345" s="31"/>
      <c r="X2345" s="35"/>
      <c r="Y2345" s="102"/>
    </row>
    <row r="2346" spans="12:25" ht="25" customHeight="1">
      <c r="L2346" s="31"/>
      <c r="M2346" s="31"/>
      <c r="N2346" s="31"/>
      <c r="X2346" s="35"/>
      <c r="Y2346" s="102"/>
    </row>
    <row r="2347" spans="12:25" ht="25" customHeight="1">
      <c r="L2347" s="31"/>
      <c r="M2347" s="31"/>
      <c r="N2347" s="31"/>
      <c r="X2347" s="35"/>
      <c r="Y2347" s="102"/>
    </row>
    <row r="2348" spans="12:25" ht="25" customHeight="1">
      <c r="L2348" s="31"/>
      <c r="M2348" s="31"/>
      <c r="N2348" s="31"/>
      <c r="X2348" s="35"/>
      <c r="Y2348" s="102"/>
    </row>
    <row r="2349" spans="12:25" ht="25" customHeight="1">
      <c r="L2349" s="31"/>
      <c r="M2349" s="31"/>
      <c r="N2349" s="31"/>
      <c r="X2349" s="35"/>
      <c r="Y2349" s="102"/>
    </row>
    <row r="2350" spans="12:25" ht="25" customHeight="1">
      <c r="L2350" s="31"/>
      <c r="M2350" s="31"/>
      <c r="N2350" s="31"/>
      <c r="X2350" s="35"/>
      <c r="Y2350" s="102"/>
    </row>
    <row r="2351" spans="12:25" ht="25" customHeight="1">
      <c r="L2351" s="31"/>
      <c r="M2351" s="31"/>
      <c r="N2351" s="31"/>
      <c r="X2351" s="35"/>
      <c r="Y2351" s="102"/>
    </row>
    <row r="2352" spans="12:25" ht="25" customHeight="1">
      <c r="L2352" s="31"/>
      <c r="M2352" s="31"/>
      <c r="N2352" s="31"/>
      <c r="X2352" s="35"/>
      <c r="Y2352" s="102"/>
    </row>
    <row r="2353" spans="12:25" ht="25" customHeight="1">
      <c r="L2353" s="31"/>
      <c r="M2353" s="31"/>
      <c r="N2353" s="31"/>
      <c r="X2353" s="35"/>
      <c r="Y2353" s="102"/>
    </row>
    <row r="2354" spans="12:25" ht="25" customHeight="1">
      <c r="L2354" s="31"/>
      <c r="M2354" s="31"/>
      <c r="N2354" s="31"/>
      <c r="X2354" s="35"/>
      <c r="Y2354" s="102"/>
    </row>
    <row r="2355" spans="12:25" ht="25" customHeight="1">
      <c r="L2355" s="31"/>
      <c r="M2355" s="31"/>
      <c r="N2355" s="31"/>
      <c r="X2355" s="35"/>
      <c r="Y2355" s="102"/>
    </row>
    <row r="2356" spans="12:25" ht="25" customHeight="1">
      <c r="L2356" s="31"/>
      <c r="M2356" s="31"/>
      <c r="N2356" s="31"/>
      <c r="X2356" s="35"/>
      <c r="Y2356" s="102"/>
    </row>
    <row r="2357" spans="12:25" ht="25" customHeight="1">
      <c r="L2357" s="31"/>
      <c r="M2357" s="31"/>
      <c r="N2357" s="31"/>
      <c r="X2357" s="35"/>
      <c r="Y2357" s="102"/>
    </row>
    <row r="2358" spans="12:25" ht="25" customHeight="1">
      <c r="L2358" s="31"/>
      <c r="M2358" s="31"/>
      <c r="N2358" s="31"/>
      <c r="X2358" s="35"/>
      <c r="Y2358" s="102"/>
    </row>
    <row r="2359" spans="12:25" ht="25" customHeight="1">
      <c r="L2359" s="31"/>
      <c r="M2359" s="31"/>
      <c r="N2359" s="31"/>
      <c r="X2359" s="35"/>
      <c r="Y2359" s="102"/>
    </row>
    <row r="2360" spans="12:25" ht="25" customHeight="1">
      <c r="L2360" s="31"/>
      <c r="M2360" s="31"/>
      <c r="N2360" s="31"/>
      <c r="X2360" s="35"/>
      <c r="Y2360" s="102"/>
    </row>
    <row r="2361" spans="12:25" ht="25" customHeight="1">
      <c r="L2361" s="31"/>
      <c r="M2361" s="31"/>
      <c r="N2361" s="31"/>
      <c r="X2361" s="35"/>
      <c r="Y2361" s="102"/>
    </row>
    <row r="2362" spans="12:25" ht="25" customHeight="1">
      <c r="L2362" s="31"/>
      <c r="M2362" s="31"/>
      <c r="N2362" s="31"/>
      <c r="X2362" s="35"/>
      <c r="Y2362" s="102"/>
    </row>
    <row r="2363" spans="12:25" ht="25" customHeight="1">
      <c r="L2363" s="31"/>
      <c r="M2363" s="31"/>
      <c r="N2363" s="31"/>
      <c r="X2363" s="35"/>
      <c r="Y2363" s="102"/>
    </row>
    <row r="2364" spans="12:25" ht="25" customHeight="1">
      <c r="L2364" s="31"/>
      <c r="M2364" s="31"/>
      <c r="N2364" s="31"/>
      <c r="X2364" s="35"/>
      <c r="Y2364" s="102"/>
    </row>
    <row r="2365" spans="12:25" ht="25" customHeight="1">
      <c r="L2365" s="31"/>
      <c r="M2365" s="31"/>
      <c r="N2365" s="31"/>
      <c r="X2365" s="35"/>
      <c r="Y2365" s="102"/>
    </row>
    <row r="2366" spans="12:25" ht="25" customHeight="1">
      <c r="L2366" s="31"/>
      <c r="M2366" s="31"/>
      <c r="N2366" s="31"/>
      <c r="X2366" s="35"/>
      <c r="Y2366" s="102"/>
    </row>
    <row r="2367" spans="12:25" ht="25" customHeight="1">
      <c r="L2367" s="31"/>
      <c r="M2367" s="31"/>
      <c r="N2367" s="31"/>
      <c r="X2367" s="35"/>
      <c r="Y2367" s="102"/>
    </row>
    <row r="2368" spans="12:25" ht="25" customHeight="1">
      <c r="L2368" s="31"/>
      <c r="M2368" s="31"/>
      <c r="N2368" s="31"/>
      <c r="X2368" s="35"/>
      <c r="Y2368" s="102"/>
    </row>
    <row r="2369" spans="12:25" ht="25" customHeight="1">
      <c r="L2369" s="31"/>
      <c r="M2369" s="31"/>
      <c r="N2369" s="31"/>
      <c r="X2369" s="35"/>
      <c r="Y2369" s="102"/>
    </row>
    <row r="2370" spans="12:25" ht="25" customHeight="1">
      <c r="L2370" s="31"/>
      <c r="M2370" s="31"/>
      <c r="N2370" s="31"/>
      <c r="X2370" s="35"/>
      <c r="Y2370" s="102"/>
    </row>
    <row r="2371" spans="12:25" ht="25" customHeight="1">
      <c r="L2371" s="31"/>
      <c r="M2371" s="31"/>
      <c r="N2371" s="31"/>
      <c r="X2371" s="35"/>
      <c r="Y2371" s="102"/>
    </row>
    <row r="2372" spans="12:25" ht="25" customHeight="1">
      <c r="L2372" s="31"/>
      <c r="M2372" s="31"/>
      <c r="N2372" s="31"/>
      <c r="X2372" s="35"/>
      <c r="Y2372" s="102"/>
    </row>
    <row r="2373" spans="12:25" ht="25" customHeight="1">
      <c r="L2373" s="31"/>
      <c r="M2373" s="31"/>
      <c r="N2373" s="31"/>
      <c r="X2373" s="35"/>
      <c r="Y2373" s="102"/>
    </row>
    <row r="2374" spans="12:25" ht="25" customHeight="1">
      <c r="L2374" s="31"/>
      <c r="M2374" s="31"/>
      <c r="N2374" s="31"/>
      <c r="X2374" s="35"/>
      <c r="Y2374" s="102"/>
    </row>
    <row r="2375" spans="12:25" ht="25" customHeight="1">
      <c r="L2375" s="31"/>
      <c r="M2375" s="31"/>
      <c r="N2375" s="31"/>
      <c r="X2375" s="35"/>
      <c r="Y2375" s="102"/>
    </row>
    <row r="2376" spans="12:25" ht="25" customHeight="1">
      <c r="L2376" s="31"/>
      <c r="M2376" s="31"/>
      <c r="N2376" s="31"/>
      <c r="X2376" s="35"/>
      <c r="Y2376" s="102"/>
    </row>
    <row r="2377" spans="12:25" ht="25" customHeight="1">
      <c r="L2377" s="31"/>
      <c r="M2377" s="31"/>
      <c r="N2377" s="31"/>
      <c r="X2377" s="35"/>
      <c r="Y2377" s="102"/>
    </row>
    <row r="2378" spans="12:25" ht="25" customHeight="1">
      <c r="L2378" s="31"/>
      <c r="M2378" s="31"/>
      <c r="N2378" s="31"/>
      <c r="X2378" s="35"/>
      <c r="Y2378" s="102"/>
    </row>
    <row r="2379" spans="12:25" ht="25" customHeight="1">
      <c r="L2379" s="31"/>
      <c r="M2379" s="31"/>
      <c r="N2379" s="31"/>
      <c r="X2379" s="35"/>
      <c r="Y2379" s="102"/>
    </row>
    <row r="2380" spans="12:25" ht="25" customHeight="1">
      <c r="L2380" s="31"/>
      <c r="M2380" s="31"/>
      <c r="N2380" s="31"/>
      <c r="X2380" s="35"/>
      <c r="Y2380" s="102"/>
    </row>
    <row r="2381" spans="12:25" ht="25" customHeight="1">
      <c r="L2381" s="31"/>
      <c r="M2381" s="31"/>
      <c r="N2381" s="31"/>
      <c r="X2381" s="35"/>
      <c r="Y2381" s="102"/>
    </row>
    <row r="2382" spans="12:25" ht="25" customHeight="1">
      <c r="L2382" s="31"/>
      <c r="M2382" s="31"/>
      <c r="N2382" s="31"/>
      <c r="X2382" s="35"/>
      <c r="Y2382" s="102"/>
    </row>
    <row r="2383" spans="12:25" ht="25" customHeight="1">
      <c r="L2383" s="31"/>
      <c r="M2383" s="31"/>
      <c r="N2383" s="31"/>
      <c r="X2383" s="35"/>
      <c r="Y2383" s="102"/>
    </row>
    <row r="2384" spans="12:25" ht="25" customHeight="1">
      <c r="L2384" s="31"/>
      <c r="M2384" s="31"/>
      <c r="N2384" s="31"/>
      <c r="X2384" s="35"/>
      <c r="Y2384" s="102"/>
    </row>
    <row r="2385" spans="12:25" ht="25" customHeight="1">
      <c r="L2385" s="31"/>
      <c r="M2385" s="31"/>
      <c r="N2385" s="31"/>
      <c r="X2385" s="35"/>
      <c r="Y2385" s="102"/>
    </row>
    <row r="2386" spans="12:25" ht="25" customHeight="1">
      <c r="L2386" s="31"/>
      <c r="M2386" s="31"/>
      <c r="N2386" s="31"/>
      <c r="X2386" s="35"/>
      <c r="Y2386" s="102"/>
    </row>
    <row r="2387" spans="12:25" ht="25" customHeight="1">
      <c r="L2387" s="31"/>
      <c r="M2387" s="31"/>
      <c r="N2387" s="31"/>
      <c r="X2387" s="35"/>
      <c r="Y2387" s="102"/>
    </row>
    <row r="2388" spans="12:25" ht="25" customHeight="1">
      <c r="L2388" s="31"/>
      <c r="M2388" s="31"/>
      <c r="N2388" s="31"/>
      <c r="X2388" s="35"/>
      <c r="Y2388" s="102"/>
    </row>
    <row r="2389" spans="12:25" ht="25" customHeight="1">
      <c r="L2389" s="31"/>
      <c r="M2389" s="31"/>
      <c r="N2389" s="31"/>
      <c r="X2389" s="35"/>
      <c r="Y2389" s="102"/>
    </row>
    <row r="2390" spans="12:25" ht="25" customHeight="1">
      <c r="L2390" s="31"/>
      <c r="M2390" s="31"/>
      <c r="N2390" s="31"/>
      <c r="X2390" s="35"/>
      <c r="Y2390" s="102"/>
    </row>
    <row r="2391" spans="12:25" ht="25" customHeight="1">
      <c r="L2391" s="31"/>
      <c r="M2391" s="31"/>
      <c r="N2391" s="31"/>
      <c r="X2391" s="35"/>
      <c r="Y2391" s="102"/>
    </row>
    <row r="2392" spans="12:25" ht="25" customHeight="1">
      <c r="L2392" s="31"/>
      <c r="M2392" s="31"/>
      <c r="N2392" s="31"/>
      <c r="X2392" s="35"/>
      <c r="Y2392" s="102"/>
    </row>
    <row r="2393" spans="12:25" ht="25" customHeight="1">
      <c r="L2393" s="31"/>
      <c r="M2393" s="31"/>
      <c r="N2393" s="31"/>
      <c r="X2393" s="35"/>
      <c r="Y2393" s="102"/>
    </row>
    <row r="2394" spans="12:25" ht="25" customHeight="1">
      <c r="L2394" s="31"/>
      <c r="M2394" s="31"/>
      <c r="N2394" s="31"/>
      <c r="X2394" s="35"/>
      <c r="Y2394" s="102"/>
    </row>
    <row r="2395" spans="12:25" ht="25" customHeight="1">
      <c r="L2395" s="31"/>
      <c r="M2395" s="31"/>
      <c r="N2395" s="31"/>
      <c r="X2395" s="35"/>
      <c r="Y2395" s="102"/>
    </row>
    <row r="2396" spans="12:25" ht="25" customHeight="1">
      <c r="L2396" s="31"/>
      <c r="M2396" s="31"/>
      <c r="N2396" s="31"/>
      <c r="X2396" s="35"/>
      <c r="Y2396" s="102"/>
    </row>
    <row r="2397" spans="12:25" ht="25" customHeight="1">
      <c r="L2397" s="31"/>
      <c r="M2397" s="31"/>
      <c r="N2397" s="31"/>
      <c r="X2397" s="35"/>
      <c r="Y2397" s="102"/>
    </row>
    <row r="2398" spans="12:25" ht="25" customHeight="1">
      <c r="L2398" s="31"/>
      <c r="M2398" s="31"/>
      <c r="N2398" s="31"/>
      <c r="X2398" s="35"/>
      <c r="Y2398" s="102"/>
    </row>
    <row r="2399" spans="12:25" ht="25" customHeight="1">
      <c r="L2399" s="31"/>
      <c r="M2399" s="31"/>
      <c r="N2399" s="31"/>
      <c r="X2399" s="35"/>
      <c r="Y2399" s="102"/>
    </row>
    <row r="2400" spans="12:25" ht="25" customHeight="1">
      <c r="L2400" s="31"/>
      <c r="M2400" s="31"/>
      <c r="N2400" s="31"/>
      <c r="X2400" s="35"/>
      <c r="Y2400" s="102"/>
    </row>
    <row r="2401" spans="12:25" ht="25" customHeight="1">
      <c r="L2401" s="31"/>
      <c r="M2401" s="31"/>
      <c r="N2401" s="31"/>
      <c r="X2401" s="35"/>
      <c r="Y2401" s="102"/>
    </row>
    <row r="2402" spans="12:25" ht="25" customHeight="1">
      <c r="L2402" s="31"/>
      <c r="M2402" s="31"/>
      <c r="N2402" s="31"/>
      <c r="X2402" s="35"/>
      <c r="Y2402" s="102"/>
    </row>
    <row r="2403" spans="12:25" ht="25" customHeight="1">
      <c r="L2403" s="31"/>
      <c r="M2403" s="31"/>
      <c r="N2403" s="31"/>
      <c r="X2403" s="35"/>
      <c r="Y2403" s="102"/>
    </row>
    <row r="2404" spans="12:25" ht="25" customHeight="1">
      <c r="L2404" s="31"/>
      <c r="M2404" s="31"/>
      <c r="N2404" s="31"/>
      <c r="X2404" s="35"/>
      <c r="Y2404" s="102"/>
    </row>
    <row r="2405" spans="12:25" ht="25" customHeight="1">
      <c r="L2405" s="31"/>
      <c r="M2405" s="31"/>
      <c r="N2405" s="31"/>
      <c r="X2405" s="35"/>
      <c r="Y2405" s="102"/>
    </row>
    <row r="2406" spans="12:25" ht="25" customHeight="1">
      <c r="L2406" s="31"/>
      <c r="M2406" s="31"/>
      <c r="N2406" s="31"/>
      <c r="X2406" s="35"/>
      <c r="Y2406" s="102"/>
    </row>
    <row r="2407" spans="12:25" ht="25" customHeight="1">
      <c r="L2407" s="31"/>
      <c r="M2407" s="31"/>
      <c r="N2407" s="31"/>
      <c r="X2407" s="35"/>
      <c r="Y2407" s="102"/>
    </row>
    <row r="2408" spans="12:25" ht="25" customHeight="1">
      <c r="L2408" s="31"/>
      <c r="M2408" s="31"/>
      <c r="N2408" s="31"/>
      <c r="X2408" s="35"/>
      <c r="Y2408" s="102"/>
    </row>
    <row r="2409" spans="12:25" ht="25" customHeight="1">
      <c r="L2409" s="31"/>
      <c r="M2409" s="31"/>
      <c r="N2409" s="31"/>
      <c r="X2409" s="35"/>
      <c r="Y2409" s="102"/>
    </row>
    <row r="2410" spans="12:25" ht="25" customHeight="1">
      <c r="L2410" s="31"/>
      <c r="M2410" s="31"/>
      <c r="N2410" s="31"/>
      <c r="X2410" s="35"/>
      <c r="Y2410" s="102"/>
    </row>
    <row r="2411" spans="12:25" ht="25" customHeight="1">
      <c r="L2411" s="31"/>
      <c r="M2411" s="31"/>
      <c r="N2411" s="31"/>
      <c r="X2411" s="35"/>
      <c r="Y2411" s="102"/>
    </row>
    <row r="2412" spans="12:25" ht="25" customHeight="1">
      <c r="L2412" s="31"/>
      <c r="M2412" s="31"/>
      <c r="N2412" s="31"/>
      <c r="X2412" s="35"/>
      <c r="Y2412" s="102"/>
    </row>
    <row r="2413" spans="12:25" ht="25" customHeight="1">
      <c r="L2413" s="31"/>
      <c r="M2413" s="31"/>
      <c r="N2413" s="31"/>
      <c r="X2413" s="35"/>
      <c r="Y2413" s="102"/>
    </row>
    <row r="2414" spans="12:25" ht="25" customHeight="1">
      <c r="L2414" s="31"/>
      <c r="M2414" s="31"/>
      <c r="N2414" s="31"/>
      <c r="X2414" s="35"/>
      <c r="Y2414" s="102"/>
    </row>
    <row r="2415" spans="12:25" ht="25" customHeight="1">
      <c r="L2415" s="31"/>
      <c r="M2415" s="31"/>
      <c r="N2415" s="31"/>
      <c r="X2415" s="35"/>
      <c r="Y2415" s="102"/>
    </row>
    <row r="2416" spans="12:25" ht="25" customHeight="1">
      <c r="L2416" s="31"/>
      <c r="M2416" s="31"/>
      <c r="N2416" s="31"/>
      <c r="X2416" s="35"/>
      <c r="Y2416" s="102"/>
    </row>
    <row r="2417" spans="12:25" ht="25" customHeight="1">
      <c r="L2417" s="31"/>
      <c r="M2417" s="31"/>
      <c r="N2417" s="31"/>
      <c r="X2417" s="35"/>
      <c r="Y2417" s="102"/>
    </row>
    <row r="2418" spans="12:25" ht="25" customHeight="1">
      <c r="L2418" s="31"/>
      <c r="M2418" s="31"/>
      <c r="N2418" s="31"/>
      <c r="X2418" s="35"/>
      <c r="Y2418" s="102"/>
    </row>
    <row r="2419" spans="12:25" ht="25" customHeight="1">
      <c r="L2419" s="31"/>
      <c r="M2419" s="31"/>
      <c r="N2419" s="31"/>
      <c r="X2419" s="35"/>
      <c r="Y2419" s="102"/>
    </row>
    <row r="2420" spans="12:25" ht="25" customHeight="1">
      <c r="L2420" s="31"/>
      <c r="M2420" s="31"/>
      <c r="N2420" s="31"/>
      <c r="X2420" s="35"/>
      <c r="Y2420" s="102"/>
    </row>
    <row r="2421" spans="12:25" ht="25" customHeight="1">
      <c r="L2421" s="31"/>
      <c r="M2421" s="31"/>
      <c r="N2421" s="31"/>
      <c r="X2421" s="35"/>
      <c r="Y2421" s="102"/>
    </row>
    <row r="2422" spans="12:25" ht="25" customHeight="1">
      <c r="L2422" s="31"/>
      <c r="M2422" s="31"/>
      <c r="N2422" s="31"/>
      <c r="X2422" s="35"/>
      <c r="Y2422" s="102"/>
    </row>
    <row r="2423" spans="12:25" ht="25" customHeight="1">
      <c r="L2423" s="31"/>
      <c r="M2423" s="31"/>
      <c r="N2423" s="31"/>
      <c r="X2423" s="35"/>
      <c r="Y2423" s="102"/>
    </row>
    <row r="2424" spans="12:25" ht="25" customHeight="1">
      <c r="L2424" s="31"/>
      <c r="M2424" s="31"/>
      <c r="N2424" s="31"/>
      <c r="X2424" s="35"/>
      <c r="Y2424" s="102"/>
    </row>
    <row r="2425" spans="12:25" ht="25" customHeight="1">
      <c r="L2425" s="31"/>
      <c r="M2425" s="31"/>
      <c r="N2425" s="31"/>
      <c r="X2425" s="35"/>
      <c r="Y2425" s="102"/>
    </row>
    <row r="2426" spans="12:25" ht="25" customHeight="1">
      <c r="L2426" s="31"/>
      <c r="M2426" s="31"/>
      <c r="N2426" s="31"/>
      <c r="X2426" s="35"/>
      <c r="Y2426" s="102"/>
    </row>
    <row r="2427" spans="12:25" ht="25" customHeight="1">
      <c r="L2427" s="31"/>
      <c r="M2427" s="31"/>
      <c r="N2427" s="31"/>
      <c r="X2427" s="35"/>
      <c r="Y2427" s="102"/>
    </row>
    <row r="2428" spans="12:25" ht="25" customHeight="1">
      <c r="L2428" s="31"/>
      <c r="M2428" s="31"/>
      <c r="N2428" s="31"/>
      <c r="X2428" s="35"/>
      <c r="Y2428" s="102"/>
    </row>
    <row r="2429" spans="12:25" ht="25" customHeight="1">
      <c r="L2429" s="31"/>
      <c r="M2429" s="31"/>
      <c r="N2429" s="31"/>
      <c r="X2429" s="35"/>
      <c r="Y2429" s="102"/>
    </row>
    <row r="2430" spans="12:25" ht="25" customHeight="1">
      <c r="L2430" s="31"/>
      <c r="M2430" s="31"/>
      <c r="N2430" s="31"/>
      <c r="X2430" s="35"/>
      <c r="Y2430" s="102"/>
    </row>
    <row r="2431" spans="12:25" ht="25" customHeight="1">
      <c r="L2431" s="31"/>
      <c r="M2431" s="31"/>
      <c r="N2431" s="31"/>
      <c r="X2431" s="35"/>
      <c r="Y2431" s="102"/>
    </row>
    <row r="2432" spans="12:25" ht="25" customHeight="1">
      <c r="L2432" s="31"/>
      <c r="M2432" s="31"/>
      <c r="N2432" s="31"/>
      <c r="X2432" s="35"/>
      <c r="Y2432" s="102"/>
    </row>
    <row r="2433" spans="12:25" ht="25" customHeight="1">
      <c r="L2433" s="31"/>
      <c r="M2433" s="31"/>
      <c r="N2433" s="31"/>
      <c r="X2433" s="35"/>
      <c r="Y2433" s="102"/>
    </row>
    <row r="2434" spans="12:25" ht="25" customHeight="1">
      <c r="L2434" s="31"/>
      <c r="M2434" s="31"/>
      <c r="N2434" s="31"/>
      <c r="X2434" s="35"/>
      <c r="Y2434" s="102"/>
    </row>
    <row r="2435" spans="12:25" ht="25" customHeight="1">
      <c r="L2435" s="31"/>
      <c r="M2435" s="31"/>
      <c r="N2435" s="31"/>
      <c r="X2435" s="35"/>
      <c r="Y2435" s="102"/>
    </row>
    <row r="2436" spans="12:25" ht="25" customHeight="1">
      <c r="L2436" s="31"/>
      <c r="M2436" s="31"/>
      <c r="N2436" s="31"/>
      <c r="X2436" s="35"/>
      <c r="Y2436" s="102"/>
    </row>
    <row r="2437" spans="12:25" ht="25" customHeight="1">
      <c r="L2437" s="31"/>
      <c r="M2437" s="31"/>
      <c r="N2437" s="31"/>
      <c r="X2437" s="35"/>
      <c r="Y2437" s="102"/>
    </row>
    <row r="2438" spans="12:25" ht="25" customHeight="1">
      <c r="L2438" s="31"/>
      <c r="M2438" s="31"/>
      <c r="N2438" s="31"/>
      <c r="X2438" s="35"/>
      <c r="Y2438" s="102"/>
    </row>
    <row r="2439" spans="12:25" ht="25" customHeight="1">
      <c r="L2439" s="31"/>
      <c r="M2439" s="31"/>
      <c r="N2439" s="31"/>
      <c r="X2439" s="35"/>
      <c r="Y2439" s="102"/>
    </row>
    <row r="2440" spans="12:25" ht="25" customHeight="1">
      <c r="L2440" s="31"/>
      <c r="M2440" s="31"/>
      <c r="N2440" s="31"/>
      <c r="X2440" s="35"/>
      <c r="Y2440" s="102"/>
    </row>
    <row r="2441" spans="12:25" ht="25" customHeight="1">
      <c r="L2441" s="31"/>
      <c r="M2441" s="31"/>
      <c r="N2441" s="31"/>
      <c r="X2441" s="35"/>
      <c r="Y2441" s="102"/>
    </row>
    <row r="2442" spans="12:25" ht="25" customHeight="1">
      <c r="L2442" s="31"/>
      <c r="M2442" s="31"/>
      <c r="N2442" s="31"/>
      <c r="X2442" s="35"/>
      <c r="Y2442" s="102"/>
    </row>
    <row r="2443" spans="12:25" ht="25" customHeight="1">
      <c r="L2443" s="31"/>
      <c r="M2443" s="31"/>
      <c r="N2443" s="31"/>
      <c r="X2443" s="35"/>
      <c r="Y2443" s="102"/>
    </row>
    <row r="2444" spans="12:25" ht="25" customHeight="1">
      <c r="L2444" s="31"/>
      <c r="M2444" s="31"/>
      <c r="N2444" s="31"/>
      <c r="X2444" s="35"/>
      <c r="Y2444" s="102"/>
    </row>
    <row r="2445" spans="12:25" ht="25" customHeight="1">
      <c r="L2445" s="31"/>
      <c r="M2445" s="31"/>
      <c r="N2445" s="31"/>
      <c r="X2445" s="35"/>
      <c r="Y2445" s="102"/>
    </row>
    <row r="2446" spans="12:25" ht="25" customHeight="1">
      <c r="L2446" s="31"/>
      <c r="M2446" s="31"/>
      <c r="N2446" s="31"/>
      <c r="X2446" s="35"/>
      <c r="Y2446" s="102"/>
    </row>
    <row r="2447" spans="12:25" ht="25" customHeight="1">
      <c r="L2447" s="31"/>
      <c r="M2447" s="31"/>
      <c r="N2447" s="31"/>
      <c r="X2447" s="35"/>
      <c r="Y2447" s="102"/>
    </row>
    <row r="2448" spans="12:25" ht="25" customHeight="1">
      <c r="L2448" s="31"/>
      <c r="M2448" s="31"/>
      <c r="N2448" s="31"/>
      <c r="X2448" s="35"/>
      <c r="Y2448" s="102"/>
    </row>
    <row r="2449" spans="12:25" ht="25" customHeight="1">
      <c r="L2449" s="31"/>
      <c r="M2449" s="31"/>
      <c r="N2449" s="31"/>
      <c r="X2449" s="35"/>
      <c r="Y2449" s="102"/>
    </row>
    <row r="2450" spans="12:25" ht="25" customHeight="1">
      <c r="L2450" s="31"/>
      <c r="M2450" s="31"/>
      <c r="N2450" s="31"/>
      <c r="X2450" s="35"/>
      <c r="Y2450" s="102"/>
    </row>
    <row r="2451" spans="12:25" ht="25" customHeight="1">
      <c r="L2451" s="31"/>
      <c r="M2451" s="31"/>
      <c r="N2451" s="31"/>
      <c r="X2451" s="35"/>
      <c r="Y2451" s="102"/>
    </row>
    <row r="2452" spans="12:25" ht="25" customHeight="1">
      <c r="L2452" s="31"/>
      <c r="M2452" s="31"/>
      <c r="N2452" s="31"/>
      <c r="X2452" s="35"/>
      <c r="Y2452" s="102"/>
    </row>
    <row r="2453" spans="12:25" ht="25" customHeight="1">
      <c r="L2453" s="31"/>
      <c r="M2453" s="31"/>
      <c r="N2453" s="31"/>
      <c r="X2453" s="35"/>
      <c r="Y2453" s="102"/>
    </row>
    <row r="2454" spans="12:25" ht="25" customHeight="1">
      <c r="L2454" s="31"/>
      <c r="M2454" s="31"/>
      <c r="N2454" s="31"/>
      <c r="X2454" s="35"/>
      <c r="Y2454" s="102"/>
    </row>
    <row r="2455" spans="12:25" ht="25" customHeight="1">
      <c r="L2455" s="31"/>
      <c r="M2455" s="31"/>
      <c r="N2455" s="31"/>
      <c r="X2455" s="35"/>
      <c r="Y2455" s="102"/>
    </row>
    <row r="2456" spans="12:25" ht="25" customHeight="1">
      <c r="L2456" s="31"/>
      <c r="M2456" s="31"/>
      <c r="N2456" s="31"/>
      <c r="X2456" s="35"/>
      <c r="Y2456" s="102"/>
    </row>
    <row r="2457" spans="12:25" ht="25" customHeight="1">
      <c r="L2457" s="31"/>
      <c r="M2457" s="31"/>
      <c r="N2457" s="31"/>
      <c r="X2457" s="35"/>
      <c r="Y2457" s="102"/>
    </row>
    <row r="2458" spans="12:25" ht="25" customHeight="1">
      <c r="L2458" s="31"/>
      <c r="M2458" s="31"/>
      <c r="N2458" s="31"/>
      <c r="X2458" s="35"/>
      <c r="Y2458" s="102"/>
    </row>
    <row r="2459" spans="12:25" ht="25" customHeight="1">
      <c r="L2459" s="31"/>
      <c r="M2459" s="31"/>
      <c r="N2459" s="31"/>
      <c r="X2459" s="35"/>
      <c r="Y2459" s="102"/>
    </row>
    <row r="2460" spans="12:25" ht="25" customHeight="1">
      <c r="L2460" s="31"/>
      <c r="M2460" s="31"/>
      <c r="N2460" s="31"/>
      <c r="X2460" s="35"/>
      <c r="Y2460" s="102"/>
    </row>
    <row r="2461" spans="12:25" ht="25" customHeight="1">
      <c r="L2461" s="31"/>
      <c r="M2461" s="31"/>
      <c r="N2461" s="31"/>
      <c r="X2461" s="35"/>
      <c r="Y2461" s="102"/>
    </row>
    <row r="2462" spans="12:25" ht="25" customHeight="1">
      <c r="L2462" s="31"/>
      <c r="M2462" s="31"/>
      <c r="N2462" s="31"/>
      <c r="X2462" s="35"/>
      <c r="Y2462" s="102"/>
    </row>
    <row r="2463" spans="12:25" ht="25" customHeight="1">
      <c r="L2463" s="31"/>
      <c r="M2463" s="31"/>
      <c r="N2463" s="31"/>
      <c r="X2463" s="35"/>
      <c r="Y2463" s="102"/>
    </row>
    <row r="2464" spans="12:25" ht="25" customHeight="1">
      <c r="L2464" s="31"/>
      <c r="M2464" s="31"/>
      <c r="N2464" s="31"/>
      <c r="X2464" s="35"/>
      <c r="Y2464" s="102"/>
    </row>
    <row r="2465" spans="12:25" ht="25" customHeight="1">
      <c r="L2465" s="31"/>
      <c r="M2465" s="31"/>
      <c r="N2465" s="31"/>
      <c r="X2465" s="35"/>
      <c r="Y2465" s="102"/>
    </row>
    <row r="2466" spans="12:25" ht="25" customHeight="1">
      <c r="L2466" s="31"/>
      <c r="M2466" s="31"/>
      <c r="N2466" s="31"/>
      <c r="X2466" s="35"/>
      <c r="Y2466" s="102"/>
    </row>
    <row r="2467" spans="12:25" ht="25" customHeight="1">
      <c r="L2467" s="31"/>
      <c r="M2467" s="31"/>
      <c r="N2467" s="31"/>
      <c r="X2467" s="35"/>
      <c r="Y2467" s="102"/>
    </row>
    <row r="2468" spans="12:25" ht="25" customHeight="1">
      <c r="L2468" s="31"/>
      <c r="M2468" s="31"/>
      <c r="N2468" s="31"/>
      <c r="X2468" s="35"/>
      <c r="Y2468" s="102"/>
    </row>
    <row r="2469" spans="12:25" ht="25" customHeight="1">
      <c r="L2469" s="31"/>
      <c r="M2469" s="31"/>
      <c r="N2469" s="31"/>
      <c r="X2469" s="35"/>
      <c r="Y2469" s="102"/>
    </row>
    <row r="2470" spans="12:25" ht="25" customHeight="1">
      <c r="L2470" s="31"/>
      <c r="M2470" s="31"/>
      <c r="N2470" s="31"/>
      <c r="X2470" s="35"/>
      <c r="Y2470" s="102"/>
    </row>
    <row r="2471" spans="12:25" ht="25" customHeight="1">
      <c r="L2471" s="31"/>
      <c r="M2471" s="31"/>
      <c r="N2471" s="31"/>
      <c r="X2471" s="35"/>
      <c r="Y2471" s="102"/>
    </row>
    <row r="2472" spans="12:25" ht="25" customHeight="1">
      <c r="L2472" s="31"/>
      <c r="M2472" s="31"/>
      <c r="N2472" s="31"/>
      <c r="X2472" s="35"/>
      <c r="Y2472" s="102"/>
    </row>
    <row r="2473" spans="12:25" ht="25" customHeight="1">
      <c r="L2473" s="31"/>
      <c r="M2473" s="31"/>
      <c r="N2473" s="31"/>
      <c r="X2473" s="35"/>
      <c r="Y2473" s="102"/>
    </row>
    <row r="2474" spans="12:25" ht="25" customHeight="1">
      <c r="L2474" s="31"/>
      <c r="M2474" s="31"/>
      <c r="N2474" s="31"/>
      <c r="X2474" s="35"/>
      <c r="Y2474" s="102"/>
    </row>
    <row r="2475" spans="12:25" ht="25" customHeight="1">
      <c r="L2475" s="31"/>
      <c r="M2475" s="31"/>
      <c r="N2475" s="31"/>
      <c r="X2475" s="35"/>
      <c r="Y2475" s="102"/>
    </row>
    <row r="2476" spans="12:25" ht="25" customHeight="1">
      <c r="L2476" s="31"/>
      <c r="M2476" s="31"/>
      <c r="N2476" s="31"/>
      <c r="X2476" s="35"/>
      <c r="Y2476" s="102"/>
    </row>
    <row r="2477" spans="12:25" ht="25" customHeight="1">
      <c r="L2477" s="31"/>
      <c r="M2477" s="31"/>
      <c r="N2477" s="31"/>
      <c r="X2477" s="35"/>
      <c r="Y2477" s="102"/>
    </row>
    <row r="2478" spans="12:25" ht="25" customHeight="1">
      <c r="L2478" s="31"/>
      <c r="M2478" s="31"/>
      <c r="N2478" s="31"/>
      <c r="X2478" s="35"/>
      <c r="Y2478" s="102"/>
    </row>
    <row r="2479" spans="12:25" ht="25" customHeight="1">
      <c r="L2479" s="31"/>
      <c r="M2479" s="31"/>
      <c r="N2479" s="31"/>
      <c r="X2479" s="35"/>
      <c r="Y2479" s="102"/>
    </row>
    <row r="2480" spans="12:25" ht="25" customHeight="1">
      <c r="L2480" s="31"/>
      <c r="M2480" s="31"/>
      <c r="N2480" s="31"/>
      <c r="X2480" s="35"/>
      <c r="Y2480" s="102"/>
    </row>
    <row r="2481" spans="12:25" ht="25" customHeight="1">
      <c r="L2481" s="31"/>
      <c r="M2481" s="31"/>
      <c r="N2481" s="31"/>
      <c r="X2481" s="35"/>
      <c r="Y2481" s="102"/>
    </row>
    <row r="2482" spans="12:25" ht="25" customHeight="1">
      <c r="L2482" s="31"/>
      <c r="M2482" s="31"/>
      <c r="N2482" s="31"/>
      <c r="X2482" s="35"/>
      <c r="Y2482" s="102"/>
    </row>
    <row r="2483" spans="12:25" ht="25" customHeight="1">
      <c r="L2483" s="31"/>
      <c r="M2483" s="31"/>
      <c r="N2483" s="31"/>
      <c r="X2483" s="35"/>
      <c r="Y2483" s="102"/>
    </row>
    <row r="2484" spans="12:25" ht="25" customHeight="1">
      <c r="L2484" s="31"/>
      <c r="M2484" s="31"/>
      <c r="N2484" s="31"/>
      <c r="X2484" s="35"/>
      <c r="Y2484" s="102"/>
    </row>
    <row r="2485" spans="12:25" ht="25" customHeight="1">
      <c r="L2485" s="31"/>
      <c r="M2485" s="31"/>
      <c r="N2485" s="31"/>
      <c r="X2485" s="35"/>
      <c r="Y2485" s="102"/>
    </row>
    <row r="2486" spans="12:25" ht="25" customHeight="1">
      <c r="L2486" s="31"/>
      <c r="M2486" s="31"/>
      <c r="N2486" s="31"/>
      <c r="X2486" s="35"/>
      <c r="Y2486" s="102"/>
    </row>
    <row r="2487" spans="12:25" ht="25" customHeight="1">
      <c r="L2487" s="31"/>
      <c r="M2487" s="31"/>
      <c r="N2487" s="31"/>
      <c r="X2487" s="35"/>
      <c r="Y2487" s="102"/>
    </row>
    <row r="2488" spans="12:25" ht="25" customHeight="1">
      <c r="L2488" s="31"/>
      <c r="M2488" s="31"/>
      <c r="N2488" s="31"/>
      <c r="X2488" s="35"/>
      <c r="Y2488" s="102"/>
    </row>
    <row r="2489" spans="12:25" ht="25" customHeight="1">
      <c r="L2489" s="31"/>
      <c r="M2489" s="31"/>
      <c r="N2489" s="31"/>
      <c r="X2489" s="35"/>
      <c r="Y2489" s="102"/>
    </row>
    <row r="2490" spans="12:25" ht="25" customHeight="1">
      <c r="L2490" s="31"/>
      <c r="M2490" s="31"/>
      <c r="N2490" s="31"/>
      <c r="X2490" s="35"/>
      <c r="Y2490" s="102"/>
    </row>
    <row r="2491" spans="12:25" ht="25" customHeight="1">
      <c r="L2491" s="31"/>
      <c r="M2491" s="31"/>
      <c r="N2491" s="31"/>
      <c r="X2491" s="35"/>
      <c r="Y2491" s="102"/>
    </row>
    <row r="2492" spans="12:25" ht="25" customHeight="1">
      <c r="L2492" s="31"/>
      <c r="M2492" s="31"/>
      <c r="N2492" s="31"/>
      <c r="X2492" s="35"/>
      <c r="Y2492" s="102"/>
    </row>
    <row r="2493" spans="12:25" ht="25" customHeight="1">
      <c r="L2493" s="31"/>
      <c r="M2493" s="31"/>
      <c r="N2493" s="31"/>
      <c r="X2493" s="35"/>
      <c r="Y2493" s="102"/>
    </row>
    <row r="2494" spans="12:25" ht="25" customHeight="1">
      <c r="L2494" s="31"/>
      <c r="M2494" s="31"/>
      <c r="N2494" s="31"/>
      <c r="X2494" s="35"/>
      <c r="Y2494" s="102"/>
    </row>
    <row r="2495" spans="12:25" ht="25" customHeight="1">
      <c r="L2495" s="31"/>
      <c r="M2495" s="31"/>
      <c r="N2495" s="31"/>
      <c r="X2495" s="35"/>
      <c r="Y2495" s="102"/>
    </row>
    <row r="2496" spans="12:25" ht="25" customHeight="1">
      <c r="L2496" s="31"/>
      <c r="M2496" s="31"/>
      <c r="N2496" s="31"/>
      <c r="X2496" s="35"/>
      <c r="Y2496" s="102"/>
    </row>
    <row r="2497" spans="12:25" ht="25" customHeight="1">
      <c r="L2497" s="31"/>
      <c r="M2497" s="31"/>
      <c r="N2497" s="31"/>
      <c r="X2497" s="35"/>
      <c r="Y2497" s="102"/>
    </row>
    <row r="2498" spans="12:25" ht="25" customHeight="1">
      <c r="L2498" s="31"/>
      <c r="M2498" s="31"/>
      <c r="N2498" s="31"/>
      <c r="X2498" s="35"/>
      <c r="Y2498" s="102"/>
    </row>
    <row r="2499" spans="12:25" ht="25" customHeight="1">
      <c r="L2499" s="31"/>
      <c r="M2499" s="31"/>
      <c r="N2499" s="31"/>
      <c r="X2499" s="35"/>
      <c r="Y2499" s="102"/>
    </row>
    <row r="2500" spans="12:25" ht="25" customHeight="1">
      <c r="L2500" s="31"/>
      <c r="M2500" s="31"/>
      <c r="N2500" s="31"/>
      <c r="X2500" s="35"/>
      <c r="Y2500" s="102"/>
    </row>
    <row r="2501" spans="12:25" ht="25" customHeight="1">
      <c r="L2501" s="31"/>
      <c r="M2501" s="31"/>
      <c r="N2501" s="31"/>
      <c r="X2501" s="35"/>
      <c r="Y2501" s="102"/>
    </row>
    <row r="2502" spans="12:25" ht="25" customHeight="1">
      <c r="L2502" s="31"/>
      <c r="M2502" s="31"/>
      <c r="N2502" s="31"/>
      <c r="X2502" s="35"/>
      <c r="Y2502" s="102"/>
    </row>
    <row r="2503" spans="12:25" ht="25" customHeight="1">
      <c r="L2503" s="31"/>
      <c r="M2503" s="31"/>
      <c r="N2503" s="31"/>
      <c r="X2503" s="35"/>
      <c r="Y2503" s="102"/>
    </row>
    <row r="2504" spans="12:25" ht="25" customHeight="1">
      <c r="L2504" s="31"/>
      <c r="M2504" s="31"/>
      <c r="N2504" s="31"/>
      <c r="X2504" s="35"/>
      <c r="Y2504" s="102"/>
    </row>
    <row r="2505" spans="12:25" ht="25" customHeight="1">
      <c r="L2505" s="31"/>
      <c r="M2505" s="31"/>
      <c r="N2505" s="31"/>
      <c r="X2505" s="35"/>
      <c r="Y2505" s="102"/>
    </row>
    <row r="2506" spans="12:25" ht="25" customHeight="1">
      <c r="L2506" s="31"/>
      <c r="M2506" s="31"/>
      <c r="N2506" s="31"/>
      <c r="X2506" s="35"/>
      <c r="Y2506" s="102"/>
    </row>
    <row r="2507" spans="12:25" ht="25" customHeight="1">
      <c r="L2507" s="31"/>
      <c r="M2507" s="31"/>
      <c r="N2507" s="31"/>
      <c r="X2507" s="35"/>
      <c r="Y2507" s="102"/>
    </row>
    <row r="2508" spans="12:25" ht="25" customHeight="1">
      <c r="L2508" s="31"/>
      <c r="M2508" s="31"/>
      <c r="N2508" s="31"/>
      <c r="X2508" s="35"/>
      <c r="Y2508" s="102"/>
    </row>
    <row r="2509" spans="12:25" ht="25" customHeight="1">
      <c r="L2509" s="31"/>
      <c r="M2509" s="31"/>
      <c r="N2509" s="31"/>
      <c r="X2509" s="35"/>
      <c r="Y2509" s="102"/>
    </row>
    <row r="2510" spans="12:25" ht="25" customHeight="1">
      <c r="L2510" s="31"/>
      <c r="M2510" s="31"/>
      <c r="N2510" s="31"/>
      <c r="X2510" s="35"/>
      <c r="Y2510" s="102"/>
    </row>
    <row r="2511" spans="12:25" ht="25" customHeight="1">
      <c r="L2511" s="31"/>
      <c r="M2511" s="31"/>
      <c r="N2511" s="31"/>
      <c r="X2511" s="35"/>
      <c r="Y2511" s="102"/>
    </row>
    <row r="2512" spans="12:25" ht="25" customHeight="1">
      <c r="L2512" s="31"/>
      <c r="M2512" s="31"/>
      <c r="N2512" s="31"/>
      <c r="X2512" s="35"/>
      <c r="Y2512" s="102"/>
    </row>
    <row r="2513" spans="12:25" ht="25" customHeight="1">
      <c r="L2513" s="31"/>
      <c r="M2513" s="31"/>
      <c r="N2513" s="31"/>
      <c r="X2513" s="35"/>
      <c r="Y2513" s="102"/>
    </row>
    <row r="2514" spans="12:25" ht="25" customHeight="1">
      <c r="L2514" s="31"/>
      <c r="M2514" s="31"/>
      <c r="N2514" s="31"/>
      <c r="X2514" s="35"/>
      <c r="Y2514" s="102"/>
    </row>
    <row r="2515" spans="12:25" ht="25" customHeight="1">
      <c r="L2515" s="31"/>
      <c r="M2515" s="31"/>
      <c r="N2515" s="31"/>
      <c r="X2515" s="35"/>
      <c r="Y2515" s="102"/>
    </row>
    <row r="2516" spans="12:25" ht="25" customHeight="1">
      <c r="L2516" s="31"/>
      <c r="M2516" s="31"/>
      <c r="N2516" s="31"/>
      <c r="X2516" s="35"/>
      <c r="Y2516" s="102"/>
    </row>
    <row r="2517" spans="12:25" ht="25" customHeight="1">
      <c r="L2517" s="31"/>
      <c r="M2517" s="31"/>
      <c r="N2517" s="31"/>
      <c r="X2517" s="35"/>
      <c r="Y2517" s="102"/>
    </row>
    <row r="2518" spans="12:25" ht="25" customHeight="1">
      <c r="L2518" s="31"/>
      <c r="M2518" s="31"/>
      <c r="N2518" s="31"/>
      <c r="X2518" s="35"/>
      <c r="Y2518" s="102"/>
    </row>
    <row r="2519" spans="12:25" ht="25" customHeight="1">
      <c r="L2519" s="31"/>
      <c r="M2519" s="31"/>
      <c r="N2519" s="31"/>
      <c r="X2519" s="35"/>
      <c r="Y2519" s="102"/>
    </row>
    <row r="2520" spans="12:25" ht="25" customHeight="1">
      <c r="L2520" s="31"/>
      <c r="M2520" s="31"/>
      <c r="N2520" s="31"/>
      <c r="X2520" s="35"/>
      <c r="Y2520" s="102"/>
    </row>
    <row r="2521" spans="12:25" ht="25" customHeight="1">
      <c r="L2521" s="31"/>
      <c r="M2521" s="31"/>
      <c r="N2521" s="31"/>
      <c r="X2521" s="35"/>
      <c r="Y2521" s="102"/>
    </row>
    <row r="2522" spans="12:25" ht="25" customHeight="1">
      <c r="L2522" s="31"/>
      <c r="M2522" s="31"/>
      <c r="N2522" s="31"/>
      <c r="X2522" s="35"/>
      <c r="Y2522" s="102"/>
    </row>
    <row r="2523" spans="12:25" ht="25" customHeight="1">
      <c r="L2523" s="31"/>
      <c r="M2523" s="31"/>
      <c r="N2523" s="31"/>
      <c r="X2523" s="35"/>
      <c r="Y2523" s="102"/>
    </row>
    <row r="2524" spans="12:25" ht="25" customHeight="1">
      <c r="L2524" s="31"/>
      <c r="M2524" s="31"/>
      <c r="N2524" s="31"/>
      <c r="X2524" s="35"/>
      <c r="Y2524" s="102"/>
    </row>
    <row r="2525" spans="12:25" ht="25" customHeight="1">
      <c r="L2525" s="31"/>
      <c r="M2525" s="31"/>
      <c r="N2525" s="31"/>
      <c r="X2525" s="35"/>
      <c r="Y2525" s="102"/>
    </row>
    <row r="2526" spans="12:25" ht="25" customHeight="1">
      <c r="L2526" s="31"/>
      <c r="M2526" s="31"/>
      <c r="N2526" s="31"/>
      <c r="X2526" s="35"/>
      <c r="Y2526" s="102"/>
    </row>
    <row r="2527" spans="12:25" ht="25" customHeight="1">
      <c r="L2527" s="31"/>
      <c r="M2527" s="31"/>
      <c r="N2527" s="31"/>
      <c r="X2527" s="35"/>
      <c r="Y2527" s="102"/>
    </row>
    <row r="2528" spans="12:25" ht="25" customHeight="1">
      <c r="L2528" s="31"/>
      <c r="M2528" s="31"/>
      <c r="N2528" s="31"/>
      <c r="X2528" s="35"/>
      <c r="Y2528" s="102"/>
    </row>
    <row r="2529" spans="12:25" ht="25" customHeight="1">
      <c r="L2529" s="31"/>
      <c r="M2529" s="31"/>
      <c r="N2529" s="31"/>
      <c r="X2529" s="35"/>
      <c r="Y2529" s="102"/>
    </row>
    <row r="2530" spans="12:25" ht="25" customHeight="1">
      <c r="L2530" s="31"/>
      <c r="M2530" s="31"/>
      <c r="N2530" s="31"/>
      <c r="X2530" s="35"/>
      <c r="Y2530" s="102"/>
    </row>
    <row r="2531" spans="12:25" ht="25" customHeight="1">
      <c r="L2531" s="31"/>
      <c r="M2531" s="31"/>
      <c r="N2531" s="31"/>
      <c r="X2531" s="35"/>
      <c r="Y2531" s="102"/>
    </row>
    <row r="2532" spans="12:25" ht="25" customHeight="1">
      <c r="L2532" s="31"/>
      <c r="M2532" s="31"/>
      <c r="N2532" s="31"/>
      <c r="X2532" s="35"/>
      <c r="Y2532" s="102"/>
    </row>
    <row r="2533" spans="12:25" ht="25" customHeight="1">
      <c r="L2533" s="31"/>
      <c r="M2533" s="31"/>
      <c r="N2533" s="31"/>
      <c r="X2533" s="35"/>
      <c r="Y2533" s="102"/>
    </row>
    <row r="2534" spans="12:25" ht="25" customHeight="1">
      <c r="L2534" s="31"/>
      <c r="M2534" s="31"/>
      <c r="N2534" s="31"/>
      <c r="X2534" s="35"/>
      <c r="Y2534" s="102"/>
    </row>
    <row r="2535" spans="12:25" ht="25" customHeight="1">
      <c r="L2535" s="31"/>
      <c r="M2535" s="31"/>
      <c r="N2535" s="31"/>
      <c r="X2535" s="35"/>
      <c r="Y2535" s="102"/>
    </row>
    <row r="2536" spans="12:25" ht="25" customHeight="1">
      <c r="L2536" s="31"/>
      <c r="M2536" s="31"/>
      <c r="N2536" s="31"/>
      <c r="X2536" s="35"/>
      <c r="Y2536" s="102"/>
    </row>
    <row r="2537" spans="12:25" ht="25" customHeight="1">
      <c r="L2537" s="31"/>
      <c r="M2537" s="31"/>
      <c r="N2537" s="31"/>
      <c r="X2537" s="35"/>
      <c r="Y2537" s="102"/>
    </row>
    <row r="2538" spans="12:25" ht="16">
      <c r="L2538" s="31"/>
      <c r="M2538" s="31"/>
      <c r="N2538" s="31"/>
      <c r="X2538" s="35"/>
      <c r="Y2538" s="102"/>
    </row>
    <row r="2539" spans="12:25" ht="16">
      <c r="L2539" s="31"/>
      <c r="M2539" s="31"/>
      <c r="N2539" s="31"/>
      <c r="X2539" s="35"/>
      <c r="Y2539" s="102"/>
    </row>
    <row r="2540" spans="12:25" ht="16">
      <c r="L2540" s="31"/>
      <c r="M2540" s="31"/>
      <c r="N2540" s="31"/>
      <c r="X2540" s="35"/>
      <c r="Y2540" s="102"/>
    </row>
    <row r="2541" spans="12:25" ht="16">
      <c r="L2541" s="31"/>
      <c r="M2541" s="31"/>
      <c r="N2541" s="31"/>
      <c r="X2541" s="35"/>
      <c r="Y2541" s="102"/>
    </row>
    <row r="2542" spans="12:25" ht="16">
      <c r="L2542" s="31"/>
      <c r="M2542" s="31"/>
      <c r="N2542" s="31"/>
      <c r="X2542" s="35"/>
      <c r="Y2542" s="102"/>
    </row>
    <row r="2543" spans="12:25" ht="16">
      <c r="L2543" s="31"/>
      <c r="M2543" s="31"/>
      <c r="N2543" s="31"/>
      <c r="X2543" s="35"/>
      <c r="Y2543" s="102"/>
    </row>
    <row r="2544" spans="12:25" ht="16">
      <c r="L2544" s="31"/>
      <c r="M2544" s="31"/>
      <c r="N2544" s="31"/>
      <c r="X2544" s="35"/>
      <c r="Y2544" s="102"/>
    </row>
    <row r="2545" spans="12:25" ht="16">
      <c r="L2545" s="31"/>
      <c r="M2545" s="31"/>
      <c r="N2545" s="31"/>
      <c r="X2545" s="35"/>
      <c r="Y2545" s="102"/>
    </row>
    <row r="2546" spans="12:25" ht="16">
      <c r="L2546" s="31"/>
      <c r="M2546" s="31"/>
      <c r="N2546" s="31"/>
      <c r="X2546" s="35"/>
      <c r="Y2546" s="102"/>
    </row>
    <row r="2547" spans="12:25" ht="16">
      <c r="L2547" s="31"/>
      <c r="M2547" s="31"/>
      <c r="N2547" s="31"/>
      <c r="X2547" s="35"/>
      <c r="Y2547" s="102"/>
    </row>
    <row r="2548" spans="12:25" ht="16">
      <c r="L2548" s="31"/>
      <c r="M2548" s="31"/>
      <c r="N2548" s="31"/>
      <c r="X2548" s="35"/>
      <c r="Y2548" s="102"/>
    </row>
    <row r="2549" spans="12:25" ht="16">
      <c r="L2549" s="31"/>
      <c r="M2549" s="31"/>
      <c r="N2549" s="31"/>
      <c r="X2549" s="35"/>
      <c r="Y2549" s="102"/>
    </row>
    <row r="2550" spans="12:25" ht="16">
      <c r="L2550" s="31"/>
      <c r="M2550" s="31"/>
      <c r="N2550" s="31"/>
      <c r="X2550" s="35"/>
      <c r="Y2550" s="102"/>
    </row>
    <row r="2551" spans="12:25" ht="16">
      <c r="L2551" s="31"/>
      <c r="M2551" s="31"/>
      <c r="N2551" s="31"/>
      <c r="X2551" s="35"/>
      <c r="Y2551" s="102"/>
    </row>
    <row r="2552" spans="12:25" ht="16">
      <c r="L2552" s="31"/>
      <c r="M2552" s="31"/>
      <c r="N2552" s="31"/>
      <c r="X2552" s="35"/>
      <c r="Y2552" s="102"/>
    </row>
    <row r="2553" spans="12:25" ht="16">
      <c r="L2553" s="31"/>
      <c r="M2553" s="31"/>
      <c r="N2553" s="31"/>
      <c r="X2553" s="35"/>
      <c r="Y2553" s="102"/>
    </row>
    <row r="2554" spans="12:25" ht="16">
      <c r="L2554" s="31"/>
      <c r="M2554" s="31"/>
      <c r="N2554" s="31"/>
      <c r="X2554" s="35"/>
      <c r="Y2554" s="102"/>
    </row>
    <row r="2555" spans="12:25" ht="16">
      <c r="L2555" s="31"/>
      <c r="M2555" s="31"/>
      <c r="N2555" s="31"/>
      <c r="X2555" s="35"/>
      <c r="Y2555" s="102"/>
    </row>
    <row r="2556" spans="12:25" ht="16">
      <c r="L2556" s="31"/>
      <c r="M2556" s="31"/>
      <c r="N2556" s="31"/>
      <c r="X2556" s="35"/>
      <c r="Y2556" s="102"/>
    </row>
    <row r="2557" spans="12:25" ht="16">
      <c r="L2557" s="31"/>
      <c r="M2557" s="31"/>
      <c r="N2557" s="31"/>
      <c r="X2557" s="35"/>
      <c r="Y2557" s="102"/>
    </row>
    <row r="2558" spans="12:25" ht="16">
      <c r="L2558" s="31"/>
      <c r="M2558" s="31"/>
      <c r="N2558" s="31"/>
      <c r="X2558" s="35"/>
      <c r="Y2558" s="102"/>
    </row>
    <row r="2559" spans="12:25" ht="16">
      <c r="L2559" s="31"/>
      <c r="M2559" s="31"/>
      <c r="N2559" s="31"/>
      <c r="X2559" s="35"/>
      <c r="Y2559" s="102"/>
    </row>
    <row r="2560" spans="12:25" ht="16">
      <c r="L2560" s="31"/>
      <c r="M2560" s="31"/>
      <c r="N2560" s="31"/>
      <c r="X2560" s="35"/>
      <c r="Y2560" s="102"/>
    </row>
    <row r="2561" spans="12:25" ht="16">
      <c r="L2561" s="31"/>
      <c r="M2561" s="31"/>
      <c r="N2561" s="31"/>
      <c r="X2561" s="35"/>
      <c r="Y2561" s="102"/>
    </row>
    <row r="2562" spans="12:25" ht="16">
      <c r="L2562" s="31"/>
      <c r="M2562" s="31"/>
      <c r="N2562" s="31"/>
      <c r="X2562" s="35"/>
      <c r="Y2562" s="102"/>
    </row>
    <row r="2563" spans="12:25" ht="16">
      <c r="L2563" s="31"/>
      <c r="M2563" s="31"/>
      <c r="N2563" s="31"/>
      <c r="X2563" s="35"/>
      <c r="Y2563" s="102"/>
    </row>
    <row r="2564" spans="12:25" ht="16">
      <c r="L2564" s="31"/>
      <c r="M2564" s="31"/>
      <c r="N2564" s="31"/>
      <c r="X2564" s="35"/>
      <c r="Y2564" s="102"/>
    </row>
    <row r="2565" spans="12:25" ht="16">
      <c r="L2565" s="31"/>
      <c r="M2565" s="31"/>
      <c r="N2565" s="31"/>
      <c r="X2565" s="35"/>
      <c r="Y2565" s="102"/>
    </row>
    <row r="2566" spans="12:25" ht="16">
      <c r="L2566" s="31"/>
      <c r="M2566" s="31"/>
      <c r="N2566" s="31"/>
      <c r="X2566" s="35"/>
      <c r="Y2566" s="102"/>
    </row>
    <row r="2567" spans="12:25" ht="16">
      <c r="L2567" s="31"/>
      <c r="M2567" s="31"/>
      <c r="N2567" s="31"/>
      <c r="X2567" s="35"/>
      <c r="Y2567" s="102"/>
    </row>
    <row r="2568" spans="12:25" ht="16">
      <c r="L2568" s="31"/>
      <c r="M2568" s="31"/>
      <c r="N2568" s="31"/>
      <c r="X2568" s="35"/>
      <c r="Y2568" s="102"/>
    </row>
    <row r="2569" spans="12:25" ht="16">
      <c r="L2569" s="31"/>
      <c r="M2569" s="31"/>
      <c r="N2569" s="31"/>
      <c r="X2569" s="35"/>
      <c r="Y2569" s="102"/>
    </row>
    <row r="2570" spans="12:25" ht="16">
      <c r="L2570" s="31"/>
      <c r="M2570" s="31"/>
      <c r="N2570" s="31"/>
      <c r="X2570" s="35"/>
      <c r="Y2570" s="102"/>
    </row>
    <row r="2571" spans="12:25" ht="16">
      <c r="L2571" s="31"/>
      <c r="M2571" s="31"/>
      <c r="N2571" s="31"/>
      <c r="X2571" s="35"/>
      <c r="Y2571" s="102"/>
    </row>
    <row r="2572" spans="12:25" ht="16">
      <c r="L2572" s="31"/>
      <c r="M2572" s="31"/>
      <c r="N2572" s="31"/>
      <c r="X2572" s="35"/>
      <c r="Y2572" s="102"/>
    </row>
    <row r="2573" spans="12:25" ht="16">
      <c r="L2573" s="31"/>
      <c r="M2573" s="31"/>
      <c r="N2573" s="31"/>
      <c r="X2573" s="35"/>
      <c r="Y2573" s="102"/>
    </row>
    <row r="2574" spans="12:25" ht="16">
      <c r="L2574" s="31"/>
      <c r="M2574" s="31"/>
      <c r="N2574" s="31"/>
      <c r="X2574" s="35"/>
      <c r="Y2574" s="102"/>
    </row>
    <row r="2575" spans="12:25" ht="16">
      <c r="L2575" s="31"/>
      <c r="M2575" s="31"/>
      <c r="N2575" s="31"/>
      <c r="X2575" s="35"/>
      <c r="Y2575" s="102"/>
    </row>
    <row r="2576" spans="12:25" ht="16">
      <c r="L2576" s="31"/>
      <c r="M2576" s="31"/>
      <c r="N2576" s="31"/>
      <c r="X2576" s="35"/>
      <c r="Y2576" s="102"/>
    </row>
    <row r="2577" spans="12:25" ht="16">
      <c r="L2577" s="31"/>
      <c r="M2577" s="31"/>
      <c r="N2577" s="31"/>
      <c r="X2577" s="35"/>
      <c r="Y2577" s="102"/>
    </row>
    <row r="2578" spans="12:25" ht="16">
      <c r="L2578" s="31"/>
      <c r="M2578" s="31"/>
      <c r="N2578" s="31"/>
      <c r="X2578" s="35"/>
      <c r="Y2578" s="102"/>
    </row>
    <row r="2579" spans="12:25" ht="16">
      <c r="L2579" s="31"/>
      <c r="M2579" s="31"/>
      <c r="N2579" s="31"/>
      <c r="X2579" s="35"/>
      <c r="Y2579" s="102"/>
    </row>
    <row r="2580" spans="12:25" ht="16">
      <c r="L2580" s="31"/>
      <c r="M2580" s="31"/>
      <c r="N2580" s="31"/>
      <c r="X2580" s="35"/>
      <c r="Y2580" s="102"/>
    </row>
    <row r="2581" spans="12:25" ht="16">
      <c r="L2581" s="31"/>
      <c r="M2581" s="31"/>
      <c r="N2581" s="31"/>
      <c r="X2581" s="35"/>
      <c r="Y2581" s="102"/>
    </row>
    <row r="2582" spans="12:25" ht="16">
      <c r="L2582" s="31"/>
      <c r="M2582" s="31"/>
      <c r="N2582" s="31"/>
      <c r="X2582" s="35"/>
      <c r="Y2582" s="102"/>
    </row>
    <row r="2583" spans="12:25" ht="16">
      <c r="L2583" s="31"/>
      <c r="M2583" s="31"/>
      <c r="N2583" s="31"/>
      <c r="X2583" s="35"/>
      <c r="Y2583" s="102"/>
    </row>
    <row r="2584" spans="12:25" ht="16">
      <c r="L2584" s="31"/>
      <c r="M2584" s="31"/>
      <c r="N2584" s="31"/>
      <c r="X2584" s="35"/>
      <c r="Y2584" s="102"/>
    </row>
    <row r="2585" spans="12:25" ht="16">
      <c r="L2585" s="31"/>
      <c r="M2585" s="31"/>
      <c r="N2585" s="31"/>
      <c r="X2585" s="35"/>
      <c r="Y2585" s="102"/>
    </row>
    <row r="2586" spans="12:25" ht="16">
      <c r="L2586" s="31"/>
      <c r="M2586" s="31"/>
      <c r="N2586" s="31"/>
      <c r="X2586" s="35"/>
      <c r="Y2586" s="102"/>
    </row>
    <row r="2587" spans="12:25" ht="16">
      <c r="L2587" s="31"/>
      <c r="M2587" s="31"/>
      <c r="N2587" s="31"/>
      <c r="X2587" s="35"/>
      <c r="Y2587" s="102"/>
    </row>
    <row r="2588" spans="12:25" ht="16">
      <c r="L2588" s="31"/>
      <c r="M2588" s="31"/>
      <c r="N2588" s="31"/>
      <c r="X2588" s="35"/>
      <c r="Y2588" s="102"/>
    </row>
    <row r="2589" spans="12:25" ht="16">
      <c r="L2589" s="31"/>
      <c r="M2589" s="31"/>
      <c r="N2589" s="31"/>
      <c r="X2589" s="35"/>
      <c r="Y2589" s="102"/>
    </row>
    <row r="2590" spans="12:25" ht="16">
      <c r="L2590" s="31"/>
      <c r="M2590" s="31"/>
      <c r="N2590" s="31"/>
      <c r="X2590" s="35"/>
      <c r="Y2590" s="102"/>
    </row>
    <row r="2591" spans="12:25" ht="16">
      <c r="L2591" s="31"/>
      <c r="M2591" s="31"/>
      <c r="N2591" s="31"/>
      <c r="X2591" s="35"/>
      <c r="Y2591" s="102"/>
    </row>
    <row r="2592" spans="12:25" ht="16">
      <c r="L2592" s="31"/>
      <c r="M2592" s="31"/>
      <c r="N2592" s="31"/>
      <c r="X2592" s="35"/>
      <c r="Y2592" s="102"/>
    </row>
    <row r="2593" spans="12:25" ht="16">
      <c r="L2593" s="31"/>
      <c r="M2593" s="31"/>
      <c r="N2593" s="31"/>
      <c r="X2593" s="35"/>
      <c r="Y2593" s="102"/>
    </row>
    <row r="2594" spans="12:25" ht="16">
      <c r="L2594" s="31"/>
      <c r="M2594" s="31"/>
      <c r="N2594" s="31"/>
      <c r="X2594" s="35"/>
      <c r="Y2594" s="102"/>
    </row>
    <row r="2595" spans="12:25" ht="16">
      <c r="L2595" s="31"/>
      <c r="M2595" s="31"/>
      <c r="N2595" s="31"/>
      <c r="X2595" s="35"/>
      <c r="Y2595" s="102"/>
    </row>
    <row r="2596" spans="12:25" ht="16">
      <c r="L2596" s="31"/>
      <c r="M2596" s="31"/>
      <c r="N2596" s="31"/>
      <c r="X2596" s="35"/>
      <c r="Y2596" s="102"/>
    </row>
    <row r="2597" spans="12:25" ht="16">
      <c r="L2597" s="31"/>
      <c r="M2597" s="31"/>
      <c r="N2597" s="31"/>
      <c r="X2597" s="35"/>
      <c r="Y2597" s="102"/>
    </row>
    <row r="2598" spans="12:25" ht="16">
      <c r="L2598" s="31"/>
      <c r="M2598" s="31"/>
      <c r="N2598" s="31"/>
      <c r="X2598" s="35"/>
      <c r="Y2598" s="102"/>
    </row>
    <row r="2599" spans="12:25" ht="16">
      <c r="L2599" s="31"/>
      <c r="M2599" s="31"/>
      <c r="N2599" s="31"/>
      <c r="X2599" s="35"/>
      <c r="Y2599" s="102"/>
    </row>
    <row r="2600" spans="12:25" ht="16">
      <c r="L2600" s="31"/>
      <c r="M2600" s="31"/>
      <c r="N2600" s="31"/>
      <c r="X2600" s="35"/>
      <c r="Y2600" s="102"/>
    </row>
    <row r="2601" spans="12:25" ht="16">
      <c r="L2601" s="31"/>
      <c r="M2601" s="31"/>
      <c r="N2601" s="31"/>
      <c r="X2601" s="35"/>
      <c r="Y2601" s="102"/>
    </row>
    <row r="2602" spans="12:25" ht="16">
      <c r="L2602" s="31"/>
      <c r="M2602" s="31"/>
      <c r="N2602" s="31"/>
      <c r="X2602" s="35"/>
      <c r="Y2602" s="102"/>
    </row>
    <row r="2603" spans="12:25" ht="16">
      <c r="L2603" s="31"/>
      <c r="M2603" s="31"/>
      <c r="N2603" s="31"/>
      <c r="X2603" s="35"/>
      <c r="Y2603" s="102"/>
    </row>
    <row r="2604" spans="12:25" ht="16">
      <c r="L2604" s="31"/>
      <c r="M2604" s="31"/>
      <c r="N2604" s="31"/>
      <c r="X2604" s="35"/>
      <c r="Y2604" s="102"/>
    </row>
    <row r="2605" spans="12:25" ht="16">
      <c r="L2605" s="31"/>
      <c r="M2605" s="31"/>
      <c r="N2605" s="31"/>
      <c r="X2605" s="35"/>
      <c r="Y2605" s="102"/>
    </row>
    <row r="2606" spans="12:25" ht="16">
      <c r="L2606" s="31"/>
      <c r="M2606" s="31"/>
      <c r="N2606" s="31"/>
      <c r="X2606" s="35"/>
      <c r="Y2606" s="102"/>
    </row>
    <row r="2607" spans="12:25" ht="16">
      <c r="L2607" s="31"/>
      <c r="M2607" s="31"/>
      <c r="N2607" s="31"/>
      <c r="X2607" s="35"/>
      <c r="Y2607" s="102"/>
    </row>
    <row r="2608" spans="12:25" ht="16">
      <c r="L2608" s="31"/>
      <c r="M2608" s="31"/>
      <c r="N2608" s="31"/>
      <c r="X2608" s="35"/>
      <c r="Y2608" s="102"/>
    </row>
    <row r="2609" spans="12:25" ht="16">
      <c r="L2609" s="31"/>
      <c r="M2609" s="31"/>
      <c r="N2609" s="31"/>
      <c r="X2609" s="35"/>
      <c r="Y2609" s="102"/>
    </row>
    <row r="2610" spans="12:25" ht="16">
      <c r="L2610" s="31"/>
      <c r="M2610" s="31"/>
      <c r="N2610" s="31"/>
      <c r="X2610" s="35"/>
      <c r="Y2610" s="102"/>
    </row>
    <row r="2611" spans="12:25" ht="16">
      <c r="L2611" s="31"/>
      <c r="M2611" s="31"/>
      <c r="N2611" s="31"/>
      <c r="X2611" s="35"/>
      <c r="Y2611" s="102"/>
    </row>
    <row r="2612" spans="12:25" ht="16">
      <c r="L2612" s="31"/>
      <c r="M2612" s="31"/>
      <c r="N2612" s="31"/>
      <c r="X2612" s="35"/>
      <c r="Y2612" s="102"/>
    </row>
    <row r="2613" spans="12:25" ht="16">
      <c r="L2613" s="31"/>
      <c r="M2613" s="31"/>
      <c r="N2613" s="31"/>
      <c r="X2613" s="35"/>
      <c r="Y2613" s="102"/>
    </row>
    <row r="2614" spans="12:25" ht="16">
      <c r="L2614" s="31"/>
      <c r="M2614" s="31"/>
      <c r="N2614" s="31"/>
      <c r="X2614" s="35"/>
      <c r="Y2614" s="102"/>
    </row>
    <row r="2615" spans="12:25" ht="16">
      <c r="L2615" s="31"/>
      <c r="M2615" s="31"/>
      <c r="N2615" s="31"/>
      <c r="X2615" s="35"/>
      <c r="Y2615" s="102"/>
    </row>
    <row r="2616" spans="12:25" ht="16">
      <c r="L2616" s="31"/>
      <c r="M2616" s="31"/>
      <c r="N2616" s="31"/>
      <c r="X2616" s="35"/>
      <c r="Y2616" s="102"/>
    </row>
    <row r="2617" spans="12:25" ht="16">
      <c r="L2617" s="31"/>
      <c r="M2617" s="31"/>
      <c r="N2617" s="31"/>
      <c r="X2617" s="35"/>
      <c r="Y2617" s="102"/>
    </row>
    <row r="2618" spans="12:25" ht="16">
      <c r="L2618" s="31"/>
      <c r="M2618" s="31"/>
      <c r="N2618" s="31"/>
      <c r="X2618" s="35"/>
      <c r="Y2618" s="102"/>
    </row>
    <row r="2619" spans="12:25" ht="16">
      <c r="L2619" s="31"/>
      <c r="M2619" s="31"/>
      <c r="N2619" s="31"/>
      <c r="X2619" s="35"/>
      <c r="Y2619" s="102"/>
    </row>
    <row r="2620" spans="12:25" ht="16">
      <c r="L2620" s="31"/>
      <c r="M2620" s="31"/>
      <c r="N2620" s="31"/>
      <c r="X2620" s="35"/>
      <c r="Y2620" s="102"/>
    </row>
    <row r="2621" spans="12:25" ht="16">
      <c r="L2621" s="31"/>
      <c r="M2621" s="31"/>
      <c r="N2621" s="31"/>
      <c r="X2621" s="35"/>
      <c r="Y2621" s="102"/>
    </row>
    <row r="2622" spans="12:25" ht="16">
      <c r="L2622" s="31"/>
      <c r="M2622" s="31"/>
      <c r="N2622" s="31"/>
      <c r="X2622" s="35"/>
      <c r="Y2622" s="102"/>
    </row>
    <row r="2623" spans="12:25" ht="16">
      <c r="L2623" s="31"/>
      <c r="M2623" s="31"/>
      <c r="N2623" s="31"/>
      <c r="X2623" s="35"/>
      <c r="Y2623" s="102"/>
    </row>
    <row r="2624" spans="12:25" ht="16">
      <c r="L2624" s="31"/>
      <c r="M2624" s="31"/>
      <c r="N2624" s="31"/>
      <c r="X2624" s="35"/>
      <c r="Y2624" s="102"/>
    </row>
    <row r="2625" spans="12:25" ht="16">
      <c r="L2625" s="31"/>
      <c r="M2625" s="31"/>
      <c r="N2625" s="31"/>
      <c r="X2625" s="35"/>
      <c r="Y2625" s="102"/>
    </row>
    <row r="2626" spans="12:25" ht="16">
      <c r="L2626" s="31"/>
      <c r="M2626" s="31"/>
      <c r="N2626" s="31"/>
      <c r="X2626" s="35"/>
      <c r="Y2626" s="102"/>
    </row>
    <row r="2627" spans="12:25" ht="16">
      <c r="L2627" s="31"/>
      <c r="M2627" s="31"/>
      <c r="N2627" s="31"/>
      <c r="X2627" s="35"/>
      <c r="Y2627" s="102"/>
    </row>
    <row r="2628" spans="12:25" ht="16">
      <c r="L2628" s="31"/>
      <c r="M2628" s="31"/>
      <c r="N2628" s="31"/>
      <c r="X2628" s="35"/>
      <c r="Y2628" s="102"/>
    </row>
    <row r="2629" spans="12:25" ht="16">
      <c r="L2629" s="31"/>
      <c r="M2629" s="31"/>
      <c r="N2629" s="31"/>
      <c r="X2629" s="35"/>
      <c r="Y2629" s="102"/>
    </row>
    <row r="2630" spans="12:25" ht="16">
      <c r="L2630" s="31"/>
      <c r="M2630" s="31"/>
      <c r="N2630" s="31"/>
      <c r="X2630" s="35"/>
      <c r="Y2630" s="102"/>
    </row>
    <row r="2631" spans="12:25" ht="16">
      <c r="L2631" s="31"/>
      <c r="M2631" s="31"/>
      <c r="N2631" s="31"/>
      <c r="X2631" s="35"/>
      <c r="Y2631" s="102"/>
    </row>
    <row r="2632" spans="12:25" ht="16">
      <c r="L2632" s="31"/>
      <c r="M2632" s="31"/>
      <c r="N2632" s="31"/>
      <c r="X2632" s="35"/>
      <c r="Y2632" s="102"/>
    </row>
    <row r="2633" spans="12:25" ht="16">
      <c r="L2633" s="31"/>
      <c r="M2633" s="31"/>
      <c r="N2633" s="31"/>
      <c r="X2633" s="35"/>
      <c r="Y2633" s="102"/>
    </row>
    <row r="2634" spans="12:25" ht="16">
      <c r="L2634" s="31"/>
      <c r="M2634" s="31"/>
      <c r="N2634" s="31"/>
      <c r="X2634" s="35"/>
      <c r="Y2634" s="102"/>
    </row>
    <row r="2635" spans="12:25" ht="16">
      <c r="L2635" s="31"/>
      <c r="M2635" s="31"/>
      <c r="N2635" s="31"/>
      <c r="X2635" s="35"/>
      <c r="Y2635" s="102"/>
    </row>
    <row r="2636" spans="12:25" ht="16">
      <c r="L2636" s="31"/>
      <c r="M2636" s="31"/>
      <c r="N2636" s="31"/>
      <c r="X2636" s="35"/>
      <c r="Y2636" s="102"/>
    </row>
    <row r="2637" spans="12:25" ht="16">
      <c r="L2637" s="31"/>
      <c r="M2637" s="31"/>
      <c r="N2637" s="31"/>
      <c r="X2637" s="35"/>
      <c r="Y2637" s="102"/>
    </row>
    <row r="2638" spans="12:25" ht="16">
      <c r="L2638" s="31"/>
      <c r="M2638" s="31"/>
      <c r="N2638" s="31"/>
      <c r="X2638" s="35"/>
      <c r="Y2638" s="102"/>
    </row>
    <row r="2639" spans="12:25" ht="16">
      <c r="L2639" s="31"/>
      <c r="M2639" s="31"/>
      <c r="N2639" s="31"/>
      <c r="X2639" s="35"/>
      <c r="Y2639" s="102"/>
    </row>
    <row r="2640" spans="12:25" ht="16">
      <c r="L2640" s="31"/>
      <c r="M2640" s="31"/>
      <c r="N2640" s="31"/>
      <c r="X2640" s="35"/>
      <c r="Y2640" s="102"/>
    </row>
    <row r="2641" spans="12:25" ht="16">
      <c r="L2641" s="31"/>
      <c r="M2641" s="31"/>
      <c r="N2641" s="31"/>
      <c r="X2641" s="35"/>
      <c r="Y2641" s="102"/>
    </row>
    <row r="2642" spans="12:25" ht="16">
      <c r="L2642" s="31"/>
      <c r="M2642" s="31"/>
      <c r="N2642" s="31"/>
      <c r="X2642" s="35"/>
      <c r="Y2642" s="102"/>
    </row>
    <row r="2643" spans="12:25" ht="16">
      <c r="L2643" s="31"/>
      <c r="M2643" s="31"/>
      <c r="N2643" s="31"/>
      <c r="X2643" s="35"/>
      <c r="Y2643" s="102"/>
    </row>
    <row r="2644" spans="12:25" ht="16">
      <c r="L2644" s="31"/>
      <c r="M2644" s="31"/>
      <c r="N2644" s="31"/>
      <c r="X2644" s="35"/>
      <c r="Y2644" s="102"/>
    </row>
    <row r="2645" spans="12:25" ht="16">
      <c r="L2645" s="31"/>
      <c r="M2645" s="31"/>
      <c r="N2645" s="31"/>
      <c r="X2645" s="35"/>
      <c r="Y2645" s="102"/>
    </row>
    <row r="2646" spans="12:25" ht="16">
      <c r="L2646" s="31"/>
      <c r="M2646" s="31"/>
      <c r="N2646" s="31"/>
      <c r="X2646" s="35"/>
      <c r="Y2646" s="102"/>
    </row>
    <row r="2647" spans="12:25" ht="16">
      <c r="L2647" s="31"/>
      <c r="M2647" s="31"/>
      <c r="N2647" s="31"/>
      <c r="X2647" s="35"/>
      <c r="Y2647" s="102"/>
    </row>
    <row r="2648" spans="12:25" ht="16">
      <c r="L2648" s="31"/>
      <c r="M2648" s="31"/>
      <c r="N2648" s="31"/>
      <c r="X2648" s="35"/>
      <c r="Y2648" s="102"/>
    </row>
    <row r="2649" spans="12:25" ht="16">
      <c r="L2649" s="31"/>
      <c r="M2649" s="31"/>
      <c r="N2649" s="31"/>
      <c r="X2649" s="35"/>
      <c r="Y2649" s="102"/>
    </row>
    <row r="2650" spans="12:25" ht="16">
      <c r="L2650" s="31"/>
      <c r="M2650" s="31"/>
      <c r="N2650" s="31"/>
      <c r="X2650" s="35"/>
      <c r="Y2650" s="102"/>
    </row>
    <row r="2651" spans="12:25" ht="16">
      <c r="L2651" s="31"/>
      <c r="M2651" s="31"/>
      <c r="N2651" s="31"/>
      <c r="X2651" s="35"/>
      <c r="Y2651" s="102"/>
    </row>
    <row r="2652" spans="12:25" ht="16">
      <c r="L2652" s="31"/>
      <c r="M2652" s="31"/>
      <c r="N2652" s="31"/>
      <c r="X2652" s="35"/>
      <c r="Y2652" s="102"/>
    </row>
    <row r="2653" spans="12:25" ht="16">
      <c r="L2653" s="31"/>
      <c r="M2653" s="31"/>
      <c r="N2653" s="31"/>
      <c r="X2653" s="35"/>
      <c r="Y2653" s="102"/>
    </row>
    <row r="2654" spans="12:25" ht="16">
      <c r="L2654" s="31"/>
      <c r="M2654" s="31"/>
      <c r="N2654" s="31"/>
      <c r="X2654" s="35"/>
      <c r="Y2654" s="102"/>
    </row>
    <row r="2655" spans="12:25" ht="16">
      <c r="L2655" s="31"/>
      <c r="M2655" s="31"/>
      <c r="N2655" s="31"/>
      <c r="X2655" s="35"/>
      <c r="Y2655" s="102"/>
    </row>
    <row r="2656" spans="12:25" ht="16">
      <c r="L2656" s="31"/>
      <c r="M2656" s="31"/>
      <c r="N2656" s="31"/>
      <c r="X2656" s="35"/>
      <c r="Y2656" s="102"/>
    </row>
    <row r="2657" spans="12:25" ht="16">
      <c r="L2657" s="31"/>
      <c r="M2657" s="31"/>
      <c r="N2657" s="31"/>
      <c r="X2657" s="35"/>
      <c r="Y2657" s="102"/>
    </row>
    <row r="2658" spans="12:25" ht="16">
      <c r="L2658" s="31"/>
      <c r="M2658" s="31"/>
      <c r="N2658" s="31"/>
      <c r="X2658" s="35"/>
      <c r="Y2658" s="102"/>
    </row>
    <row r="2659" spans="12:25" ht="16">
      <c r="L2659" s="31"/>
      <c r="M2659" s="31"/>
      <c r="N2659" s="31"/>
      <c r="X2659" s="35"/>
      <c r="Y2659" s="102"/>
    </row>
    <row r="2660" spans="12:25" ht="16">
      <c r="L2660" s="31"/>
      <c r="M2660" s="31"/>
      <c r="N2660" s="31"/>
      <c r="X2660" s="35"/>
      <c r="Y2660" s="102"/>
    </row>
    <row r="2661" spans="12:25" ht="16">
      <c r="L2661" s="31"/>
      <c r="M2661" s="31"/>
      <c r="N2661" s="31"/>
      <c r="X2661" s="35"/>
      <c r="Y2661" s="102"/>
    </row>
    <row r="2662" spans="12:25" ht="16">
      <c r="L2662" s="31"/>
      <c r="M2662" s="31"/>
      <c r="N2662" s="31"/>
      <c r="X2662" s="35"/>
      <c r="Y2662" s="102"/>
    </row>
    <row r="2663" spans="12:25" ht="16">
      <c r="L2663" s="31"/>
      <c r="M2663" s="31"/>
      <c r="N2663" s="31"/>
      <c r="X2663" s="35"/>
      <c r="Y2663" s="102"/>
    </row>
    <row r="2664" spans="12:25" ht="16">
      <c r="L2664" s="31"/>
      <c r="M2664" s="31"/>
      <c r="N2664" s="31"/>
      <c r="X2664" s="35"/>
      <c r="Y2664" s="102"/>
    </row>
    <row r="2665" spans="12:25" ht="16">
      <c r="L2665" s="31"/>
      <c r="M2665" s="31"/>
      <c r="N2665" s="31"/>
      <c r="X2665" s="35"/>
      <c r="Y2665" s="102"/>
    </row>
    <row r="2666" spans="12:25" ht="16">
      <c r="L2666" s="31"/>
      <c r="M2666" s="31"/>
      <c r="N2666" s="31"/>
      <c r="X2666" s="35"/>
      <c r="Y2666" s="102"/>
    </row>
    <row r="2667" spans="12:25" ht="16">
      <c r="L2667" s="31"/>
      <c r="M2667" s="31"/>
      <c r="N2667" s="31"/>
      <c r="X2667" s="35"/>
      <c r="Y2667" s="102"/>
    </row>
    <row r="2668" spans="12:25" ht="16">
      <c r="L2668" s="31"/>
      <c r="M2668" s="31"/>
      <c r="N2668" s="31"/>
      <c r="X2668" s="35"/>
      <c r="Y2668" s="102"/>
    </row>
    <row r="2669" spans="12:25" ht="16">
      <c r="L2669" s="31"/>
      <c r="M2669" s="31"/>
      <c r="N2669" s="31"/>
      <c r="X2669" s="35"/>
      <c r="Y2669" s="102"/>
    </row>
    <row r="2670" spans="12:25" ht="16">
      <c r="L2670" s="31"/>
      <c r="M2670" s="31"/>
      <c r="N2670" s="31"/>
      <c r="X2670" s="35"/>
      <c r="Y2670" s="102"/>
    </row>
    <row r="2671" spans="12:25" ht="16">
      <c r="L2671" s="31"/>
      <c r="M2671" s="31"/>
      <c r="N2671" s="31"/>
      <c r="X2671" s="35"/>
      <c r="Y2671" s="102"/>
    </row>
    <row r="2672" spans="12:25" ht="16">
      <c r="L2672" s="31"/>
      <c r="M2672" s="31"/>
      <c r="N2672" s="31"/>
      <c r="X2672" s="35"/>
      <c r="Y2672" s="102"/>
    </row>
    <row r="2673" spans="12:25" ht="16">
      <c r="L2673" s="31"/>
      <c r="M2673" s="31"/>
      <c r="N2673" s="31"/>
      <c r="X2673" s="35"/>
      <c r="Y2673" s="102"/>
    </row>
    <row r="2674" spans="12:25" ht="16">
      <c r="L2674" s="31"/>
      <c r="M2674" s="31"/>
      <c r="N2674" s="31"/>
      <c r="X2674" s="35"/>
      <c r="Y2674" s="102"/>
    </row>
    <row r="2675" spans="12:25" ht="16">
      <c r="L2675" s="31"/>
      <c r="M2675" s="31"/>
      <c r="N2675" s="31"/>
      <c r="X2675" s="35"/>
      <c r="Y2675" s="102"/>
    </row>
    <row r="2676" spans="12:25" ht="16">
      <c r="L2676" s="31"/>
      <c r="M2676" s="31"/>
      <c r="N2676" s="31"/>
      <c r="X2676" s="35"/>
      <c r="Y2676" s="102"/>
    </row>
    <row r="2677" spans="12:25" ht="16">
      <c r="L2677" s="31"/>
      <c r="M2677" s="31"/>
      <c r="N2677" s="31"/>
      <c r="X2677" s="35"/>
      <c r="Y2677" s="102"/>
    </row>
    <row r="2678" spans="12:25" ht="16">
      <c r="L2678" s="31"/>
      <c r="M2678" s="31"/>
      <c r="N2678" s="31"/>
      <c r="X2678" s="35"/>
      <c r="Y2678" s="102"/>
    </row>
    <row r="2679" spans="12:25" ht="16">
      <c r="L2679" s="31"/>
      <c r="M2679" s="31"/>
      <c r="N2679" s="31"/>
      <c r="X2679" s="35"/>
      <c r="Y2679" s="102"/>
    </row>
    <row r="2680" spans="12:25" ht="16">
      <c r="L2680" s="31"/>
      <c r="M2680" s="31"/>
      <c r="N2680" s="31"/>
      <c r="X2680" s="35"/>
      <c r="Y2680" s="102"/>
    </row>
    <row r="2681" spans="12:25" ht="16">
      <c r="L2681" s="31"/>
      <c r="M2681" s="31"/>
      <c r="N2681" s="31"/>
      <c r="X2681" s="35"/>
      <c r="Y2681" s="102"/>
    </row>
    <row r="2682" spans="12:25" ht="16">
      <c r="L2682" s="31"/>
      <c r="M2682" s="31"/>
      <c r="N2682" s="31"/>
      <c r="X2682" s="35"/>
      <c r="Y2682" s="102"/>
    </row>
    <row r="2683" spans="12:25" ht="16">
      <c r="L2683" s="31"/>
      <c r="M2683" s="31"/>
      <c r="N2683" s="31"/>
      <c r="X2683" s="35"/>
      <c r="Y2683" s="102"/>
    </row>
    <row r="2684" spans="12:25" ht="16">
      <c r="L2684" s="31"/>
      <c r="M2684" s="31"/>
      <c r="N2684" s="31"/>
      <c r="X2684" s="35"/>
      <c r="Y2684" s="102"/>
    </row>
    <row r="2685" spans="12:25" ht="16">
      <c r="L2685" s="31"/>
      <c r="M2685" s="31"/>
      <c r="N2685" s="31"/>
      <c r="X2685" s="35"/>
      <c r="Y2685" s="102"/>
    </row>
    <row r="2686" spans="12:25" ht="16">
      <c r="L2686" s="31"/>
      <c r="M2686" s="31"/>
      <c r="N2686" s="31"/>
      <c r="X2686" s="35"/>
      <c r="Y2686" s="102"/>
    </row>
    <row r="2687" spans="12:25" ht="16">
      <c r="L2687" s="31"/>
      <c r="M2687" s="31"/>
      <c r="N2687" s="31"/>
      <c r="X2687" s="35"/>
      <c r="Y2687" s="102"/>
    </row>
    <row r="2688" spans="12:25" ht="16">
      <c r="L2688" s="31"/>
      <c r="M2688" s="31"/>
      <c r="N2688" s="31"/>
      <c r="X2688" s="35"/>
      <c r="Y2688" s="102"/>
    </row>
    <row r="2689" spans="12:25" ht="16">
      <c r="L2689" s="31"/>
      <c r="M2689" s="31"/>
      <c r="N2689" s="31"/>
      <c r="X2689" s="35"/>
      <c r="Y2689" s="102"/>
    </row>
    <row r="2690" spans="12:25" ht="16">
      <c r="L2690" s="31"/>
      <c r="M2690" s="31"/>
      <c r="N2690" s="31"/>
      <c r="X2690" s="35"/>
      <c r="Y2690" s="102"/>
    </row>
    <row r="2691" spans="12:25" ht="16">
      <c r="L2691" s="31"/>
      <c r="M2691" s="31"/>
      <c r="N2691" s="31"/>
      <c r="X2691" s="35"/>
      <c r="Y2691" s="102"/>
    </row>
    <row r="2692" spans="12:25" ht="16">
      <c r="L2692" s="31"/>
      <c r="M2692" s="31"/>
      <c r="N2692" s="31"/>
      <c r="X2692" s="35"/>
      <c r="Y2692" s="102"/>
    </row>
    <row r="2693" spans="12:25" ht="16">
      <c r="L2693" s="31"/>
      <c r="M2693" s="31"/>
      <c r="N2693" s="31"/>
      <c r="X2693" s="35"/>
      <c r="Y2693" s="102"/>
    </row>
    <row r="2694" spans="12:25" ht="16">
      <c r="L2694" s="31"/>
      <c r="M2694" s="31"/>
      <c r="N2694" s="31"/>
      <c r="X2694" s="35"/>
      <c r="Y2694" s="102"/>
    </row>
    <row r="2695" spans="12:25" ht="16">
      <c r="L2695" s="31"/>
      <c r="M2695" s="31"/>
      <c r="N2695" s="31"/>
      <c r="X2695" s="35"/>
      <c r="Y2695" s="102"/>
    </row>
    <row r="2696" spans="12:25" ht="16">
      <c r="L2696" s="31"/>
      <c r="M2696" s="31"/>
      <c r="N2696" s="31"/>
      <c r="X2696" s="35"/>
      <c r="Y2696" s="102"/>
    </row>
    <row r="2697" spans="12:25" ht="16">
      <c r="L2697" s="31"/>
      <c r="M2697" s="31"/>
      <c r="N2697" s="31"/>
      <c r="X2697" s="35"/>
      <c r="Y2697" s="102"/>
    </row>
    <row r="2698" spans="12:25" ht="16">
      <c r="L2698" s="31"/>
      <c r="M2698" s="31"/>
      <c r="N2698" s="31"/>
      <c r="X2698" s="35"/>
      <c r="Y2698" s="102"/>
    </row>
    <row r="2699" spans="12:25" ht="16">
      <c r="L2699" s="31"/>
      <c r="M2699" s="31"/>
      <c r="N2699" s="31"/>
      <c r="X2699" s="35"/>
      <c r="Y2699" s="102"/>
    </row>
    <row r="2700" spans="12:25" ht="16">
      <c r="L2700" s="31"/>
      <c r="M2700" s="31"/>
      <c r="N2700" s="31"/>
      <c r="X2700" s="35"/>
      <c r="Y2700" s="102"/>
    </row>
    <row r="2701" spans="12:25" ht="16">
      <c r="L2701" s="31"/>
      <c r="M2701" s="31"/>
      <c r="N2701" s="31"/>
      <c r="X2701" s="35"/>
      <c r="Y2701" s="102"/>
    </row>
    <row r="2702" spans="12:25" ht="16">
      <c r="L2702" s="31"/>
      <c r="M2702" s="31"/>
      <c r="N2702" s="31"/>
      <c r="X2702" s="35"/>
      <c r="Y2702" s="102"/>
    </row>
    <row r="2703" spans="12:25" ht="16">
      <c r="L2703" s="31"/>
      <c r="M2703" s="31"/>
      <c r="N2703" s="31"/>
      <c r="X2703" s="35"/>
      <c r="Y2703" s="102"/>
    </row>
    <row r="2704" spans="12:25" ht="16">
      <c r="L2704" s="31"/>
      <c r="M2704" s="31"/>
      <c r="N2704" s="31"/>
      <c r="X2704" s="35"/>
      <c r="Y2704" s="102"/>
    </row>
    <row r="2705" spans="12:25" ht="16">
      <c r="L2705" s="31"/>
      <c r="M2705" s="31"/>
      <c r="N2705" s="31"/>
      <c r="X2705" s="35"/>
      <c r="Y2705" s="102"/>
    </row>
    <row r="2706" spans="12:25" ht="16">
      <c r="L2706" s="31"/>
      <c r="M2706" s="31"/>
      <c r="N2706" s="31"/>
      <c r="X2706" s="35"/>
      <c r="Y2706" s="102"/>
    </row>
    <row r="2707" spans="12:25" ht="16">
      <c r="L2707" s="31"/>
      <c r="M2707" s="31"/>
      <c r="N2707" s="31"/>
      <c r="X2707" s="35"/>
      <c r="Y2707" s="102"/>
    </row>
    <row r="2708" spans="12:25" ht="16">
      <c r="L2708" s="31"/>
      <c r="M2708" s="31"/>
      <c r="N2708" s="31"/>
      <c r="X2708" s="35"/>
      <c r="Y2708" s="102"/>
    </row>
    <row r="2709" spans="12:25" ht="16">
      <c r="L2709" s="31"/>
      <c r="M2709" s="31"/>
      <c r="N2709" s="31"/>
      <c r="X2709" s="35"/>
      <c r="Y2709" s="102"/>
    </row>
    <row r="2710" spans="12:25" ht="16">
      <c r="L2710" s="31"/>
      <c r="M2710" s="31"/>
      <c r="N2710" s="31"/>
      <c r="X2710" s="35"/>
      <c r="Y2710" s="102"/>
    </row>
    <row r="2711" spans="12:25" ht="16">
      <c r="L2711" s="31"/>
      <c r="M2711" s="31"/>
      <c r="N2711" s="31"/>
      <c r="X2711" s="35"/>
      <c r="Y2711" s="102"/>
    </row>
    <row r="2712" spans="12:25" ht="16">
      <c r="L2712" s="31"/>
      <c r="M2712" s="31"/>
      <c r="N2712" s="31"/>
      <c r="X2712" s="35"/>
      <c r="Y2712" s="102"/>
    </row>
    <row r="2713" spans="12:25" ht="16">
      <c r="L2713" s="31"/>
      <c r="M2713" s="31"/>
      <c r="N2713" s="31"/>
      <c r="X2713" s="35"/>
      <c r="Y2713" s="102"/>
    </row>
    <row r="2714" spans="12:25" ht="16">
      <c r="L2714" s="31"/>
      <c r="M2714" s="31"/>
      <c r="N2714" s="31"/>
      <c r="X2714" s="35"/>
      <c r="Y2714" s="102"/>
    </row>
    <row r="2715" spans="12:25" ht="16">
      <c r="L2715" s="31"/>
      <c r="M2715" s="31"/>
      <c r="N2715" s="31"/>
      <c r="X2715" s="35"/>
      <c r="Y2715" s="102"/>
    </row>
    <row r="2716" spans="12:25" ht="16">
      <c r="L2716" s="31"/>
      <c r="M2716" s="31"/>
      <c r="N2716" s="31"/>
      <c r="X2716" s="35"/>
      <c r="Y2716" s="102"/>
    </row>
    <row r="2717" spans="12:25" ht="16">
      <c r="L2717" s="31"/>
      <c r="M2717" s="31"/>
      <c r="N2717" s="31"/>
      <c r="X2717" s="35"/>
      <c r="Y2717" s="102"/>
    </row>
    <row r="2718" spans="12:25" ht="16">
      <c r="L2718" s="31"/>
      <c r="M2718" s="31"/>
      <c r="N2718" s="31"/>
      <c r="X2718" s="35"/>
      <c r="Y2718" s="102"/>
    </row>
    <row r="2719" spans="12:25" ht="16">
      <c r="L2719" s="31"/>
      <c r="M2719" s="31"/>
      <c r="N2719" s="31"/>
      <c r="X2719" s="35"/>
      <c r="Y2719" s="102"/>
    </row>
    <row r="2720" spans="12:25" ht="16">
      <c r="L2720" s="31"/>
      <c r="M2720" s="31"/>
      <c r="N2720" s="31"/>
      <c r="X2720" s="35"/>
      <c r="Y2720" s="102"/>
    </row>
    <row r="2721" spans="12:25" ht="16">
      <c r="L2721" s="31"/>
      <c r="M2721" s="31"/>
      <c r="N2721" s="31"/>
      <c r="X2721" s="35"/>
      <c r="Y2721" s="102"/>
    </row>
    <row r="2722" spans="12:25" ht="16">
      <c r="L2722" s="31"/>
      <c r="M2722" s="31"/>
      <c r="N2722" s="31"/>
      <c r="X2722" s="35"/>
      <c r="Y2722" s="102"/>
    </row>
    <row r="2723" spans="12:25" ht="16">
      <c r="L2723" s="31"/>
      <c r="M2723" s="31"/>
      <c r="N2723" s="31"/>
      <c r="X2723" s="35"/>
      <c r="Y2723" s="102"/>
    </row>
    <row r="2724" spans="12:25" ht="16">
      <c r="L2724" s="31"/>
      <c r="M2724" s="31"/>
      <c r="N2724" s="31"/>
      <c r="X2724" s="35"/>
      <c r="Y2724" s="102"/>
    </row>
    <row r="2725" spans="12:25" ht="16">
      <c r="L2725" s="31"/>
      <c r="M2725" s="31"/>
      <c r="N2725" s="31"/>
      <c r="X2725" s="35"/>
      <c r="Y2725" s="102"/>
    </row>
    <row r="2726" spans="12:25" ht="16">
      <c r="L2726" s="31"/>
      <c r="M2726" s="31"/>
      <c r="N2726" s="31"/>
      <c r="X2726" s="35"/>
      <c r="Y2726" s="102"/>
    </row>
    <row r="2727" spans="12:25" ht="16">
      <c r="L2727" s="31"/>
      <c r="M2727" s="31"/>
      <c r="N2727" s="31"/>
      <c r="X2727" s="35"/>
      <c r="Y2727" s="102"/>
    </row>
    <row r="2728" spans="12:25" ht="16">
      <c r="L2728" s="31"/>
      <c r="M2728" s="31"/>
      <c r="N2728" s="31"/>
      <c r="X2728" s="35"/>
      <c r="Y2728" s="102"/>
    </row>
    <row r="2729" spans="12:25" ht="16">
      <c r="L2729" s="31"/>
      <c r="M2729" s="31"/>
      <c r="N2729" s="31"/>
      <c r="X2729" s="35"/>
      <c r="Y2729" s="102"/>
    </row>
    <row r="2730" spans="12:25" ht="16">
      <c r="L2730" s="31"/>
      <c r="M2730" s="31"/>
      <c r="N2730" s="31"/>
      <c r="X2730" s="35"/>
      <c r="Y2730" s="102"/>
    </row>
    <row r="2731" spans="12:25" ht="16">
      <c r="L2731" s="31"/>
      <c r="M2731" s="31"/>
      <c r="N2731" s="31"/>
      <c r="X2731" s="35"/>
      <c r="Y2731" s="102"/>
    </row>
    <row r="2732" spans="12:25" ht="16">
      <c r="L2732" s="31"/>
      <c r="M2732" s="31"/>
      <c r="N2732" s="31"/>
      <c r="X2732" s="35"/>
      <c r="Y2732" s="102"/>
    </row>
    <row r="2733" spans="12:25" ht="16">
      <c r="L2733" s="31"/>
      <c r="M2733" s="31"/>
      <c r="N2733" s="31"/>
      <c r="X2733" s="35"/>
      <c r="Y2733" s="102"/>
    </row>
    <row r="2734" spans="12:25" ht="16">
      <c r="L2734" s="31"/>
      <c r="M2734" s="31"/>
      <c r="N2734" s="31"/>
      <c r="X2734" s="35"/>
      <c r="Y2734" s="102"/>
    </row>
    <row r="2735" spans="12:25" ht="16">
      <c r="L2735" s="31"/>
      <c r="M2735" s="31"/>
      <c r="N2735" s="31"/>
      <c r="X2735" s="35"/>
      <c r="Y2735" s="102"/>
    </row>
    <row r="2736" spans="12:25" ht="16">
      <c r="L2736" s="31"/>
      <c r="M2736" s="31"/>
      <c r="N2736" s="31"/>
      <c r="X2736" s="35"/>
      <c r="Y2736" s="102"/>
    </row>
    <row r="2737" spans="12:25" ht="16">
      <c r="L2737" s="31"/>
      <c r="M2737" s="31"/>
      <c r="N2737" s="31"/>
      <c r="X2737" s="35"/>
      <c r="Y2737" s="102"/>
    </row>
    <row r="2738" spans="12:25" ht="16">
      <c r="L2738" s="31"/>
      <c r="M2738" s="31"/>
      <c r="N2738" s="31"/>
      <c r="X2738" s="35"/>
      <c r="Y2738" s="102"/>
    </row>
    <row r="2739" spans="12:25" ht="16">
      <c r="L2739" s="31"/>
      <c r="M2739" s="31"/>
      <c r="N2739" s="31"/>
      <c r="X2739" s="35"/>
      <c r="Y2739" s="102"/>
    </row>
    <row r="2740" spans="12:25" ht="16">
      <c r="L2740" s="31"/>
      <c r="M2740" s="31"/>
      <c r="N2740" s="31"/>
      <c r="X2740" s="35"/>
      <c r="Y2740" s="102"/>
    </row>
    <row r="2741" spans="12:25" ht="16">
      <c r="L2741" s="31"/>
      <c r="M2741" s="31"/>
      <c r="N2741" s="31"/>
      <c r="X2741" s="35"/>
      <c r="Y2741" s="102"/>
    </row>
    <row r="2742" spans="12:25" ht="16">
      <c r="L2742" s="31"/>
      <c r="M2742" s="31"/>
      <c r="N2742" s="31"/>
      <c r="X2742" s="35"/>
      <c r="Y2742" s="102"/>
    </row>
    <row r="2743" spans="12:25" ht="16">
      <c r="L2743" s="31"/>
      <c r="M2743" s="31"/>
      <c r="N2743" s="31"/>
      <c r="X2743" s="35"/>
      <c r="Y2743" s="102"/>
    </row>
    <row r="2744" spans="12:25" ht="16">
      <c r="L2744" s="31"/>
      <c r="M2744" s="31"/>
      <c r="N2744" s="31"/>
      <c r="X2744" s="35"/>
      <c r="Y2744" s="102"/>
    </row>
    <row r="2745" spans="12:25" ht="16">
      <c r="L2745" s="31"/>
      <c r="M2745" s="31"/>
      <c r="N2745" s="31"/>
      <c r="X2745" s="35"/>
      <c r="Y2745" s="102"/>
    </row>
    <row r="2746" spans="12:25" ht="16">
      <c r="L2746" s="31"/>
      <c r="M2746" s="31"/>
      <c r="N2746" s="31"/>
    </row>
    <row r="2747" spans="12:25" ht="16">
      <c r="L2747" s="31"/>
      <c r="M2747" s="31"/>
      <c r="N2747" s="31"/>
    </row>
    <row r="2748" spans="12:25" ht="16">
      <c r="L2748" s="31"/>
      <c r="M2748" s="31"/>
      <c r="N2748" s="31"/>
    </row>
    <row r="2749" spans="12:25" ht="16">
      <c r="L2749" s="31"/>
      <c r="M2749" s="31"/>
      <c r="N2749" s="31"/>
    </row>
  </sheetData>
  <sheetProtection sheet="1" objects="1" scenarios="1"/>
  <protectedRanges>
    <protectedRange sqref="A1:B1048576 J1:K1048576 N1:O1048576 Q1:Q1048576 S38 U1:U1048576 V1:W1048576 AB1:AF1048576 E1:H1048576 D1:D28 S1:S37 S40:S1048576 D30:D38 D40:D41 D43:D1048576" name="Range1"/>
  </protectedRanges>
  <mergeCells count="4">
    <mergeCell ref="J1:Q1"/>
    <mergeCell ref="R1:U1"/>
    <mergeCell ref="V1:W1"/>
    <mergeCell ref="X1:AA1"/>
  </mergeCells>
  <conditionalFormatting sqref="X1 X2:Y1048576">
    <cfRule type="expression" dxfId="53" priority="5">
      <formula>AND(X1&lt;0.7,X1&lt;&gt;"")</formula>
    </cfRule>
  </conditionalFormatting>
  <conditionalFormatting sqref="X2:Y1048576 X1">
    <cfRule type="expression" dxfId="52" priority="4">
      <formula>AND(X1&gt;=0.7,X1&lt;=0.85,X1&lt;&gt;"")</formula>
    </cfRule>
  </conditionalFormatting>
  <conditionalFormatting sqref="X3:Y10000">
    <cfRule type="expression" dxfId="51" priority="3">
      <formula>AND(X3&gt;0.85,X3&lt;&gt;"")</formula>
    </cfRule>
  </conditionalFormatting>
  <conditionalFormatting sqref="Z2:AA1048576">
    <cfRule type="cellIs" dxfId="50" priority="2" operator="lessThan">
      <formula>0</formula>
    </cfRule>
  </conditionalFormatting>
  <conditionalFormatting sqref="Z3:AA10000">
    <cfRule type="cellIs" dxfId="49" priority="1" operator="greaterThan">
      <formula>0</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5F213-E0F6-4F57-8FDC-BE961A29F010}">
  <dimension ref="A1:AF2749"/>
  <sheetViews>
    <sheetView topLeftCell="N1" workbookViewId="0">
      <pane ySplit="2" topLeftCell="A79" activePane="bottomLeft" state="frozen"/>
      <selection pane="bottomLeft" activeCell="T73" sqref="T73"/>
    </sheetView>
  </sheetViews>
  <sheetFormatPr defaultColWidth="9.1796875" defaultRowHeight="15.75" customHeight="1"/>
  <cols>
    <col min="1" max="1" width="11.54296875" style="27" customWidth="1"/>
    <col min="2" max="2" width="15.81640625" style="28" customWidth="1"/>
    <col min="3" max="3" width="13.1796875" style="28" hidden="1" customWidth="1"/>
    <col min="4" max="4" width="14.1796875" style="28" customWidth="1"/>
    <col min="5" max="5" width="15.54296875" style="29" bestFit="1" customWidth="1"/>
    <col min="6" max="6" width="14.7265625" style="29" bestFit="1" customWidth="1"/>
    <col min="7" max="7" width="18.26953125" style="29" bestFit="1" customWidth="1"/>
    <col min="8" max="8" width="19" style="28" bestFit="1" customWidth="1"/>
    <col min="9" max="9" width="19" style="28" hidden="1" customWidth="1"/>
    <col min="10" max="10" width="10.1796875" style="30" bestFit="1" customWidth="1"/>
    <col min="11" max="11" width="14" style="28" bestFit="1" customWidth="1"/>
    <col min="12" max="12" width="16.453125" style="28" bestFit="1" customWidth="1"/>
    <col min="13" max="13" width="20.7265625" style="28" hidden="1" customWidth="1"/>
    <col min="14" max="14" width="16.453125" style="28" customWidth="1"/>
    <col min="15" max="15" width="16" style="28" bestFit="1" customWidth="1"/>
    <col min="16" max="16" width="17.7265625" style="28" hidden="1" customWidth="1"/>
    <col min="17" max="17" width="13.81640625" style="28" bestFit="1" customWidth="1"/>
    <col min="18" max="18" width="13.453125" style="38" bestFit="1" customWidth="1"/>
    <col min="19" max="19" width="17.26953125" style="28" bestFit="1" customWidth="1"/>
    <col min="20" max="20" width="20.453125" style="33" bestFit="1" customWidth="1"/>
    <col min="21" max="21" width="17.7265625" style="34" bestFit="1" customWidth="1"/>
    <col min="22" max="23" width="15.7265625" style="33" bestFit="1" customWidth="1"/>
    <col min="24" max="24" width="15.1796875" style="38" bestFit="1" customWidth="1"/>
    <col min="25" max="25" width="15.1796875" style="37" hidden="1" customWidth="1"/>
    <col min="26" max="26" width="21.26953125" style="33" bestFit="1" customWidth="1"/>
    <col min="27" max="27" width="21.26953125" style="106" hidden="1" customWidth="1"/>
    <col min="28" max="28" width="55.26953125" style="28" customWidth="1"/>
    <col min="29" max="32" width="16.81640625" style="28" bestFit="1" customWidth="1"/>
    <col min="33" max="16384" width="9.1796875" style="37"/>
  </cols>
  <sheetData>
    <row r="1" spans="1:32" ht="47.25" customHeight="1">
      <c r="A1" s="14"/>
      <c r="B1" s="15"/>
      <c r="C1" s="15"/>
      <c r="D1" s="15"/>
      <c r="E1" s="16"/>
      <c r="F1" s="16"/>
      <c r="G1" s="16"/>
      <c r="H1" s="15"/>
      <c r="I1" s="15"/>
      <c r="J1" s="115" t="s">
        <v>0</v>
      </c>
      <c r="K1" s="116"/>
      <c r="L1" s="116"/>
      <c r="M1" s="116"/>
      <c r="N1" s="116"/>
      <c r="O1" s="116"/>
      <c r="P1" s="116"/>
      <c r="Q1" s="117"/>
      <c r="R1" s="118" t="s">
        <v>1</v>
      </c>
      <c r="S1" s="119"/>
      <c r="T1" s="119"/>
      <c r="U1" s="120"/>
      <c r="V1" s="113" t="s">
        <v>2</v>
      </c>
      <c r="W1" s="114"/>
      <c r="X1" s="121" t="s">
        <v>3</v>
      </c>
      <c r="Y1" s="122"/>
      <c r="Z1" s="122"/>
      <c r="AA1" s="123"/>
    </row>
    <row r="2" spans="1:32" ht="16">
      <c r="A2" s="17" t="s">
        <v>4</v>
      </c>
      <c r="B2" s="18" t="s">
        <v>5</v>
      </c>
      <c r="C2" s="50" t="s">
        <v>6</v>
      </c>
      <c r="D2" s="18" t="s">
        <v>7</v>
      </c>
      <c r="E2" s="19" t="s">
        <v>8</v>
      </c>
      <c r="F2" s="19" t="s">
        <v>9</v>
      </c>
      <c r="G2" s="19" t="s">
        <v>10</v>
      </c>
      <c r="H2" s="18" t="s">
        <v>11</v>
      </c>
      <c r="I2" s="50" t="s">
        <v>12</v>
      </c>
      <c r="J2" s="20" t="s">
        <v>13</v>
      </c>
      <c r="K2" s="18" t="s">
        <v>14</v>
      </c>
      <c r="L2" s="21" t="s">
        <v>15</v>
      </c>
      <c r="M2" s="50" t="s">
        <v>16</v>
      </c>
      <c r="N2" s="18" t="s">
        <v>17</v>
      </c>
      <c r="O2" s="18" t="s">
        <v>18</v>
      </c>
      <c r="P2" s="50" t="s">
        <v>19</v>
      </c>
      <c r="Q2" s="18" t="s">
        <v>20</v>
      </c>
      <c r="R2" s="22" t="s">
        <v>21</v>
      </c>
      <c r="S2" s="18" t="s">
        <v>22</v>
      </c>
      <c r="T2" s="23" t="s">
        <v>23</v>
      </c>
      <c r="U2" s="24" t="s">
        <v>24</v>
      </c>
      <c r="V2" s="25" t="s">
        <v>25</v>
      </c>
      <c r="W2" s="25" t="s">
        <v>26</v>
      </c>
      <c r="X2" s="26" t="s">
        <v>27</v>
      </c>
      <c r="Y2" s="107" t="s">
        <v>28</v>
      </c>
      <c r="Z2" s="103" t="s">
        <v>29</v>
      </c>
      <c r="AA2" s="108" t="s">
        <v>30</v>
      </c>
      <c r="AB2" s="18" t="s">
        <v>31</v>
      </c>
      <c r="AC2" s="18" t="s">
        <v>32</v>
      </c>
      <c r="AD2" s="18" t="s">
        <v>33</v>
      </c>
      <c r="AE2" s="18" t="s">
        <v>34</v>
      </c>
      <c r="AF2" s="18" t="s">
        <v>35</v>
      </c>
    </row>
    <row r="3" spans="1:32" ht="25" customHeight="1">
      <c r="A3" s="27">
        <v>46120</v>
      </c>
      <c r="B3" s="28">
        <v>143060</v>
      </c>
      <c r="C3" s="28" t="str">
        <f>IF(tbl_FlatLaser[[#This Row],[Part'#]]="", "Batch", "Part")</f>
        <v>Part</v>
      </c>
      <c r="D3" s="28" t="s">
        <v>215</v>
      </c>
      <c r="E3" s="29">
        <v>0.2361111111111111</v>
      </c>
      <c r="F3" s="29">
        <v>0.25833333333333336</v>
      </c>
      <c r="G3" s="28">
        <v>84</v>
      </c>
      <c r="H3" s="28">
        <v>6</v>
      </c>
      <c r="I3" s="70">
        <f>tbl_FlatLaser[[#This Row],[Qty Complete]]/tbl_FlatLaser[[#This Row],[Qty Required]]</f>
        <v>7.1428571428571425E-2</v>
      </c>
      <c r="J3" s="30">
        <v>12</v>
      </c>
      <c r="K3" s="28">
        <v>1</v>
      </c>
      <c r="L3" s="31">
        <f>IF(tbl_FlatLaser[[#This Row],[Job Type]]="Batch",0,tbl_FlatLaser[[#This Row],[Qty Required]]/tbl_FlatLaser[[#This Row],[PPH]]*tbl_FlatLaser[[#This Row],['# of men]])</f>
        <v>7</v>
      </c>
      <c r="M3" s="31">
        <f>IF(tbl_FlatLaser[[#This Row],[Job Type]]="Batch",tbl_FlatLaser[[#This Row],[Batch Hours]]*tbl_FlatLaser[[#This Row],[% Complete]],tbl_FlatLaser[[#This Row],[Total hours]]*tbl_FlatLaser[[#This Row],[% Complete]])</f>
        <v>0.5</v>
      </c>
      <c r="N3" s="31"/>
      <c r="O3" s="28" t="s">
        <v>216</v>
      </c>
      <c r="P3" s="28">
        <f>tbl_FlatLaser[[#This Row],[Mat. Qty]]*tbl_FlatLaser[[#This Row],[% Complete]]</f>
        <v>6</v>
      </c>
      <c r="Q3" s="28">
        <v>84</v>
      </c>
      <c r="R3" s="32">
        <f>IFERROR(tbl_FlatLaser[[#This Row],[Qty Complete]]/tbl_FlatLaser[[#This Row],[Total Hours Act]]*tbl_FlatLaser[[#This Row],['# of men Act]],"")</f>
        <v>11.249999999999984</v>
      </c>
      <c r="S3" s="28">
        <v>1</v>
      </c>
      <c r="T3"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0.5333333333333341</v>
      </c>
      <c r="U3" s="34">
        <v>6</v>
      </c>
      <c r="V3" s="33">
        <v>0.52</v>
      </c>
      <c r="W3" s="33">
        <v>0.67</v>
      </c>
      <c r="X3" s="35">
        <f>IFERROR((tbl_FlatLaser[[#This Row],[Adj. Total Hours]]+tbl_FlatLaser[[#This Row],[Est. Hours]])/(tbl_FlatLaser[[#This Row],[Total Hours Act]]+tbl_FlatLaser[[#This Row],[Act. Hours]]),"")</f>
        <v>0.84764542936288045</v>
      </c>
      <c r="Y3"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3" s="104">
        <f>IFERROR(tbl_FlatLaser[[#This Row],[Act. Mat. Qty]]-tbl_FlatLaser[[#This Row],[Adj. Mat. Qty]],"")</f>
        <v>0</v>
      </c>
      <c r="AA3"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B3" s="28" t="s">
        <v>217</v>
      </c>
      <c r="AC3" s="31" t="s">
        <v>218</v>
      </c>
      <c r="AD3" s="36"/>
    </row>
    <row r="4" spans="1:32" ht="25" customHeight="1">
      <c r="A4" s="27">
        <v>46120</v>
      </c>
      <c r="B4" s="28">
        <v>143055</v>
      </c>
      <c r="C4" s="28" t="str">
        <f>IF(tbl_FlatLaser[[#This Row],[Part'#]]="", "Batch", "Part")</f>
        <v>Part</v>
      </c>
      <c r="D4" s="28" t="s">
        <v>219</v>
      </c>
      <c r="E4" s="29">
        <v>0.27986111111111112</v>
      </c>
      <c r="F4" s="29">
        <v>0.34166666666666667</v>
      </c>
      <c r="G4" s="28">
        <v>84</v>
      </c>
      <c r="H4" s="28">
        <v>36</v>
      </c>
      <c r="I4" s="70">
        <f>tbl_FlatLaser[[#This Row],[Qty Complete]]/tbl_FlatLaser[[#This Row],[Qty Required]]</f>
        <v>0.42857142857142855</v>
      </c>
      <c r="J4" s="30">
        <v>30</v>
      </c>
      <c r="K4" s="28">
        <v>1</v>
      </c>
      <c r="L4" s="31">
        <v>2.8</v>
      </c>
      <c r="M4" s="31">
        <f>IF(tbl_FlatLaser[[#This Row],[Job Type]]="Batch",tbl_FlatLaser[[#This Row],[Batch Hours]]*tbl_FlatLaser[[#This Row],[% Complete]],tbl_FlatLaser[[#This Row],[Total hours]]*tbl_FlatLaser[[#This Row],[% Complete]])</f>
        <v>1.2</v>
      </c>
      <c r="N4" s="31"/>
      <c r="O4" s="28" t="s">
        <v>220</v>
      </c>
      <c r="P4" s="28">
        <f>tbl_FlatLaser[[#This Row],[Mat. Qty]]*tbl_FlatLaser[[#This Row],[% Complete]]</f>
        <v>18</v>
      </c>
      <c r="Q4" s="28">
        <v>42</v>
      </c>
      <c r="R4" s="32">
        <f>IFERROR(tbl_FlatLaser[[#This Row],[Qty Complete]]/tbl_FlatLaser[[#This Row],[Total Hours Act]]*tbl_FlatLaser[[#This Row],['# of men Act]],"")</f>
        <v>24.269662921348313</v>
      </c>
      <c r="S4" s="28">
        <v>1</v>
      </c>
      <c r="T4"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1.4833333333333334</v>
      </c>
      <c r="U4" s="34">
        <v>36</v>
      </c>
      <c r="V4" s="33">
        <v>0.52</v>
      </c>
      <c r="W4" s="33">
        <v>0.5</v>
      </c>
      <c r="X4" s="35">
        <f>IFERROR((tbl_FlatLaser[[#This Row],[Adj. Total Hours]]+tbl_FlatLaser[[#This Row],[Est. Hours]])/(tbl_FlatLaser[[#This Row],[Total Hours Act]]+tbl_FlatLaser[[#This Row],[Act. Hours]]),"")</f>
        <v>0.86722689075630244</v>
      </c>
      <c r="Y4"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4" s="104">
        <f>IFERROR(tbl_FlatLaser[[#This Row],[Act. Mat. Qty]]-tbl_FlatLaser[[#This Row],[Adj. Mat. Qty]],"")</f>
        <v>18</v>
      </c>
      <c r="AA4"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B4" s="28" t="s">
        <v>221</v>
      </c>
      <c r="AC4" s="31" t="s">
        <v>218</v>
      </c>
      <c r="AD4" s="36"/>
    </row>
    <row r="5" spans="1:32" ht="25" customHeight="1">
      <c r="A5" s="27">
        <v>46120</v>
      </c>
      <c r="B5" s="28" t="s">
        <v>222</v>
      </c>
      <c r="C5" s="28" t="str">
        <f>IF(tbl_FlatLaser[[#This Row],[Part'#]]="", "Batch", "Part")</f>
        <v>Part</v>
      </c>
      <c r="D5" s="28">
        <v>30270901</v>
      </c>
      <c r="E5" s="29">
        <v>0.36180555555555555</v>
      </c>
      <c r="F5" s="29">
        <v>0.41249999999999998</v>
      </c>
      <c r="G5" s="28">
        <v>50</v>
      </c>
      <c r="H5" s="28">
        <v>9</v>
      </c>
      <c r="I5" s="70">
        <f>tbl_FlatLaser[[#This Row],[Qty Complete]]/tbl_FlatLaser[[#This Row],[Qty Required]]</f>
        <v>0.18</v>
      </c>
      <c r="J5" s="30">
        <v>8.6</v>
      </c>
      <c r="K5" s="28">
        <v>1</v>
      </c>
      <c r="L5" s="31">
        <v>5.81</v>
      </c>
      <c r="M5" s="31">
        <f>IF(tbl_FlatLaser[[#This Row],[Job Type]]="Batch",tbl_FlatLaser[[#This Row],[Batch Hours]]*tbl_FlatLaser[[#This Row],[% Complete]],tbl_FlatLaser[[#This Row],[Total hours]]*tbl_FlatLaser[[#This Row],[% Complete]])</f>
        <v>1.0457999999999998</v>
      </c>
      <c r="N5" s="31"/>
      <c r="O5" s="28" t="s">
        <v>223</v>
      </c>
      <c r="P5" s="28">
        <f>tbl_FlatLaser[[#This Row],[Mat. Qty]]*tbl_FlatLaser[[#This Row],[% Complete]]</f>
        <v>9</v>
      </c>
      <c r="Q5" s="28">
        <v>50</v>
      </c>
      <c r="R5" s="32">
        <f>IFERROR(tbl_FlatLaser[[#This Row],[Qty Complete]]/tbl_FlatLaser[[#This Row],[Total Hours Act]]*tbl_FlatLaser[[#This Row],['# of men Act]],"")</f>
        <v>7.3972602739726048</v>
      </c>
      <c r="S5" s="28">
        <v>1</v>
      </c>
      <c r="T5"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1.2166666666666663</v>
      </c>
      <c r="U5" s="34">
        <v>9</v>
      </c>
      <c r="V5" s="33">
        <v>1.33</v>
      </c>
      <c r="W5" s="33">
        <v>0.47</v>
      </c>
      <c r="X5" s="35">
        <f>IFERROR((tbl_FlatLaser[[#This Row],[Adj. Total Hours]]+tbl_FlatLaser[[#This Row],[Est. Hours]])/(tbl_FlatLaser[[#This Row],[Total Hours Act]]+tbl_FlatLaser[[#This Row],[Act. Hours]]),"")</f>
        <v>1.4085770750988145</v>
      </c>
      <c r="Y5"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5" s="104">
        <f>IFERROR(tbl_FlatLaser[[#This Row],[Act. Mat. Qty]]-tbl_FlatLaser[[#This Row],[Adj. Mat. Qty]],"")</f>
        <v>0</v>
      </c>
      <c r="AA5"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5" s="31" t="s">
        <v>218</v>
      </c>
      <c r="AD5" s="36"/>
    </row>
    <row r="6" spans="1:32" ht="25" customHeight="1">
      <c r="A6" s="27">
        <v>46120</v>
      </c>
      <c r="B6" s="28" t="s">
        <v>224</v>
      </c>
      <c r="C6" s="28" t="str">
        <f>IF(tbl_FlatLaser[[#This Row],[Part'#]]="", "Batch", "Part")</f>
        <v>Part</v>
      </c>
      <c r="D6" s="28">
        <v>100363019</v>
      </c>
      <c r="E6" s="29">
        <v>0.4375</v>
      </c>
      <c r="F6" s="29">
        <v>0.45902777777777776</v>
      </c>
      <c r="G6" s="28">
        <v>100</v>
      </c>
      <c r="H6" s="28">
        <v>102</v>
      </c>
      <c r="I6" s="70">
        <f>tbl_FlatLaser[[#This Row],[Qty Complete]]/tbl_FlatLaser[[#This Row],[Qty Required]]</f>
        <v>1.02</v>
      </c>
      <c r="J6" s="30">
        <v>159</v>
      </c>
      <c r="K6" s="28">
        <v>1</v>
      </c>
      <c r="L6" s="31">
        <v>0.63</v>
      </c>
      <c r="M6" s="31">
        <f>IF(tbl_FlatLaser[[#This Row],[Job Type]]="Batch",tbl_FlatLaser[[#This Row],[Batch Hours]]*tbl_FlatLaser[[#This Row],[% Complete]],tbl_FlatLaser[[#This Row],[Total hours]]*tbl_FlatLaser[[#This Row],[% Complete]])</f>
        <v>0.64260000000000006</v>
      </c>
      <c r="N6" s="31"/>
      <c r="O6" s="28" t="s">
        <v>225</v>
      </c>
      <c r="P6" s="28">
        <f>tbl_FlatLaser[[#This Row],[Mat. Qty]]*tbl_FlatLaser[[#This Row],[% Complete]]</f>
        <v>5.0999999999999996</v>
      </c>
      <c r="Q6" s="28">
        <v>5</v>
      </c>
      <c r="R6" s="32">
        <f>IFERROR(tbl_FlatLaser[[#This Row],[Qty Complete]]/tbl_FlatLaser[[#This Row],[Total Hours Act]]*tbl_FlatLaser[[#This Row],['# of men Act]],"")</f>
        <v>197.41935483870986</v>
      </c>
      <c r="S6" s="28">
        <v>1</v>
      </c>
      <c r="T6"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0.51666666666666616</v>
      </c>
      <c r="U6" s="34">
        <v>5</v>
      </c>
      <c r="V6" s="33">
        <v>0.5</v>
      </c>
      <c r="W6" s="33">
        <v>0.57999999999999996</v>
      </c>
      <c r="X6" s="35">
        <f>IFERROR((tbl_FlatLaser[[#This Row],[Adj. Total Hours]]+tbl_FlatLaser[[#This Row],[Est. Hours]])/(tbl_FlatLaser[[#This Row],[Total Hours Act]]+tbl_FlatLaser[[#This Row],[Act. Hours]]),"")</f>
        <v>1.0418844984802436</v>
      </c>
      <c r="Y6"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1.0418844984802436</v>
      </c>
      <c r="Z6" s="104">
        <f>IFERROR(tbl_FlatLaser[[#This Row],[Act. Mat. Qty]]-tbl_FlatLaser[[#This Row],[Adj. Mat. Qty]],"")</f>
        <v>-9.9999999999999645E-2</v>
      </c>
      <c r="AA6"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-9.9999999999999645E-2</v>
      </c>
      <c r="AC6" s="31" t="s">
        <v>218</v>
      </c>
      <c r="AD6" s="36"/>
    </row>
    <row r="7" spans="1:32" ht="25" customHeight="1">
      <c r="A7" s="27">
        <v>46120</v>
      </c>
      <c r="B7" s="28" t="s">
        <v>226</v>
      </c>
      <c r="C7" s="28" t="str">
        <f>IF(tbl_FlatLaser[[#This Row],[Part'#]]="", "Batch", "Part")</f>
        <v>Part</v>
      </c>
      <c r="D7" s="28" t="s">
        <v>227</v>
      </c>
      <c r="E7" s="29">
        <v>0.47847222222222224</v>
      </c>
      <c r="F7" s="29">
        <v>0.54652777777777772</v>
      </c>
      <c r="G7" s="28">
        <v>30</v>
      </c>
      <c r="H7" s="28">
        <v>30</v>
      </c>
      <c r="I7" s="70">
        <f>tbl_FlatLaser[[#This Row],[Qty Complete]]/tbl_FlatLaser[[#This Row],[Qty Required]]</f>
        <v>1</v>
      </c>
      <c r="J7" s="30">
        <v>24</v>
      </c>
      <c r="K7" s="28">
        <v>1</v>
      </c>
      <c r="L7" s="31">
        <v>1.25</v>
      </c>
      <c r="M7" s="31">
        <f>IF(tbl_FlatLaser[[#This Row],[Job Type]]="Batch",tbl_FlatLaser[[#This Row],[Batch Hours]]*tbl_FlatLaser[[#This Row],[% Complete]],tbl_FlatLaser[[#This Row],[Total hours]]*tbl_FlatLaser[[#This Row],[% Complete]])</f>
        <v>1.25</v>
      </c>
      <c r="N7" s="31"/>
      <c r="O7" s="28" t="s">
        <v>228</v>
      </c>
      <c r="P7" s="28">
        <f>tbl_FlatLaser[[#This Row],[Mat. Qty]]*tbl_FlatLaser[[#This Row],[% Complete]]</f>
        <v>5</v>
      </c>
      <c r="Q7" s="28">
        <v>5</v>
      </c>
      <c r="R7" s="32">
        <f>IFERROR(tbl_FlatLaser[[#This Row],[Qty Complete]]/tbl_FlatLaser[[#This Row],[Total Hours Act]]*tbl_FlatLaser[[#This Row],['# of men Act]],"")</f>
        <v>26.470588235294159</v>
      </c>
      <c r="S7" s="28">
        <v>1</v>
      </c>
      <c r="T7"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1.1333333333333315</v>
      </c>
      <c r="U7" s="34">
        <v>5</v>
      </c>
      <c r="V7" s="33">
        <v>0.5</v>
      </c>
      <c r="W7" s="33">
        <v>0.43</v>
      </c>
      <c r="X7" s="35">
        <f>IFERROR((tbl_FlatLaser[[#This Row],[Adj. Total Hours]]+tbl_FlatLaser[[#This Row],[Est. Hours]])/(tbl_FlatLaser[[#This Row],[Total Hours Act]]+tbl_FlatLaser[[#This Row],[Act. Hours]]),"")</f>
        <v>1.1194029850746281</v>
      </c>
      <c r="Y7"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1.1194029850746281</v>
      </c>
      <c r="Z7" s="104">
        <f>IFERROR(tbl_FlatLaser[[#This Row],[Act. Mat. Qty]]-tbl_FlatLaser[[#This Row],[Adj. Mat. Qty]],"")</f>
        <v>0</v>
      </c>
      <c r="AA7"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0</v>
      </c>
      <c r="AC7" s="31" t="s">
        <v>218</v>
      </c>
      <c r="AD7" s="36"/>
    </row>
    <row r="8" spans="1:32" ht="25" customHeight="1">
      <c r="A8" s="27">
        <v>46120</v>
      </c>
      <c r="B8" s="28" t="s">
        <v>229</v>
      </c>
      <c r="C8" s="28" t="str">
        <f>IF(tbl_FlatLaser[[#This Row],[Part'#]]="", "Batch", "Part")</f>
        <v>Part</v>
      </c>
      <c r="D8" s="28" t="s">
        <v>230</v>
      </c>
      <c r="E8" s="29">
        <v>0.61319444444444449</v>
      </c>
      <c r="F8" s="29">
        <v>0.68819444444444444</v>
      </c>
      <c r="G8" s="28">
        <v>84</v>
      </c>
      <c r="H8" s="28">
        <v>41</v>
      </c>
      <c r="I8" s="70">
        <f>tbl_FlatLaser[[#This Row],[Qty Complete]]/tbl_FlatLaser[[#This Row],[Qty Required]]</f>
        <v>0.48809523809523808</v>
      </c>
      <c r="J8" s="30">
        <v>24</v>
      </c>
      <c r="K8" s="28">
        <v>1</v>
      </c>
      <c r="L8" s="31">
        <v>3.5</v>
      </c>
      <c r="M8" s="31">
        <f>IF(tbl_FlatLaser[[#This Row],[Job Type]]="Batch",tbl_FlatLaser[[#This Row],[Batch Hours]]*tbl_FlatLaser[[#This Row],[% Complete]],tbl_FlatLaser[[#This Row],[Total hours]]*tbl_FlatLaser[[#This Row],[% Complete]])</f>
        <v>1.7083333333333333</v>
      </c>
      <c r="N8" s="31"/>
      <c r="O8" s="28" t="s">
        <v>231</v>
      </c>
      <c r="P8" s="28">
        <f>tbl_FlatLaser[[#This Row],[Mat. Qty]]*tbl_FlatLaser[[#This Row],[% Complete]]</f>
        <v>2.4404761904761902</v>
      </c>
      <c r="Q8" s="28">
        <v>5</v>
      </c>
      <c r="R8" s="32">
        <f>IFERROR(tbl_FlatLaser[[#This Row],[Qty Complete]]/tbl_FlatLaser[[#This Row],[Total Hours Act]]*tbl_FlatLaser[[#This Row],['# of men Act]],"")</f>
        <v>22.777777777777793</v>
      </c>
      <c r="S8" s="28">
        <v>1</v>
      </c>
      <c r="T8"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1.7999999999999989</v>
      </c>
      <c r="U8" s="34">
        <v>3</v>
      </c>
      <c r="V8" s="33">
        <v>1</v>
      </c>
      <c r="W8" s="33">
        <v>0.5</v>
      </c>
      <c r="X8" s="35">
        <f>IFERROR((tbl_FlatLaser[[#This Row],[Adj. Total Hours]]+tbl_FlatLaser[[#This Row],[Est. Hours]])/(tbl_FlatLaser[[#This Row],[Total Hours Act]]+tbl_FlatLaser[[#This Row],[Act. Hours]]),"")</f>
        <v>1.1775362318840583</v>
      </c>
      <c r="Y8"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8" s="104">
        <f>IFERROR(tbl_FlatLaser[[#This Row],[Act. Mat. Qty]]-tbl_FlatLaser[[#This Row],[Adj. Mat. Qty]],"")</f>
        <v>0.55952380952380976</v>
      </c>
      <c r="AA8"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B8" s="28" t="s">
        <v>232</v>
      </c>
      <c r="AC8" s="31" t="s">
        <v>218</v>
      </c>
      <c r="AD8" s="36"/>
    </row>
    <row r="9" spans="1:32" ht="25" customHeight="1">
      <c r="A9" s="27">
        <v>46120</v>
      </c>
      <c r="B9" s="28">
        <v>143076</v>
      </c>
      <c r="C9" s="28" t="str">
        <f>IF(tbl_FlatLaser[[#This Row],[Part'#]]="", "Batch", "Part")</f>
        <v>Part</v>
      </c>
      <c r="D9" s="28" t="s">
        <v>233</v>
      </c>
      <c r="E9" s="29">
        <v>0.72569444444444442</v>
      </c>
      <c r="F9" s="29">
        <v>0.78263888888888888</v>
      </c>
      <c r="G9" s="28"/>
      <c r="H9" s="28">
        <v>24</v>
      </c>
      <c r="I9" s="70" t="e">
        <f>tbl_FlatLaser[[#This Row],[Qty Complete]]/tbl_FlatLaser[[#This Row],[Qty Required]]</f>
        <v>#DIV/0!</v>
      </c>
      <c r="J9" s="30">
        <v>50</v>
      </c>
      <c r="K9" s="28">
        <v>1</v>
      </c>
      <c r="L9" s="31">
        <v>0.64</v>
      </c>
      <c r="M9" s="31" t="e">
        <f>IF(tbl_FlatLaser[[#This Row],[Job Type]]="Batch",tbl_FlatLaser[[#This Row],[Batch Hours]]*tbl_FlatLaser[[#This Row],[% Complete]],tbl_FlatLaser[[#This Row],[Total hours]]*tbl_FlatLaser[[#This Row],[% Complete]])</f>
        <v>#DIV/0!</v>
      </c>
      <c r="N9" s="31"/>
      <c r="O9" s="28" t="s">
        <v>234</v>
      </c>
      <c r="P9" s="28" t="e">
        <f>tbl_FlatLaser[[#This Row],[Mat. Qty]]*tbl_FlatLaser[[#This Row],[% Complete]]</f>
        <v>#DIV/0!</v>
      </c>
      <c r="Q9" s="28">
        <v>16</v>
      </c>
      <c r="R9" s="32">
        <f>IFERROR(tbl_FlatLaser[[#This Row],[Qty Complete]]/tbl_FlatLaser[[#This Row],[Total Hours Act]]*tbl_FlatLaser[[#This Row],['# of men Act]],"")</f>
        <v>17.560975609756092</v>
      </c>
      <c r="S9" s="28">
        <v>1</v>
      </c>
      <c r="T9"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1.3666666666666671</v>
      </c>
      <c r="X9" s="35" t="str">
        <f>IFERROR((tbl_FlatLaser[[#This Row],[Adj. Total Hours]]+tbl_FlatLaser[[#This Row],[Est. Hours]])/(tbl_FlatLaser[[#This Row],[Total Hours Act]]+tbl_FlatLaser[[#This Row],[Act. Hours]]),"")</f>
        <v/>
      </c>
      <c r="Y9" s="102" t="e">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#DIV/0!</v>
      </c>
      <c r="Z9" s="104" t="str">
        <f>IFERROR(tbl_FlatLaser[[#This Row],[Act. Mat. Qty]]-tbl_FlatLaser[[#This Row],[Adj. Mat. Qty]],"")</f>
        <v/>
      </c>
      <c r="AA9" s="105" t="e">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#DIV/0!</v>
      </c>
      <c r="AC9" s="31"/>
      <c r="AD9" s="36"/>
    </row>
    <row r="10" spans="1:32" ht="25" customHeight="1">
      <c r="A10" s="27">
        <v>46120</v>
      </c>
      <c r="B10" s="28">
        <v>143077</v>
      </c>
      <c r="C10" s="28" t="str">
        <f>IF(tbl_FlatLaser[[#This Row],[Part'#]]="", "Batch", "Part")</f>
        <v>Part</v>
      </c>
      <c r="D10" s="28" t="s">
        <v>235</v>
      </c>
      <c r="E10" s="29">
        <v>0.81319444444444444</v>
      </c>
      <c r="F10" s="29">
        <v>0.8881944444444444</v>
      </c>
      <c r="G10" s="28"/>
      <c r="H10" s="28">
        <v>12</v>
      </c>
      <c r="I10" s="70" t="e">
        <f>tbl_FlatLaser[[#This Row],[Qty Complete]]/tbl_FlatLaser[[#This Row],[Qty Required]]</f>
        <v>#DIV/0!</v>
      </c>
      <c r="L10" s="31" t="e">
        <f>IF(tbl_FlatLaser[[#This Row],[Job Type]]="Batch",0,tbl_FlatLaser[[#This Row],[Qty Required]]/tbl_FlatLaser[[#This Row],[PPH]]*tbl_FlatLaser[[#This Row],['# of men]])</f>
        <v>#DIV/0!</v>
      </c>
      <c r="M10" s="31" t="e">
        <f>IF(tbl_FlatLaser[[#This Row],[Job Type]]="Batch",tbl_FlatLaser[[#This Row],[Batch Hours]]*tbl_FlatLaser[[#This Row],[% Complete]],tbl_FlatLaser[[#This Row],[Total hours]]*tbl_FlatLaser[[#This Row],[% Complete]])</f>
        <v>#DIV/0!</v>
      </c>
      <c r="N10" s="31"/>
      <c r="P10" s="28" t="e">
        <f>tbl_FlatLaser[[#This Row],[Mat. Qty]]*tbl_FlatLaser[[#This Row],[% Complete]]</f>
        <v>#DIV/0!</v>
      </c>
      <c r="R10" s="32" t="str">
        <f>IFERROR(tbl_FlatLaser[[#This Row],[Qty Complete]]/tbl_FlatLaser[[#This Row],[Total Hours Act]]*tbl_FlatLaser[[#This Row],['# of men Act]],"")</f>
        <v/>
      </c>
      <c r="T10"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0" s="35" t="str">
        <f>IFERROR((tbl_FlatLaser[[#This Row],[Adj. Total Hours]]+tbl_FlatLaser[[#This Row],[Est. Hours]])/(tbl_FlatLaser[[#This Row],[Total Hours Act]]+tbl_FlatLaser[[#This Row],[Act. Hours]]),"")</f>
        <v/>
      </c>
      <c r="Y10" s="102" t="e">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#DIV/0!</v>
      </c>
      <c r="Z10" s="104" t="str">
        <f>IFERROR(tbl_FlatLaser[[#This Row],[Act. Mat. Qty]]-tbl_FlatLaser[[#This Row],[Adj. Mat. Qty]],"")</f>
        <v/>
      </c>
      <c r="AA10" s="105" t="e">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#DIV/0!</v>
      </c>
      <c r="AC10" s="31"/>
      <c r="AD10" s="36"/>
    </row>
    <row r="11" spans="1:32" ht="25" customHeight="1">
      <c r="A11" s="27">
        <v>46120</v>
      </c>
      <c r="B11" s="28">
        <v>143078</v>
      </c>
      <c r="C11" s="28" t="str">
        <f>IF(tbl_FlatLaser[[#This Row],[Part'#]]="", "Batch", "Part")</f>
        <v>Part</v>
      </c>
      <c r="D11" s="28" t="s">
        <v>236</v>
      </c>
      <c r="E11" s="29">
        <v>0.90694444444444444</v>
      </c>
      <c r="F11" s="29">
        <v>0.9291666666666667</v>
      </c>
      <c r="G11" s="28"/>
      <c r="H11" s="28">
        <v>48</v>
      </c>
      <c r="I11" s="70" t="e">
        <f>tbl_FlatLaser[[#This Row],[Qty Complete]]/tbl_FlatLaser[[#This Row],[Qty Required]]</f>
        <v>#DIV/0!</v>
      </c>
      <c r="L11" s="31" t="e">
        <f>IF(tbl_FlatLaser[[#This Row],[Job Type]]="Batch",0,tbl_FlatLaser[[#This Row],[Qty Required]]/tbl_FlatLaser[[#This Row],[PPH]]*tbl_FlatLaser[[#This Row],['# of men]])</f>
        <v>#DIV/0!</v>
      </c>
      <c r="M11" s="31" t="e">
        <f>IF(tbl_FlatLaser[[#This Row],[Job Type]]="Batch",tbl_FlatLaser[[#This Row],[Batch Hours]]*tbl_FlatLaser[[#This Row],[% Complete]],tbl_FlatLaser[[#This Row],[Total hours]]*tbl_FlatLaser[[#This Row],[% Complete]])</f>
        <v>#DIV/0!</v>
      </c>
      <c r="N11" s="31"/>
      <c r="P11" s="28" t="e">
        <f>tbl_FlatLaser[[#This Row],[Mat. Qty]]*tbl_FlatLaser[[#This Row],[% Complete]]</f>
        <v>#DIV/0!</v>
      </c>
      <c r="R11" s="32" t="str">
        <f>IFERROR(tbl_FlatLaser[[#This Row],[Qty Complete]]/tbl_FlatLaser[[#This Row],[Total Hours Act]]*tbl_FlatLaser[[#This Row],['# of men Act]],"")</f>
        <v/>
      </c>
      <c r="T11"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1" s="35" t="str">
        <f>IFERROR((tbl_FlatLaser[[#This Row],[Adj. Total Hours]]+tbl_FlatLaser[[#This Row],[Est. Hours]])/(tbl_FlatLaser[[#This Row],[Total Hours Act]]+tbl_FlatLaser[[#This Row],[Act. Hours]]),"")</f>
        <v/>
      </c>
      <c r="Y11" s="102" t="e">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#DIV/0!</v>
      </c>
      <c r="Z11" s="104" t="str">
        <f>IFERROR(tbl_FlatLaser[[#This Row],[Act. Mat. Qty]]-tbl_FlatLaser[[#This Row],[Adj. Mat. Qty]],"")</f>
        <v/>
      </c>
      <c r="AA11" s="105" t="e">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#DIV/0!</v>
      </c>
      <c r="AC11" s="31"/>
      <c r="AD11" s="36"/>
    </row>
    <row r="12" spans="1:32" ht="25" customHeight="1">
      <c r="A12" s="27">
        <v>46120</v>
      </c>
      <c r="B12" s="28">
        <v>143080</v>
      </c>
      <c r="C12" s="28" t="str">
        <f>IF(tbl_FlatLaser[[#This Row],[Part'#]]="", "Batch", "Part")</f>
        <v>Part</v>
      </c>
      <c r="D12" s="28" t="s">
        <v>237</v>
      </c>
      <c r="E12" s="29">
        <v>0.94930555555555551</v>
      </c>
      <c r="F12" s="29">
        <v>0.96944444444444444</v>
      </c>
      <c r="G12" s="28"/>
      <c r="H12" s="28">
        <v>48</v>
      </c>
      <c r="I12" s="70" t="e">
        <f>tbl_FlatLaser[[#This Row],[Qty Complete]]/tbl_FlatLaser[[#This Row],[Qty Required]]</f>
        <v>#DIV/0!</v>
      </c>
      <c r="L12" s="31" t="e">
        <f>IF(tbl_FlatLaser[[#This Row],[Job Type]]="Batch",0,tbl_FlatLaser[[#This Row],[Qty Required]]/tbl_FlatLaser[[#This Row],[PPH]]*tbl_FlatLaser[[#This Row],['# of men]])</f>
        <v>#DIV/0!</v>
      </c>
      <c r="M12" s="31" t="e">
        <f>IF(tbl_FlatLaser[[#This Row],[Job Type]]="Batch",tbl_FlatLaser[[#This Row],[Batch Hours]]*tbl_FlatLaser[[#This Row],[% Complete]],tbl_FlatLaser[[#This Row],[Total hours]]*tbl_FlatLaser[[#This Row],[% Complete]])</f>
        <v>#DIV/0!</v>
      </c>
      <c r="N12" s="31"/>
      <c r="P12" s="28" t="e">
        <f>tbl_FlatLaser[[#This Row],[Mat. Qty]]*tbl_FlatLaser[[#This Row],[% Complete]]</f>
        <v>#DIV/0!</v>
      </c>
      <c r="R12" s="32" t="str">
        <f>IFERROR(tbl_FlatLaser[[#This Row],[Qty Complete]]/tbl_FlatLaser[[#This Row],[Total Hours Act]]*tbl_FlatLaser[[#This Row],['# of men Act]],"")</f>
        <v/>
      </c>
      <c r="T12"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2" s="35" t="str">
        <f>IFERROR((tbl_FlatLaser[[#This Row],[Adj. Total Hours]]+tbl_FlatLaser[[#This Row],[Est. Hours]])/(tbl_FlatLaser[[#This Row],[Total Hours Act]]+tbl_FlatLaser[[#This Row],[Act. Hours]]),"")</f>
        <v/>
      </c>
      <c r="Y12" s="102" t="e">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#DIV/0!</v>
      </c>
      <c r="Z12" s="104" t="str">
        <f>IFERROR(tbl_FlatLaser[[#This Row],[Act. Mat. Qty]]-tbl_FlatLaser[[#This Row],[Adj. Mat. Qty]],"")</f>
        <v/>
      </c>
      <c r="AA12" s="105" t="e">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#DIV/0!</v>
      </c>
      <c r="AC12" s="31"/>
      <c r="AD12" s="36"/>
    </row>
    <row r="13" spans="1:32" ht="25" customHeight="1">
      <c r="A13" s="27">
        <v>46120</v>
      </c>
      <c r="B13" s="28">
        <v>143018</v>
      </c>
      <c r="C13" s="28" t="str">
        <f>IF(tbl_FlatLaser[[#This Row],[Part'#]]="", "Batch", "Part")</f>
        <v>Part</v>
      </c>
      <c r="D13" s="28" t="s">
        <v>238</v>
      </c>
      <c r="E13" s="29">
        <v>3.6805555555555557E-2</v>
      </c>
      <c r="F13" s="29">
        <v>0.18124999999999999</v>
      </c>
      <c r="G13" s="28"/>
      <c r="H13" s="28">
        <v>404</v>
      </c>
      <c r="I13" s="70" t="e">
        <f>tbl_FlatLaser[[#This Row],[Qty Complete]]/tbl_FlatLaser[[#This Row],[Qty Required]]</f>
        <v>#DIV/0!</v>
      </c>
      <c r="L13" s="31" t="e">
        <f>IF(tbl_FlatLaser[[#This Row],[Job Type]]="Batch",0,tbl_FlatLaser[[#This Row],[Qty Required]]/tbl_FlatLaser[[#This Row],[PPH]]*tbl_FlatLaser[[#This Row],['# of men]])</f>
        <v>#DIV/0!</v>
      </c>
      <c r="M13" s="31" t="e">
        <f>IF(tbl_FlatLaser[[#This Row],[Job Type]]="Batch",tbl_FlatLaser[[#This Row],[Batch Hours]]*tbl_FlatLaser[[#This Row],[% Complete]],tbl_FlatLaser[[#This Row],[Total hours]]*tbl_FlatLaser[[#This Row],[% Complete]])</f>
        <v>#DIV/0!</v>
      </c>
      <c r="N13" s="31"/>
      <c r="P13" s="28" t="e">
        <f>tbl_FlatLaser[[#This Row],[Mat. Qty]]*tbl_FlatLaser[[#This Row],[% Complete]]</f>
        <v>#DIV/0!</v>
      </c>
      <c r="R13" s="32" t="str">
        <f>IFERROR(tbl_FlatLaser[[#This Row],[Qty Complete]]/tbl_FlatLaser[[#This Row],[Total Hours Act]]*tbl_FlatLaser[[#This Row],['# of men Act]],"")</f>
        <v/>
      </c>
      <c r="T13"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3" s="35" t="str">
        <f>IFERROR((tbl_FlatLaser[[#This Row],[Adj. Total Hours]]+tbl_FlatLaser[[#This Row],[Est. Hours]])/(tbl_FlatLaser[[#This Row],[Total Hours Act]]+tbl_FlatLaser[[#This Row],[Act. Hours]]),"")</f>
        <v/>
      </c>
      <c r="Y13" s="102" t="e">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#DIV/0!</v>
      </c>
      <c r="Z13" s="104" t="str">
        <f>IFERROR(tbl_FlatLaser[[#This Row],[Act. Mat. Qty]]-tbl_FlatLaser[[#This Row],[Adj. Mat. Qty]],"")</f>
        <v/>
      </c>
      <c r="AA13" s="105" t="e">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#DIV/0!</v>
      </c>
      <c r="AC13" s="31"/>
      <c r="AD13" s="36"/>
    </row>
    <row r="14" spans="1:32" ht="25" customHeight="1">
      <c r="A14" s="27">
        <v>46121</v>
      </c>
      <c r="B14" s="28" t="s">
        <v>239</v>
      </c>
      <c r="C14" s="28" t="str">
        <f>IF(tbl_FlatLaser[[#This Row],[Part'#]]="", "Batch", "Part")</f>
        <v>Part</v>
      </c>
      <c r="D14" s="28">
        <v>1502883500</v>
      </c>
      <c r="E14" s="29">
        <v>0.22152777777777777</v>
      </c>
      <c r="F14" s="29">
        <v>0.26041666666666669</v>
      </c>
      <c r="G14" s="28">
        <v>36</v>
      </c>
      <c r="H14" s="28">
        <v>42</v>
      </c>
      <c r="I14" s="70">
        <f>tbl_FlatLaser[[#This Row],[Qty Complete]]/tbl_FlatLaser[[#This Row],[Qty Required]]</f>
        <v>1.1666666666666667</v>
      </c>
      <c r="J14" s="30">
        <v>24</v>
      </c>
      <c r="K14" s="28">
        <v>1</v>
      </c>
      <c r="L14" s="31">
        <f>IF(tbl_FlatLaser[[#This Row],[Job Type]]="Batch",0,tbl_FlatLaser[[#This Row],[Qty Required]]/tbl_FlatLaser[[#This Row],[PPH]]*tbl_FlatLaser[[#This Row],['# of men]])</f>
        <v>1.5</v>
      </c>
      <c r="M14" s="31">
        <f>IF(tbl_FlatLaser[[#This Row],[Job Type]]="Batch",tbl_FlatLaser[[#This Row],[Batch Hours]]*tbl_FlatLaser[[#This Row],[% Complete]],tbl_FlatLaser[[#This Row],[Total hours]]*tbl_FlatLaser[[#This Row],[% Complete]])</f>
        <v>1.75</v>
      </c>
      <c r="N14" s="31"/>
      <c r="O14" s="28" t="s">
        <v>240</v>
      </c>
      <c r="Q14" s="28">
        <v>2</v>
      </c>
      <c r="R14" s="32">
        <f>IFERROR(tbl_FlatLaser[[#This Row],[Qty Complete]]/tbl_FlatLaser[[#This Row],[Total Hours Act]]*tbl_FlatLaser[[#This Row],['# of men Act]],"")</f>
        <v>44.999999999999964</v>
      </c>
      <c r="S14" s="28">
        <v>1</v>
      </c>
      <c r="T14"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0.93333333333333401</v>
      </c>
      <c r="U14" s="34">
        <v>2</v>
      </c>
      <c r="V14" s="33">
        <v>0.5</v>
      </c>
      <c r="W14" s="33">
        <v>0.23</v>
      </c>
      <c r="X14" s="35">
        <f>IFERROR((tbl_FlatLaser[[#This Row],[Adj. Total Hours]]+tbl_FlatLaser[[#This Row],[Est. Hours]])/(tbl_FlatLaser[[#This Row],[Total Hours Act]]+tbl_FlatLaser[[#This Row],[Act. Hours]]),"")</f>
        <v>1.9340974212034372</v>
      </c>
      <c r="Y14"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1.9340974212034372</v>
      </c>
      <c r="Z14" s="104">
        <f>IFERROR(tbl_FlatLaser[[#This Row],[Act. Mat. Qty]]-tbl_FlatLaser[[#This Row],[Adj. Mat. Qty]],"")</f>
        <v>2</v>
      </c>
      <c r="AA14"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2</v>
      </c>
      <c r="AC14" s="31" t="s">
        <v>218</v>
      </c>
      <c r="AD14" s="36"/>
    </row>
    <row r="15" spans="1:32" ht="25" customHeight="1">
      <c r="A15" s="27">
        <v>46121</v>
      </c>
      <c r="B15" s="28" t="s">
        <v>241</v>
      </c>
      <c r="C15" s="28" t="str">
        <f>IF(tbl_FlatLaser[[#This Row],[Part'#]]="", "Batch", "Part")</f>
        <v>Part</v>
      </c>
      <c r="D15" s="28" t="s">
        <v>242</v>
      </c>
      <c r="E15" s="29">
        <v>0.27708333333333335</v>
      </c>
      <c r="F15" s="29">
        <v>0.33680555555555558</v>
      </c>
      <c r="G15" s="28">
        <v>2000</v>
      </c>
      <c r="H15" s="28">
        <v>344</v>
      </c>
      <c r="I15" s="70">
        <f>tbl_FlatLaser[[#This Row],[Qty Complete]]/tbl_FlatLaser[[#This Row],[Qty Required]]</f>
        <v>0.17199999999999999</v>
      </c>
      <c r="J15" s="30">
        <v>560</v>
      </c>
      <c r="K15" s="28">
        <v>1</v>
      </c>
      <c r="L15" s="31">
        <f>IF(tbl_FlatLaser[[#This Row],[Job Type]]="Batch",0,tbl_FlatLaser[[#This Row],[Qty Required]]/tbl_FlatLaser[[#This Row],[PPH]]*tbl_FlatLaser[[#This Row],['# of men]])</f>
        <v>3.5714285714285716</v>
      </c>
      <c r="M15" s="31">
        <f>IF(tbl_FlatLaser[[#This Row],[Job Type]]="Batch",tbl_FlatLaser[[#This Row],[Batch Hours]]*tbl_FlatLaser[[#This Row],[% Complete]],tbl_FlatLaser[[#This Row],[Total hours]]*tbl_FlatLaser[[#This Row],[% Complete]])</f>
        <v>0.61428571428571432</v>
      </c>
      <c r="N15" s="31"/>
      <c r="O15" s="28" t="s">
        <v>243</v>
      </c>
      <c r="P15" s="28">
        <f>tbl_FlatLaser[[#This Row],[Mat. Qty]]*tbl_FlatLaser[[#This Row],[% Complete]]</f>
        <v>0.83763999999999994</v>
      </c>
      <c r="Q15" s="28">
        <v>4.87</v>
      </c>
      <c r="R15" s="32">
        <f>IFERROR(tbl_FlatLaser[[#This Row],[Qty Complete]]/tbl_FlatLaser[[#This Row],[Total Hours Act]]*tbl_FlatLaser[[#This Row],['# of men Act]],"")</f>
        <v>239.99999999999997</v>
      </c>
      <c r="S15" s="28">
        <v>1</v>
      </c>
      <c r="T15"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1.4333333333333336</v>
      </c>
      <c r="U15" s="34">
        <v>1</v>
      </c>
      <c r="V15" s="33">
        <v>0.5</v>
      </c>
      <c r="W15" s="33">
        <v>0.4</v>
      </c>
      <c r="X15" s="35">
        <f>IFERROR((tbl_FlatLaser[[#This Row],[Adj. Total Hours]]+tbl_FlatLaser[[#This Row],[Est. Hours]])/(tbl_FlatLaser[[#This Row],[Total Hours Act]]+tbl_FlatLaser[[#This Row],[Act. Hours]]),"")</f>
        <v>0.60779220779220777</v>
      </c>
      <c r="Y15"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5" s="104">
        <f>IFERROR(tbl_FlatLaser[[#This Row],[Act. Mat. Qty]]-tbl_FlatLaser[[#This Row],[Adj. Mat. Qty]],"")</f>
        <v>0.16236000000000006</v>
      </c>
      <c r="AA15"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B15" s="28" t="s">
        <v>244</v>
      </c>
      <c r="AC15" s="31" t="s">
        <v>218</v>
      </c>
      <c r="AD15" s="36"/>
    </row>
    <row r="16" spans="1:32" ht="25" customHeight="1">
      <c r="A16" s="27">
        <v>46121</v>
      </c>
      <c r="B16" s="28" t="s">
        <v>245</v>
      </c>
      <c r="C16" s="28" t="str">
        <f>IF(tbl_FlatLaser[[#This Row],[Part'#]]="", "Batch", "Part")</f>
        <v>Part</v>
      </c>
      <c r="D16" s="28">
        <v>1502893800</v>
      </c>
      <c r="E16" s="29">
        <v>0.41249999999999998</v>
      </c>
      <c r="F16" s="29">
        <v>0.43541666666666667</v>
      </c>
      <c r="G16" s="28">
        <v>15</v>
      </c>
      <c r="H16" s="28">
        <v>3</v>
      </c>
      <c r="I16" s="70">
        <f>tbl_FlatLaser[[#This Row],[Qty Complete]]/tbl_FlatLaser[[#This Row],[Qty Required]]</f>
        <v>0.2</v>
      </c>
      <c r="J16" s="30">
        <v>8</v>
      </c>
      <c r="K16" s="28">
        <v>1</v>
      </c>
      <c r="L16" s="31">
        <f>IF(tbl_FlatLaser[[#This Row],[Job Type]]="Batch",0,tbl_FlatLaser[[#This Row],[Qty Required]]/tbl_FlatLaser[[#This Row],[PPH]]*tbl_FlatLaser[[#This Row],['# of men]])</f>
        <v>1.875</v>
      </c>
      <c r="M16" s="31">
        <f>IF(tbl_FlatLaser[[#This Row],[Job Type]]="Batch",tbl_FlatLaser[[#This Row],[Batch Hours]]*tbl_FlatLaser[[#This Row],[% Complete]],tbl_FlatLaser[[#This Row],[Total hours]]*tbl_FlatLaser[[#This Row],[% Complete]])</f>
        <v>0.375</v>
      </c>
      <c r="N16" s="31"/>
      <c r="O16" s="28" t="s">
        <v>246</v>
      </c>
      <c r="P16" s="28">
        <f>tbl_FlatLaser[[#This Row],[Mat. Qty]]*tbl_FlatLaser[[#This Row],[% Complete]]</f>
        <v>1</v>
      </c>
      <c r="Q16" s="28">
        <v>5</v>
      </c>
      <c r="R16" s="32">
        <f>IFERROR(tbl_FlatLaser[[#This Row],[Qty Complete]]/tbl_FlatLaser[[#This Row],[Total Hours Act]]*tbl_FlatLaser[[#This Row],['# of men Act]],"")</f>
        <v>5.4545454545454479</v>
      </c>
      <c r="S16" s="28">
        <v>1</v>
      </c>
      <c r="T16"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0.55000000000000071</v>
      </c>
      <c r="U16" s="34">
        <v>1</v>
      </c>
      <c r="V16" s="33">
        <v>0.5</v>
      </c>
      <c r="W16" s="33">
        <v>1.8</v>
      </c>
      <c r="X16" s="35">
        <f>IFERROR((tbl_FlatLaser[[#This Row],[Adj. Total Hours]]+tbl_FlatLaser[[#This Row],[Est. Hours]])/(tbl_FlatLaser[[#This Row],[Total Hours Act]]+tbl_FlatLaser[[#This Row],[Act. Hours]]),"")</f>
        <v>0.37234042553191482</v>
      </c>
      <c r="Y16"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6" s="104">
        <f>IFERROR(tbl_FlatLaser[[#This Row],[Act. Mat. Qty]]-tbl_FlatLaser[[#This Row],[Adj. Mat. Qty]],"")</f>
        <v>0</v>
      </c>
      <c r="AA16"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B16" s="28" t="s">
        <v>247</v>
      </c>
      <c r="AC16" s="31" t="s">
        <v>218</v>
      </c>
      <c r="AD16" s="36"/>
    </row>
    <row r="17" spans="1:30" ht="25" customHeight="1">
      <c r="A17" s="27">
        <v>46121</v>
      </c>
      <c r="B17" s="28">
        <v>143083</v>
      </c>
      <c r="C17" s="28" t="str">
        <f>IF(tbl_FlatLaser[[#This Row],[Part'#]]="", "Batch", "Part")</f>
        <v>Part</v>
      </c>
      <c r="D17" s="28" t="s">
        <v>248</v>
      </c>
      <c r="E17" s="29">
        <v>0.23333333333333334</v>
      </c>
      <c r="F17" s="29">
        <v>0.39374999999999999</v>
      </c>
      <c r="G17" s="28">
        <v>495</v>
      </c>
      <c r="H17" s="28">
        <v>495</v>
      </c>
      <c r="I17" s="70">
        <f>tbl_FlatLaser[[#This Row],[Qty Complete]]/tbl_FlatLaser[[#This Row],[Qty Required]]</f>
        <v>1</v>
      </c>
      <c r="J17" s="30">
        <v>150</v>
      </c>
      <c r="K17" s="28">
        <v>1</v>
      </c>
      <c r="L17" s="31">
        <f>IF(tbl_FlatLaser[[#This Row],[Job Type]]="Batch",0,tbl_FlatLaser[[#This Row],[Qty Required]]/tbl_FlatLaser[[#This Row],[PPH]]*tbl_FlatLaser[[#This Row],['# of men]])</f>
        <v>3.3</v>
      </c>
      <c r="M17" s="31">
        <f>IF(tbl_FlatLaser[[#This Row],[Job Type]]="Batch",tbl_FlatLaser[[#This Row],[Batch Hours]]*tbl_FlatLaser[[#This Row],[% Complete]],tbl_FlatLaser[[#This Row],[Total hours]]*tbl_FlatLaser[[#This Row],[% Complete]])</f>
        <v>3.3</v>
      </c>
      <c r="N17" s="31"/>
      <c r="O17" s="28" t="s">
        <v>249</v>
      </c>
      <c r="P17" s="28">
        <f>tbl_FlatLaser[[#This Row],[Mat. Qty]]*tbl_FlatLaser[[#This Row],[% Complete]]</f>
        <v>3</v>
      </c>
      <c r="Q17" s="28">
        <v>3</v>
      </c>
      <c r="R17" s="32">
        <f>IFERROR(tbl_FlatLaser[[#This Row],[Qty Complete]]/tbl_FlatLaser[[#This Row],[Total Hours Act]]*tbl_FlatLaser[[#This Row],['# of men Act]],"")</f>
        <v>128.57142857142858</v>
      </c>
      <c r="S17" s="28">
        <v>1</v>
      </c>
      <c r="T17"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3.8499999999999996</v>
      </c>
      <c r="U17" s="34">
        <v>3</v>
      </c>
      <c r="V17" s="33">
        <v>0.5</v>
      </c>
      <c r="W17" s="33">
        <v>0.33</v>
      </c>
      <c r="X17" s="35">
        <f>IFERROR((tbl_FlatLaser[[#This Row],[Adj. Total Hours]]+tbl_FlatLaser[[#This Row],[Est. Hours]])/(tbl_FlatLaser[[#This Row],[Total Hours Act]]+tbl_FlatLaser[[#This Row],[Act. Hours]]),"")</f>
        <v>0.90909090909090906</v>
      </c>
      <c r="Y17"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0.90909090909090906</v>
      </c>
      <c r="Z17" s="104">
        <f>IFERROR(tbl_FlatLaser[[#This Row],[Act. Mat. Qty]]-tbl_FlatLaser[[#This Row],[Adj. Mat. Qty]],"")</f>
        <v>0</v>
      </c>
      <c r="AA17"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0</v>
      </c>
      <c r="AC17" s="31" t="s">
        <v>250</v>
      </c>
      <c r="AD17" s="36"/>
    </row>
    <row r="18" spans="1:30" ht="25" customHeight="1">
      <c r="A18" s="27">
        <v>46121</v>
      </c>
      <c r="B18" s="28">
        <v>143087</v>
      </c>
      <c r="C18" s="28" t="str">
        <f>IF(tbl_FlatLaser[[#This Row],[Part'#]]="", "Batch", "Part")</f>
        <v>Part</v>
      </c>
      <c r="D18" s="28" t="s">
        <v>251</v>
      </c>
      <c r="E18" s="29">
        <v>0.41944444444444445</v>
      </c>
      <c r="F18" s="29">
        <v>0.55694444444444446</v>
      </c>
      <c r="G18" s="28">
        <v>32</v>
      </c>
      <c r="H18" s="28">
        <v>32</v>
      </c>
      <c r="I18" s="70">
        <f>tbl_FlatLaser[[#This Row],[Qty Complete]]/tbl_FlatLaser[[#This Row],[Qty Required]]</f>
        <v>1</v>
      </c>
      <c r="J18" s="30">
        <v>20</v>
      </c>
      <c r="K18" s="28">
        <v>1</v>
      </c>
      <c r="L18" s="31">
        <f>IF(tbl_FlatLaser[[#This Row],[Job Type]]="Batch",0,tbl_FlatLaser[[#This Row],[Qty Required]]/tbl_FlatLaser[[#This Row],[PPH]]*tbl_FlatLaser[[#This Row],['# of men]])</f>
        <v>1.6</v>
      </c>
      <c r="M18" s="31">
        <f>IF(tbl_FlatLaser[[#This Row],[Job Type]]="Batch",tbl_FlatLaser[[#This Row],[Batch Hours]]*tbl_FlatLaser[[#This Row],[% Complete]],tbl_FlatLaser[[#This Row],[Total hours]]*tbl_FlatLaser[[#This Row],[% Complete]])</f>
        <v>1.6</v>
      </c>
      <c r="N18" s="31"/>
      <c r="O18" s="28" t="s">
        <v>252</v>
      </c>
      <c r="P18" s="28">
        <f>tbl_FlatLaser[[#This Row],[Mat. Qty]]*tbl_FlatLaser[[#This Row],[% Complete]]</f>
        <v>16</v>
      </c>
      <c r="Q18" s="28">
        <v>16</v>
      </c>
      <c r="R18" s="32">
        <f>IFERROR(tbl_FlatLaser[[#This Row],[Qty Complete]]/tbl_FlatLaser[[#This Row],[Total Hours Act]]*tbl_FlatLaser[[#This Row],['# of men Act]],"")</f>
        <v>11.428571428571427</v>
      </c>
      <c r="S18" s="28">
        <v>1</v>
      </c>
      <c r="T18"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2.8000000000000003</v>
      </c>
      <c r="U18" s="34">
        <v>16</v>
      </c>
      <c r="V18" s="33">
        <v>0.52</v>
      </c>
      <c r="W18" s="33">
        <v>0.48</v>
      </c>
      <c r="X18" s="35">
        <f>IFERROR((tbl_FlatLaser[[#This Row],[Adj. Total Hours]]+tbl_FlatLaser[[#This Row],[Est. Hours]])/(tbl_FlatLaser[[#This Row],[Total Hours Act]]+tbl_FlatLaser[[#This Row],[Act. Hours]]),"")</f>
        <v>0.64634146341463417</v>
      </c>
      <c r="Y18"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0.64634146341463417</v>
      </c>
      <c r="Z18" s="104">
        <f>IFERROR(tbl_FlatLaser[[#This Row],[Act. Mat. Qty]]-tbl_FlatLaser[[#This Row],[Adj. Mat. Qty]],"")</f>
        <v>0</v>
      </c>
      <c r="AA18"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0</v>
      </c>
      <c r="AB18" s="28" t="s">
        <v>253</v>
      </c>
      <c r="AC18" s="31" t="s">
        <v>250</v>
      </c>
      <c r="AD18" s="36"/>
    </row>
    <row r="19" spans="1:30" ht="25" customHeight="1">
      <c r="A19" s="27">
        <v>46121</v>
      </c>
      <c r="B19" s="28" t="s">
        <v>254</v>
      </c>
      <c r="C19" s="28" t="str">
        <f>IF(tbl_FlatLaser[[#This Row],[Part'#]]="", "Batch", "Part")</f>
        <v>Part</v>
      </c>
      <c r="D19" s="28" t="s">
        <v>255</v>
      </c>
      <c r="E19" s="29">
        <v>0.48472222222222222</v>
      </c>
      <c r="F19" s="29">
        <v>0.69166666666666665</v>
      </c>
      <c r="G19" s="28">
        <v>220</v>
      </c>
      <c r="H19" s="28">
        <v>220</v>
      </c>
      <c r="I19" s="70">
        <f>tbl_FlatLaser[[#This Row],[Qty Complete]]/tbl_FlatLaser[[#This Row],[Qty Required]]</f>
        <v>1</v>
      </c>
      <c r="J19" s="30">
        <v>36</v>
      </c>
      <c r="K19" s="28">
        <v>1</v>
      </c>
      <c r="L19" s="31">
        <f>IF(tbl_FlatLaser[[#This Row],[Job Type]]="Batch",0,tbl_FlatLaser[[#This Row],[Qty Required]]/tbl_FlatLaser[[#This Row],[PPH]]*tbl_FlatLaser[[#This Row],['# of men]])</f>
        <v>6.1111111111111107</v>
      </c>
      <c r="M19" s="31">
        <f>IF(tbl_FlatLaser[[#This Row],[Job Type]]="Batch",tbl_FlatLaser[[#This Row],[Batch Hours]]*tbl_FlatLaser[[#This Row],[% Complete]],tbl_FlatLaser[[#This Row],[Total hours]]*tbl_FlatLaser[[#This Row],[% Complete]])</f>
        <v>6.1111111111111107</v>
      </c>
      <c r="N19" s="31"/>
      <c r="O19" s="28" t="s">
        <v>256</v>
      </c>
      <c r="P19" s="28">
        <f>tbl_FlatLaser[[#This Row],[Mat. Qty]]*tbl_FlatLaser[[#This Row],[% Complete]]</f>
        <v>28</v>
      </c>
      <c r="Q19" s="28">
        <v>28</v>
      </c>
      <c r="R19" s="32">
        <f>IFERROR(tbl_FlatLaser[[#This Row],[Qty Complete]]/tbl_FlatLaser[[#This Row],[Total Hours Act]]*tbl_FlatLaser[[#This Row],['# of men Act]],"")</f>
        <v>49.253731343283583</v>
      </c>
      <c r="S19" s="28">
        <v>1</v>
      </c>
      <c r="T19"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4.4666666666666668</v>
      </c>
      <c r="U19" s="34">
        <v>22</v>
      </c>
      <c r="V19" s="33">
        <v>0.95</v>
      </c>
      <c r="W19" s="33">
        <v>0.63</v>
      </c>
      <c r="X19" s="35">
        <f>IFERROR((tbl_FlatLaser[[#This Row],[Adj. Total Hours]]+tbl_FlatLaser[[#This Row],[Est. Hours]])/(tbl_FlatLaser[[#This Row],[Total Hours Act]]+tbl_FlatLaser[[#This Row],[Act. Hours]]),"")</f>
        <v>1.3854371048615652</v>
      </c>
      <c r="Y19"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1.3854371048615652</v>
      </c>
      <c r="Z19" s="104">
        <f>IFERROR(tbl_FlatLaser[[#This Row],[Act. Mat. Qty]]-tbl_FlatLaser[[#This Row],[Adj. Mat. Qty]],"")</f>
        <v>-6</v>
      </c>
      <c r="AA19"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-6</v>
      </c>
      <c r="AC19" s="31" t="s">
        <v>218</v>
      </c>
      <c r="AD19" s="36"/>
    </row>
    <row r="20" spans="1:30" ht="25" customHeight="1">
      <c r="A20" s="27">
        <v>46121</v>
      </c>
      <c r="B20" s="28">
        <v>143158</v>
      </c>
      <c r="C20" s="28" t="str">
        <f>IF(tbl_FlatLaser[[#This Row],[Part'#]]="", "Batch", "Part")</f>
        <v>Part</v>
      </c>
      <c r="D20" s="28" t="s">
        <v>257</v>
      </c>
      <c r="E20" s="29">
        <v>0.5854166666666667</v>
      </c>
      <c r="F20" s="29">
        <v>0.63472222222222219</v>
      </c>
      <c r="G20" s="28">
        <v>9</v>
      </c>
      <c r="H20" s="28">
        <v>9</v>
      </c>
      <c r="I20" s="70">
        <f>tbl_FlatLaser[[#This Row],[Qty Complete]]/tbl_FlatLaser[[#This Row],[Qty Required]]</f>
        <v>1</v>
      </c>
      <c r="J20" s="30">
        <v>12</v>
      </c>
      <c r="K20" s="28">
        <v>1</v>
      </c>
      <c r="L20" s="31">
        <f>IF(tbl_FlatLaser[[#This Row],[Job Type]]="Batch",0,tbl_FlatLaser[[#This Row],[Qty Required]]/tbl_FlatLaser[[#This Row],[PPH]]*tbl_FlatLaser[[#This Row],['# of men]])</f>
        <v>0.75</v>
      </c>
      <c r="M20" s="31">
        <f>IF(tbl_FlatLaser[[#This Row],[Job Type]]="Batch",tbl_FlatLaser[[#This Row],[Batch Hours]]*tbl_FlatLaser[[#This Row],[% Complete]],tbl_FlatLaser[[#This Row],[Total hours]]*tbl_FlatLaser[[#This Row],[% Complete]])</f>
        <v>0.75</v>
      </c>
      <c r="N20" s="31"/>
      <c r="O20" s="28" t="s">
        <v>252</v>
      </c>
      <c r="P20" s="28">
        <f>tbl_FlatLaser[[#This Row],[Mat. Qty]]*tbl_FlatLaser[[#This Row],[% Complete]]</f>
        <v>9</v>
      </c>
      <c r="Q20" s="28">
        <v>9</v>
      </c>
      <c r="R20" s="32">
        <f>IFERROR(tbl_FlatLaser[[#This Row],[Qty Complete]]/tbl_FlatLaser[[#This Row],[Total Hours Act]]*tbl_FlatLaser[[#This Row],['# of men Act]],"")</f>
        <v>7.6056338028169117</v>
      </c>
      <c r="S20" s="28">
        <v>1</v>
      </c>
      <c r="T20"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1.1833333333333318</v>
      </c>
      <c r="U20" s="34">
        <v>9</v>
      </c>
      <c r="V20" s="33">
        <v>0.52</v>
      </c>
      <c r="W20" s="33">
        <v>0.55000000000000004</v>
      </c>
      <c r="X20" s="35">
        <f>IFERROR((tbl_FlatLaser[[#This Row],[Adj. Total Hours]]+tbl_FlatLaser[[#This Row],[Est. Hours]])/(tbl_FlatLaser[[#This Row],[Total Hours Act]]+tbl_FlatLaser[[#This Row],[Act. Hours]]),"")</f>
        <v>0.73269230769230831</v>
      </c>
      <c r="Y20"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0.73269230769230831</v>
      </c>
      <c r="Z20" s="104">
        <f>IFERROR(tbl_FlatLaser[[#This Row],[Act. Mat. Qty]]-tbl_FlatLaser[[#This Row],[Adj. Mat. Qty]],"")</f>
        <v>0</v>
      </c>
      <c r="AA20"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0</v>
      </c>
      <c r="AC20" s="31" t="s">
        <v>250</v>
      </c>
      <c r="AD20" s="36"/>
    </row>
    <row r="21" spans="1:30" ht="25" customHeight="1">
      <c r="A21" s="27">
        <v>46121</v>
      </c>
      <c r="B21" s="28" t="s">
        <v>258</v>
      </c>
      <c r="C21" s="28" t="str">
        <f>IF(tbl_FlatLaser[[#This Row],[Part'#]]="", "Batch", "Part")</f>
        <v>Batch</v>
      </c>
      <c r="D21" s="79"/>
      <c r="E21" s="29">
        <v>0.80277777777777781</v>
      </c>
      <c r="F21" s="29">
        <v>2.5000000000000001E-2</v>
      </c>
      <c r="G21" s="28">
        <v>144</v>
      </c>
      <c r="H21" s="28">
        <v>52</v>
      </c>
      <c r="I21" s="70">
        <f>tbl_FlatLaser[[#This Row],[Qty Complete]]/tbl_FlatLaser[[#This Row],[Qty Required]]</f>
        <v>0.3611111111111111</v>
      </c>
      <c r="J21" s="30">
        <v>16</v>
      </c>
      <c r="K21" s="28">
        <v>1</v>
      </c>
      <c r="L21" s="31">
        <f>IF(tbl_FlatLaser[[#This Row],[Job Type]]="Batch",0,tbl_FlatLaser[[#This Row],[Qty Required]]/tbl_FlatLaser[[#This Row],[PPH]]*tbl_FlatLaser[[#This Row],['# of men]])</f>
        <v>0</v>
      </c>
      <c r="M21" s="31">
        <f>IF(tbl_FlatLaser[[#This Row],[Job Type]]="Batch",tbl_FlatLaser[[#This Row],[Batch Hours]]*tbl_FlatLaser[[#This Row],[% Complete]],tbl_FlatLaser[[#This Row],[Total hours]]*tbl_FlatLaser[[#This Row],[% Complete]])</f>
        <v>3.25</v>
      </c>
      <c r="N21" s="31">
        <v>9</v>
      </c>
      <c r="O21" s="28" t="s">
        <v>259</v>
      </c>
      <c r="P21" s="28">
        <f>tbl_FlatLaser[[#This Row],[Mat. Qty]]*tbl_FlatLaser[[#This Row],[% Complete]]</f>
        <v>23.472222222222221</v>
      </c>
      <c r="Q21" s="28">
        <v>65</v>
      </c>
      <c r="R21" s="32">
        <f>IFERROR(tbl_FlatLaser[[#This Row],[Qty Complete]]/tbl_FlatLaser[[#This Row],[Total Hours Act]]*tbl_FlatLaser[[#This Row],['# of men Act]],"")</f>
        <v>10.758620689655173</v>
      </c>
      <c r="S21" s="28">
        <v>1</v>
      </c>
      <c r="T21"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4.833333333333333</v>
      </c>
      <c r="U21" s="34">
        <v>23</v>
      </c>
      <c r="V21" s="33">
        <v>0.5</v>
      </c>
      <c r="W21" s="33">
        <v>0.52</v>
      </c>
      <c r="X21" s="35">
        <f>IFERROR((tbl_FlatLaser[[#This Row],[Adj. Total Hours]]+tbl_FlatLaser[[#This Row],[Est. Hours]])/(tbl_FlatLaser[[#This Row],[Total Hours Act]]+tbl_FlatLaser[[#This Row],[Act. Hours]]),"")</f>
        <v>0.70049813200498134</v>
      </c>
      <c r="Y21"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21" s="104">
        <f>IFERROR(tbl_FlatLaser[[#This Row],[Act. Mat. Qty]]-tbl_FlatLaser[[#This Row],[Adj. Mat. Qty]],"")</f>
        <v>-0.47222222222222143</v>
      </c>
      <c r="AA21"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B21" s="28" t="s">
        <v>260</v>
      </c>
      <c r="AC21" s="31" t="s">
        <v>151</v>
      </c>
      <c r="AD21" s="36"/>
    </row>
    <row r="22" spans="1:30" ht="25" customHeight="1">
      <c r="A22" s="27">
        <v>46121</v>
      </c>
      <c r="B22" s="28">
        <v>143089</v>
      </c>
      <c r="C22" s="28" t="str">
        <f>IF(tbl_FlatLaser[[#This Row],[Part'#]]="", "Batch", "Part")</f>
        <v>Part</v>
      </c>
      <c r="D22" s="28" t="s">
        <v>261</v>
      </c>
      <c r="E22" s="29">
        <v>0.71875</v>
      </c>
      <c r="F22" s="29">
        <v>0.81180555555555556</v>
      </c>
      <c r="G22" s="28">
        <v>48</v>
      </c>
      <c r="H22" s="28">
        <v>48</v>
      </c>
      <c r="I22" s="70">
        <f>tbl_FlatLaser[[#This Row],[Qty Complete]]/tbl_FlatLaser[[#This Row],[Qty Required]]</f>
        <v>1</v>
      </c>
      <c r="J22" s="30">
        <v>80</v>
      </c>
      <c r="K22" s="28">
        <v>1</v>
      </c>
      <c r="L22" s="31">
        <f>IF(tbl_FlatLaser[[#This Row],[Job Type]]="Batch",0,tbl_FlatLaser[[#This Row],[Qty Required]]/tbl_FlatLaser[[#This Row],[PPH]]*tbl_FlatLaser[[#This Row],['# of men]])</f>
        <v>0.6</v>
      </c>
      <c r="M22" s="31">
        <f>IF(tbl_FlatLaser[[#This Row],[Job Type]]="Batch",tbl_FlatLaser[[#This Row],[Batch Hours]]*tbl_FlatLaser[[#This Row],[% Complete]],tbl_FlatLaser[[#This Row],[Total hours]]*tbl_FlatLaser[[#This Row],[% Complete]])</f>
        <v>0.6</v>
      </c>
      <c r="N22" s="31"/>
      <c r="O22" s="28" t="s">
        <v>234</v>
      </c>
      <c r="P22" s="28">
        <f>tbl_FlatLaser[[#This Row],[Mat. Qty]]*tbl_FlatLaser[[#This Row],[% Complete]]</f>
        <v>12</v>
      </c>
      <c r="Q22" s="28">
        <v>12</v>
      </c>
      <c r="R22" s="32">
        <f>IFERROR(tbl_FlatLaser[[#This Row],[Qty Complete]]/tbl_FlatLaser[[#This Row],[Total Hours Act]]*tbl_FlatLaser[[#This Row],['# of men Act]],"")</f>
        <v>21.492537313432834</v>
      </c>
      <c r="S22" s="28">
        <v>1</v>
      </c>
      <c r="T22"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2.2333333333333334</v>
      </c>
      <c r="U22" s="34">
        <v>12</v>
      </c>
      <c r="V22" s="33">
        <v>0.52</v>
      </c>
      <c r="W22" s="33">
        <v>0.25</v>
      </c>
      <c r="X22" s="35">
        <f>IFERROR((tbl_FlatLaser[[#This Row],[Adj. Total Hours]]+tbl_FlatLaser[[#This Row],[Est. Hours]])/(tbl_FlatLaser[[#This Row],[Total Hours Act]]+tbl_FlatLaser[[#This Row],[Act. Hours]]),"")</f>
        <v>0.45100671140939602</v>
      </c>
      <c r="Y22"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0.45100671140939602</v>
      </c>
      <c r="Z22" s="104">
        <f>IFERROR(tbl_FlatLaser[[#This Row],[Act. Mat. Qty]]-tbl_FlatLaser[[#This Row],[Adj. Mat. Qty]],"")</f>
        <v>0</v>
      </c>
      <c r="AA22"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0</v>
      </c>
      <c r="AB22" s="28" t="s">
        <v>262</v>
      </c>
      <c r="AC22" s="31" t="s">
        <v>263</v>
      </c>
      <c r="AD22" s="36"/>
    </row>
    <row r="23" spans="1:30" ht="25" customHeight="1">
      <c r="A23" s="27">
        <v>46121</v>
      </c>
      <c r="B23" s="28">
        <v>143212</v>
      </c>
      <c r="C23" s="28" t="str">
        <f>IF(tbl_FlatLaser[[#This Row],[Part'#]]="", "Batch", "Part")</f>
        <v>Part</v>
      </c>
      <c r="D23" s="28" t="s">
        <v>264</v>
      </c>
      <c r="E23" s="29">
        <v>0.84375</v>
      </c>
      <c r="F23" s="29">
        <v>0.90277777777777779</v>
      </c>
      <c r="G23" s="28">
        <v>60</v>
      </c>
      <c r="H23" s="28">
        <v>60</v>
      </c>
      <c r="I23" s="70">
        <f>tbl_FlatLaser[[#This Row],[Qty Complete]]/tbl_FlatLaser[[#This Row],[Qty Required]]</f>
        <v>1</v>
      </c>
      <c r="J23" s="30">
        <v>180</v>
      </c>
      <c r="K23" s="28">
        <v>1</v>
      </c>
      <c r="L23" s="31">
        <f>IF(tbl_FlatLaser[[#This Row],[Job Type]]="Batch",0,tbl_FlatLaser[[#This Row],[Qty Required]]/tbl_FlatLaser[[#This Row],[PPH]]*tbl_FlatLaser[[#This Row],['# of men]])</f>
        <v>0.33333333333333331</v>
      </c>
      <c r="M23" s="31">
        <f>IF(tbl_FlatLaser[[#This Row],[Job Type]]="Batch",tbl_FlatLaser[[#This Row],[Batch Hours]]*tbl_FlatLaser[[#This Row],[% Complete]],tbl_FlatLaser[[#This Row],[Total hours]]*tbl_FlatLaser[[#This Row],[% Complete]])</f>
        <v>0.33333333333333331</v>
      </c>
      <c r="N23" s="31"/>
      <c r="O23" s="28" t="s">
        <v>265</v>
      </c>
      <c r="P23" s="28">
        <f>tbl_FlatLaser[[#This Row],[Mat. Qty]]*tbl_FlatLaser[[#This Row],[% Complete]]</f>
        <v>5</v>
      </c>
      <c r="Q23" s="28">
        <v>5</v>
      </c>
      <c r="R23" s="32">
        <f>IFERROR(tbl_FlatLaser[[#This Row],[Qty Complete]]/tbl_FlatLaser[[#This Row],[Total Hours Act]]*tbl_FlatLaser[[#This Row],['# of men Act]],"")</f>
        <v>42.35294117647058</v>
      </c>
      <c r="S23" s="28">
        <v>1</v>
      </c>
      <c r="T23"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1.416666666666667</v>
      </c>
      <c r="U23" s="34">
        <v>5</v>
      </c>
      <c r="V23" s="33">
        <v>0.5</v>
      </c>
      <c r="W23" s="33">
        <v>0.7</v>
      </c>
      <c r="X23" s="35">
        <f>IFERROR((tbl_FlatLaser[[#This Row],[Adj. Total Hours]]+tbl_FlatLaser[[#This Row],[Est. Hours]])/(tbl_FlatLaser[[#This Row],[Total Hours Act]]+tbl_FlatLaser[[#This Row],[Act. Hours]]),"")</f>
        <v>0.39370078740157466</v>
      </c>
      <c r="Y23"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0.39370078740157466</v>
      </c>
      <c r="Z23" s="104">
        <f>IFERROR(tbl_FlatLaser[[#This Row],[Act. Mat. Qty]]-tbl_FlatLaser[[#This Row],[Adj. Mat. Qty]],"")</f>
        <v>0</v>
      </c>
      <c r="AA23"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0</v>
      </c>
      <c r="AB23" s="28" t="s">
        <v>266</v>
      </c>
      <c r="AC23" s="31" t="s">
        <v>263</v>
      </c>
      <c r="AD23" s="36"/>
    </row>
    <row r="24" spans="1:30" ht="25" customHeight="1">
      <c r="A24" s="27">
        <v>46121</v>
      </c>
      <c r="B24" s="28">
        <v>143167</v>
      </c>
      <c r="C24" s="28" t="str">
        <f>IF(tbl_FlatLaser[[#This Row],[Part'#]]="", "Batch", "Part")</f>
        <v>Part</v>
      </c>
      <c r="D24" s="28" t="s">
        <v>267</v>
      </c>
      <c r="E24" s="29">
        <v>0.92708333333333337</v>
      </c>
      <c r="F24" s="29">
        <v>2.7777777777777776E-2</v>
      </c>
      <c r="G24" s="28">
        <v>9</v>
      </c>
      <c r="H24" s="28">
        <v>9</v>
      </c>
      <c r="I24" s="70">
        <f>tbl_FlatLaser[[#This Row],[Qty Complete]]/tbl_FlatLaser[[#This Row],[Qty Required]]</f>
        <v>1</v>
      </c>
      <c r="J24" s="30">
        <v>21</v>
      </c>
      <c r="K24" s="28">
        <v>1</v>
      </c>
      <c r="L24" s="31">
        <f>IF(tbl_FlatLaser[[#This Row],[Job Type]]="Batch",0,tbl_FlatLaser[[#This Row],[Qty Required]]/tbl_FlatLaser[[#This Row],[PPH]]*tbl_FlatLaser[[#This Row],['# of men]])</f>
        <v>0.42857142857142855</v>
      </c>
      <c r="M24" s="31">
        <f>IF(tbl_FlatLaser[[#This Row],[Job Type]]="Batch",tbl_FlatLaser[[#This Row],[Batch Hours]]*tbl_FlatLaser[[#This Row],[% Complete]],tbl_FlatLaser[[#This Row],[Total hours]]*tbl_FlatLaser[[#This Row],[% Complete]])</f>
        <v>0.42857142857142855</v>
      </c>
      <c r="N24" s="31"/>
      <c r="O24" s="28" t="s">
        <v>268</v>
      </c>
      <c r="P24" s="28">
        <f>tbl_FlatLaser[[#This Row],[Mat. Qty]]*tbl_FlatLaser[[#This Row],[% Complete]]</f>
        <v>9</v>
      </c>
      <c r="Q24" s="28">
        <v>9</v>
      </c>
      <c r="R24" s="32">
        <f>IFERROR(tbl_FlatLaser[[#This Row],[Qty Complete]]/tbl_FlatLaser[[#This Row],[Total Hours Act]]*tbl_FlatLaser[[#This Row],['# of men Act]],"")</f>
        <v>4.6956521739130448</v>
      </c>
      <c r="S24" s="28">
        <v>1</v>
      </c>
      <c r="T24"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1.9166666666666661</v>
      </c>
      <c r="U24" s="34">
        <v>9</v>
      </c>
      <c r="V24" s="33">
        <v>0.5</v>
      </c>
      <c r="W24" s="33">
        <v>0.53</v>
      </c>
      <c r="X24" s="35">
        <f>IFERROR((tbl_FlatLaser[[#This Row],[Adj. Total Hours]]+tbl_FlatLaser[[#This Row],[Est. Hours]])/(tbl_FlatLaser[[#This Row],[Total Hours Act]]+tbl_FlatLaser[[#This Row],[Act. Hours]]),"")</f>
        <v>0.3795251070455431</v>
      </c>
      <c r="Y24"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0.3795251070455431</v>
      </c>
      <c r="Z24" s="104">
        <f>IFERROR(tbl_FlatLaser[[#This Row],[Act. Mat. Qty]]-tbl_FlatLaser[[#This Row],[Adj. Mat. Qty]],"")</f>
        <v>0</v>
      </c>
      <c r="AA24"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0</v>
      </c>
      <c r="AB24" s="28" t="s">
        <v>269</v>
      </c>
      <c r="AC24" s="31" t="s">
        <v>263</v>
      </c>
      <c r="AD24" s="36"/>
    </row>
    <row r="25" spans="1:30" ht="25" customHeight="1">
      <c r="A25" s="27">
        <v>46121</v>
      </c>
      <c r="B25" s="28">
        <v>143143</v>
      </c>
      <c r="C25" s="28" t="str">
        <f>IF(tbl_FlatLaser[[#This Row],[Part'#]]="", "Batch", "Part")</f>
        <v>Part</v>
      </c>
      <c r="D25" s="28" t="s">
        <v>270</v>
      </c>
      <c r="E25" s="29">
        <v>5.7638888888888892E-2</v>
      </c>
      <c r="F25" s="29">
        <v>8.0555555555555561E-2</v>
      </c>
      <c r="G25" s="28">
        <v>4</v>
      </c>
      <c r="H25" s="28">
        <v>4</v>
      </c>
      <c r="I25" s="70">
        <f>tbl_FlatLaser[[#This Row],[Qty Complete]]/tbl_FlatLaser[[#This Row],[Qty Required]]</f>
        <v>1</v>
      </c>
      <c r="J25" s="30">
        <v>23</v>
      </c>
      <c r="K25" s="28">
        <v>1</v>
      </c>
      <c r="L25" s="31">
        <f>IF(tbl_FlatLaser[[#This Row],[Job Type]]="Batch",0,tbl_FlatLaser[[#This Row],[Qty Required]]/tbl_FlatLaser[[#This Row],[PPH]]*tbl_FlatLaser[[#This Row],['# of men]])</f>
        <v>0.17391304347826086</v>
      </c>
      <c r="M25" s="31">
        <f>IF(tbl_FlatLaser[[#This Row],[Job Type]]="Batch",tbl_FlatLaser[[#This Row],[Batch Hours]]*tbl_FlatLaser[[#This Row],[% Complete]],tbl_FlatLaser[[#This Row],[Total hours]]*tbl_FlatLaser[[#This Row],[% Complete]])</f>
        <v>0.17391304347826086</v>
      </c>
      <c r="N25" s="31"/>
      <c r="O25" s="28" t="s">
        <v>268</v>
      </c>
      <c r="P25" s="28">
        <f>tbl_FlatLaser[[#This Row],[Mat. Qty]]*tbl_FlatLaser[[#This Row],[% Complete]]</f>
        <v>4</v>
      </c>
      <c r="Q25" s="28">
        <v>4</v>
      </c>
      <c r="R25" s="32">
        <f>IFERROR(tbl_FlatLaser[[#This Row],[Qty Complete]]/tbl_FlatLaser[[#This Row],[Total Hours Act]]*tbl_FlatLaser[[#This Row],['# of men Act]],"")</f>
        <v>7.2727272727272725</v>
      </c>
      <c r="S25" s="28">
        <v>1</v>
      </c>
      <c r="T25"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0.55000000000000004</v>
      </c>
      <c r="U25" s="34">
        <v>4</v>
      </c>
      <c r="V25" s="33">
        <v>0.5</v>
      </c>
      <c r="W25" s="33">
        <v>0.7</v>
      </c>
      <c r="X25" s="35">
        <f>IFERROR((tbl_FlatLaser[[#This Row],[Adj. Total Hours]]+tbl_FlatLaser[[#This Row],[Est. Hours]])/(tbl_FlatLaser[[#This Row],[Total Hours Act]]+tbl_FlatLaser[[#This Row],[Act. Hours]]),"")</f>
        <v>0.53913043478260869</v>
      </c>
      <c r="Y25"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0.53913043478260869</v>
      </c>
      <c r="Z25" s="104">
        <f>IFERROR(tbl_FlatLaser[[#This Row],[Act. Mat. Qty]]-tbl_FlatLaser[[#This Row],[Adj. Mat. Qty]],"")</f>
        <v>0</v>
      </c>
      <c r="AA25"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0</v>
      </c>
      <c r="AB25" s="28" t="s">
        <v>269</v>
      </c>
      <c r="AC25" s="31" t="s">
        <v>263</v>
      </c>
      <c r="AD25" s="36"/>
    </row>
    <row r="26" spans="1:30" ht="25" customHeight="1">
      <c r="A26" s="27">
        <v>46121</v>
      </c>
      <c r="B26" s="28">
        <v>143144</v>
      </c>
      <c r="C26" s="28" t="str">
        <f>IF(tbl_FlatLaser[[#This Row],[Part'#]]="", "Batch", "Part")</f>
        <v>Part</v>
      </c>
      <c r="D26" s="28" t="s">
        <v>271</v>
      </c>
      <c r="E26" s="29">
        <v>0.10694444444444444</v>
      </c>
      <c r="F26" s="29">
        <v>0.13541666666666666</v>
      </c>
      <c r="G26" s="28">
        <v>8</v>
      </c>
      <c r="H26" s="28">
        <v>8</v>
      </c>
      <c r="I26" s="70">
        <f>tbl_FlatLaser[[#This Row],[Qty Complete]]/tbl_FlatLaser[[#This Row],[Qty Required]]</f>
        <v>1</v>
      </c>
      <c r="J26" s="30">
        <v>31</v>
      </c>
      <c r="K26" s="28">
        <v>1</v>
      </c>
      <c r="L26" s="31">
        <f>IF(tbl_FlatLaser[[#This Row],[Job Type]]="Batch",0,tbl_FlatLaser[[#This Row],[Qty Required]]/tbl_FlatLaser[[#This Row],[PPH]]*tbl_FlatLaser[[#This Row],['# of men]])</f>
        <v>0.25806451612903225</v>
      </c>
      <c r="M26" s="31">
        <f>IF(tbl_FlatLaser[[#This Row],[Job Type]]="Batch",tbl_FlatLaser[[#This Row],[Batch Hours]]*tbl_FlatLaser[[#This Row],[% Complete]],tbl_FlatLaser[[#This Row],[Total hours]]*tbl_FlatLaser[[#This Row],[% Complete]])</f>
        <v>0.25806451612903225</v>
      </c>
      <c r="N26" s="31"/>
      <c r="O26" s="28" t="s">
        <v>268</v>
      </c>
      <c r="P26" s="28">
        <f>tbl_FlatLaser[[#This Row],[Mat. Qty]]*tbl_FlatLaser[[#This Row],[% Complete]]</f>
        <v>4</v>
      </c>
      <c r="Q26" s="28">
        <v>4</v>
      </c>
      <c r="R26" s="32">
        <f>IFERROR(tbl_FlatLaser[[#This Row],[Qty Complete]]/tbl_FlatLaser[[#This Row],[Total Hours Act]]*tbl_FlatLaser[[#This Row],['# of men Act]],"")</f>
        <v>11.707317073170733</v>
      </c>
      <c r="S26" s="28">
        <v>1</v>
      </c>
      <c r="T26"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0.68333333333333324</v>
      </c>
      <c r="U26" s="34">
        <v>4</v>
      </c>
      <c r="V26" s="33">
        <v>0.5</v>
      </c>
      <c r="W26" s="33">
        <v>0.6</v>
      </c>
      <c r="X26" s="35">
        <f>IFERROR((tbl_FlatLaser[[#This Row],[Adj. Total Hours]]+tbl_FlatLaser[[#This Row],[Est. Hours]])/(tbl_FlatLaser[[#This Row],[Total Hours Act]]+tbl_FlatLaser[[#This Row],[Act. Hours]]),"")</f>
        <v>0.59069962295768752</v>
      </c>
      <c r="Y26"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0.59069962295768752</v>
      </c>
      <c r="Z26" s="104">
        <f>IFERROR(tbl_FlatLaser[[#This Row],[Act. Mat. Qty]]-tbl_FlatLaser[[#This Row],[Adj. Mat. Qty]],"")</f>
        <v>0</v>
      </c>
      <c r="AA26"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0</v>
      </c>
      <c r="AB26" s="28" t="s">
        <v>272</v>
      </c>
      <c r="AC26" s="31" t="s">
        <v>263</v>
      </c>
      <c r="AD26" s="36"/>
    </row>
    <row r="27" spans="1:30" ht="25" customHeight="1">
      <c r="A27" s="27">
        <v>46121</v>
      </c>
      <c r="B27" s="28" t="s">
        <v>273</v>
      </c>
      <c r="C27" s="28" t="str">
        <f>IF(tbl_FlatLaser[[#This Row],[Part'#]]="", "Batch", "Part")</f>
        <v>Part</v>
      </c>
      <c r="D27" s="79" t="s">
        <v>274</v>
      </c>
      <c r="E27" s="29">
        <v>0.13541666666666666</v>
      </c>
      <c r="F27" s="29">
        <v>0.1875</v>
      </c>
      <c r="G27" s="28">
        <v>144</v>
      </c>
      <c r="H27" s="28">
        <v>14</v>
      </c>
      <c r="I27" s="70">
        <f>tbl_FlatLaser[[#This Row],[Qty Complete]]/tbl_FlatLaser[[#This Row],[Qty Required]]</f>
        <v>9.7222222222222224E-2</v>
      </c>
      <c r="J27" s="30">
        <v>16</v>
      </c>
      <c r="K27" s="28">
        <v>1</v>
      </c>
      <c r="L27" s="31">
        <f>IF(tbl_FlatLaser[[#This Row],[Job Type]]="Batch",0,tbl_FlatLaser[[#This Row],[Qty Required]]/tbl_FlatLaser[[#This Row],[PPH]]*tbl_FlatLaser[[#This Row],['# of men]])</f>
        <v>9</v>
      </c>
      <c r="M27" s="31">
        <f>IF(tbl_FlatLaser[[#This Row],[Job Type]]="Batch",tbl_FlatLaser[[#This Row],[Batch Hours]]*tbl_FlatLaser[[#This Row],[% Complete]],tbl_FlatLaser[[#This Row],[Total hours]]*tbl_FlatLaser[[#This Row],[% Complete]])</f>
        <v>0.875</v>
      </c>
      <c r="N27" s="31">
        <v>9</v>
      </c>
      <c r="O27" s="28" t="s">
        <v>259</v>
      </c>
      <c r="P27" s="28">
        <f>tbl_FlatLaser[[#This Row],[Mat. Qty]]*tbl_FlatLaser[[#This Row],[% Complete]]</f>
        <v>6.3194444444444446</v>
      </c>
      <c r="Q27" s="28">
        <v>65</v>
      </c>
      <c r="R27" s="32">
        <f>IFERROR(tbl_FlatLaser[[#This Row],[Qty Complete]]/tbl_FlatLaser[[#This Row],[Total Hours Act]]*tbl_FlatLaser[[#This Row],['# of men Act]],"")</f>
        <v>11.199999999999998</v>
      </c>
      <c r="S27" s="28">
        <v>1</v>
      </c>
      <c r="T27"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1.2500000000000002</v>
      </c>
      <c r="U27" s="34">
        <v>8</v>
      </c>
      <c r="V27" s="33">
        <v>0.5</v>
      </c>
      <c r="W27" s="33">
        <v>0.2</v>
      </c>
      <c r="X27" s="35">
        <f>IFERROR((tbl_FlatLaser[[#This Row],[Adj. Total Hours]]+tbl_FlatLaser[[#This Row],[Est. Hours]])/(tbl_FlatLaser[[#This Row],[Total Hours Act]]+tbl_FlatLaser[[#This Row],[Act. Hours]]),"")</f>
        <v>0.94827586206896541</v>
      </c>
      <c r="Y27"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27" s="104">
        <f>IFERROR(tbl_FlatLaser[[#This Row],[Act. Mat. Qty]]-tbl_FlatLaser[[#This Row],[Adj. Mat. Qty]],"")</f>
        <v>1.6805555555555554</v>
      </c>
      <c r="AA27"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27" s="31"/>
      <c r="AD27" s="36"/>
    </row>
    <row r="28" spans="1:30" ht="25" customHeight="1">
      <c r="A28" s="27">
        <v>46122</v>
      </c>
      <c r="B28" s="28">
        <v>143145</v>
      </c>
      <c r="C28" s="28" t="str">
        <f>IF(tbl_FlatLaser[[#This Row],[Part'#]]="", "Batch", "Part")</f>
        <v>Part</v>
      </c>
      <c r="D28" s="28" t="s">
        <v>275</v>
      </c>
      <c r="E28" s="29">
        <v>0.32361111111111113</v>
      </c>
      <c r="F28" s="29">
        <v>0.41736111111111113</v>
      </c>
      <c r="G28" s="28">
        <v>8</v>
      </c>
      <c r="H28" s="28">
        <v>8</v>
      </c>
      <c r="I28" s="70">
        <f>tbl_FlatLaser[[#This Row],[Qty Complete]]/tbl_FlatLaser[[#This Row],[Qty Required]]</f>
        <v>1</v>
      </c>
      <c r="J28" s="30">
        <v>31</v>
      </c>
      <c r="K28" s="28">
        <v>1</v>
      </c>
      <c r="L28" s="31">
        <f>IF(tbl_FlatLaser[[#This Row],[Job Type]]="Batch",0,tbl_FlatLaser[[#This Row],[Qty Required]]/tbl_FlatLaser[[#This Row],[PPH]]*tbl_FlatLaser[[#This Row],['# of men]])</f>
        <v>0.25806451612903225</v>
      </c>
      <c r="M28" s="31">
        <f>IF(tbl_FlatLaser[[#This Row],[Job Type]]="Batch",tbl_FlatLaser[[#This Row],[Batch Hours]]*tbl_FlatLaser[[#This Row],[% Complete]],tbl_FlatLaser[[#This Row],[Total hours]]*tbl_FlatLaser[[#This Row],[% Complete]])</f>
        <v>0.25806451612903225</v>
      </c>
      <c r="N28" s="31"/>
      <c r="O28" s="28" t="s">
        <v>268</v>
      </c>
      <c r="P28" s="28">
        <f>tbl_FlatLaser[[#This Row],[Mat. Qty]]*tbl_FlatLaser[[#This Row],[% Complete]]</f>
        <v>8</v>
      </c>
      <c r="Q28" s="28">
        <v>8</v>
      </c>
      <c r="R28" s="32">
        <f>IFERROR(tbl_FlatLaser[[#This Row],[Qty Complete]]/tbl_FlatLaser[[#This Row],[Total Hours Act]]*tbl_FlatLaser[[#This Row],['# of men Act]],"")</f>
        <v>3.5555555555555554</v>
      </c>
      <c r="S28" s="28">
        <v>1</v>
      </c>
      <c r="T28"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2.25</v>
      </c>
      <c r="U28" s="34">
        <v>8</v>
      </c>
      <c r="V28" s="33">
        <v>0.5</v>
      </c>
      <c r="X28" s="35">
        <f>IFERROR((tbl_FlatLaser[[#This Row],[Adj. Total Hours]]+tbl_FlatLaser[[#This Row],[Est. Hours]])/(tbl_FlatLaser[[#This Row],[Total Hours Act]]+tbl_FlatLaser[[#This Row],[Act. Hours]]),"")</f>
        <v>0.33691756272401435</v>
      </c>
      <c r="Y28"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0.33691756272401435</v>
      </c>
      <c r="Z28" s="104">
        <f>IFERROR(tbl_FlatLaser[[#This Row],[Act. Mat. Qty]]-tbl_FlatLaser[[#This Row],[Adj. Mat. Qty]],"")</f>
        <v>0</v>
      </c>
      <c r="AA28"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0</v>
      </c>
      <c r="AB28" s="28" t="s">
        <v>276</v>
      </c>
      <c r="AC28" s="31"/>
      <c r="AD28" s="36"/>
    </row>
    <row r="29" spans="1:30" ht="25" customHeight="1">
      <c r="A29" s="27">
        <v>46122</v>
      </c>
      <c r="B29" s="28">
        <v>143146</v>
      </c>
      <c r="C29" s="28" t="str">
        <f>IF(tbl_FlatLaser[[#This Row],[Part'#]]="", "Batch", "Part")</f>
        <v>Part</v>
      </c>
      <c r="D29" s="28" t="s">
        <v>277</v>
      </c>
      <c r="E29" s="29">
        <v>0.41805555555555557</v>
      </c>
      <c r="F29" s="29">
        <v>0.60833333333333328</v>
      </c>
      <c r="G29" s="28">
        <v>16</v>
      </c>
      <c r="H29" s="28">
        <v>16</v>
      </c>
      <c r="I29" s="70">
        <f>tbl_FlatLaser[[#This Row],[Qty Complete]]/tbl_FlatLaser[[#This Row],[Qty Required]]</f>
        <v>1</v>
      </c>
      <c r="J29" s="30">
        <v>31</v>
      </c>
      <c r="K29" s="28">
        <v>1</v>
      </c>
      <c r="L29" s="31">
        <f>IF(tbl_FlatLaser[[#This Row],[Job Type]]="Batch",0,tbl_FlatLaser[[#This Row],[Qty Required]]/tbl_FlatLaser[[#This Row],[PPH]]*tbl_FlatLaser[[#This Row],['# of men]])</f>
        <v>0.5161290322580645</v>
      </c>
      <c r="M29" s="31">
        <f>IF(tbl_FlatLaser[[#This Row],[Job Type]]="Batch",tbl_FlatLaser[[#This Row],[Batch Hours]]*tbl_FlatLaser[[#This Row],[% Complete]],tbl_FlatLaser[[#This Row],[Total hours]]*tbl_FlatLaser[[#This Row],[% Complete]])</f>
        <v>0.5161290322580645</v>
      </c>
      <c r="N29" s="31"/>
      <c r="O29" s="28" t="s">
        <v>268</v>
      </c>
      <c r="P29" s="28">
        <f>tbl_FlatLaser[[#This Row],[Mat. Qty]]*tbl_FlatLaser[[#This Row],[% Complete]]</f>
        <v>16</v>
      </c>
      <c r="Q29" s="28">
        <v>16</v>
      </c>
      <c r="R29" s="32">
        <f>IFERROR(tbl_FlatLaser[[#This Row],[Qty Complete]]/tbl_FlatLaser[[#This Row],[Total Hours Act]]*tbl_FlatLaser[[#This Row],['# of men Act]],"")</f>
        <v>3.9344262295081989</v>
      </c>
      <c r="S29" s="28">
        <v>1</v>
      </c>
      <c r="T29"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4.0666666666666647</v>
      </c>
      <c r="U29" s="34">
        <v>16</v>
      </c>
      <c r="V29" s="33">
        <v>0.5</v>
      </c>
      <c r="X29" s="35">
        <f>IFERROR((tbl_FlatLaser[[#This Row],[Adj. Total Hours]]+tbl_FlatLaser[[#This Row],[Est. Hours]])/(tbl_FlatLaser[[#This Row],[Total Hours Act]]+tbl_FlatLaser[[#This Row],[Act. Hours]]),"")</f>
        <v>0.24986779481755697</v>
      </c>
      <c r="Y29"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0.24986779481755697</v>
      </c>
      <c r="Z29" s="104">
        <f>IFERROR(tbl_FlatLaser[[#This Row],[Act. Mat. Qty]]-tbl_FlatLaser[[#This Row],[Adj. Mat. Qty]],"")</f>
        <v>0</v>
      </c>
      <c r="AA29"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0</v>
      </c>
      <c r="AC29" s="31"/>
      <c r="AD29" s="36"/>
    </row>
    <row r="30" spans="1:30" ht="25" customHeight="1">
      <c r="A30" s="27">
        <v>46122</v>
      </c>
      <c r="B30" s="28">
        <v>143148</v>
      </c>
      <c r="C30" s="28" t="str">
        <f>IF(tbl_FlatLaser[[#This Row],[Part'#]]="", "Batch", "Part")</f>
        <v>Part</v>
      </c>
      <c r="D30" s="28" t="s">
        <v>278</v>
      </c>
      <c r="E30" s="29">
        <v>0.62916666666666665</v>
      </c>
      <c r="F30" s="29">
        <v>0.6875</v>
      </c>
      <c r="G30" s="28">
        <v>8</v>
      </c>
      <c r="H30" s="28">
        <v>8</v>
      </c>
      <c r="I30" s="70">
        <f>tbl_FlatLaser[[#This Row],[Qty Complete]]/tbl_FlatLaser[[#This Row],[Qty Required]]</f>
        <v>1</v>
      </c>
      <c r="J30" s="30">
        <v>23</v>
      </c>
      <c r="K30" s="28">
        <v>1</v>
      </c>
      <c r="L30" s="31">
        <f>IF(tbl_FlatLaser[[#This Row],[Job Type]]="Batch",0,tbl_FlatLaser[[#This Row],[Qty Required]]/tbl_FlatLaser[[#This Row],[PPH]]*tbl_FlatLaser[[#This Row],['# of men]])</f>
        <v>0.34782608695652173</v>
      </c>
      <c r="M30" s="31">
        <f>IF(tbl_FlatLaser[[#This Row],[Job Type]]="Batch",tbl_FlatLaser[[#This Row],[Batch Hours]]*tbl_FlatLaser[[#This Row],[% Complete]],tbl_FlatLaser[[#This Row],[Total hours]]*tbl_FlatLaser[[#This Row],[% Complete]])</f>
        <v>0.34782608695652173</v>
      </c>
      <c r="N30" s="31"/>
      <c r="O30" s="28" t="s">
        <v>268</v>
      </c>
      <c r="P30" s="28">
        <f>tbl_FlatLaser[[#This Row],[Mat. Qty]]*tbl_FlatLaser[[#This Row],[% Complete]]</f>
        <v>8</v>
      </c>
      <c r="Q30" s="28">
        <v>8</v>
      </c>
      <c r="R30" s="32">
        <f>IFERROR(tbl_FlatLaser[[#This Row],[Qty Complete]]/tbl_FlatLaser[[#This Row],[Total Hours Act]]*tbl_FlatLaser[[#This Row],['# of men Act]],"")</f>
        <v>5.7142857142857126</v>
      </c>
      <c r="S30" s="28">
        <v>1</v>
      </c>
      <c r="T30"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1.4000000000000004</v>
      </c>
      <c r="U30" s="34">
        <v>8</v>
      </c>
      <c r="V30" s="33">
        <v>0.5</v>
      </c>
      <c r="X30" s="35">
        <f>IFERROR((tbl_FlatLaser[[#This Row],[Adj. Total Hours]]+tbl_FlatLaser[[#This Row],[Est. Hours]])/(tbl_FlatLaser[[#This Row],[Total Hours Act]]+tbl_FlatLaser[[#This Row],[Act. Hours]]),"")</f>
        <v>0.60559006211180111</v>
      </c>
      <c r="Y30"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0.60559006211180111</v>
      </c>
      <c r="Z30" s="104">
        <f>IFERROR(tbl_FlatLaser[[#This Row],[Act. Mat. Qty]]-tbl_FlatLaser[[#This Row],[Adj. Mat. Qty]],"")</f>
        <v>0</v>
      </c>
      <c r="AA30"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0</v>
      </c>
      <c r="AC30" s="31"/>
      <c r="AD30" s="36"/>
    </row>
    <row r="31" spans="1:30" ht="25" customHeight="1">
      <c r="A31" s="27">
        <v>46122</v>
      </c>
      <c r="B31" s="28">
        <v>143149</v>
      </c>
      <c r="C31" s="28" t="str">
        <f>IF(tbl_FlatLaser[[#This Row],[Part'#]]="", "Batch", "Part")</f>
        <v>Part</v>
      </c>
      <c r="D31" s="28" t="s">
        <v>279</v>
      </c>
      <c r="E31" s="29">
        <v>0.70833333333333337</v>
      </c>
      <c r="F31" s="29">
        <v>0.80625000000000002</v>
      </c>
      <c r="G31" s="28">
        <v>6</v>
      </c>
      <c r="H31" s="28">
        <v>6</v>
      </c>
      <c r="I31" s="70">
        <f>tbl_FlatLaser[[#This Row],[Qty Complete]]/tbl_FlatLaser[[#This Row],[Qty Required]]</f>
        <v>1</v>
      </c>
      <c r="J31" s="30">
        <v>24</v>
      </c>
      <c r="K31" s="28">
        <v>1</v>
      </c>
      <c r="L31" s="31">
        <f>IF(tbl_FlatLaser[[#This Row],[Job Type]]="Batch",0,tbl_FlatLaser[[#This Row],[Qty Required]]/tbl_FlatLaser[[#This Row],[PPH]]*tbl_FlatLaser[[#This Row],['# of men]])</f>
        <v>0.25</v>
      </c>
      <c r="M31" s="31">
        <f>IF(tbl_FlatLaser[[#This Row],[Job Type]]="Batch",tbl_FlatLaser[[#This Row],[Batch Hours]]*tbl_FlatLaser[[#This Row],[% Complete]],tbl_FlatLaser[[#This Row],[Total hours]]*tbl_FlatLaser[[#This Row],[% Complete]])</f>
        <v>0.25</v>
      </c>
      <c r="N31" s="31"/>
      <c r="O31" s="83" t="s">
        <v>268</v>
      </c>
      <c r="P31" s="28">
        <f>tbl_FlatLaser[[#This Row],[Mat. Qty]]*tbl_FlatLaser[[#This Row],[% Complete]]</f>
        <v>6</v>
      </c>
      <c r="Q31" s="28">
        <v>6</v>
      </c>
      <c r="R31" s="32">
        <f>IFERROR(tbl_FlatLaser[[#This Row],[Qty Complete]]/tbl_FlatLaser[[#This Row],[Total Hours Act]]*tbl_FlatLaser[[#This Row],['# of men Act]],"")</f>
        <v>2.5531914893617027</v>
      </c>
      <c r="S31" s="28">
        <v>1</v>
      </c>
      <c r="T31"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2.3499999999999996</v>
      </c>
      <c r="U31" s="34">
        <v>6</v>
      </c>
      <c r="V31" s="33">
        <v>0.5</v>
      </c>
      <c r="W31" s="33">
        <v>0.66</v>
      </c>
      <c r="X31" s="35">
        <f>IFERROR((tbl_FlatLaser[[#This Row],[Adj. Total Hours]]+tbl_FlatLaser[[#This Row],[Est. Hours]])/(tbl_FlatLaser[[#This Row],[Total Hours Act]]+tbl_FlatLaser[[#This Row],[Act. Hours]]),"")</f>
        <v>0.24916943521594687</v>
      </c>
      <c r="Y31"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0.24916943521594687</v>
      </c>
      <c r="Z31" s="104">
        <f>IFERROR(tbl_FlatLaser[[#This Row],[Act. Mat. Qty]]-tbl_FlatLaser[[#This Row],[Adj. Mat. Qty]],"")</f>
        <v>0</v>
      </c>
      <c r="AA31"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0</v>
      </c>
      <c r="AC31" s="31"/>
      <c r="AD31" s="36"/>
    </row>
    <row r="32" spans="1:30" ht="25" customHeight="1">
      <c r="A32" s="27">
        <v>46122</v>
      </c>
      <c r="B32" s="28">
        <v>143153</v>
      </c>
      <c r="C32" s="28" t="str">
        <f>IF(tbl_FlatLaser[[#This Row],[Part'#]]="", "Batch", "Part")</f>
        <v>Part</v>
      </c>
      <c r="D32" s="28" t="s">
        <v>280</v>
      </c>
      <c r="E32" s="29">
        <v>0.80625000000000002</v>
      </c>
      <c r="F32" s="29">
        <v>0.86319444444444449</v>
      </c>
      <c r="G32" s="28">
        <v>4</v>
      </c>
      <c r="H32" s="28">
        <v>4</v>
      </c>
      <c r="I32" s="70">
        <f>tbl_FlatLaser[[#This Row],[Qty Complete]]/tbl_FlatLaser[[#This Row],[Qty Required]]</f>
        <v>1</v>
      </c>
      <c r="J32" s="30">
        <v>23</v>
      </c>
      <c r="K32" s="28">
        <v>1</v>
      </c>
      <c r="L32" s="31">
        <f>IF(tbl_FlatLaser[[#This Row],[Job Type]]="Batch",0,tbl_FlatLaser[[#This Row],[Qty Required]]/tbl_FlatLaser[[#This Row],[PPH]]*tbl_FlatLaser[[#This Row],['# of men]])</f>
        <v>0.17391304347826086</v>
      </c>
      <c r="M32" s="31">
        <f>IF(tbl_FlatLaser[[#This Row],[Job Type]]="Batch",tbl_FlatLaser[[#This Row],[Batch Hours]]*tbl_FlatLaser[[#This Row],[% Complete]],tbl_FlatLaser[[#This Row],[Total hours]]*tbl_FlatLaser[[#This Row],[% Complete]])</f>
        <v>0.17391304347826086</v>
      </c>
      <c r="N32" s="31"/>
      <c r="O32" s="28" t="s">
        <v>268</v>
      </c>
      <c r="P32" s="28">
        <f>tbl_FlatLaser[[#This Row],[Mat. Qty]]*tbl_FlatLaser[[#This Row],[% Complete]]</f>
        <v>4</v>
      </c>
      <c r="Q32" s="28">
        <v>4</v>
      </c>
      <c r="R32" s="32">
        <f>IFERROR(tbl_FlatLaser[[#This Row],[Qty Complete]]/tbl_FlatLaser[[#This Row],[Total Hours Act]]*tbl_FlatLaser[[#This Row],['# of men Act]],"")</f>
        <v>2.926829268292682</v>
      </c>
      <c r="S32" s="28">
        <v>1</v>
      </c>
      <c r="T32"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1.3666666666666671</v>
      </c>
      <c r="U32" s="34">
        <v>4</v>
      </c>
      <c r="V32" s="33">
        <v>0.5</v>
      </c>
      <c r="W32" s="33">
        <v>0.33</v>
      </c>
      <c r="X32" s="35">
        <f>IFERROR((tbl_FlatLaser[[#This Row],[Adj. Total Hours]]+tbl_FlatLaser[[#This Row],[Est. Hours]])/(tbl_FlatLaser[[#This Row],[Total Hours Act]]+tbl_FlatLaser[[#This Row],[Act. Hours]]),"")</f>
        <v>0.3971982574528059</v>
      </c>
      <c r="Y32"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0.3971982574528059</v>
      </c>
      <c r="Z32" s="104">
        <f>IFERROR(tbl_FlatLaser[[#This Row],[Act. Mat. Qty]]-tbl_FlatLaser[[#This Row],[Adj. Mat. Qty]],"")</f>
        <v>0</v>
      </c>
      <c r="AA32"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0</v>
      </c>
      <c r="AC32" s="31"/>
      <c r="AD32" s="36"/>
    </row>
    <row r="33" spans="1:30" ht="25" customHeight="1">
      <c r="A33" s="27">
        <v>46122</v>
      </c>
      <c r="B33" s="28">
        <v>143128</v>
      </c>
      <c r="C33" s="28" t="str">
        <f>IF(tbl_FlatLaser[[#This Row],[Part'#]]="", "Batch", "Part")</f>
        <v>Part</v>
      </c>
      <c r="D33" s="28" t="s">
        <v>281</v>
      </c>
      <c r="E33" s="29">
        <v>0.875</v>
      </c>
      <c r="F33" s="29">
        <v>0.91249999999999998</v>
      </c>
      <c r="G33" s="28">
        <v>3</v>
      </c>
      <c r="H33" s="28">
        <v>3</v>
      </c>
      <c r="I33" s="70">
        <f>tbl_FlatLaser[[#This Row],[Qty Complete]]/tbl_FlatLaser[[#This Row],[Qty Required]]</f>
        <v>1</v>
      </c>
      <c r="J33" s="30">
        <v>25</v>
      </c>
      <c r="K33" s="28">
        <v>1</v>
      </c>
      <c r="L33" s="31">
        <f>IF(tbl_FlatLaser[[#This Row],[Job Type]]="Batch",0,tbl_FlatLaser[[#This Row],[Qty Required]]/tbl_FlatLaser[[#This Row],[PPH]]*tbl_FlatLaser[[#This Row],['# of men]])</f>
        <v>0.12</v>
      </c>
      <c r="M33" s="31">
        <f>IF(tbl_FlatLaser[[#This Row],[Job Type]]="Batch",tbl_FlatLaser[[#This Row],[Batch Hours]]*tbl_FlatLaser[[#This Row],[% Complete]],tbl_FlatLaser[[#This Row],[Total hours]]*tbl_FlatLaser[[#This Row],[% Complete]])</f>
        <v>0.12</v>
      </c>
      <c r="N33" s="31"/>
      <c r="O33" s="28" t="s">
        <v>268</v>
      </c>
      <c r="P33" s="28">
        <f>tbl_FlatLaser[[#This Row],[Mat. Qty]]*tbl_FlatLaser[[#This Row],[% Complete]]</f>
        <v>3</v>
      </c>
      <c r="Q33" s="28">
        <v>3</v>
      </c>
      <c r="R33" s="32">
        <f>IFERROR(tbl_FlatLaser[[#This Row],[Qty Complete]]/tbl_FlatLaser[[#This Row],[Total Hours Act]]*tbl_FlatLaser[[#This Row],['# of men Act]],"")</f>
        <v>3.3333333333333353</v>
      </c>
      <c r="S33" s="28">
        <v>1</v>
      </c>
      <c r="T33"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0.89999999999999947</v>
      </c>
      <c r="U33" s="34">
        <v>3</v>
      </c>
      <c r="V33" s="33">
        <v>0.5</v>
      </c>
      <c r="W33" s="33">
        <v>0.17</v>
      </c>
      <c r="X33" s="35">
        <f>IFERROR((tbl_FlatLaser[[#This Row],[Adj. Total Hours]]+tbl_FlatLaser[[#This Row],[Est. Hours]])/(tbl_FlatLaser[[#This Row],[Total Hours Act]]+tbl_FlatLaser[[#This Row],[Act. Hours]]),"")</f>
        <v>0.57943925233644888</v>
      </c>
      <c r="Y33"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0.57943925233644888</v>
      </c>
      <c r="Z33" s="104">
        <f>IFERROR(tbl_FlatLaser[[#This Row],[Act. Mat. Qty]]-tbl_FlatLaser[[#This Row],[Adj. Mat. Qty]],"")</f>
        <v>0</v>
      </c>
      <c r="AA33"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0</v>
      </c>
      <c r="AC33" s="31"/>
      <c r="AD33" s="36"/>
    </row>
    <row r="34" spans="1:30" ht="25" customHeight="1">
      <c r="A34" s="27">
        <v>46122</v>
      </c>
      <c r="B34" s="28">
        <v>143133</v>
      </c>
      <c r="C34" s="28" t="str">
        <f>IF(tbl_FlatLaser[[#This Row],[Part'#]]="", "Batch", "Part")</f>
        <v>Part</v>
      </c>
      <c r="D34" s="28" t="s">
        <v>282</v>
      </c>
      <c r="E34" s="29">
        <v>0.91319444444444442</v>
      </c>
      <c r="F34" s="29">
        <v>0.98750000000000004</v>
      </c>
      <c r="G34" s="28">
        <v>12</v>
      </c>
      <c r="H34" s="28">
        <v>12</v>
      </c>
      <c r="I34" s="70">
        <f>tbl_FlatLaser[[#This Row],[Qty Complete]]/tbl_FlatLaser[[#This Row],[Qty Required]]</f>
        <v>1</v>
      </c>
      <c r="J34" s="30">
        <v>23</v>
      </c>
      <c r="K34" s="28">
        <v>1</v>
      </c>
      <c r="L34" s="31">
        <f>IF(tbl_FlatLaser[[#This Row],[Job Type]]="Batch",0,tbl_FlatLaser[[#This Row],[Qty Required]]/tbl_FlatLaser[[#This Row],[PPH]]*tbl_FlatLaser[[#This Row],['# of men]])</f>
        <v>0.52173913043478259</v>
      </c>
      <c r="M34" s="31">
        <f>IF(tbl_FlatLaser[[#This Row],[Job Type]]="Batch",tbl_FlatLaser[[#This Row],[Batch Hours]]*tbl_FlatLaser[[#This Row],[% Complete]],tbl_FlatLaser[[#This Row],[Total hours]]*tbl_FlatLaser[[#This Row],[% Complete]])</f>
        <v>0.52173913043478259</v>
      </c>
      <c r="N34" s="31"/>
      <c r="O34" s="28" t="s">
        <v>268</v>
      </c>
      <c r="P34" s="28">
        <f>tbl_FlatLaser[[#This Row],[Mat. Qty]]*tbl_FlatLaser[[#This Row],[% Complete]]</f>
        <v>12</v>
      </c>
      <c r="Q34" s="28">
        <v>12</v>
      </c>
      <c r="R34" s="32">
        <f>IFERROR(tbl_FlatLaser[[#This Row],[Qty Complete]]/tbl_FlatLaser[[#This Row],[Total Hours Act]]*tbl_FlatLaser[[#This Row],['# of men Act]],"")</f>
        <v>6.7289719626168161</v>
      </c>
      <c r="S34" s="28">
        <v>1</v>
      </c>
      <c r="T34"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1.783333333333335</v>
      </c>
      <c r="U34" s="34">
        <v>12</v>
      </c>
      <c r="V34" s="33">
        <v>0.5</v>
      </c>
      <c r="W34" s="33">
        <v>0.17</v>
      </c>
      <c r="X34" s="35">
        <f>IFERROR((tbl_FlatLaser[[#This Row],[Adj. Total Hours]]+tbl_FlatLaser[[#This Row],[Est. Hours]])/(tbl_FlatLaser[[#This Row],[Total Hours Act]]+tbl_FlatLaser[[#This Row],[Act. Hours]]),"")</f>
        <v>0.52307464015432514</v>
      </c>
      <c r="Y34"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0.52307464015432514</v>
      </c>
      <c r="Z34" s="104">
        <f>IFERROR(tbl_FlatLaser[[#This Row],[Act. Mat. Qty]]-tbl_FlatLaser[[#This Row],[Adj. Mat. Qty]],"")</f>
        <v>0</v>
      </c>
      <c r="AA34"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0</v>
      </c>
      <c r="AC34" s="31"/>
      <c r="AD34" s="36"/>
    </row>
    <row r="35" spans="1:30" ht="25" customHeight="1">
      <c r="A35" s="27">
        <v>46122</v>
      </c>
      <c r="B35" s="28">
        <v>143134</v>
      </c>
      <c r="C35" s="28" t="str">
        <f>IF(tbl_FlatLaser[[#This Row],[Part'#]]="", "Batch", "Part")</f>
        <v>Part</v>
      </c>
      <c r="D35" s="28" t="s">
        <v>283</v>
      </c>
      <c r="E35" s="29">
        <v>0.98750000000000004</v>
      </c>
      <c r="F35" s="29">
        <v>3.6805555555555557E-2</v>
      </c>
      <c r="G35" s="28">
        <v>6</v>
      </c>
      <c r="H35" s="28">
        <v>6</v>
      </c>
      <c r="I35" s="70">
        <f>tbl_FlatLaser[[#This Row],[Qty Complete]]/tbl_FlatLaser[[#This Row],[Qty Required]]</f>
        <v>1</v>
      </c>
      <c r="J35" s="30">
        <v>28</v>
      </c>
      <c r="K35" s="28">
        <v>1</v>
      </c>
      <c r="L35" s="31">
        <f>IF(tbl_FlatLaser[[#This Row],[Job Type]]="Batch",0,tbl_FlatLaser[[#This Row],[Qty Required]]/tbl_FlatLaser[[#This Row],[PPH]]*tbl_FlatLaser[[#This Row],['# of men]])</f>
        <v>0.21428571428571427</v>
      </c>
      <c r="M35" s="31">
        <f>IF(tbl_FlatLaser[[#This Row],[Job Type]]="Batch",tbl_FlatLaser[[#This Row],[Batch Hours]]*tbl_FlatLaser[[#This Row],[% Complete]],tbl_FlatLaser[[#This Row],[Total hours]]*tbl_FlatLaser[[#This Row],[% Complete]])</f>
        <v>0.21428571428571427</v>
      </c>
      <c r="N35" s="31"/>
      <c r="O35" s="28" t="s">
        <v>268</v>
      </c>
      <c r="P35" s="28">
        <f>tbl_FlatLaser[[#This Row],[Mat. Qty]]*tbl_FlatLaser[[#This Row],[% Complete]]</f>
        <v>3</v>
      </c>
      <c r="Q35" s="28">
        <v>3</v>
      </c>
      <c r="R35" s="32">
        <f>IFERROR(tbl_FlatLaser[[#This Row],[Qty Complete]]/tbl_FlatLaser[[#This Row],[Total Hours Act]]*tbl_FlatLaser[[#This Row],['# of men Act]],"")</f>
        <v>8.780487804878069</v>
      </c>
      <c r="S35" s="28">
        <v>1</v>
      </c>
      <c r="T35"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0.68333333333333179</v>
      </c>
      <c r="U35" s="34">
        <v>3</v>
      </c>
      <c r="V35" s="33">
        <v>0.5</v>
      </c>
      <c r="W35" s="33">
        <v>0.3</v>
      </c>
      <c r="X35" s="35">
        <f>IFERROR((tbl_FlatLaser[[#This Row],[Adj. Total Hours]]+tbl_FlatLaser[[#This Row],[Est. Hours]])/(tbl_FlatLaser[[#This Row],[Total Hours Act]]+tbl_FlatLaser[[#This Row],[Act. Hours]]),"")</f>
        <v>0.72639225181598177</v>
      </c>
      <c r="Y35"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0.72639225181598177</v>
      </c>
      <c r="Z35" s="104">
        <f>IFERROR(tbl_FlatLaser[[#This Row],[Act. Mat. Qty]]-tbl_FlatLaser[[#This Row],[Adj. Mat. Qty]],"")</f>
        <v>0</v>
      </c>
      <c r="AA35"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0</v>
      </c>
      <c r="AC35" s="31"/>
      <c r="AD35" s="36"/>
    </row>
    <row r="36" spans="1:30" ht="25" customHeight="1">
      <c r="A36" s="27">
        <v>46123</v>
      </c>
      <c r="B36" s="28">
        <v>143135</v>
      </c>
      <c r="C36" s="28" t="str">
        <f>IF(tbl_FlatLaser[[#This Row],[Part'#]]="", "Batch", "Part")</f>
        <v>Part</v>
      </c>
      <c r="D36" s="28" t="s">
        <v>284</v>
      </c>
      <c r="E36" s="29">
        <v>3.8194444444444448E-2</v>
      </c>
      <c r="F36" s="29">
        <v>6.1805555555555558E-2</v>
      </c>
      <c r="G36" s="28">
        <v>6</v>
      </c>
      <c r="H36" s="28">
        <v>6</v>
      </c>
      <c r="I36" s="70">
        <f>tbl_FlatLaser[[#This Row],[Qty Complete]]/tbl_FlatLaser[[#This Row],[Qty Required]]</f>
        <v>1</v>
      </c>
      <c r="J36" s="30">
        <v>27</v>
      </c>
      <c r="K36" s="28">
        <v>1</v>
      </c>
      <c r="L36" s="31">
        <f>IF(tbl_FlatLaser[[#This Row],[Job Type]]="Batch",0,tbl_FlatLaser[[#This Row],[Qty Required]]/tbl_FlatLaser[[#This Row],[PPH]]*tbl_FlatLaser[[#This Row],['# of men]])</f>
        <v>0.22222222222222221</v>
      </c>
      <c r="M36" s="31">
        <f>IF(tbl_FlatLaser[[#This Row],[Job Type]]="Batch",tbl_FlatLaser[[#This Row],[Batch Hours]]*tbl_FlatLaser[[#This Row],[% Complete]],tbl_FlatLaser[[#This Row],[Total hours]]*tbl_FlatLaser[[#This Row],[% Complete]])</f>
        <v>0.22222222222222221</v>
      </c>
      <c r="N36" s="31"/>
      <c r="O36" s="28" t="s">
        <v>268</v>
      </c>
      <c r="P36" s="28">
        <f>tbl_FlatLaser[[#This Row],[Mat. Qty]]*tbl_FlatLaser[[#This Row],[% Complete]]</f>
        <v>3</v>
      </c>
      <c r="Q36" s="28">
        <v>3</v>
      </c>
      <c r="R36" s="32">
        <f>IFERROR(tbl_FlatLaser[[#This Row],[Qty Complete]]/tbl_FlatLaser[[#This Row],[Total Hours Act]]*tbl_FlatLaser[[#This Row],['# of men Act]],"")</f>
        <v>10.588235294117647</v>
      </c>
      <c r="S36" s="28">
        <v>1</v>
      </c>
      <c r="T36"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0.56666666666666665</v>
      </c>
      <c r="U36" s="34">
        <v>3</v>
      </c>
      <c r="V36" s="33">
        <v>0.5</v>
      </c>
      <c r="W36" s="33">
        <v>0.17</v>
      </c>
      <c r="X36" s="35">
        <f>IFERROR((tbl_FlatLaser[[#This Row],[Adj. Total Hours]]+tbl_FlatLaser[[#This Row],[Est. Hours]])/(tbl_FlatLaser[[#This Row],[Total Hours Act]]+tbl_FlatLaser[[#This Row],[Act. Hours]]),"")</f>
        <v>0.98039215686274506</v>
      </c>
      <c r="Y36"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0.98039215686274506</v>
      </c>
      <c r="Z36" s="104">
        <f>IFERROR(tbl_FlatLaser[[#This Row],[Act. Mat. Qty]]-tbl_FlatLaser[[#This Row],[Adj. Mat. Qty]],"")</f>
        <v>0</v>
      </c>
      <c r="AA36"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0</v>
      </c>
      <c r="AC36" s="31"/>
      <c r="AD36" s="36"/>
    </row>
    <row r="37" spans="1:30" ht="25" customHeight="1">
      <c r="A37" s="27">
        <v>46123</v>
      </c>
      <c r="B37" s="28">
        <v>143152</v>
      </c>
      <c r="C37" s="28" t="str">
        <f>IF(tbl_FlatLaser[[#This Row],[Part'#]]="", "Batch", "Part")</f>
        <v>Part</v>
      </c>
      <c r="D37" s="28" t="s">
        <v>285</v>
      </c>
      <c r="E37" s="29">
        <v>6.25E-2</v>
      </c>
      <c r="F37" s="29">
        <v>0.10277777777777777</v>
      </c>
      <c r="G37" s="28">
        <v>6</v>
      </c>
      <c r="H37" s="28">
        <v>6</v>
      </c>
      <c r="I37" s="70">
        <f>tbl_FlatLaser[[#This Row],[Qty Complete]]/tbl_FlatLaser[[#This Row],[Qty Required]]</f>
        <v>1</v>
      </c>
      <c r="J37" s="30">
        <v>23</v>
      </c>
      <c r="K37" s="28">
        <v>1</v>
      </c>
      <c r="L37" s="31">
        <f>IF(tbl_FlatLaser[[#This Row],[Job Type]]="Batch",0,tbl_FlatLaser[[#This Row],[Qty Required]]/tbl_FlatLaser[[#This Row],[PPH]]*tbl_FlatLaser[[#This Row],['# of men]])</f>
        <v>0.2608695652173913</v>
      </c>
      <c r="M37" s="31">
        <f>IF(tbl_FlatLaser[[#This Row],[Job Type]]="Batch",tbl_FlatLaser[[#This Row],[Batch Hours]]*tbl_FlatLaser[[#This Row],[% Complete]],tbl_FlatLaser[[#This Row],[Total hours]]*tbl_FlatLaser[[#This Row],[% Complete]])</f>
        <v>0.2608695652173913</v>
      </c>
      <c r="N37" s="31"/>
      <c r="O37" s="28" t="s">
        <v>268</v>
      </c>
      <c r="P37" s="28">
        <f>tbl_FlatLaser[[#This Row],[Mat. Qty]]*tbl_FlatLaser[[#This Row],[% Complete]]</f>
        <v>6</v>
      </c>
      <c r="Q37" s="28">
        <v>6</v>
      </c>
      <c r="R37" s="32">
        <f>IFERROR(tbl_FlatLaser[[#This Row],[Qty Complete]]/tbl_FlatLaser[[#This Row],[Total Hours Act]]*tbl_FlatLaser[[#This Row],['# of men Act]],"")</f>
        <v>6.2068965517241388</v>
      </c>
      <c r="S37" s="28">
        <v>1</v>
      </c>
      <c r="T37"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0.96666666666666656</v>
      </c>
      <c r="U37" s="34">
        <v>6</v>
      </c>
      <c r="V37" s="33">
        <v>0.5</v>
      </c>
      <c r="W37" s="33">
        <v>0.17</v>
      </c>
      <c r="X37" s="35">
        <f>IFERROR((tbl_FlatLaser[[#This Row],[Adj. Total Hours]]+tbl_FlatLaser[[#This Row],[Est. Hours]])/(tbl_FlatLaser[[#This Row],[Total Hours Act]]+tbl_FlatLaser[[#This Row],[Act. Hours]]),"")</f>
        <v>0.66938671426749985</v>
      </c>
      <c r="Y37"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0.66938671426749985</v>
      </c>
      <c r="Z37" s="104">
        <f>IFERROR(tbl_FlatLaser[[#This Row],[Act. Mat. Qty]]-tbl_FlatLaser[[#This Row],[Adj. Mat. Qty]],"")</f>
        <v>0</v>
      </c>
      <c r="AA37"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0</v>
      </c>
      <c r="AC37" s="31"/>
      <c r="AD37" s="36"/>
    </row>
    <row r="38" spans="1:30" ht="25" customHeight="1">
      <c r="A38" s="27">
        <v>46122</v>
      </c>
      <c r="B38" s="28" t="s">
        <v>286</v>
      </c>
      <c r="C38" s="28" t="str">
        <f>IF(tbl_FlatLaser[[#This Row],[Part'#]]="", "Batch", "Part")</f>
        <v>Part</v>
      </c>
      <c r="D38" s="28" t="s">
        <v>287</v>
      </c>
      <c r="E38" s="29">
        <v>0.8125</v>
      </c>
      <c r="F38" s="29">
        <v>0.96875</v>
      </c>
      <c r="G38" s="28">
        <v>3750</v>
      </c>
      <c r="H38" s="28">
        <v>3750</v>
      </c>
      <c r="I38" s="70">
        <f>tbl_FlatLaser[[#This Row],[Qty Complete]]/tbl_FlatLaser[[#This Row],[Qty Required]]</f>
        <v>1</v>
      </c>
      <c r="J38" s="30">
        <v>2000</v>
      </c>
      <c r="K38" s="28">
        <v>1</v>
      </c>
      <c r="L38" s="31">
        <f>IF(tbl_FlatLaser[[#This Row],[Job Type]]="Batch",0,tbl_FlatLaser[[#This Row],[Qty Required]]/tbl_FlatLaser[[#This Row],[PPH]]*tbl_FlatLaser[[#This Row],['# of men]])</f>
        <v>1.875</v>
      </c>
      <c r="M38" s="31">
        <f>IF(tbl_FlatLaser[[#This Row],[Job Type]]="Batch",tbl_FlatLaser[[#This Row],[Batch Hours]]*tbl_FlatLaser[[#This Row],[% Complete]],tbl_FlatLaser[[#This Row],[Total hours]]*tbl_FlatLaser[[#This Row],[% Complete]])</f>
        <v>1.875</v>
      </c>
      <c r="N38" s="31"/>
      <c r="O38" s="28" t="s">
        <v>288</v>
      </c>
      <c r="P38" s="28">
        <f>tbl_FlatLaser[[#This Row],[Mat. Qty]]*tbl_FlatLaser[[#This Row],[% Complete]]</f>
        <v>3</v>
      </c>
      <c r="Q38" s="28">
        <v>3</v>
      </c>
      <c r="R38" s="32">
        <f>IFERROR(tbl_FlatLaser[[#This Row],[Qty Complete]]/tbl_FlatLaser[[#This Row],[Total Hours Act]]*tbl_FlatLaser[[#This Row],['# of men Act]],"")</f>
        <v>1000</v>
      </c>
      <c r="S38" s="28">
        <v>1</v>
      </c>
      <c r="T38"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3.75</v>
      </c>
      <c r="U38" s="34">
        <v>3</v>
      </c>
      <c r="V38" s="33">
        <v>0.5</v>
      </c>
      <c r="W38" s="33">
        <v>1.45</v>
      </c>
      <c r="X38" s="35">
        <f>IFERROR((tbl_FlatLaser[[#This Row],[Adj. Total Hours]]+tbl_FlatLaser[[#This Row],[Est. Hours]])/(tbl_FlatLaser[[#This Row],[Total Hours Act]]+tbl_FlatLaser[[#This Row],[Act. Hours]]),"")</f>
        <v>0.45673076923076922</v>
      </c>
      <c r="Y38"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0.45673076923076922</v>
      </c>
      <c r="Z38" s="104">
        <f>IFERROR(tbl_FlatLaser[[#This Row],[Act. Mat. Qty]]-tbl_FlatLaser[[#This Row],[Adj. Mat. Qty]],"")</f>
        <v>0</v>
      </c>
      <c r="AA38"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0</v>
      </c>
      <c r="AB38" s="28" t="s">
        <v>289</v>
      </c>
      <c r="AC38" s="31"/>
      <c r="AD38" s="36"/>
    </row>
    <row r="39" spans="1:30" ht="25" customHeight="1">
      <c r="A39" s="27">
        <v>46122</v>
      </c>
      <c r="B39" s="28" t="s">
        <v>290</v>
      </c>
      <c r="C39" s="28" t="str">
        <f>IF(tbl_FlatLaser[[#This Row],[Part'#]]="", "Batch", "Part")</f>
        <v>Part</v>
      </c>
      <c r="D39" s="28" t="s">
        <v>291</v>
      </c>
      <c r="E39" s="29">
        <v>0.98333333333333328</v>
      </c>
      <c r="F39" s="29">
        <v>0.12013888888888889</v>
      </c>
      <c r="G39" s="28">
        <v>600</v>
      </c>
      <c r="H39" s="28">
        <v>600</v>
      </c>
      <c r="I39" s="70">
        <f>tbl_FlatLaser[[#This Row],[Qty Complete]]/tbl_FlatLaser[[#This Row],[Qty Required]]</f>
        <v>1</v>
      </c>
      <c r="J39" s="30">
        <v>295</v>
      </c>
      <c r="K39" s="28">
        <v>1</v>
      </c>
      <c r="L39" s="31">
        <f>IF(tbl_FlatLaser[[#This Row],[Job Type]]="Batch",0,tbl_FlatLaser[[#This Row],[Qty Required]]/tbl_FlatLaser[[#This Row],[PPH]]*tbl_FlatLaser[[#This Row],['# of men]])</f>
        <v>2.0338983050847457</v>
      </c>
      <c r="M39" s="31">
        <f>IF(tbl_FlatLaser[[#This Row],[Job Type]]="Batch",tbl_FlatLaser[[#This Row],[Batch Hours]]*tbl_FlatLaser[[#This Row],[% Complete]],tbl_FlatLaser[[#This Row],[Total hours]]*tbl_FlatLaser[[#This Row],[% Complete]])</f>
        <v>2.0338983050847457</v>
      </c>
      <c r="N39" s="31"/>
      <c r="O39" s="28" t="s">
        <v>292</v>
      </c>
      <c r="P39" s="28">
        <f>tbl_FlatLaser[[#This Row],[Mat. Qty]]*tbl_FlatLaser[[#This Row],[% Complete]]</f>
        <v>0.66</v>
      </c>
      <c r="Q39" s="28">
        <v>0.66</v>
      </c>
      <c r="R39" s="32">
        <f>IFERROR(tbl_FlatLaser[[#This Row],[Qty Complete]]/tbl_FlatLaser[[#This Row],[Total Hours Act]]*tbl_FlatLaser[[#This Row],['# of men Act]],"")</f>
        <v>215.56886227544896</v>
      </c>
      <c r="S39" s="28">
        <v>1</v>
      </c>
      <c r="T39"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2.783333333333335</v>
      </c>
      <c r="U39" s="34">
        <v>0.66</v>
      </c>
      <c r="V39" s="33">
        <v>0.5</v>
      </c>
      <c r="W39" s="33">
        <v>1</v>
      </c>
      <c r="X39" s="35">
        <f>IFERROR((tbl_FlatLaser[[#This Row],[Adj. Total Hours]]+tbl_FlatLaser[[#This Row],[Est. Hours]])/(tbl_FlatLaser[[#This Row],[Total Hours Act]]+tbl_FlatLaser[[#This Row],[Act. Hours]]),"")</f>
        <v>0.66975285596953604</v>
      </c>
      <c r="Y39"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0.66975285596953604</v>
      </c>
      <c r="Z39" s="104">
        <f>IFERROR(tbl_FlatLaser[[#This Row],[Act. Mat. Qty]]-tbl_FlatLaser[[#This Row],[Adj. Mat. Qty]],"")</f>
        <v>0</v>
      </c>
      <c r="AA39"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0</v>
      </c>
      <c r="AB39" s="28" t="s">
        <v>293</v>
      </c>
      <c r="AC39" s="31"/>
      <c r="AD39" s="36"/>
    </row>
    <row r="40" spans="1:30" ht="25" customHeight="1">
      <c r="A40" s="27">
        <v>46123</v>
      </c>
      <c r="B40" s="28" t="s">
        <v>294</v>
      </c>
      <c r="C40" s="28" t="str">
        <f>IF(tbl_FlatLaser[[#This Row],[Part'#]]="", "Batch", "Part")</f>
        <v>Batch</v>
      </c>
      <c r="E40" s="29">
        <v>0.12152777777777778</v>
      </c>
      <c r="F40" s="29">
        <v>0.20833333333333334</v>
      </c>
      <c r="G40" s="28">
        <v>1000</v>
      </c>
      <c r="H40" s="28">
        <v>400</v>
      </c>
      <c r="I40" s="70">
        <f>tbl_FlatLaser[[#This Row],[Qty Complete]]/tbl_FlatLaser[[#This Row],[Qty Required]]</f>
        <v>0.4</v>
      </c>
      <c r="J40" s="30">
        <v>292</v>
      </c>
      <c r="K40" s="28">
        <v>1</v>
      </c>
      <c r="L40" s="31">
        <f>IF(tbl_FlatLaser[[#This Row],[Job Type]]="Batch",0,tbl_FlatLaser[[#This Row],[Qty Required]]/tbl_FlatLaser[[#This Row],[PPH]]*tbl_FlatLaser[[#This Row],['# of men]])</f>
        <v>0</v>
      </c>
      <c r="M40" s="31">
        <f>IF(tbl_FlatLaser[[#This Row],[Job Type]]="Batch",tbl_FlatLaser[[#This Row],[Batch Hours]]*tbl_FlatLaser[[#This Row],[% Complete]],tbl_FlatLaser[[#This Row],[Total hours]]*tbl_FlatLaser[[#This Row],[% Complete]])</f>
        <v>1.3680000000000001</v>
      </c>
      <c r="N40" s="31">
        <v>3.42</v>
      </c>
      <c r="O40" s="28" t="s">
        <v>295</v>
      </c>
      <c r="P40" s="28">
        <f>tbl_FlatLaser[[#This Row],[Mat. Qty]]*tbl_FlatLaser[[#This Row],[% Complete]]</f>
        <v>7.6000000000000005</v>
      </c>
      <c r="Q40" s="28">
        <v>19</v>
      </c>
      <c r="R40" s="32">
        <f>IFERROR(tbl_FlatLaser[[#This Row],[Qty Complete]]/tbl_FlatLaser[[#This Row],[Total Hours Act]]*tbl_FlatLaser[[#This Row],['# of men Act]],"")</f>
        <v>192</v>
      </c>
      <c r="S40" s="28">
        <v>1</v>
      </c>
      <c r="T40"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2.0833333333333335</v>
      </c>
      <c r="V40" s="33">
        <v>0.5</v>
      </c>
      <c r="W40" s="33">
        <v>0.5</v>
      </c>
      <c r="X40" s="35">
        <f>IFERROR((tbl_FlatLaser[[#This Row],[Adj. Total Hours]]+tbl_FlatLaser[[#This Row],[Est. Hours]])/(tbl_FlatLaser[[#This Row],[Total Hours Act]]+tbl_FlatLaser[[#This Row],[Act. Hours]]),"")</f>
        <v>0.72309677419354834</v>
      </c>
      <c r="Y40"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40" s="104">
        <f>IFERROR(tbl_FlatLaser[[#This Row],[Act. Mat. Qty]]-tbl_FlatLaser[[#This Row],[Adj. Mat. Qty]],"")</f>
        <v>-7.6000000000000005</v>
      </c>
      <c r="AA40"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40" s="31"/>
      <c r="AD40" s="36"/>
    </row>
    <row r="41" spans="1:30" ht="25" customHeight="1">
      <c r="A41" s="27">
        <v>46124</v>
      </c>
      <c r="B41" s="28" t="s">
        <v>296</v>
      </c>
      <c r="C41" s="28" t="str">
        <f>IF(tbl_FlatLaser[[#This Row],[Part'#]]="", "Batch", "Part")</f>
        <v>Part</v>
      </c>
      <c r="D41" s="28">
        <v>1502882800</v>
      </c>
      <c r="E41" s="29">
        <v>0.20833333333333334</v>
      </c>
      <c r="F41" s="29">
        <v>0.38055555555555554</v>
      </c>
      <c r="G41" s="28">
        <v>16</v>
      </c>
      <c r="H41" s="28">
        <v>14</v>
      </c>
      <c r="I41" s="70">
        <f>tbl_FlatLaser[[#This Row],[Qty Complete]]/tbl_FlatLaser[[#This Row],[Qty Required]]</f>
        <v>0.875</v>
      </c>
      <c r="J41" s="30">
        <v>11</v>
      </c>
      <c r="K41" s="28">
        <v>1</v>
      </c>
      <c r="L41" s="31">
        <v>0.08</v>
      </c>
      <c r="M41" s="31">
        <f>IF(tbl_FlatLaser[[#This Row],[Job Type]]="Batch",tbl_FlatLaser[[#This Row],[Batch Hours]]*tbl_FlatLaser[[#This Row],[% Complete]],tbl_FlatLaser[[#This Row],[Total hours]]*tbl_FlatLaser[[#This Row],[% Complete]])</f>
        <v>7.0000000000000007E-2</v>
      </c>
      <c r="N41" s="31"/>
      <c r="O41" s="28" t="s">
        <v>297</v>
      </c>
      <c r="P41" s="28">
        <f>tbl_FlatLaser[[#This Row],[Mat. Qty]]*tbl_FlatLaser[[#This Row],[% Complete]]</f>
        <v>12.25</v>
      </c>
      <c r="Q41" s="28">
        <v>14</v>
      </c>
      <c r="R41" s="32">
        <f>IFERROR(tbl_FlatLaser[[#This Row],[Qty Complete]]/tbl_FlatLaser[[#This Row],[Total Hours Act]]*tbl_FlatLaser[[#This Row],['# of men Act]],"")</f>
        <v>3.3870967741935489</v>
      </c>
      <c r="S41" s="28">
        <v>1</v>
      </c>
      <c r="T41"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4.1333333333333329</v>
      </c>
      <c r="V41" s="33">
        <v>0.5</v>
      </c>
      <c r="X41" s="35">
        <f>IFERROR((tbl_FlatLaser[[#This Row],[Adj. Total Hours]]+tbl_FlatLaser[[#This Row],[Est. Hours]])/(tbl_FlatLaser[[#This Row],[Total Hours Act]]+tbl_FlatLaser[[#This Row],[Act. Hours]]),"")</f>
        <v>0.13790322580645165</v>
      </c>
      <c r="Y41"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41" s="104">
        <f>IFERROR(tbl_FlatLaser[[#This Row],[Act. Mat. Qty]]-tbl_FlatLaser[[#This Row],[Adj. Mat. Qty]],"")</f>
        <v>-12.25</v>
      </c>
      <c r="AA41"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41" s="31"/>
      <c r="AD41" s="36"/>
    </row>
    <row r="42" spans="1:30" ht="25" customHeight="1">
      <c r="A42" s="27">
        <v>46124</v>
      </c>
      <c r="B42" s="28" t="s">
        <v>298</v>
      </c>
      <c r="C42" s="28" t="str">
        <f>IF(tbl_FlatLaser[[#This Row],[Part'#]]="", "Batch", "Part")</f>
        <v>Batch</v>
      </c>
      <c r="E42" s="29">
        <v>0.41666666666666669</v>
      </c>
      <c r="F42" s="29">
        <v>0.70833333333333337</v>
      </c>
      <c r="G42" s="28">
        <v>24</v>
      </c>
      <c r="H42" s="28">
        <v>24</v>
      </c>
      <c r="I42" s="70">
        <f>tbl_FlatLaser[[#This Row],[Qty Complete]]/tbl_FlatLaser[[#This Row],[Qty Required]]</f>
        <v>1</v>
      </c>
      <c r="L42" s="31"/>
      <c r="M42" s="31">
        <f>IF(tbl_FlatLaser[[#This Row],[Job Type]]="Batch",tbl_FlatLaser[[#This Row],[Batch Hours]]*tbl_FlatLaser[[#This Row],[% Complete]],tbl_FlatLaser[[#This Row],[Total hours]]*tbl_FlatLaser[[#This Row],[% Complete]])</f>
        <v>7</v>
      </c>
      <c r="N42" s="31">
        <v>7</v>
      </c>
      <c r="P42" s="28">
        <f>tbl_FlatLaser[[#This Row],[Mat. Qty]]*tbl_FlatLaser[[#This Row],[% Complete]]</f>
        <v>12</v>
      </c>
      <c r="Q42" s="28">
        <v>12</v>
      </c>
      <c r="R42" s="32">
        <f>IFERROR(tbl_FlatLaser[[#This Row],[Qty Complete]]/tbl_FlatLaser[[#This Row],[Total Hours Act]]*tbl_FlatLaser[[#This Row],['# of men Act]],"")</f>
        <v>3.6923076923076925</v>
      </c>
      <c r="S42" s="28">
        <v>1</v>
      </c>
      <c r="T42"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6.5</v>
      </c>
      <c r="X42" s="35">
        <f>IFERROR((tbl_FlatLaser[[#This Row],[Adj. Total Hours]]+tbl_FlatLaser[[#This Row],[Est. Hours]])/(tbl_FlatLaser[[#This Row],[Total Hours Act]]+tbl_FlatLaser[[#This Row],[Act. Hours]]),"")</f>
        <v>1.0769230769230769</v>
      </c>
      <c r="Y42"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1.0769230769230769</v>
      </c>
      <c r="Z42" s="104">
        <f>IFERROR(tbl_FlatLaser[[#This Row],[Act. Mat. Qty]]-tbl_FlatLaser[[#This Row],[Adj. Mat. Qty]],"")</f>
        <v>-12</v>
      </c>
      <c r="AA42"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-12</v>
      </c>
      <c r="AC42" s="31"/>
      <c r="AD42" s="36"/>
    </row>
    <row r="43" spans="1:30" ht="25" customHeight="1">
      <c r="A43" s="27">
        <v>46123</v>
      </c>
      <c r="B43" s="28">
        <v>143172</v>
      </c>
      <c r="C43" s="28" t="str">
        <f>IF(tbl_FlatLaser[[#This Row],[Part'#]]="", "Batch", "Part")</f>
        <v>Part</v>
      </c>
      <c r="D43" s="28" t="s">
        <v>299</v>
      </c>
      <c r="E43" s="29">
        <v>0.70833333333333337</v>
      </c>
      <c r="F43" s="29">
        <v>0.77083333333333337</v>
      </c>
      <c r="G43" s="28">
        <v>26</v>
      </c>
      <c r="H43" s="28">
        <v>26</v>
      </c>
      <c r="I43" s="70">
        <f>tbl_FlatLaser[[#This Row],[Qty Complete]]/tbl_FlatLaser[[#This Row],[Qty Required]]</f>
        <v>1</v>
      </c>
      <c r="J43" s="30">
        <v>56</v>
      </c>
      <c r="K43" s="28">
        <v>1</v>
      </c>
      <c r="L43" s="31"/>
      <c r="M43" s="31">
        <f>IF(tbl_FlatLaser[[#This Row],[Job Type]]="Batch",tbl_FlatLaser[[#This Row],[Batch Hours]]*tbl_FlatLaser[[#This Row],[% Complete]],tbl_FlatLaser[[#This Row],[Total hours]]*tbl_FlatLaser[[#This Row],[% Complete]])</f>
        <v>0</v>
      </c>
      <c r="N43" s="31"/>
      <c r="O43" s="28" t="s">
        <v>300</v>
      </c>
      <c r="P43" s="28">
        <f>tbl_FlatLaser[[#This Row],[Mat. Qty]]*tbl_FlatLaser[[#This Row],[% Complete]]</f>
        <v>3</v>
      </c>
      <c r="Q43" s="28">
        <v>3</v>
      </c>
      <c r="R43" s="32">
        <f>IFERROR(tbl_FlatLaser[[#This Row],[Qty Complete]]/tbl_FlatLaser[[#This Row],[Total Hours Act]]*tbl_FlatLaser[[#This Row],['# of men Act]],"")</f>
        <v>17.333333333333332</v>
      </c>
      <c r="S43" s="28">
        <v>1</v>
      </c>
      <c r="T43"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1.5</v>
      </c>
      <c r="U43" s="34">
        <v>3</v>
      </c>
      <c r="V43" s="33">
        <v>0.5</v>
      </c>
      <c r="X43" s="35">
        <f>IFERROR((tbl_FlatLaser[[#This Row],[Adj. Total Hours]]+tbl_FlatLaser[[#This Row],[Est. Hours]])/(tbl_FlatLaser[[#This Row],[Total Hours Act]]+tbl_FlatLaser[[#This Row],[Act. Hours]]),"")</f>
        <v>0.33333333333333331</v>
      </c>
      <c r="Y43"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0.33333333333333331</v>
      </c>
      <c r="Z43" s="104">
        <f>IFERROR(tbl_FlatLaser[[#This Row],[Act. Mat. Qty]]-tbl_FlatLaser[[#This Row],[Adj. Mat. Qty]],"")</f>
        <v>0</v>
      </c>
      <c r="AA43"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0</v>
      </c>
      <c r="AC43" s="31"/>
      <c r="AD43" s="36"/>
    </row>
    <row r="44" spans="1:30" ht="25" customHeight="1">
      <c r="A44" s="27">
        <v>46123</v>
      </c>
      <c r="B44" s="28">
        <v>143136</v>
      </c>
      <c r="C44" s="28" t="str">
        <f>IF(tbl_FlatLaser[[#This Row],[Part'#]]="", "Batch", "Part")</f>
        <v>Part</v>
      </c>
      <c r="D44" s="28" t="s">
        <v>301</v>
      </c>
      <c r="E44" s="29">
        <v>0.77083333333333337</v>
      </c>
      <c r="F44" s="29">
        <v>0.89236111111111116</v>
      </c>
      <c r="G44" s="28">
        <v>14</v>
      </c>
      <c r="H44" s="28">
        <v>14</v>
      </c>
      <c r="I44" s="70">
        <f>tbl_FlatLaser[[#This Row],[Qty Complete]]/tbl_FlatLaser[[#This Row],[Qty Required]]</f>
        <v>1</v>
      </c>
      <c r="J44" s="30">
        <v>19</v>
      </c>
      <c r="K44" s="28">
        <v>1</v>
      </c>
      <c r="L44" s="31">
        <f>IF(tbl_FlatLaser[[#This Row],[Job Type]]="Batch",0,tbl_FlatLaser[[#This Row],[Qty Required]]/tbl_FlatLaser[[#This Row],[PPH]]*tbl_FlatLaser[[#This Row],['# of men]])</f>
        <v>0.73684210526315785</v>
      </c>
      <c r="M44" s="31">
        <f>IF(tbl_FlatLaser[[#This Row],[Job Type]]="Batch",tbl_FlatLaser[[#This Row],[Batch Hours]]*tbl_FlatLaser[[#This Row],[% Complete]],tbl_FlatLaser[[#This Row],[Total hours]]*tbl_FlatLaser[[#This Row],[% Complete]])</f>
        <v>0.73684210526315785</v>
      </c>
      <c r="N44" s="31"/>
      <c r="O44" s="28" t="s">
        <v>300</v>
      </c>
      <c r="P44" s="28">
        <f>tbl_FlatLaser[[#This Row],[Mat. Qty]]*tbl_FlatLaser[[#This Row],[% Complete]]</f>
        <v>14</v>
      </c>
      <c r="Q44" s="28">
        <v>14</v>
      </c>
      <c r="R44" s="32">
        <f>IFERROR(tbl_FlatLaser[[#This Row],[Qty Complete]]/tbl_FlatLaser[[#This Row],[Total Hours Act]]*tbl_FlatLaser[[#This Row],['# of men Act]],"")</f>
        <v>4.8</v>
      </c>
      <c r="S44" s="28">
        <v>1</v>
      </c>
      <c r="T44"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2.916666666666667</v>
      </c>
      <c r="V44" s="33">
        <v>0.5</v>
      </c>
      <c r="X44" s="35">
        <f>IFERROR((tbl_FlatLaser[[#This Row],[Adj. Total Hours]]+tbl_FlatLaser[[#This Row],[Est. Hours]])/(tbl_FlatLaser[[#This Row],[Total Hours Act]]+tbl_FlatLaser[[#This Row],[Act. Hours]]),"")</f>
        <v>0.4240601503759398</v>
      </c>
      <c r="Y44"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0.4240601503759398</v>
      </c>
      <c r="Z44" s="104">
        <f>IFERROR(tbl_FlatLaser[[#This Row],[Act. Mat. Qty]]-tbl_FlatLaser[[#This Row],[Adj. Mat. Qty]],"")</f>
        <v>-14</v>
      </c>
      <c r="AA44"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-14</v>
      </c>
      <c r="AC44" s="31"/>
      <c r="AD44" s="36"/>
    </row>
    <row r="45" spans="1:30" ht="25" customHeight="1">
      <c r="A45" s="27">
        <v>46123</v>
      </c>
      <c r="B45" s="28">
        <v>143147</v>
      </c>
      <c r="C45" s="28" t="str">
        <f>IF(tbl_FlatLaser[[#This Row],[Part'#]]="", "Batch", "Part")</f>
        <v>Part</v>
      </c>
      <c r="D45" s="28" t="s">
        <v>302</v>
      </c>
      <c r="E45" s="29">
        <v>0.89236111111111116</v>
      </c>
      <c r="F45" s="29">
        <v>0.9770833333333333</v>
      </c>
      <c r="G45" s="28">
        <v>14</v>
      </c>
      <c r="H45" s="28">
        <v>14</v>
      </c>
      <c r="I45" s="70">
        <f>tbl_FlatLaser[[#This Row],[Qty Complete]]/tbl_FlatLaser[[#This Row],[Qty Required]]</f>
        <v>1</v>
      </c>
      <c r="J45" s="30">
        <v>122</v>
      </c>
      <c r="K45" s="28">
        <v>1</v>
      </c>
      <c r="L45" s="31">
        <f>IF(tbl_FlatLaser[[#This Row],[Job Type]]="Batch",0,tbl_FlatLaser[[#This Row],[Qty Required]]/tbl_FlatLaser[[#This Row],[PPH]]*tbl_FlatLaser[[#This Row],['# of men]])</f>
        <v>0.11475409836065574</v>
      </c>
      <c r="M45" s="31">
        <f>IF(tbl_FlatLaser[[#This Row],[Job Type]]="Batch",tbl_FlatLaser[[#This Row],[Batch Hours]]*tbl_FlatLaser[[#This Row],[% Complete]],tbl_FlatLaser[[#This Row],[Total hours]]*tbl_FlatLaser[[#This Row],[% Complete]])</f>
        <v>0.11475409836065574</v>
      </c>
      <c r="N45" s="31"/>
      <c r="O45" s="28" t="s">
        <v>300</v>
      </c>
      <c r="P45" s="28">
        <f>tbl_FlatLaser[[#This Row],[Mat. Qty]]*tbl_FlatLaser[[#This Row],[% Complete]]</f>
        <v>1</v>
      </c>
      <c r="Q45" s="28">
        <v>1</v>
      </c>
      <c r="R45" s="32">
        <f>IFERROR(tbl_FlatLaser[[#This Row],[Qty Complete]]/tbl_FlatLaser[[#This Row],[Total Hours Act]]*tbl_FlatLaser[[#This Row],['# of men Act]],"")</f>
        <v>6.885245901639351</v>
      </c>
      <c r="S45" s="28">
        <v>1</v>
      </c>
      <c r="T45"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2.0333333333333314</v>
      </c>
      <c r="V45" s="33">
        <v>0.5</v>
      </c>
      <c r="X45" s="35">
        <f>IFERROR((tbl_FlatLaser[[#This Row],[Adj. Total Hours]]+tbl_FlatLaser[[#This Row],[Est. Hours]])/(tbl_FlatLaser[[#This Row],[Total Hours Act]]+tbl_FlatLaser[[#This Row],[Act. Hours]]),"")</f>
        <v>0.30233808116097854</v>
      </c>
      <c r="Y45"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0.30233808116097854</v>
      </c>
      <c r="Z45" s="104">
        <f>IFERROR(tbl_FlatLaser[[#This Row],[Act. Mat. Qty]]-tbl_FlatLaser[[#This Row],[Adj. Mat. Qty]],"")</f>
        <v>-1</v>
      </c>
      <c r="AA45"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-1</v>
      </c>
      <c r="AB45" s="28" t="s">
        <v>303</v>
      </c>
      <c r="AC45" s="31"/>
      <c r="AD45" s="36"/>
    </row>
    <row r="46" spans="1:30" ht="25" customHeight="1">
      <c r="A46" s="27">
        <v>46123</v>
      </c>
      <c r="B46" s="28">
        <v>143120</v>
      </c>
      <c r="C46" s="28" t="str">
        <f>IF(tbl_FlatLaser[[#This Row],[Part'#]]="", "Batch", "Part")</f>
        <v>Part</v>
      </c>
      <c r="D46" s="28" t="s">
        <v>304</v>
      </c>
      <c r="E46" s="29">
        <v>0.97777777777777775</v>
      </c>
      <c r="F46" s="29">
        <v>4.8611111111111112E-2</v>
      </c>
      <c r="G46" s="28">
        <v>16</v>
      </c>
      <c r="H46" s="28">
        <v>16</v>
      </c>
      <c r="I46" s="70">
        <f>tbl_FlatLaser[[#This Row],[Qty Complete]]/tbl_FlatLaser[[#This Row],[Qty Required]]</f>
        <v>1</v>
      </c>
      <c r="J46" s="30">
        <v>28</v>
      </c>
      <c r="K46" s="28">
        <v>1</v>
      </c>
      <c r="L46" s="31">
        <f>IF(tbl_FlatLaser[[#This Row],[Job Type]]="Batch",0,tbl_FlatLaser[[#This Row],[Qty Required]]/tbl_FlatLaser[[#This Row],[PPH]]*tbl_FlatLaser[[#This Row],['# of men]])</f>
        <v>0.5714285714285714</v>
      </c>
      <c r="M46" s="31">
        <f>IF(tbl_FlatLaser[[#This Row],[Job Type]]="Batch",tbl_FlatLaser[[#This Row],[Batch Hours]]*tbl_FlatLaser[[#This Row],[% Complete]],tbl_FlatLaser[[#This Row],[Total hours]]*tbl_FlatLaser[[#This Row],[% Complete]])</f>
        <v>0.5714285714285714</v>
      </c>
      <c r="N46" s="31"/>
      <c r="O46" s="28" t="s">
        <v>305</v>
      </c>
      <c r="P46" s="28">
        <f>tbl_FlatLaser[[#This Row],[Mat. Qty]]*tbl_FlatLaser[[#This Row],[% Complete]]</f>
        <v>1</v>
      </c>
      <c r="Q46" s="28">
        <v>1</v>
      </c>
      <c r="R46" s="32">
        <f>IFERROR(tbl_FlatLaser[[#This Row],[Qty Complete]]/tbl_FlatLaser[[#This Row],[Total Hours Act]]*tbl_FlatLaser[[#This Row],['# of men Act]],"")</f>
        <v>13.333333333333311</v>
      </c>
      <c r="S46" s="28">
        <v>1</v>
      </c>
      <c r="T46"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1.200000000000002</v>
      </c>
      <c r="V46" s="33">
        <v>0.5</v>
      </c>
      <c r="X46" s="35">
        <f>IFERROR((tbl_FlatLaser[[#This Row],[Adj. Total Hours]]+tbl_FlatLaser[[#This Row],[Est. Hours]])/(tbl_FlatLaser[[#This Row],[Total Hours Act]]+tbl_FlatLaser[[#This Row],[Act. Hours]]),"")</f>
        <v>0.89285714285714135</v>
      </c>
      <c r="Y46"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0.89285714285714135</v>
      </c>
      <c r="Z46" s="104">
        <f>IFERROR(tbl_FlatLaser[[#This Row],[Act. Mat. Qty]]-tbl_FlatLaser[[#This Row],[Adj. Mat. Qty]],"")</f>
        <v>-1</v>
      </c>
      <c r="AA46"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-1</v>
      </c>
      <c r="AC46" s="31"/>
      <c r="AD46" s="36"/>
    </row>
    <row r="47" spans="1:30" ht="25" customHeight="1">
      <c r="A47" s="27">
        <v>46124</v>
      </c>
      <c r="B47" s="28">
        <v>143126</v>
      </c>
      <c r="C47" s="28" t="str">
        <f>IF(tbl_FlatLaser[[#This Row],[Part'#]]="", "Batch", "Part")</f>
        <v>Part</v>
      </c>
      <c r="D47" s="28" t="s">
        <v>306</v>
      </c>
      <c r="E47" s="29">
        <v>4.8611111111111112E-2</v>
      </c>
      <c r="F47" s="29">
        <v>0.13055555555555556</v>
      </c>
      <c r="G47" s="28">
        <v>22</v>
      </c>
      <c r="H47" s="28">
        <v>22</v>
      </c>
      <c r="I47" s="70">
        <f>tbl_FlatLaser[[#This Row],[Qty Complete]]/tbl_FlatLaser[[#This Row],[Qty Required]]</f>
        <v>1</v>
      </c>
      <c r="J47" s="30">
        <v>28</v>
      </c>
      <c r="K47" s="28">
        <v>1</v>
      </c>
      <c r="L47" s="31">
        <f>IF(tbl_FlatLaser[[#This Row],[Job Type]]="Batch",0,tbl_FlatLaser[[#This Row],[Qty Required]]/tbl_FlatLaser[[#This Row],[PPH]]*tbl_FlatLaser[[#This Row],['# of men]])</f>
        <v>0.7857142857142857</v>
      </c>
      <c r="M47" s="31">
        <f>IF(tbl_FlatLaser[[#This Row],[Job Type]]="Batch",tbl_FlatLaser[[#This Row],[Batch Hours]]*tbl_FlatLaser[[#This Row],[% Complete]],tbl_FlatLaser[[#This Row],[Total hours]]*tbl_FlatLaser[[#This Row],[% Complete]])</f>
        <v>0.7857142857142857</v>
      </c>
      <c r="N47" s="31"/>
      <c r="O47" s="28" t="s">
        <v>305</v>
      </c>
      <c r="P47" s="28">
        <f>tbl_FlatLaser[[#This Row],[Mat. Qty]]*tbl_FlatLaser[[#This Row],[% Complete]]</f>
        <v>2</v>
      </c>
      <c r="Q47" s="28">
        <v>2</v>
      </c>
      <c r="R47" s="32">
        <f>IFERROR(tbl_FlatLaser[[#This Row],[Qty Complete]]/tbl_FlatLaser[[#This Row],[Total Hours Act]]*tbl_FlatLaser[[#This Row],['# of men Act]],"")</f>
        <v>11.1864406779661</v>
      </c>
      <c r="S47" s="28">
        <v>1</v>
      </c>
      <c r="T47"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1.966666666666667</v>
      </c>
      <c r="V47" s="33">
        <v>0.5</v>
      </c>
      <c r="X47" s="35">
        <f>IFERROR((tbl_FlatLaser[[#This Row],[Adj. Total Hours]]+tbl_FlatLaser[[#This Row],[Est. Hours]])/(tbl_FlatLaser[[#This Row],[Total Hours Act]]+tbl_FlatLaser[[#This Row],[Act. Hours]]),"")</f>
        <v>0.65375302663438239</v>
      </c>
      <c r="Y47"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0.65375302663438239</v>
      </c>
      <c r="Z47" s="104">
        <f>IFERROR(tbl_FlatLaser[[#This Row],[Act. Mat. Qty]]-tbl_FlatLaser[[#This Row],[Adj. Mat. Qty]],"")</f>
        <v>-2</v>
      </c>
      <c r="AA47"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-2</v>
      </c>
      <c r="AC47" s="31"/>
      <c r="AD47" s="36"/>
    </row>
    <row r="48" spans="1:30" ht="25" customHeight="1">
      <c r="A48" s="27">
        <v>46123</v>
      </c>
      <c r="B48" s="28" t="s">
        <v>307</v>
      </c>
      <c r="C48" s="28" t="str">
        <f>IF(tbl_FlatLaser[[#This Row],[Part'#]]="", "Batch", "Part")</f>
        <v>Part</v>
      </c>
      <c r="D48" s="28" t="s">
        <v>308</v>
      </c>
      <c r="E48" s="29">
        <v>0.85833333333333328</v>
      </c>
      <c r="F48" s="29">
        <v>4.0972222222222222E-2</v>
      </c>
      <c r="G48" s="28">
        <v>96</v>
      </c>
      <c r="H48" s="28">
        <v>96</v>
      </c>
      <c r="I48" s="70">
        <f>tbl_FlatLaser[[#This Row],[Qty Complete]]/tbl_FlatLaser[[#This Row],[Qty Required]]</f>
        <v>1</v>
      </c>
      <c r="J48" s="30">
        <v>35</v>
      </c>
      <c r="K48" s="28">
        <v>1</v>
      </c>
      <c r="L48" s="31">
        <f>IF(tbl_FlatLaser[[#This Row],[Job Type]]="Batch",0,tbl_FlatLaser[[#This Row],[Qty Required]]/tbl_FlatLaser[[#This Row],[PPH]]*tbl_FlatLaser[[#This Row],['# of men]])</f>
        <v>2.7428571428571429</v>
      </c>
      <c r="M48" s="31">
        <f>IF(tbl_FlatLaser[[#This Row],[Job Type]]="Batch",tbl_FlatLaser[[#This Row],[Batch Hours]]*tbl_FlatLaser[[#This Row],[% Complete]],tbl_FlatLaser[[#This Row],[Total hours]]*tbl_FlatLaser[[#This Row],[% Complete]])</f>
        <v>2.7428571428571429</v>
      </c>
      <c r="N48" s="31"/>
      <c r="O48" s="28" t="s">
        <v>309</v>
      </c>
      <c r="P48" s="28">
        <f>tbl_FlatLaser[[#This Row],[Mat. Qty]]*tbl_FlatLaser[[#This Row],[% Complete]]</f>
        <v>9</v>
      </c>
      <c r="Q48" s="28">
        <v>9</v>
      </c>
      <c r="R48" s="32">
        <f>IFERROR(tbl_FlatLaser[[#This Row],[Qty Complete]]/tbl_FlatLaser[[#This Row],[Total Hours Act]]*tbl_FlatLaser[[#This Row],['# of men Act]],"")</f>
        <v>24.721030042918454</v>
      </c>
      <c r="S48" s="28">
        <v>1</v>
      </c>
      <c r="T48"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3.8833333333333337</v>
      </c>
      <c r="V48" s="33">
        <v>0.5</v>
      </c>
      <c r="X48" s="35">
        <f>IFERROR((tbl_FlatLaser[[#This Row],[Adj. Total Hours]]+tbl_FlatLaser[[#This Row],[Est. Hours]])/(tbl_FlatLaser[[#This Row],[Total Hours Act]]+tbl_FlatLaser[[#This Row],[Act. Hours]]),"")</f>
        <v>0.83507050889025125</v>
      </c>
      <c r="Y48"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0.83507050889025125</v>
      </c>
      <c r="Z48" s="104">
        <f>IFERROR(tbl_FlatLaser[[#This Row],[Act. Mat. Qty]]-tbl_FlatLaser[[#This Row],[Adj. Mat. Qty]],"")</f>
        <v>-9</v>
      </c>
      <c r="AA48"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-9</v>
      </c>
      <c r="AC48" s="31"/>
      <c r="AD48" s="36"/>
    </row>
    <row r="49" spans="1:30" ht="25" customHeight="1">
      <c r="A49" s="27">
        <v>46124</v>
      </c>
      <c r="B49" s="28" t="s">
        <v>310</v>
      </c>
      <c r="C49" s="28" t="str">
        <f>IF(tbl_FlatLaser[[#This Row],[Part'#]]="", "Batch", "Part")</f>
        <v>Part</v>
      </c>
      <c r="D49" s="28" t="s">
        <v>311</v>
      </c>
      <c r="E49" s="29">
        <v>4.1666666666666664E-2</v>
      </c>
      <c r="F49" s="29">
        <v>0.14444444444444443</v>
      </c>
      <c r="G49" s="28">
        <v>100</v>
      </c>
      <c r="H49" s="28">
        <v>100</v>
      </c>
      <c r="I49" s="70">
        <f>tbl_FlatLaser[[#This Row],[Qty Complete]]/tbl_FlatLaser[[#This Row],[Qty Required]]</f>
        <v>1</v>
      </c>
      <c r="J49" s="30">
        <v>98</v>
      </c>
      <c r="K49" s="28">
        <v>1</v>
      </c>
      <c r="L49" s="31">
        <f>IF(tbl_FlatLaser[[#This Row],[Job Type]]="Batch",0,tbl_FlatLaser[[#This Row],[Qty Required]]/tbl_FlatLaser[[#This Row],[PPH]]*tbl_FlatLaser[[#This Row],['# of men]])</f>
        <v>1.0204081632653061</v>
      </c>
      <c r="M49" s="31">
        <f>IF(tbl_FlatLaser[[#This Row],[Job Type]]="Batch",tbl_FlatLaser[[#This Row],[Batch Hours]]*tbl_FlatLaser[[#This Row],[% Complete]],tbl_FlatLaser[[#This Row],[Total hours]]*tbl_FlatLaser[[#This Row],[% Complete]])</f>
        <v>1.0204081632653061</v>
      </c>
      <c r="N49" s="31"/>
      <c r="O49" s="28" t="s">
        <v>312</v>
      </c>
      <c r="P49" s="28">
        <f>tbl_FlatLaser[[#This Row],[Mat. Qty]]*tbl_FlatLaser[[#This Row],[% Complete]]</f>
        <v>1</v>
      </c>
      <c r="Q49" s="28">
        <v>1</v>
      </c>
      <c r="R49" s="32">
        <f>IFERROR(tbl_FlatLaser[[#This Row],[Qty Complete]]/tbl_FlatLaser[[#This Row],[Total Hours Act]]*tbl_FlatLaser[[#This Row],['# of men Act]],"")</f>
        <v>40.54054054054054</v>
      </c>
      <c r="S49" s="28">
        <v>1</v>
      </c>
      <c r="T49"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2.4666666666666668</v>
      </c>
      <c r="V49" s="33">
        <v>0.5</v>
      </c>
      <c r="X49" s="35">
        <f>IFERROR((tbl_FlatLaser[[#This Row],[Adj. Total Hours]]+tbl_FlatLaser[[#This Row],[Est. Hours]])/(tbl_FlatLaser[[#This Row],[Total Hours Act]]+tbl_FlatLaser[[#This Row],[Act. Hours]]),"")</f>
        <v>0.61638168781025926</v>
      </c>
      <c r="Y49"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0.61638168781025926</v>
      </c>
      <c r="Z49" s="104">
        <f>IFERROR(tbl_FlatLaser[[#This Row],[Act. Mat. Qty]]-tbl_FlatLaser[[#This Row],[Adj. Mat. Qty]],"")</f>
        <v>-1</v>
      </c>
      <c r="AA49"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-1</v>
      </c>
      <c r="AB49" s="28" t="s">
        <v>313</v>
      </c>
      <c r="AC49" s="31"/>
      <c r="AD49" s="36"/>
    </row>
    <row r="50" spans="1:30" ht="25" customHeight="1">
      <c r="A50" s="27">
        <v>46124</v>
      </c>
      <c r="B50" s="28" t="s">
        <v>296</v>
      </c>
      <c r="C50" s="28" t="str">
        <f>IF(tbl_FlatLaser[[#This Row],[Part'#]]="", "Batch", "Part")</f>
        <v>Part</v>
      </c>
      <c r="D50" s="28">
        <v>1502882800</v>
      </c>
      <c r="E50" s="29">
        <v>0.14444444444444443</v>
      </c>
      <c r="F50" s="29">
        <v>0.20694444444444443</v>
      </c>
      <c r="G50" s="28">
        <v>16</v>
      </c>
      <c r="H50" s="28">
        <v>2</v>
      </c>
      <c r="I50" s="70">
        <f>tbl_FlatLaser[[#This Row],[Qty Complete]]/tbl_FlatLaser[[#This Row],[Qty Required]]</f>
        <v>0.125</v>
      </c>
      <c r="J50" s="30">
        <v>11</v>
      </c>
      <c r="K50" s="28">
        <v>1</v>
      </c>
      <c r="L50" s="31">
        <f>IF(tbl_FlatLaser[[#This Row],[Job Type]]="Batch",0,tbl_FlatLaser[[#This Row],[Qty Required]]/tbl_FlatLaser[[#This Row],[PPH]]*tbl_FlatLaser[[#This Row],['# of men]])</f>
        <v>1.4545454545454546</v>
      </c>
      <c r="M50" s="31">
        <f>IF(tbl_FlatLaser[[#This Row],[Job Type]]="Batch",tbl_FlatLaser[[#This Row],[Batch Hours]]*tbl_FlatLaser[[#This Row],[% Complete]],tbl_FlatLaser[[#This Row],[Total hours]]*tbl_FlatLaser[[#This Row],[% Complete]])</f>
        <v>0.18181818181818182</v>
      </c>
      <c r="N50" s="31"/>
      <c r="O50" s="28" t="s">
        <v>314</v>
      </c>
      <c r="P50" s="28">
        <f>tbl_FlatLaser[[#This Row],[Mat. Qty]]*tbl_FlatLaser[[#This Row],[% Complete]]</f>
        <v>2</v>
      </c>
      <c r="Q50" s="28">
        <v>16</v>
      </c>
      <c r="R50" s="32">
        <f>IFERROR(tbl_FlatLaser[[#This Row],[Qty Complete]]/tbl_FlatLaser[[#This Row],[Total Hours Act]]*tbl_FlatLaser[[#This Row],['# of men Act]],"")</f>
        <v>1.3333333333333333</v>
      </c>
      <c r="S50" s="28">
        <v>1</v>
      </c>
      <c r="T50"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1.5</v>
      </c>
      <c r="V50" s="33">
        <v>0.5</v>
      </c>
      <c r="W50" s="33">
        <v>0</v>
      </c>
      <c r="X50" s="35">
        <f>IFERROR((tbl_FlatLaser[[#This Row],[Adj. Total Hours]]+tbl_FlatLaser[[#This Row],[Est. Hours]])/(tbl_FlatLaser[[#This Row],[Total Hours Act]]+tbl_FlatLaser[[#This Row],[Act. Hours]]),"")</f>
        <v>0.45454545454545459</v>
      </c>
      <c r="Y50"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0.22221624529316841</v>
      </c>
      <c r="Z50" s="104">
        <f>IFERROR(tbl_FlatLaser[[#This Row],[Act. Mat. Qty]]-tbl_FlatLaser[[#This Row],[Adj. Mat. Qty]],"")</f>
        <v>-2</v>
      </c>
      <c r="AA50"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-14.25</v>
      </c>
      <c r="AB50" s="28" t="s">
        <v>315</v>
      </c>
      <c r="AC50" s="31"/>
      <c r="AD50" s="36"/>
    </row>
    <row r="51" spans="1:30" ht="25" customHeight="1">
      <c r="A51" s="27">
        <v>46125</v>
      </c>
      <c r="B51" s="28" t="s">
        <v>316</v>
      </c>
      <c r="C51" s="28" t="str">
        <f>IF(tbl_FlatLaser[[#This Row],[Part'#]]="", "Batch", "Part")</f>
        <v>Part</v>
      </c>
      <c r="D51" s="28">
        <v>1502882900</v>
      </c>
      <c r="E51" s="29">
        <v>0.2638888888888889</v>
      </c>
      <c r="F51" s="29">
        <v>0.37222222222222223</v>
      </c>
      <c r="G51" s="28">
        <v>16</v>
      </c>
      <c r="H51" s="28">
        <v>16</v>
      </c>
      <c r="I51" s="70">
        <f>tbl_FlatLaser[[#This Row],[Qty Complete]]/tbl_FlatLaser[[#This Row],[Qty Required]]</f>
        <v>1</v>
      </c>
      <c r="J51" s="30">
        <v>11</v>
      </c>
      <c r="K51" s="28">
        <v>1</v>
      </c>
      <c r="L51" s="31">
        <f>IF(tbl_FlatLaser[[#This Row],[Job Type]]="Batch",0,tbl_FlatLaser[[#This Row],[Qty Required]]/tbl_FlatLaser[[#This Row],[PPH]]*tbl_FlatLaser[[#This Row],['# of men]])</f>
        <v>1.4545454545454546</v>
      </c>
      <c r="M51" s="31">
        <f>IF(tbl_FlatLaser[[#This Row],[Job Type]]="Batch",tbl_FlatLaser[[#This Row],[Batch Hours]]*tbl_FlatLaser[[#This Row],[% Complete]],tbl_FlatLaser[[#This Row],[Total hours]]*tbl_FlatLaser[[#This Row],[% Complete]])</f>
        <v>1.4545454545454546</v>
      </c>
      <c r="N51" s="31"/>
      <c r="O51" s="28" t="s">
        <v>314</v>
      </c>
      <c r="P51" s="28">
        <f>tbl_FlatLaser[[#This Row],[Mat. Qty]]*tbl_FlatLaser[[#This Row],[% Complete]]</f>
        <v>16</v>
      </c>
      <c r="Q51" s="28">
        <v>16</v>
      </c>
      <c r="R51" s="32">
        <f>IFERROR(tbl_FlatLaser[[#This Row],[Qty Complete]]/tbl_FlatLaser[[#This Row],[Total Hours Act]]*tbl_FlatLaser[[#This Row],['# of men Act]],"")</f>
        <v>6.1538461538461533</v>
      </c>
      <c r="S51" s="28">
        <v>1</v>
      </c>
      <c r="T51"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2.6</v>
      </c>
      <c r="U51" s="34">
        <v>16</v>
      </c>
      <c r="V51" s="33">
        <v>0.5</v>
      </c>
      <c r="W51" s="33">
        <v>1.08</v>
      </c>
      <c r="X51" s="35">
        <f>IFERROR((tbl_FlatLaser[[#This Row],[Adj. Total Hours]]+tbl_FlatLaser[[#This Row],[Est. Hours]])/(tbl_FlatLaser[[#This Row],[Total Hours Act]]+tbl_FlatLaser[[#This Row],[Act. Hours]]),"")</f>
        <v>0.53112648221343872</v>
      </c>
      <c r="Y51"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0.53112648221343872</v>
      </c>
      <c r="Z51" s="104">
        <f>IFERROR(tbl_FlatLaser[[#This Row],[Act. Mat. Qty]]-tbl_FlatLaser[[#This Row],[Adj. Mat. Qty]],"")</f>
        <v>0</v>
      </c>
      <c r="AA51"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0</v>
      </c>
      <c r="AB51" s="28" t="s">
        <v>317</v>
      </c>
      <c r="AC51" s="31" t="s">
        <v>218</v>
      </c>
      <c r="AD51" s="36"/>
    </row>
    <row r="52" spans="1:30" ht="25" customHeight="1">
      <c r="A52" s="27">
        <v>46125</v>
      </c>
      <c r="B52" s="28" t="s">
        <v>318</v>
      </c>
      <c r="C52" s="28" t="str">
        <f>IF(tbl_FlatLaser[[#This Row],[Part'#]]="", "Batch", "Part")</f>
        <v>Part</v>
      </c>
      <c r="D52" s="28">
        <v>1502882800</v>
      </c>
      <c r="E52" s="29">
        <v>0.40625</v>
      </c>
      <c r="F52" s="29">
        <v>0.49652777777777779</v>
      </c>
      <c r="G52" s="28">
        <v>16</v>
      </c>
      <c r="H52" s="28">
        <v>16</v>
      </c>
      <c r="I52" s="70">
        <f>tbl_FlatLaser[[#This Row],[Qty Complete]]/tbl_FlatLaser[[#This Row],[Qty Required]]</f>
        <v>1</v>
      </c>
      <c r="J52" s="30">
        <v>11</v>
      </c>
      <c r="K52" s="28">
        <v>1</v>
      </c>
      <c r="L52" s="31">
        <f>IF(tbl_FlatLaser[[#This Row],[Job Type]]="Batch",0,tbl_FlatLaser[[#This Row],[Qty Required]]/tbl_FlatLaser[[#This Row],[PPH]]*tbl_FlatLaser[[#This Row],['# of men]])</f>
        <v>1.4545454545454546</v>
      </c>
      <c r="M52" s="31">
        <f>IF(tbl_FlatLaser[[#This Row],[Job Type]]="Batch",tbl_FlatLaser[[#This Row],[Batch Hours]]*tbl_FlatLaser[[#This Row],[% Complete]],tbl_FlatLaser[[#This Row],[Total hours]]*tbl_FlatLaser[[#This Row],[% Complete]])</f>
        <v>1.4545454545454546</v>
      </c>
      <c r="N52" s="31"/>
      <c r="O52" s="28" t="s">
        <v>314</v>
      </c>
      <c r="P52" s="28">
        <f>tbl_FlatLaser[[#This Row],[Mat. Qty]]*tbl_FlatLaser[[#This Row],[% Complete]]</f>
        <v>16</v>
      </c>
      <c r="Q52" s="28">
        <v>16</v>
      </c>
      <c r="R52" s="32">
        <f>IFERROR(tbl_FlatLaser[[#This Row],[Qty Complete]]/tbl_FlatLaser[[#This Row],[Total Hours Act]]*tbl_FlatLaser[[#This Row],['# of men Act]],"")</f>
        <v>7.3846153846153832</v>
      </c>
      <c r="S52" s="28">
        <v>1</v>
      </c>
      <c r="T52"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2.166666666666667</v>
      </c>
      <c r="U52" s="34">
        <v>16</v>
      </c>
      <c r="V52" s="33">
        <v>0.5</v>
      </c>
      <c r="W52" s="33">
        <v>0.77</v>
      </c>
      <c r="X52" s="35">
        <f>IFERROR((tbl_FlatLaser[[#This Row],[Adj. Total Hours]]+tbl_FlatLaser[[#This Row],[Est. Hours]])/(tbl_FlatLaser[[#This Row],[Total Hours Act]]+tbl_FlatLaser[[#This Row],[Act. Hours]]),"")</f>
        <v>0.66556598906201625</v>
      </c>
      <c r="Y52"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0.66556598906201625</v>
      </c>
      <c r="Z52" s="104">
        <f>IFERROR(tbl_FlatLaser[[#This Row],[Act. Mat. Qty]]-tbl_FlatLaser[[#This Row],[Adj. Mat. Qty]],"")</f>
        <v>0</v>
      </c>
      <c r="AA52"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0</v>
      </c>
      <c r="AB52" s="28" t="s">
        <v>319</v>
      </c>
      <c r="AC52" s="31" t="s">
        <v>218</v>
      </c>
      <c r="AD52" s="36"/>
    </row>
    <row r="53" spans="1:30" ht="25" customHeight="1">
      <c r="A53" s="27">
        <v>46125</v>
      </c>
      <c r="B53" s="28">
        <v>143127</v>
      </c>
      <c r="C53" s="28" t="str">
        <f>IF(tbl_FlatLaser[[#This Row],[Part'#]]="", "Batch", "Part")</f>
        <v>Part</v>
      </c>
      <c r="D53" s="28" t="s">
        <v>320</v>
      </c>
      <c r="E53" s="29">
        <v>0.49791666666666667</v>
      </c>
      <c r="F53" s="29">
        <v>0.5444444444444444</v>
      </c>
      <c r="G53" s="28">
        <v>180</v>
      </c>
      <c r="H53" s="28">
        <v>180</v>
      </c>
      <c r="I53" s="70">
        <f>tbl_FlatLaser[[#This Row],[Qty Complete]]/tbl_FlatLaser[[#This Row],[Qty Required]]</f>
        <v>1</v>
      </c>
      <c r="J53" s="30">
        <v>122</v>
      </c>
      <c r="K53" s="28">
        <v>1</v>
      </c>
      <c r="L53" s="31">
        <f>IF(tbl_FlatLaser[[#This Row],[Job Type]]="Batch",0,tbl_FlatLaser[[#This Row],[Qty Required]]/tbl_FlatLaser[[#This Row],[PPH]]*tbl_FlatLaser[[#This Row],['# of men]])</f>
        <v>1.4754098360655739</v>
      </c>
      <c r="M53" s="31">
        <f>IF(tbl_FlatLaser[[#This Row],[Job Type]]="Batch",tbl_FlatLaser[[#This Row],[Batch Hours]]*tbl_FlatLaser[[#This Row],[% Complete]],tbl_FlatLaser[[#This Row],[Total hours]]*tbl_FlatLaser[[#This Row],[% Complete]])</f>
        <v>1.4754098360655739</v>
      </c>
      <c r="N53" s="31"/>
      <c r="O53" s="28" t="s">
        <v>321</v>
      </c>
      <c r="P53" s="28">
        <f>tbl_FlatLaser[[#This Row],[Mat. Qty]]*tbl_FlatLaser[[#This Row],[% Complete]]</f>
        <v>2</v>
      </c>
      <c r="Q53" s="28">
        <v>2</v>
      </c>
      <c r="R53" s="32">
        <f>IFERROR(tbl_FlatLaser[[#This Row],[Qty Complete]]/tbl_FlatLaser[[#This Row],[Total Hours Act]]*tbl_FlatLaser[[#This Row],['# of men Act]],"")</f>
        <v>291.8918918918925</v>
      </c>
      <c r="S53" s="28">
        <v>1</v>
      </c>
      <c r="T53"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0.61666666666666536</v>
      </c>
      <c r="U53" s="34">
        <v>1</v>
      </c>
      <c r="V53" s="33">
        <v>0.5</v>
      </c>
      <c r="W53" s="33">
        <v>1.07</v>
      </c>
      <c r="X53" s="35">
        <f>IFERROR((tbl_FlatLaser[[#This Row],[Adj. Total Hours]]+tbl_FlatLaser[[#This Row],[Est. Hours]])/(tbl_FlatLaser[[#This Row],[Total Hours Act]]+tbl_FlatLaser[[#This Row],[Act. Hours]]),"")</f>
        <v>1.1711916024104201</v>
      </c>
      <c r="Y53"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1.1711916024104201</v>
      </c>
      <c r="Z53" s="104">
        <f>IFERROR(tbl_FlatLaser[[#This Row],[Act. Mat. Qty]]-tbl_FlatLaser[[#This Row],[Adj. Mat. Qty]],"")</f>
        <v>-1</v>
      </c>
      <c r="AA53"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-1</v>
      </c>
      <c r="AC53" s="31" t="s">
        <v>218</v>
      </c>
      <c r="AD53" s="36"/>
    </row>
    <row r="54" spans="1:30" ht="25" customHeight="1">
      <c r="A54" s="99">
        <v>46126</v>
      </c>
      <c r="B54" s="100">
        <v>143141</v>
      </c>
      <c r="C54" s="100"/>
      <c r="D54" s="36" t="s">
        <v>322</v>
      </c>
      <c r="E54" s="29">
        <v>0.22152777777777777</v>
      </c>
      <c r="F54" s="101">
        <v>0.2388888888888889</v>
      </c>
      <c r="G54" s="28">
        <v>6</v>
      </c>
      <c r="H54" s="96">
        <v>6</v>
      </c>
      <c r="I54" s="70">
        <f>tbl_FlatLaser[[#This Row],[Qty Complete]]/tbl_FlatLaser[[#This Row],[Qty Required]]</f>
        <v>1</v>
      </c>
      <c r="J54" s="30">
        <v>16</v>
      </c>
      <c r="K54" s="28">
        <v>1</v>
      </c>
      <c r="L54" s="31">
        <f>IF(tbl_FlatLaser[[#This Row],[Job Type]]="Batch",0,tbl_FlatLaser[[#This Row],[Qty Required]]/tbl_FlatLaser[[#This Row],[PPH]]*tbl_FlatLaser[[#This Row],['# of men]])</f>
        <v>0.375</v>
      </c>
      <c r="M54" s="31">
        <f>IF(tbl_FlatLaser[[#This Row],[Job Type]]="Batch",tbl_FlatLaser[[#This Row],[Batch Hours]]*tbl_FlatLaser[[#This Row],[% Complete]],tbl_FlatLaser[[#This Row],[Total hours]]*tbl_FlatLaser[[#This Row],[% Complete]])</f>
        <v>0.375</v>
      </c>
      <c r="N54" s="31"/>
      <c r="O54" s="28" t="s">
        <v>323</v>
      </c>
      <c r="P54" s="28">
        <f>tbl_FlatLaser[[#This Row],[Mat. Qty]]*tbl_FlatLaser[[#This Row],[% Complete]]</f>
        <v>6</v>
      </c>
      <c r="Q54" s="28">
        <v>6</v>
      </c>
      <c r="R54" s="32">
        <f>IFERROR(tbl_FlatLaser[[#This Row],[Qty Complete]]/tbl_FlatLaser[[#This Row],[Total Hours Act]]*tbl_FlatLaser[[#This Row],['# of men Act]],"")</f>
        <v>14.399999999999983</v>
      </c>
      <c r="S54" s="28">
        <v>1</v>
      </c>
      <c r="T54"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0.41666666666666718</v>
      </c>
      <c r="U54" s="34">
        <v>6</v>
      </c>
      <c r="V54" s="33">
        <v>0.5</v>
      </c>
      <c r="W54" s="33">
        <v>0.25</v>
      </c>
      <c r="X54" s="35">
        <f>IFERROR((tbl_FlatLaser[[#This Row],[Adj. Total Hours]]+tbl_FlatLaser[[#This Row],[Est. Hours]])/(tbl_FlatLaser[[#This Row],[Total Hours Act]]+tbl_FlatLaser[[#This Row],[Act. Hours]]),"")</f>
        <v>1.3124999999999989</v>
      </c>
      <c r="Y54"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1.3124999999999989</v>
      </c>
      <c r="Z54" s="104">
        <f>IFERROR(tbl_FlatLaser[[#This Row],[Act. Mat. Qty]]-tbl_FlatLaser[[#This Row],[Adj. Mat. Qty]],"")</f>
        <v>0</v>
      </c>
      <c r="AA54"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0</v>
      </c>
      <c r="AC54" s="31" t="s">
        <v>218</v>
      </c>
      <c r="AD54" s="36"/>
    </row>
    <row r="55" spans="1:30" ht="25" customHeight="1">
      <c r="A55" s="99">
        <v>46126</v>
      </c>
      <c r="B55" s="100">
        <v>143064</v>
      </c>
      <c r="C55" s="100"/>
      <c r="D55" s="36" t="s">
        <v>238</v>
      </c>
      <c r="E55" s="29">
        <v>0.27013888888888887</v>
      </c>
      <c r="F55" s="101">
        <v>0.30208333333333331</v>
      </c>
      <c r="G55" s="28">
        <v>202</v>
      </c>
      <c r="H55" s="96">
        <v>202</v>
      </c>
      <c r="I55" s="70">
        <f>tbl_FlatLaser[[#This Row],[Qty Complete]]/tbl_FlatLaser[[#This Row],[Qty Required]]</f>
        <v>1</v>
      </c>
      <c r="J55" s="30">
        <v>45</v>
      </c>
      <c r="K55" s="28">
        <v>1</v>
      </c>
      <c r="L55" s="31">
        <f>IF(tbl_FlatLaser[[#This Row],[Job Type]]="Batch",0,tbl_FlatLaser[[#This Row],[Qty Required]]/tbl_FlatLaser[[#This Row],[PPH]]*tbl_FlatLaser[[#This Row],['# of men]])</f>
        <v>4.4888888888888889</v>
      </c>
      <c r="M55" s="31">
        <f>IF(tbl_FlatLaser[[#This Row],[Job Type]]="Batch",tbl_FlatLaser[[#This Row],[Batch Hours]]*tbl_FlatLaser[[#This Row],[% Complete]],tbl_FlatLaser[[#This Row],[Total hours]]*tbl_FlatLaser[[#This Row],[% Complete]])</f>
        <v>4.4888888888888889</v>
      </c>
      <c r="N55" s="31"/>
      <c r="O55" s="28" t="s">
        <v>249</v>
      </c>
      <c r="P55" s="28">
        <f>tbl_FlatLaser[[#This Row],[Mat. Qty]]*tbl_FlatLaser[[#This Row],[% Complete]]</f>
        <v>2</v>
      </c>
      <c r="Q55" s="28">
        <v>2</v>
      </c>
      <c r="R55" s="32">
        <f>IFERROR(tbl_FlatLaser[[#This Row],[Qty Complete]]/tbl_FlatLaser[[#This Row],[Total Hours Act]]*tbl_FlatLaser[[#This Row],['# of men Act]],"")</f>
        <v>263.47826086956525</v>
      </c>
      <c r="S55" s="28">
        <v>1</v>
      </c>
      <c r="T55"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0.76666666666666661</v>
      </c>
      <c r="U55" s="34">
        <v>1</v>
      </c>
      <c r="V55" s="33">
        <v>0.52</v>
      </c>
      <c r="W55" s="33">
        <v>0.32</v>
      </c>
      <c r="X55" s="35">
        <f>IFERROR((tbl_FlatLaser[[#This Row],[Adj. Total Hours]]+tbl_FlatLaser[[#This Row],[Est. Hours]])/(tbl_FlatLaser[[#This Row],[Total Hours Act]]+tbl_FlatLaser[[#This Row],[Act. Hours]]),"")</f>
        <v>4.6094069529652346</v>
      </c>
      <c r="Y55"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4.6094069529652346</v>
      </c>
      <c r="Z55" s="104">
        <f>IFERROR(tbl_FlatLaser[[#This Row],[Act. Mat. Qty]]-tbl_FlatLaser[[#This Row],[Adj. Mat. Qty]],"")</f>
        <v>-1</v>
      </c>
      <c r="AA55"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-1</v>
      </c>
      <c r="AC55" s="31" t="s">
        <v>218</v>
      </c>
      <c r="AD55" s="36"/>
    </row>
    <row r="56" spans="1:30" ht="25" customHeight="1">
      <c r="A56" s="99">
        <v>46126</v>
      </c>
      <c r="B56" s="100">
        <v>143069</v>
      </c>
      <c r="C56" s="100"/>
      <c r="D56" s="36" t="s">
        <v>324</v>
      </c>
      <c r="E56" s="29">
        <v>0.33194444444444443</v>
      </c>
      <c r="F56" s="101">
        <v>0.33888888888888891</v>
      </c>
      <c r="G56" s="28">
        <v>10</v>
      </c>
      <c r="H56" s="96">
        <v>14</v>
      </c>
      <c r="I56" s="70">
        <f>tbl_FlatLaser[[#This Row],[Qty Complete]]/tbl_FlatLaser[[#This Row],[Qty Required]]</f>
        <v>1.4</v>
      </c>
      <c r="J56" s="30">
        <v>44</v>
      </c>
      <c r="K56" s="28">
        <v>1</v>
      </c>
      <c r="L56" s="31">
        <f>IF(tbl_FlatLaser[[#This Row],[Job Type]]="Batch",0,tbl_FlatLaser[[#This Row],[Qty Required]]/tbl_FlatLaser[[#This Row],[PPH]]*tbl_FlatLaser[[#This Row],['# of men]])</f>
        <v>0.22727272727272727</v>
      </c>
      <c r="M56" s="31">
        <f>IF(tbl_FlatLaser[[#This Row],[Job Type]]="Batch",tbl_FlatLaser[[#This Row],[Batch Hours]]*tbl_FlatLaser[[#This Row],[% Complete]],tbl_FlatLaser[[#This Row],[Total hours]]*tbl_FlatLaser[[#This Row],[% Complete]])</f>
        <v>0.31818181818181818</v>
      </c>
      <c r="N56" s="31"/>
      <c r="O56" s="28" t="s">
        <v>325</v>
      </c>
      <c r="P56" s="28">
        <f>tbl_FlatLaser[[#This Row],[Mat. Qty]]*tbl_FlatLaser[[#This Row],[% Complete]]</f>
        <v>1.4</v>
      </c>
      <c r="Q56" s="28">
        <v>1</v>
      </c>
      <c r="R56" s="32">
        <f>IFERROR(tbl_FlatLaser[[#This Row],[Qty Complete]]/tbl_FlatLaser[[#This Row],[Total Hours Act]]*tbl_FlatLaser[[#This Row],['# of men Act]],"")</f>
        <v>83.999999999999631</v>
      </c>
      <c r="S56" s="28">
        <v>1</v>
      </c>
      <c r="T56"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0.16666666666666741</v>
      </c>
      <c r="U56" s="34">
        <v>1</v>
      </c>
      <c r="V56" s="33">
        <v>0.5</v>
      </c>
      <c r="W56" s="33">
        <v>0.25</v>
      </c>
      <c r="X56" s="35">
        <f>IFERROR((tbl_FlatLaser[[#This Row],[Adj. Total Hours]]+tbl_FlatLaser[[#This Row],[Est. Hours]])/(tbl_FlatLaser[[#This Row],[Total Hours Act]]+tbl_FlatLaser[[#This Row],[Act. Hours]]),"")</f>
        <v>1.9636363636363601</v>
      </c>
      <c r="Y56"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1.9636363636363601</v>
      </c>
      <c r="Z56" s="104">
        <f>IFERROR(tbl_FlatLaser[[#This Row],[Act. Mat. Qty]]-tbl_FlatLaser[[#This Row],[Adj. Mat. Qty]],"")</f>
        <v>-0.39999999999999991</v>
      </c>
      <c r="AA56"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-0.39999999999999991</v>
      </c>
      <c r="AC56" s="31" t="s">
        <v>218</v>
      </c>
      <c r="AD56" s="36"/>
    </row>
    <row r="57" spans="1:30" ht="25" customHeight="1">
      <c r="A57" s="99">
        <v>46126</v>
      </c>
      <c r="B57" s="100">
        <v>143071</v>
      </c>
      <c r="C57" s="100"/>
      <c r="D57" s="109" t="s">
        <v>326</v>
      </c>
      <c r="E57" s="101">
        <v>0.39444444444444443</v>
      </c>
      <c r="F57" s="29">
        <v>0.44097222222222221</v>
      </c>
      <c r="G57" s="28">
        <v>136</v>
      </c>
      <c r="H57" s="28">
        <v>136</v>
      </c>
      <c r="I57" s="70">
        <f>tbl_FlatLaser[[#This Row],[Qty Complete]]/tbl_FlatLaser[[#This Row],[Qty Required]]</f>
        <v>1</v>
      </c>
      <c r="J57" s="30">
        <v>36</v>
      </c>
      <c r="K57" s="28">
        <v>1</v>
      </c>
      <c r="L57" s="31">
        <f>IF(tbl_FlatLaser[[#This Row],[Job Type]]="Batch",0,tbl_FlatLaser[[#This Row],[Qty Required]]/tbl_FlatLaser[[#This Row],[PPH]]*tbl_FlatLaser[[#This Row],['# of men]])</f>
        <v>3.7777777777777777</v>
      </c>
      <c r="M57" s="31">
        <f>IF(tbl_FlatLaser[[#This Row],[Job Type]]="Batch",tbl_FlatLaser[[#This Row],[Batch Hours]]*tbl_FlatLaser[[#This Row],[% Complete]],tbl_FlatLaser[[#This Row],[Total hours]]*tbl_FlatLaser[[#This Row],[% Complete]])</f>
        <v>3.7777777777777777</v>
      </c>
      <c r="N57" s="31"/>
      <c r="O57" s="28" t="s">
        <v>252</v>
      </c>
      <c r="P57" s="28">
        <f>tbl_FlatLaser[[#This Row],[Mat. Qty]]*tbl_FlatLaser[[#This Row],[% Complete]]</f>
        <v>1</v>
      </c>
      <c r="Q57" s="28">
        <v>1</v>
      </c>
      <c r="R57" s="32">
        <f>IFERROR(tbl_FlatLaser[[#This Row],[Qty Complete]]/tbl_FlatLaser[[#This Row],[Total Hours Act]]*tbl_FlatLaser[[#This Row],['# of men Act]],"")</f>
        <v>121.79104477611941</v>
      </c>
      <c r="S57" s="28">
        <v>1</v>
      </c>
      <c r="T57"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1.1166666666666667</v>
      </c>
      <c r="U57" s="34">
        <v>1</v>
      </c>
      <c r="V57" s="33">
        <v>0.5</v>
      </c>
      <c r="W57" s="33">
        <v>1.33</v>
      </c>
      <c r="X57" s="35">
        <f>IFERROR((tbl_FlatLaser[[#This Row],[Adj. Total Hours]]+tbl_FlatLaser[[#This Row],[Est. Hours]])/(tbl_FlatLaser[[#This Row],[Total Hours Act]]+tbl_FlatLaser[[#This Row],[Act. Hours]]),"")</f>
        <v>1.7484105358764759</v>
      </c>
      <c r="Y57"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1.7484105358764759</v>
      </c>
      <c r="Z57" s="104">
        <f>IFERROR(tbl_FlatLaser[[#This Row],[Act. Mat. Qty]]-tbl_FlatLaser[[#This Row],[Adj. Mat. Qty]],"")</f>
        <v>0</v>
      </c>
      <c r="AA57"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0</v>
      </c>
      <c r="AC57" s="31"/>
      <c r="AD57" s="36"/>
    </row>
    <row r="58" spans="1:30" ht="25" customHeight="1">
      <c r="A58" s="27">
        <v>46125</v>
      </c>
      <c r="B58" s="28">
        <v>143170</v>
      </c>
      <c r="D58" s="36" t="s">
        <v>327</v>
      </c>
      <c r="E58" s="29">
        <v>0.76875000000000004</v>
      </c>
      <c r="F58" s="29">
        <v>0.92708333333333337</v>
      </c>
      <c r="G58" s="28">
        <v>190</v>
      </c>
      <c r="H58" s="28">
        <v>190</v>
      </c>
      <c r="I58" s="70">
        <f>tbl_FlatLaser[[#This Row],[Qty Complete]]/tbl_FlatLaser[[#This Row],[Qty Required]]</f>
        <v>1</v>
      </c>
      <c r="J58" s="30">
        <v>16</v>
      </c>
      <c r="K58" s="28">
        <v>1</v>
      </c>
      <c r="L58" s="31">
        <f>IF(tbl_FlatLaser[[#This Row],[Job Type]]="Batch",0,tbl_FlatLaser[[#This Row],[Qty Required]]/tbl_FlatLaser[[#This Row],[PPH]]*tbl_FlatLaser[[#This Row],['# of men]])</f>
        <v>11.875</v>
      </c>
      <c r="M58" s="31">
        <f>IF(tbl_FlatLaser[[#This Row],[Job Type]]="Batch",tbl_FlatLaser[[#This Row],[Batch Hours]]*tbl_FlatLaser[[#This Row],[% Complete]],tbl_FlatLaser[[#This Row],[Total hours]]*tbl_FlatLaser[[#This Row],[% Complete]])</f>
        <v>11.875</v>
      </c>
      <c r="N58" s="31"/>
      <c r="O58" s="28" t="s">
        <v>328</v>
      </c>
      <c r="P58" s="28">
        <f>tbl_FlatLaser[[#This Row],[Mat. Qty]]*tbl_FlatLaser[[#This Row],[% Complete]]</f>
        <v>1</v>
      </c>
      <c r="Q58" s="28">
        <v>1</v>
      </c>
      <c r="R58" s="32">
        <f>IFERROR(tbl_FlatLaser[[#This Row],[Qty Complete]]/tbl_FlatLaser[[#This Row],[Total Hours Act]]*tbl_FlatLaser[[#This Row],['# of men Act]],"")</f>
        <v>50</v>
      </c>
      <c r="S58" s="28">
        <v>1</v>
      </c>
      <c r="T58"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3.8</v>
      </c>
      <c r="U58" s="34">
        <v>1</v>
      </c>
      <c r="V58" s="33">
        <v>0.5</v>
      </c>
      <c r="W58" s="33">
        <v>1.5</v>
      </c>
      <c r="X58" s="35">
        <f>IFERROR((tbl_FlatLaser[[#This Row],[Adj. Total Hours]]+tbl_FlatLaser[[#This Row],[Est. Hours]])/(tbl_FlatLaser[[#This Row],[Total Hours Act]]+tbl_FlatLaser[[#This Row],[Act. Hours]]),"")</f>
        <v>2.3349056603773586</v>
      </c>
      <c r="Y58"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2.3349056603773586</v>
      </c>
      <c r="Z58" s="104">
        <f>IFERROR(tbl_FlatLaser[[#This Row],[Act. Mat. Qty]]-tbl_FlatLaser[[#This Row],[Adj. Mat. Qty]],"")</f>
        <v>0</v>
      </c>
      <c r="AA58"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0</v>
      </c>
      <c r="AC58" s="31"/>
      <c r="AD58" s="36"/>
    </row>
    <row r="59" spans="1:30" ht="25" customHeight="1">
      <c r="A59" s="27">
        <v>46125</v>
      </c>
      <c r="B59" s="28">
        <v>143130</v>
      </c>
      <c r="C59" s="28" t="str">
        <f>IF(tbl_FlatLaser[[#This Row],[Part'#]]="", "Batch", "Part")</f>
        <v>Part</v>
      </c>
      <c r="D59" s="36" t="s">
        <v>329</v>
      </c>
      <c r="E59" s="29">
        <v>0.94791666666666663</v>
      </c>
      <c r="F59" s="29">
        <v>1.0416666666666666E-2</v>
      </c>
      <c r="G59" s="28">
        <v>20</v>
      </c>
      <c r="H59" s="28">
        <v>20</v>
      </c>
      <c r="I59" s="70">
        <f>tbl_FlatLaser[[#This Row],[Qty Complete]]/tbl_FlatLaser[[#This Row],[Qty Required]]</f>
        <v>1</v>
      </c>
      <c r="J59" s="30">
        <v>26</v>
      </c>
      <c r="K59" s="28">
        <v>1</v>
      </c>
      <c r="L59" s="31">
        <f>IF(tbl_FlatLaser[[#This Row],[Job Type]]="Batch",0,tbl_FlatLaser[[#This Row],[Qty Required]]/tbl_FlatLaser[[#This Row],[PPH]]*tbl_FlatLaser[[#This Row],['# of men]])</f>
        <v>0.76923076923076927</v>
      </c>
      <c r="M59" s="31">
        <f>IF(tbl_FlatLaser[[#This Row],[Job Type]]="Batch",tbl_FlatLaser[[#This Row],[Batch Hours]]*tbl_FlatLaser[[#This Row],[% Complete]],tbl_FlatLaser[[#This Row],[Total hours]]*tbl_FlatLaser[[#This Row],[% Complete]])</f>
        <v>0.76923076923076927</v>
      </c>
      <c r="N59" s="31"/>
      <c r="O59" s="28" t="s">
        <v>268</v>
      </c>
      <c r="P59" s="28">
        <f>tbl_FlatLaser[[#This Row],[Mat. Qty]]*tbl_FlatLaser[[#This Row],[% Complete]]</f>
        <v>0</v>
      </c>
      <c r="R59" s="32">
        <f>IFERROR(tbl_FlatLaser[[#This Row],[Qty Complete]]/tbl_FlatLaser[[#This Row],[Total Hours Act]]*tbl_FlatLaser[[#This Row],['# of men Act]],"")</f>
        <v>13.333333333333334</v>
      </c>
      <c r="S59" s="28">
        <v>1</v>
      </c>
      <c r="T59"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1.5</v>
      </c>
      <c r="V59" s="33">
        <v>0.5</v>
      </c>
      <c r="W59" s="33">
        <v>0.25</v>
      </c>
      <c r="X59" s="35">
        <f>IFERROR((tbl_FlatLaser[[#This Row],[Adj. Total Hours]]+tbl_FlatLaser[[#This Row],[Est. Hours]])/(tbl_FlatLaser[[#This Row],[Total Hours Act]]+tbl_FlatLaser[[#This Row],[Act. Hours]]),"")</f>
        <v>0.72527472527472525</v>
      </c>
      <c r="Y59"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0.72527472527472525</v>
      </c>
      <c r="Z59" s="104">
        <f>IFERROR(tbl_FlatLaser[[#This Row],[Act. Mat. Qty]]-tbl_FlatLaser[[#This Row],[Adj. Mat. Qty]],"")</f>
        <v>0</v>
      </c>
      <c r="AA59"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0</v>
      </c>
      <c r="AB59" s="28" t="s">
        <v>330</v>
      </c>
      <c r="AC59" s="31"/>
      <c r="AD59" s="36"/>
    </row>
    <row r="60" spans="1:30" ht="25" customHeight="1">
      <c r="A60" s="27">
        <v>46126</v>
      </c>
      <c r="B60" s="28">
        <v>143142</v>
      </c>
      <c r="D60" s="36" t="s">
        <v>331</v>
      </c>
      <c r="E60" s="29">
        <v>0.70833333333333337</v>
      </c>
      <c r="F60" s="29">
        <v>0.82361111111111107</v>
      </c>
      <c r="G60" s="28">
        <v>6</v>
      </c>
      <c r="H60" s="28">
        <v>6</v>
      </c>
      <c r="I60" s="70">
        <f>tbl_FlatLaser[[#This Row],[Qty Complete]]/tbl_FlatLaser[[#This Row],[Qty Required]]</f>
        <v>1</v>
      </c>
      <c r="J60" s="30">
        <v>16</v>
      </c>
      <c r="K60" s="28">
        <v>1</v>
      </c>
      <c r="L60" s="31">
        <f>IF(tbl_FlatLaser[[#This Row],[Job Type]]="Batch",0,tbl_FlatLaser[[#This Row],[Qty Required]]/tbl_FlatLaser[[#This Row],[PPH]]*tbl_FlatLaser[[#This Row],['# of men]])</f>
        <v>0.375</v>
      </c>
      <c r="M60" s="31">
        <f>IF(tbl_FlatLaser[[#This Row],[Job Type]]="Batch",tbl_FlatLaser[[#This Row],[Batch Hours]]*tbl_FlatLaser[[#This Row],[% Complete]],tbl_FlatLaser[[#This Row],[Total hours]]*tbl_FlatLaser[[#This Row],[% Complete]])</f>
        <v>0.375</v>
      </c>
      <c r="N60" s="31"/>
      <c r="O60" s="28" t="s">
        <v>323</v>
      </c>
      <c r="P60" s="28">
        <f>tbl_FlatLaser[[#This Row],[Mat. Qty]]*tbl_FlatLaser[[#This Row],[% Complete]]</f>
        <v>6</v>
      </c>
      <c r="Q60" s="28">
        <v>6</v>
      </c>
      <c r="R60" s="32">
        <f>IFERROR(tbl_FlatLaser[[#This Row],[Qty Complete]]/tbl_FlatLaser[[#This Row],[Total Hours Act]]*tbl_FlatLaser[[#This Row],['# of men Act]],"")</f>
        <v>2.1686746987951824</v>
      </c>
      <c r="S60" s="28">
        <v>1</v>
      </c>
      <c r="T60"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2.7666666666666648</v>
      </c>
      <c r="U60" s="34">
        <v>6</v>
      </c>
      <c r="V60" s="33">
        <v>0.5</v>
      </c>
      <c r="W60" s="33">
        <v>0.2</v>
      </c>
      <c r="X60" s="35">
        <f>IFERROR((tbl_FlatLaser[[#This Row],[Adj. Total Hours]]+tbl_FlatLaser[[#This Row],[Est. Hours]])/(tbl_FlatLaser[[#This Row],[Total Hours Act]]+tbl_FlatLaser[[#This Row],[Act. Hours]]),"")</f>
        <v>0.29494382022471927</v>
      </c>
      <c r="Y60"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0.29494382022471927</v>
      </c>
      <c r="Z60" s="104">
        <f>IFERROR(tbl_FlatLaser[[#This Row],[Act. Mat. Qty]]-tbl_FlatLaser[[#This Row],[Adj. Mat. Qty]],"")</f>
        <v>0</v>
      </c>
      <c r="AA60"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0</v>
      </c>
      <c r="AC60" s="31" t="s">
        <v>332</v>
      </c>
      <c r="AD60" s="36"/>
    </row>
    <row r="61" spans="1:30" ht="25" customHeight="1">
      <c r="A61" s="27">
        <v>46126</v>
      </c>
      <c r="B61" s="28">
        <v>143138</v>
      </c>
      <c r="D61" s="28" t="s">
        <v>333</v>
      </c>
      <c r="E61" s="29">
        <v>0.82361111111111107</v>
      </c>
      <c r="F61" s="29">
        <v>0.87569444444444444</v>
      </c>
      <c r="G61" s="28">
        <v>12</v>
      </c>
      <c r="H61" s="28">
        <v>12</v>
      </c>
      <c r="I61" s="70">
        <f>tbl_FlatLaser[[#This Row],[Qty Complete]]/tbl_FlatLaser[[#This Row],[Qty Required]]</f>
        <v>1</v>
      </c>
      <c r="J61" s="30">
        <v>16</v>
      </c>
      <c r="K61" s="28">
        <v>1</v>
      </c>
      <c r="L61" s="31">
        <f>IF(tbl_FlatLaser[[#This Row],[Job Type]]="Batch",0,tbl_FlatLaser[[#This Row],[Qty Required]]/tbl_FlatLaser[[#This Row],[PPH]]*tbl_FlatLaser[[#This Row],['# of men]])</f>
        <v>0.75</v>
      </c>
      <c r="M61" s="31">
        <f>IF(tbl_FlatLaser[[#This Row],[Job Type]]="Batch",tbl_FlatLaser[[#This Row],[Batch Hours]]*tbl_FlatLaser[[#This Row],[% Complete]],tbl_FlatLaser[[#This Row],[Total hours]]*tbl_FlatLaser[[#This Row],[% Complete]])</f>
        <v>0.75</v>
      </c>
      <c r="N61" s="31"/>
      <c r="O61" s="28" t="s">
        <v>323</v>
      </c>
      <c r="P61" s="28">
        <f>tbl_FlatLaser[[#This Row],[Mat. Qty]]*tbl_FlatLaser[[#This Row],[% Complete]]</f>
        <v>12</v>
      </c>
      <c r="Q61" s="28">
        <v>12</v>
      </c>
      <c r="R61" s="32">
        <f>IFERROR(tbl_FlatLaser[[#This Row],[Qty Complete]]/tbl_FlatLaser[[#This Row],[Total Hours Act]]*tbl_FlatLaser[[#This Row],['# of men Act]],"")</f>
        <v>9.5999999999999925</v>
      </c>
      <c r="S61" s="28">
        <v>1</v>
      </c>
      <c r="T61"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1.2500000000000009</v>
      </c>
      <c r="U61" s="34">
        <v>12</v>
      </c>
      <c r="V61" s="33">
        <v>0.5</v>
      </c>
      <c r="W61" s="33">
        <v>0.4</v>
      </c>
      <c r="X61" s="35">
        <f>IFERROR((tbl_FlatLaser[[#This Row],[Adj. Total Hours]]+tbl_FlatLaser[[#This Row],[Est. Hours]])/(tbl_FlatLaser[[#This Row],[Total Hours Act]]+tbl_FlatLaser[[#This Row],[Act. Hours]]),"")</f>
        <v>0.75757575757575724</v>
      </c>
      <c r="Y61"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0.75757575757575724</v>
      </c>
      <c r="Z61" s="104">
        <f>IFERROR(tbl_FlatLaser[[#This Row],[Act. Mat. Qty]]-tbl_FlatLaser[[#This Row],[Adj. Mat. Qty]],"")</f>
        <v>0</v>
      </c>
      <c r="AA61"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0</v>
      </c>
      <c r="AC61" s="31" t="s">
        <v>332</v>
      </c>
      <c r="AD61" s="36"/>
    </row>
    <row r="62" spans="1:30" ht="25" customHeight="1">
      <c r="A62" s="27">
        <v>46126</v>
      </c>
      <c r="B62" s="28">
        <v>143139</v>
      </c>
      <c r="C62" s="28" t="str">
        <f>IF(tbl_FlatLaser[[#This Row],[Part'#]]="", "Batch", "Part")</f>
        <v>Part</v>
      </c>
      <c r="D62" s="28" t="s">
        <v>334</v>
      </c>
      <c r="E62" s="29">
        <v>0.91736111111111107</v>
      </c>
      <c r="F62" s="29">
        <v>0.94236111111111109</v>
      </c>
      <c r="G62" s="28">
        <v>12</v>
      </c>
      <c r="H62" s="28">
        <v>12</v>
      </c>
      <c r="I62" s="70">
        <f>tbl_FlatLaser[[#This Row],[Qty Complete]]/tbl_FlatLaser[[#This Row],[Qty Required]]</f>
        <v>1</v>
      </c>
      <c r="J62" s="30">
        <v>16</v>
      </c>
      <c r="K62" s="28">
        <v>1</v>
      </c>
      <c r="L62" s="31">
        <f>IF(tbl_FlatLaser[[#This Row],[Job Type]]="Batch",0,tbl_FlatLaser[[#This Row],[Qty Required]]/tbl_FlatLaser[[#This Row],[PPH]]*tbl_FlatLaser[[#This Row],['# of men]])</f>
        <v>0.75</v>
      </c>
      <c r="M62" s="31">
        <f>IF(tbl_FlatLaser[[#This Row],[Job Type]]="Batch",tbl_FlatLaser[[#This Row],[Batch Hours]]*tbl_FlatLaser[[#This Row],[% Complete]],tbl_FlatLaser[[#This Row],[Total hours]]*tbl_FlatLaser[[#This Row],[% Complete]])</f>
        <v>0.75</v>
      </c>
      <c r="N62" s="31"/>
      <c r="O62" s="28" t="s">
        <v>323</v>
      </c>
      <c r="P62" s="28">
        <f>tbl_FlatLaser[[#This Row],[Mat. Qty]]*tbl_FlatLaser[[#This Row],[% Complete]]</f>
        <v>12</v>
      </c>
      <c r="Q62" s="28">
        <v>12</v>
      </c>
      <c r="R62" s="32">
        <f>IFERROR(tbl_FlatLaser[[#This Row],[Qty Complete]]/tbl_FlatLaser[[#This Row],[Total Hours Act]]*tbl_FlatLaser[[#This Row],['# of men Act]],"")</f>
        <v>19.999999999999982</v>
      </c>
      <c r="S62" s="28">
        <v>1</v>
      </c>
      <c r="T62"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0.60000000000000053</v>
      </c>
      <c r="U62" s="34">
        <v>12</v>
      </c>
      <c r="V62" s="33">
        <v>0.5</v>
      </c>
      <c r="W62" s="33">
        <v>0.5</v>
      </c>
      <c r="X62" s="35">
        <f>IFERROR((tbl_FlatLaser[[#This Row],[Adj. Total Hours]]+tbl_FlatLaser[[#This Row],[Est. Hours]])/(tbl_FlatLaser[[#This Row],[Total Hours Act]]+tbl_FlatLaser[[#This Row],[Act. Hours]]),"")</f>
        <v>1.1363636363636358</v>
      </c>
      <c r="Y62"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1.1363636363636358</v>
      </c>
      <c r="Z62" s="104">
        <f>IFERROR(tbl_FlatLaser[[#This Row],[Act. Mat. Qty]]-tbl_FlatLaser[[#This Row],[Adj. Mat. Qty]],"")</f>
        <v>0</v>
      </c>
      <c r="AA62"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0</v>
      </c>
      <c r="AC62" s="31" t="s">
        <v>332</v>
      </c>
      <c r="AD62" s="36"/>
    </row>
    <row r="63" spans="1:30" ht="25" customHeight="1">
      <c r="A63" s="27">
        <v>46126</v>
      </c>
      <c r="B63" s="28">
        <v>143140</v>
      </c>
      <c r="C63" s="28" t="str">
        <f>IF(tbl_FlatLaser[[#This Row],[Part'#]]="", "Batch", "Part")</f>
        <v>Part</v>
      </c>
      <c r="D63" s="28" t="s">
        <v>335</v>
      </c>
      <c r="E63" s="29">
        <v>0.99930555555555556</v>
      </c>
      <c r="F63" s="29">
        <v>9.7222222222222224E-3</v>
      </c>
      <c r="G63" s="28">
        <v>21</v>
      </c>
      <c r="H63" s="28">
        <v>9</v>
      </c>
      <c r="I63" s="70">
        <f>tbl_FlatLaser[[#This Row],[Qty Complete]]/tbl_FlatLaser[[#This Row],[Qty Required]]</f>
        <v>0.42857142857142855</v>
      </c>
      <c r="J63" s="30">
        <v>16</v>
      </c>
      <c r="K63" s="28">
        <v>1</v>
      </c>
      <c r="L63" s="31">
        <f>IF(tbl_FlatLaser[[#This Row],[Job Type]]="Batch",0,tbl_FlatLaser[[#This Row],[Qty Required]]/tbl_FlatLaser[[#This Row],[PPH]]*tbl_FlatLaser[[#This Row],['# of men]])</f>
        <v>1.3125</v>
      </c>
      <c r="M63" s="31">
        <f>IF(tbl_FlatLaser[[#This Row],[Job Type]]="Batch",tbl_FlatLaser[[#This Row],[Batch Hours]]*tbl_FlatLaser[[#This Row],[% Complete]],tbl_FlatLaser[[#This Row],[Total hours]]*tbl_FlatLaser[[#This Row],[% Complete]])</f>
        <v>0.5625</v>
      </c>
      <c r="N63" s="31"/>
      <c r="O63" s="28" t="s">
        <v>323</v>
      </c>
      <c r="P63" s="28">
        <f>tbl_FlatLaser[[#This Row],[Mat. Qty]]*tbl_FlatLaser[[#This Row],[% Complete]]</f>
        <v>9</v>
      </c>
      <c r="Q63" s="28">
        <v>21</v>
      </c>
      <c r="R63" s="32">
        <f>IFERROR(tbl_FlatLaser[[#This Row],[Qty Complete]]/tbl_FlatLaser[[#This Row],[Total Hours Act]]*tbl_FlatLaser[[#This Row],['# of men Act]],"")</f>
        <v>36.000000000000128</v>
      </c>
      <c r="S63" s="28">
        <v>1</v>
      </c>
      <c r="T63"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0.24999999999999911</v>
      </c>
      <c r="U63" s="34">
        <v>9</v>
      </c>
      <c r="X63" s="35">
        <f>IFERROR((tbl_FlatLaser[[#This Row],[Adj. Total Hours]]+tbl_FlatLaser[[#This Row],[Est. Hours]])/(tbl_FlatLaser[[#This Row],[Total Hours Act]]+tbl_FlatLaser[[#This Row],[Act. Hours]]),"")</f>
        <v>2.250000000000008</v>
      </c>
      <c r="Y63"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63" s="104">
        <f>IFERROR(tbl_FlatLaser[[#This Row],[Act. Mat. Qty]]-tbl_FlatLaser[[#This Row],[Adj. Mat. Qty]],"")</f>
        <v>0</v>
      </c>
      <c r="AA63"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B63" s="28" t="s">
        <v>336</v>
      </c>
      <c r="AC63" s="31" t="s">
        <v>332</v>
      </c>
      <c r="AD63" s="36"/>
    </row>
    <row r="64" spans="1:30" ht="25" customHeight="1">
      <c r="A64" s="27">
        <v>46127</v>
      </c>
      <c r="B64" s="28" t="s">
        <v>337</v>
      </c>
      <c r="C64" s="28" t="str">
        <f>IF(tbl_FlatLaser[[#This Row],[Part'#]]="", "Batch", "Part")</f>
        <v>Part</v>
      </c>
      <c r="D64" s="28" t="s">
        <v>338</v>
      </c>
      <c r="E64" s="29">
        <v>0.21249999999999999</v>
      </c>
      <c r="F64" s="29">
        <v>0.24374999999999999</v>
      </c>
      <c r="G64" s="28">
        <v>800</v>
      </c>
      <c r="H64" s="28">
        <v>799</v>
      </c>
      <c r="I64" s="70">
        <f>tbl_FlatLaser[[#This Row],[Qty Complete]]/tbl_FlatLaser[[#This Row],[Qty Required]]</f>
        <v>0.99875000000000003</v>
      </c>
      <c r="J64" s="30">
        <v>830</v>
      </c>
      <c r="K64" s="28">
        <v>1</v>
      </c>
      <c r="L64" s="31">
        <f>IF(tbl_FlatLaser[[#This Row],[Job Type]]="Batch",0,tbl_FlatLaser[[#This Row],[Qty Required]]/tbl_FlatLaser[[#This Row],[PPH]]*tbl_FlatLaser[[#This Row],['# of men]])</f>
        <v>0.96385542168674698</v>
      </c>
      <c r="M64" s="31">
        <f>IF(tbl_FlatLaser[[#This Row],[Job Type]]="Batch",tbl_FlatLaser[[#This Row],[Batch Hours]]*tbl_FlatLaser[[#This Row],[% Complete]],tbl_FlatLaser[[#This Row],[Total hours]]*tbl_FlatLaser[[#This Row],[% Complete]])</f>
        <v>0.96265060240963862</v>
      </c>
      <c r="N64" s="31"/>
      <c r="O64" s="28" t="s">
        <v>339</v>
      </c>
      <c r="P64" s="28">
        <f>tbl_FlatLaser[[#This Row],[Mat. Qty]]*tbl_FlatLaser[[#This Row],[% Complete]]</f>
        <v>0.99875000000000003</v>
      </c>
      <c r="Q64" s="28">
        <v>1</v>
      </c>
      <c r="R64" s="32">
        <f>IFERROR(tbl_FlatLaser[[#This Row],[Qty Complete]]/tbl_FlatLaser[[#This Row],[Total Hours Act]]*tbl_FlatLaser[[#This Row],['# of men Act]],"")</f>
        <v>1065.3333333333333</v>
      </c>
      <c r="S64" s="28">
        <v>1</v>
      </c>
      <c r="T64"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0.75</v>
      </c>
      <c r="U64" s="34">
        <v>1</v>
      </c>
      <c r="X64" s="35">
        <f>IFERROR((tbl_FlatLaser[[#This Row],[Adj. Total Hours]]+tbl_FlatLaser[[#This Row],[Est. Hours]])/(tbl_FlatLaser[[#This Row],[Total Hours Act]]+tbl_FlatLaser[[#This Row],[Act. Hours]]),"")</f>
        <v>1.2835341365461848</v>
      </c>
      <c r="Y64"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64" s="104">
        <f>IFERROR(tbl_FlatLaser[[#This Row],[Act. Mat. Qty]]-tbl_FlatLaser[[#This Row],[Adj. Mat. Qty]],"")</f>
        <v>1.2499999999999734E-3</v>
      </c>
      <c r="AA64"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64" s="31" t="s">
        <v>218</v>
      </c>
      <c r="AD64" s="36"/>
    </row>
    <row r="65" spans="1:30" ht="25" customHeight="1">
      <c r="A65" s="27">
        <v>46127</v>
      </c>
      <c r="B65" s="28">
        <v>143275</v>
      </c>
      <c r="C65" s="28" t="str">
        <f>IF(tbl_FlatLaser[[#This Row],[Part'#]]="", "Batch", "Part")</f>
        <v>Part</v>
      </c>
      <c r="D65" s="28" t="s">
        <v>281</v>
      </c>
      <c r="E65" s="29">
        <v>0.29722222222222222</v>
      </c>
      <c r="F65" s="29">
        <v>0.34166666666666667</v>
      </c>
      <c r="G65" s="28">
        <v>2</v>
      </c>
      <c r="H65" s="28">
        <v>10</v>
      </c>
      <c r="I65" s="70">
        <f>tbl_FlatLaser[[#This Row],[Qty Complete]]/tbl_FlatLaser[[#This Row],[Qty Required]]</f>
        <v>5</v>
      </c>
      <c r="J65" s="30">
        <v>25</v>
      </c>
      <c r="K65" s="28">
        <v>1</v>
      </c>
      <c r="L65" s="31">
        <f>IF(tbl_FlatLaser[[#This Row],[Job Type]]="Batch",0,tbl_FlatLaser[[#This Row],[Qty Required]]/tbl_FlatLaser[[#This Row],[PPH]]*tbl_FlatLaser[[#This Row],['# of men]])</f>
        <v>0.08</v>
      </c>
      <c r="M65" s="31">
        <f>IF(tbl_FlatLaser[[#This Row],[Job Type]]="Batch",tbl_FlatLaser[[#This Row],[Batch Hours]]*tbl_FlatLaser[[#This Row],[% Complete]],tbl_FlatLaser[[#This Row],[Total hours]]*tbl_FlatLaser[[#This Row],[% Complete]])</f>
        <v>0.4</v>
      </c>
      <c r="N65" s="31"/>
      <c r="O65" s="28" t="s">
        <v>268</v>
      </c>
      <c r="P65" s="28">
        <f>tbl_FlatLaser[[#This Row],[Mat. Qty]]*tbl_FlatLaser[[#This Row],[% Complete]]</f>
        <v>10</v>
      </c>
      <c r="Q65" s="28">
        <v>2</v>
      </c>
      <c r="R65" s="32">
        <f>IFERROR(tbl_FlatLaser[[#This Row],[Qty Complete]]/tbl_FlatLaser[[#This Row],[Total Hours Act]]*tbl_FlatLaser[[#This Row],['# of men Act]],"")</f>
        <v>9.3749999999999982</v>
      </c>
      <c r="S65" s="28">
        <v>1</v>
      </c>
      <c r="T65"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1.0666666666666669</v>
      </c>
      <c r="U65" s="34">
        <v>10</v>
      </c>
      <c r="V65" s="33">
        <v>0.5</v>
      </c>
      <c r="W65" s="33">
        <v>0.63</v>
      </c>
      <c r="X65" s="35">
        <f>IFERROR((tbl_FlatLaser[[#This Row],[Adj. Total Hours]]+tbl_FlatLaser[[#This Row],[Est. Hours]])/(tbl_FlatLaser[[#This Row],[Total Hours Act]]+tbl_FlatLaser[[#This Row],[Act. Hours]]),"")</f>
        <v>0.53045186640471509</v>
      </c>
      <c r="Y65"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0.53045186640471509</v>
      </c>
      <c r="Z65" s="104">
        <f>IFERROR(tbl_FlatLaser[[#This Row],[Act. Mat. Qty]]-tbl_FlatLaser[[#This Row],[Adj. Mat. Qty]],"")</f>
        <v>0</v>
      </c>
      <c r="AA65"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0</v>
      </c>
      <c r="AB65" s="28" t="s">
        <v>340</v>
      </c>
      <c r="AC65" s="31" t="s">
        <v>218</v>
      </c>
      <c r="AD65" s="36"/>
    </row>
    <row r="66" spans="1:30" ht="25" customHeight="1">
      <c r="A66" s="27">
        <v>46127</v>
      </c>
      <c r="B66" s="28">
        <v>143297</v>
      </c>
      <c r="C66" s="28" t="str">
        <f>IF(tbl_FlatLaser[[#This Row],[Part'#]]="", "Batch", "Part")</f>
        <v>Part</v>
      </c>
      <c r="D66" s="28" t="s">
        <v>341</v>
      </c>
      <c r="E66" s="29">
        <v>0.38055555555555554</v>
      </c>
      <c r="F66" s="29">
        <v>0.40555555555555556</v>
      </c>
      <c r="G66" s="28">
        <v>263</v>
      </c>
      <c r="H66" s="28">
        <v>550</v>
      </c>
      <c r="I66" s="70">
        <f>tbl_FlatLaser[[#This Row],[Qty Complete]]/tbl_FlatLaser[[#This Row],[Qty Required]]</f>
        <v>2.0912547528517109</v>
      </c>
      <c r="J66" s="30">
        <v>368</v>
      </c>
      <c r="K66" s="28">
        <v>1</v>
      </c>
      <c r="L66" s="31">
        <f>IF(tbl_FlatLaser[[#This Row],[Job Type]]="Batch",0,tbl_FlatLaser[[#This Row],[Qty Required]]/tbl_FlatLaser[[#This Row],[PPH]]*tbl_FlatLaser[[#This Row],['# of men]])</f>
        <v>0.71467391304347827</v>
      </c>
      <c r="M66" s="31">
        <f>IF(tbl_FlatLaser[[#This Row],[Job Type]]="Batch",tbl_FlatLaser[[#This Row],[Batch Hours]]*tbl_FlatLaser[[#This Row],[% Complete]],tbl_FlatLaser[[#This Row],[Total hours]]*tbl_FlatLaser[[#This Row],[% Complete]])</f>
        <v>1.4945652173913042</v>
      </c>
      <c r="N66" s="31"/>
      <c r="O66" s="28" t="s">
        <v>342</v>
      </c>
      <c r="P66" s="28">
        <f>tbl_FlatLaser[[#This Row],[Mat. Qty]]*tbl_FlatLaser[[#This Row],[% Complete]]</f>
        <v>2.0912547528517109</v>
      </c>
      <c r="Q66" s="28">
        <v>1</v>
      </c>
      <c r="R66" s="32">
        <f>IFERROR(tbl_FlatLaser[[#This Row],[Qty Complete]]/tbl_FlatLaser[[#This Row],[Total Hours Act]]*tbl_FlatLaser[[#This Row],['# of men Act]],"")</f>
        <v>916.66666666666583</v>
      </c>
      <c r="S66" s="28">
        <v>1</v>
      </c>
      <c r="T66"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0.60000000000000053</v>
      </c>
      <c r="U66" s="34">
        <v>1</v>
      </c>
      <c r="V66" s="33">
        <v>0.52</v>
      </c>
      <c r="W66" s="33">
        <v>7.0000000000000007E-2</v>
      </c>
      <c r="X66" s="35">
        <f>IFERROR((tbl_FlatLaser[[#This Row],[Adj. Total Hours]]+tbl_FlatLaser[[#This Row],[Est. Hours]])/(tbl_FlatLaser[[#This Row],[Total Hours Act]]+tbl_FlatLaser[[#This Row],[Act. Hours]]),"")</f>
        <v>3.0068137573004514</v>
      </c>
      <c r="Y66"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3.0068137573004514</v>
      </c>
      <c r="Z66" s="104">
        <f>IFERROR(tbl_FlatLaser[[#This Row],[Act. Mat. Qty]]-tbl_FlatLaser[[#This Row],[Adj. Mat. Qty]],"")</f>
        <v>-1.0912547528517109</v>
      </c>
      <c r="AA66"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-1.0912547528517109</v>
      </c>
      <c r="AC66" s="31" t="s">
        <v>218</v>
      </c>
      <c r="AD66" s="36"/>
    </row>
    <row r="67" spans="1:30" ht="25" customHeight="1">
      <c r="A67" s="27">
        <v>46127</v>
      </c>
      <c r="B67" s="28" t="s">
        <v>343</v>
      </c>
      <c r="C67" s="28" t="str">
        <f>IF(tbl_FlatLaser[[#This Row],[Part'#]]="", "Batch", "Part")</f>
        <v>Part</v>
      </c>
      <c r="D67" s="28" t="s">
        <v>338</v>
      </c>
      <c r="E67" s="29">
        <v>0.42638888888888887</v>
      </c>
      <c r="F67" s="29">
        <v>0.46111111111111114</v>
      </c>
      <c r="G67" s="28">
        <v>800</v>
      </c>
      <c r="H67" s="28">
        <v>800</v>
      </c>
      <c r="I67" s="70">
        <f>tbl_FlatLaser[[#This Row],[Qty Complete]]/tbl_FlatLaser[[#This Row],[Qty Required]]</f>
        <v>1</v>
      </c>
      <c r="J67" s="30">
        <v>830</v>
      </c>
      <c r="K67" s="28">
        <v>1</v>
      </c>
      <c r="L67" s="31">
        <f>IF(tbl_FlatLaser[[#This Row],[Job Type]]="Batch",0,tbl_FlatLaser[[#This Row],[Qty Required]]/tbl_FlatLaser[[#This Row],[PPH]]*tbl_FlatLaser[[#This Row],['# of men]])</f>
        <v>0.96385542168674698</v>
      </c>
      <c r="M67" s="31">
        <f>IF(tbl_FlatLaser[[#This Row],[Job Type]]="Batch",tbl_FlatLaser[[#This Row],[Batch Hours]]*tbl_FlatLaser[[#This Row],[% Complete]],tbl_FlatLaser[[#This Row],[Total hours]]*tbl_FlatLaser[[#This Row],[% Complete]])</f>
        <v>0.96385542168674698</v>
      </c>
      <c r="N67" s="31"/>
      <c r="O67" s="28" t="s">
        <v>339</v>
      </c>
      <c r="P67" s="28">
        <f>tbl_FlatLaser[[#This Row],[Mat. Qty]]*tbl_FlatLaser[[#This Row],[% Complete]]</f>
        <v>1</v>
      </c>
      <c r="Q67" s="28">
        <v>1</v>
      </c>
      <c r="R67" s="32">
        <f>IFERROR(tbl_FlatLaser[[#This Row],[Qty Complete]]/tbl_FlatLaser[[#This Row],[Total Hours Act]]*tbl_FlatLaser[[#This Row],['# of men Act]],"")</f>
        <v>959.99999999999886</v>
      </c>
      <c r="S67" s="28">
        <v>1</v>
      </c>
      <c r="T67"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0.83333333333333437</v>
      </c>
      <c r="U67" s="34">
        <v>1</v>
      </c>
      <c r="V67" s="33">
        <v>0.52</v>
      </c>
      <c r="W67" s="33">
        <v>0.5</v>
      </c>
      <c r="X67" s="35">
        <f>IFERROR((tbl_FlatLaser[[#This Row],[Adj. Total Hours]]+tbl_FlatLaser[[#This Row],[Est. Hours]])/(tbl_FlatLaser[[#This Row],[Total Hours Act]]+tbl_FlatLaser[[#This Row],[Act. Hours]]),"")</f>
        <v>1.1128915662650594</v>
      </c>
      <c r="Y67"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1.1128915662650594</v>
      </c>
      <c r="Z67" s="104">
        <f>IFERROR(tbl_FlatLaser[[#This Row],[Act. Mat. Qty]]-tbl_FlatLaser[[#This Row],[Adj. Mat. Qty]],"")</f>
        <v>0</v>
      </c>
      <c r="AA67"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0</v>
      </c>
      <c r="AC67" s="31" t="s">
        <v>218</v>
      </c>
      <c r="AD67" s="36"/>
    </row>
    <row r="68" spans="1:30" ht="25" customHeight="1">
      <c r="A68" s="27">
        <v>46127</v>
      </c>
      <c r="B68" s="28">
        <v>143206</v>
      </c>
      <c r="C68" s="28" t="str">
        <f>IF(tbl_FlatLaser[[#This Row],[Part'#]]="", "Batch", "Part")</f>
        <v>Part</v>
      </c>
      <c r="D68" s="28" t="s">
        <v>344</v>
      </c>
      <c r="E68" s="29">
        <v>0.4826388888888889</v>
      </c>
      <c r="F68" s="29">
        <v>0.5395833333333333</v>
      </c>
      <c r="G68" s="28">
        <v>400</v>
      </c>
      <c r="H68" s="28">
        <v>400</v>
      </c>
      <c r="I68" s="70">
        <f>tbl_FlatLaser[[#This Row],[Qty Complete]]/tbl_FlatLaser[[#This Row],[Qty Required]]</f>
        <v>1</v>
      </c>
      <c r="J68" s="30">
        <v>496</v>
      </c>
      <c r="K68" s="28">
        <v>1</v>
      </c>
      <c r="L68" s="31">
        <f>IF(tbl_FlatLaser[[#This Row],[Job Type]]="Batch",0,tbl_FlatLaser[[#This Row],[Qty Required]]/tbl_FlatLaser[[#This Row],[PPH]]*tbl_FlatLaser[[#This Row],['# of men]])</f>
        <v>0.80645161290322576</v>
      </c>
      <c r="M68" s="31">
        <f>IF(tbl_FlatLaser[[#This Row],[Job Type]]="Batch",tbl_FlatLaser[[#This Row],[Batch Hours]]*tbl_FlatLaser[[#This Row],[% Complete]],tbl_FlatLaser[[#This Row],[Total hours]]*tbl_FlatLaser[[#This Row],[% Complete]])</f>
        <v>0.80645161290322576</v>
      </c>
      <c r="N68" s="31"/>
      <c r="O68" s="28" t="s">
        <v>345</v>
      </c>
      <c r="P68" s="28">
        <f>tbl_FlatLaser[[#This Row],[Mat. Qty]]*tbl_FlatLaser[[#This Row],[% Complete]]</f>
        <v>1</v>
      </c>
      <c r="Q68" s="28">
        <v>1</v>
      </c>
      <c r="R68" s="32">
        <f>IFERROR(tbl_FlatLaser[[#This Row],[Qty Complete]]/tbl_FlatLaser[[#This Row],[Total Hours Act]]*tbl_FlatLaser[[#This Row],['# of men Act]],"")</f>
        <v>461.538461538462</v>
      </c>
      <c r="S68" s="28">
        <v>1</v>
      </c>
      <c r="T68"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0.86666666666666581</v>
      </c>
      <c r="U68" s="34">
        <v>1</v>
      </c>
      <c r="V68" s="33">
        <v>0.52</v>
      </c>
      <c r="W68" s="33">
        <v>0.43</v>
      </c>
      <c r="X68" s="35">
        <f>IFERROR((tbl_FlatLaser[[#This Row],[Adj. Total Hours]]+tbl_FlatLaser[[#This Row],[Est. Hours]])/(tbl_FlatLaser[[#This Row],[Total Hours Act]]+tbl_FlatLaser[[#This Row],[Act. Hours]]),"")</f>
        <v>1.0229703955551877</v>
      </c>
      <c r="Y68"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68" s="104">
        <f>IFERROR(tbl_FlatLaser[[#This Row],[Act. Mat. Qty]]-tbl_FlatLaser[[#This Row],[Adj. Mat. Qty]],"")</f>
        <v>0</v>
      </c>
      <c r="AA68"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68" s="31" t="s">
        <v>218</v>
      </c>
      <c r="AD68" s="36"/>
    </row>
    <row r="69" spans="1:30" ht="25" customHeight="1">
      <c r="A69" s="27">
        <v>46127</v>
      </c>
      <c r="B69" s="28">
        <v>143206</v>
      </c>
      <c r="C69" s="28" t="str">
        <f>IF(tbl_FlatLaser[[#This Row],[Part'#]]="", "Batch", "Part")</f>
        <v>Part</v>
      </c>
      <c r="D69" s="28" t="s">
        <v>346</v>
      </c>
      <c r="E69" s="29">
        <v>0.48402777777777778</v>
      </c>
      <c r="F69" s="29">
        <v>0.54027777777777775</v>
      </c>
      <c r="G69" s="28">
        <v>200</v>
      </c>
      <c r="H69" s="28">
        <v>200</v>
      </c>
      <c r="I69" s="70">
        <f>tbl_FlatLaser[[#This Row],[Qty Complete]]/tbl_FlatLaser[[#This Row],[Qty Required]]</f>
        <v>1</v>
      </c>
      <c r="J69" s="30">
        <v>759</v>
      </c>
      <c r="K69" s="28">
        <v>1</v>
      </c>
      <c r="L69" s="31">
        <f>IF(tbl_FlatLaser[[#This Row],[Job Type]]="Batch",0,tbl_FlatLaser[[#This Row],[Qty Required]]/tbl_FlatLaser[[#This Row],[PPH]]*tbl_FlatLaser[[#This Row],['# of men]])</f>
        <v>0.2635046113306983</v>
      </c>
      <c r="M69" s="31">
        <f>IF(tbl_FlatLaser[[#This Row],[Job Type]]="Batch",tbl_FlatLaser[[#This Row],[Batch Hours]]*tbl_FlatLaser[[#This Row],[% Complete]],tbl_FlatLaser[[#This Row],[Total hours]]*tbl_FlatLaser[[#This Row],[% Complete]])</f>
        <v>0.2635046113306983</v>
      </c>
      <c r="N69" s="31"/>
      <c r="O69" s="28" t="s">
        <v>345</v>
      </c>
      <c r="P69" s="28">
        <f>tbl_FlatLaser[[#This Row],[Mat. Qty]]*tbl_FlatLaser[[#This Row],[% Complete]]</f>
        <v>1</v>
      </c>
      <c r="Q69" s="28">
        <v>1</v>
      </c>
      <c r="R69" s="32">
        <f>IFERROR(tbl_FlatLaser[[#This Row],[Qty Complete]]/tbl_FlatLaser[[#This Row],[Total Hours Act]]*tbl_FlatLaser[[#This Row],['# of men Act]],"")</f>
        <v>235.29411764705904</v>
      </c>
      <c r="S69" s="28">
        <v>1</v>
      </c>
      <c r="T69"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0.8499999999999992</v>
      </c>
      <c r="U69" s="34">
        <v>1</v>
      </c>
      <c r="V69" s="33">
        <v>0.52</v>
      </c>
      <c r="W69" s="33">
        <v>0</v>
      </c>
      <c r="X69" s="35">
        <f>IFERROR((tbl_FlatLaser[[#This Row],[Adj. Total Hours]]+tbl_FlatLaser[[#This Row],[Est. Hours]])/(tbl_FlatLaser[[#This Row],[Total Hours Act]]+tbl_FlatLaser[[#This Row],[Act. Hours]]),"")</f>
        <v>0.92177013097729299</v>
      </c>
      <c r="Y69"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0.98289886222077283</v>
      </c>
      <c r="Z69" s="104">
        <f>IFERROR(tbl_FlatLaser[[#This Row],[Act. Mat. Qty]]-tbl_FlatLaser[[#This Row],[Adj. Mat. Qty]],"")</f>
        <v>0</v>
      </c>
      <c r="AA69"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0</v>
      </c>
      <c r="AC69" s="31" t="s">
        <v>218</v>
      </c>
      <c r="AD69" s="36"/>
    </row>
    <row r="70" spans="1:30" ht="25" customHeight="1">
      <c r="A70" s="27">
        <v>46127</v>
      </c>
      <c r="B70" s="28">
        <v>143011</v>
      </c>
      <c r="C70" s="28" t="str">
        <f>IF(tbl_FlatLaser[[#This Row],[Part'#]]="", "Batch", "Part")</f>
        <v>Part</v>
      </c>
      <c r="D70" s="28" t="s">
        <v>346</v>
      </c>
      <c r="E70" s="29">
        <v>0.56319444444444444</v>
      </c>
      <c r="F70" s="29">
        <v>0.58333333333333337</v>
      </c>
      <c r="G70" s="28">
        <v>200</v>
      </c>
      <c r="H70" s="28">
        <v>200</v>
      </c>
      <c r="I70" s="70">
        <f>tbl_FlatLaser[[#This Row],[Qty Complete]]/tbl_FlatLaser[[#This Row],[Qty Required]]</f>
        <v>1</v>
      </c>
      <c r="J70" s="30">
        <v>759</v>
      </c>
      <c r="K70" s="28">
        <v>1</v>
      </c>
      <c r="L70" s="31">
        <f>IF(tbl_FlatLaser[[#This Row],[Job Type]]="Batch",0,tbl_FlatLaser[[#This Row],[Qty Required]]/tbl_FlatLaser[[#This Row],[PPH]]*tbl_FlatLaser[[#This Row],['# of men]])</f>
        <v>0.2635046113306983</v>
      </c>
      <c r="M70" s="31">
        <f>IF(tbl_FlatLaser[[#This Row],[Job Type]]="Batch",tbl_FlatLaser[[#This Row],[Batch Hours]]*tbl_FlatLaser[[#This Row],[% Complete]],tbl_FlatLaser[[#This Row],[Total hours]]*tbl_FlatLaser[[#This Row],[% Complete]])</f>
        <v>0.2635046113306983</v>
      </c>
      <c r="N70" s="31"/>
      <c r="O70" s="28" t="s">
        <v>345</v>
      </c>
      <c r="P70" s="28">
        <f>tbl_FlatLaser[[#This Row],[Mat. Qty]]*tbl_FlatLaser[[#This Row],[% Complete]]</f>
        <v>1</v>
      </c>
      <c r="Q70" s="28">
        <v>1</v>
      </c>
      <c r="R70" s="32">
        <f>IFERROR(tbl_FlatLaser[[#This Row],[Qty Complete]]/tbl_FlatLaser[[#This Row],[Total Hours Act]]*tbl_FlatLaser[[#This Row],['# of men Act]],"")</f>
        <v>413.79310344827508</v>
      </c>
      <c r="S70" s="28">
        <v>1</v>
      </c>
      <c r="T70"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0.48333333333333428</v>
      </c>
      <c r="U70" s="34">
        <v>1</v>
      </c>
      <c r="V70" s="33">
        <v>0.52</v>
      </c>
      <c r="W70" s="33">
        <v>0.33</v>
      </c>
      <c r="X70" s="35">
        <f>IFERROR((tbl_FlatLaser[[#This Row],[Adj. Total Hours]]+tbl_FlatLaser[[#This Row],[Est. Hours]])/(tbl_FlatLaser[[#This Row],[Total Hours Act]]+tbl_FlatLaser[[#This Row],[Act. Hours]]),"")</f>
        <v>0.96332534180003759</v>
      </c>
      <c r="Y70"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70" s="104">
        <f>IFERROR(tbl_FlatLaser[[#This Row],[Act. Mat. Qty]]-tbl_FlatLaser[[#This Row],[Adj. Mat. Qty]],"")</f>
        <v>0</v>
      </c>
      <c r="AA70"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70" s="31" t="s">
        <v>218</v>
      </c>
      <c r="AD70" s="36"/>
    </row>
    <row r="71" spans="1:30" ht="25" customHeight="1">
      <c r="A71" s="27">
        <v>46127</v>
      </c>
      <c r="B71" s="28">
        <v>143011</v>
      </c>
      <c r="C71" s="28" t="str">
        <f>IF(tbl_FlatLaser[[#This Row],[Part'#]]="", "Batch", "Part")</f>
        <v>Part</v>
      </c>
      <c r="D71" s="28" t="s">
        <v>344</v>
      </c>
      <c r="E71" s="29">
        <v>0.58333333333333337</v>
      </c>
      <c r="F71" s="29">
        <v>0.60833333333333328</v>
      </c>
      <c r="G71" s="28">
        <v>400</v>
      </c>
      <c r="H71" s="28">
        <v>400</v>
      </c>
      <c r="I71" s="70">
        <f>tbl_FlatLaser[[#This Row],[Qty Complete]]/tbl_FlatLaser[[#This Row],[Qty Required]]</f>
        <v>1</v>
      </c>
      <c r="J71" s="30">
        <v>496</v>
      </c>
      <c r="K71" s="28">
        <v>1</v>
      </c>
      <c r="L71" s="31">
        <f>IF(tbl_FlatLaser[[#This Row],[Job Type]]="Batch",0,tbl_FlatLaser[[#This Row],[Qty Required]]/tbl_FlatLaser[[#This Row],[PPH]]*tbl_FlatLaser[[#This Row],['# of men]])</f>
        <v>0.80645161290322576</v>
      </c>
      <c r="M71" s="31">
        <f>IF(tbl_FlatLaser[[#This Row],[Job Type]]="Batch",tbl_FlatLaser[[#This Row],[Batch Hours]]*tbl_FlatLaser[[#This Row],[% Complete]],tbl_FlatLaser[[#This Row],[Total hours]]*tbl_FlatLaser[[#This Row],[% Complete]])</f>
        <v>0.80645161290322576</v>
      </c>
      <c r="N71" s="31"/>
      <c r="O71" s="28" t="s">
        <v>345</v>
      </c>
      <c r="P71" s="28">
        <f>tbl_FlatLaser[[#This Row],[Mat. Qty]]*tbl_FlatLaser[[#This Row],[% Complete]]</f>
        <v>1</v>
      </c>
      <c r="Q71" s="28">
        <v>1</v>
      </c>
      <c r="R71" s="32">
        <f>IFERROR(tbl_FlatLaser[[#This Row],[Qty Complete]]/tbl_FlatLaser[[#This Row],[Total Hours Act]]*tbl_FlatLaser[[#This Row],['# of men Act]],"")</f>
        <v>666.66666666666902</v>
      </c>
      <c r="S71" s="28">
        <v>1</v>
      </c>
      <c r="T71"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0.59999999999999787</v>
      </c>
      <c r="U71" s="34">
        <v>1</v>
      </c>
      <c r="V71" s="33">
        <v>0.52</v>
      </c>
      <c r="W71" s="33">
        <v>0.22</v>
      </c>
      <c r="X71" s="35">
        <f>IFERROR((tbl_FlatLaser[[#This Row],[Adj. Total Hours]]+tbl_FlatLaser[[#This Row],[Est. Hours]])/(tbl_FlatLaser[[#This Row],[Total Hours Act]]+tbl_FlatLaser[[#This Row],[Act. Hours]]),"")</f>
        <v>1.6176239181746699</v>
      </c>
      <c r="Y71"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1.2918099332044444</v>
      </c>
      <c r="Z71" s="104">
        <f>IFERROR(tbl_FlatLaser[[#This Row],[Act. Mat. Qty]]-tbl_FlatLaser[[#This Row],[Adj. Mat. Qty]],"")</f>
        <v>0</v>
      </c>
      <c r="AA71"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0</v>
      </c>
      <c r="AC71" s="31" t="s">
        <v>218</v>
      </c>
      <c r="AD71" s="36"/>
    </row>
    <row r="72" spans="1:30" ht="25" customHeight="1">
      <c r="A72" s="27">
        <v>46127</v>
      </c>
      <c r="B72" s="28" t="s">
        <v>294</v>
      </c>
      <c r="C72" s="28" t="str">
        <f>IF(tbl_FlatLaser[[#This Row],[Part'#]]="", "Batch", "Part")</f>
        <v>Batch</v>
      </c>
      <c r="E72" s="29">
        <v>0.66527777777777775</v>
      </c>
      <c r="F72" s="29">
        <v>0.69166666666666665</v>
      </c>
      <c r="G72" s="28">
        <v>1000</v>
      </c>
      <c r="H72" s="28">
        <v>37</v>
      </c>
      <c r="I72" s="70">
        <f>tbl_FlatLaser[[#This Row],[Qty Complete]]/tbl_FlatLaser[[#This Row],[Qty Required]]</f>
        <v>3.6999999999999998E-2</v>
      </c>
      <c r="J72" s="30">
        <v>292</v>
      </c>
      <c r="K72" s="28">
        <v>1</v>
      </c>
      <c r="L72" s="31">
        <f>IF(tbl_FlatLaser[[#This Row],[Job Type]]="Batch",0,tbl_FlatLaser[[#This Row],[Qty Required]]/tbl_FlatLaser[[#This Row],[PPH]]*tbl_FlatLaser[[#This Row],['# of men]])</f>
        <v>0</v>
      </c>
      <c r="M72" s="31">
        <f>IF(tbl_FlatLaser[[#This Row],[Job Type]]="Batch",tbl_FlatLaser[[#This Row],[Batch Hours]]*tbl_FlatLaser[[#This Row],[% Complete]],tbl_FlatLaser[[#This Row],[Total hours]]*tbl_FlatLaser[[#This Row],[% Complete]])</f>
        <v>0.12653999999999999</v>
      </c>
      <c r="N72" s="31">
        <v>3.42</v>
      </c>
      <c r="O72" s="28" t="s">
        <v>295</v>
      </c>
      <c r="P72" s="28">
        <f>tbl_FlatLaser[[#This Row],[Mat. Qty]]*tbl_FlatLaser[[#This Row],[% Complete]]</f>
        <v>0.51800000000000002</v>
      </c>
      <c r="Q72" s="28">
        <v>14</v>
      </c>
      <c r="R72" s="32">
        <f>IFERROR(tbl_FlatLaser[[#This Row],[Qty Complete]]/tbl_FlatLaser[[#This Row],[Total Hours Act]]*tbl_FlatLaser[[#This Row],['# of men Act]],"")</f>
        <v>58.42105263157891</v>
      </c>
      <c r="S72" s="28">
        <v>1</v>
      </c>
      <c r="T72"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0.63333333333333375</v>
      </c>
      <c r="V72" s="33">
        <v>0.5</v>
      </c>
      <c r="W72" s="33">
        <v>1.1299999999999999</v>
      </c>
      <c r="X72" s="35">
        <f>IFERROR((tbl_FlatLaser[[#This Row],[Adj. Total Hours]]+tbl_FlatLaser[[#This Row],[Est. Hours]])/(tbl_FlatLaser[[#This Row],[Total Hours Act]]+tbl_FlatLaser[[#This Row],[Act. Hours]]),"")</f>
        <v>0.35531568998109636</v>
      </c>
      <c r="Y72"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72" s="104">
        <f>IFERROR(tbl_FlatLaser[[#This Row],[Act. Mat. Qty]]-tbl_FlatLaser[[#This Row],[Adj. Mat. Qty]],"")</f>
        <v>-0.51800000000000002</v>
      </c>
      <c r="AA72"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B72" s="28" t="s">
        <v>347</v>
      </c>
      <c r="AC72" s="31" t="s">
        <v>218</v>
      </c>
      <c r="AD72" s="36"/>
    </row>
    <row r="73" spans="1:30" ht="25" customHeight="1">
      <c r="A73" s="27">
        <v>46127</v>
      </c>
      <c r="B73" s="28">
        <v>143210</v>
      </c>
      <c r="C73" s="28" t="str">
        <f>IF(tbl_FlatLaser[[#This Row],[Part'#]]="", "Batch", "Part")</f>
        <v>Part</v>
      </c>
      <c r="D73" s="28" t="s">
        <v>348</v>
      </c>
      <c r="E73" s="29">
        <v>0.69652777777777775</v>
      </c>
      <c r="F73" s="29">
        <v>0.70763888888888893</v>
      </c>
      <c r="G73" s="28">
        <v>35</v>
      </c>
      <c r="H73" s="28">
        <v>25</v>
      </c>
      <c r="I73" s="70">
        <f>tbl_FlatLaser[[#This Row],[Qty Complete]]/tbl_FlatLaser[[#This Row],[Qty Required]]</f>
        <v>0.7142857142857143</v>
      </c>
      <c r="J73" s="30">
        <v>65</v>
      </c>
      <c r="K73" s="28">
        <v>1</v>
      </c>
      <c r="L73" s="31">
        <f>IF(tbl_FlatLaser[[#This Row],[Job Type]]="Batch",0,tbl_FlatLaser[[#This Row],[Qty Required]]/tbl_FlatLaser[[#This Row],[PPH]]*tbl_FlatLaser[[#This Row],['# of men]])</f>
        <v>0.53846153846153844</v>
      </c>
      <c r="M73" s="31">
        <f>IF(tbl_FlatLaser[[#This Row],[Job Type]]="Batch",tbl_FlatLaser[[#This Row],[Batch Hours]]*tbl_FlatLaser[[#This Row],[% Complete]],tbl_FlatLaser[[#This Row],[Total hours]]*tbl_FlatLaser[[#This Row],[% Complete]])</f>
        <v>0.38461538461538458</v>
      </c>
      <c r="N73" s="31"/>
      <c r="O73" s="28" t="s">
        <v>234</v>
      </c>
      <c r="P73" s="28">
        <f>tbl_FlatLaser[[#This Row],[Mat. Qty]]*tbl_FlatLaser[[#This Row],[% Complete]]</f>
        <v>5</v>
      </c>
      <c r="Q73" s="28">
        <v>7</v>
      </c>
      <c r="R73" s="32">
        <f>IFERROR(tbl_FlatLaser[[#This Row],[Qty Complete]]/tbl_FlatLaser[[#This Row],[Total Hours Act]]*tbl_FlatLaser[[#This Row],['# of men Act]],"")</f>
        <v>93.749999999999403</v>
      </c>
      <c r="S73" s="28">
        <v>1</v>
      </c>
      <c r="T73"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0.26666666666666838</v>
      </c>
      <c r="U73" s="34">
        <v>6</v>
      </c>
      <c r="V73" s="33">
        <v>0.5</v>
      </c>
      <c r="W73" s="33">
        <v>0.4</v>
      </c>
      <c r="X73" s="35">
        <f>IFERROR((tbl_FlatLaser[[#This Row],[Adj. Total Hours]]+tbl_FlatLaser[[#This Row],[Est. Hours]])/(tbl_FlatLaser[[#This Row],[Total Hours Act]]+tbl_FlatLaser[[#This Row],[Act. Hours]]),"")</f>
        <v>1.3269230769230733</v>
      </c>
      <c r="Y73"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73" s="104">
        <f>IFERROR(tbl_FlatLaser[[#This Row],[Act. Mat. Qty]]-tbl_FlatLaser[[#This Row],[Adj. Mat. Qty]],"")</f>
        <v>1</v>
      </c>
      <c r="AA73"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73" s="31" t="s">
        <v>349</v>
      </c>
      <c r="AD73" s="36"/>
    </row>
    <row r="74" spans="1:30" ht="25" customHeight="1">
      <c r="A74" s="27">
        <v>46127</v>
      </c>
      <c r="B74" s="28">
        <v>143230</v>
      </c>
      <c r="C74" s="28" t="str">
        <f>IF(tbl_FlatLaser[[#This Row],[Part'#]]="", "Batch", "Part")</f>
        <v>Part</v>
      </c>
      <c r="D74" s="28" t="s">
        <v>350</v>
      </c>
      <c r="E74" s="29">
        <v>0.80902777777777779</v>
      </c>
      <c r="F74" s="29">
        <v>0.83402777777777781</v>
      </c>
      <c r="G74" s="28">
        <v>98</v>
      </c>
      <c r="H74" s="28">
        <v>98</v>
      </c>
      <c r="I74" s="70">
        <f>tbl_FlatLaser[[#This Row],[Qty Complete]]/tbl_FlatLaser[[#This Row],[Qty Required]]</f>
        <v>1</v>
      </c>
      <c r="J74" s="30">
        <v>200</v>
      </c>
      <c r="K74" s="28">
        <v>1</v>
      </c>
      <c r="L74" s="31">
        <f>IF(tbl_FlatLaser[[#This Row],[Job Type]]="Batch",0,tbl_FlatLaser[[#This Row],[Qty Required]]/tbl_FlatLaser[[#This Row],[PPH]]*tbl_FlatLaser[[#This Row],['# of men]])</f>
        <v>0.49</v>
      </c>
      <c r="M74" s="31">
        <f>IF(tbl_FlatLaser[[#This Row],[Job Type]]="Batch",tbl_FlatLaser[[#This Row],[Batch Hours]]*tbl_FlatLaser[[#This Row],[% Complete]],tbl_FlatLaser[[#This Row],[Total hours]]*tbl_FlatLaser[[#This Row],[% Complete]])</f>
        <v>0.49</v>
      </c>
      <c r="N74" s="31"/>
      <c r="O74" s="28" t="s">
        <v>351</v>
      </c>
      <c r="P74" s="28">
        <f>tbl_FlatLaser[[#This Row],[Mat. Qty]]*tbl_FlatLaser[[#This Row],[% Complete]]</f>
        <v>2</v>
      </c>
      <c r="Q74" s="28">
        <v>2</v>
      </c>
      <c r="R74" s="32">
        <f>IFERROR(tbl_FlatLaser[[#This Row],[Qty Complete]]/tbl_FlatLaser[[#This Row],[Total Hours Act]]*tbl_FlatLaser[[#This Row],['# of men Act]],"")</f>
        <v>163.3333333333332</v>
      </c>
      <c r="S74" s="28">
        <v>1</v>
      </c>
      <c r="T74"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0.60000000000000053</v>
      </c>
      <c r="U74" s="34">
        <v>2</v>
      </c>
      <c r="V74" s="33">
        <v>0.5</v>
      </c>
      <c r="W74" s="33">
        <v>0.7</v>
      </c>
      <c r="X74" s="35">
        <f>IFERROR((tbl_FlatLaser[[#This Row],[Adj. Total Hours]]+tbl_FlatLaser[[#This Row],[Est. Hours]])/(tbl_FlatLaser[[#This Row],[Total Hours Act]]+tbl_FlatLaser[[#This Row],[Act. Hours]]),"")</f>
        <v>0.76153846153846128</v>
      </c>
      <c r="Y74"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0.76153846153846128</v>
      </c>
      <c r="Z74" s="104">
        <f>IFERROR(tbl_FlatLaser[[#This Row],[Act. Mat. Qty]]-tbl_FlatLaser[[#This Row],[Adj. Mat. Qty]],"")</f>
        <v>0</v>
      </c>
      <c r="AA74"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0</v>
      </c>
      <c r="AB74" s="28" t="s">
        <v>352</v>
      </c>
      <c r="AC74" s="31" t="s">
        <v>349</v>
      </c>
      <c r="AD74" s="36"/>
    </row>
    <row r="75" spans="1:30" ht="25" customHeight="1">
      <c r="A75" s="27">
        <v>46127</v>
      </c>
      <c r="B75" s="28">
        <v>143231</v>
      </c>
      <c r="C75" s="28" t="str">
        <f>IF(tbl_FlatLaser[[#This Row],[Part'#]]="", "Batch", "Part")</f>
        <v>Part</v>
      </c>
      <c r="D75" s="28" t="s">
        <v>353</v>
      </c>
      <c r="E75" s="29">
        <v>0.86597222222222225</v>
      </c>
      <c r="F75" s="29">
        <v>0.90555555555555556</v>
      </c>
      <c r="G75" s="28">
        <v>147</v>
      </c>
      <c r="H75" s="28">
        <v>147</v>
      </c>
      <c r="I75" s="70">
        <f>tbl_FlatLaser[[#This Row],[Qty Complete]]/tbl_FlatLaser[[#This Row],[Qty Required]]</f>
        <v>1</v>
      </c>
      <c r="J75" s="30">
        <v>200</v>
      </c>
      <c r="K75" s="28">
        <v>1</v>
      </c>
      <c r="L75" s="31">
        <f>IF(tbl_FlatLaser[[#This Row],[Job Type]]="Batch",0,tbl_FlatLaser[[#This Row],[Qty Required]]/tbl_FlatLaser[[#This Row],[PPH]]*tbl_FlatLaser[[#This Row],['# of men]])</f>
        <v>0.73499999999999999</v>
      </c>
      <c r="M75" s="31">
        <f>IF(tbl_FlatLaser[[#This Row],[Job Type]]="Batch",tbl_FlatLaser[[#This Row],[Batch Hours]]*tbl_FlatLaser[[#This Row],[% Complete]],tbl_FlatLaser[[#This Row],[Total hours]]*tbl_FlatLaser[[#This Row],[% Complete]])</f>
        <v>0.73499999999999999</v>
      </c>
      <c r="N75" s="31"/>
      <c r="O75" s="28" t="s">
        <v>351</v>
      </c>
      <c r="P75" s="28">
        <f>tbl_FlatLaser[[#This Row],[Mat. Qty]]*tbl_FlatLaser[[#This Row],[% Complete]]</f>
        <v>3</v>
      </c>
      <c r="Q75" s="28">
        <v>3</v>
      </c>
      <c r="R75" s="32">
        <f>IFERROR(tbl_FlatLaser[[#This Row],[Qty Complete]]/tbl_FlatLaser[[#This Row],[Total Hours Act]]*tbl_FlatLaser[[#This Row],['# of men Act]],"")</f>
        <v>154.73684210526326</v>
      </c>
      <c r="S75" s="28">
        <v>1</v>
      </c>
      <c r="T75"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0.94999999999999929</v>
      </c>
      <c r="U75" s="34">
        <v>3</v>
      </c>
      <c r="V75" s="33">
        <v>0.5</v>
      </c>
      <c r="W75" s="33">
        <v>0.7</v>
      </c>
      <c r="X75" s="35">
        <f>IFERROR((tbl_FlatLaser[[#This Row],[Adj. Total Hours]]+tbl_FlatLaser[[#This Row],[Est. Hours]])/(tbl_FlatLaser[[#This Row],[Total Hours Act]]+tbl_FlatLaser[[#This Row],[Act. Hours]]),"")</f>
        <v>0.74848484848484875</v>
      </c>
      <c r="Y75"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0.74848484848484875</v>
      </c>
      <c r="Z75" s="104">
        <f>IFERROR(tbl_FlatLaser[[#This Row],[Act. Mat. Qty]]-tbl_FlatLaser[[#This Row],[Adj. Mat. Qty]],"")</f>
        <v>0</v>
      </c>
      <c r="AA75"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0</v>
      </c>
      <c r="AB75" s="28" t="s">
        <v>354</v>
      </c>
      <c r="AC75" s="31" t="s">
        <v>349</v>
      </c>
      <c r="AD75" s="36"/>
    </row>
    <row r="76" spans="1:30" ht="25" customHeight="1">
      <c r="A76" s="27">
        <v>46127</v>
      </c>
      <c r="B76" s="28">
        <v>143234</v>
      </c>
      <c r="C76" s="28" t="str">
        <f>IF(tbl_FlatLaser[[#This Row],[Part'#]]="", "Batch", "Part")</f>
        <v>Part</v>
      </c>
      <c r="D76" s="28" t="s">
        <v>355</v>
      </c>
      <c r="E76" s="29">
        <v>0.93055555555555558</v>
      </c>
      <c r="F76" s="29">
        <v>0.96944444444444444</v>
      </c>
      <c r="G76" s="28">
        <v>114</v>
      </c>
      <c r="H76" s="28">
        <v>114</v>
      </c>
      <c r="I76" s="70">
        <f>tbl_FlatLaser[[#This Row],[Qty Complete]]/tbl_FlatLaser[[#This Row],[Qty Required]]</f>
        <v>1</v>
      </c>
      <c r="J76" s="30">
        <v>180</v>
      </c>
      <c r="K76" s="28">
        <v>1</v>
      </c>
      <c r="L76" s="31">
        <f>IF(tbl_FlatLaser[[#This Row],[Job Type]]="Batch",0,tbl_FlatLaser[[#This Row],[Qty Required]]/tbl_FlatLaser[[#This Row],[PPH]]*tbl_FlatLaser[[#This Row],['# of men]])</f>
        <v>0.6333333333333333</v>
      </c>
      <c r="M76" s="31">
        <f>IF(tbl_FlatLaser[[#This Row],[Job Type]]="Batch",tbl_FlatLaser[[#This Row],[Batch Hours]]*tbl_FlatLaser[[#This Row],[% Complete]],tbl_FlatLaser[[#This Row],[Total hours]]*tbl_FlatLaser[[#This Row],[% Complete]])</f>
        <v>0.6333333333333333</v>
      </c>
      <c r="N76" s="31"/>
      <c r="O76" s="28" t="s">
        <v>351</v>
      </c>
      <c r="P76" s="28">
        <f>tbl_FlatLaser[[#This Row],[Mat. Qty]]*tbl_FlatLaser[[#This Row],[% Complete]]</f>
        <v>2</v>
      </c>
      <c r="Q76" s="28">
        <v>2</v>
      </c>
      <c r="R76" s="32">
        <f>IFERROR(tbl_FlatLaser[[#This Row],[Qty Complete]]/tbl_FlatLaser[[#This Row],[Total Hours Act]]*tbl_FlatLaser[[#This Row],['# of men Act]],"")</f>
        <v>122.14285714285722</v>
      </c>
      <c r="S76" s="28">
        <v>1</v>
      </c>
      <c r="T76"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0.93333333333333268</v>
      </c>
      <c r="U76" s="34">
        <v>2</v>
      </c>
      <c r="V76" s="33">
        <v>0.5</v>
      </c>
      <c r="W76" s="33">
        <v>0.6</v>
      </c>
      <c r="X76" s="35">
        <f>IFERROR((tbl_FlatLaser[[#This Row],[Adj. Total Hours]]+tbl_FlatLaser[[#This Row],[Est. Hours]])/(tbl_FlatLaser[[#This Row],[Total Hours Act]]+tbl_FlatLaser[[#This Row],[Act. Hours]]),"")</f>
        <v>0.73913043478260898</v>
      </c>
      <c r="Y76"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0.73913043478260898</v>
      </c>
      <c r="Z76" s="104">
        <f>IFERROR(tbl_FlatLaser[[#This Row],[Act. Mat. Qty]]-tbl_FlatLaser[[#This Row],[Adj. Mat. Qty]],"")</f>
        <v>0</v>
      </c>
      <c r="AA76"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0</v>
      </c>
      <c r="AB76" s="28" t="s">
        <v>356</v>
      </c>
      <c r="AC76" s="31" t="s">
        <v>349</v>
      </c>
      <c r="AD76" s="36"/>
    </row>
    <row r="77" spans="1:30" ht="25" customHeight="1">
      <c r="A77" s="27">
        <v>46127</v>
      </c>
      <c r="B77" s="28">
        <v>143233</v>
      </c>
      <c r="C77" s="28" t="str">
        <f>IF(tbl_FlatLaser[[#This Row],[Part'#]]="", "Batch", "Part")</f>
        <v>Part</v>
      </c>
      <c r="D77" s="28" t="s">
        <v>357</v>
      </c>
      <c r="E77" s="29">
        <v>0.97986111111111107</v>
      </c>
      <c r="F77" s="29">
        <v>0.99305555555555558</v>
      </c>
      <c r="G77" s="28">
        <v>57</v>
      </c>
      <c r="H77" s="28">
        <v>57</v>
      </c>
      <c r="I77" s="70">
        <f>tbl_FlatLaser[[#This Row],[Qty Complete]]/tbl_FlatLaser[[#This Row],[Qty Required]]</f>
        <v>1</v>
      </c>
      <c r="J77" s="30">
        <v>180</v>
      </c>
      <c r="K77" s="28">
        <v>1</v>
      </c>
      <c r="L77" s="31">
        <f>IF(tbl_FlatLaser[[#This Row],[Job Type]]="Batch",0,tbl_FlatLaser[[#This Row],[Qty Required]]/tbl_FlatLaser[[#This Row],[PPH]]*tbl_FlatLaser[[#This Row],['# of men]])</f>
        <v>0.31666666666666665</v>
      </c>
      <c r="M77" s="31">
        <f>IF(tbl_FlatLaser[[#This Row],[Job Type]]="Batch",tbl_FlatLaser[[#This Row],[Batch Hours]]*tbl_FlatLaser[[#This Row],[% Complete]],tbl_FlatLaser[[#This Row],[Total hours]]*tbl_FlatLaser[[#This Row],[% Complete]])</f>
        <v>0.31666666666666665</v>
      </c>
      <c r="N77" s="31"/>
      <c r="O77" s="28" t="s">
        <v>351</v>
      </c>
      <c r="P77" s="28">
        <f>tbl_FlatLaser[[#This Row],[Mat. Qty]]*tbl_FlatLaser[[#This Row],[% Complete]]</f>
        <v>1</v>
      </c>
      <c r="Q77" s="28">
        <v>1</v>
      </c>
      <c r="R77" s="32">
        <f>IFERROR(tbl_FlatLaser[[#This Row],[Qty Complete]]/tbl_FlatLaser[[#This Row],[Total Hours Act]]*tbl_FlatLaser[[#This Row],['# of men Act]],"")</f>
        <v>179.99999999999912</v>
      </c>
      <c r="S77" s="28">
        <v>1</v>
      </c>
      <c r="T77"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0.31666666666666821</v>
      </c>
      <c r="U77" s="34">
        <v>1</v>
      </c>
      <c r="V77" s="33">
        <v>0.5</v>
      </c>
      <c r="W77" s="33">
        <v>0.5</v>
      </c>
      <c r="X77" s="35">
        <f>IFERROR((tbl_FlatLaser[[#This Row],[Adj. Total Hours]]+tbl_FlatLaser[[#This Row],[Est. Hours]])/(tbl_FlatLaser[[#This Row],[Total Hours Act]]+tbl_FlatLaser[[#This Row],[Act. Hours]]),"")</f>
        <v>0.99999999999999811</v>
      </c>
      <c r="Y77"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0.99999999999999811</v>
      </c>
      <c r="Z77" s="104">
        <f>IFERROR(tbl_FlatLaser[[#This Row],[Act. Mat. Qty]]-tbl_FlatLaser[[#This Row],[Adj. Mat. Qty]],"")</f>
        <v>0</v>
      </c>
      <c r="AA77"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0</v>
      </c>
      <c r="AC77" s="31" t="s">
        <v>349</v>
      </c>
      <c r="AD77" s="36"/>
    </row>
    <row r="78" spans="1:30" ht="25" customHeight="1">
      <c r="A78" s="27">
        <v>46127</v>
      </c>
      <c r="B78" s="28">
        <v>143232</v>
      </c>
      <c r="C78" s="28" t="str">
        <f>IF(tbl_FlatLaser[[#This Row],[Part'#]]="", "Batch", "Part")</f>
        <v>Part</v>
      </c>
      <c r="D78" s="28" t="s">
        <v>358</v>
      </c>
      <c r="E78" s="29">
        <v>2.8472222222222222E-2</v>
      </c>
      <c r="F78" s="29">
        <v>5.1388888888888887E-2</v>
      </c>
      <c r="G78" s="28">
        <v>90</v>
      </c>
      <c r="H78" s="28">
        <v>90</v>
      </c>
      <c r="I78" s="70">
        <f>tbl_FlatLaser[[#This Row],[Qty Complete]]/tbl_FlatLaser[[#This Row],[Qty Required]]</f>
        <v>1</v>
      </c>
      <c r="J78" s="30">
        <v>178</v>
      </c>
      <c r="K78" s="28">
        <v>1</v>
      </c>
      <c r="L78" s="31">
        <f>IF(tbl_FlatLaser[[#This Row],[Job Type]]="Batch",0,tbl_FlatLaser[[#This Row],[Qty Required]]/tbl_FlatLaser[[#This Row],[PPH]]*tbl_FlatLaser[[#This Row],['# of men]])</f>
        <v>0.5056179775280899</v>
      </c>
      <c r="M78" s="31">
        <f>IF(tbl_FlatLaser[[#This Row],[Job Type]]="Batch",tbl_FlatLaser[[#This Row],[Batch Hours]]*tbl_FlatLaser[[#This Row],[% Complete]],tbl_FlatLaser[[#This Row],[Total hours]]*tbl_FlatLaser[[#This Row],[% Complete]])</f>
        <v>0.5056179775280899</v>
      </c>
      <c r="N78" s="31"/>
      <c r="O78" s="28" t="s">
        <v>359</v>
      </c>
      <c r="P78" s="28">
        <f>tbl_FlatLaser[[#This Row],[Mat. Qty]]*tbl_FlatLaser[[#This Row],[% Complete]]</f>
        <v>1</v>
      </c>
      <c r="Q78" s="28">
        <v>1</v>
      </c>
      <c r="R78" s="32">
        <f>IFERROR(tbl_FlatLaser[[#This Row],[Qty Complete]]/tbl_FlatLaser[[#This Row],[Total Hours Act]]*tbl_FlatLaser[[#This Row],['# of men Act]],"")</f>
        <v>163.63636363636365</v>
      </c>
      <c r="S78" s="28">
        <v>1</v>
      </c>
      <c r="T78"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0.54999999999999993</v>
      </c>
      <c r="U78" s="34">
        <v>1</v>
      </c>
      <c r="V78" s="33">
        <v>0.5</v>
      </c>
      <c r="W78" s="33">
        <v>0.5</v>
      </c>
      <c r="X78" s="35">
        <f>IFERROR((tbl_FlatLaser[[#This Row],[Adj. Total Hours]]+tbl_FlatLaser[[#This Row],[Est. Hours]])/(tbl_FlatLaser[[#This Row],[Total Hours Act]]+tbl_FlatLaser[[#This Row],[Act. Hours]]),"")</f>
        <v>0.95773140716960969</v>
      </c>
      <c r="Y78"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0.95773140716960969</v>
      </c>
      <c r="Z78" s="104">
        <f>IFERROR(tbl_FlatLaser[[#This Row],[Act. Mat. Qty]]-tbl_FlatLaser[[#This Row],[Adj. Mat. Qty]],"")</f>
        <v>0</v>
      </c>
      <c r="AA78"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0</v>
      </c>
      <c r="AC78" s="31" t="s">
        <v>349</v>
      </c>
      <c r="AD78" s="36"/>
    </row>
    <row r="79" spans="1:30" ht="25" customHeight="1">
      <c r="A79" s="27">
        <v>46127</v>
      </c>
      <c r="B79" s="28" t="s">
        <v>360</v>
      </c>
      <c r="C79" s="28" t="str">
        <f>IF(tbl_FlatLaser[[#This Row],[Part'#]]="", "Batch", "Part")</f>
        <v>Part</v>
      </c>
      <c r="D79" s="28">
        <v>6562761</v>
      </c>
      <c r="E79" s="29">
        <v>8.3333333333333329E-2</v>
      </c>
      <c r="F79" s="29">
        <v>0.14722222222222223</v>
      </c>
      <c r="G79" s="28">
        <v>24</v>
      </c>
      <c r="H79" s="28">
        <v>24</v>
      </c>
      <c r="I79" s="70">
        <f>tbl_FlatLaser[[#This Row],[Qty Complete]]/tbl_FlatLaser[[#This Row],[Qty Required]]</f>
        <v>1</v>
      </c>
      <c r="J79" s="30">
        <v>36</v>
      </c>
      <c r="K79" s="28">
        <v>1</v>
      </c>
      <c r="L79" s="31">
        <f>IF(tbl_FlatLaser[[#This Row],[Job Type]]="Batch",0,tbl_FlatLaser[[#This Row],[Qty Required]]/tbl_FlatLaser[[#This Row],[PPH]]*tbl_FlatLaser[[#This Row],['# of men]])</f>
        <v>0.66666666666666663</v>
      </c>
      <c r="M79" s="31">
        <f>IF(tbl_FlatLaser[[#This Row],[Job Type]]="Batch",tbl_FlatLaser[[#This Row],[Batch Hours]]*tbl_FlatLaser[[#This Row],[% Complete]],tbl_FlatLaser[[#This Row],[Total hours]]*tbl_FlatLaser[[#This Row],[% Complete]])</f>
        <v>0.66666666666666663</v>
      </c>
      <c r="N79" s="31"/>
      <c r="O79" s="28" t="s">
        <v>361</v>
      </c>
      <c r="P79" s="28">
        <f>tbl_FlatLaser[[#This Row],[Mat. Qty]]*tbl_FlatLaser[[#This Row],[% Complete]]</f>
        <v>8</v>
      </c>
      <c r="Q79" s="28">
        <v>8</v>
      </c>
      <c r="R79" s="32">
        <f>IFERROR(tbl_FlatLaser[[#This Row],[Qty Complete]]/tbl_FlatLaser[[#This Row],[Total Hours Act]]*tbl_FlatLaser[[#This Row],['# of men Act]],"")</f>
        <v>15.652173913043475</v>
      </c>
      <c r="S79" s="28">
        <v>1</v>
      </c>
      <c r="T79"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1.5333333333333337</v>
      </c>
      <c r="U79" s="34">
        <v>8</v>
      </c>
      <c r="V79" s="33">
        <v>0.5</v>
      </c>
      <c r="W79" s="33">
        <v>0.7</v>
      </c>
      <c r="X79" s="35">
        <f>IFERROR((tbl_FlatLaser[[#This Row],[Adj. Total Hours]]+tbl_FlatLaser[[#This Row],[Est. Hours]])/(tbl_FlatLaser[[#This Row],[Total Hours Act]]+tbl_FlatLaser[[#This Row],[Act. Hours]]),"")</f>
        <v>0.52238805970149249</v>
      </c>
      <c r="Y79"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0.52238805970149249</v>
      </c>
      <c r="Z79" s="104">
        <f>IFERROR(tbl_FlatLaser[[#This Row],[Act. Mat. Qty]]-tbl_FlatLaser[[#This Row],[Adj. Mat. Qty]],"")</f>
        <v>0</v>
      </c>
      <c r="AA79"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0</v>
      </c>
      <c r="AB79" s="28" t="s">
        <v>362</v>
      </c>
      <c r="AC79" s="31" t="s">
        <v>349</v>
      </c>
      <c r="AD79" s="36"/>
    </row>
    <row r="80" spans="1:30" ht="25" customHeight="1">
      <c r="A80" s="27">
        <v>46128</v>
      </c>
      <c r="B80" s="78">
        <v>143067</v>
      </c>
      <c r="D80" s="28" t="s">
        <v>363</v>
      </c>
      <c r="E80" s="29">
        <v>0.20902777777777778</v>
      </c>
      <c r="F80" s="29">
        <v>0.34583333333333333</v>
      </c>
      <c r="G80" s="28">
        <v>68</v>
      </c>
      <c r="H80" s="28">
        <v>68</v>
      </c>
      <c r="I80" s="70">
        <f>tbl_FlatLaser[[#This Row],[Qty Complete]]/tbl_FlatLaser[[#This Row],[Qty Required]]</f>
        <v>1</v>
      </c>
      <c r="J80" s="30">
        <v>59</v>
      </c>
      <c r="K80" s="28">
        <v>1</v>
      </c>
      <c r="L80" s="31">
        <f>IF(tbl_FlatLaser[[#This Row],[Job Type]]="Batch",0,tbl_FlatLaser[[#This Row],[Qty Required]]/tbl_FlatLaser[[#This Row],[PPH]]*tbl_FlatLaser[[#This Row],['# of men]])</f>
        <v>1.152542372881356</v>
      </c>
      <c r="M80" s="31">
        <f>IF(tbl_FlatLaser[[#This Row],[Job Type]]="Batch",tbl_FlatLaser[[#This Row],[Batch Hours]]*tbl_FlatLaser[[#This Row],[% Complete]],tbl_FlatLaser[[#This Row],[Total hours]]*tbl_FlatLaser[[#This Row],[% Complete]])</f>
        <v>1.152542372881356</v>
      </c>
      <c r="N80" s="31"/>
      <c r="O80" s="28" t="s">
        <v>364</v>
      </c>
      <c r="P80" s="28">
        <f>tbl_FlatLaser[[#This Row],[Mat. Qty]]*tbl_FlatLaser[[#This Row],[% Complete]]</f>
        <v>34</v>
      </c>
      <c r="Q80" s="28">
        <v>34</v>
      </c>
      <c r="R80" s="32">
        <f>IFERROR(tbl_FlatLaser[[#This Row],[Qty Complete]]/tbl_FlatLaser[[#This Row],[Total Hours Act]]*tbl_FlatLaser[[#This Row],['# of men Act]],"")</f>
        <v>20.710659898477157</v>
      </c>
      <c r="S80" s="28">
        <v>1</v>
      </c>
      <c r="T80"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3.2833333333333332</v>
      </c>
      <c r="U80" s="34">
        <v>34</v>
      </c>
      <c r="V80" s="33">
        <v>0.5</v>
      </c>
      <c r="W80" s="33">
        <v>0</v>
      </c>
      <c r="X80" s="35">
        <f>IFERROR((tbl_FlatLaser[[#This Row],[Adj. Total Hours]]+tbl_FlatLaser[[#This Row],[Est. Hours]])/(tbl_FlatLaser[[#This Row],[Total Hours Act]]+tbl_FlatLaser[[#This Row],[Act. Hours]]),"")</f>
        <v>0.50331239783188508</v>
      </c>
      <c r="Y80"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0.50331239783188508</v>
      </c>
      <c r="Z80" s="104">
        <f>IFERROR(tbl_FlatLaser[[#This Row],[Act. Mat. Qty]]-tbl_FlatLaser[[#This Row],[Adj. Mat. Qty]],"")</f>
        <v>0</v>
      </c>
      <c r="AA80"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0</v>
      </c>
      <c r="AB80" s="28" t="s">
        <v>365</v>
      </c>
      <c r="AC80" s="31" t="s">
        <v>250</v>
      </c>
      <c r="AD80" s="36"/>
    </row>
    <row r="81" spans="1:30" ht="25" customHeight="1">
      <c r="A81" s="27">
        <v>46128</v>
      </c>
      <c r="B81" s="78">
        <v>143066</v>
      </c>
      <c r="C81" s="28" t="str">
        <f>IF(tbl_FlatLaser[[#This Row],[Part'#]]="", "Batch", "Part")</f>
        <v>Part</v>
      </c>
      <c r="D81" s="28" t="s">
        <v>366</v>
      </c>
      <c r="E81" s="29">
        <v>0.38055555555555554</v>
      </c>
      <c r="F81" s="29">
        <v>0.57013888888888886</v>
      </c>
      <c r="G81" s="28">
        <v>68</v>
      </c>
      <c r="H81" s="28">
        <v>68</v>
      </c>
      <c r="I81" s="70">
        <f>tbl_FlatLaser[[#This Row],[Qty Complete]]/tbl_FlatLaser[[#This Row],[Qty Required]]</f>
        <v>1</v>
      </c>
      <c r="J81" s="30">
        <v>50</v>
      </c>
      <c r="K81" s="28">
        <v>1</v>
      </c>
      <c r="L81" s="31">
        <f>IF(tbl_FlatLaser[[#This Row],[Job Type]]="Batch",0,tbl_FlatLaser[[#This Row],[Qty Required]]/tbl_FlatLaser[[#This Row],[PPH]]*tbl_FlatLaser[[#This Row],['# of men]])</f>
        <v>1.36</v>
      </c>
      <c r="M81" s="31">
        <f>IF(tbl_FlatLaser[[#This Row],[Job Type]]="Batch",tbl_FlatLaser[[#This Row],[Batch Hours]]*tbl_FlatLaser[[#This Row],[% Complete]],tbl_FlatLaser[[#This Row],[Total hours]]*tbl_FlatLaser[[#This Row],[% Complete]])</f>
        <v>1.36</v>
      </c>
      <c r="N81" s="31"/>
      <c r="O81" s="28" t="s">
        <v>367</v>
      </c>
      <c r="P81" s="28">
        <f>tbl_FlatLaser[[#This Row],[Mat. Qty]]*tbl_FlatLaser[[#This Row],[% Complete]]</f>
        <v>34</v>
      </c>
      <c r="Q81" s="28">
        <v>34</v>
      </c>
      <c r="R81" s="32">
        <f>IFERROR(tbl_FlatLaser[[#This Row],[Qty Complete]]/tbl_FlatLaser[[#This Row],[Total Hours Act]]*tbl_FlatLaser[[#This Row],['# of men Act]],"")</f>
        <v>16.790123456790123</v>
      </c>
      <c r="S81" s="28">
        <v>1</v>
      </c>
      <c r="T81"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4.05</v>
      </c>
      <c r="U81" s="34">
        <v>34</v>
      </c>
      <c r="V81" s="33">
        <v>0.5</v>
      </c>
      <c r="W81" s="33">
        <v>0.48</v>
      </c>
      <c r="X81" s="35">
        <f>IFERROR((tbl_FlatLaser[[#This Row],[Adj. Total Hours]]+tbl_FlatLaser[[#This Row],[Est. Hours]])/(tbl_FlatLaser[[#This Row],[Total Hours Act]]+tbl_FlatLaser[[#This Row],[Act. Hours]]),"")</f>
        <v>0.41059602649006632</v>
      </c>
      <c r="Y81"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0.41059602649006632</v>
      </c>
      <c r="Z81" s="104">
        <f>IFERROR(tbl_FlatLaser[[#This Row],[Act. Mat. Qty]]-tbl_FlatLaser[[#This Row],[Adj. Mat. Qty]],"")</f>
        <v>0</v>
      </c>
      <c r="AA81"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0</v>
      </c>
      <c r="AB81" s="28" t="s">
        <v>368</v>
      </c>
      <c r="AC81" s="31" t="s">
        <v>250</v>
      </c>
      <c r="AD81" s="36"/>
    </row>
    <row r="82" spans="1:30" ht="25" customHeight="1">
      <c r="A82" s="27">
        <v>46128</v>
      </c>
      <c r="B82" s="78">
        <v>143074</v>
      </c>
      <c r="C82" s="28" t="str">
        <f>IF(tbl_FlatLaser[[#This Row],[Part'#]]="", "Batch", "Part")</f>
        <v>Part</v>
      </c>
      <c r="D82" s="28" t="s">
        <v>369</v>
      </c>
      <c r="E82" s="29">
        <v>0.61111111111111116</v>
      </c>
      <c r="F82" s="29">
        <v>0.65972222222222221</v>
      </c>
      <c r="G82" s="28">
        <v>718</v>
      </c>
      <c r="H82" s="28">
        <v>718</v>
      </c>
      <c r="I82" s="70">
        <f>tbl_FlatLaser[[#This Row],[Qty Complete]]/tbl_FlatLaser[[#This Row],[Qty Required]]</f>
        <v>1</v>
      </c>
      <c r="J82" s="30">
        <v>600</v>
      </c>
      <c r="K82" s="28">
        <v>1</v>
      </c>
      <c r="L82" s="31">
        <f>IF(tbl_FlatLaser[[#This Row],[Job Type]]="Batch",0,tbl_FlatLaser[[#This Row],[Qty Required]]/tbl_FlatLaser[[#This Row],[PPH]]*tbl_FlatLaser[[#This Row],['# of men]])</f>
        <v>1.1966666666666668</v>
      </c>
      <c r="M82" s="31">
        <f>IF(tbl_FlatLaser[[#This Row],[Job Type]]="Batch",tbl_FlatLaser[[#This Row],[Batch Hours]]*tbl_FlatLaser[[#This Row],[% Complete]],tbl_FlatLaser[[#This Row],[Total hours]]*tbl_FlatLaser[[#This Row],[% Complete]])</f>
        <v>1.1966666666666668</v>
      </c>
      <c r="N82" s="31"/>
      <c r="O82" s="28" t="s">
        <v>370</v>
      </c>
      <c r="P82" s="28">
        <f>tbl_FlatLaser[[#This Row],[Mat. Qty]]*tbl_FlatLaser[[#This Row],[% Complete]]</f>
        <v>2</v>
      </c>
      <c r="Q82" s="28">
        <v>2</v>
      </c>
      <c r="R82" s="32">
        <f>IFERROR(tbl_FlatLaser[[#This Row],[Qty Complete]]/tbl_FlatLaser[[#This Row],[Total Hours Act]]*tbl_FlatLaser[[#This Row],['# of men Act]],"")</f>
        <v>615.42857142857224</v>
      </c>
      <c r="S82" s="28">
        <v>2</v>
      </c>
      <c r="T82"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2.3333333333333304</v>
      </c>
      <c r="U82" s="34">
        <v>2</v>
      </c>
      <c r="V82" s="33">
        <v>0.52</v>
      </c>
      <c r="W82" s="33">
        <v>0.85</v>
      </c>
      <c r="X82" s="35">
        <f>IFERROR((tbl_FlatLaser[[#This Row],[Adj. Total Hours]]+tbl_FlatLaser[[#This Row],[Est. Hours]])/(tbl_FlatLaser[[#This Row],[Total Hours Act]]+tbl_FlatLaser[[#This Row],[Act. Hours]]),"")</f>
        <v>0.5392670157068068</v>
      </c>
      <c r="Y82"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0.5392670157068068</v>
      </c>
      <c r="Z82" s="104">
        <f>IFERROR(tbl_FlatLaser[[#This Row],[Act. Mat. Qty]]-tbl_FlatLaser[[#This Row],[Adj. Mat. Qty]],"")</f>
        <v>0</v>
      </c>
      <c r="AA82"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0</v>
      </c>
      <c r="AB82" s="28" t="s">
        <v>371</v>
      </c>
      <c r="AC82" s="31" t="s">
        <v>250</v>
      </c>
      <c r="AD82" s="36"/>
    </row>
    <row r="83" spans="1:30" ht="25" customHeight="1">
      <c r="A83" s="27">
        <v>46128</v>
      </c>
      <c r="B83" s="28">
        <v>143307</v>
      </c>
      <c r="C83" s="28" t="str">
        <f>IF(tbl_FlatLaser[[#This Row],[Part'#]]="", "Batch", "Part")</f>
        <v>Part</v>
      </c>
      <c r="D83" s="28" t="s">
        <v>372</v>
      </c>
      <c r="E83" s="29">
        <v>0.74861111111111112</v>
      </c>
      <c r="F83" s="29">
        <v>0.76736111111111116</v>
      </c>
      <c r="G83" s="28">
        <v>104</v>
      </c>
      <c r="H83" s="28">
        <v>104</v>
      </c>
      <c r="I83" s="70">
        <f>tbl_FlatLaser[[#This Row],[Qty Complete]]/tbl_FlatLaser[[#This Row],[Qty Required]]</f>
        <v>1</v>
      </c>
      <c r="J83" s="30">
        <v>118</v>
      </c>
      <c r="K83" s="28">
        <v>1</v>
      </c>
      <c r="L83" s="31">
        <f>IF(tbl_FlatLaser[[#This Row],[Job Type]]="Batch",0,tbl_FlatLaser[[#This Row],[Qty Required]]/tbl_FlatLaser[[#This Row],[PPH]]*tbl_FlatLaser[[#This Row],['# of men]])</f>
        <v>0.88135593220338981</v>
      </c>
      <c r="M83" s="31">
        <f>IF(tbl_FlatLaser[[#This Row],[Job Type]]="Batch",tbl_FlatLaser[[#This Row],[Batch Hours]]*tbl_FlatLaser[[#This Row],[% Complete]],tbl_FlatLaser[[#This Row],[Total hours]]*tbl_FlatLaser[[#This Row],[% Complete]])</f>
        <v>0.88135593220338981</v>
      </c>
      <c r="N83" s="31"/>
      <c r="O83" s="28" t="s">
        <v>351</v>
      </c>
      <c r="P83" s="28">
        <f>tbl_FlatLaser[[#This Row],[Mat. Qty]]*tbl_FlatLaser[[#This Row],[% Complete]]</f>
        <v>2</v>
      </c>
      <c r="Q83" s="28">
        <v>2</v>
      </c>
      <c r="R83" s="32">
        <f>IFERROR(tbl_FlatLaser[[#This Row],[Qty Complete]]/tbl_FlatLaser[[#This Row],[Total Hours Act]]*tbl_FlatLaser[[#This Row],['# of men Act]],"")</f>
        <v>231.11111111111057</v>
      </c>
      <c r="S83" s="28">
        <v>1</v>
      </c>
      <c r="T83"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0.45000000000000107</v>
      </c>
      <c r="U83" s="34">
        <v>2</v>
      </c>
      <c r="V83" s="33">
        <v>0.5</v>
      </c>
      <c r="W83" s="33">
        <v>0.9</v>
      </c>
      <c r="X83" s="35">
        <f>IFERROR((tbl_FlatLaser[[#This Row],[Adj. Total Hours]]+tbl_FlatLaser[[#This Row],[Est. Hours]])/(tbl_FlatLaser[[#This Row],[Total Hours Act]]+tbl_FlatLaser[[#This Row],[Act. Hours]]),"")</f>
        <v>1.0232266164469546</v>
      </c>
      <c r="Y83"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1.0232266164469546</v>
      </c>
      <c r="Z83" s="104">
        <f>IFERROR(tbl_FlatLaser[[#This Row],[Act. Mat. Qty]]-tbl_FlatLaser[[#This Row],[Adj. Mat. Qty]],"")</f>
        <v>0</v>
      </c>
      <c r="AA83"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0</v>
      </c>
      <c r="AC83" s="31" t="s">
        <v>349</v>
      </c>
      <c r="AD83" s="36"/>
    </row>
    <row r="84" spans="1:30" ht="25" customHeight="1">
      <c r="A84" s="27">
        <v>46128</v>
      </c>
      <c r="B84" s="28">
        <v>143312</v>
      </c>
      <c r="C84" s="28" t="str">
        <f>IF(tbl_FlatLaser[[#This Row],[Part'#]]="", "Batch", "Part")</f>
        <v>Part</v>
      </c>
      <c r="D84" s="28" t="s">
        <v>373</v>
      </c>
      <c r="E84" s="29">
        <v>0.95138888888888884</v>
      </c>
      <c r="F84" s="29">
        <v>0.9770833333333333</v>
      </c>
      <c r="G84" s="28">
        <v>84</v>
      </c>
      <c r="H84" s="28">
        <v>84</v>
      </c>
      <c r="I84" s="70">
        <f>tbl_FlatLaser[[#This Row],[Qty Complete]]/tbl_FlatLaser[[#This Row],[Qty Required]]</f>
        <v>1</v>
      </c>
      <c r="J84" s="30">
        <v>94</v>
      </c>
      <c r="K84" s="28">
        <v>1</v>
      </c>
      <c r="L84" s="31">
        <f>IF(tbl_FlatLaser[[#This Row],[Job Type]]="Batch",0,tbl_FlatLaser[[#This Row],[Qty Required]]/tbl_FlatLaser[[#This Row],[PPH]]*tbl_FlatLaser[[#This Row],['# of men]])</f>
        <v>0.8936170212765957</v>
      </c>
      <c r="M84" s="31">
        <f>IF(tbl_FlatLaser[[#This Row],[Job Type]]="Batch",tbl_FlatLaser[[#This Row],[Batch Hours]]*tbl_FlatLaser[[#This Row],[% Complete]],tbl_FlatLaser[[#This Row],[Total hours]]*tbl_FlatLaser[[#This Row],[% Complete]])</f>
        <v>0.8936170212765957</v>
      </c>
      <c r="N84" s="31"/>
      <c r="O84" s="28" t="s">
        <v>265</v>
      </c>
      <c r="P84" s="28">
        <f>tbl_FlatLaser[[#This Row],[Mat. Qty]]*tbl_FlatLaser[[#This Row],[% Complete]]</f>
        <v>2</v>
      </c>
      <c r="Q84" s="28">
        <v>2</v>
      </c>
      <c r="R84" s="32">
        <f>IFERROR(tbl_FlatLaser[[#This Row],[Qty Complete]]/tbl_FlatLaser[[#This Row],[Total Hours Act]]*tbl_FlatLaser[[#This Row],['# of men Act]],"")</f>
        <v>136.21621621621611</v>
      </c>
      <c r="S84" s="28">
        <v>1</v>
      </c>
      <c r="T84"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0.61666666666666714</v>
      </c>
      <c r="U84" s="34">
        <v>2</v>
      </c>
      <c r="V84" s="33">
        <v>0.5</v>
      </c>
      <c r="W84" s="33">
        <v>0.8</v>
      </c>
      <c r="X84" s="35">
        <f>IFERROR((tbl_FlatLaser[[#This Row],[Adj. Total Hours]]+tbl_FlatLaser[[#This Row],[Est. Hours]])/(tbl_FlatLaser[[#This Row],[Total Hours Act]]+tbl_FlatLaser[[#This Row],[Act. Hours]]),"")</f>
        <v>0.9837296620775966</v>
      </c>
      <c r="Y84"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0.9837296620775966</v>
      </c>
      <c r="Z84" s="104">
        <f>IFERROR(tbl_FlatLaser[[#This Row],[Act. Mat. Qty]]-tbl_FlatLaser[[#This Row],[Adj. Mat. Qty]],"")</f>
        <v>0</v>
      </c>
      <c r="AA84"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0</v>
      </c>
      <c r="AC84" s="31" t="s">
        <v>374</v>
      </c>
      <c r="AD84" s="36"/>
    </row>
    <row r="85" spans="1:30" ht="25" customHeight="1">
      <c r="A85" s="27">
        <v>46128</v>
      </c>
      <c r="B85" s="28">
        <v>143313</v>
      </c>
      <c r="C85" s="28" t="str">
        <f>IF(tbl_FlatLaser[[#This Row],[Part'#]]="", "Batch", "Part")</f>
        <v>Part</v>
      </c>
      <c r="D85" s="28" t="s">
        <v>264</v>
      </c>
      <c r="E85" s="29">
        <v>0.8</v>
      </c>
      <c r="F85" s="29">
        <v>0.92083333333333328</v>
      </c>
      <c r="G85" s="28">
        <v>210</v>
      </c>
      <c r="H85" s="28">
        <v>210</v>
      </c>
      <c r="I85" s="70">
        <f>tbl_FlatLaser[[#This Row],[Qty Complete]]/tbl_FlatLaser[[#This Row],[Qty Required]]</f>
        <v>1</v>
      </c>
      <c r="J85" s="30">
        <v>180</v>
      </c>
      <c r="K85" s="28">
        <v>1</v>
      </c>
      <c r="L85" s="31">
        <f>IF(tbl_FlatLaser[[#This Row],[Job Type]]="Batch",0,tbl_FlatLaser[[#This Row],[Qty Required]]/tbl_FlatLaser[[#This Row],[PPH]]*tbl_FlatLaser[[#This Row],['# of men]])</f>
        <v>1.1666666666666667</v>
      </c>
      <c r="M85" s="31">
        <f>IF(tbl_FlatLaser[[#This Row],[Job Type]]="Batch",tbl_FlatLaser[[#This Row],[Batch Hours]]*tbl_FlatLaser[[#This Row],[% Complete]],tbl_FlatLaser[[#This Row],[Total hours]]*tbl_FlatLaser[[#This Row],[% Complete]])</f>
        <v>1.1666666666666667</v>
      </c>
      <c r="N85" s="31"/>
      <c r="O85" s="28" t="s">
        <v>351</v>
      </c>
      <c r="P85" s="28">
        <f>tbl_FlatLaser[[#This Row],[Mat. Qty]]*tbl_FlatLaser[[#This Row],[% Complete]]</f>
        <v>15</v>
      </c>
      <c r="Q85" s="28">
        <v>15</v>
      </c>
      <c r="R85" s="32">
        <f>IFERROR(tbl_FlatLaser[[#This Row],[Qty Complete]]/tbl_FlatLaser[[#This Row],[Total Hours Act]]*tbl_FlatLaser[[#This Row],['# of men Act]],"")</f>
        <v>72.413793103448327</v>
      </c>
      <c r="S85" s="28">
        <v>1</v>
      </c>
      <c r="T85"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2.8999999999999977</v>
      </c>
      <c r="U85" s="34">
        <v>15</v>
      </c>
      <c r="V85" s="33">
        <v>0.5</v>
      </c>
      <c r="W85" s="33">
        <v>0.9</v>
      </c>
      <c r="X85" s="35">
        <f>IFERROR((tbl_FlatLaser[[#This Row],[Adj. Total Hours]]+tbl_FlatLaser[[#This Row],[Est. Hours]])/(tbl_FlatLaser[[#This Row],[Total Hours Act]]+tbl_FlatLaser[[#This Row],[Act. Hours]]),"")</f>
        <v>0.43859649122807048</v>
      </c>
      <c r="Y85"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0.43859649122807048</v>
      </c>
      <c r="Z85" s="104">
        <f>IFERROR(tbl_FlatLaser[[#This Row],[Act. Mat. Qty]]-tbl_FlatLaser[[#This Row],[Adj. Mat. Qty]],"")</f>
        <v>0</v>
      </c>
      <c r="AA85"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0</v>
      </c>
      <c r="AB85" s="28" t="s">
        <v>375</v>
      </c>
      <c r="AC85" s="31" t="s">
        <v>349</v>
      </c>
      <c r="AD85" s="36"/>
    </row>
    <row r="86" spans="1:30" ht="25" customHeight="1">
      <c r="A86" s="27">
        <v>46129</v>
      </c>
      <c r="B86" s="28" t="s">
        <v>787</v>
      </c>
      <c r="C86" s="28" t="str">
        <f>IF(tbl_FlatLaser[[#This Row],[Part'#]]="", "Batch", "Part")</f>
        <v>Part</v>
      </c>
      <c r="D86" s="28" t="s">
        <v>788</v>
      </c>
      <c r="E86" s="29">
        <v>0.25486111111111109</v>
      </c>
      <c r="F86" s="29">
        <v>0.32500000000000001</v>
      </c>
      <c r="G86" s="28">
        <v>416</v>
      </c>
      <c r="H86" s="28">
        <v>416</v>
      </c>
      <c r="I86" s="70">
        <f>tbl_FlatLaser[[#This Row],[Qty Complete]]/tbl_FlatLaser[[#This Row],[Qty Required]]</f>
        <v>1</v>
      </c>
      <c r="J86" s="30">
        <v>150</v>
      </c>
      <c r="K86" s="28">
        <v>1</v>
      </c>
      <c r="L86" s="31">
        <f>IF(tbl_FlatLaser[[#This Row],[Job Type]]="Batch",0,tbl_FlatLaser[[#This Row],[Qty Required]]/tbl_FlatLaser[[#This Row],[PPH]]*tbl_FlatLaser[[#This Row],['# of men]])</f>
        <v>2.7733333333333334</v>
      </c>
      <c r="M86" s="31">
        <f>IF(tbl_FlatLaser[[#This Row],[Job Type]]="Batch",tbl_FlatLaser[[#This Row],[Batch Hours]]*tbl_FlatLaser[[#This Row],[% Complete]],tbl_FlatLaser[[#This Row],[Total hours]]*tbl_FlatLaser[[#This Row],[% Complete]])</f>
        <v>2.7733333333333334</v>
      </c>
      <c r="N86" s="31"/>
      <c r="O86" s="28" t="s">
        <v>789</v>
      </c>
      <c r="P86" s="28">
        <f>tbl_FlatLaser[[#This Row],[Mat. Qty]]*tbl_FlatLaser[[#This Row],[% Complete]]</f>
        <v>2</v>
      </c>
      <c r="Q86" s="28">
        <v>2</v>
      </c>
      <c r="R86" s="32">
        <f>IFERROR(tbl_FlatLaser[[#This Row],[Qty Complete]]/tbl_FlatLaser[[#This Row],[Total Hours Act]]*tbl_FlatLaser[[#This Row],['# of men Act]],"")</f>
        <v>247.12871287128704</v>
      </c>
      <c r="S86" s="28">
        <v>1</v>
      </c>
      <c r="T86"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1.683333333333334</v>
      </c>
      <c r="U86" s="34">
        <v>2</v>
      </c>
      <c r="X86" s="35">
        <f>IFERROR((tbl_FlatLaser[[#This Row],[Adj. Total Hours]]+tbl_FlatLaser[[#This Row],[Est. Hours]])/(tbl_FlatLaser[[#This Row],[Total Hours Act]]+tbl_FlatLaser[[#This Row],[Act. Hours]]),"")</f>
        <v>1.647524752475247</v>
      </c>
      <c r="Y86"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1.647524752475247</v>
      </c>
      <c r="Z86" s="104">
        <f>IFERROR(tbl_FlatLaser[[#This Row],[Act. Mat. Qty]]-tbl_FlatLaser[[#This Row],[Adj. Mat. Qty]],"")</f>
        <v>0</v>
      </c>
      <c r="AA86"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0</v>
      </c>
      <c r="AC86" s="31"/>
      <c r="AD86" s="36"/>
    </row>
    <row r="87" spans="1:30" ht="25" customHeight="1">
      <c r="A87" s="27">
        <v>46129</v>
      </c>
      <c r="B87" s="28">
        <v>143311</v>
      </c>
      <c r="C87" s="28" t="str">
        <f>IF(tbl_FlatLaser[[#This Row],[Part'#]]="", "Batch", "Part")</f>
        <v>Part</v>
      </c>
      <c r="D87" s="28" t="s">
        <v>790</v>
      </c>
      <c r="E87" s="29">
        <v>0.36527777777777776</v>
      </c>
      <c r="F87" s="29">
        <v>0.52083333333333337</v>
      </c>
      <c r="G87" s="28">
        <v>32</v>
      </c>
      <c r="H87" s="28">
        <v>32</v>
      </c>
      <c r="I87" s="70">
        <f>tbl_FlatLaser[[#This Row],[Qty Complete]]/tbl_FlatLaser[[#This Row],[Qty Required]]</f>
        <v>1</v>
      </c>
      <c r="J87" s="30">
        <v>18</v>
      </c>
      <c r="K87" s="28">
        <v>1</v>
      </c>
      <c r="L87" s="31">
        <f>IF(tbl_FlatLaser[[#This Row],[Job Type]]="Batch",0,tbl_FlatLaser[[#This Row],[Qty Required]]/tbl_FlatLaser[[#This Row],[PPH]]*tbl_FlatLaser[[#This Row],['# of men]])</f>
        <v>1.7777777777777777</v>
      </c>
      <c r="M87" s="31">
        <f>IF(tbl_FlatLaser[[#This Row],[Job Type]]="Batch",tbl_FlatLaser[[#This Row],[Batch Hours]]*tbl_FlatLaser[[#This Row],[% Complete]],tbl_FlatLaser[[#This Row],[Total hours]]*tbl_FlatLaser[[#This Row],[% Complete]])</f>
        <v>1.7777777777777777</v>
      </c>
      <c r="N87" s="31"/>
      <c r="O87" s="28" t="s">
        <v>791</v>
      </c>
      <c r="P87" s="28">
        <f>tbl_FlatLaser[[#This Row],[Mat. Qty]]*tbl_FlatLaser[[#This Row],[% Complete]]</f>
        <v>16</v>
      </c>
      <c r="Q87" s="28">
        <v>16</v>
      </c>
      <c r="R87" s="32">
        <f>IFERROR(tbl_FlatLaser[[#This Row],[Qty Complete]]/tbl_FlatLaser[[#This Row],[Total Hours Act]]*tbl_FlatLaser[[#This Row],['# of men Act]],"")</f>
        <v>9.8969072164948404</v>
      </c>
      <c r="S87" s="28">
        <v>1</v>
      </c>
      <c r="T87"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3.2333333333333347</v>
      </c>
      <c r="U87" s="34">
        <v>16</v>
      </c>
      <c r="V87" s="33">
        <v>0.5</v>
      </c>
      <c r="W87" s="33">
        <v>0.25</v>
      </c>
      <c r="X87" s="35">
        <f>IFERROR((tbl_FlatLaser[[#This Row],[Adj. Total Hours]]+tbl_FlatLaser[[#This Row],[Est. Hours]])/(tbl_FlatLaser[[#This Row],[Total Hours Act]]+tbl_FlatLaser[[#This Row],[Act. Hours]]),"")</f>
        <v>0.65390749601275888</v>
      </c>
      <c r="Y87"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0.65390749601275888</v>
      </c>
      <c r="Z87" s="104">
        <f>IFERROR(tbl_FlatLaser[[#This Row],[Act. Mat. Qty]]-tbl_FlatLaser[[#This Row],[Adj. Mat. Qty]],"")</f>
        <v>0</v>
      </c>
      <c r="AA87"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0</v>
      </c>
      <c r="AC87" s="31"/>
      <c r="AD87" s="36"/>
    </row>
    <row r="88" spans="1:30" ht="25" customHeight="1">
      <c r="A88" s="27">
        <v>46129</v>
      </c>
      <c r="B88" s="28">
        <v>143310</v>
      </c>
      <c r="C88" s="28" t="str">
        <f>IF(tbl_FlatLaser[[#This Row],[Part'#]]="", "Batch", "Part")</f>
        <v>Part</v>
      </c>
      <c r="D88" s="28" t="s">
        <v>792</v>
      </c>
      <c r="E88" s="29">
        <v>0.57916666666666672</v>
      </c>
      <c r="F88" s="29">
        <v>0.70763888888888893</v>
      </c>
      <c r="G88" s="28">
        <v>26</v>
      </c>
      <c r="H88" s="28">
        <v>16</v>
      </c>
      <c r="I88" s="70">
        <f>tbl_FlatLaser[[#This Row],[Qty Complete]]/tbl_FlatLaser[[#This Row],[Qty Required]]</f>
        <v>0.61538461538461542</v>
      </c>
      <c r="J88" s="30">
        <v>9</v>
      </c>
      <c r="K88" s="28">
        <v>1</v>
      </c>
      <c r="L88" s="31">
        <f>IF(tbl_FlatLaser[[#This Row],[Job Type]]="Batch",0,tbl_FlatLaser[[#This Row],[Qty Required]]/tbl_FlatLaser[[#This Row],[PPH]]*tbl_FlatLaser[[#This Row],['# of men]])</f>
        <v>2.8888888888888888</v>
      </c>
      <c r="M88" s="31">
        <f>IF(tbl_FlatLaser[[#This Row],[Job Type]]="Batch",tbl_FlatLaser[[#This Row],[Batch Hours]]*tbl_FlatLaser[[#This Row],[% Complete]],tbl_FlatLaser[[#This Row],[Total hours]]*tbl_FlatLaser[[#This Row],[% Complete]])</f>
        <v>1.7777777777777779</v>
      </c>
      <c r="N88" s="31"/>
      <c r="O88" s="28" t="s">
        <v>791</v>
      </c>
      <c r="P88" s="28">
        <f>tbl_FlatLaser[[#This Row],[Mat. Qty]]*tbl_FlatLaser[[#This Row],[% Complete]]</f>
        <v>9.8461538461538467</v>
      </c>
      <c r="Q88" s="28">
        <v>16</v>
      </c>
      <c r="R88" s="32">
        <f>IFERROR(tbl_FlatLaser[[#This Row],[Qty Complete]]/tbl_FlatLaser[[#This Row],[Total Hours Act]]*tbl_FlatLaser[[#This Row],['# of men Act]],"")</f>
        <v>5.1891891891891895</v>
      </c>
      <c r="S88" s="28">
        <v>1</v>
      </c>
      <c r="T88"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3.083333333333333</v>
      </c>
      <c r="U88" s="34">
        <v>16</v>
      </c>
      <c r="V88" s="33">
        <v>0.5</v>
      </c>
      <c r="W88" s="33">
        <v>0.35</v>
      </c>
      <c r="X88" s="35">
        <f>IFERROR((tbl_FlatLaser[[#This Row],[Adj. Total Hours]]+tbl_FlatLaser[[#This Row],[Est. Hours]])/(tbl_FlatLaser[[#This Row],[Total Hours Act]]+tbl_FlatLaser[[#This Row],[Act. Hours]]),"")</f>
        <v>0.66343042071197411</v>
      </c>
      <c r="Y88"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88" s="104">
        <f>IFERROR(tbl_FlatLaser[[#This Row],[Act. Mat. Qty]]-tbl_FlatLaser[[#This Row],[Adj. Mat. Qty]],"")</f>
        <v>6.1538461538461533</v>
      </c>
      <c r="AA88"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88" s="31"/>
      <c r="AD88" s="36"/>
    </row>
    <row r="89" spans="1:30" ht="25" customHeight="1">
      <c r="A89" s="27">
        <v>46129</v>
      </c>
      <c r="B89" s="28">
        <v>143310</v>
      </c>
      <c r="C89" s="28" t="str">
        <f>IF(tbl_FlatLaser[[#This Row],[Part'#]]="", "Batch", "Part")</f>
        <v>Part</v>
      </c>
      <c r="D89" s="28" t="s">
        <v>792</v>
      </c>
      <c r="E89" s="29">
        <v>0.81805555555555554</v>
      </c>
      <c r="F89" s="29">
        <v>0.90972222222222221</v>
      </c>
      <c r="G89" s="28">
        <v>26</v>
      </c>
      <c r="H89" s="28">
        <v>10</v>
      </c>
      <c r="I89" s="70">
        <f>tbl_FlatLaser[[#This Row],[Qty Complete]]/tbl_FlatLaser[[#This Row],[Qty Required]]</f>
        <v>0.38461538461538464</v>
      </c>
      <c r="J89" s="30">
        <v>9</v>
      </c>
      <c r="K89" s="28">
        <v>1</v>
      </c>
      <c r="L89" s="31">
        <f>IF(tbl_FlatLaser[[#This Row],[Job Type]]="Batch",0,tbl_FlatLaser[[#This Row],[Qty Required]]/tbl_FlatLaser[[#This Row],[PPH]]*tbl_FlatLaser[[#This Row],['# of men]])</f>
        <v>2.8888888888888888</v>
      </c>
      <c r="M89" s="31">
        <f>IF(tbl_FlatLaser[[#This Row],[Job Type]]="Batch",tbl_FlatLaser[[#This Row],[Batch Hours]]*tbl_FlatLaser[[#This Row],[% Complete]],tbl_FlatLaser[[#This Row],[Total hours]]*tbl_FlatLaser[[#This Row],[% Complete]])</f>
        <v>1.1111111111111112</v>
      </c>
      <c r="N89" s="31"/>
      <c r="O89" s="28" t="s">
        <v>791</v>
      </c>
      <c r="P89" s="28">
        <f>tbl_FlatLaser[[#This Row],[Mat. Qty]]*tbl_FlatLaser[[#This Row],[% Complete]]</f>
        <v>10</v>
      </c>
      <c r="Q89" s="28">
        <v>26</v>
      </c>
      <c r="R89" s="32">
        <f>IFERROR(tbl_FlatLaser[[#This Row],[Qty Complete]]/tbl_FlatLaser[[#This Row],[Total Hours Act]]*tbl_FlatLaser[[#This Row],['# of men Act]],"")</f>
        <v>4.545454545454545</v>
      </c>
      <c r="S89" s="28">
        <v>1</v>
      </c>
      <c r="T89"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2.2000000000000002</v>
      </c>
      <c r="U89" s="34">
        <v>10</v>
      </c>
      <c r="V89" s="33">
        <v>0.5</v>
      </c>
      <c r="X89" s="35">
        <f>IFERROR((tbl_FlatLaser[[#This Row],[Adj. Total Hours]]+tbl_FlatLaser[[#This Row],[Est. Hours]])/(tbl_FlatLaser[[#This Row],[Total Hours Act]]+tbl_FlatLaser[[#This Row],[Act. Hours]]),"")</f>
        <v>0.73232323232323226</v>
      </c>
      <c r="Y89" s="102">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0.69033530571992119</v>
      </c>
      <c r="Z89" s="104">
        <f>IFERROR(tbl_FlatLaser[[#This Row],[Act. Mat. Qty]]-tbl_FlatLaser[[#This Row],[Adj. Mat. Qty]],"")</f>
        <v>0</v>
      </c>
      <c r="AA89" s="105">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6.1538461538461533</v>
      </c>
      <c r="AC89" s="31" t="s">
        <v>793</v>
      </c>
      <c r="AD89" s="36"/>
    </row>
    <row r="90" spans="1:30" ht="25" customHeight="1">
      <c r="C90" s="28" t="str">
        <f>IF(tbl_FlatLaser[[#This Row],[Part'#]]="", "Batch", "Part")</f>
        <v>Batch</v>
      </c>
      <c r="G90" s="28"/>
      <c r="I90" s="70" t="e">
        <f>tbl_FlatLaser[[#This Row],[Qty Complete]]/tbl_FlatLaser[[#This Row],[Qty Required]]</f>
        <v>#DIV/0!</v>
      </c>
      <c r="L90" s="31">
        <f>IF(tbl_FlatLaser[[#This Row],[Job Type]]="Batch",0,tbl_FlatLaser[[#This Row],[Qty Required]]/tbl_FlatLaser[[#This Row],[PPH]]*tbl_FlatLaser[[#This Row],['# of men]])</f>
        <v>0</v>
      </c>
      <c r="M90" s="31" t="e">
        <f>IF(tbl_FlatLaser[[#This Row],[Job Type]]="Batch",tbl_FlatLaser[[#This Row],[Batch Hours]]*tbl_FlatLaser[[#This Row],[% Complete]],tbl_FlatLaser[[#This Row],[Total hours]]*tbl_FlatLaser[[#This Row],[% Complete]])</f>
        <v>#DIV/0!</v>
      </c>
      <c r="N90" s="31"/>
      <c r="P90" s="28" t="e">
        <f>tbl_FlatLaser[[#This Row],[Mat. Qty]]*tbl_FlatLaser[[#This Row],[% Complete]]</f>
        <v>#DIV/0!</v>
      </c>
      <c r="R90" s="32" t="str">
        <f>IFERROR(tbl_FlatLaser[[#This Row],[Qty Complete]]/tbl_FlatLaser[[#This Row],[Total Hours Act]]*tbl_FlatLaser[[#This Row],['# of men Act]],"")</f>
        <v/>
      </c>
      <c r="T90"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90" s="35" t="str">
        <f>IFERROR((tbl_FlatLaser[[#This Row],[Adj. Total Hours]]+tbl_FlatLaser[[#This Row],[Est. Hours]])/(tbl_FlatLaser[[#This Row],[Total Hours Act]]+tbl_FlatLaser[[#This Row],[Act. Hours]]),"")</f>
        <v/>
      </c>
      <c r="Y90"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90" s="104" t="str">
        <f>IFERROR(tbl_FlatLaser[[#This Row],[Act. Mat. Qty]]-tbl_FlatLaser[[#This Row],[Adj. Mat. Qty]],"")</f>
        <v/>
      </c>
      <c r="AA90"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90" s="31"/>
      <c r="AD90" s="36"/>
    </row>
    <row r="91" spans="1:30" ht="25" customHeight="1">
      <c r="C91" s="28" t="str">
        <f>IF(tbl_FlatLaser[[#This Row],[Part'#]]="", "Batch", "Part")</f>
        <v>Batch</v>
      </c>
      <c r="G91" s="28"/>
      <c r="I91" s="70" t="e">
        <f>tbl_FlatLaser[[#This Row],[Qty Complete]]/tbl_FlatLaser[[#This Row],[Qty Required]]</f>
        <v>#DIV/0!</v>
      </c>
      <c r="L91" s="31">
        <f>IF(tbl_FlatLaser[[#This Row],[Job Type]]="Batch",0,tbl_FlatLaser[[#This Row],[Qty Required]]/tbl_FlatLaser[[#This Row],[PPH]]*tbl_FlatLaser[[#This Row],['# of men]])</f>
        <v>0</v>
      </c>
      <c r="M91" s="31" t="e">
        <f>IF(tbl_FlatLaser[[#This Row],[Job Type]]="Batch",tbl_FlatLaser[[#This Row],[Batch Hours]]*tbl_FlatLaser[[#This Row],[% Complete]],tbl_FlatLaser[[#This Row],[Total hours]]*tbl_FlatLaser[[#This Row],[% Complete]])</f>
        <v>#DIV/0!</v>
      </c>
      <c r="N91" s="31"/>
      <c r="P91" s="28" t="e">
        <f>tbl_FlatLaser[[#This Row],[Mat. Qty]]*tbl_FlatLaser[[#This Row],[% Complete]]</f>
        <v>#DIV/0!</v>
      </c>
      <c r="R91" s="32" t="str">
        <f>IFERROR(tbl_FlatLaser[[#This Row],[Qty Complete]]/tbl_FlatLaser[[#This Row],[Total Hours Act]]*tbl_FlatLaser[[#This Row],['# of men Act]],"")</f>
        <v/>
      </c>
      <c r="T91"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91" s="35" t="str">
        <f>IFERROR((tbl_FlatLaser[[#This Row],[Adj. Total Hours]]+tbl_FlatLaser[[#This Row],[Est. Hours]])/(tbl_FlatLaser[[#This Row],[Total Hours Act]]+tbl_FlatLaser[[#This Row],[Act. Hours]]),"")</f>
        <v/>
      </c>
      <c r="Y91"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91" s="104" t="str">
        <f>IFERROR(tbl_FlatLaser[[#This Row],[Act. Mat. Qty]]-tbl_FlatLaser[[#This Row],[Adj. Mat. Qty]],"")</f>
        <v/>
      </c>
      <c r="AA91"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91" s="31"/>
      <c r="AD91" s="36"/>
    </row>
    <row r="92" spans="1:30" ht="25" customHeight="1">
      <c r="C92" s="28" t="str">
        <f>IF(tbl_FlatLaser[[#This Row],[Part'#]]="", "Batch", "Part")</f>
        <v>Batch</v>
      </c>
      <c r="G92" s="28"/>
      <c r="I92" s="70" t="e">
        <f>tbl_FlatLaser[[#This Row],[Qty Complete]]/tbl_FlatLaser[[#This Row],[Qty Required]]</f>
        <v>#DIV/0!</v>
      </c>
      <c r="L92" s="31">
        <f>IF(tbl_FlatLaser[[#This Row],[Job Type]]="Batch",0,tbl_FlatLaser[[#This Row],[Qty Required]]/tbl_FlatLaser[[#This Row],[PPH]]*tbl_FlatLaser[[#This Row],['# of men]])</f>
        <v>0</v>
      </c>
      <c r="M92" s="31" t="e">
        <f>IF(tbl_FlatLaser[[#This Row],[Job Type]]="Batch",tbl_FlatLaser[[#This Row],[Batch Hours]]*tbl_FlatLaser[[#This Row],[% Complete]],tbl_FlatLaser[[#This Row],[Total hours]]*tbl_FlatLaser[[#This Row],[% Complete]])</f>
        <v>#DIV/0!</v>
      </c>
      <c r="N92" s="31"/>
      <c r="P92" s="28" t="e">
        <f>tbl_FlatLaser[[#This Row],[Mat. Qty]]*tbl_FlatLaser[[#This Row],[% Complete]]</f>
        <v>#DIV/0!</v>
      </c>
      <c r="R92" s="32" t="str">
        <f>IFERROR(tbl_FlatLaser[[#This Row],[Qty Complete]]/tbl_FlatLaser[[#This Row],[Total Hours Act]]*tbl_FlatLaser[[#This Row],['# of men Act]],"")</f>
        <v/>
      </c>
      <c r="T92"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92" s="35" t="str">
        <f>IFERROR((tbl_FlatLaser[[#This Row],[Adj. Total Hours]]+tbl_FlatLaser[[#This Row],[Est. Hours]])/(tbl_FlatLaser[[#This Row],[Total Hours Act]]+tbl_FlatLaser[[#This Row],[Act. Hours]]),"")</f>
        <v/>
      </c>
      <c r="Y92"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92" s="104" t="str">
        <f>IFERROR(tbl_FlatLaser[[#This Row],[Act. Mat. Qty]]-tbl_FlatLaser[[#This Row],[Adj. Mat. Qty]],"")</f>
        <v/>
      </c>
      <c r="AA92"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92" s="31"/>
      <c r="AD92" s="36"/>
    </row>
    <row r="93" spans="1:30" ht="25" customHeight="1">
      <c r="C93" s="28" t="str">
        <f>IF(tbl_FlatLaser[[#This Row],[Part'#]]="", "Batch", "Part")</f>
        <v>Batch</v>
      </c>
      <c r="G93" s="28"/>
      <c r="I93" s="70" t="e">
        <f>tbl_FlatLaser[[#This Row],[Qty Complete]]/tbl_FlatLaser[[#This Row],[Qty Required]]</f>
        <v>#DIV/0!</v>
      </c>
      <c r="L93" s="31">
        <f>IF(tbl_FlatLaser[[#This Row],[Job Type]]="Batch",0,tbl_FlatLaser[[#This Row],[Qty Required]]/tbl_FlatLaser[[#This Row],[PPH]]*tbl_FlatLaser[[#This Row],['# of men]])</f>
        <v>0</v>
      </c>
      <c r="M93" s="31" t="e">
        <f>IF(tbl_FlatLaser[[#This Row],[Job Type]]="Batch",tbl_FlatLaser[[#This Row],[Batch Hours]]*tbl_FlatLaser[[#This Row],[% Complete]],tbl_FlatLaser[[#This Row],[Total hours]]*tbl_FlatLaser[[#This Row],[% Complete]])</f>
        <v>#DIV/0!</v>
      </c>
      <c r="N93" s="31"/>
      <c r="P93" s="28" t="e">
        <f>tbl_FlatLaser[[#This Row],[Mat. Qty]]*tbl_FlatLaser[[#This Row],[% Complete]]</f>
        <v>#DIV/0!</v>
      </c>
      <c r="R93" s="32" t="str">
        <f>IFERROR(tbl_FlatLaser[[#This Row],[Qty Complete]]/tbl_FlatLaser[[#This Row],[Total Hours Act]]*tbl_FlatLaser[[#This Row],['# of men Act]],"")</f>
        <v/>
      </c>
      <c r="T93"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93" s="35" t="str">
        <f>IFERROR((tbl_FlatLaser[[#This Row],[Adj. Total Hours]]+tbl_FlatLaser[[#This Row],[Est. Hours]])/(tbl_FlatLaser[[#This Row],[Total Hours Act]]+tbl_FlatLaser[[#This Row],[Act. Hours]]),"")</f>
        <v/>
      </c>
      <c r="Y93"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93" s="104" t="str">
        <f>IFERROR(tbl_FlatLaser[[#This Row],[Act. Mat. Qty]]-tbl_FlatLaser[[#This Row],[Adj. Mat. Qty]],"")</f>
        <v/>
      </c>
      <c r="AA93"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93" s="31"/>
      <c r="AD93" s="36"/>
    </row>
    <row r="94" spans="1:30" ht="25" customHeight="1">
      <c r="C94" s="28" t="str">
        <f>IF(tbl_FlatLaser[[#This Row],[Part'#]]="", "Batch", "Part")</f>
        <v>Batch</v>
      </c>
      <c r="G94" s="28"/>
      <c r="I94" s="70" t="e">
        <f>tbl_FlatLaser[[#This Row],[Qty Complete]]/tbl_FlatLaser[[#This Row],[Qty Required]]</f>
        <v>#DIV/0!</v>
      </c>
      <c r="L94" s="31">
        <f>IF(tbl_FlatLaser[[#This Row],[Job Type]]="Batch",0,tbl_FlatLaser[[#This Row],[Qty Required]]/tbl_FlatLaser[[#This Row],[PPH]]*tbl_FlatLaser[[#This Row],['# of men]])</f>
        <v>0</v>
      </c>
      <c r="M94" s="31" t="e">
        <f>IF(tbl_FlatLaser[[#This Row],[Job Type]]="Batch",tbl_FlatLaser[[#This Row],[Batch Hours]]*tbl_FlatLaser[[#This Row],[% Complete]],tbl_FlatLaser[[#This Row],[Total hours]]*tbl_FlatLaser[[#This Row],[% Complete]])</f>
        <v>#DIV/0!</v>
      </c>
      <c r="N94" s="31"/>
      <c r="P94" s="28" t="e">
        <f>tbl_FlatLaser[[#This Row],[Mat. Qty]]*tbl_FlatLaser[[#This Row],[% Complete]]</f>
        <v>#DIV/0!</v>
      </c>
      <c r="R94" s="32" t="str">
        <f>IFERROR(tbl_FlatLaser[[#This Row],[Qty Complete]]/tbl_FlatLaser[[#This Row],[Total Hours Act]]*tbl_FlatLaser[[#This Row],['# of men Act]],"")</f>
        <v/>
      </c>
      <c r="T94"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94" s="35" t="str">
        <f>IFERROR((tbl_FlatLaser[[#This Row],[Adj. Total Hours]]+tbl_FlatLaser[[#This Row],[Est. Hours]])/(tbl_FlatLaser[[#This Row],[Total Hours Act]]+tbl_FlatLaser[[#This Row],[Act. Hours]]),"")</f>
        <v/>
      </c>
      <c r="Y94"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94" s="104" t="str">
        <f>IFERROR(tbl_FlatLaser[[#This Row],[Act. Mat. Qty]]-tbl_FlatLaser[[#This Row],[Adj. Mat. Qty]],"")</f>
        <v/>
      </c>
      <c r="AA94"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94" s="31"/>
      <c r="AD94" s="36"/>
    </row>
    <row r="95" spans="1:30" ht="25" customHeight="1">
      <c r="C95" s="28" t="str">
        <f>IF(tbl_FlatLaser[[#This Row],[Part'#]]="", "Batch", "Part")</f>
        <v>Batch</v>
      </c>
      <c r="G95" s="28"/>
      <c r="I95" s="70" t="e">
        <f>tbl_FlatLaser[[#This Row],[Qty Complete]]/tbl_FlatLaser[[#This Row],[Qty Required]]</f>
        <v>#DIV/0!</v>
      </c>
      <c r="L95" s="31">
        <f>IF(tbl_FlatLaser[[#This Row],[Job Type]]="Batch",0,tbl_FlatLaser[[#This Row],[Qty Required]]/tbl_FlatLaser[[#This Row],[PPH]]*tbl_FlatLaser[[#This Row],['# of men]])</f>
        <v>0</v>
      </c>
      <c r="M95" s="31" t="e">
        <f>IF(tbl_FlatLaser[[#This Row],[Job Type]]="Batch",tbl_FlatLaser[[#This Row],[Batch Hours]]*tbl_FlatLaser[[#This Row],[% Complete]],tbl_FlatLaser[[#This Row],[Total hours]]*tbl_FlatLaser[[#This Row],[% Complete]])</f>
        <v>#DIV/0!</v>
      </c>
      <c r="N95" s="31"/>
      <c r="P95" s="28" t="e">
        <f>tbl_FlatLaser[[#This Row],[Mat. Qty]]*tbl_FlatLaser[[#This Row],[% Complete]]</f>
        <v>#DIV/0!</v>
      </c>
      <c r="R95" s="32" t="str">
        <f>IFERROR(tbl_FlatLaser[[#This Row],[Qty Complete]]/tbl_FlatLaser[[#This Row],[Total Hours Act]]*tbl_FlatLaser[[#This Row],['# of men Act]],"")</f>
        <v/>
      </c>
      <c r="T95"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95" s="35" t="str">
        <f>IFERROR((tbl_FlatLaser[[#This Row],[Adj. Total Hours]]+tbl_FlatLaser[[#This Row],[Est. Hours]])/(tbl_FlatLaser[[#This Row],[Total Hours Act]]+tbl_FlatLaser[[#This Row],[Act. Hours]]),"")</f>
        <v/>
      </c>
      <c r="Y95"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95" s="104" t="str">
        <f>IFERROR(tbl_FlatLaser[[#This Row],[Act. Mat. Qty]]-tbl_FlatLaser[[#This Row],[Adj. Mat. Qty]],"")</f>
        <v/>
      </c>
      <c r="AA95"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95" s="31"/>
      <c r="AD95" s="36"/>
    </row>
    <row r="96" spans="1:30" ht="25" customHeight="1">
      <c r="C96" s="28" t="str">
        <f>IF(tbl_FlatLaser[[#This Row],[Part'#]]="", "Batch", "Part")</f>
        <v>Batch</v>
      </c>
      <c r="G96" s="28"/>
      <c r="I96" s="70" t="e">
        <f>tbl_FlatLaser[[#This Row],[Qty Complete]]/tbl_FlatLaser[[#This Row],[Qty Required]]</f>
        <v>#DIV/0!</v>
      </c>
      <c r="L96" s="31">
        <f>IF(tbl_FlatLaser[[#This Row],[Job Type]]="Batch",0,tbl_FlatLaser[[#This Row],[Qty Required]]/tbl_FlatLaser[[#This Row],[PPH]]*tbl_FlatLaser[[#This Row],['# of men]])</f>
        <v>0</v>
      </c>
      <c r="M96" s="31" t="e">
        <f>IF(tbl_FlatLaser[[#This Row],[Job Type]]="Batch",tbl_FlatLaser[[#This Row],[Batch Hours]]*tbl_FlatLaser[[#This Row],[% Complete]],tbl_FlatLaser[[#This Row],[Total hours]]*tbl_FlatLaser[[#This Row],[% Complete]])</f>
        <v>#DIV/0!</v>
      </c>
      <c r="N96" s="31"/>
      <c r="P96" s="28" t="e">
        <f>tbl_FlatLaser[[#This Row],[Mat. Qty]]*tbl_FlatLaser[[#This Row],[% Complete]]</f>
        <v>#DIV/0!</v>
      </c>
      <c r="R96" s="32" t="str">
        <f>IFERROR(tbl_FlatLaser[[#This Row],[Qty Complete]]/tbl_FlatLaser[[#This Row],[Total Hours Act]]*tbl_FlatLaser[[#This Row],['# of men Act]],"")</f>
        <v/>
      </c>
      <c r="T96"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96" s="35" t="str">
        <f>IFERROR((tbl_FlatLaser[[#This Row],[Adj. Total Hours]]+tbl_FlatLaser[[#This Row],[Est. Hours]])/(tbl_FlatLaser[[#This Row],[Total Hours Act]]+tbl_FlatLaser[[#This Row],[Act. Hours]]),"")</f>
        <v/>
      </c>
      <c r="Y96"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96" s="104" t="str">
        <f>IFERROR(tbl_FlatLaser[[#This Row],[Act. Mat. Qty]]-tbl_FlatLaser[[#This Row],[Adj. Mat. Qty]],"")</f>
        <v/>
      </c>
      <c r="AA96"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96" s="31"/>
      <c r="AD96" s="36"/>
    </row>
    <row r="97" spans="3:30" ht="25" customHeight="1">
      <c r="C97" s="28" t="str">
        <f>IF(tbl_FlatLaser[[#This Row],[Part'#]]="", "Batch", "Part")</f>
        <v>Batch</v>
      </c>
      <c r="G97" s="28"/>
      <c r="I97" s="70" t="e">
        <f>tbl_FlatLaser[[#This Row],[Qty Complete]]/tbl_FlatLaser[[#This Row],[Qty Required]]</f>
        <v>#DIV/0!</v>
      </c>
      <c r="L97" s="31">
        <f>IF(tbl_FlatLaser[[#This Row],[Job Type]]="Batch",0,tbl_FlatLaser[[#This Row],[Qty Required]]/tbl_FlatLaser[[#This Row],[PPH]]*tbl_FlatLaser[[#This Row],['# of men]])</f>
        <v>0</v>
      </c>
      <c r="M97" s="31" t="e">
        <f>IF(tbl_FlatLaser[[#This Row],[Job Type]]="Batch",tbl_FlatLaser[[#This Row],[Batch Hours]]*tbl_FlatLaser[[#This Row],[% Complete]],tbl_FlatLaser[[#This Row],[Total hours]]*tbl_FlatLaser[[#This Row],[% Complete]])</f>
        <v>#DIV/0!</v>
      </c>
      <c r="N97" s="31"/>
      <c r="P97" s="28" t="e">
        <f>tbl_FlatLaser[[#This Row],[Mat. Qty]]*tbl_FlatLaser[[#This Row],[% Complete]]</f>
        <v>#DIV/0!</v>
      </c>
      <c r="R97" s="32" t="str">
        <f>IFERROR(tbl_FlatLaser[[#This Row],[Qty Complete]]/tbl_FlatLaser[[#This Row],[Total Hours Act]]*tbl_FlatLaser[[#This Row],['# of men Act]],"")</f>
        <v/>
      </c>
      <c r="T97"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97" s="35" t="str">
        <f>IFERROR((tbl_FlatLaser[[#This Row],[Adj. Total Hours]]+tbl_FlatLaser[[#This Row],[Est. Hours]])/(tbl_FlatLaser[[#This Row],[Total Hours Act]]+tbl_FlatLaser[[#This Row],[Act. Hours]]),"")</f>
        <v/>
      </c>
      <c r="Y97"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97" s="104" t="str">
        <f>IFERROR(tbl_FlatLaser[[#This Row],[Act. Mat. Qty]]-tbl_FlatLaser[[#This Row],[Adj. Mat. Qty]],"")</f>
        <v/>
      </c>
      <c r="AA97"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97" s="31"/>
      <c r="AD97" s="36"/>
    </row>
    <row r="98" spans="3:30" ht="25" customHeight="1">
      <c r="C98" s="28" t="str">
        <f>IF(tbl_FlatLaser[[#This Row],[Part'#]]="", "Batch", "Part")</f>
        <v>Batch</v>
      </c>
      <c r="G98" s="28"/>
      <c r="I98" s="70" t="e">
        <f>tbl_FlatLaser[[#This Row],[Qty Complete]]/tbl_FlatLaser[[#This Row],[Qty Required]]</f>
        <v>#DIV/0!</v>
      </c>
      <c r="L98" s="31">
        <f>IF(tbl_FlatLaser[[#This Row],[Job Type]]="Batch",0,tbl_FlatLaser[[#This Row],[Qty Required]]/tbl_FlatLaser[[#This Row],[PPH]]*tbl_FlatLaser[[#This Row],['# of men]])</f>
        <v>0</v>
      </c>
      <c r="M98" s="31" t="e">
        <f>IF(tbl_FlatLaser[[#This Row],[Job Type]]="Batch",tbl_FlatLaser[[#This Row],[Batch Hours]]*tbl_FlatLaser[[#This Row],[% Complete]],tbl_FlatLaser[[#This Row],[Total hours]]*tbl_FlatLaser[[#This Row],[% Complete]])</f>
        <v>#DIV/0!</v>
      </c>
      <c r="N98" s="31"/>
      <c r="P98" s="28" t="e">
        <f>tbl_FlatLaser[[#This Row],[Mat. Qty]]*tbl_FlatLaser[[#This Row],[% Complete]]</f>
        <v>#DIV/0!</v>
      </c>
      <c r="R98" s="32" t="str">
        <f>IFERROR(tbl_FlatLaser[[#This Row],[Qty Complete]]/tbl_FlatLaser[[#This Row],[Total Hours Act]]*tbl_FlatLaser[[#This Row],['# of men Act]],"")</f>
        <v/>
      </c>
      <c r="T98"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98" s="35" t="str">
        <f>IFERROR((tbl_FlatLaser[[#This Row],[Adj. Total Hours]]+tbl_FlatLaser[[#This Row],[Est. Hours]])/(tbl_FlatLaser[[#This Row],[Total Hours Act]]+tbl_FlatLaser[[#This Row],[Act. Hours]]),"")</f>
        <v/>
      </c>
      <c r="Y98"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98" s="104" t="str">
        <f>IFERROR(tbl_FlatLaser[[#This Row],[Act. Mat. Qty]]-tbl_FlatLaser[[#This Row],[Adj. Mat. Qty]],"")</f>
        <v/>
      </c>
      <c r="AA98"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98" s="31"/>
      <c r="AD98" s="36"/>
    </row>
    <row r="99" spans="3:30" ht="25" customHeight="1">
      <c r="C99" s="28" t="str">
        <f>IF(tbl_FlatLaser[[#This Row],[Part'#]]="", "Batch", "Part")</f>
        <v>Batch</v>
      </c>
      <c r="G99" s="28"/>
      <c r="I99" s="70" t="e">
        <f>tbl_FlatLaser[[#This Row],[Qty Complete]]/tbl_FlatLaser[[#This Row],[Qty Required]]</f>
        <v>#DIV/0!</v>
      </c>
      <c r="L99" s="31">
        <f>IF(tbl_FlatLaser[[#This Row],[Job Type]]="Batch",0,tbl_FlatLaser[[#This Row],[Qty Required]]/tbl_FlatLaser[[#This Row],[PPH]]*tbl_FlatLaser[[#This Row],['# of men]])</f>
        <v>0</v>
      </c>
      <c r="M99" s="31" t="e">
        <f>IF(tbl_FlatLaser[[#This Row],[Job Type]]="Batch",tbl_FlatLaser[[#This Row],[Batch Hours]]*tbl_FlatLaser[[#This Row],[% Complete]],tbl_FlatLaser[[#This Row],[Total hours]]*tbl_FlatLaser[[#This Row],[% Complete]])</f>
        <v>#DIV/0!</v>
      </c>
      <c r="N99" s="31"/>
      <c r="P99" s="28" t="e">
        <f>tbl_FlatLaser[[#This Row],[Mat. Qty]]*tbl_FlatLaser[[#This Row],[% Complete]]</f>
        <v>#DIV/0!</v>
      </c>
      <c r="R99" s="32" t="str">
        <f>IFERROR(tbl_FlatLaser[[#This Row],[Qty Complete]]/tbl_FlatLaser[[#This Row],[Total Hours Act]]*tbl_FlatLaser[[#This Row],['# of men Act]],"")</f>
        <v/>
      </c>
      <c r="T99"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99" s="35" t="str">
        <f>IFERROR((tbl_FlatLaser[[#This Row],[Adj. Total Hours]]+tbl_FlatLaser[[#This Row],[Est. Hours]])/(tbl_FlatLaser[[#This Row],[Total Hours Act]]+tbl_FlatLaser[[#This Row],[Act. Hours]]),"")</f>
        <v/>
      </c>
      <c r="Y99"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99" s="104" t="str">
        <f>IFERROR(tbl_FlatLaser[[#This Row],[Act. Mat. Qty]]-tbl_FlatLaser[[#This Row],[Adj. Mat. Qty]],"")</f>
        <v/>
      </c>
      <c r="AA99"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99" s="31"/>
      <c r="AD99" s="36"/>
    </row>
    <row r="100" spans="3:30" ht="25" customHeight="1">
      <c r="C100" s="28" t="str">
        <f>IF(tbl_FlatLaser[[#This Row],[Part'#]]="", "Batch", "Part")</f>
        <v>Batch</v>
      </c>
      <c r="G100" s="28"/>
      <c r="I100" s="70" t="e">
        <f>tbl_FlatLaser[[#This Row],[Qty Complete]]/tbl_FlatLaser[[#This Row],[Qty Required]]</f>
        <v>#DIV/0!</v>
      </c>
      <c r="L100" s="31">
        <f>IF(tbl_FlatLaser[[#This Row],[Job Type]]="Batch",0,tbl_FlatLaser[[#This Row],[Qty Required]]/tbl_FlatLaser[[#This Row],[PPH]]*tbl_FlatLaser[[#This Row],['# of men]])</f>
        <v>0</v>
      </c>
      <c r="M100" s="31" t="e">
        <f>IF(tbl_FlatLaser[[#This Row],[Job Type]]="Batch",tbl_FlatLaser[[#This Row],[Batch Hours]]*tbl_FlatLaser[[#This Row],[% Complete]],tbl_FlatLaser[[#This Row],[Total hours]]*tbl_FlatLaser[[#This Row],[% Complete]])</f>
        <v>#DIV/0!</v>
      </c>
      <c r="N100" s="31"/>
      <c r="P100" s="28" t="e">
        <f>tbl_FlatLaser[[#This Row],[Mat. Qty]]*tbl_FlatLaser[[#This Row],[% Complete]]</f>
        <v>#DIV/0!</v>
      </c>
      <c r="R100" s="32" t="str">
        <f>IFERROR(tbl_FlatLaser[[#This Row],[Qty Complete]]/tbl_FlatLaser[[#This Row],[Total Hours Act]]*tbl_FlatLaser[[#This Row],['# of men Act]],"")</f>
        <v/>
      </c>
      <c r="T100"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00" s="35" t="str">
        <f>IFERROR((tbl_FlatLaser[[#This Row],[Adj. Total Hours]]+tbl_FlatLaser[[#This Row],[Est. Hours]])/(tbl_FlatLaser[[#This Row],[Total Hours Act]]+tbl_FlatLaser[[#This Row],[Act. Hours]]),"")</f>
        <v/>
      </c>
      <c r="Y100"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00" s="104" t="str">
        <f>IFERROR(tbl_FlatLaser[[#This Row],[Act. Mat. Qty]]-tbl_FlatLaser[[#This Row],[Adj. Mat. Qty]],"")</f>
        <v/>
      </c>
      <c r="AA100"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00" s="31"/>
      <c r="AD100" s="36"/>
    </row>
    <row r="101" spans="3:30" ht="25" customHeight="1">
      <c r="C101" s="28" t="str">
        <f>IF(tbl_FlatLaser[[#This Row],[Part'#]]="", "Batch", "Part")</f>
        <v>Batch</v>
      </c>
      <c r="G101" s="28"/>
      <c r="I101" s="70" t="e">
        <f>tbl_FlatLaser[[#This Row],[Qty Complete]]/tbl_FlatLaser[[#This Row],[Qty Required]]</f>
        <v>#DIV/0!</v>
      </c>
      <c r="L101" s="31">
        <f>IF(tbl_FlatLaser[[#This Row],[Job Type]]="Batch",0,tbl_FlatLaser[[#This Row],[Qty Required]]/tbl_FlatLaser[[#This Row],[PPH]]*tbl_FlatLaser[[#This Row],['# of men]])</f>
        <v>0</v>
      </c>
      <c r="M101" s="31" t="e">
        <f>IF(tbl_FlatLaser[[#This Row],[Job Type]]="Batch",tbl_FlatLaser[[#This Row],[Batch Hours]]*tbl_FlatLaser[[#This Row],[% Complete]],tbl_FlatLaser[[#This Row],[Total hours]]*tbl_FlatLaser[[#This Row],[% Complete]])</f>
        <v>#DIV/0!</v>
      </c>
      <c r="N101" s="31"/>
      <c r="P101" s="28" t="e">
        <f>tbl_FlatLaser[[#This Row],[Mat. Qty]]*tbl_FlatLaser[[#This Row],[% Complete]]</f>
        <v>#DIV/0!</v>
      </c>
      <c r="R101" s="32" t="str">
        <f>IFERROR(tbl_FlatLaser[[#This Row],[Qty Complete]]/tbl_FlatLaser[[#This Row],[Total Hours Act]]*tbl_FlatLaser[[#This Row],['# of men Act]],"")</f>
        <v/>
      </c>
      <c r="T101"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01" s="35" t="str">
        <f>IFERROR((tbl_FlatLaser[[#This Row],[Adj. Total Hours]]+tbl_FlatLaser[[#This Row],[Est. Hours]])/(tbl_FlatLaser[[#This Row],[Total Hours Act]]+tbl_FlatLaser[[#This Row],[Act. Hours]]),"")</f>
        <v/>
      </c>
      <c r="Y101"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01" s="104" t="str">
        <f>IFERROR(tbl_FlatLaser[[#This Row],[Act. Mat. Qty]]-tbl_FlatLaser[[#This Row],[Adj. Mat. Qty]],"")</f>
        <v/>
      </c>
      <c r="AA101"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01" s="31"/>
      <c r="AD101" s="36"/>
    </row>
    <row r="102" spans="3:30" ht="25" customHeight="1">
      <c r="C102" s="28" t="str">
        <f>IF(tbl_FlatLaser[[#This Row],[Part'#]]="", "Batch", "Part")</f>
        <v>Batch</v>
      </c>
      <c r="G102" s="28"/>
      <c r="I102" s="70" t="e">
        <f>tbl_FlatLaser[[#This Row],[Qty Complete]]/tbl_FlatLaser[[#This Row],[Qty Required]]</f>
        <v>#DIV/0!</v>
      </c>
      <c r="L102" s="31">
        <f>IF(tbl_FlatLaser[[#This Row],[Job Type]]="Batch",0,tbl_FlatLaser[[#This Row],[Qty Required]]/tbl_FlatLaser[[#This Row],[PPH]]*tbl_FlatLaser[[#This Row],['# of men]])</f>
        <v>0</v>
      </c>
      <c r="M102" s="31" t="e">
        <f>IF(tbl_FlatLaser[[#This Row],[Job Type]]="Batch",tbl_FlatLaser[[#This Row],[Batch Hours]]*tbl_FlatLaser[[#This Row],[% Complete]],tbl_FlatLaser[[#This Row],[Total hours]]*tbl_FlatLaser[[#This Row],[% Complete]])</f>
        <v>#DIV/0!</v>
      </c>
      <c r="N102" s="31"/>
      <c r="P102" s="28" t="e">
        <f>tbl_FlatLaser[[#This Row],[Mat. Qty]]*tbl_FlatLaser[[#This Row],[% Complete]]</f>
        <v>#DIV/0!</v>
      </c>
      <c r="R102" s="32" t="str">
        <f>IFERROR(tbl_FlatLaser[[#This Row],[Qty Complete]]/tbl_FlatLaser[[#This Row],[Total Hours Act]]*tbl_FlatLaser[[#This Row],['# of men Act]],"")</f>
        <v/>
      </c>
      <c r="T102"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02" s="35" t="str">
        <f>IFERROR((tbl_FlatLaser[[#This Row],[Adj. Total Hours]]+tbl_FlatLaser[[#This Row],[Est. Hours]])/(tbl_FlatLaser[[#This Row],[Total Hours Act]]+tbl_FlatLaser[[#This Row],[Act. Hours]]),"")</f>
        <v/>
      </c>
      <c r="Y102"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02" s="104" t="str">
        <f>IFERROR(tbl_FlatLaser[[#This Row],[Act. Mat. Qty]]-tbl_FlatLaser[[#This Row],[Adj. Mat. Qty]],"")</f>
        <v/>
      </c>
      <c r="AA102"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02" s="31"/>
      <c r="AD102" s="36"/>
    </row>
    <row r="103" spans="3:30" ht="25" customHeight="1">
      <c r="C103" s="28" t="str">
        <f>IF(tbl_FlatLaser[[#This Row],[Part'#]]="", "Batch", "Part")</f>
        <v>Batch</v>
      </c>
      <c r="G103" s="28"/>
      <c r="I103" s="70" t="e">
        <f>tbl_FlatLaser[[#This Row],[Qty Complete]]/tbl_FlatLaser[[#This Row],[Qty Required]]</f>
        <v>#DIV/0!</v>
      </c>
      <c r="L103" s="31">
        <f>IF(tbl_FlatLaser[[#This Row],[Job Type]]="Batch",0,tbl_FlatLaser[[#This Row],[Qty Required]]/tbl_FlatLaser[[#This Row],[PPH]]*tbl_FlatLaser[[#This Row],['# of men]])</f>
        <v>0</v>
      </c>
      <c r="M103" s="31" t="e">
        <f>IF(tbl_FlatLaser[[#This Row],[Job Type]]="Batch",tbl_FlatLaser[[#This Row],[Batch Hours]]*tbl_FlatLaser[[#This Row],[% Complete]],tbl_FlatLaser[[#This Row],[Total hours]]*tbl_FlatLaser[[#This Row],[% Complete]])</f>
        <v>#DIV/0!</v>
      </c>
      <c r="N103" s="31"/>
      <c r="P103" s="28" t="e">
        <f>tbl_FlatLaser[[#This Row],[Mat. Qty]]*tbl_FlatLaser[[#This Row],[% Complete]]</f>
        <v>#DIV/0!</v>
      </c>
      <c r="R103" s="32" t="str">
        <f>IFERROR(tbl_FlatLaser[[#This Row],[Qty Complete]]/tbl_FlatLaser[[#This Row],[Total Hours Act]]*tbl_FlatLaser[[#This Row],['# of men Act]],"")</f>
        <v/>
      </c>
      <c r="T103"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03" s="35" t="str">
        <f>IFERROR((tbl_FlatLaser[[#This Row],[Adj. Total Hours]]+tbl_FlatLaser[[#This Row],[Est. Hours]])/(tbl_FlatLaser[[#This Row],[Total Hours Act]]+tbl_FlatLaser[[#This Row],[Act. Hours]]),"")</f>
        <v/>
      </c>
      <c r="Y103"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03" s="104" t="str">
        <f>IFERROR(tbl_FlatLaser[[#This Row],[Act. Mat. Qty]]-tbl_FlatLaser[[#This Row],[Adj. Mat. Qty]],"")</f>
        <v/>
      </c>
      <c r="AA103"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03" s="31"/>
      <c r="AD103" s="36"/>
    </row>
    <row r="104" spans="3:30" ht="25" customHeight="1">
      <c r="C104" s="28" t="str">
        <f>IF(tbl_FlatLaser[[#This Row],[Part'#]]="", "Batch", "Part")</f>
        <v>Batch</v>
      </c>
      <c r="G104" s="28"/>
      <c r="I104" s="70" t="e">
        <f>tbl_FlatLaser[[#This Row],[Qty Complete]]/tbl_FlatLaser[[#This Row],[Qty Required]]</f>
        <v>#DIV/0!</v>
      </c>
      <c r="L104" s="31">
        <f>IF(tbl_FlatLaser[[#This Row],[Job Type]]="Batch",0,tbl_FlatLaser[[#This Row],[Qty Required]]/tbl_FlatLaser[[#This Row],[PPH]]*tbl_FlatLaser[[#This Row],['# of men]])</f>
        <v>0</v>
      </c>
      <c r="M104" s="31" t="e">
        <f>IF(tbl_FlatLaser[[#This Row],[Job Type]]="Batch",tbl_FlatLaser[[#This Row],[Batch Hours]]*tbl_FlatLaser[[#This Row],[% Complete]],tbl_FlatLaser[[#This Row],[Total hours]]*tbl_FlatLaser[[#This Row],[% Complete]])</f>
        <v>#DIV/0!</v>
      </c>
      <c r="N104" s="31"/>
      <c r="P104" s="28" t="e">
        <f>tbl_FlatLaser[[#This Row],[Mat. Qty]]*tbl_FlatLaser[[#This Row],[% Complete]]</f>
        <v>#DIV/0!</v>
      </c>
      <c r="R104" s="32" t="str">
        <f>IFERROR(tbl_FlatLaser[[#This Row],[Qty Complete]]/tbl_FlatLaser[[#This Row],[Total Hours Act]]*tbl_FlatLaser[[#This Row],['# of men Act]],"")</f>
        <v/>
      </c>
      <c r="T104"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04" s="35" t="str">
        <f>IFERROR((tbl_FlatLaser[[#This Row],[Adj. Total Hours]]+tbl_FlatLaser[[#This Row],[Est. Hours]])/(tbl_FlatLaser[[#This Row],[Total Hours Act]]+tbl_FlatLaser[[#This Row],[Act. Hours]]),"")</f>
        <v/>
      </c>
      <c r="Y104"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04" s="104" t="str">
        <f>IFERROR(tbl_FlatLaser[[#This Row],[Act. Mat. Qty]]-tbl_FlatLaser[[#This Row],[Adj. Mat. Qty]],"")</f>
        <v/>
      </c>
      <c r="AA104"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04" s="31"/>
      <c r="AD104" s="36"/>
    </row>
    <row r="105" spans="3:30" ht="25" customHeight="1">
      <c r="C105" s="28" t="str">
        <f>IF(tbl_FlatLaser[[#This Row],[Part'#]]="", "Batch", "Part")</f>
        <v>Batch</v>
      </c>
      <c r="G105" s="28"/>
      <c r="I105" s="70" t="e">
        <f>tbl_FlatLaser[[#This Row],[Qty Complete]]/tbl_FlatLaser[[#This Row],[Qty Required]]</f>
        <v>#DIV/0!</v>
      </c>
      <c r="L105" s="31">
        <f>IF(tbl_FlatLaser[[#This Row],[Job Type]]="Batch",0,tbl_FlatLaser[[#This Row],[Qty Required]]/tbl_FlatLaser[[#This Row],[PPH]]*tbl_FlatLaser[[#This Row],['# of men]])</f>
        <v>0</v>
      </c>
      <c r="M105" s="31" t="e">
        <f>IF(tbl_FlatLaser[[#This Row],[Job Type]]="Batch",tbl_FlatLaser[[#This Row],[Batch Hours]]*tbl_FlatLaser[[#This Row],[% Complete]],tbl_FlatLaser[[#This Row],[Total hours]]*tbl_FlatLaser[[#This Row],[% Complete]])</f>
        <v>#DIV/0!</v>
      </c>
      <c r="N105" s="31"/>
      <c r="P105" s="28" t="e">
        <f>tbl_FlatLaser[[#This Row],[Mat. Qty]]*tbl_FlatLaser[[#This Row],[% Complete]]</f>
        <v>#DIV/0!</v>
      </c>
      <c r="R105" s="32" t="str">
        <f>IFERROR(tbl_FlatLaser[[#This Row],[Qty Complete]]/tbl_FlatLaser[[#This Row],[Total Hours Act]]*tbl_FlatLaser[[#This Row],['# of men Act]],"")</f>
        <v/>
      </c>
      <c r="T105"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05" s="35" t="str">
        <f>IFERROR((tbl_FlatLaser[[#This Row],[Adj. Total Hours]]+tbl_FlatLaser[[#This Row],[Est. Hours]])/(tbl_FlatLaser[[#This Row],[Total Hours Act]]+tbl_FlatLaser[[#This Row],[Act. Hours]]),"")</f>
        <v/>
      </c>
      <c r="Y105"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05" s="104" t="str">
        <f>IFERROR(tbl_FlatLaser[[#This Row],[Act. Mat. Qty]]-tbl_FlatLaser[[#This Row],[Adj. Mat. Qty]],"")</f>
        <v/>
      </c>
      <c r="AA105"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05" s="31"/>
      <c r="AD105" s="36"/>
    </row>
    <row r="106" spans="3:30" ht="25" customHeight="1">
      <c r="C106" s="28" t="str">
        <f>IF(tbl_FlatLaser[[#This Row],[Part'#]]="", "Batch", "Part")</f>
        <v>Batch</v>
      </c>
      <c r="G106" s="28"/>
      <c r="I106" s="70" t="e">
        <f>tbl_FlatLaser[[#This Row],[Qty Complete]]/tbl_FlatLaser[[#This Row],[Qty Required]]</f>
        <v>#DIV/0!</v>
      </c>
      <c r="L106" s="31">
        <f>IF(tbl_FlatLaser[[#This Row],[Job Type]]="Batch",0,tbl_FlatLaser[[#This Row],[Qty Required]]/tbl_FlatLaser[[#This Row],[PPH]]*tbl_FlatLaser[[#This Row],['# of men]])</f>
        <v>0</v>
      </c>
      <c r="M106" s="31" t="e">
        <f>IF(tbl_FlatLaser[[#This Row],[Job Type]]="Batch",tbl_FlatLaser[[#This Row],[Batch Hours]]*tbl_FlatLaser[[#This Row],[% Complete]],tbl_FlatLaser[[#This Row],[Total hours]]*tbl_FlatLaser[[#This Row],[% Complete]])</f>
        <v>#DIV/0!</v>
      </c>
      <c r="N106" s="31"/>
      <c r="P106" s="28" t="e">
        <f>tbl_FlatLaser[[#This Row],[Mat. Qty]]*tbl_FlatLaser[[#This Row],[% Complete]]</f>
        <v>#DIV/0!</v>
      </c>
      <c r="R106" s="32" t="str">
        <f>IFERROR(tbl_FlatLaser[[#This Row],[Qty Complete]]/tbl_FlatLaser[[#This Row],[Total Hours Act]]*tbl_FlatLaser[[#This Row],['# of men Act]],"")</f>
        <v/>
      </c>
      <c r="T106"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06" s="35" t="str">
        <f>IFERROR((tbl_FlatLaser[[#This Row],[Adj. Total Hours]]+tbl_FlatLaser[[#This Row],[Est. Hours]])/(tbl_FlatLaser[[#This Row],[Total Hours Act]]+tbl_FlatLaser[[#This Row],[Act. Hours]]),"")</f>
        <v/>
      </c>
      <c r="Y106"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06" s="104" t="str">
        <f>IFERROR(tbl_FlatLaser[[#This Row],[Act. Mat. Qty]]-tbl_FlatLaser[[#This Row],[Adj. Mat. Qty]],"")</f>
        <v/>
      </c>
      <c r="AA106"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06" s="31"/>
      <c r="AD106" s="36"/>
    </row>
    <row r="107" spans="3:30" ht="25" customHeight="1">
      <c r="C107" s="28" t="str">
        <f>IF(tbl_FlatLaser[[#This Row],[Part'#]]="", "Batch", "Part")</f>
        <v>Batch</v>
      </c>
      <c r="G107" s="28"/>
      <c r="I107" s="70" t="e">
        <f>tbl_FlatLaser[[#This Row],[Qty Complete]]/tbl_FlatLaser[[#This Row],[Qty Required]]</f>
        <v>#DIV/0!</v>
      </c>
      <c r="L107" s="31">
        <f>IF(tbl_FlatLaser[[#This Row],[Job Type]]="Batch",0,tbl_FlatLaser[[#This Row],[Qty Required]]/tbl_FlatLaser[[#This Row],[PPH]]*tbl_FlatLaser[[#This Row],['# of men]])</f>
        <v>0</v>
      </c>
      <c r="M107" s="31" t="e">
        <f>IF(tbl_FlatLaser[[#This Row],[Job Type]]="Batch",tbl_FlatLaser[[#This Row],[Batch Hours]]*tbl_FlatLaser[[#This Row],[% Complete]],tbl_FlatLaser[[#This Row],[Total hours]]*tbl_FlatLaser[[#This Row],[% Complete]])</f>
        <v>#DIV/0!</v>
      </c>
      <c r="N107" s="31"/>
      <c r="P107" s="28" t="e">
        <f>tbl_FlatLaser[[#This Row],[Mat. Qty]]*tbl_FlatLaser[[#This Row],[% Complete]]</f>
        <v>#DIV/0!</v>
      </c>
      <c r="R107" s="32" t="str">
        <f>IFERROR(tbl_FlatLaser[[#This Row],[Qty Complete]]/tbl_FlatLaser[[#This Row],[Total Hours Act]]*tbl_FlatLaser[[#This Row],['# of men Act]],"")</f>
        <v/>
      </c>
      <c r="T107"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07" s="35" t="str">
        <f>IFERROR((tbl_FlatLaser[[#This Row],[Adj. Total Hours]]+tbl_FlatLaser[[#This Row],[Est. Hours]])/(tbl_FlatLaser[[#This Row],[Total Hours Act]]+tbl_FlatLaser[[#This Row],[Act. Hours]]),"")</f>
        <v/>
      </c>
      <c r="Y107"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07" s="104" t="str">
        <f>IFERROR(tbl_FlatLaser[[#This Row],[Act. Mat. Qty]]-tbl_FlatLaser[[#This Row],[Adj. Mat. Qty]],"")</f>
        <v/>
      </c>
      <c r="AA107"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07" s="31"/>
      <c r="AD107" s="36"/>
    </row>
    <row r="108" spans="3:30" ht="25" customHeight="1">
      <c r="C108" s="28" t="str">
        <f>IF(tbl_FlatLaser[[#This Row],[Part'#]]="", "Batch", "Part")</f>
        <v>Batch</v>
      </c>
      <c r="G108" s="28"/>
      <c r="I108" s="70" t="e">
        <f>tbl_FlatLaser[[#This Row],[Qty Complete]]/tbl_FlatLaser[[#This Row],[Qty Required]]</f>
        <v>#DIV/0!</v>
      </c>
      <c r="L108" s="31">
        <f>IF(tbl_FlatLaser[[#This Row],[Job Type]]="Batch",0,tbl_FlatLaser[[#This Row],[Qty Required]]/tbl_FlatLaser[[#This Row],[PPH]]*tbl_FlatLaser[[#This Row],['# of men]])</f>
        <v>0</v>
      </c>
      <c r="M108" s="31" t="e">
        <f>IF(tbl_FlatLaser[[#This Row],[Job Type]]="Batch",tbl_FlatLaser[[#This Row],[Batch Hours]]*tbl_FlatLaser[[#This Row],[% Complete]],tbl_FlatLaser[[#This Row],[Total hours]]*tbl_FlatLaser[[#This Row],[% Complete]])</f>
        <v>#DIV/0!</v>
      </c>
      <c r="N108" s="31"/>
      <c r="P108" s="28" t="e">
        <f>tbl_FlatLaser[[#This Row],[Mat. Qty]]*tbl_FlatLaser[[#This Row],[% Complete]]</f>
        <v>#DIV/0!</v>
      </c>
      <c r="R108" s="32" t="str">
        <f>IFERROR(tbl_FlatLaser[[#This Row],[Qty Complete]]/tbl_FlatLaser[[#This Row],[Total Hours Act]]*tbl_FlatLaser[[#This Row],['# of men Act]],"")</f>
        <v/>
      </c>
      <c r="T108"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08" s="35" t="str">
        <f>IFERROR((tbl_FlatLaser[[#This Row],[Adj. Total Hours]]+tbl_FlatLaser[[#This Row],[Est. Hours]])/(tbl_FlatLaser[[#This Row],[Total Hours Act]]+tbl_FlatLaser[[#This Row],[Act. Hours]]),"")</f>
        <v/>
      </c>
      <c r="Y108"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08" s="104" t="str">
        <f>IFERROR(tbl_FlatLaser[[#This Row],[Act. Mat. Qty]]-tbl_FlatLaser[[#This Row],[Adj. Mat. Qty]],"")</f>
        <v/>
      </c>
      <c r="AA108"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08" s="31"/>
      <c r="AD108" s="36"/>
    </row>
    <row r="109" spans="3:30" ht="25" customHeight="1">
      <c r="C109" s="28" t="str">
        <f>IF(tbl_FlatLaser[[#This Row],[Part'#]]="", "Batch", "Part")</f>
        <v>Batch</v>
      </c>
      <c r="G109" s="28"/>
      <c r="I109" s="70" t="e">
        <f>tbl_FlatLaser[[#This Row],[Qty Complete]]/tbl_FlatLaser[[#This Row],[Qty Required]]</f>
        <v>#DIV/0!</v>
      </c>
      <c r="L109" s="31">
        <f>IF(tbl_FlatLaser[[#This Row],[Job Type]]="Batch",0,tbl_FlatLaser[[#This Row],[Qty Required]]/tbl_FlatLaser[[#This Row],[PPH]]*tbl_FlatLaser[[#This Row],['# of men]])</f>
        <v>0</v>
      </c>
      <c r="M109" s="31" t="e">
        <f>IF(tbl_FlatLaser[[#This Row],[Job Type]]="Batch",tbl_FlatLaser[[#This Row],[Batch Hours]]*tbl_FlatLaser[[#This Row],[% Complete]],tbl_FlatLaser[[#This Row],[Total hours]]*tbl_FlatLaser[[#This Row],[% Complete]])</f>
        <v>#DIV/0!</v>
      </c>
      <c r="N109" s="31"/>
      <c r="P109" s="28" t="e">
        <f>tbl_FlatLaser[[#This Row],[Mat. Qty]]*tbl_FlatLaser[[#This Row],[% Complete]]</f>
        <v>#DIV/0!</v>
      </c>
      <c r="R109" s="32" t="str">
        <f>IFERROR(tbl_FlatLaser[[#This Row],[Qty Complete]]/tbl_FlatLaser[[#This Row],[Total Hours Act]]*tbl_FlatLaser[[#This Row],['# of men Act]],"")</f>
        <v/>
      </c>
      <c r="T109"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09" s="35" t="str">
        <f>IFERROR((tbl_FlatLaser[[#This Row],[Adj. Total Hours]]+tbl_FlatLaser[[#This Row],[Est. Hours]])/(tbl_FlatLaser[[#This Row],[Total Hours Act]]+tbl_FlatLaser[[#This Row],[Act. Hours]]),"")</f>
        <v/>
      </c>
      <c r="Y109"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09" s="104" t="str">
        <f>IFERROR(tbl_FlatLaser[[#This Row],[Act. Mat. Qty]]-tbl_FlatLaser[[#This Row],[Adj. Mat. Qty]],"")</f>
        <v/>
      </c>
      <c r="AA109"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09" s="31"/>
      <c r="AD109" s="36"/>
    </row>
    <row r="110" spans="3:30" ht="25" customHeight="1">
      <c r="C110" s="28" t="str">
        <f>IF(tbl_FlatLaser[[#This Row],[Part'#]]="", "Batch", "Part")</f>
        <v>Batch</v>
      </c>
      <c r="G110" s="28"/>
      <c r="I110" s="70" t="e">
        <f>tbl_FlatLaser[[#This Row],[Qty Complete]]/tbl_FlatLaser[[#This Row],[Qty Required]]</f>
        <v>#DIV/0!</v>
      </c>
      <c r="L110" s="31">
        <f>IF(tbl_FlatLaser[[#This Row],[Job Type]]="Batch",0,tbl_FlatLaser[[#This Row],[Qty Required]]/tbl_FlatLaser[[#This Row],[PPH]]*tbl_FlatLaser[[#This Row],['# of men]])</f>
        <v>0</v>
      </c>
      <c r="M110" s="31" t="e">
        <f>IF(tbl_FlatLaser[[#This Row],[Job Type]]="Batch",tbl_FlatLaser[[#This Row],[Batch Hours]]*tbl_FlatLaser[[#This Row],[% Complete]],tbl_FlatLaser[[#This Row],[Total hours]]*tbl_FlatLaser[[#This Row],[% Complete]])</f>
        <v>#DIV/0!</v>
      </c>
      <c r="N110" s="31"/>
      <c r="P110" s="28" t="e">
        <f>tbl_FlatLaser[[#This Row],[Mat. Qty]]*tbl_FlatLaser[[#This Row],[% Complete]]</f>
        <v>#DIV/0!</v>
      </c>
      <c r="R110" s="32" t="str">
        <f>IFERROR(tbl_FlatLaser[[#This Row],[Qty Complete]]/tbl_FlatLaser[[#This Row],[Total Hours Act]]*tbl_FlatLaser[[#This Row],['# of men Act]],"")</f>
        <v/>
      </c>
      <c r="T110"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10" s="35" t="str">
        <f>IFERROR((tbl_FlatLaser[[#This Row],[Adj. Total Hours]]+tbl_FlatLaser[[#This Row],[Est. Hours]])/(tbl_FlatLaser[[#This Row],[Total Hours Act]]+tbl_FlatLaser[[#This Row],[Act. Hours]]),"")</f>
        <v/>
      </c>
      <c r="Y110"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10" s="104" t="str">
        <f>IFERROR(tbl_FlatLaser[[#This Row],[Act. Mat. Qty]]-tbl_FlatLaser[[#This Row],[Adj. Mat. Qty]],"")</f>
        <v/>
      </c>
      <c r="AA110"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10" s="31"/>
      <c r="AD110" s="36"/>
    </row>
    <row r="111" spans="3:30" ht="25" customHeight="1">
      <c r="C111" s="28" t="str">
        <f>IF(tbl_FlatLaser[[#This Row],[Part'#]]="", "Batch", "Part")</f>
        <v>Batch</v>
      </c>
      <c r="G111" s="28"/>
      <c r="I111" s="70" t="e">
        <f>tbl_FlatLaser[[#This Row],[Qty Complete]]/tbl_FlatLaser[[#This Row],[Qty Required]]</f>
        <v>#DIV/0!</v>
      </c>
      <c r="L111" s="31">
        <f>IF(tbl_FlatLaser[[#This Row],[Job Type]]="Batch",0,tbl_FlatLaser[[#This Row],[Qty Required]]/tbl_FlatLaser[[#This Row],[PPH]]*tbl_FlatLaser[[#This Row],['# of men]])</f>
        <v>0</v>
      </c>
      <c r="M111" s="31" t="e">
        <f>IF(tbl_FlatLaser[[#This Row],[Job Type]]="Batch",tbl_FlatLaser[[#This Row],[Batch Hours]]*tbl_FlatLaser[[#This Row],[% Complete]],tbl_FlatLaser[[#This Row],[Total hours]]*tbl_FlatLaser[[#This Row],[% Complete]])</f>
        <v>#DIV/0!</v>
      </c>
      <c r="N111" s="31"/>
      <c r="P111" s="28" t="e">
        <f>tbl_FlatLaser[[#This Row],[Mat. Qty]]*tbl_FlatLaser[[#This Row],[% Complete]]</f>
        <v>#DIV/0!</v>
      </c>
      <c r="R111" s="32" t="str">
        <f>IFERROR(tbl_FlatLaser[[#This Row],[Qty Complete]]/tbl_FlatLaser[[#This Row],[Total Hours Act]]*tbl_FlatLaser[[#This Row],['# of men Act]],"")</f>
        <v/>
      </c>
      <c r="T111"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11" s="35" t="str">
        <f>IFERROR((tbl_FlatLaser[[#This Row],[Adj. Total Hours]]+tbl_FlatLaser[[#This Row],[Est. Hours]])/(tbl_FlatLaser[[#This Row],[Total Hours Act]]+tbl_FlatLaser[[#This Row],[Act. Hours]]),"")</f>
        <v/>
      </c>
      <c r="Y111"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11" s="104" t="str">
        <f>IFERROR(tbl_FlatLaser[[#This Row],[Act. Mat. Qty]]-tbl_FlatLaser[[#This Row],[Adj. Mat. Qty]],"")</f>
        <v/>
      </c>
      <c r="AA111"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11" s="31"/>
      <c r="AD111" s="36"/>
    </row>
    <row r="112" spans="3:30" ht="25" customHeight="1">
      <c r="C112" s="28" t="str">
        <f>IF(tbl_FlatLaser[[#This Row],[Part'#]]="", "Batch", "Part")</f>
        <v>Batch</v>
      </c>
      <c r="G112" s="28"/>
      <c r="I112" s="70" t="e">
        <f>tbl_FlatLaser[[#This Row],[Qty Complete]]/tbl_FlatLaser[[#This Row],[Qty Required]]</f>
        <v>#DIV/0!</v>
      </c>
      <c r="L112" s="31">
        <f>IF(tbl_FlatLaser[[#This Row],[Job Type]]="Batch",0,tbl_FlatLaser[[#This Row],[Qty Required]]/tbl_FlatLaser[[#This Row],[PPH]]*tbl_FlatLaser[[#This Row],['# of men]])</f>
        <v>0</v>
      </c>
      <c r="M112" s="31" t="e">
        <f>IF(tbl_FlatLaser[[#This Row],[Job Type]]="Batch",tbl_FlatLaser[[#This Row],[Batch Hours]]*tbl_FlatLaser[[#This Row],[% Complete]],tbl_FlatLaser[[#This Row],[Total hours]]*tbl_FlatLaser[[#This Row],[% Complete]])</f>
        <v>#DIV/0!</v>
      </c>
      <c r="N112" s="31"/>
      <c r="P112" s="28" t="e">
        <f>tbl_FlatLaser[[#This Row],[Mat. Qty]]*tbl_FlatLaser[[#This Row],[% Complete]]</f>
        <v>#DIV/0!</v>
      </c>
      <c r="R112" s="32" t="str">
        <f>IFERROR(tbl_FlatLaser[[#This Row],[Qty Complete]]/tbl_FlatLaser[[#This Row],[Total Hours Act]]*tbl_FlatLaser[[#This Row],['# of men Act]],"")</f>
        <v/>
      </c>
      <c r="T112"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12" s="35" t="str">
        <f>IFERROR((tbl_FlatLaser[[#This Row],[Adj. Total Hours]]+tbl_FlatLaser[[#This Row],[Est. Hours]])/(tbl_FlatLaser[[#This Row],[Total Hours Act]]+tbl_FlatLaser[[#This Row],[Act. Hours]]),"")</f>
        <v/>
      </c>
      <c r="Y112"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12" s="104" t="str">
        <f>IFERROR(tbl_FlatLaser[[#This Row],[Act. Mat. Qty]]-tbl_FlatLaser[[#This Row],[Adj. Mat. Qty]],"")</f>
        <v/>
      </c>
      <c r="AA112"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12" s="31"/>
      <c r="AD112" s="36"/>
    </row>
    <row r="113" spans="3:30" ht="25" customHeight="1">
      <c r="C113" s="28" t="str">
        <f>IF(tbl_FlatLaser[[#This Row],[Part'#]]="", "Batch", "Part")</f>
        <v>Batch</v>
      </c>
      <c r="G113" s="28"/>
      <c r="I113" s="70" t="e">
        <f>tbl_FlatLaser[[#This Row],[Qty Complete]]/tbl_FlatLaser[[#This Row],[Qty Required]]</f>
        <v>#DIV/0!</v>
      </c>
      <c r="L113" s="31">
        <f>IF(tbl_FlatLaser[[#This Row],[Job Type]]="Batch",0,tbl_FlatLaser[[#This Row],[Qty Required]]/tbl_FlatLaser[[#This Row],[PPH]]*tbl_FlatLaser[[#This Row],['# of men]])</f>
        <v>0</v>
      </c>
      <c r="M113" s="31" t="e">
        <f>IF(tbl_FlatLaser[[#This Row],[Job Type]]="Batch",tbl_FlatLaser[[#This Row],[Batch Hours]]*tbl_FlatLaser[[#This Row],[% Complete]],tbl_FlatLaser[[#This Row],[Total hours]]*tbl_FlatLaser[[#This Row],[% Complete]])</f>
        <v>#DIV/0!</v>
      </c>
      <c r="N113" s="31"/>
      <c r="P113" s="28" t="e">
        <f>tbl_FlatLaser[[#This Row],[Mat. Qty]]*tbl_FlatLaser[[#This Row],[% Complete]]</f>
        <v>#DIV/0!</v>
      </c>
      <c r="R113" s="32" t="str">
        <f>IFERROR(tbl_FlatLaser[[#This Row],[Qty Complete]]/tbl_FlatLaser[[#This Row],[Total Hours Act]]*tbl_FlatLaser[[#This Row],['# of men Act]],"")</f>
        <v/>
      </c>
      <c r="T113"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13" s="35" t="str">
        <f>IFERROR((tbl_FlatLaser[[#This Row],[Adj. Total Hours]]+tbl_FlatLaser[[#This Row],[Est. Hours]])/(tbl_FlatLaser[[#This Row],[Total Hours Act]]+tbl_FlatLaser[[#This Row],[Act. Hours]]),"")</f>
        <v/>
      </c>
      <c r="Y113"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13" s="104" t="str">
        <f>IFERROR(tbl_FlatLaser[[#This Row],[Act. Mat. Qty]]-tbl_FlatLaser[[#This Row],[Adj. Mat. Qty]],"")</f>
        <v/>
      </c>
      <c r="AA113"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13" s="31"/>
      <c r="AD113" s="36"/>
    </row>
    <row r="114" spans="3:30" ht="25" customHeight="1">
      <c r="C114" s="28" t="str">
        <f>IF(tbl_FlatLaser[[#This Row],[Part'#]]="", "Batch", "Part")</f>
        <v>Batch</v>
      </c>
      <c r="G114" s="28"/>
      <c r="I114" s="70" t="e">
        <f>tbl_FlatLaser[[#This Row],[Qty Complete]]/tbl_FlatLaser[[#This Row],[Qty Required]]</f>
        <v>#DIV/0!</v>
      </c>
      <c r="L114" s="31">
        <f>IF(tbl_FlatLaser[[#This Row],[Job Type]]="Batch",0,tbl_FlatLaser[[#This Row],[Qty Required]]/tbl_FlatLaser[[#This Row],[PPH]]*tbl_FlatLaser[[#This Row],['# of men]])</f>
        <v>0</v>
      </c>
      <c r="M114" s="31" t="e">
        <f>IF(tbl_FlatLaser[[#This Row],[Job Type]]="Batch",tbl_FlatLaser[[#This Row],[Batch Hours]]*tbl_FlatLaser[[#This Row],[% Complete]],tbl_FlatLaser[[#This Row],[Total hours]]*tbl_FlatLaser[[#This Row],[% Complete]])</f>
        <v>#DIV/0!</v>
      </c>
      <c r="N114" s="31"/>
      <c r="P114" s="28" t="e">
        <f>tbl_FlatLaser[[#This Row],[Mat. Qty]]*tbl_FlatLaser[[#This Row],[% Complete]]</f>
        <v>#DIV/0!</v>
      </c>
      <c r="R114" s="32" t="str">
        <f>IFERROR(tbl_FlatLaser[[#This Row],[Qty Complete]]/tbl_FlatLaser[[#This Row],[Total Hours Act]]*tbl_FlatLaser[[#This Row],['# of men Act]],"")</f>
        <v/>
      </c>
      <c r="T114"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14" s="35" t="str">
        <f>IFERROR((tbl_FlatLaser[[#This Row],[Adj. Total Hours]]+tbl_FlatLaser[[#This Row],[Est. Hours]])/(tbl_FlatLaser[[#This Row],[Total Hours Act]]+tbl_FlatLaser[[#This Row],[Act. Hours]]),"")</f>
        <v/>
      </c>
      <c r="Y114"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14" s="104" t="str">
        <f>IFERROR(tbl_FlatLaser[[#This Row],[Act. Mat. Qty]]-tbl_FlatLaser[[#This Row],[Adj. Mat. Qty]],"")</f>
        <v/>
      </c>
      <c r="AA114"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14" s="31"/>
      <c r="AD114" s="36"/>
    </row>
    <row r="115" spans="3:30" ht="25" customHeight="1">
      <c r="C115" s="28" t="str">
        <f>IF(tbl_FlatLaser[[#This Row],[Part'#]]="", "Batch", "Part")</f>
        <v>Batch</v>
      </c>
      <c r="G115" s="28"/>
      <c r="I115" s="70" t="e">
        <f>tbl_FlatLaser[[#This Row],[Qty Complete]]/tbl_FlatLaser[[#This Row],[Qty Required]]</f>
        <v>#DIV/0!</v>
      </c>
      <c r="L115" s="31">
        <f>IF(tbl_FlatLaser[[#This Row],[Job Type]]="Batch",0,tbl_FlatLaser[[#This Row],[Qty Required]]/tbl_FlatLaser[[#This Row],[PPH]]*tbl_FlatLaser[[#This Row],['# of men]])</f>
        <v>0</v>
      </c>
      <c r="M115" s="31" t="e">
        <f>IF(tbl_FlatLaser[[#This Row],[Job Type]]="Batch",tbl_FlatLaser[[#This Row],[Batch Hours]]*tbl_FlatLaser[[#This Row],[% Complete]],tbl_FlatLaser[[#This Row],[Total hours]]*tbl_FlatLaser[[#This Row],[% Complete]])</f>
        <v>#DIV/0!</v>
      </c>
      <c r="N115" s="31"/>
      <c r="P115" s="28" t="e">
        <f>tbl_FlatLaser[[#This Row],[Mat. Qty]]*tbl_FlatLaser[[#This Row],[% Complete]]</f>
        <v>#DIV/0!</v>
      </c>
      <c r="R115" s="32" t="str">
        <f>IFERROR(tbl_FlatLaser[[#This Row],[Qty Complete]]/tbl_FlatLaser[[#This Row],[Total Hours Act]]*tbl_FlatLaser[[#This Row],['# of men Act]],"")</f>
        <v/>
      </c>
      <c r="T115"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15" s="35" t="str">
        <f>IFERROR((tbl_FlatLaser[[#This Row],[Adj. Total Hours]]+tbl_FlatLaser[[#This Row],[Est. Hours]])/(tbl_FlatLaser[[#This Row],[Total Hours Act]]+tbl_FlatLaser[[#This Row],[Act. Hours]]),"")</f>
        <v/>
      </c>
      <c r="Y115"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15" s="104" t="str">
        <f>IFERROR(tbl_FlatLaser[[#This Row],[Act. Mat. Qty]]-tbl_FlatLaser[[#This Row],[Adj. Mat. Qty]],"")</f>
        <v/>
      </c>
      <c r="AA115"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15" s="31"/>
      <c r="AD115" s="36"/>
    </row>
    <row r="116" spans="3:30" ht="25" customHeight="1">
      <c r="C116" s="28" t="str">
        <f>IF(tbl_FlatLaser[[#This Row],[Part'#]]="", "Batch", "Part")</f>
        <v>Batch</v>
      </c>
      <c r="G116" s="28"/>
      <c r="I116" s="70" t="e">
        <f>tbl_FlatLaser[[#This Row],[Qty Complete]]/tbl_FlatLaser[[#This Row],[Qty Required]]</f>
        <v>#DIV/0!</v>
      </c>
      <c r="L116" s="31">
        <f>IF(tbl_FlatLaser[[#This Row],[Job Type]]="Batch",0,tbl_FlatLaser[[#This Row],[Qty Required]]/tbl_FlatLaser[[#This Row],[PPH]]*tbl_FlatLaser[[#This Row],['# of men]])</f>
        <v>0</v>
      </c>
      <c r="M116" s="31" t="e">
        <f>IF(tbl_FlatLaser[[#This Row],[Job Type]]="Batch",tbl_FlatLaser[[#This Row],[Batch Hours]]*tbl_FlatLaser[[#This Row],[% Complete]],tbl_FlatLaser[[#This Row],[Total hours]]*tbl_FlatLaser[[#This Row],[% Complete]])</f>
        <v>#DIV/0!</v>
      </c>
      <c r="N116" s="31"/>
      <c r="P116" s="28" t="e">
        <f>tbl_FlatLaser[[#This Row],[Mat. Qty]]*tbl_FlatLaser[[#This Row],[% Complete]]</f>
        <v>#DIV/0!</v>
      </c>
      <c r="R116" s="32" t="str">
        <f>IFERROR(tbl_FlatLaser[[#This Row],[Qty Complete]]/tbl_FlatLaser[[#This Row],[Total Hours Act]]*tbl_FlatLaser[[#This Row],['# of men Act]],"")</f>
        <v/>
      </c>
      <c r="T116"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16" s="35" t="str">
        <f>IFERROR((tbl_FlatLaser[[#This Row],[Adj. Total Hours]]+tbl_FlatLaser[[#This Row],[Est. Hours]])/(tbl_FlatLaser[[#This Row],[Total Hours Act]]+tbl_FlatLaser[[#This Row],[Act. Hours]]),"")</f>
        <v/>
      </c>
      <c r="Y116"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16" s="104" t="str">
        <f>IFERROR(tbl_FlatLaser[[#This Row],[Act. Mat. Qty]]-tbl_FlatLaser[[#This Row],[Adj. Mat. Qty]],"")</f>
        <v/>
      </c>
      <c r="AA116"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16" s="31"/>
      <c r="AD116" s="36"/>
    </row>
    <row r="117" spans="3:30" ht="25" customHeight="1">
      <c r="C117" s="28" t="str">
        <f>IF(tbl_FlatLaser[[#This Row],[Part'#]]="", "Batch", "Part")</f>
        <v>Batch</v>
      </c>
      <c r="G117" s="28"/>
      <c r="I117" s="70" t="e">
        <f>tbl_FlatLaser[[#This Row],[Qty Complete]]/tbl_FlatLaser[[#This Row],[Qty Required]]</f>
        <v>#DIV/0!</v>
      </c>
      <c r="L117" s="31">
        <f>IF(tbl_FlatLaser[[#This Row],[Job Type]]="Batch",0,tbl_FlatLaser[[#This Row],[Qty Required]]/tbl_FlatLaser[[#This Row],[PPH]]*tbl_FlatLaser[[#This Row],['# of men]])</f>
        <v>0</v>
      </c>
      <c r="M117" s="31" t="e">
        <f>IF(tbl_FlatLaser[[#This Row],[Job Type]]="Batch",tbl_FlatLaser[[#This Row],[Batch Hours]]*tbl_FlatLaser[[#This Row],[% Complete]],tbl_FlatLaser[[#This Row],[Total hours]]*tbl_FlatLaser[[#This Row],[% Complete]])</f>
        <v>#DIV/0!</v>
      </c>
      <c r="N117" s="31"/>
      <c r="P117" s="28" t="e">
        <f>tbl_FlatLaser[[#This Row],[Mat. Qty]]*tbl_FlatLaser[[#This Row],[% Complete]]</f>
        <v>#DIV/0!</v>
      </c>
      <c r="R117" s="32" t="str">
        <f>IFERROR(tbl_FlatLaser[[#This Row],[Qty Complete]]/tbl_FlatLaser[[#This Row],[Total Hours Act]]*tbl_FlatLaser[[#This Row],['# of men Act]],"")</f>
        <v/>
      </c>
      <c r="T117"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17" s="35" t="str">
        <f>IFERROR((tbl_FlatLaser[[#This Row],[Adj. Total Hours]]+tbl_FlatLaser[[#This Row],[Est. Hours]])/(tbl_FlatLaser[[#This Row],[Total Hours Act]]+tbl_FlatLaser[[#This Row],[Act. Hours]]),"")</f>
        <v/>
      </c>
      <c r="Y117"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17" s="104" t="str">
        <f>IFERROR(tbl_FlatLaser[[#This Row],[Act. Mat. Qty]]-tbl_FlatLaser[[#This Row],[Adj. Mat. Qty]],"")</f>
        <v/>
      </c>
      <c r="AA117"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17" s="31"/>
      <c r="AD117" s="36"/>
    </row>
    <row r="118" spans="3:30" ht="25" customHeight="1">
      <c r="C118" s="28" t="str">
        <f>IF(tbl_FlatLaser[[#This Row],[Part'#]]="", "Batch", "Part")</f>
        <v>Batch</v>
      </c>
      <c r="G118" s="28"/>
      <c r="I118" s="70" t="e">
        <f>tbl_FlatLaser[[#This Row],[Qty Complete]]/tbl_FlatLaser[[#This Row],[Qty Required]]</f>
        <v>#DIV/0!</v>
      </c>
      <c r="L118" s="31">
        <f>IF(tbl_FlatLaser[[#This Row],[Job Type]]="Batch",0,tbl_FlatLaser[[#This Row],[Qty Required]]/tbl_FlatLaser[[#This Row],[PPH]]*tbl_FlatLaser[[#This Row],['# of men]])</f>
        <v>0</v>
      </c>
      <c r="M118" s="31" t="e">
        <f>IF(tbl_FlatLaser[[#This Row],[Job Type]]="Batch",tbl_FlatLaser[[#This Row],[Batch Hours]]*tbl_FlatLaser[[#This Row],[% Complete]],tbl_FlatLaser[[#This Row],[Total hours]]*tbl_FlatLaser[[#This Row],[% Complete]])</f>
        <v>#DIV/0!</v>
      </c>
      <c r="N118" s="31"/>
      <c r="P118" s="28" t="e">
        <f>tbl_FlatLaser[[#This Row],[Mat. Qty]]*tbl_FlatLaser[[#This Row],[% Complete]]</f>
        <v>#DIV/0!</v>
      </c>
      <c r="R118" s="32" t="str">
        <f>IFERROR(tbl_FlatLaser[[#This Row],[Qty Complete]]/tbl_FlatLaser[[#This Row],[Total Hours Act]]*tbl_FlatLaser[[#This Row],['# of men Act]],"")</f>
        <v/>
      </c>
      <c r="T118"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18" s="35" t="str">
        <f>IFERROR((tbl_FlatLaser[[#This Row],[Adj. Total Hours]]+tbl_FlatLaser[[#This Row],[Est. Hours]])/(tbl_FlatLaser[[#This Row],[Total Hours Act]]+tbl_FlatLaser[[#This Row],[Act. Hours]]),"")</f>
        <v/>
      </c>
      <c r="Y118"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18" s="104" t="str">
        <f>IFERROR(tbl_FlatLaser[[#This Row],[Act. Mat. Qty]]-tbl_FlatLaser[[#This Row],[Adj. Mat. Qty]],"")</f>
        <v/>
      </c>
      <c r="AA118"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18" s="31"/>
      <c r="AD118" s="36"/>
    </row>
    <row r="119" spans="3:30" ht="25" customHeight="1">
      <c r="C119" s="28" t="str">
        <f>IF(tbl_FlatLaser[[#This Row],[Part'#]]="", "Batch", "Part")</f>
        <v>Batch</v>
      </c>
      <c r="G119" s="28"/>
      <c r="I119" s="70" t="e">
        <f>tbl_FlatLaser[[#This Row],[Qty Complete]]/tbl_FlatLaser[[#This Row],[Qty Required]]</f>
        <v>#DIV/0!</v>
      </c>
      <c r="L119" s="31">
        <f>IF(tbl_FlatLaser[[#This Row],[Job Type]]="Batch",0,tbl_FlatLaser[[#This Row],[Qty Required]]/tbl_FlatLaser[[#This Row],[PPH]]*tbl_FlatLaser[[#This Row],['# of men]])</f>
        <v>0</v>
      </c>
      <c r="M119" s="31" t="e">
        <f>IF(tbl_FlatLaser[[#This Row],[Job Type]]="Batch",tbl_FlatLaser[[#This Row],[Batch Hours]]*tbl_FlatLaser[[#This Row],[% Complete]],tbl_FlatLaser[[#This Row],[Total hours]]*tbl_FlatLaser[[#This Row],[% Complete]])</f>
        <v>#DIV/0!</v>
      </c>
      <c r="N119" s="31"/>
      <c r="P119" s="28" t="e">
        <f>tbl_FlatLaser[[#This Row],[Mat. Qty]]*tbl_FlatLaser[[#This Row],[% Complete]]</f>
        <v>#DIV/0!</v>
      </c>
      <c r="R119" s="32" t="str">
        <f>IFERROR(tbl_FlatLaser[[#This Row],[Qty Complete]]/tbl_FlatLaser[[#This Row],[Total Hours Act]]*tbl_FlatLaser[[#This Row],['# of men Act]],"")</f>
        <v/>
      </c>
      <c r="T119"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19" s="35" t="str">
        <f>IFERROR((tbl_FlatLaser[[#This Row],[Adj. Total Hours]]+tbl_FlatLaser[[#This Row],[Est. Hours]])/(tbl_FlatLaser[[#This Row],[Total Hours Act]]+tbl_FlatLaser[[#This Row],[Act. Hours]]),"")</f>
        <v/>
      </c>
      <c r="Y119"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19" s="104" t="str">
        <f>IFERROR(tbl_FlatLaser[[#This Row],[Act. Mat. Qty]]-tbl_FlatLaser[[#This Row],[Adj. Mat. Qty]],"")</f>
        <v/>
      </c>
      <c r="AA119"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19" s="31"/>
      <c r="AD119" s="36"/>
    </row>
    <row r="120" spans="3:30" ht="25" customHeight="1">
      <c r="C120" s="28" t="str">
        <f>IF(tbl_FlatLaser[[#This Row],[Part'#]]="", "Batch", "Part")</f>
        <v>Batch</v>
      </c>
      <c r="G120" s="28"/>
      <c r="I120" s="70" t="e">
        <f>tbl_FlatLaser[[#This Row],[Qty Complete]]/tbl_FlatLaser[[#This Row],[Qty Required]]</f>
        <v>#DIV/0!</v>
      </c>
      <c r="L120" s="31">
        <f>IF(tbl_FlatLaser[[#This Row],[Job Type]]="Batch",0,tbl_FlatLaser[[#This Row],[Qty Required]]/tbl_FlatLaser[[#This Row],[PPH]]*tbl_FlatLaser[[#This Row],['# of men]])</f>
        <v>0</v>
      </c>
      <c r="M120" s="31" t="e">
        <f>IF(tbl_FlatLaser[[#This Row],[Job Type]]="Batch",tbl_FlatLaser[[#This Row],[Batch Hours]]*tbl_FlatLaser[[#This Row],[% Complete]],tbl_FlatLaser[[#This Row],[Total hours]]*tbl_FlatLaser[[#This Row],[% Complete]])</f>
        <v>#DIV/0!</v>
      </c>
      <c r="N120" s="31"/>
      <c r="P120" s="28" t="e">
        <f>tbl_FlatLaser[[#This Row],[Mat. Qty]]*tbl_FlatLaser[[#This Row],[% Complete]]</f>
        <v>#DIV/0!</v>
      </c>
      <c r="R120" s="32" t="str">
        <f>IFERROR(tbl_FlatLaser[[#This Row],[Qty Complete]]/tbl_FlatLaser[[#This Row],[Total Hours Act]]*tbl_FlatLaser[[#This Row],['# of men Act]],"")</f>
        <v/>
      </c>
      <c r="T120"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20" s="35" t="str">
        <f>IFERROR((tbl_FlatLaser[[#This Row],[Adj. Total Hours]]+tbl_FlatLaser[[#This Row],[Est. Hours]])/(tbl_FlatLaser[[#This Row],[Total Hours Act]]+tbl_FlatLaser[[#This Row],[Act. Hours]]),"")</f>
        <v/>
      </c>
      <c r="Y120"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20" s="104" t="str">
        <f>IFERROR(tbl_FlatLaser[[#This Row],[Act. Mat. Qty]]-tbl_FlatLaser[[#This Row],[Adj. Mat. Qty]],"")</f>
        <v/>
      </c>
      <c r="AA120"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20" s="31"/>
      <c r="AD120" s="36"/>
    </row>
    <row r="121" spans="3:30" ht="25" customHeight="1">
      <c r="C121" s="28" t="str">
        <f>IF(tbl_FlatLaser[[#This Row],[Part'#]]="", "Batch", "Part")</f>
        <v>Batch</v>
      </c>
      <c r="G121" s="28"/>
      <c r="I121" s="70" t="e">
        <f>tbl_FlatLaser[[#This Row],[Qty Complete]]/tbl_FlatLaser[[#This Row],[Qty Required]]</f>
        <v>#DIV/0!</v>
      </c>
      <c r="L121" s="31">
        <f>IF(tbl_FlatLaser[[#This Row],[Job Type]]="Batch",0,tbl_FlatLaser[[#This Row],[Qty Required]]/tbl_FlatLaser[[#This Row],[PPH]]*tbl_FlatLaser[[#This Row],['# of men]])</f>
        <v>0</v>
      </c>
      <c r="M121" s="31" t="e">
        <f>IF(tbl_FlatLaser[[#This Row],[Job Type]]="Batch",tbl_FlatLaser[[#This Row],[Batch Hours]]*tbl_FlatLaser[[#This Row],[% Complete]],tbl_FlatLaser[[#This Row],[Total hours]]*tbl_FlatLaser[[#This Row],[% Complete]])</f>
        <v>#DIV/0!</v>
      </c>
      <c r="N121" s="31"/>
      <c r="P121" s="28" t="e">
        <f>tbl_FlatLaser[[#This Row],[Mat. Qty]]*tbl_FlatLaser[[#This Row],[% Complete]]</f>
        <v>#DIV/0!</v>
      </c>
      <c r="R121" s="32" t="str">
        <f>IFERROR(tbl_FlatLaser[[#This Row],[Qty Complete]]/tbl_FlatLaser[[#This Row],[Total Hours Act]]*tbl_FlatLaser[[#This Row],['# of men Act]],"")</f>
        <v/>
      </c>
      <c r="T121"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21" s="35" t="str">
        <f>IFERROR((tbl_FlatLaser[[#This Row],[Adj. Total Hours]]+tbl_FlatLaser[[#This Row],[Est. Hours]])/(tbl_FlatLaser[[#This Row],[Total Hours Act]]+tbl_FlatLaser[[#This Row],[Act. Hours]]),"")</f>
        <v/>
      </c>
      <c r="Y121"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21" s="104" t="str">
        <f>IFERROR(tbl_FlatLaser[[#This Row],[Act. Mat. Qty]]-tbl_FlatLaser[[#This Row],[Adj. Mat. Qty]],"")</f>
        <v/>
      </c>
      <c r="AA121"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21" s="31"/>
      <c r="AD121" s="36"/>
    </row>
    <row r="122" spans="3:30" ht="25" customHeight="1">
      <c r="C122" s="28" t="str">
        <f>IF(tbl_FlatLaser[[#This Row],[Part'#]]="", "Batch", "Part")</f>
        <v>Batch</v>
      </c>
      <c r="G122" s="28"/>
      <c r="I122" s="70" t="e">
        <f>tbl_FlatLaser[[#This Row],[Qty Complete]]/tbl_FlatLaser[[#This Row],[Qty Required]]</f>
        <v>#DIV/0!</v>
      </c>
      <c r="L122" s="31">
        <f>IF(tbl_FlatLaser[[#This Row],[Job Type]]="Batch",0,tbl_FlatLaser[[#This Row],[Qty Required]]/tbl_FlatLaser[[#This Row],[PPH]]*tbl_FlatLaser[[#This Row],['# of men]])</f>
        <v>0</v>
      </c>
      <c r="M122" s="31" t="e">
        <f>IF(tbl_FlatLaser[[#This Row],[Job Type]]="Batch",tbl_FlatLaser[[#This Row],[Batch Hours]]*tbl_FlatLaser[[#This Row],[% Complete]],tbl_FlatLaser[[#This Row],[Total hours]]*tbl_FlatLaser[[#This Row],[% Complete]])</f>
        <v>#DIV/0!</v>
      </c>
      <c r="N122" s="31"/>
      <c r="P122" s="28" t="e">
        <f>tbl_FlatLaser[[#This Row],[Mat. Qty]]*tbl_FlatLaser[[#This Row],[% Complete]]</f>
        <v>#DIV/0!</v>
      </c>
      <c r="R122" s="32" t="str">
        <f>IFERROR(tbl_FlatLaser[[#This Row],[Qty Complete]]/tbl_FlatLaser[[#This Row],[Total Hours Act]]*tbl_FlatLaser[[#This Row],['# of men Act]],"")</f>
        <v/>
      </c>
      <c r="T122"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22" s="35" t="str">
        <f>IFERROR((tbl_FlatLaser[[#This Row],[Adj. Total Hours]]+tbl_FlatLaser[[#This Row],[Est. Hours]])/(tbl_FlatLaser[[#This Row],[Total Hours Act]]+tbl_FlatLaser[[#This Row],[Act. Hours]]),"")</f>
        <v/>
      </c>
      <c r="Y122"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22" s="104" t="str">
        <f>IFERROR(tbl_FlatLaser[[#This Row],[Act. Mat. Qty]]-tbl_FlatLaser[[#This Row],[Adj. Mat. Qty]],"")</f>
        <v/>
      </c>
      <c r="AA122"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22" s="31"/>
      <c r="AD122" s="36"/>
    </row>
    <row r="123" spans="3:30" ht="25" customHeight="1">
      <c r="C123" s="28" t="str">
        <f>IF(tbl_FlatLaser[[#This Row],[Part'#]]="", "Batch", "Part")</f>
        <v>Batch</v>
      </c>
      <c r="G123" s="28"/>
      <c r="I123" s="70" t="e">
        <f>tbl_FlatLaser[[#This Row],[Qty Complete]]/tbl_FlatLaser[[#This Row],[Qty Required]]</f>
        <v>#DIV/0!</v>
      </c>
      <c r="L123" s="31">
        <f>IF(tbl_FlatLaser[[#This Row],[Job Type]]="Batch",0,tbl_FlatLaser[[#This Row],[Qty Required]]/tbl_FlatLaser[[#This Row],[PPH]]*tbl_FlatLaser[[#This Row],['# of men]])</f>
        <v>0</v>
      </c>
      <c r="M123" s="31" t="e">
        <f>IF(tbl_FlatLaser[[#This Row],[Job Type]]="Batch",tbl_FlatLaser[[#This Row],[Batch Hours]]*tbl_FlatLaser[[#This Row],[% Complete]],tbl_FlatLaser[[#This Row],[Total hours]]*tbl_FlatLaser[[#This Row],[% Complete]])</f>
        <v>#DIV/0!</v>
      </c>
      <c r="N123" s="31"/>
      <c r="P123" s="28" t="e">
        <f>tbl_FlatLaser[[#This Row],[Mat. Qty]]*tbl_FlatLaser[[#This Row],[% Complete]]</f>
        <v>#DIV/0!</v>
      </c>
      <c r="R123" s="32" t="str">
        <f>IFERROR(tbl_FlatLaser[[#This Row],[Qty Complete]]/tbl_FlatLaser[[#This Row],[Total Hours Act]]*tbl_FlatLaser[[#This Row],['# of men Act]],"")</f>
        <v/>
      </c>
      <c r="T123"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23" s="35" t="str">
        <f>IFERROR((tbl_FlatLaser[[#This Row],[Adj. Total Hours]]+tbl_FlatLaser[[#This Row],[Est. Hours]])/(tbl_FlatLaser[[#This Row],[Total Hours Act]]+tbl_FlatLaser[[#This Row],[Act. Hours]]),"")</f>
        <v/>
      </c>
      <c r="Y123"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23" s="104" t="str">
        <f>IFERROR(tbl_FlatLaser[[#This Row],[Act. Mat. Qty]]-tbl_FlatLaser[[#This Row],[Adj. Mat. Qty]],"")</f>
        <v/>
      </c>
      <c r="AA123"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23" s="31"/>
      <c r="AD123" s="36"/>
    </row>
    <row r="124" spans="3:30" ht="25" customHeight="1">
      <c r="C124" s="28" t="str">
        <f>IF(tbl_FlatLaser[[#This Row],[Part'#]]="", "Batch", "Part")</f>
        <v>Batch</v>
      </c>
      <c r="G124" s="28"/>
      <c r="I124" s="70" t="e">
        <f>tbl_FlatLaser[[#This Row],[Qty Complete]]/tbl_FlatLaser[[#This Row],[Qty Required]]</f>
        <v>#DIV/0!</v>
      </c>
      <c r="L124" s="31">
        <f>IF(tbl_FlatLaser[[#This Row],[Job Type]]="Batch",0,tbl_FlatLaser[[#This Row],[Qty Required]]/tbl_FlatLaser[[#This Row],[PPH]]*tbl_FlatLaser[[#This Row],['# of men]])</f>
        <v>0</v>
      </c>
      <c r="M124" s="31" t="e">
        <f>IF(tbl_FlatLaser[[#This Row],[Job Type]]="Batch",tbl_FlatLaser[[#This Row],[Batch Hours]]*tbl_FlatLaser[[#This Row],[% Complete]],tbl_FlatLaser[[#This Row],[Total hours]]*tbl_FlatLaser[[#This Row],[% Complete]])</f>
        <v>#DIV/0!</v>
      </c>
      <c r="N124" s="31"/>
      <c r="P124" s="28" t="e">
        <f>tbl_FlatLaser[[#This Row],[Mat. Qty]]*tbl_FlatLaser[[#This Row],[% Complete]]</f>
        <v>#DIV/0!</v>
      </c>
      <c r="R124" s="32" t="str">
        <f>IFERROR(tbl_FlatLaser[[#This Row],[Qty Complete]]/tbl_FlatLaser[[#This Row],[Total Hours Act]]*tbl_FlatLaser[[#This Row],['# of men Act]],"")</f>
        <v/>
      </c>
      <c r="T124"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24" s="35" t="str">
        <f>IFERROR((tbl_FlatLaser[[#This Row],[Adj. Total Hours]]+tbl_FlatLaser[[#This Row],[Est. Hours]])/(tbl_FlatLaser[[#This Row],[Total Hours Act]]+tbl_FlatLaser[[#This Row],[Act. Hours]]),"")</f>
        <v/>
      </c>
      <c r="Y124"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24" s="104" t="str">
        <f>IFERROR(tbl_FlatLaser[[#This Row],[Act. Mat. Qty]]-tbl_FlatLaser[[#This Row],[Adj. Mat. Qty]],"")</f>
        <v/>
      </c>
      <c r="AA124"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24" s="31"/>
      <c r="AD124" s="36"/>
    </row>
    <row r="125" spans="3:30" ht="25" customHeight="1">
      <c r="C125" s="28" t="str">
        <f>IF(tbl_FlatLaser[[#This Row],[Part'#]]="", "Batch", "Part")</f>
        <v>Batch</v>
      </c>
      <c r="G125" s="28"/>
      <c r="I125" s="70" t="e">
        <f>tbl_FlatLaser[[#This Row],[Qty Complete]]/tbl_FlatLaser[[#This Row],[Qty Required]]</f>
        <v>#DIV/0!</v>
      </c>
      <c r="L125" s="31">
        <f>IF(tbl_FlatLaser[[#This Row],[Job Type]]="Batch",0,tbl_FlatLaser[[#This Row],[Qty Required]]/tbl_FlatLaser[[#This Row],[PPH]]*tbl_FlatLaser[[#This Row],['# of men]])</f>
        <v>0</v>
      </c>
      <c r="M125" s="31" t="e">
        <f>IF(tbl_FlatLaser[[#This Row],[Job Type]]="Batch",tbl_FlatLaser[[#This Row],[Batch Hours]]*tbl_FlatLaser[[#This Row],[% Complete]],tbl_FlatLaser[[#This Row],[Total hours]]*tbl_FlatLaser[[#This Row],[% Complete]])</f>
        <v>#DIV/0!</v>
      </c>
      <c r="N125" s="31"/>
      <c r="P125" s="28" t="e">
        <f>tbl_FlatLaser[[#This Row],[Mat. Qty]]*tbl_FlatLaser[[#This Row],[% Complete]]</f>
        <v>#DIV/0!</v>
      </c>
      <c r="R125" s="32" t="str">
        <f>IFERROR(tbl_FlatLaser[[#This Row],[Qty Complete]]/tbl_FlatLaser[[#This Row],[Total Hours Act]]*tbl_FlatLaser[[#This Row],['# of men Act]],"")</f>
        <v/>
      </c>
      <c r="T125"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25" s="35" t="str">
        <f>IFERROR((tbl_FlatLaser[[#This Row],[Adj. Total Hours]]+tbl_FlatLaser[[#This Row],[Est. Hours]])/(tbl_FlatLaser[[#This Row],[Total Hours Act]]+tbl_FlatLaser[[#This Row],[Act. Hours]]),"")</f>
        <v/>
      </c>
      <c r="Y125"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25" s="104" t="str">
        <f>IFERROR(tbl_FlatLaser[[#This Row],[Act. Mat. Qty]]-tbl_FlatLaser[[#This Row],[Adj. Mat. Qty]],"")</f>
        <v/>
      </c>
      <c r="AA125"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25" s="31"/>
      <c r="AD125" s="36"/>
    </row>
    <row r="126" spans="3:30" ht="25" customHeight="1">
      <c r="C126" s="28" t="str">
        <f>IF(tbl_FlatLaser[[#This Row],[Part'#]]="", "Batch", "Part")</f>
        <v>Batch</v>
      </c>
      <c r="G126" s="28"/>
      <c r="I126" s="70" t="e">
        <f>tbl_FlatLaser[[#This Row],[Qty Complete]]/tbl_FlatLaser[[#This Row],[Qty Required]]</f>
        <v>#DIV/0!</v>
      </c>
      <c r="L126" s="31">
        <f>IF(tbl_FlatLaser[[#This Row],[Job Type]]="Batch",0,tbl_FlatLaser[[#This Row],[Qty Required]]/tbl_FlatLaser[[#This Row],[PPH]]*tbl_FlatLaser[[#This Row],['# of men]])</f>
        <v>0</v>
      </c>
      <c r="M126" s="31" t="e">
        <f>IF(tbl_FlatLaser[[#This Row],[Job Type]]="Batch",tbl_FlatLaser[[#This Row],[Batch Hours]]*tbl_FlatLaser[[#This Row],[% Complete]],tbl_FlatLaser[[#This Row],[Total hours]]*tbl_FlatLaser[[#This Row],[% Complete]])</f>
        <v>#DIV/0!</v>
      </c>
      <c r="N126" s="31"/>
      <c r="P126" s="28" t="e">
        <f>tbl_FlatLaser[[#This Row],[Mat. Qty]]*tbl_FlatLaser[[#This Row],[% Complete]]</f>
        <v>#DIV/0!</v>
      </c>
      <c r="R126" s="32" t="str">
        <f>IFERROR(tbl_FlatLaser[[#This Row],[Qty Complete]]/tbl_FlatLaser[[#This Row],[Total Hours Act]]*tbl_FlatLaser[[#This Row],['# of men Act]],"")</f>
        <v/>
      </c>
      <c r="T126"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26" s="35" t="str">
        <f>IFERROR((tbl_FlatLaser[[#This Row],[Adj. Total Hours]]+tbl_FlatLaser[[#This Row],[Est. Hours]])/(tbl_FlatLaser[[#This Row],[Total Hours Act]]+tbl_FlatLaser[[#This Row],[Act. Hours]]),"")</f>
        <v/>
      </c>
      <c r="Y126"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26" s="104" t="str">
        <f>IFERROR(tbl_FlatLaser[[#This Row],[Act. Mat. Qty]]-tbl_FlatLaser[[#This Row],[Adj. Mat. Qty]],"")</f>
        <v/>
      </c>
      <c r="AA126"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26" s="31"/>
      <c r="AD126" s="36"/>
    </row>
    <row r="127" spans="3:30" ht="25" customHeight="1">
      <c r="C127" s="28" t="str">
        <f>IF(tbl_FlatLaser[[#This Row],[Part'#]]="", "Batch", "Part")</f>
        <v>Batch</v>
      </c>
      <c r="G127" s="28"/>
      <c r="I127" s="70" t="e">
        <f>tbl_FlatLaser[[#This Row],[Qty Complete]]/tbl_FlatLaser[[#This Row],[Qty Required]]</f>
        <v>#DIV/0!</v>
      </c>
      <c r="L127" s="31">
        <f>IF(tbl_FlatLaser[[#This Row],[Job Type]]="Batch",0,tbl_FlatLaser[[#This Row],[Qty Required]]/tbl_FlatLaser[[#This Row],[PPH]]*tbl_FlatLaser[[#This Row],['# of men]])</f>
        <v>0</v>
      </c>
      <c r="M127" s="31" t="e">
        <f>IF(tbl_FlatLaser[[#This Row],[Job Type]]="Batch",tbl_FlatLaser[[#This Row],[Batch Hours]]*tbl_FlatLaser[[#This Row],[% Complete]],tbl_FlatLaser[[#This Row],[Total hours]]*tbl_FlatLaser[[#This Row],[% Complete]])</f>
        <v>#DIV/0!</v>
      </c>
      <c r="N127" s="31"/>
      <c r="P127" s="28" t="e">
        <f>tbl_FlatLaser[[#This Row],[Mat. Qty]]*tbl_FlatLaser[[#This Row],[% Complete]]</f>
        <v>#DIV/0!</v>
      </c>
      <c r="R127" s="32" t="str">
        <f>IFERROR(tbl_FlatLaser[[#This Row],[Qty Complete]]/tbl_FlatLaser[[#This Row],[Total Hours Act]]*tbl_FlatLaser[[#This Row],['# of men Act]],"")</f>
        <v/>
      </c>
      <c r="T127"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27" s="35" t="str">
        <f>IFERROR((tbl_FlatLaser[[#This Row],[Adj. Total Hours]]+tbl_FlatLaser[[#This Row],[Est. Hours]])/(tbl_FlatLaser[[#This Row],[Total Hours Act]]+tbl_FlatLaser[[#This Row],[Act. Hours]]),"")</f>
        <v/>
      </c>
      <c r="Y127"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27" s="104" t="str">
        <f>IFERROR(tbl_FlatLaser[[#This Row],[Act. Mat. Qty]]-tbl_FlatLaser[[#This Row],[Adj. Mat. Qty]],"")</f>
        <v/>
      </c>
      <c r="AA127"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27" s="31"/>
      <c r="AD127" s="36"/>
    </row>
    <row r="128" spans="3:30" ht="25" customHeight="1">
      <c r="C128" s="28" t="str">
        <f>IF(tbl_FlatLaser[[#This Row],[Part'#]]="", "Batch", "Part")</f>
        <v>Batch</v>
      </c>
      <c r="G128" s="28"/>
      <c r="I128" s="70" t="e">
        <f>tbl_FlatLaser[[#This Row],[Qty Complete]]/tbl_FlatLaser[[#This Row],[Qty Required]]</f>
        <v>#DIV/0!</v>
      </c>
      <c r="L128" s="31">
        <f>IF(tbl_FlatLaser[[#This Row],[Job Type]]="Batch",0,tbl_FlatLaser[[#This Row],[Qty Required]]/tbl_FlatLaser[[#This Row],[PPH]]*tbl_FlatLaser[[#This Row],['# of men]])</f>
        <v>0</v>
      </c>
      <c r="M128" s="31" t="e">
        <f>IF(tbl_FlatLaser[[#This Row],[Job Type]]="Batch",tbl_FlatLaser[[#This Row],[Batch Hours]]*tbl_FlatLaser[[#This Row],[% Complete]],tbl_FlatLaser[[#This Row],[Total hours]]*tbl_FlatLaser[[#This Row],[% Complete]])</f>
        <v>#DIV/0!</v>
      </c>
      <c r="N128" s="31"/>
      <c r="P128" s="28" t="e">
        <f>tbl_FlatLaser[[#This Row],[Mat. Qty]]*tbl_FlatLaser[[#This Row],[% Complete]]</f>
        <v>#DIV/0!</v>
      </c>
      <c r="R128" s="32" t="str">
        <f>IFERROR(tbl_FlatLaser[[#This Row],[Qty Complete]]/tbl_FlatLaser[[#This Row],[Total Hours Act]]*tbl_FlatLaser[[#This Row],['# of men Act]],"")</f>
        <v/>
      </c>
      <c r="T128"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28" s="35" t="str">
        <f>IFERROR((tbl_FlatLaser[[#This Row],[Adj. Total Hours]]+tbl_FlatLaser[[#This Row],[Est. Hours]])/(tbl_FlatLaser[[#This Row],[Total Hours Act]]+tbl_FlatLaser[[#This Row],[Act. Hours]]),"")</f>
        <v/>
      </c>
      <c r="Y128"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28" s="104" t="str">
        <f>IFERROR(tbl_FlatLaser[[#This Row],[Act. Mat. Qty]]-tbl_FlatLaser[[#This Row],[Adj. Mat. Qty]],"")</f>
        <v/>
      </c>
      <c r="AA128"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28" s="31"/>
      <c r="AD128" s="36"/>
    </row>
    <row r="129" spans="3:30" ht="25" customHeight="1">
      <c r="C129" s="28" t="str">
        <f>IF(tbl_FlatLaser[[#This Row],[Part'#]]="", "Batch", "Part")</f>
        <v>Batch</v>
      </c>
      <c r="G129" s="28"/>
      <c r="I129" s="70" t="e">
        <f>tbl_FlatLaser[[#This Row],[Qty Complete]]/tbl_FlatLaser[[#This Row],[Qty Required]]</f>
        <v>#DIV/0!</v>
      </c>
      <c r="L129" s="31">
        <f>IF(tbl_FlatLaser[[#This Row],[Job Type]]="Batch",0,tbl_FlatLaser[[#This Row],[Qty Required]]/tbl_FlatLaser[[#This Row],[PPH]]*tbl_FlatLaser[[#This Row],['# of men]])</f>
        <v>0</v>
      </c>
      <c r="M129" s="31" t="e">
        <f>IF(tbl_FlatLaser[[#This Row],[Job Type]]="Batch",tbl_FlatLaser[[#This Row],[Batch Hours]]*tbl_FlatLaser[[#This Row],[% Complete]],tbl_FlatLaser[[#This Row],[Total hours]]*tbl_FlatLaser[[#This Row],[% Complete]])</f>
        <v>#DIV/0!</v>
      </c>
      <c r="N129" s="31"/>
      <c r="P129" s="28" t="e">
        <f>tbl_FlatLaser[[#This Row],[Mat. Qty]]*tbl_FlatLaser[[#This Row],[% Complete]]</f>
        <v>#DIV/0!</v>
      </c>
      <c r="R129" s="32" t="str">
        <f>IFERROR(tbl_FlatLaser[[#This Row],[Qty Complete]]/tbl_FlatLaser[[#This Row],[Total Hours Act]]*tbl_FlatLaser[[#This Row],['# of men Act]],"")</f>
        <v/>
      </c>
      <c r="T129"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29" s="35" t="str">
        <f>IFERROR((tbl_FlatLaser[[#This Row],[Adj. Total Hours]]+tbl_FlatLaser[[#This Row],[Est. Hours]])/(tbl_FlatLaser[[#This Row],[Total Hours Act]]+tbl_FlatLaser[[#This Row],[Act. Hours]]),"")</f>
        <v/>
      </c>
      <c r="Y129"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29" s="104" t="str">
        <f>IFERROR(tbl_FlatLaser[[#This Row],[Act. Mat. Qty]]-tbl_FlatLaser[[#This Row],[Adj. Mat. Qty]],"")</f>
        <v/>
      </c>
      <c r="AA129"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29" s="31"/>
      <c r="AD129" s="36"/>
    </row>
    <row r="130" spans="3:30" ht="25" customHeight="1">
      <c r="C130" s="28" t="str">
        <f>IF(tbl_FlatLaser[[#This Row],[Part'#]]="", "Batch", "Part")</f>
        <v>Batch</v>
      </c>
      <c r="G130" s="28"/>
      <c r="I130" s="70" t="e">
        <f>tbl_FlatLaser[[#This Row],[Qty Complete]]/tbl_FlatLaser[[#This Row],[Qty Required]]</f>
        <v>#DIV/0!</v>
      </c>
      <c r="L130" s="31">
        <f>IF(tbl_FlatLaser[[#This Row],[Job Type]]="Batch",0,tbl_FlatLaser[[#This Row],[Qty Required]]/tbl_FlatLaser[[#This Row],[PPH]]*tbl_FlatLaser[[#This Row],['# of men]])</f>
        <v>0</v>
      </c>
      <c r="M130" s="31" t="e">
        <f>IF(tbl_FlatLaser[[#This Row],[Job Type]]="Batch",tbl_FlatLaser[[#This Row],[Batch Hours]]*tbl_FlatLaser[[#This Row],[% Complete]],tbl_FlatLaser[[#This Row],[Total hours]]*tbl_FlatLaser[[#This Row],[% Complete]])</f>
        <v>#DIV/0!</v>
      </c>
      <c r="N130" s="31"/>
      <c r="P130" s="28" t="e">
        <f>tbl_FlatLaser[[#This Row],[Mat. Qty]]*tbl_FlatLaser[[#This Row],[% Complete]]</f>
        <v>#DIV/0!</v>
      </c>
      <c r="R130" s="32" t="str">
        <f>IFERROR(tbl_FlatLaser[[#This Row],[Qty Complete]]/tbl_FlatLaser[[#This Row],[Total Hours Act]]*tbl_FlatLaser[[#This Row],['# of men Act]],"")</f>
        <v/>
      </c>
      <c r="T130"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30" s="35" t="str">
        <f>IFERROR((tbl_FlatLaser[[#This Row],[Adj. Total Hours]]+tbl_FlatLaser[[#This Row],[Est. Hours]])/(tbl_FlatLaser[[#This Row],[Total Hours Act]]+tbl_FlatLaser[[#This Row],[Act. Hours]]),"")</f>
        <v/>
      </c>
      <c r="Y130"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30" s="104" t="str">
        <f>IFERROR(tbl_FlatLaser[[#This Row],[Act. Mat. Qty]]-tbl_FlatLaser[[#This Row],[Adj. Mat. Qty]],"")</f>
        <v/>
      </c>
      <c r="AA130"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30" s="31"/>
      <c r="AD130" s="36"/>
    </row>
    <row r="131" spans="3:30" ht="25" customHeight="1">
      <c r="C131" s="28" t="str">
        <f>IF(tbl_FlatLaser[[#This Row],[Part'#]]="", "Batch", "Part")</f>
        <v>Batch</v>
      </c>
      <c r="G131" s="28"/>
      <c r="I131" s="70" t="e">
        <f>tbl_FlatLaser[[#This Row],[Qty Complete]]/tbl_FlatLaser[[#This Row],[Qty Required]]</f>
        <v>#DIV/0!</v>
      </c>
      <c r="L131" s="31">
        <f>IF(tbl_FlatLaser[[#This Row],[Job Type]]="Batch",0,tbl_FlatLaser[[#This Row],[Qty Required]]/tbl_FlatLaser[[#This Row],[PPH]]*tbl_FlatLaser[[#This Row],['# of men]])</f>
        <v>0</v>
      </c>
      <c r="M131" s="31" t="e">
        <f>IF(tbl_FlatLaser[[#This Row],[Job Type]]="Batch",tbl_FlatLaser[[#This Row],[Batch Hours]]*tbl_FlatLaser[[#This Row],[% Complete]],tbl_FlatLaser[[#This Row],[Total hours]]*tbl_FlatLaser[[#This Row],[% Complete]])</f>
        <v>#DIV/0!</v>
      </c>
      <c r="N131" s="31"/>
      <c r="P131" s="28" t="e">
        <f>tbl_FlatLaser[[#This Row],[Mat. Qty]]*tbl_FlatLaser[[#This Row],[% Complete]]</f>
        <v>#DIV/0!</v>
      </c>
      <c r="R131" s="32" t="str">
        <f>IFERROR(tbl_FlatLaser[[#This Row],[Qty Complete]]/tbl_FlatLaser[[#This Row],[Total Hours Act]]*tbl_FlatLaser[[#This Row],['# of men Act]],"")</f>
        <v/>
      </c>
      <c r="T131"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31" s="35" t="str">
        <f>IFERROR((tbl_FlatLaser[[#This Row],[Adj. Total Hours]]+tbl_FlatLaser[[#This Row],[Est. Hours]])/(tbl_FlatLaser[[#This Row],[Total Hours Act]]+tbl_FlatLaser[[#This Row],[Act. Hours]]),"")</f>
        <v/>
      </c>
      <c r="Y131"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31" s="104" t="str">
        <f>IFERROR(tbl_FlatLaser[[#This Row],[Act. Mat. Qty]]-tbl_FlatLaser[[#This Row],[Adj. Mat. Qty]],"")</f>
        <v/>
      </c>
      <c r="AA131"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31" s="31"/>
      <c r="AD131" s="36"/>
    </row>
    <row r="132" spans="3:30" ht="25" customHeight="1">
      <c r="C132" s="28" t="str">
        <f>IF(tbl_FlatLaser[[#This Row],[Part'#]]="", "Batch", "Part")</f>
        <v>Batch</v>
      </c>
      <c r="G132" s="28"/>
      <c r="I132" s="70" t="e">
        <f>tbl_FlatLaser[[#This Row],[Qty Complete]]/tbl_FlatLaser[[#This Row],[Qty Required]]</f>
        <v>#DIV/0!</v>
      </c>
      <c r="L132" s="31">
        <f>IF(tbl_FlatLaser[[#This Row],[Job Type]]="Batch",0,tbl_FlatLaser[[#This Row],[Qty Required]]/tbl_FlatLaser[[#This Row],[PPH]]*tbl_FlatLaser[[#This Row],['# of men]])</f>
        <v>0</v>
      </c>
      <c r="M132" s="31" t="e">
        <f>IF(tbl_FlatLaser[[#This Row],[Job Type]]="Batch",tbl_FlatLaser[[#This Row],[Batch Hours]]*tbl_FlatLaser[[#This Row],[% Complete]],tbl_FlatLaser[[#This Row],[Total hours]]*tbl_FlatLaser[[#This Row],[% Complete]])</f>
        <v>#DIV/0!</v>
      </c>
      <c r="N132" s="31"/>
      <c r="P132" s="28" t="e">
        <f>tbl_FlatLaser[[#This Row],[Mat. Qty]]*tbl_FlatLaser[[#This Row],[% Complete]]</f>
        <v>#DIV/0!</v>
      </c>
      <c r="R132" s="32" t="str">
        <f>IFERROR(tbl_FlatLaser[[#This Row],[Qty Complete]]/tbl_FlatLaser[[#This Row],[Total Hours Act]]*tbl_FlatLaser[[#This Row],['# of men Act]],"")</f>
        <v/>
      </c>
      <c r="T132"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32" s="35" t="str">
        <f>IFERROR((tbl_FlatLaser[[#This Row],[Adj. Total Hours]]+tbl_FlatLaser[[#This Row],[Est. Hours]])/(tbl_FlatLaser[[#This Row],[Total Hours Act]]+tbl_FlatLaser[[#This Row],[Act. Hours]]),"")</f>
        <v/>
      </c>
      <c r="Y132"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32" s="104" t="str">
        <f>IFERROR(tbl_FlatLaser[[#This Row],[Act. Mat. Qty]]-tbl_FlatLaser[[#This Row],[Adj. Mat. Qty]],"")</f>
        <v/>
      </c>
      <c r="AA132"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32" s="31"/>
      <c r="AD132" s="36"/>
    </row>
    <row r="133" spans="3:30" ht="25" customHeight="1">
      <c r="C133" s="28" t="str">
        <f>IF(tbl_FlatLaser[[#This Row],[Part'#]]="", "Batch", "Part")</f>
        <v>Batch</v>
      </c>
      <c r="G133" s="28"/>
      <c r="I133" s="70" t="e">
        <f>tbl_FlatLaser[[#This Row],[Qty Complete]]/tbl_FlatLaser[[#This Row],[Qty Required]]</f>
        <v>#DIV/0!</v>
      </c>
      <c r="L133" s="31">
        <f>IF(tbl_FlatLaser[[#This Row],[Job Type]]="Batch",0,tbl_FlatLaser[[#This Row],[Qty Required]]/tbl_FlatLaser[[#This Row],[PPH]]*tbl_FlatLaser[[#This Row],['# of men]])</f>
        <v>0</v>
      </c>
      <c r="M133" s="31" t="e">
        <f>IF(tbl_FlatLaser[[#This Row],[Job Type]]="Batch",tbl_FlatLaser[[#This Row],[Batch Hours]]*tbl_FlatLaser[[#This Row],[% Complete]],tbl_FlatLaser[[#This Row],[Total hours]]*tbl_FlatLaser[[#This Row],[% Complete]])</f>
        <v>#DIV/0!</v>
      </c>
      <c r="N133" s="31"/>
      <c r="P133" s="28" t="e">
        <f>tbl_FlatLaser[[#This Row],[Mat. Qty]]*tbl_FlatLaser[[#This Row],[% Complete]]</f>
        <v>#DIV/0!</v>
      </c>
      <c r="R133" s="32" t="str">
        <f>IFERROR(tbl_FlatLaser[[#This Row],[Qty Complete]]/tbl_FlatLaser[[#This Row],[Total Hours Act]]*tbl_FlatLaser[[#This Row],['# of men Act]],"")</f>
        <v/>
      </c>
      <c r="T133"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33" s="35" t="str">
        <f>IFERROR((tbl_FlatLaser[[#This Row],[Adj. Total Hours]]+tbl_FlatLaser[[#This Row],[Est. Hours]])/(tbl_FlatLaser[[#This Row],[Total Hours Act]]+tbl_FlatLaser[[#This Row],[Act. Hours]]),"")</f>
        <v/>
      </c>
      <c r="Y133"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33" s="104" t="str">
        <f>IFERROR(tbl_FlatLaser[[#This Row],[Act. Mat. Qty]]-tbl_FlatLaser[[#This Row],[Adj. Mat. Qty]],"")</f>
        <v/>
      </c>
      <c r="AA133"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33" s="31"/>
      <c r="AD133" s="36"/>
    </row>
    <row r="134" spans="3:30" ht="25" customHeight="1">
      <c r="C134" s="28" t="str">
        <f>IF(tbl_FlatLaser[[#This Row],[Part'#]]="", "Batch", "Part")</f>
        <v>Batch</v>
      </c>
      <c r="G134" s="28"/>
      <c r="I134" s="70" t="e">
        <f>tbl_FlatLaser[[#This Row],[Qty Complete]]/tbl_FlatLaser[[#This Row],[Qty Required]]</f>
        <v>#DIV/0!</v>
      </c>
      <c r="L134" s="31">
        <f>IF(tbl_FlatLaser[[#This Row],[Job Type]]="Batch",0,tbl_FlatLaser[[#This Row],[Qty Required]]/tbl_FlatLaser[[#This Row],[PPH]]*tbl_FlatLaser[[#This Row],['# of men]])</f>
        <v>0</v>
      </c>
      <c r="M134" s="31" t="e">
        <f>IF(tbl_FlatLaser[[#This Row],[Job Type]]="Batch",tbl_FlatLaser[[#This Row],[Batch Hours]]*tbl_FlatLaser[[#This Row],[% Complete]],tbl_FlatLaser[[#This Row],[Total hours]]*tbl_FlatLaser[[#This Row],[% Complete]])</f>
        <v>#DIV/0!</v>
      </c>
      <c r="N134" s="31"/>
      <c r="P134" s="28" t="e">
        <f>tbl_FlatLaser[[#This Row],[Mat. Qty]]*tbl_FlatLaser[[#This Row],[% Complete]]</f>
        <v>#DIV/0!</v>
      </c>
      <c r="R134" s="32" t="str">
        <f>IFERROR(tbl_FlatLaser[[#This Row],[Qty Complete]]/tbl_FlatLaser[[#This Row],[Total Hours Act]]*tbl_FlatLaser[[#This Row],['# of men Act]],"")</f>
        <v/>
      </c>
      <c r="T134"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34" s="35" t="str">
        <f>IFERROR((tbl_FlatLaser[[#This Row],[Adj. Total Hours]]+tbl_FlatLaser[[#This Row],[Est. Hours]])/(tbl_FlatLaser[[#This Row],[Total Hours Act]]+tbl_FlatLaser[[#This Row],[Act. Hours]]),"")</f>
        <v/>
      </c>
      <c r="Y134"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34" s="104" t="str">
        <f>IFERROR(tbl_FlatLaser[[#This Row],[Act. Mat. Qty]]-tbl_FlatLaser[[#This Row],[Adj. Mat. Qty]],"")</f>
        <v/>
      </c>
      <c r="AA134"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34" s="31"/>
      <c r="AD134" s="36"/>
    </row>
    <row r="135" spans="3:30" ht="25" customHeight="1">
      <c r="C135" s="28" t="str">
        <f>IF(tbl_FlatLaser[[#This Row],[Part'#]]="", "Batch", "Part")</f>
        <v>Batch</v>
      </c>
      <c r="G135" s="28"/>
      <c r="I135" s="70" t="e">
        <f>tbl_FlatLaser[[#This Row],[Qty Complete]]/tbl_FlatLaser[[#This Row],[Qty Required]]</f>
        <v>#DIV/0!</v>
      </c>
      <c r="L135" s="31">
        <f>IF(tbl_FlatLaser[[#This Row],[Job Type]]="Batch",0,tbl_FlatLaser[[#This Row],[Qty Required]]/tbl_FlatLaser[[#This Row],[PPH]]*tbl_FlatLaser[[#This Row],['# of men]])</f>
        <v>0</v>
      </c>
      <c r="M135" s="31" t="e">
        <f>IF(tbl_FlatLaser[[#This Row],[Job Type]]="Batch",tbl_FlatLaser[[#This Row],[Batch Hours]]*tbl_FlatLaser[[#This Row],[% Complete]],tbl_FlatLaser[[#This Row],[Total hours]]*tbl_FlatLaser[[#This Row],[% Complete]])</f>
        <v>#DIV/0!</v>
      </c>
      <c r="N135" s="31"/>
      <c r="P135" s="28" t="e">
        <f>tbl_FlatLaser[[#This Row],[Mat. Qty]]*tbl_FlatLaser[[#This Row],[% Complete]]</f>
        <v>#DIV/0!</v>
      </c>
      <c r="R135" s="32" t="str">
        <f>IFERROR(tbl_FlatLaser[[#This Row],[Qty Complete]]/tbl_FlatLaser[[#This Row],[Total Hours Act]]*tbl_FlatLaser[[#This Row],['# of men Act]],"")</f>
        <v/>
      </c>
      <c r="T135"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35" s="35" t="str">
        <f>IFERROR((tbl_FlatLaser[[#This Row],[Adj. Total Hours]]+tbl_FlatLaser[[#This Row],[Est. Hours]])/(tbl_FlatLaser[[#This Row],[Total Hours Act]]+tbl_FlatLaser[[#This Row],[Act. Hours]]),"")</f>
        <v/>
      </c>
      <c r="Y135"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35" s="104" t="str">
        <f>IFERROR(tbl_FlatLaser[[#This Row],[Act. Mat. Qty]]-tbl_FlatLaser[[#This Row],[Adj. Mat. Qty]],"")</f>
        <v/>
      </c>
      <c r="AA135"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35" s="31"/>
      <c r="AD135" s="36"/>
    </row>
    <row r="136" spans="3:30" ht="25" customHeight="1">
      <c r="C136" s="28" t="str">
        <f>IF(tbl_FlatLaser[[#This Row],[Part'#]]="", "Batch", "Part")</f>
        <v>Batch</v>
      </c>
      <c r="G136" s="28"/>
      <c r="I136" s="70" t="e">
        <f>tbl_FlatLaser[[#This Row],[Qty Complete]]/tbl_FlatLaser[[#This Row],[Qty Required]]</f>
        <v>#DIV/0!</v>
      </c>
      <c r="L136" s="31">
        <f>IF(tbl_FlatLaser[[#This Row],[Job Type]]="Batch",0,tbl_FlatLaser[[#This Row],[Qty Required]]/tbl_FlatLaser[[#This Row],[PPH]]*tbl_FlatLaser[[#This Row],['# of men]])</f>
        <v>0</v>
      </c>
      <c r="M136" s="31" t="e">
        <f>IF(tbl_FlatLaser[[#This Row],[Job Type]]="Batch",tbl_FlatLaser[[#This Row],[Batch Hours]]*tbl_FlatLaser[[#This Row],[% Complete]],tbl_FlatLaser[[#This Row],[Total hours]]*tbl_FlatLaser[[#This Row],[% Complete]])</f>
        <v>#DIV/0!</v>
      </c>
      <c r="N136" s="31"/>
      <c r="P136" s="28" t="e">
        <f>tbl_FlatLaser[[#This Row],[Mat. Qty]]*tbl_FlatLaser[[#This Row],[% Complete]]</f>
        <v>#DIV/0!</v>
      </c>
      <c r="R136" s="32" t="str">
        <f>IFERROR(tbl_FlatLaser[[#This Row],[Qty Complete]]/tbl_FlatLaser[[#This Row],[Total Hours Act]]*tbl_FlatLaser[[#This Row],['# of men Act]],"")</f>
        <v/>
      </c>
      <c r="T136"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36" s="35" t="str">
        <f>IFERROR((tbl_FlatLaser[[#This Row],[Adj. Total Hours]]+tbl_FlatLaser[[#This Row],[Est. Hours]])/(tbl_FlatLaser[[#This Row],[Total Hours Act]]+tbl_FlatLaser[[#This Row],[Act. Hours]]),"")</f>
        <v/>
      </c>
      <c r="Y136"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36" s="104" t="str">
        <f>IFERROR(tbl_FlatLaser[[#This Row],[Act. Mat. Qty]]-tbl_FlatLaser[[#This Row],[Adj. Mat. Qty]],"")</f>
        <v/>
      </c>
      <c r="AA136"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36" s="31"/>
      <c r="AD136" s="36"/>
    </row>
    <row r="137" spans="3:30" ht="25" customHeight="1">
      <c r="C137" s="28" t="str">
        <f>IF(tbl_FlatLaser[[#This Row],[Part'#]]="", "Batch", "Part")</f>
        <v>Batch</v>
      </c>
      <c r="G137" s="28"/>
      <c r="I137" s="70" t="e">
        <f>tbl_FlatLaser[[#This Row],[Qty Complete]]/tbl_FlatLaser[[#This Row],[Qty Required]]</f>
        <v>#DIV/0!</v>
      </c>
      <c r="L137" s="31">
        <f>IF(tbl_FlatLaser[[#This Row],[Job Type]]="Batch",0,tbl_FlatLaser[[#This Row],[Qty Required]]/tbl_FlatLaser[[#This Row],[PPH]]*tbl_FlatLaser[[#This Row],['# of men]])</f>
        <v>0</v>
      </c>
      <c r="M137" s="31" t="e">
        <f>IF(tbl_FlatLaser[[#This Row],[Job Type]]="Batch",tbl_FlatLaser[[#This Row],[Batch Hours]]*tbl_FlatLaser[[#This Row],[% Complete]],tbl_FlatLaser[[#This Row],[Total hours]]*tbl_FlatLaser[[#This Row],[% Complete]])</f>
        <v>#DIV/0!</v>
      </c>
      <c r="N137" s="31"/>
      <c r="P137" s="28" t="e">
        <f>tbl_FlatLaser[[#This Row],[Mat. Qty]]*tbl_FlatLaser[[#This Row],[% Complete]]</f>
        <v>#DIV/0!</v>
      </c>
      <c r="R137" s="32" t="str">
        <f>IFERROR(tbl_FlatLaser[[#This Row],[Qty Complete]]/tbl_FlatLaser[[#This Row],[Total Hours Act]]*tbl_FlatLaser[[#This Row],['# of men Act]],"")</f>
        <v/>
      </c>
      <c r="T137"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37" s="35" t="str">
        <f>IFERROR((tbl_FlatLaser[[#This Row],[Adj. Total Hours]]+tbl_FlatLaser[[#This Row],[Est. Hours]])/(tbl_FlatLaser[[#This Row],[Total Hours Act]]+tbl_FlatLaser[[#This Row],[Act. Hours]]),"")</f>
        <v/>
      </c>
      <c r="Y137"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37" s="104" t="str">
        <f>IFERROR(tbl_FlatLaser[[#This Row],[Act. Mat. Qty]]-tbl_FlatLaser[[#This Row],[Adj. Mat. Qty]],"")</f>
        <v/>
      </c>
      <c r="AA137"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37" s="31"/>
      <c r="AD137" s="36"/>
    </row>
    <row r="138" spans="3:30" ht="25" customHeight="1">
      <c r="C138" s="28" t="str">
        <f>IF(tbl_FlatLaser[[#This Row],[Part'#]]="", "Batch", "Part")</f>
        <v>Batch</v>
      </c>
      <c r="G138" s="28"/>
      <c r="I138" s="70" t="e">
        <f>tbl_FlatLaser[[#This Row],[Qty Complete]]/tbl_FlatLaser[[#This Row],[Qty Required]]</f>
        <v>#DIV/0!</v>
      </c>
      <c r="L138" s="31">
        <f>IF(tbl_FlatLaser[[#This Row],[Job Type]]="Batch",0,tbl_FlatLaser[[#This Row],[Qty Required]]/tbl_FlatLaser[[#This Row],[PPH]]*tbl_FlatLaser[[#This Row],['# of men]])</f>
        <v>0</v>
      </c>
      <c r="M138" s="31" t="e">
        <f>IF(tbl_FlatLaser[[#This Row],[Job Type]]="Batch",tbl_FlatLaser[[#This Row],[Batch Hours]]*tbl_FlatLaser[[#This Row],[% Complete]],tbl_FlatLaser[[#This Row],[Total hours]]*tbl_FlatLaser[[#This Row],[% Complete]])</f>
        <v>#DIV/0!</v>
      </c>
      <c r="N138" s="31"/>
      <c r="P138" s="28" t="e">
        <f>tbl_FlatLaser[[#This Row],[Mat. Qty]]*tbl_FlatLaser[[#This Row],[% Complete]]</f>
        <v>#DIV/0!</v>
      </c>
      <c r="R138" s="32" t="str">
        <f>IFERROR(tbl_FlatLaser[[#This Row],[Qty Complete]]/tbl_FlatLaser[[#This Row],[Total Hours Act]]*tbl_FlatLaser[[#This Row],['# of men Act]],"")</f>
        <v/>
      </c>
      <c r="T138"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38" s="35" t="str">
        <f>IFERROR((tbl_FlatLaser[[#This Row],[Adj. Total Hours]]+tbl_FlatLaser[[#This Row],[Est. Hours]])/(tbl_FlatLaser[[#This Row],[Total Hours Act]]+tbl_FlatLaser[[#This Row],[Act. Hours]]),"")</f>
        <v/>
      </c>
      <c r="Y138"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38" s="104" t="str">
        <f>IFERROR(tbl_FlatLaser[[#This Row],[Act. Mat. Qty]]-tbl_FlatLaser[[#This Row],[Adj. Mat. Qty]],"")</f>
        <v/>
      </c>
      <c r="AA138"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38" s="31"/>
      <c r="AD138" s="36"/>
    </row>
    <row r="139" spans="3:30" ht="25" customHeight="1">
      <c r="C139" s="28" t="str">
        <f>IF(tbl_FlatLaser[[#This Row],[Part'#]]="", "Batch", "Part")</f>
        <v>Batch</v>
      </c>
      <c r="G139" s="28"/>
      <c r="I139" s="70" t="e">
        <f>tbl_FlatLaser[[#This Row],[Qty Complete]]/tbl_FlatLaser[[#This Row],[Qty Required]]</f>
        <v>#DIV/0!</v>
      </c>
      <c r="L139" s="31">
        <f>IF(tbl_FlatLaser[[#This Row],[Job Type]]="Batch",0,tbl_FlatLaser[[#This Row],[Qty Required]]/tbl_FlatLaser[[#This Row],[PPH]]*tbl_FlatLaser[[#This Row],['# of men]])</f>
        <v>0</v>
      </c>
      <c r="M139" s="31" t="e">
        <f>IF(tbl_FlatLaser[[#This Row],[Job Type]]="Batch",tbl_FlatLaser[[#This Row],[Batch Hours]]*tbl_FlatLaser[[#This Row],[% Complete]],tbl_FlatLaser[[#This Row],[Total hours]]*tbl_FlatLaser[[#This Row],[% Complete]])</f>
        <v>#DIV/0!</v>
      </c>
      <c r="N139" s="31"/>
      <c r="P139" s="28" t="e">
        <f>tbl_FlatLaser[[#This Row],[Mat. Qty]]*tbl_FlatLaser[[#This Row],[% Complete]]</f>
        <v>#DIV/0!</v>
      </c>
      <c r="R139" s="32" t="str">
        <f>IFERROR(tbl_FlatLaser[[#This Row],[Qty Complete]]/tbl_FlatLaser[[#This Row],[Total Hours Act]]*tbl_FlatLaser[[#This Row],['# of men Act]],"")</f>
        <v/>
      </c>
      <c r="T139"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39" s="35" t="str">
        <f>IFERROR((tbl_FlatLaser[[#This Row],[Adj. Total Hours]]+tbl_FlatLaser[[#This Row],[Est. Hours]])/(tbl_FlatLaser[[#This Row],[Total Hours Act]]+tbl_FlatLaser[[#This Row],[Act. Hours]]),"")</f>
        <v/>
      </c>
      <c r="Y139"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39" s="104" t="str">
        <f>IFERROR(tbl_FlatLaser[[#This Row],[Act. Mat. Qty]]-tbl_FlatLaser[[#This Row],[Adj. Mat. Qty]],"")</f>
        <v/>
      </c>
      <c r="AA139"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39" s="31"/>
      <c r="AD139" s="36"/>
    </row>
    <row r="140" spans="3:30" ht="25" customHeight="1">
      <c r="C140" s="28" t="str">
        <f>IF(tbl_FlatLaser[[#This Row],[Part'#]]="", "Batch", "Part")</f>
        <v>Batch</v>
      </c>
      <c r="G140" s="28"/>
      <c r="I140" s="70" t="e">
        <f>tbl_FlatLaser[[#This Row],[Qty Complete]]/tbl_FlatLaser[[#This Row],[Qty Required]]</f>
        <v>#DIV/0!</v>
      </c>
      <c r="L140" s="31">
        <f>IF(tbl_FlatLaser[[#This Row],[Job Type]]="Batch",0,tbl_FlatLaser[[#This Row],[Qty Required]]/tbl_FlatLaser[[#This Row],[PPH]]*tbl_FlatLaser[[#This Row],['# of men]])</f>
        <v>0</v>
      </c>
      <c r="M140" s="31" t="e">
        <f>IF(tbl_FlatLaser[[#This Row],[Job Type]]="Batch",tbl_FlatLaser[[#This Row],[Batch Hours]]*tbl_FlatLaser[[#This Row],[% Complete]],tbl_FlatLaser[[#This Row],[Total hours]]*tbl_FlatLaser[[#This Row],[% Complete]])</f>
        <v>#DIV/0!</v>
      </c>
      <c r="N140" s="31"/>
      <c r="P140" s="28" t="e">
        <f>tbl_FlatLaser[[#This Row],[Mat. Qty]]*tbl_FlatLaser[[#This Row],[% Complete]]</f>
        <v>#DIV/0!</v>
      </c>
      <c r="R140" s="32" t="str">
        <f>IFERROR(tbl_FlatLaser[[#This Row],[Qty Complete]]/tbl_FlatLaser[[#This Row],[Total Hours Act]]*tbl_FlatLaser[[#This Row],['# of men Act]],"")</f>
        <v/>
      </c>
      <c r="T140"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40" s="35" t="str">
        <f>IFERROR((tbl_FlatLaser[[#This Row],[Adj. Total Hours]]+tbl_FlatLaser[[#This Row],[Est. Hours]])/(tbl_FlatLaser[[#This Row],[Total Hours Act]]+tbl_FlatLaser[[#This Row],[Act. Hours]]),"")</f>
        <v/>
      </c>
      <c r="Y140"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40" s="104" t="str">
        <f>IFERROR(tbl_FlatLaser[[#This Row],[Act. Mat. Qty]]-tbl_FlatLaser[[#This Row],[Adj. Mat. Qty]],"")</f>
        <v/>
      </c>
      <c r="AA140"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40" s="31"/>
      <c r="AD140" s="36"/>
    </row>
    <row r="141" spans="3:30" ht="25" customHeight="1">
      <c r="C141" s="28" t="str">
        <f>IF(tbl_FlatLaser[[#This Row],[Part'#]]="", "Batch", "Part")</f>
        <v>Batch</v>
      </c>
      <c r="G141" s="28"/>
      <c r="I141" s="70" t="e">
        <f>tbl_FlatLaser[[#This Row],[Qty Complete]]/tbl_FlatLaser[[#This Row],[Qty Required]]</f>
        <v>#DIV/0!</v>
      </c>
      <c r="L141" s="31">
        <f>IF(tbl_FlatLaser[[#This Row],[Job Type]]="Batch",0,tbl_FlatLaser[[#This Row],[Qty Required]]/tbl_FlatLaser[[#This Row],[PPH]]*tbl_FlatLaser[[#This Row],['# of men]])</f>
        <v>0</v>
      </c>
      <c r="M141" s="31" t="e">
        <f>IF(tbl_FlatLaser[[#This Row],[Job Type]]="Batch",tbl_FlatLaser[[#This Row],[Batch Hours]]*tbl_FlatLaser[[#This Row],[% Complete]],tbl_FlatLaser[[#This Row],[Total hours]]*tbl_FlatLaser[[#This Row],[% Complete]])</f>
        <v>#DIV/0!</v>
      </c>
      <c r="N141" s="31"/>
      <c r="P141" s="28" t="e">
        <f>tbl_FlatLaser[[#This Row],[Mat. Qty]]*tbl_FlatLaser[[#This Row],[% Complete]]</f>
        <v>#DIV/0!</v>
      </c>
      <c r="R141" s="32" t="str">
        <f>IFERROR(tbl_FlatLaser[[#This Row],[Qty Complete]]/tbl_FlatLaser[[#This Row],[Total Hours Act]]*tbl_FlatLaser[[#This Row],['# of men Act]],"")</f>
        <v/>
      </c>
      <c r="T141"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41" s="35" t="str">
        <f>IFERROR((tbl_FlatLaser[[#This Row],[Adj. Total Hours]]+tbl_FlatLaser[[#This Row],[Est. Hours]])/(tbl_FlatLaser[[#This Row],[Total Hours Act]]+tbl_FlatLaser[[#This Row],[Act. Hours]]),"")</f>
        <v/>
      </c>
      <c r="Y141"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41" s="104" t="str">
        <f>IFERROR(tbl_FlatLaser[[#This Row],[Act. Mat. Qty]]-tbl_FlatLaser[[#This Row],[Adj. Mat. Qty]],"")</f>
        <v/>
      </c>
      <c r="AA141"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41" s="31"/>
      <c r="AD141" s="36"/>
    </row>
    <row r="142" spans="3:30" ht="25" customHeight="1">
      <c r="C142" s="28" t="str">
        <f>IF(tbl_FlatLaser[[#This Row],[Part'#]]="", "Batch", "Part")</f>
        <v>Batch</v>
      </c>
      <c r="G142" s="28"/>
      <c r="I142" s="70" t="e">
        <f>tbl_FlatLaser[[#This Row],[Qty Complete]]/tbl_FlatLaser[[#This Row],[Qty Required]]</f>
        <v>#DIV/0!</v>
      </c>
      <c r="L142" s="31">
        <f>IF(tbl_FlatLaser[[#This Row],[Job Type]]="Batch",0,tbl_FlatLaser[[#This Row],[Qty Required]]/tbl_FlatLaser[[#This Row],[PPH]]*tbl_FlatLaser[[#This Row],['# of men]])</f>
        <v>0</v>
      </c>
      <c r="M142" s="31" t="e">
        <f>IF(tbl_FlatLaser[[#This Row],[Job Type]]="Batch",tbl_FlatLaser[[#This Row],[Batch Hours]]*tbl_FlatLaser[[#This Row],[% Complete]],tbl_FlatLaser[[#This Row],[Total hours]]*tbl_FlatLaser[[#This Row],[% Complete]])</f>
        <v>#DIV/0!</v>
      </c>
      <c r="N142" s="31"/>
      <c r="P142" s="28" t="e">
        <f>tbl_FlatLaser[[#This Row],[Mat. Qty]]*tbl_FlatLaser[[#This Row],[% Complete]]</f>
        <v>#DIV/0!</v>
      </c>
      <c r="R142" s="32" t="str">
        <f>IFERROR(tbl_FlatLaser[[#This Row],[Qty Complete]]/tbl_FlatLaser[[#This Row],[Total Hours Act]]*tbl_FlatLaser[[#This Row],['# of men Act]],"")</f>
        <v/>
      </c>
      <c r="T142"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42" s="35" t="str">
        <f>IFERROR((tbl_FlatLaser[[#This Row],[Adj. Total Hours]]+tbl_FlatLaser[[#This Row],[Est. Hours]])/(tbl_FlatLaser[[#This Row],[Total Hours Act]]+tbl_FlatLaser[[#This Row],[Act. Hours]]),"")</f>
        <v/>
      </c>
      <c r="Y142"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42" s="104" t="str">
        <f>IFERROR(tbl_FlatLaser[[#This Row],[Act. Mat. Qty]]-tbl_FlatLaser[[#This Row],[Adj. Mat. Qty]],"")</f>
        <v/>
      </c>
      <c r="AA142"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42" s="31"/>
      <c r="AD142" s="36"/>
    </row>
    <row r="143" spans="3:30" ht="25" customHeight="1">
      <c r="C143" s="28" t="str">
        <f>IF(tbl_FlatLaser[[#This Row],[Part'#]]="", "Batch", "Part")</f>
        <v>Batch</v>
      </c>
      <c r="G143" s="28"/>
      <c r="I143" s="70" t="e">
        <f>tbl_FlatLaser[[#This Row],[Qty Complete]]/tbl_FlatLaser[[#This Row],[Qty Required]]</f>
        <v>#DIV/0!</v>
      </c>
      <c r="L143" s="31">
        <f>IF(tbl_FlatLaser[[#This Row],[Job Type]]="Batch",0,tbl_FlatLaser[[#This Row],[Qty Required]]/tbl_FlatLaser[[#This Row],[PPH]]*tbl_FlatLaser[[#This Row],['# of men]])</f>
        <v>0</v>
      </c>
      <c r="M143" s="31" t="e">
        <f>IF(tbl_FlatLaser[[#This Row],[Job Type]]="Batch",tbl_FlatLaser[[#This Row],[Batch Hours]]*tbl_FlatLaser[[#This Row],[% Complete]],tbl_FlatLaser[[#This Row],[Total hours]]*tbl_FlatLaser[[#This Row],[% Complete]])</f>
        <v>#DIV/0!</v>
      </c>
      <c r="N143" s="31"/>
      <c r="P143" s="28" t="e">
        <f>tbl_FlatLaser[[#This Row],[Mat. Qty]]*tbl_FlatLaser[[#This Row],[% Complete]]</f>
        <v>#DIV/0!</v>
      </c>
      <c r="R143" s="32" t="str">
        <f>IFERROR(tbl_FlatLaser[[#This Row],[Qty Complete]]/tbl_FlatLaser[[#This Row],[Total Hours Act]]*tbl_FlatLaser[[#This Row],['# of men Act]],"")</f>
        <v/>
      </c>
      <c r="T143"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43" s="35" t="str">
        <f>IFERROR((tbl_FlatLaser[[#This Row],[Adj. Total Hours]]+tbl_FlatLaser[[#This Row],[Est. Hours]])/(tbl_FlatLaser[[#This Row],[Total Hours Act]]+tbl_FlatLaser[[#This Row],[Act. Hours]]),"")</f>
        <v/>
      </c>
      <c r="Y143"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43" s="104" t="str">
        <f>IFERROR(tbl_FlatLaser[[#This Row],[Act. Mat. Qty]]-tbl_FlatLaser[[#This Row],[Adj. Mat. Qty]],"")</f>
        <v/>
      </c>
      <c r="AA143"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43" s="31"/>
      <c r="AD143" s="36"/>
    </row>
    <row r="144" spans="3:30" ht="25" customHeight="1">
      <c r="C144" s="28" t="str">
        <f>IF(tbl_FlatLaser[[#This Row],[Part'#]]="", "Batch", "Part")</f>
        <v>Batch</v>
      </c>
      <c r="G144" s="28"/>
      <c r="I144" s="70" t="e">
        <f>tbl_FlatLaser[[#This Row],[Qty Complete]]/tbl_FlatLaser[[#This Row],[Qty Required]]</f>
        <v>#DIV/0!</v>
      </c>
      <c r="L144" s="31">
        <f>IF(tbl_FlatLaser[[#This Row],[Job Type]]="Batch",0,tbl_FlatLaser[[#This Row],[Qty Required]]/tbl_FlatLaser[[#This Row],[PPH]]*tbl_FlatLaser[[#This Row],['# of men]])</f>
        <v>0</v>
      </c>
      <c r="M144" s="31" t="e">
        <f>IF(tbl_FlatLaser[[#This Row],[Job Type]]="Batch",tbl_FlatLaser[[#This Row],[Batch Hours]]*tbl_FlatLaser[[#This Row],[% Complete]],tbl_FlatLaser[[#This Row],[Total hours]]*tbl_FlatLaser[[#This Row],[% Complete]])</f>
        <v>#DIV/0!</v>
      </c>
      <c r="N144" s="31"/>
      <c r="P144" s="28" t="e">
        <f>tbl_FlatLaser[[#This Row],[Mat. Qty]]*tbl_FlatLaser[[#This Row],[% Complete]]</f>
        <v>#DIV/0!</v>
      </c>
      <c r="R144" s="32" t="str">
        <f>IFERROR(tbl_FlatLaser[[#This Row],[Qty Complete]]/tbl_FlatLaser[[#This Row],[Total Hours Act]]*tbl_FlatLaser[[#This Row],['# of men Act]],"")</f>
        <v/>
      </c>
      <c r="T144"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44" s="35" t="str">
        <f>IFERROR((tbl_FlatLaser[[#This Row],[Adj. Total Hours]]+tbl_FlatLaser[[#This Row],[Est. Hours]])/(tbl_FlatLaser[[#This Row],[Total Hours Act]]+tbl_FlatLaser[[#This Row],[Act. Hours]]),"")</f>
        <v/>
      </c>
      <c r="Y144"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44" s="104" t="str">
        <f>IFERROR(tbl_FlatLaser[[#This Row],[Act. Mat. Qty]]-tbl_FlatLaser[[#This Row],[Adj. Mat. Qty]],"")</f>
        <v/>
      </c>
      <c r="AA144"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44" s="31"/>
      <c r="AD144" s="36"/>
    </row>
    <row r="145" spans="3:30" ht="25" customHeight="1">
      <c r="C145" s="28" t="str">
        <f>IF(tbl_FlatLaser[[#This Row],[Part'#]]="", "Batch", "Part")</f>
        <v>Batch</v>
      </c>
      <c r="G145" s="28"/>
      <c r="I145" s="70" t="e">
        <f>tbl_FlatLaser[[#This Row],[Qty Complete]]/tbl_FlatLaser[[#This Row],[Qty Required]]</f>
        <v>#DIV/0!</v>
      </c>
      <c r="L145" s="31">
        <f>IF(tbl_FlatLaser[[#This Row],[Job Type]]="Batch",0,tbl_FlatLaser[[#This Row],[Qty Required]]/tbl_FlatLaser[[#This Row],[PPH]]*tbl_FlatLaser[[#This Row],['# of men]])</f>
        <v>0</v>
      </c>
      <c r="M145" s="31" t="e">
        <f>IF(tbl_FlatLaser[[#This Row],[Job Type]]="Batch",tbl_FlatLaser[[#This Row],[Batch Hours]]*tbl_FlatLaser[[#This Row],[% Complete]],tbl_FlatLaser[[#This Row],[Total hours]]*tbl_FlatLaser[[#This Row],[% Complete]])</f>
        <v>#DIV/0!</v>
      </c>
      <c r="N145" s="31"/>
      <c r="P145" s="28" t="e">
        <f>tbl_FlatLaser[[#This Row],[Mat. Qty]]*tbl_FlatLaser[[#This Row],[% Complete]]</f>
        <v>#DIV/0!</v>
      </c>
      <c r="R145" s="32" t="str">
        <f>IFERROR(tbl_FlatLaser[[#This Row],[Qty Complete]]/tbl_FlatLaser[[#This Row],[Total Hours Act]]*tbl_FlatLaser[[#This Row],['# of men Act]],"")</f>
        <v/>
      </c>
      <c r="T145"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45" s="35" t="str">
        <f>IFERROR((tbl_FlatLaser[[#This Row],[Adj. Total Hours]]+tbl_FlatLaser[[#This Row],[Est. Hours]])/(tbl_FlatLaser[[#This Row],[Total Hours Act]]+tbl_FlatLaser[[#This Row],[Act. Hours]]),"")</f>
        <v/>
      </c>
      <c r="Y145"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45" s="104" t="str">
        <f>IFERROR(tbl_FlatLaser[[#This Row],[Act. Mat. Qty]]-tbl_FlatLaser[[#This Row],[Adj. Mat. Qty]],"")</f>
        <v/>
      </c>
      <c r="AA145"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45" s="31"/>
      <c r="AD145" s="36"/>
    </row>
    <row r="146" spans="3:30" ht="25" customHeight="1">
      <c r="C146" s="28" t="str">
        <f>IF(tbl_FlatLaser[[#This Row],[Part'#]]="", "Batch", "Part")</f>
        <v>Batch</v>
      </c>
      <c r="G146" s="28"/>
      <c r="I146" s="70" t="e">
        <f>tbl_FlatLaser[[#This Row],[Qty Complete]]/tbl_FlatLaser[[#This Row],[Qty Required]]</f>
        <v>#DIV/0!</v>
      </c>
      <c r="L146" s="31">
        <f>IF(tbl_FlatLaser[[#This Row],[Job Type]]="Batch",0,tbl_FlatLaser[[#This Row],[Qty Required]]/tbl_FlatLaser[[#This Row],[PPH]]*tbl_FlatLaser[[#This Row],['# of men]])</f>
        <v>0</v>
      </c>
      <c r="M146" s="31" t="e">
        <f>IF(tbl_FlatLaser[[#This Row],[Job Type]]="Batch",tbl_FlatLaser[[#This Row],[Batch Hours]]*tbl_FlatLaser[[#This Row],[% Complete]],tbl_FlatLaser[[#This Row],[Total hours]]*tbl_FlatLaser[[#This Row],[% Complete]])</f>
        <v>#DIV/0!</v>
      </c>
      <c r="N146" s="31"/>
      <c r="P146" s="28" t="e">
        <f>tbl_FlatLaser[[#This Row],[Mat. Qty]]*tbl_FlatLaser[[#This Row],[% Complete]]</f>
        <v>#DIV/0!</v>
      </c>
      <c r="R146" s="32" t="str">
        <f>IFERROR(tbl_FlatLaser[[#This Row],[Qty Complete]]/tbl_FlatLaser[[#This Row],[Total Hours Act]]*tbl_FlatLaser[[#This Row],['# of men Act]],"")</f>
        <v/>
      </c>
      <c r="T146"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46" s="35" t="str">
        <f>IFERROR((tbl_FlatLaser[[#This Row],[Adj. Total Hours]]+tbl_FlatLaser[[#This Row],[Est. Hours]])/(tbl_FlatLaser[[#This Row],[Total Hours Act]]+tbl_FlatLaser[[#This Row],[Act. Hours]]),"")</f>
        <v/>
      </c>
      <c r="Y146"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46" s="104" t="str">
        <f>IFERROR(tbl_FlatLaser[[#This Row],[Act. Mat. Qty]]-tbl_FlatLaser[[#This Row],[Adj. Mat. Qty]],"")</f>
        <v/>
      </c>
      <c r="AA146"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46" s="31"/>
      <c r="AD146" s="36"/>
    </row>
    <row r="147" spans="3:30" ht="25" customHeight="1">
      <c r="C147" s="28" t="str">
        <f>IF(tbl_FlatLaser[[#This Row],[Part'#]]="", "Batch", "Part")</f>
        <v>Batch</v>
      </c>
      <c r="G147" s="28"/>
      <c r="I147" s="70" t="e">
        <f>tbl_FlatLaser[[#This Row],[Qty Complete]]/tbl_FlatLaser[[#This Row],[Qty Required]]</f>
        <v>#DIV/0!</v>
      </c>
      <c r="L147" s="31">
        <f>IF(tbl_FlatLaser[[#This Row],[Job Type]]="Batch",0,tbl_FlatLaser[[#This Row],[Qty Required]]/tbl_FlatLaser[[#This Row],[PPH]]*tbl_FlatLaser[[#This Row],['# of men]])</f>
        <v>0</v>
      </c>
      <c r="M147" s="31" t="e">
        <f>IF(tbl_FlatLaser[[#This Row],[Job Type]]="Batch",tbl_FlatLaser[[#This Row],[Batch Hours]]*tbl_FlatLaser[[#This Row],[% Complete]],tbl_FlatLaser[[#This Row],[Total hours]]*tbl_FlatLaser[[#This Row],[% Complete]])</f>
        <v>#DIV/0!</v>
      </c>
      <c r="N147" s="31"/>
      <c r="P147" s="28" t="e">
        <f>tbl_FlatLaser[[#This Row],[Mat. Qty]]*tbl_FlatLaser[[#This Row],[% Complete]]</f>
        <v>#DIV/0!</v>
      </c>
      <c r="R147" s="32" t="str">
        <f>IFERROR(tbl_FlatLaser[[#This Row],[Qty Complete]]/tbl_FlatLaser[[#This Row],[Total Hours Act]]*tbl_FlatLaser[[#This Row],['# of men Act]],"")</f>
        <v/>
      </c>
      <c r="T147"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47" s="35" t="str">
        <f>IFERROR((tbl_FlatLaser[[#This Row],[Adj. Total Hours]]+tbl_FlatLaser[[#This Row],[Est. Hours]])/(tbl_FlatLaser[[#This Row],[Total Hours Act]]+tbl_FlatLaser[[#This Row],[Act. Hours]]),"")</f>
        <v/>
      </c>
      <c r="Y147"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47" s="104" t="str">
        <f>IFERROR(tbl_FlatLaser[[#This Row],[Act. Mat. Qty]]-tbl_FlatLaser[[#This Row],[Adj. Mat. Qty]],"")</f>
        <v/>
      </c>
      <c r="AA147"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47" s="31"/>
      <c r="AD147" s="36"/>
    </row>
    <row r="148" spans="3:30" ht="25" customHeight="1">
      <c r="C148" s="28" t="str">
        <f>IF(tbl_FlatLaser[[#This Row],[Part'#]]="", "Batch", "Part")</f>
        <v>Batch</v>
      </c>
      <c r="G148" s="28"/>
      <c r="I148" s="70" t="e">
        <f>tbl_FlatLaser[[#This Row],[Qty Complete]]/tbl_FlatLaser[[#This Row],[Qty Required]]</f>
        <v>#DIV/0!</v>
      </c>
      <c r="L148" s="31">
        <f>IF(tbl_FlatLaser[[#This Row],[Job Type]]="Batch",0,tbl_FlatLaser[[#This Row],[Qty Required]]/tbl_FlatLaser[[#This Row],[PPH]]*tbl_FlatLaser[[#This Row],['# of men]])</f>
        <v>0</v>
      </c>
      <c r="M148" s="31" t="e">
        <f>IF(tbl_FlatLaser[[#This Row],[Job Type]]="Batch",tbl_FlatLaser[[#This Row],[Batch Hours]]*tbl_FlatLaser[[#This Row],[% Complete]],tbl_FlatLaser[[#This Row],[Total hours]]*tbl_FlatLaser[[#This Row],[% Complete]])</f>
        <v>#DIV/0!</v>
      </c>
      <c r="N148" s="31"/>
      <c r="P148" s="28" t="e">
        <f>tbl_FlatLaser[[#This Row],[Mat. Qty]]*tbl_FlatLaser[[#This Row],[% Complete]]</f>
        <v>#DIV/0!</v>
      </c>
      <c r="R148" s="32" t="str">
        <f>IFERROR(tbl_FlatLaser[[#This Row],[Qty Complete]]/tbl_FlatLaser[[#This Row],[Total Hours Act]]*tbl_FlatLaser[[#This Row],['# of men Act]],"")</f>
        <v/>
      </c>
      <c r="T148"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48" s="35" t="str">
        <f>IFERROR((tbl_FlatLaser[[#This Row],[Adj. Total Hours]]+tbl_FlatLaser[[#This Row],[Est. Hours]])/(tbl_FlatLaser[[#This Row],[Total Hours Act]]+tbl_FlatLaser[[#This Row],[Act. Hours]]),"")</f>
        <v/>
      </c>
      <c r="Y148"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48" s="104" t="str">
        <f>IFERROR(tbl_FlatLaser[[#This Row],[Act. Mat. Qty]]-tbl_FlatLaser[[#This Row],[Adj. Mat. Qty]],"")</f>
        <v/>
      </c>
      <c r="AA148"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48" s="31"/>
      <c r="AD148" s="36"/>
    </row>
    <row r="149" spans="3:30" ht="25" customHeight="1">
      <c r="C149" s="28" t="str">
        <f>IF(tbl_FlatLaser[[#This Row],[Part'#]]="", "Batch", "Part")</f>
        <v>Batch</v>
      </c>
      <c r="G149" s="28"/>
      <c r="I149" s="70" t="e">
        <f>tbl_FlatLaser[[#This Row],[Qty Complete]]/tbl_FlatLaser[[#This Row],[Qty Required]]</f>
        <v>#DIV/0!</v>
      </c>
      <c r="L149" s="31">
        <f>IF(tbl_FlatLaser[[#This Row],[Job Type]]="Batch",0,tbl_FlatLaser[[#This Row],[Qty Required]]/tbl_FlatLaser[[#This Row],[PPH]]*tbl_FlatLaser[[#This Row],['# of men]])</f>
        <v>0</v>
      </c>
      <c r="M149" s="31" t="e">
        <f>IF(tbl_FlatLaser[[#This Row],[Job Type]]="Batch",tbl_FlatLaser[[#This Row],[Batch Hours]]*tbl_FlatLaser[[#This Row],[% Complete]],tbl_FlatLaser[[#This Row],[Total hours]]*tbl_FlatLaser[[#This Row],[% Complete]])</f>
        <v>#DIV/0!</v>
      </c>
      <c r="N149" s="31"/>
      <c r="P149" s="28" t="e">
        <f>tbl_FlatLaser[[#This Row],[Mat. Qty]]*tbl_FlatLaser[[#This Row],[% Complete]]</f>
        <v>#DIV/0!</v>
      </c>
      <c r="R149" s="32" t="str">
        <f>IFERROR(tbl_FlatLaser[[#This Row],[Qty Complete]]/tbl_FlatLaser[[#This Row],[Total Hours Act]]*tbl_FlatLaser[[#This Row],['# of men Act]],"")</f>
        <v/>
      </c>
      <c r="T149"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49" s="35" t="str">
        <f>IFERROR((tbl_FlatLaser[[#This Row],[Adj. Total Hours]]+tbl_FlatLaser[[#This Row],[Est. Hours]])/(tbl_FlatLaser[[#This Row],[Total Hours Act]]+tbl_FlatLaser[[#This Row],[Act. Hours]]),"")</f>
        <v/>
      </c>
      <c r="Y149"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49" s="104" t="str">
        <f>IFERROR(tbl_FlatLaser[[#This Row],[Act. Mat. Qty]]-tbl_FlatLaser[[#This Row],[Adj. Mat. Qty]],"")</f>
        <v/>
      </c>
      <c r="AA149"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49" s="31"/>
      <c r="AD149" s="36"/>
    </row>
    <row r="150" spans="3:30" ht="25" customHeight="1">
      <c r="C150" s="28" t="str">
        <f>IF(tbl_FlatLaser[[#This Row],[Part'#]]="", "Batch", "Part")</f>
        <v>Batch</v>
      </c>
      <c r="G150" s="28"/>
      <c r="I150" s="70" t="e">
        <f>tbl_FlatLaser[[#This Row],[Qty Complete]]/tbl_FlatLaser[[#This Row],[Qty Required]]</f>
        <v>#DIV/0!</v>
      </c>
      <c r="L150" s="31">
        <f>IF(tbl_FlatLaser[[#This Row],[Job Type]]="Batch",0,tbl_FlatLaser[[#This Row],[Qty Required]]/tbl_FlatLaser[[#This Row],[PPH]]*tbl_FlatLaser[[#This Row],['# of men]])</f>
        <v>0</v>
      </c>
      <c r="M150" s="31" t="e">
        <f>IF(tbl_FlatLaser[[#This Row],[Job Type]]="Batch",tbl_FlatLaser[[#This Row],[Batch Hours]]*tbl_FlatLaser[[#This Row],[% Complete]],tbl_FlatLaser[[#This Row],[Total hours]]*tbl_FlatLaser[[#This Row],[% Complete]])</f>
        <v>#DIV/0!</v>
      </c>
      <c r="N150" s="31"/>
      <c r="P150" s="28" t="e">
        <f>tbl_FlatLaser[[#This Row],[Mat. Qty]]*tbl_FlatLaser[[#This Row],[% Complete]]</f>
        <v>#DIV/0!</v>
      </c>
      <c r="R150" s="32" t="str">
        <f>IFERROR(tbl_FlatLaser[[#This Row],[Qty Complete]]/tbl_FlatLaser[[#This Row],[Total Hours Act]]*tbl_FlatLaser[[#This Row],['# of men Act]],"")</f>
        <v/>
      </c>
      <c r="T150"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50" s="35" t="str">
        <f>IFERROR((tbl_FlatLaser[[#This Row],[Adj. Total Hours]]+tbl_FlatLaser[[#This Row],[Est. Hours]])/(tbl_FlatLaser[[#This Row],[Total Hours Act]]+tbl_FlatLaser[[#This Row],[Act. Hours]]),"")</f>
        <v/>
      </c>
      <c r="Y150"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50" s="104" t="str">
        <f>IFERROR(tbl_FlatLaser[[#This Row],[Act. Mat. Qty]]-tbl_FlatLaser[[#This Row],[Adj. Mat. Qty]],"")</f>
        <v/>
      </c>
      <c r="AA150"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50" s="31"/>
      <c r="AD150" s="36"/>
    </row>
    <row r="151" spans="3:30" ht="25" customHeight="1">
      <c r="C151" s="28" t="str">
        <f>IF(tbl_FlatLaser[[#This Row],[Part'#]]="", "Batch", "Part")</f>
        <v>Batch</v>
      </c>
      <c r="G151" s="28"/>
      <c r="I151" s="70" t="e">
        <f>tbl_FlatLaser[[#This Row],[Qty Complete]]/tbl_FlatLaser[[#This Row],[Qty Required]]</f>
        <v>#DIV/0!</v>
      </c>
      <c r="L151" s="31">
        <f>IF(tbl_FlatLaser[[#This Row],[Job Type]]="Batch",0,tbl_FlatLaser[[#This Row],[Qty Required]]/tbl_FlatLaser[[#This Row],[PPH]]*tbl_FlatLaser[[#This Row],['# of men]])</f>
        <v>0</v>
      </c>
      <c r="M151" s="31" t="e">
        <f>IF(tbl_FlatLaser[[#This Row],[Job Type]]="Batch",tbl_FlatLaser[[#This Row],[Batch Hours]]*tbl_FlatLaser[[#This Row],[% Complete]],tbl_FlatLaser[[#This Row],[Total hours]]*tbl_FlatLaser[[#This Row],[% Complete]])</f>
        <v>#DIV/0!</v>
      </c>
      <c r="N151" s="31"/>
      <c r="P151" s="28" t="e">
        <f>tbl_FlatLaser[[#This Row],[Mat. Qty]]*tbl_FlatLaser[[#This Row],[% Complete]]</f>
        <v>#DIV/0!</v>
      </c>
      <c r="R151" s="32" t="str">
        <f>IFERROR(tbl_FlatLaser[[#This Row],[Qty Complete]]/tbl_FlatLaser[[#This Row],[Total Hours Act]]*tbl_FlatLaser[[#This Row],['# of men Act]],"")</f>
        <v/>
      </c>
      <c r="T151"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51" s="35" t="str">
        <f>IFERROR((tbl_FlatLaser[[#This Row],[Adj. Total Hours]]+tbl_FlatLaser[[#This Row],[Est. Hours]])/(tbl_FlatLaser[[#This Row],[Total Hours Act]]+tbl_FlatLaser[[#This Row],[Act. Hours]]),"")</f>
        <v/>
      </c>
      <c r="Y151"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51" s="104" t="str">
        <f>IFERROR(tbl_FlatLaser[[#This Row],[Act. Mat. Qty]]-tbl_FlatLaser[[#This Row],[Adj. Mat. Qty]],"")</f>
        <v/>
      </c>
      <c r="AA151"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51" s="31"/>
      <c r="AD151" s="36"/>
    </row>
    <row r="152" spans="3:30" ht="25" customHeight="1">
      <c r="C152" s="28" t="str">
        <f>IF(tbl_FlatLaser[[#This Row],[Part'#]]="", "Batch", "Part")</f>
        <v>Batch</v>
      </c>
      <c r="G152" s="28"/>
      <c r="I152" s="70" t="e">
        <f>tbl_FlatLaser[[#This Row],[Qty Complete]]/tbl_FlatLaser[[#This Row],[Qty Required]]</f>
        <v>#DIV/0!</v>
      </c>
      <c r="L152" s="31">
        <f>IF(tbl_FlatLaser[[#This Row],[Job Type]]="Batch",0,tbl_FlatLaser[[#This Row],[Qty Required]]/tbl_FlatLaser[[#This Row],[PPH]]*tbl_FlatLaser[[#This Row],['# of men]])</f>
        <v>0</v>
      </c>
      <c r="M152" s="31" t="e">
        <f>IF(tbl_FlatLaser[[#This Row],[Job Type]]="Batch",tbl_FlatLaser[[#This Row],[Batch Hours]]*tbl_FlatLaser[[#This Row],[% Complete]],tbl_FlatLaser[[#This Row],[Total hours]]*tbl_FlatLaser[[#This Row],[% Complete]])</f>
        <v>#DIV/0!</v>
      </c>
      <c r="N152" s="31"/>
      <c r="P152" s="28" t="e">
        <f>tbl_FlatLaser[[#This Row],[Mat. Qty]]*tbl_FlatLaser[[#This Row],[% Complete]]</f>
        <v>#DIV/0!</v>
      </c>
      <c r="R152" s="32" t="str">
        <f>IFERROR(tbl_FlatLaser[[#This Row],[Qty Complete]]/tbl_FlatLaser[[#This Row],[Total Hours Act]]*tbl_FlatLaser[[#This Row],['# of men Act]],"")</f>
        <v/>
      </c>
      <c r="T152"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52" s="35" t="str">
        <f>IFERROR((tbl_FlatLaser[[#This Row],[Adj. Total Hours]]+tbl_FlatLaser[[#This Row],[Est. Hours]])/(tbl_FlatLaser[[#This Row],[Total Hours Act]]+tbl_FlatLaser[[#This Row],[Act. Hours]]),"")</f>
        <v/>
      </c>
      <c r="Y152"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52" s="104" t="str">
        <f>IFERROR(tbl_FlatLaser[[#This Row],[Act. Mat. Qty]]-tbl_FlatLaser[[#This Row],[Adj. Mat. Qty]],"")</f>
        <v/>
      </c>
      <c r="AA152"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52" s="31"/>
      <c r="AD152" s="36"/>
    </row>
    <row r="153" spans="3:30" ht="25" customHeight="1">
      <c r="C153" s="28" t="str">
        <f>IF(tbl_FlatLaser[[#This Row],[Part'#]]="", "Batch", "Part")</f>
        <v>Batch</v>
      </c>
      <c r="G153" s="28"/>
      <c r="I153" s="70" t="e">
        <f>tbl_FlatLaser[[#This Row],[Qty Complete]]/tbl_FlatLaser[[#This Row],[Qty Required]]</f>
        <v>#DIV/0!</v>
      </c>
      <c r="L153" s="31">
        <f>IF(tbl_FlatLaser[[#This Row],[Job Type]]="Batch",0,tbl_FlatLaser[[#This Row],[Qty Required]]/tbl_FlatLaser[[#This Row],[PPH]]*tbl_FlatLaser[[#This Row],['# of men]])</f>
        <v>0</v>
      </c>
      <c r="M153" s="31" t="e">
        <f>IF(tbl_FlatLaser[[#This Row],[Job Type]]="Batch",tbl_FlatLaser[[#This Row],[Batch Hours]]*tbl_FlatLaser[[#This Row],[% Complete]],tbl_FlatLaser[[#This Row],[Total hours]]*tbl_FlatLaser[[#This Row],[% Complete]])</f>
        <v>#DIV/0!</v>
      </c>
      <c r="N153" s="31"/>
      <c r="P153" s="28" t="e">
        <f>tbl_FlatLaser[[#This Row],[Mat. Qty]]*tbl_FlatLaser[[#This Row],[% Complete]]</f>
        <v>#DIV/0!</v>
      </c>
      <c r="R153" s="32" t="str">
        <f>IFERROR(tbl_FlatLaser[[#This Row],[Qty Complete]]/tbl_FlatLaser[[#This Row],[Total Hours Act]]*tbl_FlatLaser[[#This Row],['# of men Act]],"")</f>
        <v/>
      </c>
      <c r="T153"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53" s="35" t="str">
        <f>IFERROR((tbl_FlatLaser[[#This Row],[Adj. Total Hours]]+tbl_FlatLaser[[#This Row],[Est. Hours]])/(tbl_FlatLaser[[#This Row],[Total Hours Act]]+tbl_FlatLaser[[#This Row],[Act. Hours]]),"")</f>
        <v/>
      </c>
      <c r="Y153"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53" s="104" t="str">
        <f>IFERROR(tbl_FlatLaser[[#This Row],[Act. Mat. Qty]]-tbl_FlatLaser[[#This Row],[Adj. Mat. Qty]],"")</f>
        <v/>
      </c>
      <c r="AA153"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53" s="31"/>
      <c r="AD153" s="36"/>
    </row>
    <row r="154" spans="3:30" ht="25" customHeight="1">
      <c r="C154" s="28" t="str">
        <f>IF(tbl_FlatLaser[[#This Row],[Part'#]]="", "Batch", "Part")</f>
        <v>Batch</v>
      </c>
      <c r="G154" s="28"/>
      <c r="I154" s="70" t="e">
        <f>tbl_FlatLaser[[#This Row],[Qty Complete]]/tbl_FlatLaser[[#This Row],[Qty Required]]</f>
        <v>#DIV/0!</v>
      </c>
      <c r="L154" s="31">
        <f>IF(tbl_FlatLaser[[#This Row],[Job Type]]="Batch",0,tbl_FlatLaser[[#This Row],[Qty Required]]/tbl_FlatLaser[[#This Row],[PPH]]*tbl_FlatLaser[[#This Row],['# of men]])</f>
        <v>0</v>
      </c>
      <c r="M154" s="31" t="e">
        <f>IF(tbl_FlatLaser[[#This Row],[Job Type]]="Batch",tbl_FlatLaser[[#This Row],[Batch Hours]]*tbl_FlatLaser[[#This Row],[% Complete]],tbl_FlatLaser[[#This Row],[Total hours]]*tbl_FlatLaser[[#This Row],[% Complete]])</f>
        <v>#DIV/0!</v>
      </c>
      <c r="N154" s="31"/>
      <c r="P154" s="28" t="e">
        <f>tbl_FlatLaser[[#This Row],[Mat. Qty]]*tbl_FlatLaser[[#This Row],[% Complete]]</f>
        <v>#DIV/0!</v>
      </c>
      <c r="R154" s="32" t="str">
        <f>IFERROR(tbl_FlatLaser[[#This Row],[Qty Complete]]/tbl_FlatLaser[[#This Row],[Total Hours Act]]*tbl_FlatLaser[[#This Row],['# of men Act]],"")</f>
        <v/>
      </c>
      <c r="T154"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54" s="35" t="str">
        <f>IFERROR((tbl_FlatLaser[[#This Row],[Adj. Total Hours]]+tbl_FlatLaser[[#This Row],[Est. Hours]])/(tbl_FlatLaser[[#This Row],[Total Hours Act]]+tbl_FlatLaser[[#This Row],[Act. Hours]]),"")</f>
        <v/>
      </c>
      <c r="Y154"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54" s="104" t="str">
        <f>IFERROR(tbl_FlatLaser[[#This Row],[Act. Mat. Qty]]-tbl_FlatLaser[[#This Row],[Adj. Mat. Qty]],"")</f>
        <v/>
      </c>
      <c r="AA154"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54" s="31"/>
      <c r="AD154" s="36"/>
    </row>
    <row r="155" spans="3:30" ht="25" customHeight="1">
      <c r="C155" s="28" t="str">
        <f>IF(tbl_FlatLaser[[#This Row],[Part'#]]="", "Batch", "Part")</f>
        <v>Batch</v>
      </c>
      <c r="G155" s="28"/>
      <c r="I155" s="70" t="e">
        <f>tbl_FlatLaser[[#This Row],[Qty Complete]]/tbl_FlatLaser[[#This Row],[Qty Required]]</f>
        <v>#DIV/0!</v>
      </c>
      <c r="L155" s="31">
        <f>IF(tbl_FlatLaser[[#This Row],[Job Type]]="Batch",0,tbl_FlatLaser[[#This Row],[Qty Required]]/tbl_FlatLaser[[#This Row],[PPH]]*tbl_FlatLaser[[#This Row],['# of men]])</f>
        <v>0</v>
      </c>
      <c r="M155" s="31" t="e">
        <f>IF(tbl_FlatLaser[[#This Row],[Job Type]]="Batch",tbl_FlatLaser[[#This Row],[Batch Hours]]*tbl_FlatLaser[[#This Row],[% Complete]],tbl_FlatLaser[[#This Row],[Total hours]]*tbl_FlatLaser[[#This Row],[% Complete]])</f>
        <v>#DIV/0!</v>
      </c>
      <c r="N155" s="31"/>
      <c r="P155" s="28" t="e">
        <f>tbl_FlatLaser[[#This Row],[Mat. Qty]]*tbl_FlatLaser[[#This Row],[% Complete]]</f>
        <v>#DIV/0!</v>
      </c>
      <c r="R155" s="32" t="str">
        <f>IFERROR(tbl_FlatLaser[[#This Row],[Qty Complete]]/tbl_FlatLaser[[#This Row],[Total Hours Act]]*tbl_FlatLaser[[#This Row],['# of men Act]],"")</f>
        <v/>
      </c>
      <c r="T155"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55" s="35" t="str">
        <f>IFERROR((tbl_FlatLaser[[#This Row],[Adj. Total Hours]]+tbl_FlatLaser[[#This Row],[Est. Hours]])/(tbl_FlatLaser[[#This Row],[Total Hours Act]]+tbl_FlatLaser[[#This Row],[Act. Hours]]),"")</f>
        <v/>
      </c>
      <c r="Y155"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55" s="104" t="str">
        <f>IFERROR(tbl_FlatLaser[[#This Row],[Act. Mat. Qty]]-tbl_FlatLaser[[#This Row],[Adj. Mat. Qty]],"")</f>
        <v/>
      </c>
      <c r="AA155"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55" s="31"/>
      <c r="AD155" s="36"/>
    </row>
    <row r="156" spans="3:30" ht="25" customHeight="1">
      <c r="C156" s="28" t="str">
        <f>IF(tbl_FlatLaser[[#This Row],[Part'#]]="", "Batch", "Part")</f>
        <v>Batch</v>
      </c>
      <c r="G156" s="28"/>
      <c r="I156" s="70" t="e">
        <f>tbl_FlatLaser[[#This Row],[Qty Complete]]/tbl_FlatLaser[[#This Row],[Qty Required]]</f>
        <v>#DIV/0!</v>
      </c>
      <c r="L156" s="31">
        <f>IF(tbl_FlatLaser[[#This Row],[Job Type]]="Batch",0,tbl_FlatLaser[[#This Row],[Qty Required]]/tbl_FlatLaser[[#This Row],[PPH]]*tbl_FlatLaser[[#This Row],['# of men]])</f>
        <v>0</v>
      </c>
      <c r="M156" s="31" t="e">
        <f>IF(tbl_FlatLaser[[#This Row],[Job Type]]="Batch",tbl_FlatLaser[[#This Row],[Batch Hours]]*tbl_FlatLaser[[#This Row],[% Complete]],tbl_FlatLaser[[#This Row],[Total hours]]*tbl_FlatLaser[[#This Row],[% Complete]])</f>
        <v>#DIV/0!</v>
      </c>
      <c r="N156" s="31"/>
      <c r="P156" s="28" t="e">
        <f>tbl_FlatLaser[[#This Row],[Mat. Qty]]*tbl_FlatLaser[[#This Row],[% Complete]]</f>
        <v>#DIV/0!</v>
      </c>
      <c r="R156" s="32" t="str">
        <f>IFERROR(tbl_FlatLaser[[#This Row],[Qty Complete]]/tbl_FlatLaser[[#This Row],[Total Hours Act]]*tbl_FlatLaser[[#This Row],['# of men Act]],"")</f>
        <v/>
      </c>
      <c r="T156"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56" s="35" t="str">
        <f>IFERROR((tbl_FlatLaser[[#This Row],[Adj. Total Hours]]+tbl_FlatLaser[[#This Row],[Est. Hours]])/(tbl_FlatLaser[[#This Row],[Total Hours Act]]+tbl_FlatLaser[[#This Row],[Act. Hours]]),"")</f>
        <v/>
      </c>
      <c r="Y156"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56" s="104" t="str">
        <f>IFERROR(tbl_FlatLaser[[#This Row],[Act. Mat. Qty]]-tbl_FlatLaser[[#This Row],[Adj. Mat. Qty]],"")</f>
        <v/>
      </c>
      <c r="AA156"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56" s="31"/>
      <c r="AD156" s="36"/>
    </row>
    <row r="157" spans="3:30" ht="25" customHeight="1">
      <c r="C157" s="28" t="str">
        <f>IF(tbl_FlatLaser[[#This Row],[Part'#]]="", "Batch", "Part")</f>
        <v>Batch</v>
      </c>
      <c r="G157" s="28"/>
      <c r="I157" s="70" t="e">
        <f>tbl_FlatLaser[[#This Row],[Qty Complete]]/tbl_FlatLaser[[#This Row],[Qty Required]]</f>
        <v>#DIV/0!</v>
      </c>
      <c r="L157" s="31">
        <f>IF(tbl_FlatLaser[[#This Row],[Job Type]]="Batch",0,tbl_FlatLaser[[#This Row],[Qty Required]]/tbl_FlatLaser[[#This Row],[PPH]]*tbl_FlatLaser[[#This Row],['# of men]])</f>
        <v>0</v>
      </c>
      <c r="M157" s="31" t="e">
        <f>IF(tbl_FlatLaser[[#This Row],[Job Type]]="Batch",tbl_FlatLaser[[#This Row],[Batch Hours]]*tbl_FlatLaser[[#This Row],[% Complete]],tbl_FlatLaser[[#This Row],[Total hours]]*tbl_FlatLaser[[#This Row],[% Complete]])</f>
        <v>#DIV/0!</v>
      </c>
      <c r="N157" s="31"/>
      <c r="P157" s="28" t="e">
        <f>tbl_FlatLaser[[#This Row],[Mat. Qty]]*tbl_FlatLaser[[#This Row],[% Complete]]</f>
        <v>#DIV/0!</v>
      </c>
      <c r="R157" s="32" t="str">
        <f>IFERROR(tbl_FlatLaser[[#This Row],[Qty Complete]]/tbl_FlatLaser[[#This Row],[Total Hours Act]]*tbl_FlatLaser[[#This Row],['# of men Act]],"")</f>
        <v/>
      </c>
      <c r="T157"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57" s="35" t="str">
        <f>IFERROR((tbl_FlatLaser[[#This Row],[Adj. Total Hours]]+tbl_FlatLaser[[#This Row],[Est. Hours]])/(tbl_FlatLaser[[#This Row],[Total Hours Act]]+tbl_FlatLaser[[#This Row],[Act. Hours]]),"")</f>
        <v/>
      </c>
      <c r="Y157"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57" s="104" t="str">
        <f>IFERROR(tbl_FlatLaser[[#This Row],[Act. Mat. Qty]]-tbl_FlatLaser[[#This Row],[Adj. Mat. Qty]],"")</f>
        <v/>
      </c>
      <c r="AA157"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57" s="31"/>
      <c r="AD157" s="36"/>
    </row>
    <row r="158" spans="3:30" ht="25" customHeight="1">
      <c r="C158" s="28" t="str">
        <f>IF(tbl_FlatLaser[[#This Row],[Part'#]]="", "Batch", "Part")</f>
        <v>Batch</v>
      </c>
      <c r="G158" s="28"/>
      <c r="I158" s="70" t="e">
        <f>tbl_FlatLaser[[#This Row],[Qty Complete]]/tbl_FlatLaser[[#This Row],[Qty Required]]</f>
        <v>#DIV/0!</v>
      </c>
      <c r="L158" s="31">
        <f>IF(tbl_FlatLaser[[#This Row],[Job Type]]="Batch",0,tbl_FlatLaser[[#This Row],[Qty Required]]/tbl_FlatLaser[[#This Row],[PPH]]*tbl_FlatLaser[[#This Row],['# of men]])</f>
        <v>0</v>
      </c>
      <c r="M158" s="31" t="e">
        <f>IF(tbl_FlatLaser[[#This Row],[Job Type]]="Batch",tbl_FlatLaser[[#This Row],[Batch Hours]]*tbl_FlatLaser[[#This Row],[% Complete]],tbl_FlatLaser[[#This Row],[Total hours]]*tbl_FlatLaser[[#This Row],[% Complete]])</f>
        <v>#DIV/0!</v>
      </c>
      <c r="N158" s="31"/>
      <c r="P158" s="28" t="e">
        <f>tbl_FlatLaser[[#This Row],[Mat. Qty]]*tbl_FlatLaser[[#This Row],[% Complete]]</f>
        <v>#DIV/0!</v>
      </c>
      <c r="R158" s="32" t="str">
        <f>IFERROR(tbl_FlatLaser[[#This Row],[Qty Complete]]/tbl_FlatLaser[[#This Row],[Total Hours Act]]*tbl_FlatLaser[[#This Row],['# of men Act]],"")</f>
        <v/>
      </c>
      <c r="T158"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58" s="35" t="str">
        <f>IFERROR((tbl_FlatLaser[[#This Row],[Adj. Total Hours]]+tbl_FlatLaser[[#This Row],[Est. Hours]])/(tbl_FlatLaser[[#This Row],[Total Hours Act]]+tbl_FlatLaser[[#This Row],[Act. Hours]]),"")</f>
        <v/>
      </c>
      <c r="Y158"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58" s="104" t="str">
        <f>IFERROR(tbl_FlatLaser[[#This Row],[Act. Mat. Qty]]-tbl_FlatLaser[[#This Row],[Adj. Mat. Qty]],"")</f>
        <v/>
      </c>
      <c r="AA158"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58" s="31"/>
      <c r="AD158" s="36"/>
    </row>
    <row r="159" spans="3:30" ht="25" customHeight="1">
      <c r="C159" s="28" t="str">
        <f>IF(tbl_FlatLaser[[#This Row],[Part'#]]="", "Batch", "Part")</f>
        <v>Batch</v>
      </c>
      <c r="G159" s="28"/>
      <c r="I159" s="70" t="e">
        <f>tbl_FlatLaser[[#This Row],[Qty Complete]]/tbl_FlatLaser[[#This Row],[Qty Required]]</f>
        <v>#DIV/0!</v>
      </c>
      <c r="L159" s="31">
        <f>IF(tbl_FlatLaser[[#This Row],[Job Type]]="Batch",0,tbl_FlatLaser[[#This Row],[Qty Required]]/tbl_FlatLaser[[#This Row],[PPH]]*tbl_FlatLaser[[#This Row],['# of men]])</f>
        <v>0</v>
      </c>
      <c r="M159" s="31" t="e">
        <f>IF(tbl_FlatLaser[[#This Row],[Job Type]]="Batch",tbl_FlatLaser[[#This Row],[Batch Hours]]*tbl_FlatLaser[[#This Row],[% Complete]],tbl_FlatLaser[[#This Row],[Total hours]]*tbl_FlatLaser[[#This Row],[% Complete]])</f>
        <v>#DIV/0!</v>
      </c>
      <c r="N159" s="31"/>
      <c r="P159" s="28" t="e">
        <f>tbl_FlatLaser[[#This Row],[Mat. Qty]]*tbl_FlatLaser[[#This Row],[% Complete]]</f>
        <v>#DIV/0!</v>
      </c>
      <c r="R159" s="32" t="str">
        <f>IFERROR(tbl_FlatLaser[[#This Row],[Qty Complete]]/tbl_FlatLaser[[#This Row],[Total Hours Act]]*tbl_FlatLaser[[#This Row],['# of men Act]],"")</f>
        <v/>
      </c>
      <c r="T159"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59" s="35" t="str">
        <f>IFERROR((tbl_FlatLaser[[#This Row],[Adj. Total Hours]]+tbl_FlatLaser[[#This Row],[Est. Hours]])/(tbl_FlatLaser[[#This Row],[Total Hours Act]]+tbl_FlatLaser[[#This Row],[Act. Hours]]),"")</f>
        <v/>
      </c>
      <c r="Y159"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59" s="104" t="str">
        <f>IFERROR(tbl_FlatLaser[[#This Row],[Act. Mat. Qty]]-tbl_FlatLaser[[#This Row],[Adj. Mat. Qty]],"")</f>
        <v/>
      </c>
      <c r="AA159"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59" s="31"/>
      <c r="AD159" s="36"/>
    </row>
    <row r="160" spans="3:30" ht="25" customHeight="1">
      <c r="C160" s="28" t="str">
        <f>IF(tbl_FlatLaser[[#This Row],[Part'#]]="", "Batch", "Part")</f>
        <v>Batch</v>
      </c>
      <c r="G160" s="28"/>
      <c r="I160" s="70" t="e">
        <f>tbl_FlatLaser[[#This Row],[Qty Complete]]/tbl_FlatLaser[[#This Row],[Qty Required]]</f>
        <v>#DIV/0!</v>
      </c>
      <c r="L160" s="31">
        <f>IF(tbl_FlatLaser[[#This Row],[Job Type]]="Batch",0,tbl_FlatLaser[[#This Row],[Qty Required]]/tbl_FlatLaser[[#This Row],[PPH]]*tbl_FlatLaser[[#This Row],['# of men]])</f>
        <v>0</v>
      </c>
      <c r="M160" s="31" t="e">
        <f>IF(tbl_FlatLaser[[#This Row],[Job Type]]="Batch",tbl_FlatLaser[[#This Row],[Batch Hours]]*tbl_FlatLaser[[#This Row],[% Complete]],tbl_FlatLaser[[#This Row],[Total hours]]*tbl_FlatLaser[[#This Row],[% Complete]])</f>
        <v>#DIV/0!</v>
      </c>
      <c r="N160" s="31"/>
      <c r="P160" s="28" t="e">
        <f>tbl_FlatLaser[[#This Row],[Mat. Qty]]*tbl_FlatLaser[[#This Row],[% Complete]]</f>
        <v>#DIV/0!</v>
      </c>
      <c r="R160" s="32" t="str">
        <f>IFERROR(tbl_FlatLaser[[#This Row],[Qty Complete]]/tbl_FlatLaser[[#This Row],[Total Hours Act]]*tbl_FlatLaser[[#This Row],['# of men Act]],"")</f>
        <v/>
      </c>
      <c r="T160"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60" s="35" t="str">
        <f>IFERROR((tbl_FlatLaser[[#This Row],[Adj. Total Hours]]+tbl_FlatLaser[[#This Row],[Est. Hours]])/(tbl_FlatLaser[[#This Row],[Total Hours Act]]+tbl_FlatLaser[[#This Row],[Act. Hours]]),"")</f>
        <v/>
      </c>
      <c r="Y160"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60" s="104" t="str">
        <f>IFERROR(tbl_FlatLaser[[#This Row],[Act. Mat. Qty]]-tbl_FlatLaser[[#This Row],[Adj. Mat. Qty]],"")</f>
        <v/>
      </c>
      <c r="AA160"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60" s="31"/>
      <c r="AD160" s="36"/>
    </row>
    <row r="161" spans="3:30" ht="25" customHeight="1">
      <c r="C161" s="28" t="str">
        <f>IF(tbl_FlatLaser[[#This Row],[Part'#]]="", "Batch", "Part")</f>
        <v>Batch</v>
      </c>
      <c r="G161" s="28"/>
      <c r="I161" s="70" t="e">
        <f>tbl_FlatLaser[[#This Row],[Qty Complete]]/tbl_FlatLaser[[#This Row],[Qty Required]]</f>
        <v>#DIV/0!</v>
      </c>
      <c r="L161" s="31">
        <f>IF(tbl_FlatLaser[[#This Row],[Job Type]]="Batch",0,tbl_FlatLaser[[#This Row],[Qty Required]]/tbl_FlatLaser[[#This Row],[PPH]]*tbl_FlatLaser[[#This Row],['# of men]])</f>
        <v>0</v>
      </c>
      <c r="M161" s="31" t="e">
        <f>IF(tbl_FlatLaser[[#This Row],[Job Type]]="Batch",tbl_FlatLaser[[#This Row],[Batch Hours]]*tbl_FlatLaser[[#This Row],[% Complete]],tbl_FlatLaser[[#This Row],[Total hours]]*tbl_FlatLaser[[#This Row],[% Complete]])</f>
        <v>#DIV/0!</v>
      </c>
      <c r="N161" s="31"/>
      <c r="P161" s="28" t="e">
        <f>tbl_FlatLaser[[#This Row],[Mat. Qty]]*tbl_FlatLaser[[#This Row],[% Complete]]</f>
        <v>#DIV/0!</v>
      </c>
      <c r="R161" s="32" t="str">
        <f>IFERROR(tbl_FlatLaser[[#This Row],[Qty Complete]]/tbl_FlatLaser[[#This Row],[Total Hours Act]]*tbl_FlatLaser[[#This Row],['# of men Act]],"")</f>
        <v/>
      </c>
      <c r="T161"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61" s="35" t="str">
        <f>IFERROR((tbl_FlatLaser[[#This Row],[Adj. Total Hours]]+tbl_FlatLaser[[#This Row],[Est. Hours]])/(tbl_FlatLaser[[#This Row],[Total Hours Act]]+tbl_FlatLaser[[#This Row],[Act. Hours]]),"")</f>
        <v/>
      </c>
      <c r="Y161"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61" s="104" t="str">
        <f>IFERROR(tbl_FlatLaser[[#This Row],[Act. Mat. Qty]]-tbl_FlatLaser[[#This Row],[Adj. Mat. Qty]],"")</f>
        <v/>
      </c>
      <c r="AA161"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61" s="31"/>
      <c r="AD161" s="36"/>
    </row>
    <row r="162" spans="3:30" ht="25" customHeight="1">
      <c r="C162" s="28" t="str">
        <f>IF(tbl_FlatLaser[[#This Row],[Part'#]]="", "Batch", "Part")</f>
        <v>Batch</v>
      </c>
      <c r="G162" s="28"/>
      <c r="I162" s="70" t="e">
        <f>tbl_FlatLaser[[#This Row],[Qty Complete]]/tbl_FlatLaser[[#This Row],[Qty Required]]</f>
        <v>#DIV/0!</v>
      </c>
      <c r="L162" s="31">
        <f>IF(tbl_FlatLaser[[#This Row],[Job Type]]="Batch",0,tbl_FlatLaser[[#This Row],[Qty Required]]/tbl_FlatLaser[[#This Row],[PPH]]*tbl_FlatLaser[[#This Row],['# of men]])</f>
        <v>0</v>
      </c>
      <c r="M162" s="31" t="e">
        <f>IF(tbl_FlatLaser[[#This Row],[Job Type]]="Batch",tbl_FlatLaser[[#This Row],[Batch Hours]]*tbl_FlatLaser[[#This Row],[% Complete]],tbl_FlatLaser[[#This Row],[Total hours]]*tbl_FlatLaser[[#This Row],[% Complete]])</f>
        <v>#DIV/0!</v>
      </c>
      <c r="N162" s="31"/>
      <c r="P162" s="28" t="e">
        <f>tbl_FlatLaser[[#This Row],[Mat. Qty]]*tbl_FlatLaser[[#This Row],[% Complete]]</f>
        <v>#DIV/0!</v>
      </c>
      <c r="R162" s="32" t="str">
        <f>IFERROR(tbl_FlatLaser[[#This Row],[Qty Complete]]/tbl_FlatLaser[[#This Row],[Total Hours Act]]*tbl_FlatLaser[[#This Row],['# of men Act]],"")</f>
        <v/>
      </c>
      <c r="T162"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62" s="35" t="str">
        <f>IFERROR((tbl_FlatLaser[[#This Row],[Adj. Total Hours]]+tbl_FlatLaser[[#This Row],[Est. Hours]])/(tbl_FlatLaser[[#This Row],[Total Hours Act]]+tbl_FlatLaser[[#This Row],[Act. Hours]]),"")</f>
        <v/>
      </c>
      <c r="Y162"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62" s="104" t="str">
        <f>IFERROR(tbl_FlatLaser[[#This Row],[Act. Mat. Qty]]-tbl_FlatLaser[[#This Row],[Adj. Mat. Qty]],"")</f>
        <v/>
      </c>
      <c r="AA162"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62" s="31"/>
      <c r="AD162" s="36"/>
    </row>
    <row r="163" spans="3:30" ht="25" customHeight="1">
      <c r="C163" s="28" t="str">
        <f>IF(tbl_FlatLaser[[#This Row],[Part'#]]="", "Batch", "Part")</f>
        <v>Batch</v>
      </c>
      <c r="G163" s="28"/>
      <c r="I163" s="70" t="e">
        <f>tbl_FlatLaser[[#This Row],[Qty Complete]]/tbl_FlatLaser[[#This Row],[Qty Required]]</f>
        <v>#DIV/0!</v>
      </c>
      <c r="L163" s="31">
        <f>IF(tbl_FlatLaser[[#This Row],[Job Type]]="Batch",0,tbl_FlatLaser[[#This Row],[Qty Required]]/tbl_FlatLaser[[#This Row],[PPH]]*tbl_FlatLaser[[#This Row],['# of men]])</f>
        <v>0</v>
      </c>
      <c r="M163" s="31" t="e">
        <f>IF(tbl_FlatLaser[[#This Row],[Job Type]]="Batch",tbl_FlatLaser[[#This Row],[Batch Hours]]*tbl_FlatLaser[[#This Row],[% Complete]],tbl_FlatLaser[[#This Row],[Total hours]]*tbl_FlatLaser[[#This Row],[% Complete]])</f>
        <v>#DIV/0!</v>
      </c>
      <c r="N163" s="31"/>
      <c r="P163" s="28" t="e">
        <f>tbl_FlatLaser[[#This Row],[Mat. Qty]]*tbl_FlatLaser[[#This Row],[% Complete]]</f>
        <v>#DIV/0!</v>
      </c>
      <c r="R163" s="32" t="str">
        <f>IFERROR(tbl_FlatLaser[[#This Row],[Qty Complete]]/tbl_FlatLaser[[#This Row],[Total Hours Act]]*tbl_FlatLaser[[#This Row],['# of men Act]],"")</f>
        <v/>
      </c>
      <c r="T163"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63" s="35" t="str">
        <f>IFERROR((tbl_FlatLaser[[#This Row],[Adj. Total Hours]]+tbl_FlatLaser[[#This Row],[Est. Hours]])/(tbl_FlatLaser[[#This Row],[Total Hours Act]]+tbl_FlatLaser[[#This Row],[Act. Hours]]),"")</f>
        <v/>
      </c>
      <c r="Y163"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63" s="104" t="str">
        <f>IFERROR(tbl_FlatLaser[[#This Row],[Act. Mat. Qty]]-tbl_FlatLaser[[#This Row],[Adj. Mat. Qty]],"")</f>
        <v/>
      </c>
      <c r="AA163"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63" s="31"/>
      <c r="AD163" s="36"/>
    </row>
    <row r="164" spans="3:30" ht="25" customHeight="1">
      <c r="C164" s="28" t="str">
        <f>IF(tbl_FlatLaser[[#This Row],[Part'#]]="", "Batch", "Part")</f>
        <v>Batch</v>
      </c>
      <c r="G164" s="28"/>
      <c r="I164" s="70" t="e">
        <f>tbl_FlatLaser[[#This Row],[Qty Complete]]/tbl_FlatLaser[[#This Row],[Qty Required]]</f>
        <v>#DIV/0!</v>
      </c>
      <c r="L164" s="31">
        <f>IF(tbl_FlatLaser[[#This Row],[Job Type]]="Batch",0,tbl_FlatLaser[[#This Row],[Qty Required]]/tbl_FlatLaser[[#This Row],[PPH]]*tbl_FlatLaser[[#This Row],['# of men]])</f>
        <v>0</v>
      </c>
      <c r="M164" s="31" t="e">
        <f>IF(tbl_FlatLaser[[#This Row],[Job Type]]="Batch",tbl_FlatLaser[[#This Row],[Batch Hours]]*tbl_FlatLaser[[#This Row],[% Complete]],tbl_FlatLaser[[#This Row],[Total hours]]*tbl_FlatLaser[[#This Row],[% Complete]])</f>
        <v>#DIV/0!</v>
      </c>
      <c r="N164" s="31"/>
      <c r="P164" s="28" t="e">
        <f>tbl_FlatLaser[[#This Row],[Mat. Qty]]*tbl_FlatLaser[[#This Row],[% Complete]]</f>
        <v>#DIV/0!</v>
      </c>
      <c r="R164" s="32" t="str">
        <f>IFERROR(tbl_FlatLaser[[#This Row],[Qty Complete]]/tbl_FlatLaser[[#This Row],[Total Hours Act]]*tbl_FlatLaser[[#This Row],['# of men Act]],"")</f>
        <v/>
      </c>
      <c r="T164"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64" s="35" t="str">
        <f>IFERROR((tbl_FlatLaser[[#This Row],[Adj. Total Hours]]+tbl_FlatLaser[[#This Row],[Est. Hours]])/(tbl_FlatLaser[[#This Row],[Total Hours Act]]+tbl_FlatLaser[[#This Row],[Act. Hours]]),"")</f>
        <v/>
      </c>
      <c r="Y164"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64" s="104" t="str">
        <f>IFERROR(tbl_FlatLaser[[#This Row],[Act. Mat. Qty]]-tbl_FlatLaser[[#This Row],[Adj. Mat. Qty]],"")</f>
        <v/>
      </c>
      <c r="AA164"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64" s="31"/>
      <c r="AD164" s="36"/>
    </row>
    <row r="165" spans="3:30" ht="25" customHeight="1">
      <c r="C165" s="28" t="str">
        <f>IF(tbl_FlatLaser[[#This Row],[Part'#]]="", "Batch", "Part")</f>
        <v>Batch</v>
      </c>
      <c r="G165" s="28"/>
      <c r="I165" s="70" t="e">
        <f>tbl_FlatLaser[[#This Row],[Qty Complete]]/tbl_FlatLaser[[#This Row],[Qty Required]]</f>
        <v>#DIV/0!</v>
      </c>
      <c r="L165" s="31">
        <f>IF(tbl_FlatLaser[[#This Row],[Job Type]]="Batch",0,tbl_FlatLaser[[#This Row],[Qty Required]]/tbl_FlatLaser[[#This Row],[PPH]]*tbl_FlatLaser[[#This Row],['# of men]])</f>
        <v>0</v>
      </c>
      <c r="M165" s="31" t="e">
        <f>IF(tbl_FlatLaser[[#This Row],[Job Type]]="Batch",tbl_FlatLaser[[#This Row],[Batch Hours]]*tbl_FlatLaser[[#This Row],[% Complete]],tbl_FlatLaser[[#This Row],[Total hours]]*tbl_FlatLaser[[#This Row],[% Complete]])</f>
        <v>#DIV/0!</v>
      </c>
      <c r="N165" s="31"/>
      <c r="P165" s="28" t="e">
        <f>tbl_FlatLaser[[#This Row],[Mat. Qty]]*tbl_FlatLaser[[#This Row],[% Complete]]</f>
        <v>#DIV/0!</v>
      </c>
      <c r="R165" s="32" t="str">
        <f>IFERROR(tbl_FlatLaser[[#This Row],[Qty Complete]]/tbl_FlatLaser[[#This Row],[Total Hours Act]]*tbl_FlatLaser[[#This Row],['# of men Act]],"")</f>
        <v/>
      </c>
      <c r="T165"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65" s="35" t="str">
        <f>IFERROR((tbl_FlatLaser[[#This Row],[Adj. Total Hours]]+tbl_FlatLaser[[#This Row],[Est. Hours]])/(tbl_FlatLaser[[#This Row],[Total Hours Act]]+tbl_FlatLaser[[#This Row],[Act. Hours]]),"")</f>
        <v/>
      </c>
      <c r="Y165"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65" s="104" t="str">
        <f>IFERROR(tbl_FlatLaser[[#This Row],[Act. Mat. Qty]]-tbl_FlatLaser[[#This Row],[Adj. Mat. Qty]],"")</f>
        <v/>
      </c>
      <c r="AA165"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65" s="31"/>
      <c r="AD165" s="36"/>
    </row>
    <row r="166" spans="3:30" ht="25" customHeight="1">
      <c r="C166" s="28" t="str">
        <f>IF(tbl_FlatLaser[[#This Row],[Part'#]]="", "Batch", "Part")</f>
        <v>Batch</v>
      </c>
      <c r="G166" s="28"/>
      <c r="I166" s="70" t="e">
        <f>tbl_FlatLaser[[#This Row],[Qty Complete]]/tbl_FlatLaser[[#This Row],[Qty Required]]</f>
        <v>#DIV/0!</v>
      </c>
      <c r="L166" s="31">
        <f>IF(tbl_FlatLaser[[#This Row],[Job Type]]="Batch",0,tbl_FlatLaser[[#This Row],[Qty Required]]/tbl_FlatLaser[[#This Row],[PPH]]*tbl_FlatLaser[[#This Row],['# of men]])</f>
        <v>0</v>
      </c>
      <c r="M166" s="31" t="e">
        <f>IF(tbl_FlatLaser[[#This Row],[Job Type]]="Batch",tbl_FlatLaser[[#This Row],[Batch Hours]]*tbl_FlatLaser[[#This Row],[% Complete]],tbl_FlatLaser[[#This Row],[Total hours]]*tbl_FlatLaser[[#This Row],[% Complete]])</f>
        <v>#DIV/0!</v>
      </c>
      <c r="N166" s="31"/>
      <c r="P166" s="28" t="e">
        <f>tbl_FlatLaser[[#This Row],[Mat. Qty]]*tbl_FlatLaser[[#This Row],[% Complete]]</f>
        <v>#DIV/0!</v>
      </c>
      <c r="R166" s="32" t="str">
        <f>IFERROR(tbl_FlatLaser[[#This Row],[Qty Complete]]/tbl_FlatLaser[[#This Row],[Total Hours Act]]*tbl_FlatLaser[[#This Row],['# of men Act]],"")</f>
        <v/>
      </c>
      <c r="T166"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66" s="35" t="str">
        <f>IFERROR((tbl_FlatLaser[[#This Row],[Adj. Total Hours]]+tbl_FlatLaser[[#This Row],[Est. Hours]])/(tbl_FlatLaser[[#This Row],[Total Hours Act]]+tbl_FlatLaser[[#This Row],[Act. Hours]]),"")</f>
        <v/>
      </c>
      <c r="Y166"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66" s="104" t="str">
        <f>IFERROR(tbl_FlatLaser[[#This Row],[Act. Mat. Qty]]-tbl_FlatLaser[[#This Row],[Adj. Mat. Qty]],"")</f>
        <v/>
      </c>
      <c r="AA166"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66" s="31"/>
      <c r="AD166" s="36"/>
    </row>
    <row r="167" spans="3:30" ht="25" customHeight="1">
      <c r="C167" s="28" t="str">
        <f>IF(tbl_FlatLaser[[#This Row],[Part'#]]="", "Batch", "Part")</f>
        <v>Batch</v>
      </c>
      <c r="G167" s="28"/>
      <c r="I167" s="70" t="e">
        <f>tbl_FlatLaser[[#This Row],[Qty Complete]]/tbl_FlatLaser[[#This Row],[Qty Required]]</f>
        <v>#DIV/0!</v>
      </c>
      <c r="L167" s="31">
        <f>IF(tbl_FlatLaser[[#This Row],[Job Type]]="Batch",0,tbl_FlatLaser[[#This Row],[Qty Required]]/tbl_FlatLaser[[#This Row],[PPH]]*tbl_FlatLaser[[#This Row],['# of men]])</f>
        <v>0</v>
      </c>
      <c r="M167" s="31" t="e">
        <f>IF(tbl_FlatLaser[[#This Row],[Job Type]]="Batch",tbl_FlatLaser[[#This Row],[Batch Hours]]*tbl_FlatLaser[[#This Row],[% Complete]],tbl_FlatLaser[[#This Row],[Total hours]]*tbl_FlatLaser[[#This Row],[% Complete]])</f>
        <v>#DIV/0!</v>
      </c>
      <c r="N167" s="31"/>
      <c r="P167" s="28" t="e">
        <f>tbl_FlatLaser[[#This Row],[Mat. Qty]]*tbl_FlatLaser[[#This Row],[% Complete]]</f>
        <v>#DIV/0!</v>
      </c>
      <c r="R167" s="32" t="str">
        <f>IFERROR(tbl_FlatLaser[[#This Row],[Qty Complete]]/tbl_FlatLaser[[#This Row],[Total Hours Act]]*tbl_FlatLaser[[#This Row],['# of men Act]],"")</f>
        <v/>
      </c>
      <c r="T167"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67" s="35" t="str">
        <f>IFERROR((tbl_FlatLaser[[#This Row],[Adj. Total Hours]]+tbl_FlatLaser[[#This Row],[Est. Hours]])/(tbl_FlatLaser[[#This Row],[Total Hours Act]]+tbl_FlatLaser[[#This Row],[Act. Hours]]),"")</f>
        <v/>
      </c>
      <c r="Y167"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67" s="104" t="str">
        <f>IFERROR(tbl_FlatLaser[[#This Row],[Act. Mat. Qty]]-tbl_FlatLaser[[#This Row],[Adj. Mat. Qty]],"")</f>
        <v/>
      </c>
      <c r="AA167"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67" s="31"/>
      <c r="AD167" s="36"/>
    </row>
    <row r="168" spans="3:30" ht="25" customHeight="1">
      <c r="C168" s="28" t="str">
        <f>IF(tbl_FlatLaser[[#This Row],[Part'#]]="", "Batch", "Part")</f>
        <v>Batch</v>
      </c>
      <c r="G168" s="28"/>
      <c r="I168" s="70" t="e">
        <f>tbl_FlatLaser[[#This Row],[Qty Complete]]/tbl_FlatLaser[[#This Row],[Qty Required]]</f>
        <v>#DIV/0!</v>
      </c>
      <c r="L168" s="31">
        <f>IF(tbl_FlatLaser[[#This Row],[Job Type]]="Batch",0,tbl_FlatLaser[[#This Row],[Qty Required]]/tbl_FlatLaser[[#This Row],[PPH]]*tbl_FlatLaser[[#This Row],['# of men]])</f>
        <v>0</v>
      </c>
      <c r="M168" s="31" t="e">
        <f>IF(tbl_FlatLaser[[#This Row],[Job Type]]="Batch",tbl_FlatLaser[[#This Row],[Batch Hours]]*tbl_FlatLaser[[#This Row],[% Complete]],tbl_FlatLaser[[#This Row],[Total hours]]*tbl_FlatLaser[[#This Row],[% Complete]])</f>
        <v>#DIV/0!</v>
      </c>
      <c r="N168" s="31"/>
      <c r="P168" s="28" t="e">
        <f>tbl_FlatLaser[[#This Row],[Mat. Qty]]*tbl_FlatLaser[[#This Row],[% Complete]]</f>
        <v>#DIV/0!</v>
      </c>
      <c r="R168" s="32" t="str">
        <f>IFERROR(tbl_FlatLaser[[#This Row],[Qty Complete]]/tbl_FlatLaser[[#This Row],[Total Hours Act]]*tbl_FlatLaser[[#This Row],['# of men Act]],"")</f>
        <v/>
      </c>
      <c r="T168"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68" s="35" t="str">
        <f>IFERROR((tbl_FlatLaser[[#This Row],[Adj. Total Hours]]+tbl_FlatLaser[[#This Row],[Est. Hours]])/(tbl_FlatLaser[[#This Row],[Total Hours Act]]+tbl_FlatLaser[[#This Row],[Act. Hours]]),"")</f>
        <v/>
      </c>
      <c r="Y168"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68" s="104" t="str">
        <f>IFERROR(tbl_FlatLaser[[#This Row],[Act. Mat. Qty]]-tbl_FlatLaser[[#This Row],[Adj. Mat. Qty]],"")</f>
        <v/>
      </c>
      <c r="AA168"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68" s="31"/>
      <c r="AD168" s="36"/>
    </row>
    <row r="169" spans="3:30" ht="25" customHeight="1">
      <c r="C169" s="28" t="str">
        <f>IF(tbl_FlatLaser[[#This Row],[Part'#]]="", "Batch", "Part")</f>
        <v>Batch</v>
      </c>
      <c r="G169" s="28"/>
      <c r="I169" s="70" t="e">
        <f>tbl_FlatLaser[[#This Row],[Qty Complete]]/tbl_FlatLaser[[#This Row],[Qty Required]]</f>
        <v>#DIV/0!</v>
      </c>
      <c r="L169" s="31">
        <f>IF(tbl_FlatLaser[[#This Row],[Job Type]]="Batch",0,tbl_FlatLaser[[#This Row],[Qty Required]]/tbl_FlatLaser[[#This Row],[PPH]]*tbl_FlatLaser[[#This Row],['# of men]])</f>
        <v>0</v>
      </c>
      <c r="M169" s="31" t="e">
        <f>IF(tbl_FlatLaser[[#This Row],[Job Type]]="Batch",tbl_FlatLaser[[#This Row],[Batch Hours]]*tbl_FlatLaser[[#This Row],[% Complete]],tbl_FlatLaser[[#This Row],[Total hours]]*tbl_FlatLaser[[#This Row],[% Complete]])</f>
        <v>#DIV/0!</v>
      </c>
      <c r="N169" s="31"/>
      <c r="P169" s="28" t="e">
        <f>tbl_FlatLaser[[#This Row],[Mat. Qty]]*tbl_FlatLaser[[#This Row],[% Complete]]</f>
        <v>#DIV/0!</v>
      </c>
      <c r="R169" s="32" t="str">
        <f>IFERROR(tbl_FlatLaser[[#This Row],[Qty Complete]]/tbl_FlatLaser[[#This Row],[Total Hours Act]]*tbl_FlatLaser[[#This Row],['# of men Act]],"")</f>
        <v/>
      </c>
      <c r="T169"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69" s="35" t="str">
        <f>IFERROR((tbl_FlatLaser[[#This Row],[Adj. Total Hours]]+tbl_FlatLaser[[#This Row],[Est. Hours]])/(tbl_FlatLaser[[#This Row],[Total Hours Act]]+tbl_FlatLaser[[#This Row],[Act. Hours]]),"")</f>
        <v/>
      </c>
      <c r="Y169"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69" s="104" t="str">
        <f>IFERROR(tbl_FlatLaser[[#This Row],[Act. Mat. Qty]]-tbl_FlatLaser[[#This Row],[Adj. Mat. Qty]],"")</f>
        <v/>
      </c>
      <c r="AA169"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69" s="31"/>
      <c r="AD169" s="36"/>
    </row>
    <row r="170" spans="3:30" ht="25" customHeight="1">
      <c r="C170" s="28" t="str">
        <f>IF(tbl_FlatLaser[[#This Row],[Part'#]]="", "Batch", "Part")</f>
        <v>Batch</v>
      </c>
      <c r="G170" s="28"/>
      <c r="I170" s="70" t="e">
        <f>tbl_FlatLaser[[#This Row],[Qty Complete]]/tbl_FlatLaser[[#This Row],[Qty Required]]</f>
        <v>#DIV/0!</v>
      </c>
      <c r="L170" s="31">
        <f>IF(tbl_FlatLaser[[#This Row],[Job Type]]="Batch",0,tbl_FlatLaser[[#This Row],[Qty Required]]/tbl_FlatLaser[[#This Row],[PPH]]*tbl_FlatLaser[[#This Row],['# of men]])</f>
        <v>0</v>
      </c>
      <c r="M170" s="31" t="e">
        <f>IF(tbl_FlatLaser[[#This Row],[Job Type]]="Batch",tbl_FlatLaser[[#This Row],[Batch Hours]]*tbl_FlatLaser[[#This Row],[% Complete]],tbl_FlatLaser[[#This Row],[Total hours]]*tbl_FlatLaser[[#This Row],[% Complete]])</f>
        <v>#DIV/0!</v>
      </c>
      <c r="N170" s="31"/>
      <c r="P170" s="28" t="e">
        <f>tbl_FlatLaser[[#This Row],[Mat. Qty]]*tbl_FlatLaser[[#This Row],[% Complete]]</f>
        <v>#DIV/0!</v>
      </c>
      <c r="R170" s="32" t="str">
        <f>IFERROR(tbl_FlatLaser[[#This Row],[Qty Complete]]/tbl_FlatLaser[[#This Row],[Total Hours Act]]*tbl_FlatLaser[[#This Row],['# of men Act]],"")</f>
        <v/>
      </c>
      <c r="T170"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70" s="35" t="str">
        <f>IFERROR((tbl_FlatLaser[[#This Row],[Adj. Total Hours]]+tbl_FlatLaser[[#This Row],[Est. Hours]])/(tbl_FlatLaser[[#This Row],[Total Hours Act]]+tbl_FlatLaser[[#This Row],[Act. Hours]]),"")</f>
        <v/>
      </c>
      <c r="Y170"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70" s="104" t="str">
        <f>IFERROR(tbl_FlatLaser[[#This Row],[Act. Mat. Qty]]-tbl_FlatLaser[[#This Row],[Adj. Mat. Qty]],"")</f>
        <v/>
      </c>
      <c r="AA170"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70" s="31"/>
      <c r="AD170" s="36"/>
    </row>
    <row r="171" spans="3:30" ht="25" customHeight="1">
      <c r="C171" s="28" t="str">
        <f>IF(tbl_FlatLaser[[#This Row],[Part'#]]="", "Batch", "Part")</f>
        <v>Batch</v>
      </c>
      <c r="G171" s="28"/>
      <c r="I171" s="70" t="e">
        <f>tbl_FlatLaser[[#This Row],[Qty Complete]]/tbl_FlatLaser[[#This Row],[Qty Required]]</f>
        <v>#DIV/0!</v>
      </c>
      <c r="L171" s="31">
        <f>IF(tbl_FlatLaser[[#This Row],[Job Type]]="Batch",0,tbl_FlatLaser[[#This Row],[Qty Required]]/tbl_FlatLaser[[#This Row],[PPH]]*tbl_FlatLaser[[#This Row],['# of men]])</f>
        <v>0</v>
      </c>
      <c r="M171" s="31" t="e">
        <f>IF(tbl_FlatLaser[[#This Row],[Job Type]]="Batch",tbl_FlatLaser[[#This Row],[Batch Hours]]*tbl_FlatLaser[[#This Row],[% Complete]],tbl_FlatLaser[[#This Row],[Total hours]]*tbl_FlatLaser[[#This Row],[% Complete]])</f>
        <v>#DIV/0!</v>
      </c>
      <c r="N171" s="31"/>
      <c r="P171" s="28" t="e">
        <f>tbl_FlatLaser[[#This Row],[Mat. Qty]]*tbl_FlatLaser[[#This Row],[% Complete]]</f>
        <v>#DIV/0!</v>
      </c>
      <c r="R171" s="32" t="str">
        <f>IFERROR(tbl_FlatLaser[[#This Row],[Qty Complete]]/tbl_FlatLaser[[#This Row],[Total Hours Act]]*tbl_FlatLaser[[#This Row],['# of men Act]],"")</f>
        <v/>
      </c>
      <c r="T171"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71" s="35" t="str">
        <f>IFERROR((tbl_FlatLaser[[#This Row],[Adj. Total Hours]]+tbl_FlatLaser[[#This Row],[Est. Hours]])/(tbl_FlatLaser[[#This Row],[Total Hours Act]]+tbl_FlatLaser[[#This Row],[Act. Hours]]),"")</f>
        <v/>
      </c>
      <c r="Y171"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71" s="104" t="str">
        <f>IFERROR(tbl_FlatLaser[[#This Row],[Act. Mat. Qty]]-tbl_FlatLaser[[#This Row],[Adj. Mat. Qty]],"")</f>
        <v/>
      </c>
      <c r="AA171"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71" s="31"/>
      <c r="AD171" s="36"/>
    </row>
    <row r="172" spans="3:30" ht="25" customHeight="1">
      <c r="C172" s="28" t="str">
        <f>IF(tbl_FlatLaser[[#This Row],[Part'#]]="", "Batch", "Part")</f>
        <v>Batch</v>
      </c>
      <c r="G172" s="28"/>
      <c r="I172" s="70" t="e">
        <f>tbl_FlatLaser[[#This Row],[Qty Complete]]/tbl_FlatLaser[[#This Row],[Qty Required]]</f>
        <v>#DIV/0!</v>
      </c>
      <c r="L172" s="31">
        <f>IF(tbl_FlatLaser[[#This Row],[Job Type]]="Batch",0,tbl_FlatLaser[[#This Row],[Qty Required]]/tbl_FlatLaser[[#This Row],[PPH]]*tbl_FlatLaser[[#This Row],['# of men]])</f>
        <v>0</v>
      </c>
      <c r="M172" s="31" t="e">
        <f>IF(tbl_FlatLaser[[#This Row],[Job Type]]="Batch",tbl_FlatLaser[[#This Row],[Batch Hours]]*tbl_FlatLaser[[#This Row],[% Complete]],tbl_FlatLaser[[#This Row],[Total hours]]*tbl_FlatLaser[[#This Row],[% Complete]])</f>
        <v>#DIV/0!</v>
      </c>
      <c r="N172" s="31"/>
      <c r="P172" s="28" t="e">
        <f>tbl_FlatLaser[[#This Row],[Mat. Qty]]*tbl_FlatLaser[[#This Row],[% Complete]]</f>
        <v>#DIV/0!</v>
      </c>
      <c r="R172" s="32" t="str">
        <f>IFERROR(tbl_FlatLaser[[#This Row],[Qty Complete]]/tbl_FlatLaser[[#This Row],[Total Hours Act]]*tbl_FlatLaser[[#This Row],['# of men Act]],"")</f>
        <v/>
      </c>
      <c r="T172"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72" s="35" t="str">
        <f>IFERROR((tbl_FlatLaser[[#This Row],[Adj. Total Hours]]+tbl_FlatLaser[[#This Row],[Est. Hours]])/(tbl_FlatLaser[[#This Row],[Total Hours Act]]+tbl_FlatLaser[[#This Row],[Act. Hours]]),"")</f>
        <v/>
      </c>
      <c r="Y172"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72" s="104" t="str">
        <f>IFERROR(tbl_FlatLaser[[#This Row],[Act. Mat. Qty]]-tbl_FlatLaser[[#This Row],[Adj. Mat. Qty]],"")</f>
        <v/>
      </c>
      <c r="AA172"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72" s="31"/>
      <c r="AD172" s="36"/>
    </row>
    <row r="173" spans="3:30" ht="25" customHeight="1">
      <c r="C173" s="28" t="str">
        <f>IF(tbl_FlatLaser[[#This Row],[Part'#]]="", "Batch", "Part")</f>
        <v>Batch</v>
      </c>
      <c r="G173" s="28"/>
      <c r="I173" s="70" t="e">
        <f>tbl_FlatLaser[[#This Row],[Qty Complete]]/tbl_FlatLaser[[#This Row],[Qty Required]]</f>
        <v>#DIV/0!</v>
      </c>
      <c r="L173" s="31">
        <f>IF(tbl_FlatLaser[[#This Row],[Job Type]]="Batch",0,tbl_FlatLaser[[#This Row],[Qty Required]]/tbl_FlatLaser[[#This Row],[PPH]]*tbl_FlatLaser[[#This Row],['# of men]])</f>
        <v>0</v>
      </c>
      <c r="M173" s="31" t="e">
        <f>IF(tbl_FlatLaser[[#This Row],[Job Type]]="Batch",tbl_FlatLaser[[#This Row],[Batch Hours]]*tbl_FlatLaser[[#This Row],[% Complete]],tbl_FlatLaser[[#This Row],[Total hours]]*tbl_FlatLaser[[#This Row],[% Complete]])</f>
        <v>#DIV/0!</v>
      </c>
      <c r="N173" s="31"/>
      <c r="P173" s="28" t="e">
        <f>tbl_FlatLaser[[#This Row],[Mat. Qty]]*tbl_FlatLaser[[#This Row],[% Complete]]</f>
        <v>#DIV/0!</v>
      </c>
      <c r="R173" s="32" t="str">
        <f>IFERROR(tbl_FlatLaser[[#This Row],[Qty Complete]]/tbl_FlatLaser[[#This Row],[Total Hours Act]]*tbl_FlatLaser[[#This Row],['# of men Act]],"")</f>
        <v/>
      </c>
      <c r="T173"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73" s="35" t="str">
        <f>IFERROR((tbl_FlatLaser[[#This Row],[Adj. Total Hours]]+tbl_FlatLaser[[#This Row],[Est. Hours]])/(tbl_FlatLaser[[#This Row],[Total Hours Act]]+tbl_FlatLaser[[#This Row],[Act. Hours]]),"")</f>
        <v/>
      </c>
      <c r="Y173"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73" s="104" t="str">
        <f>IFERROR(tbl_FlatLaser[[#This Row],[Act. Mat. Qty]]-tbl_FlatLaser[[#This Row],[Adj. Mat. Qty]],"")</f>
        <v/>
      </c>
      <c r="AA173"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73" s="31"/>
      <c r="AD173" s="36"/>
    </row>
    <row r="174" spans="3:30" ht="25" customHeight="1">
      <c r="C174" s="28" t="str">
        <f>IF(tbl_FlatLaser[[#This Row],[Part'#]]="", "Batch", "Part")</f>
        <v>Batch</v>
      </c>
      <c r="G174" s="28"/>
      <c r="I174" s="70" t="e">
        <f>tbl_FlatLaser[[#This Row],[Qty Complete]]/tbl_FlatLaser[[#This Row],[Qty Required]]</f>
        <v>#DIV/0!</v>
      </c>
      <c r="L174" s="31">
        <f>IF(tbl_FlatLaser[[#This Row],[Job Type]]="Batch",0,tbl_FlatLaser[[#This Row],[Qty Required]]/tbl_FlatLaser[[#This Row],[PPH]]*tbl_FlatLaser[[#This Row],['# of men]])</f>
        <v>0</v>
      </c>
      <c r="M174" s="31" t="e">
        <f>IF(tbl_FlatLaser[[#This Row],[Job Type]]="Batch",tbl_FlatLaser[[#This Row],[Batch Hours]]*tbl_FlatLaser[[#This Row],[% Complete]],tbl_FlatLaser[[#This Row],[Total hours]]*tbl_FlatLaser[[#This Row],[% Complete]])</f>
        <v>#DIV/0!</v>
      </c>
      <c r="N174" s="31"/>
      <c r="P174" s="28" t="e">
        <f>tbl_FlatLaser[[#This Row],[Mat. Qty]]*tbl_FlatLaser[[#This Row],[% Complete]]</f>
        <v>#DIV/0!</v>
      </c>
      <c r="R174" s="32" t="str">
        <f>IFERROR(tbl_FlatLaser[[#This Row],[Qty Complete]]/tbl_FlatLaser[[#This Row],[Total Hours Act]]*tbl_FlatLaser[[#This Row],['# of men Act]],"")</f>
        <v/>
      </c>
      <c r="T174"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74" s="35" t="str">
        <f>IFERROR((tbl_FlatLaser[[#This Row],[Adj. Total Hours]]+tbl_FlatLaser[[#This Row],[Est. Hours]])/(tbl_FlatLaser[[#This Row],[Total Hours Act]]+tbl_FlatLaser[[#This Row],[Act. Hours]]),"")</f>
        <v/>
      </c>
      <c r="Y174"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74" s="104" t="str">
        <f>IFERROR(tbl_FlatLaser[[#This Row],[Act. Mat. Qty]]-tbl_FlatLaser[[#This Row],[Adj. Mat. Qty]],"")</f>
        <v/>
      </c>
      <c r="AA174"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74" s="31"/>
      <c r="AD174" s="36"/>
    </row>
    <row r="175" spans="3:30" ht="25" customHeight="1">
      <c r="C175" s="28" t="str">
        <f>IF(tbl_FlatLaser[[#This Row],[Part'#]]="", "Batch", "Part")</f>
        <v>Batch</v>
      </c>
      <c r="G175" s="28"/>
      <c r="I175" s="70" t="e">
        <f>tbl_FlatLaser[[#This Row],[Qty Complete]]/tbl_FlatLaser[[#This Row],[Qty Required]]</f>
        <v>#DIV/0!</v>
      </c>
      <c r="L175" s="31">
        <f>IF(tbl_FlatLaser[[#This Row],[Job Type]]="Batch",0,tbl_FlatLaser[[#This Row],[Qty Required]]/tbl_FlatLaser[[#This Row],[PPH]]*tbl_FlatLaser[[#This Row],['# of men]])</f>
        <v>0</v>
      </c>
      <c r="M175" s="31" t="e">
        <f>IF(tbl_FlatLaser[[#This Row],[Job Type]]="Batch",tbl_FlatLaser[[#This Row],[Batch Hours]]*tbl_FlatLaser[[#This Row],[% Complete]],tbl_FlatLaser[[#This Row],[Total hours]]*tbl_FlatLaser[[#This Row],[% Complete]])</f>
        <v>#DIV/0!</v>
      </c>
      <c r="N175" s="31"/>
      <c r="P175" s="28" t="e">
        <f>tbl_FlatLaser[[#This Row],[Mat. Qty]]*tbl_FlatLaser[[#This Row],[% Complete]]</f>
        <v>#DIV/0!</v>
      </c>
      <c r="R175" s="32" t="str">
        <f>IFERROR(tbl_FlatLaser[[#This Row],[Qty Complete]]/tbl_FlatLaser[[#This Row],[Total Hours Act]]*tbl_FlatLaser[[#This Row],['# of men Act]],"")</f>
        <v/>
      </c>
      <c r="T175"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75" s="35" t="str">
        <f>IFERROR((tbl_FlatLaser[[#This Row],[Adj. Total Hours]]+tbl_FlatLaser[[#This Row],[Est. Hours]])/(tbl_FlatLaser[[#This Row],[Total Hours Act]]+tbl_FlatLaser[[#This Row],[Act. Hours]]),"")</f>
        <v/>
      </c>
      <c r="Y175"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75" s="104" t="str">
        <f>IFERROR(tbl_FlatLaser[[#This Row],[Act. Mat. Qty]]-tbl_FlatLaser[[#This Row],[Adj. Mat. Qty]],"")</f>
        <v/>
      </c>
      <c r="AA175"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75" s="31"/>
      <c r="AD175" s="36"/>
    </row>
    <row r="176" spans="3:30" ht="25" customHeight="1">
      <c r="C176" s="28" t="str">
        <f>IF(tbl_FlatLaser[[#This Row],[Part'#]]="", "Batch", "Part")</f>
        <v>Batch</v>
      </c>
      <c r="G176" s="28"/>
      <c r="I176" s="70" t="e">
        <f>tbl_FlatLaser[[#This Row],[Qty Complete]]/tbl_FlatLaser[[#This Row],[Qty Required]]</f>
        <v>#DIV/0!</v>
      </c>
      <c r="L176" s="31">
        <f>IF(tbl_FlatLaser[[#This Row],[Job Type]]="Batch",0,tbl_FlatLaser[[#This Row],[Qty Required]]/tbl_FlatLaser[[#This Row],[PPH]]*tbl_FlatLaser[[#This Row],['# of men]])</f>
        <v>0</v>
      </c>
      <c r="M176" s="31" t="e">
        <f>IF(tbl_FlatLaser[[#This Row],[Job Type]]="Batch",tbl_FlatLaser[[#This Row],[Batch Hours]]*tbl_FlatLaser[[#This Row],[% Complete]],tbl_FlatLaser[[#This Row],[Total hours]]*tbl_FlatLaser[[#This Row],[% Complete]])</f>
        <v>#DIV/0!</v>
      </c>
      <c r="N176" s="31"/>
      <c r="P176" s="28" t="e">
        <f>tbl_FlatLaser[[#This Row],[Mat. Qty]]*tbl_FlatLaser[[#This Row],[% Complete]]</f>
        <v>#DIV/0!</v>
      </c>
      <c r="R176" s="32" t="str">
        <f>IFERROR(tbl_FlatLaser[[#This Row],[Qty Complete]]/tbl_FlatLaser[[#This Row],[Total Hours Act]]*tbl_FlatLaser[[#This Row],['# of men Act]],"")</f>
        <v/>
      </c>
      <c r="T176"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76" s="35" t="str">
        <f>IFERROR((tbl_FlatLaser[[#This Row],[Adj. Total Hours]]+tbl_FlatLaser[[#This Row],[Est. Hours]])/(tbl_FlatLaser[[#This Row],[Total Hours Act]]+tbl_FlatLaser[[#This Row],[Act. Hours]]),"")</f>
        <v/>
      </c>
      <c r="Y176"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76" s="104" t="str">
        <f>IFERROR(tbl_FlatLaser[[#This Row],[Act. Mat. Qty]]-tbl_FlatLaser[[#This Row],[Adj. Mat. Qty]],"")</f>
        <v/>
      </c>
      <c r="AA176"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76" s="31"/>
      <c r="AD176" s="36"/>
    </row>
    <row r="177" spans="3:30" ht="25" customHeight="1">
      <c r="C177" s="28" t="str">
        <f>IF(tbl_FlatLaser[[#This Row],[Part'#]]="", "Batch", "Part")</f>
        <v>Batch</v>
      </c>
      <c r="G177" s="28"/>
      <c r="I177" s="70" t="e">
        <f>tbl_FlatLaser[[#This Row],[Qty Complete]]/tbl_FlatLaser[[#This Row],[Qty Required]]</f>
        <v>#DIV/0!</v>
      </c>
      <c r="L177" s="31">
        <f>IF(tbl_FlatLaser[[#This Row],[Job Type]]="Batch",0,tbl_FlatLaser[[#This Row],[Qty Required]]/tbl_FlatLaser[[#This Row],[PPH]]*tbl_FlatLaser[[#This Row],['# of men]])</f>
        <v>0</v>
      </c>
      <c r="M177" s="31" t="e">
        <f>IF(tbl_FlatLaser[[#This Row],[Job Type]]="Batch",tbl_FlatLaser[[#This Row],[Batch Hours]]*tbl_FlatLaser[[#This Row],[% Complete]],tbl_FlatLaser[[#This Row],[Total hours]]*tbl_FlatLaser[[#This Row],[% Complete]])</f>
        <v>#DIV/0!</v>
      </c>
      <c r="N177" s="31"/>
      <c r="P177" s="28" t="e">
        <f>tbl_FlatLaser[[#This Row],[Mat. Qty]]*tbl_FlatLaser[[#This Row],[% Complete]]</f>
        <v>#DIV/0!</v>
      </c>
      <c r="R177" s="32" t="str">
        <f>IFERROR(tbl_FlatLaser[[#This Row],[Qty Complete]]/tbl_FlatLaser[[#This Row],[Total Hours Act]]*tbl_FlatLaser[[#This Row],['# of men Act]],"")</f>
        <v/>
      </c>
      <c r="T177"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77" s="35" t="str">
        <f>IFERROR((tbl_FlatLaser[[#This Row],[Adj. Total Hours]]+tbl_FlatLaser[[#This Row],[Est. Hours]])/(tbl_FlatLaser[[#This Row],[Total Hours Act]]+tbl_FlatLaser[[#This Row],[Act. Hours]]),"")</f>
        <v/>
      </c>
      <c r="Y177"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77" s="104" t="str">
        <f>IFERROR(tbl_FlatLaser[[#This Row],[Act. Mat. Qty]]-tbl_FlatLaser[[#This Row],[Adj. Mat. Qty]],"")</f>
        <v/>
      </c>
      <c r="AA177"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77" s="31"/>
      <c r="AD177" s="36"/>
    </row>
    <row r="178" spans="3:30" ht="25" customHeight="1">
      <c r="C178" s="28" t="str">
        <f>IF(tbl_FlatLaser[[#This Row],[Part'#]]="", "Batch", "Part")</f>
        <v>Batch</v>
      </c>
      <c r="G178" s="28"/>
      <c r="I178" s="70" t="e">
        <f>tbl_FlatLaser[[#This Row],[Qty Complete]]/tbl_FlatLaser[[#This Row],[Qty Required]]</f>
        <v>#DIV/0!</v>
      </c>
      <c r="L178" s="31">
        <f>IF(tbl_FlatLaser[[#This Row],[Job Type]]="Batch",0,tbl_FlatLaser[[#This Row],[Qty Required]]/tbl_FlatLaser[[#This Row],[PPH]]*tbl_FlatLaser[[#This Row],['# of men]])</f>
        <v>0</v>
      </c>
      <c r="M178" s="31" t="e">
        <f>IF(tbl_FlatLaser[[#This Row],[Job Type]]="Batch",tbl_FlatLaser[[#This Row],[Batch Hours]]*tbl_FlatLaser[[#This Row],[% Complete]],tbl_FlatLaser[[#This Row],[Total hours]]*tbl_FlatLaser[[#This Row],[% Complete]])</f>
        <v>#DIV/0!</v>
      </c>
      <c r="N178" s="31"/>
      <c r="P178" s="28" t="e">
        <f>tbl_FlatLaser[[#This Row],[Mat. Qty]]*tbl_FlatLaser[[#This Row],[% Complete]]</f>
        <v>#DIV/0!</v>
      </c>
      <c r="R178" s="32" t="str">
        <f>IFERROR(tbl_FlatLaser[[#This Row],[Qty Complete]]/tbl_FlatLaser[[#This Row],[Total Hours Act]]*tbl_FlatLaser[[#This Row],['# of men Act]],"")</f>
        <v/>
      </c>
      <c r="T178"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78" s="35" t="str">
        <f>IFERROR((tbl_FlatLaser[[#This Row],[Adj. Total Hours]]+tbl_FlatLaser[[#This Row],[Est. Hours]])/(tbl_FlatLaser[[#This Row],[Total Hours Act]]+tbl_FlatLaser[[#This Row],[Act. Hours]]),"")</f>
        <v/>
      </c>
      <c r="Y178"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78" s="104" t="str">
        <f>IFERROR(tbl_FlatLaser[[#This Row],[Act. Mat. Qty]]-tbl_FlatLaser[[#This Row],[Adj. Mat. Qty]],"")</f>
        <v/>
      </c>
      <c r="AA178"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78" s="31"/>
      <c r="AD178" s="36"/>
    </row>
    <row r="179" spans="3:30" ht="25" customHeight="1">
      <c r="C179" s="28" t="str">
        <f>IF(tbl_FlatLaser[[#This Row],[Part'#]]="", "Batch", "Part")</f>
        <v>Batch</v>
      </c>
      <c r="G179" s="28"/>
      <c r="I179" s="70" t="e">
        <f>tbl_FlatLaser[[#This Row],[Qty Complete]]/tbl_FlatLaser[[#This Row],[Qty Required]]</f>
        <v>#DIV/0!</v>
      </c>
      <c r="L179" s="31">
        <f>IF(tbl_FlatLaser[[#This Row],[Job Type]]="Batch",0,tbl_FlatLaser[[#This Row],[Qty Required]]/tbl_FlatLaser[[#This Row],[PPH]]*tbl_FlatLaser[[#This Row],['# of men]])</f>
        <v>0</v>
      </c>
      <c r="M179" s="31" t="e">
        <f>IF(tbl_FlatLaser[[#This Row],[Job Type]]="Batch",tbl_FlatLaser[[#This Row],[Batch Hours]]*tbl_FlatLaser[[#This Row],[% Complete]],tbl_FlatLaser[[#This Row],[Total hours]]*tbl_FlatLaser[[#This Row],[% Complete]])</f>
        <v>#DIV/0!</v>
      </c>
      <c r="N179" s="31"/>
      <c r="P179" s="28" t="e">
        <f>tbl_FlatLaser[[#This Row],[Mat. Qty]]*tbl_FlatLaser[[#This Row],[% Complete]]</f>
        <v>#DIV/0!</v>
      </c>
      <c r="R179" s="32" t="str">
        <f>IFERROR(tbl_FlatLaser[[#This Row],[Qty Complete]]/tbl_FlatLaser[[#This Row],[Total Hours Act]]*tbl_FlatLaser[[#This Row],['# of men Act]],"")</f>
        <v/>
      </c>
      <c r="T179"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79" s="35" t="str">
        <f>IFERROR((tbl_FlatLaser[[#This Row],[Adj. Total Hours]]+tbl_FlatLaser[[#This Row],[Est. Hours]])/(tbl_FlatLaser[[#This Row],[Total Hours Act]]+tbl_FlatLaser[[#This Row],[Act. Hours]]),"")</f>
        <v/>
      </c>
      <c r="Y179"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79" s="104" t="str">
        <f>IFERROR(tbl_FlatLaser[[#This Row],[Act. Mat. Qty]]-tbl_FlatLaser[[#This Row],[Adj. Mat. Qty]],"")</f>
        <v/>
      </c>
      <c r="AA179"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79" s="31"/>
      <c r="AD179" s="36"/>
    </row>
    <row r="180" spans="3:30" ht="25" customHeight="1">
      <c r="C180" s="28" t="str">
        <f>IF(tbl_FlatLaser[[#This Row],[Part'#]]="", "Batch", "Part")</f>
        <v>Batch</v>
      </c>
      <c r="G180" s="28"/>
      <c r="I180" s="70" t="e">
        <f>tbl_FlatLaser[[#This Row],[Qty Complete]]/tbl_FlatLaser[[#This Row],[Qty Required]]</f>
        <v>#DIV/0!</v>
      </c>
      <c r="L180" s="31">
        <f>IF(tbl_FlatLaser[[#This Row],[Job Type]]="Batch",0,tbl_FlatLaser[[#This Row],[Qty Required]]/tbl_FlatLaser[[#This Row],[PPH]]*tbl_FlatLaser[[#This Row],['# of men]])</f>
        <v>0</v>
      </c>
      <c r="M180" s="31" t="e">
        <f>IF(tbl_FlatLaser[[#This Row],[Job Type]]="Batch",tbl_FlatLaser[[#This Row],[Batch Hours]]*tbl_FlatLaser[[#This Row],[% Complete]],tbl_FlatLaser[[#This Row],[Total hours]]*tbl_FlatLaser[[#This Row],[% Complete]])</f>
        <v>#DIV/0!</v>
      </c>
      <c r="N180" s="31"/>
      <c r="P180" s="28" t="e">
        <f>tbl_FlatLaser[[#This Row],[Mat. Qty]]*tbl_FlatLaser[[#This Row],[% Complete]]</f>
        <v>#DIV/0!</v>
      </c>
      <c r="R180" s="32" t="str">
        <f>IFERROR(tbl_FlatLaser[[#This Row],[Qty Complete]]/tbl_FlatLaser[[#This Row],[Total Hours Act]]*tbl_FlatLaser[[#This Row],['# of men Act]],"")</f>
        <v/>
      </c>
      <c r="T180"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80" s="35" t="str">
        <f>IFERROR((tbl_FlatLaser[[#This Row],[Adj. Total Hours]]+tbl_FlatLaser[[#This Row],[Est. Hours]])/(tbl_FlatLaser[[#This Row],[Total Hours Act]]+tbl_FlatLaser[[#This Row],[Act. Hours]]),"")</f>
        <v/>
      </c>
      <c r="Y180"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80" s="104" t="str">
        <f>IFERROR(tbl_FlatLaser[[#This Row],[Act. Mat. Qty]]-tbl_FlatLaser[[#This Row],[Adj. Mat. Qty]],"")</f>
        <v/>
      </c>
      <c r="AA180"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80" s="31"/>
      <c r="AD180" s="36"/>
    </row>
    <row r="181" spans="3:30" ht="25" customHeight="1">
      <c r="C181" s="28" t="str">
        <f>IF(tbl_FlatLaser[[#This Row],[Part'#]]="", "Batch", "Part")</f>
        <v>Batch</v>
      </c>
      <c r="G181" s="28"/>
      <c r="I181" s="70" t="e">
        <f>tbl_FlatLaser[[#This Row],[Qty Complete]]/tbl_FlatLaser[[#This Row],[Qty Required]]</f>
        <v>#DIV/0!</v>
      </c>
      <c r="L181" s="31">
        <f>IF(tbl_FlatLaser[[#This Row],[Job Type]]="Batch",0,tbl_FlatLaser[[#This Row],[Qty Required]]/tbl_FlatLaser[[#This Row],[PPH]]*tbl_FlatLaser[[#This Row],['# of men]])</f>
        <v>0</v>
      </c>
      <c r="M181" s="31" t="e">
        <f>IF(tbl_FlatLaser[[#This Row],[Job Type]]="Batch",tbl_FlatLaser[[#This Row],[Batch Hours]]*tbl_FlatLaser[[#This Row],[% Complete]],tbl_FlatLaser[[#This Row],[Total hours]]*tbl_FlatLaser[[#This Row],[% Complete]])</f>
        <v>#DIV/0!</v>
      </c>
      <c r="N181" s="31"/>
      <c r="P181" s="28" t="e">
        <f>tbl_FlatLaser[[#This Row],[Mat. Qty]]*tbl_FlatLaser[[#This Row],[% Complete]]</f>
        <v>#DIV/0!</v>
      </c>
      <c r="R181" s="32" t="str">
        <f>IFERROR(tbl_FlatLaser[[#This Row],[Qty Complete]]/tbl_FlatLaser[[#This Row],[Total Hours Act]]*tbl_FlatLaser[[#This Row],['# of men Act]],"")</f>
        <v/>
      </c>
      <c r="T181"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81" s="35" t="str">
        <f>IFERROR((tbl_FlatLaser[[#This Row],[Adj. Total Hours]]+tbl_FlatLaser[[#This Row],[Est. Hours]])/(tbl_FlatLaser[[#This Row],[Total Hours Act]]+tbl_FlatLaser[[#This Row],[Act. Hours]]),"")</f>
        <v/>
      </c>
      <c r="Y181"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81" s="104" t="str">
        <f>IFERROR(tbl_FlatLaser[[#This Row],[Act. Mat. Qty]]-tbl_FlatLaser[[#This Row],[Adj. Mat. Qty]],"")</f>
        <v/>
      </c>
      <c r="AA181"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81" s="31"/>
      <c r="AD181" s="36"/>
    </row>
    <row r="182" spans="3:30" ht="25" customHeight="1">
      <c r="C182" s="28" t="str">
        <f>IF(tbl_FlatLaser[[#This Row],[Part'#]]="", "Batch", "Part")</f>
        <v>Batch</v>
      </c>
      <c r="G182" s="28"/>
      <c r="I182" s="70" t="e">
        <f>tbl_FlatLaser[[#This Row],[Qty Complete]]/tbl_FlatLaser[[#This Row],[Qty Required]]</f>
        <v>#DIV/0!</v>
      </c>
      <c r="L182" s="31">
        <f>IF(tbl_FlatLaser[[#This Row],[Job Type]]="Batch",0,tbl_FlatLaser[[#This Row],[Qty Required]]/tbl_FlatLaser[[#This Row],[PPH]]*tbl_FlatLaser[[#This Row],['# of men]])</f>
        <v>0</v>
      </c>
      <c r="M182" s="31" t="e">
        <f>IF(tbl_FlatLaser[[#This Row],[Job Type]]="Batch",tbl_FlatLaser[[#This Row],[Batch Hours]]*tbl_FlatLaser[[#This Row],[% Complete]],tbl_FlatLaser[[#This Row],[Total hours]]*tbl_FlatLaser[[#This Row],[% Complete]])</f>
        <v>#DIV/0!</v>
      </c>
      <c r="N182" s="31"/>
      <c r="P182" s="28" t="e">
        <f>tbl_FlatLaser[[#This Row],[Mat. Qty]]*tbl_FlatLaser[[#This Row],[% Complete]]</f>
        <v>#DIV/0!</v>
      </c>
      <c r="R182" s="32" t="str">
        <f>IFERROR(tbl_FlatLaser[[#This Row],[Qty Complete]]/tbl_FlatLaser[[#This Row],[Total Hours Act]]*tbl_FlatLaser[[#This Row],['# of men Act]],"")</f>
        <v/>
      </c>
      <c r="T182"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82" s="35" t="str">
        <f>IFERROR((tbl_FlatLaser[[#This Row],[Adj. Total Hours]]+tbl_FlatLaser[[#This Row],[Est. Hours]])/(tbl_FlatLaser[[#This Row],[Total Hours Act]]+tbl_FlatLaser[[#This Row],[Act. Hours]]),"")</f>
        <v/>
      </c>
      <c r="Y182"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82" s="104" t="str">
        <f>IFERROR(tbl_FlatLaser[[#This Row],[Act. Mat. Qty]]-tbl_FlatLaser[[#This Row],[Adj. Mat. Qty]],"")</f>
        <v/>
      </c>
      <c r="AA182"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82" s="31"/>
      <c r="AD182" s="36"/>
    </row>
    <row r="183" spans="3:30" ht="25" customHeight="1">
      <c r="C183" s="28" t="str">
        <f>IF(tbl_FlatLaser[[#This Row],[Part'#]]="", "Batch", "Part")</f>
        <v>Batch</v>
      </c>
      <c r="G183" s="28"/>
      <c r="I183" s="70" t="e">
        <f>tbl_FlatLaser[[#This Row],[Qty Complete]]/tbl_FlatLaser[[#This Row],[Qty Required]]</f>
        <v>#DIV/0!</v>
      </c>
      <c r="L183" s="31">
        <f>IF(tbl_FlatLaser[[#This Row],[Job Type]]="Batch",0,tbl_FlatLaser[[#This Row],[Qty Required]]/tbl_FlatLaser[[#This Row],[PPH]]*tbl_FlatLaser[[#This Row],['# of men]])</f>
        <v>0</v>
      </c>
      <c r="M183" s="31" t="e">
        <f>IF(tbl_FlatLaser[[#This Row],[Job Type]]="Batch",tbl_FlatLaser[[#This Row],[Batch Hours]]*tbl_FlatLaser[[#This Row],[% Complete]],tbl_FlatLaser[[#This Row],[Total hours]]*tbl_FlatLaser[[#This Row],[% Complete]])</f>
        <v>#DIV/0!</v>
      </c>
      <c r="N183" s="31"/>
      <c r="P183" s="28" t="e">
        <f>tbl_FlatLaser[[#This Row],[Mat. Qty]]*tbl_FlatLaser[[#This Row],[% Complete]]</f>
        <v>#DIV/0!</v>
      </c>
      <c r="R183" s="32" t="str">
        <f>IFERROR(tbl_FlatLaser[[#This Row],[Qty Complete]]/tbl_FlatLaser[[#This Row],[Total Hours Act]]*tbl_FlatLaser[[#This Row],['# of men Act]],"")</f>
        <v/>
      </c>
      <c r="T183"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83" s="35" t="str">
        <f>IFERROR((tbl_FlatLaser[[#This Row],[Adj. Total Hours]]+tbl_FlatLaser[[#This Row],[Est. Hours]])/(tbl_FlatLaser[[#This Row],[Total Hours Act]]+tbl_FlatLaser[[#This Row],[Act. Hours]]),"")</f>
        <v/>
      </c>
      <c r="Y183"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83" s="104" t="str">
        <f>IFERROR(tbl_FlatLaser[[#This Row],[Act. Mat. Qty]]-tbl_FlatLaser[[#This Row],[Adj. Mat. Qty]],"")</f>
        <v/>
      </c>
      <c r="AA183"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83" s="31"/>
      <c r="AD183" s="36"/>
    </row>
    <row r="184" spans="3:30" ht="25" customHeight="1">
      <c r="C184" s="28" t="str">
        <f>IF(tbl_FlatLaser[[#This Row],[Part'#]]="", "Batch", "Part")</f>
        <v>Batch</v>
      </c>
      <c r="G184" s="28"/>
      <c r="I184" s="70" t="e">
        <f>tbl_FlatLaser[[#This Row],[Qty Complete]]/tbl_FlatLaser[[#This Row],[Qty Required]]</f>
        <v>#DIV/0!</v>
      </c>
      <c r="L184" s="31">
        <f>IF(tbl_FlatLaser[[#This Row],[Job Type]]="Batch",0,tbl_FlatLaser[[#This Row],[Qty Required]]/tbl_FlatLaser[[#This Row],[PPH]]*tbl_FlatLaser[[#This Row],['# of men]])</f>
        <v>0</v>
      </c>
      <c r="M184" s="31" t="e">
        <f>IF(tbl_FlatLaser[[#This Row],[Job Type]]="Batch",tbl_FlatLaser[[#This Row],[Batch Hours]]*tbl_FlatLaser[[#This Row],[% Complete]],tbl_FlatLaser[[#This Row],[Total hours]]*tbl_FlatLaser[[#This Row],[% Complete]])</f>
        <v>#DIV/0!</v>
      </c>
      <c r="N184" s="31"/>
      <c r="P184" s="28" t="e">
        <f>tbl_FlatLaser[[#This Row],[Mat. Qty]]*tbl_FlatLaser[[#This Row],[% Complete]]</f>
        <v>#DIV/0!</v>
      </c>
      <c r="R184" s="32" t="str">
        <f>IFERROR(tbl_FlatLaser[[#This Row],[Qty Complete]]/tbl_FlatLaser[[#This Row],[Total Hours Act]]*tbl_FlatLaser[[#This Row],['# of men Act]],"")</f>
        <v/>
      </c>
      <c r="T184"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84" s="35" t="str">
        <f>IFERROR((tbl_FlatLaser[[#This Row],[Adj. Total Hours]]+tbl_FlatLaser[[#This Row],[Est. Hours]])/(tbl_FlatLaser[[#This Row],[Total Hours Act]]+tbl_FlatLaser[[#This Row],[Act. Hours]]),"")</f>
        <v/>
      </c>
      <c r="Y184"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84" s="104" t="str">
        <f>IFERROR(tbl_FlatLaser[[#This Row],[Act. Mat. Qty]]-tbl_FlatLaser[[#This Row],[Adj. Mat. Qty]],"")</f>
        <v/>
      </c>
      <c r="AA184"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84" s="31"/>
      <c r="AD184" s="36"/>
    </row>
    <row r="185" spans="3:30" ht="25" customHeight="1">
      <c r="C185" s="28" t="str">
        <f>IF(tbl_FlatLaser[[#This Row],[Part'#]]="", "Batch", "Part")</f>
        <v>Batch</v>
      </c>
      <c r="G185" s="28"/>
      <c r="I185" s="70" t="e">
        <f>tbl_FlatLaser[[#This Row],[Qty Complete]]/tbl_FlatLaser[[#This Row],[Qty Required]]</f>
        <v>#DIV/0!</v>
      </c>
      <c r="L185" s="31">
        <f>IF(tbl_FlatLaser[[#This Row],[Job Type]]="Batch",0,tbl_FlatLaser[[#This Row],[Qty Required]]/tbl_FlatLaser[[#This Row],[PPH]]*tbl_FlatLaser[[#This Row],['# of men]])</f>
        <v>0</v>
      </c>
      <c r="M185" s="31" t="e">
        <f>IF(tbl_FlatLaser[[#This Row],[Job Type]]="Batch",tbl_FlatLaser[[#This Row],[Batch Hours]]*tbl_FlatLaser[[#This Row],[% Complete]],tbl_FlatLaser[[#This Row],[Total hours]]*tbl_FlatLaser[[#This Row],[% Complete]])</f>
        <v>#DIV/0!</v>
      </c>
      <c r="N185" s="31"/>
      <c r="P185" s="28" t="e">
        <f>tbl_FlatLaser[[#This Row],[Mat. Qty]]*tbl_FlatLaser[[#This Row],[% Complete]]</f>
        <v>#DIV/0!</v>
      </c>
      <c r="R185" s="32" t="str">
        <f>IFERROR(tbl_FlatLaser[[#This Row],[Qty Complete]]/tbl_FlatLaser[[#This Row],[Total Hours Act]]*tbl_FlatLaser[[#This Row],['# of men Act]],"")</f>
        <v/>
      </c>
      <c r="T185"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85" s="35" t="str">
        <f>IFERROR((tbl_FlatLaser[[#This Row],[Adj. Total Hours]]+tbl_FlatLaser[[#This Row],[Est. Hours]])/(tbl_FlatLaser[[#This Row],[Total Hours Act]]+tbl_FlatLaser[[#This Row],[Act. Hours]]),"")</f>
        <v/>
      </c>
      <c r="Y185"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85" s="104" t="str">
        <f>IFERROR(tbl_FlatLaser[[#This Row],[Act. Mat. Qty]]-tbl_FlatLaser[[#This Row],[Adj. Mat. Qty]],"")</f>
        <v/>
      </c>
      <c r="AA185"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85" s="31"/>
      <c r="AD185" s="36"/>
    </row>
    <row r="186" spans="3:30" ht="25" customHeight="1">
      <c r="C186" s="28" t="str">
        <f>IF(tbl_FlatLaser[[#This Row],[Part'#]]="", "Batch", "Part")</f>
        <v>Batch</v>
      </c>
      <c r="G186" s="28"/>
      <c r="I186" s="70" t="e">
        <f>tbl_FlatLaser[[#This Row],[Qty Complete]]/tbl_FlatLaser[[#This Row],[Qty Required]]</f>
        <v>#DIV/0!</v>
      </c>
      <c r="L186" s="31">
        <f>IF(tbl_FlatLaser[[#This Row],[Job Type]]="Batch",0,tbl_FlatLaser[[#This Row],[Qty Required]]/tbl_FlatLaser[[#This Row],[PPH]]*tbl_FlatLaser[[#This Row],['# of men]])</f>
        <v>0</v>
      </c>
      <c r="M186" s="31" t="e">
        <f>IF(tbl_FlatLaser[[#This Row],[Job Type]]="Batch",tbl_FlatLaser[[#This Row],[Batch Hours]]*tbl_FlatLaser[[#This Row],[% Complete]],tbl_FlatLaser[[#This Row],[Total hours]]*tbl_FlatLaser[[#This Row],[% Complete]])</f>
        <v>#DIV/0!</v>
      </c>
      <c r="N186" s="31"/>
      <c r="P186" s="28" t="e">
        <f>tbl_FlatLaser[[#This Row],[Mat. Qty]]*tbl_FlatLaser[[#This Row],[% Complete]]</f>
        <v>#DIV/0!</v>
      </c>
      <c r="R186" s="32" t="str">
        <f>IFERROR(tbl_FlatLaser[[#This Row],[Qty Complete]]/tbl_FlatLaser[[#This Row],[Total Hours Act]]*tbl_FlatLaser[[#This Row],['# of men Act]],"")</f>
        <v/>
      </c>
      <c r="T186"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86" s="35" t="str">
        <f>IFERROR((tbl_FlatLaser[[#This Row],[Adj. Total Hours]]+tbl_FlatLaser[[#This Row],[Est. Hours]])/(tbl_FlatLaser[[#This Row],[Total Hours Act]]+tbl_FlatLaser[[#This Row],[Act. Hours]]),"")</f>
        <v/>
      </c>
      <c r="Y186"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86" s="104" t="str">
        <f>IFERROR(tbl_FlatLaser[[#This Row],[Act. Mat. Qty]]-tbl_FlatLaser[[#This Row],[Adj. Mat. Qty]],"")</f>
        <v/>
      </c>
      <c r="AA186"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86" s="31"/>
      <c r="AD186" s="36"/>
    </row>
    <row r="187" spans="3:30" ht="25" customHeight="1">
      <c r="C187" s="28" t="str">
        <f>IF(tbl_FlatLaser[[#This Row],[Part'#]]="", "Batch", "Part")</f>
        <v>Batch</v>
      </c>
      <c r="G187" s="28"/>
      <c r="I187" s="70" t="e">
        <f>tbl_FlatLaser[[#This Row],[Qty Complete]]/tbl_FlatLaser[[#This Row],[Qty Required]]</f>
        <v>#DIV/0!</v>
      </c>
      <c r="L187" s="31">
        <f>IF(tbl_FlatLaser[[#This Row],[Job Type]]="Batch",0,tbl_FlatLaser[[#This Row],[Qty Required]]/tbl_FlatLaser[[#This Row],[PPH]]*tbl_FlatLaser[[#This Row],['# of men]])</f>
        <v>0</v>
      </c>
      <c r="M187" s="31" t="e">
        <f>IF(tbl_FlatLaser[[#This Row],[Job Type]]="Batch",tbl_FlatLaser[[#This Row],[Batch Hours]]*tbl_FlatLaser[[#This Row],[% Complete]],tbl_FlatLaser[[#This Row],[Total hours]]*tbl_FlatLaser[[#This Row],[% Complete]])</f>
        <v>#DIV/0!</v>
      </c>
      <c r="N187" s="31"/>
      <c r="P187" s="28" t="e">
        <f>tbl_FlatLaser[[#This Row],[Mat. Qty]]*tbl_FlatLaser[[#This Row],[% Complete]]</f>
        <v>#DIV/0!</v>
      </c>
      <c r="R187" s="32" t="str">
        <f>IFERROR(tbl_FlatLaser[[#This Row],[Qty Complete]]/tbl_FlatLaser[[#This Row],[Total Hours Act]]*tbl_FlatLaser[[#This Row],['# of men Act]],"")</f>
        <v/>
      </c>
      <c r="T187"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87" s="35" t="str">
        <f>IFERROR((tbl_FlatLaser[[#This Row],[Adj. Total Hours]]+tbl_FlatLaser[[#This Row],[Est. Hours]])/(tbl_FlatLaser[[#This Row],[Total Hours Act]]+tbl_FlatLaser[[#This Row],[Act. Hours]]),"")</f>
        <v/>
      </c>
      <c r="Y187"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87" s="104" t="str">
        <f>IFERROR(tbl_FlatLaser[[#This Row],[Act. Mat. Qty]]-tbl_FlatLaser[[#This Row],[Adj. Mat. Qty]],"")</f>
        <v/>
      </c>
      <c r="AA187"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87" s="31"/>
      <c r="AD187" s="36"/>
    </row>
    <row r="188" spans="3:30" ht="25" customHeight="1">
      <c r="C188" s="28" t="str">
        <f>IF(tbl_FlatLaser[[#This Row],[Part'#]]="", "Batch", "Part")</f>
        <v>Batch</v>
      </c>
      <c r="G188" s="28"/>
      <c r="I188" s="70" t="e">
        <f>tbl_FlatLaser[[#This Row],[Qty Complete]]/tbl_FlatLaser[[#This Row],[Qty Required]]</f>
        <v>#DIV/0!</v>
      </c>
      <c r="L188" s="31">
        <f>IF(tbl_FlatLaser[[#This Row],[Job Type]]="Batch",0,tbl_FlatLaser[[#This Row],[Qty Required]]/tbl_FlatLaser[[#This Row],[PPH]]*tbl_FlatLaser[[#This Row],['# of men]])</f>
        <v>0</v>
      </c>
      <c r="M188" s="31" t="e">
        <f>IF(tbl_FlatLaser[[#This Row],[Job Type]]="Batch",tbl_FlatLaser[[#This Row],[Batch Hours]]*tbl_FlatLaser[[#This Row],[% Complete]],tbl_FlatLaser[[#This Row],[Total hours]]*tbl_FlatLaser[[#This Row],[% Complete]])</f>
        <v>#DIV/0!</v>
      </c>
      <c r="N188" s="31"/>
      <c r="P188" s="28" t="e">
        <f>tbl_FlatLaser[[#This Row],[Mat. Qty]]*tbl_FlatLaser[[#This Row],[% Complete]]</f>
        <v>#DIV/0!</v>
      </c>
      <c r="R188" s="32" t="str">
        <f>IFERROR(tbl_FlatLaser[[#This Row],[Qty Complete]]/tbl_FlatLaser[[#This Row],[Total Hours Act]]*tbl_FlatLaser[[#This Row],['# of men Act]],"")</f>
        <v/>
      </c>
      <c r="T188"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88" s="35" t="str">
        <f>IFERROR((tbl_FlatLaser[[#This Row],[Adj. Total Hours]]+tbl_FlatLaser[[#This Row],[Est. Hours]])/(tbl_FlatLaser[[#This Row],[Total Hours Act]]+tbl_FlatLaser[[#This Row],[Act. Hours]]),"")</f>
        <v/>
      </c>
      <c r="Y188"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88" s="104" t="str">
        <f>IFERROR(tbl_FlatLaser[[#This Row],[Act. Mat. Qty]]-tbl_FlatLaser[[#This Row],[Adj. Mat. Qty]],"")</f>
        <v/>
      </c>
      <c r="AA188"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88" s="31"/>
      <c r="AD188" s="36"/>
    </row>
    <row r="189" spans="3:30" ht="25" customHeight="1">
      <c r="C189" s="28" t="str">
        <f>IF(tbl_FlatLaser[[#This Row],[Part'#]]="", "Batch", "Part")</f>
        <v>Batch</v>
      </c>
      <c r="G189" s="28"/>
      <c r="I189" s="70" t="e">
        <f>tbl_FlatLaser[[#This Row],[Qty Complete]]/tbl_FlatLaser[[#This Row],[Qty Required]]</f>
        <v>#DIV/0!</v>
      </c>
      <c r="L189" s="31">
        <f>IF(tbl_FlatLaser[[#This Row],[Job Type]]="Batch",0,tbl_FlatLaser[[#This Row],[Qty Required]]/tbl_FlatLaser[[#This Row],[PPH]]*tbl_FlatLaser[[#This Row],['# of men]])</f>
        <v>0</v>
      </c>
      <c r="M189" s="31" t="e">
        <f>IF(tbl_FlatLaser[[#This Row],[Job Type]]="Batch",tbl_FlatLaser[[#This Row],[Batch Hours]]*tbl_FlatLaser[[#This Row],[% Complete]],tbl_FlatLaser[[#This Row],[Total hours]]*tbl_FlatLaser[[#This Row],[% Complete]])</f>
        <v>#DIV/0!</v>
      </c>
      <c r="N189" s="31"/>
      <c r="P189" s="28" t="e">
        <f>tbl_FlatLaser[[#This Row],[Mat. Qty]]*tbl_FlatLaser[[#This Row],[% Complete]]</f>
        <v>#DIV/0!</v>
      </c>
      <c r="R189" s="32" t="str">
        <f>IFERROR(tbl_FlatLaser[[#This Row],[Qty Complete]]/tbl_FlatLaser[[#This Row],[Total Hours Act]]*tbl_FlatLaser[[#This Row],['# of men Act]],"")</f>
        <v/>
      </c>
      <c r="T189"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89" s="35" t="str">
        <f>IFERROR((tbl_FlatLaser[[#This Row],[Adj. Total Hours]]+tbl_FlatLaser[[#This Row],[Est. Hours]])/(tbl_FlatLaser[[#This Row],[Total Hours Act]]+tbl_FlatLaser[[#This Row],[Act. Hours]]),"")</f>
        <v/>
      </c>
      <c r="Y189"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89" s="104" t="str">
        <f>IFERROR(tbl_FlatLaser[[#This Row],[Act. Mat. Qty]]-tbl_FlatLaser[[#This Row],[Adj. Mat. Qty]],"")</f>
        <v/>
      </c>
      <c r="AA189"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89" s="31"/>
      <c r="AD189" s="36"/>
    </row>
    <row r="190" spans="3:30" ht="25" customHeight="1">
      <c r="C190" s="28" t="str">
        <f>IF(tbl_FlatLaser[[#This Row],[Part'#]]="", "Batch", "Part")</f>
        <v>Batch</v>
      </c>
      <c r="G190" s="28"/>
      <c r="I190" s="70" t="e">
        <f>tbl_FlatLaser[[#This Row],[Qty Complete]]/tbl_FlatLaser[[#This Row],[Qty Required]]</f>
        <v>#DIV/0!</v>
      </c>
      <c r="L190" s="31">
        <f>IF(tbl_FlatLaser[[#This Row],[Job Type]]="Batch",0,tbl_FlatLaser[[#This Row],[Qty Required]]/tbl_FlatLaser[[#This Row],[PPH]]*tbl_FlatLaser[[#This Row],['# of men]])</f>
        <v>0</v>
      </c>
      <c r="M190" s="31" t="e">
        <f>IF(tbl_FlatLaser[[#This Row],[Job Type]]="Batch",tbl_FlatLaser[[#This Row],[Batch Hours]]*tbl_FlatLaser[[#This Row],[% Complete]],tbl_FlatLaser[[#This Row],[Total hours]]*tbl_FlatLaser[[#This Row],[% Complete]])</f>
        <v>#DIV/0!</v>
      </c>
      <c r="N190" s="31"/>
      <c r="P190" s="28" t="e">
        <f>tbl_FlatLaser[[#This Row],[Mat. Qty]]*tbl_FlatLaser[[#This Row],[% Complete]]</f>
        <v>#DIV/0!</v>
      </c>
      <c r="R190" s="32" t="str">
        <f>IFERROR(tbl_FlatLaser[[#This Row],[Qty Complete]]/tbl_FlatLaser[[#This Row],[Total Hours Act]]*tbl_FlatLaser[[#This Row],['# of men Act]],"")</f>
        <v/>
      </c>
      <c r="T190"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90" s="35" t="str">
        <f>IFERROR((tbl_FlatLaser[[#This Row],[Adj. Total Hours]]+tbl_FlatLaser[[#This Row],[Est. Hours]])/(tbl_FlatLaser[[#This Row],[Total Hours Act]]+tbl_FlatLaser[[#This Row],[Act. Hours]]),"")</f>
        <v/>
      </c>
      <c r="Y190"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90" s="104" t="str">
        <f>IFERROR(tbl_FlatLaser[[#This Row],[Act. Mat. Qty]]-tbl_FlatLaser[[#This Row],[Adj. Mat. Qty]],"")</f>
        <v/>
      </c>
      <c r="AA190"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90" s="31"/>
      <c r="AD190" s="36"/>
    </row>
    <row r="191" spans="3:30" ht="25" customHeight="1">
      <c r="C191" s="28" t="str">
        <f>IF(tbl_FlatLaser[[#This Row],[Part'#]]="", "Batch", "Part")</f>
        <v>Batch</v>
      </c>
      <c r="G191" s="28"/>
      <c r="I191" s="70" t="e">
        <f>tbl_FlatLaser[[#This Row],[Qty Complete]]/tbl_FlatLaser[[#This Row],[Qty Required]]</f>
        <v>#DIV/0!</v>
      </c>
      <c r="L191" s="31">
        <f>IF(tbl_FlatLaser[[#This Row],[Job Type]]="Batch",0,tbl_FlatLaser[[#This Row],[Qty Required]]/tbl_FlatLaser[[#This Row],[PPH]]*tbl_FlatLaser[[#This Row],['# of men]])</f>
        <v>0</v>
      </c>
      <c r="M191" s="31" t="e">
        <f>IF(tbl_FlatLaser[[#This Row],[Job Type]]="Batch",tbl_FlatLaser[[#This Row],[Batch Hours]]*tbl_FlatLaser[[#This Row],[% Complete]],tbl_FlatLaser[[#This Row],[Total hours]]*tbl_FlatLaser[[#This Row],[% Complete]])</f>
        <v>#DIV/0!</v>
      </c>
      <c r="N191" s="31"/>
      <c r="P191" s="28" t="e">
        <f>tbl_FlatLaser[[#This Row],[Mat. Qty]]*tbl_FlatLaser[[#This Row],[% Complete]]</f>
        <v>#DIV/0!</v>
      </c>
      <c r="R191" s="32" t="str">
        <f>IFERROR(tbl_FlatLaser[[#This Row],[Qty Complete]]/tbl_FlatLaser[[#This Row],[Total Hours Act]]*tbl_FlatLaser[[#This Row],['# of men Act]],"")</f>
        <v/>
      </c>
      <c r="T191"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91" s="35" t="str">
        <f>IFERROR((tbl_FlatLaser[[#This Row],[Adj. Total Hours]]+tbl_FlatLaser[[#This Row],[Est. Hours]])/(tbl_FlatLaser[[#This Row],[Total Hours Act]]+tbl_FlatLaser[[#This Row],[Act. Hours]]),"")</f>
        <v/>
      </c>
      <c r="Y191"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91" s="104" t="str">
        <f>IFERROR(tbl_FlatLaser[[#This Row],[Act. Mat. Qty]]-tbl_FlatLaser[[#This Row],[Adj. Mat. Qty]],"")</f>
        <v/>
      </c>
      <c r="AA191"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91" s="31"/>
      <c r="AD191" s="36"/>
    </row>
    <row r="192" spans="3:30" ht="25" customHeight="1">
      <c r="C192" s="28" t="str">
        <f>IF(tbl_FlatLaser[[#This Row],[Part'#]]="", "Batch", "Part")</f>
        <v>Batch</v>
      </c>
      <c r="G192" s="28"/>
      <c r="I192" s="70" t="e">
        <f>tbl_FlatLaser[[#This Row],[Qty Complete]]/tbl_FlatLaser[[#This Row],[Qty Required]]</f>
        <v>#DIV/0!</v>
      </c>
      <c r="L192" s="31">
        <f>IF(tbl_FlatLaser[[#This Row],[Job Type]]="Batch",0,tbl_FlatLaser[[#This Row],[Qty Required]]/tbl_FlatLaser[[#This Row],[PPH]]*tbl_FlatLaser[[#This Row],['# of men]])</f>
        <v>0</v>
      </c>
      <c r="M192" s="31" t="e">
        <f>IF(tbl_FlatLaser[[#This Row],[Job Type]]="Batch",tbl_FlatLaser[[#This Row],[Batch Hours]]*tbl_FlatLaser[[#This Row],[% Complete]],tbl_FlatLaser[[#This Row],[Total hours]]*tbl_FlatLaser[[#This Row],[% Complete]])</f>
        <v>#DIV/0!</v>
      </c>
      <c r="N192" s="31"/>
      <c r="P192" s="28" t="e">
        <f>tbl_FlatLaser[[#This Row],[Mat. Qty]]*tbl_FlatLaser[[#This Row],[% Complete]]</f>
        <v>#DIV/0!</v>
      </c>
      <c r="R192" s="32" t="str">
        <f>IFERROR(tbl_FlatLaser[[#This Row],[Qty Complete]]/tbl_FlatLaser[[#This Row],[Total Hours Act]]*tbl_FlatLaser[[#This Row],['# of men Act]],"")</f>
        <v/>
      </c>
      <c r="T192"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92" s="35" t="str">
        <f>IFERROR((tbl_FlatLaser[[#This Row],[Adj. Total Hours]]+tbl_FlatLaser[[#This Row],[Est. Hours]])/(tbl_FlatLaser[[#This Row],[Total Hours Act]]+tbl_FlatLaser[[#This Row],[Act. Hours]]),"")</f>
        <v/>
      </c>
      <c r="Y192"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92" s="104" t="str">
        <f>IFERROR(tbl_FlatLaser[[#This Row],[Act. Mat. Qty]]-tbl_FlatLaser[[#This Row],[Adj. Mat. Qty]],"")</f>
        <v/>
      </c>
      <c r="AA192"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92" s="31"/>
      <c r="AD192" s="36"/>
    </row>
    <row r="193" spans="3:30" ht="25" customHeight="1">
      <c r="C193" s="28" t="str">
        <f>IF(tbl_FlatLaser[[#This Row],[Part'#]]="", "Batch", "Part")</f>
        <v>Batch</v>
      </c>
      <c r="G193" s="28"/>
      <c r="I193" s="70" t="e">
        <f>tbl_FlatLaser[[#This Row],[Qty Complete]]/tbl_FlatLaser[[#This Row],[Qty Required]]</f>
        <v>#DIV/0!</v>
      </c>
      <c r="L193" s="31">
        <f>IF(tbl_FlatLaser[[#This Row],[Job Type]]="Batch",0,tbl_FlatLaser[[#This Row],[Qty Required]]/tbl_FlatLaser[[#This Row],[PPH]]*tbl_FlatLaser[[#This Row],['# of men]])</f>
        <v>0</v>
      </c>
      <c r="M193" s="31" t="e">
        <f>IF(tbl_FlatLaser[[#This Row],[Job Type]]="Batch",tbl_FlatLaser[[#This Row],[Batch Hours]]*tbl_FlatLaser[[#This Row],[% Complete]],tbl_FlatLaser[[#This Row],[Total hours]]*tbl_FlatLaser[[#This Row],[% Complete]])</f>
        <v>#DIV/0!</v>
      </c>
      <c r="N193" s="31"/>
      <c r="P193" s="28" t="e">
        <f>tbl_FlatLaser[[#This Row],[Mat. Qty]]*tbl_FlatLaser[[#This Row],[% Complete]]</f>
        <v>#DIV/0!</v>
      </c>
      <c r="R193" s="32" t="str">
        <f>IFERROR(tbl_FlatLaser[[#This Row],[Qty Complete]]/tbl_FlatLaser[[#This Row],[Total Hours Act]]*tbl_FlatLaser[[#This Row],['# of men Act]],"")</f>
        <v/>
      </c>
      <c r="T193"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93" s="35" t="str">
        <f>IFERROR((tbl_FlatLaser[[#This Row],[Adj. Total Hours]]+tbl_FlatLaser[[#This Row],[Est. Hours]])/(tbl_FlatLaser[[#This Row],[Total Hours Act]]+tbl_FlatLaser[[#This Row],[Act. Hours]]),"")</f>
        <v/>
      </c>
      <c r="Y193"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93" s="104" t="str">
        <f>IFERROR(tbl_FlatLaser[[#This Row],[Act. Mat. Qty]]-tbl_FlatLaser[[#This Row],[Adj. Mat. Qty]],"")</f>
        <v/>
      </c>
      <c r="AA193"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93" s="31"/>
      <c r="AD193" s="36"/>
    </row>
    <row r="194" spans="3:30" ht="25" customHeight="1">
      <c r="C194" s="28" t="str">
        <f>IF(tbl_FlatLaser[[#This Row],[Part'#]]="", "Batch", "Part")</f>
        <v>Batch</v>
      </c>
      <c r="G194" s="28"/>
      <c r="I194" s="70" t="e">
        <f>tbl_FlatLaser[[#This Row],[Qty Complete]]/tbl_FlatLaser[[#This Row],[Qty Required]]</f>
        <v>#DIV/0!</v>
      </c>
      <c r="L194" s="31">
        <f>IF(tbl_FlatLaser[[#This Row],[Job Type]]="Batch",0,tbl_FlatLaser[[#This Row],[Qty Required]]/tbl_FlatLaser[[#This Row],[PPH]]*tbl_FlatLaser[[#This Row],['# of men]])</f>
        <v>0</v>
      </c>
      <c r="M194" s="31" t="e">
        <f>IF(tbl_FlatLaser[[#This Row],[Job Type]]="Batch",tbl_FlatLaser[[#This Row],[Batch Hours]]*tbl_FlatLaser[[#This Row],[% Complete]],tbl_FlatLaser[[#This Row],[Total hours]]*tbl_FlatLaser[[#This Row],[% Complete]])</f>
        <v>#DIV/0!</v>
      </c>
      <c r="N194" s="31"/>
      <c r="P194" s="28" t="e">
        <f>tbl_FlatLaser[[#This Row],[Mat. Qty]]*tbl_FlatLaser[[#This Row],[% Complete]]</f>
        <v>#DIV/0!</v>
      </c>
      <c r="R194" s="32" t="str">
        <f>IFERROR(tbl_FlatLaser[[#This Row],[Qty Complete]]/tbl_FlatLaser[[#This Row],[Total Hours Act]]*tbl_FlatLaser[[#This Row],['# of men Act]],"")</f>
        <v/>
      </c>
      <c r="T194"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94" s="35" t="str">
        <f>IFERROR((tbl_FlatLaser[[#This Row],[Adj. Total Hours]]+tbl_FlatLaser[[#This Row],[Est. Hours]])/(tbl_FlatLaser[[#This Row],[Total Hours Act]]+tbl_FlatLaser[[#This Row],[Act. Hours]]),"")</f>
        <v/>
      </c>
      <c r="Y194"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94" s="104" t="str">
        <f>IFERROR(tbl_FlatLaser[[#This Row],[Act. Mat. Qty]]-tbl_FlatLaser[[#This Row],[Adj. Mat. Qty]],"")</f>
        <v/>
      </c>
      <c r="AA194"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94" s="31"/>
      <c r="AD194" s="36"/>
    </row>
    <row r="195" spans="3:30" ht="25" customHeight="1">
      <c r="C195" s="28" t="str">
        <f>IF(tbl_FlatLaser[[#This Row],[Part'#]]="", "Batch", "Part")</f>
        <v>Batch</v>
      </c>
      <c r="G195" s="28"/>
      <c r="I195" s="70" t="e">
        <f>tbl_FlatLaser[[#This Row],[Qty Complete]]/tbl_FlatLaser[[#This Row],[Qty Required]]</f>
        <v>#DIV/0!</v>
      </c>
      <c r="L195" s="31">
        <f>IF(tbl_FlatLaser[[#This Row],[Job Type]]="Batch",0,tbl_FlatLaser[[#This Row],[Qty Required]]/tbl_FlatLaser[[#This Row],[PPH]]*tbl_FlatLaser[[#This Row],['# of men]])</f>
        <v>0</v>
      </c>
      <c r="M195" s="31" t="e">
        <f>IF(tbl_FlatLaser[[#This Row],[Job Type]]="Batch",tbl_FlatLaser[[#This Row],[Batch Hours]]*tbl_FlatLaser[[#This Row],[% Complete]],tbl_FlatLaser[[#This Row],[Total hours]]*tbl_FlatLaser[[#This Row],[% Complete]])</f>
        <v>#DIV/0!</v>
      </c>
      <c r="N195" s="31"/>
      <c r="P195" s="28" t="e">
        <f>tbl_FlatLaser[[#This Row],[Mat. Qty]]*tbl_FlatLaser[[#This Row],[% Complete]]</f>
        <v>#DIV/0!</v>
      </c>
      <c r="R195" s="32" t="str">
        <f>IFERROR(tbl_FlatLaser[[#This Row],[Qty Complete]]/tbl_FlatLaser[[#This Row],[Total Hours Act]]*tbl_FlatLaser[[#This Row],['# of men Act]],"")</f>
        <v/>
      </c>
      <c r="T195"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95" s="35" t="str">
        <f>IFERROR((tbl_FlatLaser[[#This Row],[Adj. Total Hours]]+tbl_FlatLaser[[#This Row],[Est. Hours]])/(tbl_FlatLaser[[#This Row],[Total Hours Act]]+tbl_FlatLaser[[#This Row],[Act. Hours]]),"")</f>
        <v/>
      </c>
      <c r="Y195"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95" s="104" t="str">
        <f>IFERROR(tbl_FlatLaser[[#This Row],[Act. Mat. Qty]]-tbl_FlatLaser[[#This Row],[Adj. Mat. Qty]],"")</f>
        <v/>
      </c>
      <c r="AA195"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95" s="31"/>
      <c r="AD195" s="36"/>
    </row>
    <row r="196" spans="3:30" ht="25" customHeight="1">
      <c r="C196" s="28" t="str">
        <f>IF(tbl_FlatLaser[[#This Row],[Part'#]]="", "Batch", "Part")</f>
        <v>Batch</v>
      </c>
      <c r="G196" s="28"/>
      <c r="I196" s="70" t="e">
        <f>tbl_FlatLaser[[#This Row],[Qty Complete]]/tbl_FlatLaser[[#This Row],[Qty Required]]</f>
        <v>#DIV/0!</v>
      </c>
      <c r="L196" s="31">
        <f>IF(tbl_FlatLaser[[#This Row],[Job Type]]="Batch",0,tbl_FlatLaser[[#This Row],[Qty Required]]/tbl_FlatLaser[[#This Row],[PPH]]*tbl_FlatLaser[[#This Row],['# of men]])</f>
        <v>0</v>
      </c>
      <c r="M196" s="31" t="e">
        <f>IF(tbl_FlatLaser[[#This Row],[Job Type]]="Batch",tbl_FlatLaser[[#This Row],[Batch Hours]]*tbl_FlatLaser[[#This Row],[% Complete]],tbl_FlatLaser[[#This Row],[Total hours]]*tbl_FlatLaser[[#This Row],[% Complete]])</f>
        <v>#DIV/0!</v>
      </c>
      <c r="N196" s="31"/>
      <c r="P196" s="28" t="e">
        <f>tbl_FlatLaser[[#This Row],[Mat. Qty]]*tbl_FlatLaser[[#This Row],[% Complete]]</f>
        <v>#DIV/0!</v>
      </c>
      <c r="R196" s="32" t="str">
        <f>IFERROR(tbl_FlatLaser[[#This Row],[Qty Complete]]/tbl_FlatLaser[[#This Row],[Total Hours Act]]*tbl_FlatLaser[[#This Row],['# of men Act]],"")</f>
        <v/>
      </c>
      <c r="T196"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96" s="35" t="str">
        <f>IFERROR((tbl_FlatLaser[[#This Row],[Adj. Total Hours]]+tbl_FlatLaser[[#This Row],[Est. Hours]])/(tbl_FlatLaser[[#This Row],[Total Hours Act]]+tbl_FlatLaser[[#This Row],[Act. Hours]]),"")</f>
        <v/>
      </c>
      <c r="Y196"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96" s="104" t="str">
        <f>IFERROR(tbl_FlatLaser[[#This Row],[Act. Mat. Qty]]-tbl_FlatLaser[[#This Row],[Adj. Mat. Qty]],"")</f>
        <v/>
      </c>
      <c r="AA196"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96" s="31"/>
      <c r="AD196" s="36"/>
    </row>
    <row r="197" spans="3:30" ht="25" customHeight="1">
      <c r="C197" s="28" t="str">
        <f>IF(tbl_FlatLaser[[#This Row],[Part'#]]="", "Batch", "Part")</f>
        <v>Batch</v>
      </c>
      <c r="G197" s="28"/>
      <c r="I197" s="70" t="e">
        <f>tbl_FlatLaser[[#This Row],[Qty Complete]]/tbl_FlatLaser[[#This Row],[Qty Required]]</f>
        <v>#DIV/0!</v>
      </c>
      <c r="L197" s="31">
        <f>IF(tbl_FlatLaser[[#This Row],[Job Type]]="Batch",0,tbl_FlatLaser[[#This Row],[Qty Required]]/tbl_FlatLaser[[#This Row],[PPH]]*tbl_FlatLaser[[#This Row],['# of men]])</f>
        <v>0</v>
      </c>
      <c r="M197" s="31" t="e">
        <f>IF(tbl_FlatLaser[[#This Row],[Job Type]]="Batch",tbl_FlatLaser[[#This Row],[Batch Hours]]*tbl_FlatLaser[[#This Row],[% Complete]],tbl_FlatLaser[[#This Row],[Total hours]]*tbl_FlatLaser[[#This Row],[% Complete]])</f>
        <v>#DIV/0!</v>
      </c>
      <c r="N197" s="31"/>
      <c r="P197" s="28" t="e">
        <f>tbl_FlatLaser[[#This Row],[Mat. Qty]]*tbl_FlatLaser[[#This Row],[% Complete]]</f>
        <v>#DIV/0!</v>
      </c>
      <c r="R197" s="32" t="str">
        <f>IFERROR(tbl_FlatLaser[[#This Row],[Qty Complete]]/tbl_FlatLaser[[#This Row],[Total Hours Act]]*tbl_FlatLaser[[#This Row],['# of men Act]],"")</f>
        <v/>
      </c>
      <c r="T197"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97" s="35" t="str">
        <f>IFERROR((tbl_FlatLaser[[#This Row],[Adj. Total Hours]]+tbl_FlatLaser[[#This Row],[Est. Hours]])/(tbl_FlatLaser[[#This Row],[Total Hours Act]]+tbl_FlatLaser[[#This Row],[Act. Hours]]),"")</f>
        <v/>
      </c>
      <c r="Y197"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97" s="104" t="str">
        <f>IFERROR(tbl_FlatLaser[[#This Row],[Act. Mat. Qty]]-tbl_FlatLaser[[#This Row],[Adj. Mat. Qty]],"")</f>
        <v/>
      </c>
      <c r="AA197"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97" s="31"/>
      <c r="AD197" s="36"/>
    </row>
    <row r="198" spans="3:30" ht="25" customHeight="1">
      <c r="C198" s="28" t="str">
        <f>IF(tbl_FlatLaser[[#This Row],[Part'#]]="", "Batch", "Part")</f>
        <v>Batch</v>
      </c>
      <c r="G198" s="28"/>
      <c r="I198" s="70" t="e">
        <f>tbl_FlatLaser[[#This Row],[Qty Complete]]/tbl_FlatLaser[[#This Row],[Qty Required]]</f>
        <v>#DIV/0!</v>
      </c>
      <c r="L198" s="31">
        <f>IF(tbl_FlatLaser[[#This Row],[Job Type]]="Batch",0,tbl_FlatLaser[[#This Row],[Qty Required]]/tbl_FlatLaser[[#This Row],[PPH]]*tbl_FlatLaser[[#This Row],['# of men]])</f>
        <v>0</v>
      </c>
      <c r="M198" s="31" t="e">
        <f>IF(tbl_FlatLaser[[#This Row],[Job Type]]="Batch",tbl_FlatLaser[[#This Row],[Batch Hours]]*tbl_FlatLaser[[#This Row],[% Complete]],tbl_FlatLaser[[#This Row],[Total hours]]*tbl_FlatLaser[[#This Row],[% Complete]])</f>
        <v>#DIV/0!</v>
      </c>
      <c r="N198" s="31"/>
      <c r="P198" s="28" t="e">
        <f>tbl_FlatLaser[[#This Row],[Mat. Qty]]*tbl_FlatLaser[[#This Row],[% Complete]]</f>
        <v>#DIV/0!</v>
      </c>
      <c r="R198" s="32" t="str">
        <f>IFERROR(tbl_FlatLaser[[#This Row],[Qty Complete]]/tbl_FlatLaser[[#This Row],[Total Hours Act]]*tbl_FlatLaser[[#This Row],['# of men Act]],"")</f>
        <v/>
      </c>
      <c r="T198"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98" s="35" t="str">
        <f>IFERROR((tbl_FlatLaser[[#This Row],[Adj. Total Hours]]+tbl_FlatLaser[[#This Row],[Est. Hours]])/(tbl_FlatLaser[[#This Row],[Total Hours Act]]+tbl_FlatLaser[[#This Row],[Act. Hours]]),"")</f>
        <v/>
      </c>
      <c r="Y198"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98" s="104" t="str">
        <f>IFERROR(tbl_FlatLaser[[#This Row],[Act. Mat. Qty]]-tbl_FlatLaser[[#This Row],[Adj. Mat. Qty]],"")</f>
        <v/>
      </c>
      <c r="AA198"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98" s="31"/>
      <c r="AD198" s="36"/>
    </row>
    <row r="199" spans="3:30" ht="25" customHeight="1">
      <c r="C199" s="28" t="str">
        <f>IF(tbl_FlatLaser[[#This Row],[Part'#]]="", "Batch", "Part")</f>
        <v>Batch</v>
      </c>
      <c r="G199" s="28"/>
      <c r="I199" s="70" t="e">
        <f>tbl_FlatLaser[[#This Row],[Qty Complete]]/tbl_FlatLaser[[#This Row],[Qty Required]]</f>
        <v>#DIV/0!</v>
      </c>
      <c r="L199" s="31">
        <f>IF(tbl_FlatLaser[[#This Row],[Job Type]]="Batch",0,tbl_FlatLaser[[#This Row],[Qty Required]]/tbl_FlatLaser[[#This Row],[PPH]]*tbl_FlatLaser[[#This Row],['# of men]])</f>
        <v>0</v>
      </c>
      <c r="M199" s="31" t="e">
        <f>IF(tbl_FlatLaser[[#This Row],[Job Type]]="Batch",tbl_FlatLaser[[#This Row],[Batch Hours]]*tbl_FlatLaser[[#This Row],[% Complete]],tbl_FlatLaser[[#This Row],[Total hours]]*tbl_FlatLaser[[#This Row],[% Complete]])</f>
        <v>#DIV/0!</v>
      </c>
      <c r="N199" s="31"/>
      <c r="P199" s="28" t="e">
        <f>tbl_FlatLaser[[#This Row],[Mat. Qty]]*tbl_FlatLaser[[#This Row],[% Complete]]</f>
        <v>#DIV/0!</v>
      </c>
      <c r="R199" s="32" t="str">
        <f>IFERROR(tbl_FlatLaser[[#This Row],[Qty Complete]]/tbl_FlatLaser[[#This Row],[Total Hours Act]]*tbl_FlatLaser[[#This Row],['# of men Act]],"")</f>
        <v/>
      </c>
      <c r="T199"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199" s="35" t="str">
        <f>IFERROR((tbl_FlatLaser[[#This Row],[Adj. Total Hours]]+tbl_FlatLaser[[#This Row],[Est. Hours]])/(tbl_FlatLaser[[#This Row],[Total Hours Act]]+tbl_FlatLaser[[#This Row],[Act. Hours]]),"")</f>
        <v/>
      </c>
      <c r="Y199"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199" s="104" t="str">
        <f>IFERROR(tbl_FlatLaser[[#This Row],[Act. Mat. Qty]]-tbl_FlatLaser[[#This Row],[Adj. Mat. Qty]],"")</f>
        <v/>
      </c>
      <c r="AA199"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199" s="31"/>
      <c r="AD199" s="36"/>
    </row>
    <row r="200" spans="3:30" ht="25" customHeight="1">
      <c r="C200" s="28" t="str">
        <f>IF(tbl_FlatLaser[[#This Row],[Part'#]]="", "Batch", "Part")</f>
        <v>Batch</v>
      </c>
      <c r="G200" s="28"/>
      <c r="I200" s="70" t="e">
        <f>tbl_FlatLaser[[#This Row],[Qty Complete]]/tbl_FlatLaser[[#This Row],[Qty Required]]</f>
        <v>#DIV/0!</v>
      </c>
      <c r="L200" s="31">
        <f>IF(tbl_FlatLaser[[#This Row],[Job Type]]="Batch",0,tbl_FlatLaser[[#This Row],[Qty Required]]/tbl_FlatLaser[[#This Row],[PPH]]*tbl_FlatLaser[[#This Row],['# of men]])</f>
        <v>0</v>
      </c>
      <c r="M200" s="31" t="e">
        <f>IF(tbl_FlatLaser[[#This Row],[Job Type]]="Batch",tbl_FlatLaser[[#This Row],[Batch Hours]]*tbl_FlatLaser[[#This Row],[% Complete]],tbl_FlatLaser[[#This Row],[Total hours]]*tbl_FlatLaser[[#This Row],[% Complete]])</f>
        <v>#DIV/0!</v>
      </c>
      <c r="N200" s="31"/>
      <c r="P200" s="28" t="e">
        <f>tbl_FlatLaser[[#This Row],[Mat. Qty]]*tbl_FlatLaser[[#This Row],[% Complete]]</f>
        <v>#DIV/0!</v>
      </c>
      <c r="R200" s="32" t="str">
        <f>IFERROR(tbl_FlatLaser[[#This Row],[Qty Complete]]/tbl_FlatLaser[[#This Row],[Total Hours Act]]*tbl_FlatLaser[[#This Row],['# of men Act]],"")</f>
        <v/>
      </c>
      <c r="T200"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200" s="35" t="str">
        <f>IFERROR((tbl_FlatLaser[[#This Row],[Adj. Total Hours]]+tbl_FlatLaser[[#This Row],[Est. Hours]])/(tbl_FlatLaser[[#This Row],[Total Hours Act]]+tbl_FlatLaser[[#This Row],[Act. Hours]]),"")</f>
        <v/>
      </c>
      <c r="Y200"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200" s="104" t="str">
        <f>IFERROR(tbl_FlatLaser[[#This Row],[Act. Mat. Qty]]-tbl_FlatLaser[[#This Row],[Adj. Mat. Qty]],"")</f>
        <v/>
      </c>
      <c r="AA200"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200" s="31"/>
      <c r="AD200" s="36"/>
    </row>
    <row r="201" spans="3:30" ht="25" customHeight="1">
      <c r="C201" s="28" t="str">
        <f>IF(tbl_FlatLaser[[#This Row],[Part'#]]="", "Batch", "Part")</f>
        <v>Batch</v>
      </c>
      <c r="G201" s="28"/>
      <c r="I201" s="70" t="e">
        <f>tbl_FlatLaser[[#This Row],[Qty Complete]]/tbl_FlatLaser[[#This Row],[Qty Required]]</f>
        <v>#DIV/0!</v>
      </c>
      <c r="L201" s="31">
        <f>IF(tbl_FlatLaser[[#This Row],[Job Type]]="Batch",0,tbl_FlatLaser[[#This Row],[Qty Required]]/tbl_FlatLaser[[#This Row],[PPH]]*tbl_FlatLaser[[#This Row],['# of men]])</f>
        <v>0</v>
      </c>
      <c r="M201" s="31" t="e">
        <f>IF(tbl_FlatLaser[[#This Row],[Job Type]]="Batch",tbl_FlatLaser[[#This Row],[Batch Hours]]*tbl_FlatLaser[[#This Row],[% Complete]],tbl_FlatLaser[[#This Row],[Total hours]]*tbl_FlatLaser[[#This Row],[% Complete]])</f>
        <v>#DIV/0!</v>
      </c>
      <c r="N201" s="31"/>
      <c r="P201" s="28" t="e">
        <f>tbl_FlatLaser[[#This Row],[Mat. Qty]]*tbl_FlatLaser[[#This Row],[% Complete]]</f>
        <v>#DIV/0!</v>
      </c>
      <c r="R201" s="32" t="str">
        <f>IFERROR(tbl_FlatLaser[[#This Row],[Qty Complete]]/tbl_FlatLaser[[#This Row],[Total Hours Act]]*tbl_FlatLaser[[#This Row],['# of men Act]],"")</f>
        <v/>
      </c>
      <c r="T201"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201" s="35" t="str">
        <f>IFERROR((tbl_FlatLaser[[#This Row],[Adj. Total Hours]]+tbl_FlatLaser[[#This Row],[Est. Hours]])/(tbl_FlatLaser[[#This Row],[Total Hours Act]]+tbl_FlatLaser[[#This Row],[Act. Hours]]),"")</f>
        <v/>
      </c>
      <c r="Y201"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201" s="104" t="str">
        <f>IFERROR(tbl_FlatLaser[[#This Row],[Act. Mat. Qty]]-tbl_FlatLaser[[#This Row],[Adj. Mat. Qty]],"")</f>
        <v/>
      </c>
      <c r="AA201"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201" s="31"/>
      <c r="AD201" s="36"/>
    </row>
    <row r="202" spans="3:30" ht="25" customHeight="1">
      <c r="C202" s="28" t="str">
        <f>IF(tbl_FlatLaser[[#This Row],[Part'#]]="", "Batch", "Part")</f>
        <v>Batch</v>
      </c>
      <c r="G202" s="28"/>
      <c r="I202" s="70" t="e">
        <f>tbl_FlatLaser[[#This Row],[Qty Complete]]/tbl_FlatLaser[[#This Row],[Qty Required]]</f>
        <v>#DIV/0!</v>
      </c>
      <c r="L202" s="31">
        <f>IF(tbl_FlatLaser[[#This Row],[Job Type]]="Batch",0,tbl_FlatLaser[[#This Row],[Qty Required]]/tbl_FlatLaser[[#This Row],[PPH]]*tbl_FlatLaser[[#This Row],['# of men]])</f>
        <v>0</v>
      </c>
      <c r="M202" s="31" t="e">
        <f>IF(tbl_FlatLaser[[#This Row],[Job Type]]="Batch",tbl_FlatLaser[[#This Row],[Batch Hours]]*tbl_FlatLaser[[#This Row],[% Complete]],tbl_FlatLaser[[#This Row],[Total hours]]*tbl_FlatLaser[[#This Row],[% Complete]])</f>
        <v>#DIV/0!</v>
      </c>
      <c r="N202" s="31"/>
      <c r="P202" s="28" t="e">
        <f>tbl_FlatLaser[[#This Row],[Mat. Qty]]*tbl_FlatLaser[[#This Row],[% Complete]]</f>
        <v>#DIV/0!</v>
      </c>
      <c r="R202" s="32" t="str">
        <f>IFERROR(tbl_FlatLaser[[#This Row],[Qty Complete]]/tbl_FlatLaser[[#This Row],[Total Hours Act]]*tbl_FlatLaser[[#This Row],['# of men Act]],"")</f>
        <v/>
      </c>
      <c r="T202"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202" s="35" t="str">
        <f>IFERROR((tbl_FlatLaser[[#This Row],[Adj. Total Hours]]+tbl_FlatLaser[[#This Row],[Est. Hours]])/(tbl_FlatLaser[[#This Row],[Total Hours Act]]+tbl_FlatLaser[[#This Row],[Act. Hours]]),"")</f>
        <v/>
      </c>
      <c r="Y202"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202" s="104" t="str">
        <f>IFERROR(tbl_FlatLaser[[#This Row],[Act. Mat. Qty]]-tbl_FlatLaser[[#This Row],[Adj. Mat. Qty]],"")</f>
        <v/>
      </c>
      <c r="AA202"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202" s="31"/>
      <c r="AD202" s="36"/>
    </row>
    <row r="203" spans="3:30" ht="25" customHeight="1">
      <c r="C203" s="28" t="str">
        <f>IF(tbl_FlatLaser[[#This Row],[Part'#]]="", "Batch", "Part")</f>
        <v>Batch</v>
      </c>
      <c r="G203" s="28"/>
      <c r="I203" s="70" t="e">
        <f>tbl_FlatLaser[[#This Row],[Qty Complete]]/tbl_FlatLaser[[#This Row],[Qty Required]]</f>
        <v>#DIV/0!</v>
      </c>
      <c r="L203" s="31">
        <f>IF(tbl_FlatLaser[[#This Row],[Job Type]]="Batch",0,tbl_FlatLaser[[#This Row],[Qty Required]]/tbl_FlatLaser[[#This Row],[PPH]]*tbl_FlatLaser[[#This Row],['# of men]])</f>
        <v>0</v>
      </c>
      <c r="M203" s="31" t="e">
        <f>IF(tbl_FlatLaser[[#This Row],[Job Type]]="Batch",tbl_FlatLaser[[#This Row],[Batch Hours]]*tbl_FlatLaser[[#This Row],[% Complete]],tbl_FlatLaser[[#This Row],[Total hours]]*tbl_FlatLaser[[#This Row],[% Complete]])</f>
        <v>#DIV/0!</v>
      </c>
      <c r="N203" s="31"/>
      <c r="P203" s="28" t="e">
        <f>tbl_FlatLaser[[#This Row],[Mat. Qty]]*tbl_FlatLaser[[#This Row],[% Complete]]</f>
        <v>#DIV/0!</v>
      </c>
      <c r="R203" s="32" t="str">
        <f>IFERROR(tbl_FlatLaser[[#This Row],[Qty Complete]]/tbl_FlatLaser[[#This Row],[Total Hours Act]]*tbl_FlatLaser[[#This Row],['# of men Act]],"")</f>
        <v/>
      </c>
      <c r="T203"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203" s="35" t="str">
        <f>IFERROR((tbl_FlatLaser[[#This Row],[Adj. Total Hours]]+tbl_FlatLaser[[#This Row],[Est. Hours]])/(tbl_FlatLaser[[#This Row],[Total Hours Act]]+tbl_FlatLaser[[#This Row],[Act. Hours]]),"")</f>
        <v/>
      </c>
      <c r="Y203"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203" s="104" t="str">
        <f>IFERROR(tbl_FlatLaser[[#This Row],[Act. Mat. Qty]]-tbl_FlatLaser[[#This Row],[Adj. Mat. Qty]],"")</f>
        <v/>
      </c>
      <c r="AA203"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203" s="31"/>
      <c r="AD203" s="36"/>
    </row>
    <row r="204" spans="3:30" ht="25" customHeight="1">
      <c r="C204" s="28" t="str">
        <f>IF(tbl_FlatLaser[[#This Row],[Part'#]]="", "Batch", "Part")</f>
        <v>Batch</v>
      </c>
      <c r="G204" s="28"/>
      <c r="I204" s="70" t="e">
        <f>tbl_FlatLaser[[#This Row],[Qty Complete]]/tbl_FlatLaser[[#This Row],[Qty Required]]</f>
        <v>#DIV/0!</v>
      </c>
      <c r="L204" s="31">
        <f>IF(tbl_FlatLaser[[#This Row],[Job Type]]="Batch",0,tbl_FlatLaser[[#This Row],[Qty Required]]/tbl_FlatLaser[[#This Row],[PPH]]*tbl_FlatLaser[[#This Row],['# of men]])</f>
        <v>0</v>
      </c>
      <c r="M204" s="31" t="e">
        <f>IF(tbl_FlatLaser[[#This Row],[Job Type]]="Batch",tbl_FlatLaser[[#This Row],[Batch Hours]]*tbl_FlatLaser[[#This Row],[% Complete]],tbl_FlatLaser[[#This Row],[Total hours]]*tbl_FlatLaser[[#This Row],[% Complete]])</f>
        <v>#DIV/0!</v>
      </c>
      <c r="N204" s="31"/>
      <c r="P204" s="28" t="e">
        <f>tbl_FlatLaser[[#This Row],[Mat. Qty]]*tbl_FlatLaser[[#This Row],[% Complete]]</f>
        <v>#DIV/0!</v>
      </c>
      <c r="R204" s="32" t="str">
        <f>IFERROR(tbl_FlatLaser[[#This Row],[Qty Complete]]/tbl_FlatLaser[[#This Row],[Total Hours Act]]*tbl_FlatLaser[[#This Row],['# of men Act]],"")</f>
        <v/>
      </c>
      <c r="T204"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204" s="35" t="str">
        <f>IFERROR((tbl_FlatLaser[[#This Row],[Adj. Total Hours]]+tbl_FlatLaser[[#This Row],[Est. Hours]])/(tbl_FlatLaser[[#This Row],[Total Hours Act]]+tbl_FlatLaser[[#This Row],[Act. Hours]]),"")</f>
        <v/>
      </c>
      <c r="Y204"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204" s="104" t="str">
        <f>IFERROR(tbl_FlatLaser[[#This Row],[Act. Mat. Qty]]-tbl_FlatLaser[[#This Row],[Adj. Mat. Qty]],"")</f>
        <v/>
      </c>
      <c r="AA204"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204" s="31"/>
      <c r="AD204" s="36"/>
    </row>
    <row r="205" spans="3:30" ht="25" customHeight="1">
      <c r="C205" s="28" t="str">
        <f>IF(tbl_FlatLaser[[#This Row],[Part'#]]="", "Batch", "Part")</f>
        <v>Batch</v>
      </c>
      <c r="G205" s="28"/>
      <c r="I205" s="70" t="e">
        <f>tbl_FlatLaser[[#This Row],[Qty Complete]]/tbl_FlatLaser[[#This Row],[Qty Required]]</f>
        <v>#DIV/0!</v>
      </c>
      <c r="L205" s="31">
        <f>IF(tbl_FlatLaser[[#This Row],[Job Type]]="Batch",0,tbl_FlatLaser[[#This Row],[Qty Required]]/tbl_FlatLaser[[#This Row],[PPH]]*tbl_FlatLaser[[#This Row],['# of men]])</f>
        <v>0</v>
      </c>
      <c r="M205" s="31" t="e">
        <f>IF(tbl_FlatLaser[[#This Row],[Job Type]]="Batch",tbl_FlatLaser[[#This Row],[Batch Hours]]*tbl_FlatLaser[[#This Row],[% Complete]],tbl_FlatLaser[[#This Row],[Total hours]]*tbl_FlatLaser[[#This Row],[% Complete]])</f>
        <v>#DIV/0!</v>
      </c>
      <c r="N205" s="31"/>
      <c r="P205" s="28" t="e">
        <f>tbl_FlatLaser[[#This Row],[Mat. Qty]]*tbl_FlatLaser[[#This Row],[% Complete]]</f>
        <v>#DIV/0!</v>
      </c>
      <c r="R205" s="32" t="str">
        <f>IFERROR(tbl_FlatLaser[[#This Row],[Qty Complete]]/tbl_FlatLaser[[#This Row],[Total Hours Act]]*tbl_FlatLaser[[#This Row],['# of men Act]],"")</f>
        <v/>
      </c>
      <c r="T205"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205" s="35" t="str">
        <f>IFERROR((tbl_FlatLaser[[#This Row],[Adj. Total Hours]]+tbl_FlatLaser[[#This Row],[Est. Hours]])/(tbl_FlatLaser[[#This Row],[Total Hours Act]]+tbl_FlatLaser[[#This Row],[Act. Hours]]),"")</f>
        <v/>
      </c>
      <c r="Y205"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205" s="104" t="str">
        <f>IFERROR(tbl_FlatLaser[[#This Row],[Act. Mat. Qty]]-tbl_FlatLaser[[#This Row],[Adj. Mat. Qty]],"")</f>
        <v/>
      </c>
      <c r="AA205"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205" s="31"/>
      <c r="AD205" s="36"/>
    </row>
    <row r="206" spans="3:30" ht="25" customHeight="1">
      <c r="C206" s="28" t="str">
        <f>IF(tbl_FlatLaser[[#This Row],[Part'#]]="", "Batch", "Part")</f>
        <v>Batch</v>
      </c>
      <c r="G206" s="28"/>
      <c r="I206" s="70" t="e">
        <f>tbl_FlatLaser[[#This Row],[Qty Complete]]/tbl_FlatLaser[[#This Row],[Qty Required]]</f>
        <v>#DIV/0!</v>
      </c>
      <c r="L206" s="31">
        <f>IF(tbl_FlatLaser[[#This Row],[Job Type]]="Batch",0,tbl_FlatLaser[[#This Row],[Qty Required]]/tbl_FlatLaser[[#This Row],[PPH]]*tbl_FlatLaser[[#This Row],['# of men]])</f>
        <v>0</v>
      </c>
      <c r="M206" s="31" t="e">
        <f>IF(tbl_FlatLaser[[#This Row],[Job Type]]="Batch",tbl_FlatLaser[[#This Row],[Batch Hours]]*tbl_FlatLaser[[#This Row],[% Complete]],tbl_FlatLaser[[#This Row],[Total hours]]*tbl_FlatLaser[[#This Row],[% Complete]])</f>
        <v>#DIV/0!</v>
      </c>
      <c r="N206" s="31"/>
      <c r="P206" s="28" t="e">
        <f>tbl_FlatLaser[[#This Row],[Mat. Qty]]*tbl_FlatLaser[[#This Row],[% Complete]]</f>
        <v>#DIV/0!</v>
      </c>
      <c r="R206" s="32" t="str">
        <f>IFERROR(tbl_FlatLaser[[#This Row],[Qty Complete]]/tbl_FlatLaser[[#This Row],[Total Hours Act]]*tbl_FlatLaser[[#This Row],['# of men Act]],"")</f>
        <v/>
      </c>
      <c r="T206"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206" s="35" t="str">
        <f>IFERROR((tbl_FlatLaser[[#This Row],[Adj. Total Hours]]+tbl_FlatLaser[[#This Row],[Est. Hours]])/(tbl_FlatLaser[[#This Row],[Total Hours Act]]+tbl_FlatLaser[[#This Row],[Act. Hours]]),"")</f>
        <v/>
      </c>
      <c r="Y206"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206" s="104" t="str">
        <f>IFERROR(tbl_FlatLaser[[#This Row],[Act. Mat. Qty]]-tbl_FlatLaser[[#This Row],[Adj. Mat. Qty]],"")</f>
        <v/>
      </c>
      <c r="AA206"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206" s="31"/>
      <c r="AD206" s="36"/>
    </row>
    <row r="207" spans="3:30" ht="25" customHeight="1">
      <c r="C207" s="28" t="str">
        <f>IF(tbl_FlatLaser[[#This Row],[Part'#]]="", "Batch", "Part")</f>
        <v>Batch</v>
      </c>
      <c r="G207" s="28"/>
      <c r="I207" s="70" t="e">
        <f>tbl_FlatLaser[[#This Row],[Qty Complete]]/tbl_FlatLaser[[#This Row],[Qty Required]]</f>
        <v>#DIV/0!</v>
      </c>
      <c r="L207" s="31">
        <f>IF(tbl_FlatLaser[[#This Row],[Job Type]]="Batch",0,tbl_FlatLaser[[#This Row],[Qty Required]]/tbl_FlatLaser[[#This Row],[PPH]]*tbl_FlatLaser[[#This Row],['# of men]])</f>
        <v>0</v>
      </c>
      <c r="M207" s="31" t="e">
        <f>IF(tbl_FlatLaser[[#This Row],[Job Type]]="Batch",tbl_FlatLaser[[#This Row],[Batch Hours]]*tbl_FlatLaser[[#This Row],[% Complete]],tbl_FlatLaser[[#This Row],[Total hours]]*tbl_FlatLaser[[#This Row],[% Complete]])</f>
        <v>#DIV/0!</v>
      </c>
      <c r="N207" s="31"/>
      <c r="P207" s="28" t="e">
        <f>tbl_FlatLaser[[#This Row],[Mat. Qty]]*tbl_FlatLaser[[#This Row],[% Complete]]</f>
        <v>#DIV/0!</v>
      </c>
      <c r="R207" s="32" t="str">
        <f>IFERROR(tbl_FlatLaser[[#This Row],[Qty Complete]]/tbl_FlatLaser[[#This Row],[Total Hours Act]]*tbl_FlatLaser[[#This Row],['# of men Act]],"")</f>
        <v/>
      </c>
      <c r="T207"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207" s="35" t="str">
        <f>IFERROR((tbl_FlatLaser[[#This Row],[Adj. Total Hours]]+tbl_FlatLaser[[#This Row],[Est. Hours]])/(tbl_FlatLaser[[#This Row],[Total Hours Act]]+tbl_FlatLaser[[#This Row],[Act. Hours]]),"")</f>
        <v/>
      </c>
      <c r="Y207"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207" s="104" t="str">
        <f>IFERROR(tbl_FlatLaser[[#This Row],[Act. Mat. Qty]]-tbl_FlatLaser[[#This Row],[Adj. Mat. Qty]],"")</f>
        <v/>
      </c>
      <c r="AA207"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207" s="31"/>
      <c r="AD207" s="36"/>
    </row>
    <row r="208" spans="3:30" ht="25" customHeight="1">
      <c r="C208" s="28" t="str">
        <f>IF(tbl_FlatLaser[[#This Row],[Part'#]]="", "Batch", "Part")</f>
        <v>Batch</v>
      </c>
      <c r="G208" s="28"/>
      <c r="I208" s="70" t="e">
        <f>tbl_FlatLaser[[#This Row],[Qty Complete]]/tbl_FlatLaser[[#This Row],[Qty Required]]</f>
        <v>#DIV/0!</v>
      </c>
      <c r="L208" s="31">
        <f>IF(tbl_FlatLaser[[#This Row],[Job Type]]="Batch",0,tbl_FlatLaser[[#This Row],[Qty Required]]/tbl_FlatLaser[[#This Row],[PPH]]*tbl_FlatLaser[[#This Row],['# of men]])</f>
        <v>0</v>
      </c>
      <c r="M208" s="31" t="e">
        <f>IF(tbl_FlatLaser[[#This Row],[Job Type]]="Batch",tbl_FlatLaser[[#This Row],[Batch Hours]]*tbl_FlatLaser[[#This Row],[% Complete]],tbl_FlatLaser[[#This Row],[Total hours]]*tbl_FlatLaser[[#This Row],[% Complete]])</f>
        <v>#DIV/0!</v>
      </c>
      <c r="N208" s="31"/>
      <c r="P208" s="28" t="e">
        <f>tbl_FlatLaser[[#This Row],[Mat. Qty]]*tbl_FlatLaser[[#This Row],[% Complete]]</f>
        <v>#DIV/0!</v>
      </c>
      <c r="R208" s="32" t="str">
        <f>IFERROR(tbl_FlatLaser[[#This Row],[Qty Complete]]/tbl_FlatLaser[[#This Row],[Total Hours Act]]*tbl_FlatLaser[[#This Row],['# of men Act]],"")</f>
        <v/>
      </c>
      <c r="T208"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208" s="35" t="str">
        <f>IFERROR((tbl_FlatLaser[[#This Row],[Adj. Total Hours]]+tbl_FlatLaser[[#This Row],[Est. Hours]])/(tbl_FlatLaser[[#This Row],[Total Hours Act]]+tbl_FlatLaser[[#This Row],[Act. Hours]]),"")</f>
        <v/>
      </c>
      <c r="Y208"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208" s="104" t="str">
        <f>IFERROR(tbl_FlatLaser[[#This Row],[Act. Mat. Qty]]-tbl_FlatLaser[[#This Row],[Adj. Mat. Qty]],"")</f>
        <v/>
      </c>
      <c r="AA208"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208" s="31"/>
      <c r="AD208" s="36"/>
    </row>
    <row r="209" spans="3:30" ht="25" customHeight="1">
      <c r="C209" s="28" t="str">
        <f>IF(tbl_FlatLaser[[#This Row],[Part'#]]="", "Batch", "Part")</f>
        <v>Batch</v>
      </c>
      <c r="G209" s="28"/>
      <c r="I209" s="70" t="e">
        <f>tbl_FlatLaser[[#This Row],[Qty Complete]]/tbl_FlatLaser[[#This Row],[Qty Required]]</f>
        <v>#DIV/0!</v>
      </c>
      <c r="L209" s="31">
        <f>IF(tbl_FlatLaser[[#This Row],[Job Type]]="Batch",0,tbl_FlatLaser[[#This Row],[Qty Required]]/tbl_FlatLaser[[#This Row],[PPH]]*tbl_FlatLaser[[#This Row],['# of men]])</f>
        <v>0</v>
      </c>
      <c r="M209" s="31" t="e">
        <f>IF(tbl_FlatLaser[[#This Row],[Job Type]]="Batch",tbl_FlatLaser[[#This Row],[Batch Hours]]*tbl_FlatLaser[[#This Row],[% Complete]],tbl_FlatLaser[[#This Row],[Total hours]]*tbl_FlatLaser[[#This Row],[% Complete]])</f>
        <v>#DIV/0!</v>
      </c>
      <c r="N209" s="31"/>
      <c r="P209" s="28" t="e">
        <f>tbl_FlatLaser[[#This Row],[Mat. Qty]]*tbl_FlatLaser[[#This Row],[% Complete]]</f>
        <v>#DIV/0!</v>
      </c>
      <c r="R209" s="32" t="str">
        <f>IFERROR(tbl_FlatLaser[[#This Row],[Qty Complete]]/tbl_FlatLaser[[#This Row],[Total Hours Act]]*tbl_FlatLaser[[#This Row],['# of men Act]],"")</f>
        <v/>
      </c>
      <c r="T209"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209" s="35" t="str">
        <f>IFERROR((tbl_FlatLaser[[#This Row],[Adj. Total Hours]]+tbl_FlatLaser[[#This Row],[Est. Hours]])/(tbl_FlatLaser[[#This Row],[Total Hours Act]]+tbl_FlatLaser[[#This Row],[Act. Hours]]),"")</f>
        <v/>
      </c>
      <c r="Y209"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209" s="104" t="str">
        <f>IFERROR(tbl_FlatLaser[[#This Row],[Act. Mat. Qty]]-tbl_FlatLaser[[#This Row],[Adj. Mat. Qty]],"")</f>
        <v/>
      </c>
      <c r="AA209"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209" s="31"/>
      <c r="AD209" s="36"/>
    </row>
    <row r="210" spans="3:30" ht="25" customHeight="1">
      <c r="C210" s="28" t="str">
        <f>IF(tbl_FlatLaser[[#This Row],[Part'#]]="", "Batch", "Part")</f>
        <v>Batch</v>
      </c>
      <c r="G210" s="28"/>
      <c r="I210" s="70" t="e">
        <f>tbl_FlatLaser[[#This Row],[Qty Complete]]/tbl_FlatLaser[[#This Row],[Qty Required]]</f>
        <v>#DIV/0!</v>
      </c>
      <c r="L210" s="31">
        <f>IF(tbl_FlatLaser[[#This Row],[Job Type]]="Batch",0,tbl_FlatLaser[[#This Row],[Qty Required]]/tbl_FlatLaser[[#This Row],[PPH]]*tbl_FlatLaser[[#This Row],['# of men]])</f>
        <v>0</v>
      </c>
      <c r="M210" s="31" t="e">
        <f>IF(tbl_FlatLaser[[#This Row],[Job Type]]="Batch",tbl_FlatLaser[[#This Row],[Batch Hours]]*tbl_FlatLaser[[#This Row],[% Complete]],tbl_FlatLaser[[#This Row],[Total hours]]*tbl_FlatLaser[[#This Row],[% Complete]])</f>
        <v>#DIV/0!</v>
      </c>
      <c r="N210" s="31"/>
      <c r="P210" s="28" t="e">
        <f>tbl_FlatLaser[[#This Row],[Mat. Qty]]*tbl_FlatLaser[[#This Row],[% Complete]]</f>
        <v>#DIV/0!</v>
      </c>
      <c r="R210" s="32" t="str">
        <f>IFERROR(tbl_FlatLaser[[#This Row],[Qty Complete]]/tbl_FlatLaser[[#This Row],[Total Hours Act]]*tbl_FlatLaser[[#This Row],['# of men Act]],"")</f>
        <v/>
      </c>
      <c r="T210"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210" s="35" t="str">
        <f>IFERROR((tbl_FlatLaser[[#This Row],[Adj. Total Hours]]+tbl_FlatLaser[[#This Row],[Est. Hours]])/(tbl_FlatLaser[[#This Row],[Total Hours Act]]+tbl_FlatLaser[[#This Row],[Act. Hours]]),"")</f>
        <v/>
      </c>
      <c r="Y210"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210" s="104" t="str">
        <f>IFERROR(tbl_FlatLaser[[#This Row],[Act. Mat. Qty]]-tbl_FlatLaser[[#This Row],[Adj. Mat. Qty]],"")</f>
        <v/>
      </c>
      <c r="AA210"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210" s="31"/>
      <c r="AD210" s="36"/>
    </row>
    <row r="211" spans="3:30" ht="25" customHeight="1">
      <c r="C211" s="28" t="str">
        <f>IF(tbl_FlatLaser[[#This Row],[Part'#]]="", "Batch", "Part")</f>
        <v>Batch</v>
      </c>
      <c r="G211" s="28"/>
      <c r="I211" s="70" t="e">
        <f>tbl_FlatLaser[[#This Row],[Qty Complete]]/tbl_FlatLaser[[#This Row],[Qty Required]]</f>
        <v>#DIV/0!</v>
      </c>
      <c r="L211" s="31">
        <f>IF(tbl_FlatLaser[[#This Row],[Job Type]]="Batch",0,tbl_FlatLaser[[#This Row],[Qty Required]]/tbl_FlatLaser[[#This Row],[PPH]]*tbl_FlatLaser[[#This Row],['# of men]])</f>
        <v>0</v>
      </c>
      <c r="M211" s="31" t="e">
        <f>IF(tbl_FlatLaser[[#This Row],[Job Type]]="Batch",tbl_FlatLaser[[#This Row],[Batch Hours]]*tbl_FlatLaser[[#This Row],[% Complete]],tbl_FlatLaser[[#This Row],[Total hours]]*tbl_FlatLaser[[#This Row],[% Complete]])</f>
        <v>#DIV/0!</v>
      </c>
      <c r="N211" s="31"/>
      <c r="P211" s="28" t="e">
        <f>tbl_FlatLaser[[#This Row],[Mat. Qty]]*tbl_FlatLaser[[#This Row],[% Complete]]</f>
        <v>#DIV/0!</v>
      </c>
      <c r="R211" s="32" t="str">
        <f>IFERROR(tbl_FlatLaser[[#This Row],[Qty Complete]]/tbl_FlatLaser[[#This Row],[Total Hours Act]]*tbl_FlatLaser[[#This Row],['# of men Act]],"")</f>
        <v/>
      </c>
      <c r="T211"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211" s="35" t="str">
        <f>IFERROR((tbl_FlatLaser[[#This Row],[Adj. Total Hours]]+tbl_FlatLaser[[#This Row],[Est. Hours]])/(tbl_FlatLaser[[#This Row],[Total Hours Act]]+tbl_FlatLaser[[#This Row],[Act. Hours]]),"")</f>
        <v/>
      </c>
      <c r="Y211"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211" s="104" t="str">
        <f>IFERROR(tbl_FlatLaser[[#This Row],[Act. Mat. Qty]]-tbl_FlatLaser[[#This Row],[Adj. Mat. Qty]],"")</f>
        <v/>
      </c>
      <c r="AA211"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211" s="31"/>
      <c r="AD211" s="36"/>
    </row>
    <row r="212" spans="3:30" ht="25" customHeight="1">
      <c r="C212" s="28" t="str">
        <f>IF(tbl_FlatLaser[[#This Row],[Part'#]]="", "Batch", "Part")</f>
        <v>Batch</v>
      </c>
      <c r="G212" s="28"/>
      <c r="I212" s="70" t="e">
        <f>tbl_FlatLaser[[#This Row],[Qty Complete]]/tbl_FlatLaser[[#This Row],[Qty Required]]</f>
        <v>#DIV/0!</v>
      </c>
      <c r="L212" s="31">
        <f>IF(tbl_FlatLaser[[#This Row],[Job Type]]="Batch",0,tbl_FlatLaser[[#This Row],[Qty Required]]/tbl_FlatLaser[[#This Row],[PPH]]*tbl_FlatLaser[[#This Row],['# of men]])</f>
        <v>0</v>
      </c>
      <c r="M212" s="31" t="e">
        <f>IF(tbl_FlatLaser[[#This Row],[Job Type]]="Batch",tbl_FlatLaser[[#This Row],[Batch Hours]]*tbl_FlatLaser[[#This Row],[% Complete]],tbl_FlatLaser[[#This Row],[Total hours]]*tbl_FlatLaser[[#This Row],[% Complete]])</f>
        <v>#DIV/0!</v>
      </c>
      <c r="N212" s="31"/>
      <c r="P212" s="28" t="e">
        <f>tbl_FlatLaser[[#This Row],[Mat. Qty]]*tbl_FlatLaser[[#This Row],[% Complete]]</f>
        <v>#DIV/0!</v>
      </c>
      <c r="R212" s="32" t="str">
        <f>IFERROR(tbl_FlatLaser[[#This Row],[Qty Complete]]/tbl_FlatLaser[[#This Row],[Total Hours Act]]*tbl_FlatLaser[[#This Row],['# of men Act]],"")</f>
        <v/>
      </c>
      <c r="T212"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212" s="35" t="str">
        <f>IFERROR((tbl_FlatLaser[[#This Row],[Adj. Total Hours]]+tbl_FlatLaser[[#This Row],[Est. Hours]])/(tbl_FlatLaser[[#This Row],[Total Hours Act]]+tbl_FlatLaser[[#This Row],[Act. Hours]]),"")</f>
        <v/>
      </c>
      <c r="Y212"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212" s="104" t="str">
        <f>IFERROR(tbl_FlatLaser[[#This Row],[Act. Mat. Qty]]-tbl_FlatLaser[[#This Row],[Adj. Mat. Qty]],"")</f>
        <v/>
      </c>
      <c r="AA212"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212" s="31"/>
      <c r="AD212" s="36"/>
    </row>
    <row r="213" spans="3:30" ht="25" customHeight="1">
      <c r="C213" s="28" t="str">
        <f>IF(tbl_FlatLaser[[#This Row],[Part'#]]="", "Batch", "Part")</f>
        <v>Batch</v>
      </c>
      <c r="G213" s="28"/>
      <c r="I213" s="70" t="e">
        <f>tbl_FlatLaser[[#This Row],[Qty Complete]]/tbl_FlatLaser[[#This Row],[Qty Required]]</f>
        <v>#DIV/0!</v>
      </c>
      <c r="L213" s="31">
        <f>IF(tbl_FlatLaser[[#This Row],[Job Type]]="Batch",0,tbl_FlatLaser[[#This Row],[Qty Required]]/tbl_FlatLaser[[#This Row],[PPH]]*tbl_FlatLaser[[#This Row],['# of men]])</f>
        <v>0</v>
      </c>
      <c r="M213" s="31" t="e">
        <f>IF(tbl_FlatLaser[[#This Row],[Job Type]]="Batch",tbl_FlatLaser[[#This Row],[Batch Hours]]*tbl_FlatLaser[[#This Row],[% Complete]],tbl_FlatLaser[[#This Row],[Total hours]]*tbl_FlatLaser[[#This Row],[% Complete]])</f>
        <v>#DIV/0!</v>
      </c>
      <c r="N213" s="31"/>
      <c r="P213" s="28" t="e">
        <f>tbl_FlatLaser[[#This Row],[Mat. Qty]]*tbl_FlatLaser[[#This Row],[% Complete]]</f>
        <v>#DIV/0!</v>
      </c>
      <c r="R213" s="32" t="str">
        <f>IFERROR(tbl_FlatLaser[[#This Row],[Qty Complete]]/tbl_FlatLaser[[#This Row],[Total Hours Act]]*tbl_FlatLaser[[#This Row],['# of men Act]],"")</f>
        <v/>
      </c>
      <c r="T213"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213" s="35" t="str">
        <f>IFERROR((tbl_FlatLaser[[#This Row],[Adj. Total Hours]]+tbl_FlatLaser[[#This Row],[Est. Hours]])/(tbl_FlatLaser[[#This Row],[Total Hours Act]]+tbl_FlatLaser[[#This Row],[Act. Hours]]),"")</f>
        <v/>
      </c>
      <c r="Y213"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213" s="104" t="str">
        <f>IFERROR(tbl_FlatLaser[[#This Row],[Act. Mat. Qty]]-tbl_FlatLaser[[#This Row],[Adj. Mat. Qty]],"")</f>
        <v/>
      </c>
      <c r="AA213"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213" s="31"/>
      <c r="AD213" s="36"/>
    </row>
    <row r="214" spans="3:30" ht="25" customHeight="1">
      <c r="C214" s="28" t="str">
        <f>IF(tbl_FlatLaser[[#This Row],[Part'#]]="", "Batch", "Part")</f>
        <v>Batch</v>
      </c>
      <c r="G214" s="28"/>
      <c r="I214" s="70" t="e">
        <f>tbl_FlatLaser[[#This Row],[Qty Complete]]/tbl_FlatLaser[[#This Row],[Qty Required]]</f>
        <v>#DIV/0!</v>
      </c>
      <c r="L214" s="31">
        <f>IF(tbl_FlatLaser[[#This Row],[Job Type]]="Batch",0,tbl_FlatLaser[[#This Row],[Qty Required]]/tbl_FlatLaser[[#This Row],[PPH]]*tbl_FlatLaser[[#This Row],['# of men]])</f>
        <v>0</v>
      </c>
      <c r="M214" s="31" t="e">
        <f>IF(tbl_FlatLaser[[#This Row],[Job Type]]="Batch",tbl_FlatLaser[[#This Row],[Batch Hours]]*tbl_FlatLaser[[#This Row],[% Complete]],tbl_FlatLaser[[#This Row],[Total hours]]*tbl_FlatLaser[[#This Row],[% Complete]])</f>
        <v>#DIV/0!</v>
      </c>
      <c r="N214" s="31"/>
      <c r="P214" s="28" t="e">
        <f>tbl_FlatLaser[[#This Row],[Mat. Qty]]*tbl_FlatLaser[[#This Row],[% Complete]]</f>
        <v>#DIV/0!</v>
      </c>
      <c r="R214" s="32" t="str">
        <f>IFERROR(tbl_FlatLaser[[#This Row],[Qty Complete]]/tbl_FlatLaser[[#This Row],[Total Hours Act]]*tbl_FlatLaser[[#This Row],['# of men Act]],"")</f>
        <v/>
      </c>
      <c r="T214"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214" s="35" t="str">
        <f>IFERROR((tbl_FlatLaser[[#This Row],[Adj. Total Hours]]+tbl_FlatLaser[[#This Row],[Est. Hours]])/(tbl_FlatLaser[[#This Row],[Total Hours Act]]+tbl_FlatLaser[[#This Row],[Act. Hours]]),"")</f>
        <v/>
      </c>
      <c r="Y214"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214" s="104" t="str">
        <f>IFERROR(tbl_FlatLaser[[#This Row],[Act. Mat. Qty]]-tbl_FlatLaser[[#This Row],[Adj. Mat. Qty]],"")</f>
        <v/>
      </c>
      <c r="AA214"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214" s="31"/>
      <c r="AD214" s="36"/>
    </row>
    <row r="215" spans="3:30" ht="25" customHeight="1">
      <c r="C215" s="28" t="str">
        <f>IF(tbl_FlatLaser[[#This Row],[Part'#]]="", "Batch", "Part")</f>
        <v>Batch</v>
      </c>
      <c r="G215" s="28"/>
      <c r="I215" s="70" t="e">
        <f>tbl_FlatLaser[[#This Row],[Qty Complete]]/tbl_FlatLaser[[#This Row],[Qty Required]]</f>
        <v>#DIV/0!</v>
      </c>
      <c r="L215" s="31">
        <f>IF(tbl_FlatLaser[[#This Row],[Job Type]]="Batch",0,tbl_FlatLaser[[#This Row],[Qty Required]]/tbl_FlatLaser[[#This Row],[PPH]]*tbl_FlatLaser[[#This Row],['# of men]])</f>
        <v>0</v>
      </c>
      <c r="M215" s="31" t="e">
        <f>IF(tbl_FlatLaser[[#This Row],[Job Type]]="Batch",tbl_FlatLaser[[#This Row],[Batch Hours]]*tbl_FlatLaser[[#This Row],[% Complete]],tbl_FlatLaser[[#This Row],[Total hours]]*tbl_FlatLaser[[#This Row],[% Complete]])</f>
        <v>#DIV/0!</v>
      </c>
      <c r="N215" s="31"/>
      <c r="P215" s="28" t="e">
        <f>tbl_FlatLaser[[#This Row],[Mat. Qty]]*tbl_FlatLaser[[#This Row],[% Complete]]</f>
        <v>#DIV/0!</v>
      </c>
      <c r="R215" s="32" t="str">
        <f>IFERROR(tbl_FlatLaser[[#This Row],[Qty Complete]]/tbl_FlatLaser[[#This Row],[Total Hours Act]]*tbl_FlatLaser[[#This Row],['# of men Act]],"")</f>
        <v/>
      </c>
      <c r="T215"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215" s="35" t="str">
        <f>IFERROR((tbl_FlatLaser[[#This Row],[Adj. Total Hours]]+tbl_FlatLaser[[#This Row],[Est. Hours]])/(tbl_FlatLaser[[#This Row],[Total Hours Act]]+tbl_FlatLaser[[#This Row],[Act. Hours]]),"")</f>
        <v/>
      </c>
      <c r="Y215"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215" s="104" t="str">
        <f>IFERROR(tbl_FlatLaser[[#This Row],[Act. Mat. Qty]]-tbl_FlatLaser[[#This Row],[Adj. Mat. Qty]],"")</f>
        <v/>
      </c>
      <c r="AA215"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215" s="31"/>
      <c r="AD215" s="36"/>
    </row>
    <row r="216" spans="3:30" ht="25" customHeight="1">
      <c r="C216" s="28" t="str">
        <f>IF(tbl_FlatLaser[[#This Row],[Part'#]]="", "Batch", "Part")</f>
        <v>Batch</v>
      </c>
      <c r="G216" s="28"/>
      <c r="I216" s="70" t="e">
        <f>tbl_FlatLaser[[#This Row],[Qty Complete]]/tbl_FlatLaser[[#This Row],[Qty Required]]</f>
        <v>#DIV/0!</v>
      </c>
      <c r="L216" s="31">
        <f>IF(tbl_FlatLaser[[#This Row],[Job Type]]="Batch",0,tbl_FlatLaser[[#This Row],[Qty Required]]/tbl_FlatLaser[[#This Row],[PPH]]*tbl_FlatLaser[[#This Row],['# of men]])</f>
        <v>0</v>
      </c>
      <c r="M216" s="31" t="e">
        <f>IF(tbl_FlatLaser[[#This Row],[Job Type]]="Batch",tbl_FlatLaser[[#This Row],[Batch Hours]]*tbl_FlatLaser[[#This Row],[% Complete]],tbl_FlatLaser[[#This Row],[Total hours]]*tbl_FlatLaser[[#This Row],[% Complete]])</f>
        <v>#DIV/0!</v>
      </c>
      <c r="N216" s="31"/>
      <c r="P216" s="28" t="e">
        <f>tbl_FlatLaser[[#This Row],[Mat. Qty]]*tbl_FlatLaser[[#This Row],[% Complete]]</f>
        <v>#DIV/0!</v>
      </c>
      <c r="R216" s="32" t="str">
        <f>IFERROR(tbl_FlatLaser[[#This Row],[Qty Complete]]/tbl_FlatLaser[[#This Row],[Total Hours Act]]*tbl_FlatLaser[[#This Row],['# of men Act]],"")</f>
        <v/>
      </c>
      <c r="T216"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216" s="35" t="str">
        <f>IFERROR((tbl_FlatLaser[[#This Row],[Adj. Total Hours]]+tbl_FlatLaser[[#This Row],[Est. Hours]])/(tbl_FlatLaser[[#This Row],[Total Hours Act]]+tbl_FlatLaser[[#This Row],[Act. Hours]]),"")</f>
        <v/>
      </c>
      <c r="Y216"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216" s="104" t="str">
        <f>IFERROR(tbl_FlatLaser[[#This Row],[Act. Mat. Qty]]-tbl_FlatLaser[[#This Row],[Adj. Mat. Qty]],"")</f>
        <v/>
      </c>
      <c r="AA216"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216" s="31"/>
      <c r="AD216" s="36"/>
    </row>
    <row r="217" spans="3:30" ht="25" customHeight="1">
      <c r="C217" s="28" t="str">
        <f>IF(tbl_FlatLaser[[#This Row],[Part'#]]="", "Batch", "Part")</f>
        <v>Batch</v>
      </c>
      <c r="G217" s="28"/>
      <c r="I217" s="70" t="e">
        <f>tbl_FlatLaser[[#This Row],[Qty Complete]]/tbl_FlatLaser[[#This Row],[Qty Required]]</f>
        <v>#DIV/0!</v>
      </c>
      <c r="L217" s="31">
        <f>IF(tbl_FlatLaser[[#This Row],[Job Type]]="Batch",0,tbl_FlatLaser[[#This Row],[Qty Required]]/tbl_FlatLaser[[#This Row],[PPH]]*tbl_FlatLaser[[#This Row],['# of men]])</f>
        <v>0</v>
      </c>
      <c r="M217" s="31" t="e">
        <f>IF(tbl_FlatLaser[[#This Row],[Job Type]]="Batch",tbl_FlatLaser[[#This Row],[Batch Hours]]*tbl_FlatLaser[[#This Row],[% Complete]],tbl_FlatLaser[[#This Row],[Total hours]]*tbl_FlatLaser[[#This Row],[% Complete]])</f>
        <v>#DIV/0!</v>
      </c>
      <c r="N217" s="31"/>
      <c r="P217" s="28" t="e">
        <f>tbl_FlatLaser[[#This Row],[Mat. Qty]]*tbl_FlatLaser[[#This Row],[% Complete]]</f>
        <v>#DIV/0!</v>
      </c>
      <c r="R217" s="32" t="str">
        <f>IFERROR(tbl_FlatLaser[[#This Row],[Qty Complete]]/tbl_FlatLaser[[#This Row],[Total Hours Act]]*tbl_FlatLaser[[#This Row],['# of men Act]],"")</f>
        <v/>
      </c>
      <c r="T217"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217" s="35" t="str">
        <f>IFERROR((tbl_FlatLaser[[#This Row],[Adj. Total Hours]]+tbl_FlatLaser[[#This Row],[Est. Hours]])/(tbl_FlatLaser[[#This Row],[Total Hours Act]]+tbl_FlatLaser[[#This Row],[Act. Hours]]),"")</f>
        <v/>
      </c>
      <c r="Y217"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217" s="104" t="str">
        <f>IFERROR(tbl_FlatLaser[[#This Row],[Act. Mat. Qty]]-tbl_FlatLaser[[#This Row],[Adj. Mat. Qty]],"")</f>
        <v/>
      </c>
      <c r="AA217"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217" s="31"/>
      <c r="AD217" s="36"/>
    </row>
    <row r="218" spans="3:30" ht="25" customHeight="1">
      <c r="C218" s="28" t="str">
        <f>IF(tbl_FlatLaser[[#This Row],[Part'#]]="", "Batch", "Part")</f>
        <v>Batch</v>
      </c>
      <c r="G218" s="28"/>
      <c r="I218" s="70" t="e">
        <f>tbl_FlatLaser[[#This Row],[Qty Complete]]/tbl_FlatLaser[[#This Row],[Qty Required]]</f>
        <v>#DIV/0!</v>
      </c>
      <c r="L218" s="31">
        <f>IF(tbl_FlatLaser[[#This Row],[Job Type]]="Batch",0,tbl_FlatLaser[[#This Row],[Qty Required]]/tbl_FlatLaser[[#This Row],[PPH]]*tbl_FlatLaser[[#This Row],['# of men]])</f>
        <v>0</v>
      </c>
      <c r="M218" s="31" t="e">
        <f>IF(tbl_FlatLaser[[#This Row],[Job Type]]="Batch",tbl_FlatLaser[[#This Row],[Batch Hours]]*tbl_FlatLaser[[#This Row],[% Complete]],tbl_FlatLaser[[#This Row],[Total hours]]*tbl_FlatLaser[[#This Row],[% Complete]])</f>
        <v>#DIV/0!</v>
      </c>
      <c r="N218" s="31"/>
      <c r="P218" s="28" t="e">
        <f>tbl_FlatLaser[[#This Row],[Mat. Qty]]*tbl_FlatLaser[[#This Row],[% Complete]]</f>
        <v>#DIV/0!</v>
      </c>
      <c r="R218" s="32" t="str">
        <f>IFERROR(tbl_FlatLaser[[#This Row],[Qty Complete]]/tbl_FlatLaser[[#This Row],[Total Hours Act]]*tbl_FlatLaser[[#This Row],['# of men Act]],"")</f>
        <v/>
      </c>
      <c r="T218"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218" s="35" t="str">
        <f>IFERROR((tbl_FlatLaser[[#This Row],[Adj. Total Hours]]+tbl_FlatLaser[[#This Row],[Est. Hours]])/(tbl_FlatLaser[[#This Row],[Total Hours Act]]+tbl_FlatLaser[[#This Row],[Act. Hours]]),"")</f>
        <v/>
      </c>
      <c r="Y218"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218" s="104" t="str">
        <f>IFERROR(tbl_FlatLaser[[#This Row],[Act. Mat. Qty]]-tbl_FlatLaser[[#This Row],[Adj. Mat. Qty]],"")</f>
        <v/>
      </c>
      <c r="AA218"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218" s="31"/>
      <c r="AD218" s="36"/>
    </row>
    <row r="219" spans="3:30" ht="25" customHeight="1">
      <c r="C219" s="28" t="str">
        <f>IF(tbl_FlatLaser[[#This Row],[Part'#]]="", "Batch", "Part")</f>
        <v>Batch</v>
      </c>
      <c r="G219" s="28"/>
      <c r="I219" s="70" t="e">
        <f>tbl_FlatLaser[[#This Row],[Qty Complete]]/tbl_FlatLaser[[#This Row],[Qty Required]]</f>
        <v>#DIV/0!</v>
      </c>
      <c r="L219" s="31">
        <f>IF(tbl_FlatLaser[[#This Row],[Job Type]]="Batch",0,tbl_FlatLaser[[#This Row],[Qty Required]]/tbl_FlatLaser[[#This Row],[PPH]]*tbl_FlatLaser[[#This Row],['# of men]])</f>
        <v>0</v>
      </c>
      <c r="M219" s="31" t="e">
        <f>IF(tbl_FlatLaser[[#This Row],[Job Type]]="Batch",tbl_FlatLaser[[#This Row],[Batch Hours]]*tbl_FlatLaser[[#This Row],[% Complete]],tbl_FlatLaser[[#This Row],[Total hours]]*tbl_FlatLaser[[#This Row],[% Complete]])</f>
        <v>#DIV/0!</v>
      </c>
      <c r="N219" s="31"/>
      <c r="P219" s="28" t="e">
        <f>tbl_FlatLaser[[#This Row],[Mat. Qty]]*tbl_FlatLaser[[#This Row],[% Complete]]</f>
        <v>#DIV/0!</v>
      </c>
      <c r="R219" s="32" t="str">
        <f>IFERROR(tbl_FlatLaser[[#This Row],[Qty Complete]]/tbl_FlatLaser[[#This Row],[Total Hours Act]]*tbl_FlatLaser[[#This Row],['# of men Act]],"")</f>
        <v/>
      </c>
      <c r="T219"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219" s="35" t="str">
        <f>IFERROR((tbl_FlatLaser[[#This Row],[Adj. Total Hours]]+tbl_FlatLaser[[#This Row],[Est. Hours]])/(tbl_FlatLaser[[#This Row],[Total Hours Act]]+tbl_FlatLaser[[#This Row],[Act. Hours]]),"")</f>
        <v/>
      </c>
      <c r="Y219"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219" s="104" t="str">
        <f>IFERROR(tbl_FlatLaser[[#This Row],[Act. Mat. Qty]]-tbl_FlatLaser[[#This Row],[Adj. Mat. Qty]],"")</f>
        <v/>
      </c>
      <c r="AA219"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219" s="31"/>
      <c r="AD219" s="36"/>
    </row>
    <row r="220" spans="3:30" ht="25" customHeight="1">
      <c r="C220" s="28" t="str">
        <f>IF(tbl_FlatLaser[[#This Row],[Part'#]]="", "Batch", "Part")</f>
        <v>Batch</v>
      </c>
      <c r="G220" s="28"/>
      <c r="I220" s="70" t="e">
        <f>tbl_FlatLaser[[#This Row],[Qty Complete]]/tbl_FlatLaser[[#This Row],[Qty Required]]</f>
        <v>#DIV/0!</v>
      </c>
      <c r="L220" s="31">
        <f>IF(tbl_FlatLaser[[#This Row],[Job Type]]="Batch",0,tbl_FlatLaser[[#This Row],[Qty Required]]/tbl_FlatLaser[[#This Row],[PPH]]*tbl_FlatLaser[[#This Row],['# of men]])</f>
        <v>0</v>
      </c>
      <c r="M220" s="31" t="e">
        <f>IF(tbl_FlatLaser[[#This Row],[Job Type]]="Batch",tbl_FlatLaser[[#This Row],[Batch Hours]]*tbl_FlatLaser[[#This Row],[% Complete]],tbl_FlatLaser[[#This Row],[Total hours]]*tbl_FlatLaser[[#This Row],[% Complete]])</f>
        <v>#DIV/0!</v>
      </c>
      <c r="N220" s="31"/>
      <c r="P220" s="28" t="e">
        <f>tbl_FlatLaser[[#This Row],[Mat. Qty]]*tbl_FlatLaser[[#This Row],[% Complete]]</f>
        <v>#DIV/0!</v>
      </c>
      <c r="R220" s="32" t="str">
        <f>IFERROR(tbl_FlatLaser[[#This Row],[Qty Complete]]/tbl_FlatLaser[[#This Row],[Total Hours Act]]*tbl_FlatLaser[[#This Row],['# of men Act]],"")</f>
        <v/>
      </c>
      <c r="T220"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220" s="35" t="str">
        <f>IFERROR((tbl_FlatLaser[[#This Row],[Adj. Total Hours]]+tbl_FlatLaser[[#This Row],[Est. Hours]])/(tbl_FlatLaser[[#This Row],[Total Hours Act]]+tbl_FlatLaser[[#This Row],[Act. Hours]]),"")</f>
        <v/>
      </c>
      <c r="Y220"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220" s="104" t="str">
        <f>IFERROR(tbl_FlatLaser[[#This Row],[Act. Mat. Qty]]-tbl_FlatLaser[[#This Row],[Adj. Mat. Qty]],"")</f>
        <v/>
      </c>
      <c r="AA220"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220" s="31"/>
      <c r="AD220" s="36"/>
    </row>
    <row r="221" spans="3:30" ht="25" customHeight="1">
      <c r="C221" s="28" t="str">
        <f>IF(tbl_FlatLaser[[#This Row],[Part'#]]="", "Batch", "Part")</f>
        <v>Batch</v>
      </c>
      <c r="G221" s="28"/>
      <c r="I221" s="70" t="e">
        <f>tbl_FlatLaser[[#This Row],[Qty Complete]]/tbl_FlatLaser[[#This Row],[Qty Required]]</f>
        <v>#DIV/0!</v>
      </c>
      <c r="L221" s="31">
        <f>IF(tbl_FlatLaser[[#This Row],[Job Type]]="Batch",0,tbl_FlatLaser[[#This Row],[Qty Required]]/tbl_FlatLaser[[#This Row],[PPH]]*tbl_FlatLaser[[#This Row],['# of men]])</f>
        <v>0</v>
      </c>
      <c r="M221" s="31" t="e">
        <f>IF(tbl_FlatLaser[[#This Row],[Job Type]]="Batch",tbl_FlatLaser[[#This Row],[Batch Hours]]*tbl_FlatLaser[[#This Row],[% Complete]],tbl_FlatLaser[[#This Row],[Total hours]]*tbl_FlatLaser[[#This Row],[% Complete]])</f>
        <v>#DIV/0!</v>
      </c>
      <c r="N221" s="31"/>
      <c r="P221" s="28" t="e">
        <f>tbl_FlatLaser[[#This Row],[Mat. Qty]]*tbl_FlatLaser[[#This Row],[% Complete]]</f>
        <v>#DIV/0!</v>
      </c>
      <c r="R221" s="32" t="str">
        <f>IFERROR(tbl_FlatLaser[[#This Row],[Qty Complete]]/tbl_FlatLaser[[#This Row],[Total Hours Act]]*tbl_FlatLaser[[#This Row],['# of men Act]],"")</f>
        <v/>
      </c>
      <c r="T221"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221" s="35" t="str">
        <f>IFERROR((tbl_FlatLaser[[#This Row],[Adj. Total Hours]]+tbl_FlatLaser[[#This Row],[Est. Hours]])/(tbl_FlatLaser[[#This Row],[Total Hours Act]]+tbl_FlatLaser[[#This Row],[Act. Hours]]),"")</f>
        <v/>
      </c>
      <c r="Y221"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221" s="104" t="str">
        <f>IFERROR(tbl_FlatLaser[[#This Row],[Act. Mat. Qty]]-tbl_FlatLaser[[#This Row],[Adj. Mat. Qty]],"")</f>
        <v/>
      </c>
      <c r="AA221"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221" s="31"/>
      <c r="AD221" s="36"/>
    </row>
    <row r="222" spans="3:30" ht="25" customHeight="1">
      <c r="C222" s="28" t="str">
        <f>IF(tbl_FlatLaser[[#This Row],[Part'#]]="", "Batch", "Part")</f>
        <v>Batch</v>
      </c>
      <c r="G222" s="28"/>
      <c r="I222" s="70" t="e">
        <f>tbl_FlatLaser[[#This Row],[Qty Complete]]/tbl_FlatLaser[[#This Row],[Qty Required]]</f>
        <v>#DIV/0!</v>
      </c>
      <c r="L222" s="31">
        <f>IF(tbl_FlatLaser[[#This Row],[Job Type]]="Batch",0,tbl_FlatLaser[[#This Row],[Qty Required]]/tbl_FlatLaser[[#This Row],[PPH]]*tbl_FlatLaser[[#This Row],['# of men]])</f>
        <v>0</v>
      </c>
      <c r="M222" s="31" t="e">
        <f>IF(tbl_FlatLaser[[#This Row],[Job Type]]="Batch",tbl_FlatLaser[[#This Row],[Batch Hours]]*tbl_FlatLaser[[#This Row],[% Complete]],tbl_FlatLaser[[#This Row],[Total hours]]*tbl_FlatLaser[[#This Row],[% Complete]])</f>
        <v>#DIV/0!</v>
      </c>
      <c r="N222" s="31"/>
      <c r="P222" s="28" t="e">
        <f>tbl_FlatLaser[[#This Row],[Mat. Qty]]*tbl_FlatLaser[[#This Row],[% Complete]]</f>
        <v>#DIV/0!</v>
      </c>
      <c r="R222" s="32" t="str">
        <f>IFERROR(tbl_FlatLaser[[#This Row],[Qty Complete]]/tbl_FlatLaser[[#This Row],[Total Hours Act]]*tbl_FlatLaser[[#This Row],['# of men Act]],"")</f>
        <v/>
      </c>
      <c r="T222"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222" s="35" t="str">
        <f>IFERROR((tbl_FlatLaser[[#This Row],[Adj. Total Hours]]+tbl_FlatLaser[[#This Row],[Est. Hours]])/(tbl_FlatLaser[[#This Row],[Total Hours Act]]+tbl_FlatLaser[[#This Row],[Act. Hours]]),"")</f>
        <v/>
      </c>
      <c r="Y222"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222" s="104" t="str">
        <f>IFERROR(tbl_FlatLaser[[#This Row],[Act. Mat. Qty]]-tbl_FlatLaser[[#This Row],[Adj. Mat. Qty]],"")</f>
        <v/>
      </c>
      <c r="AA222"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222" s="31"/>
      <c r="AD222" s="36"/>
    </row>
    <row r="223" spans="3:30" ht="25" customHeight="1">
      <c r="C223" s="28" t="str">
        <f>IF(tbl_FlatLaser[[#This Row],[Part'#]]="", "Batch", "Part")</f>
        <v>Batch</v>
      </c>
      <c r="G223" s="28"/>
      <c r="I223" s="70" t="e">
        <f>tbl_FlatLaser[[#This Row],[Qty Complete]]/tbl_FlatLaser[[#This Row],[Qty Required]]</f>
        <v>#DIV/0!</v>
      </c>
      <c r="L223" s="31">
        <f>IF(tbl_FlatLaser[[#This Row],[Job Type]]="Batch",0,tbl_FlatLaser[[#This Row],[Qty Required]]/tbl_FlatLaser[[#This Row],[PPH]]*tbl_FlatLaser[[#This Row],['# of men]])</f>
        <v>0</v>
      </c>
      <c r="M223" s="31" t="e">
        <f>IF(tbl_FlatLaser[[#This Row],[Job Type]]="Batch",tbl_FlatLaser[[#This Row],[Batch Hours]]*tbl_FlatLaser[[#This Row],[% Complete]],tbl_FlatLaser[[#This Row],[Total hours]]*tbl_FlatLaser[[#This Row],[% Complete]])</f>
        <v>#DIV/0!</v>
      </c>
      <c r="N223" s="31"/>
      <c r="P223" s="28" t="e">
        <f>tbl_FlatLaser[[#This Row],[Mat. Qty]]*tbl_FlatLaser[[#This Row],[% Complete]]</f>
        <v>#DIV/0!</v>
      </c>
      <c r="R223" s="32" t="str">
        <f>IFERROR(tbl_FlatLaser[[#This Row],[Qty Complete]]/tbl_FlatLaser[[#This Row],[Total Hours Act]]*tbl_FlatLaser[[#This Row],['# of men Act]],"")</f>
        <v/>
      </c>
      <c r="T223"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223" s="35" t="str">
        <f>IFERROR((tbl_FlatLaser[[#This Row],[Adj. Total Hours]]+tbl_FlatLaser[[#This Row],[Est. Hours]])/(tbl_FlatLaser[[#This Row],[Total Hours Act]]+tbl_FlatLaser[[#This Row],[Act. Hours]]),"")</f>
        <v/>
      </c>
      <c r="Y223"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223" s="104" t="str">
        <f>IFERROR(tbl_FlatLaser[[#This Row],[Act. Mat. Qty]]-tbl_FlatLaser[[#This Row],[Adj. Mat. Qty]],"")</f>
        <v/>
      </c>
      <c r="AA223"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223" s="31"/>
      <c r="AD223" s="36"/>
    </row>
    <row r="224" spans="3:30" ht="25" customHeight="1">
      <c r="C224" s="28" t="str">
        <f>IF(tbl_FlatLaser[[#This Row],[Part'#]]="", "Batch", "Part")</f>
        <v>Batch</v>
      </c>
      <c r="G224" s="28"/>
      <c r="I224" s="70" t="e">
        <f>tbl_FlatLaser[[#This Row],[Qty Complete]]/tbl_FlatLaser[[#This Row],[Qty Required]]</f>
        <v>#DIV/0!</v>
      </c>
      <c r="L224" s="31">
        <f>IF(tbl_FlatLaser[[#This Row],[Job Type]]="Batch",0,tbl_FlatLaser[[#This Row],[Qty Required]]/tbl_FlatLaser[[#This Row],[PPH]]*tbl_FlatLaser[[#This Row],['# of men]])</f>
        <v>0</v>
      </c>
      <c r="M224" s="31" t="e">
        <f>IF(tbl_FlatLaser[[#This Row],[Job Type]]="Batch",tbl_FlatLaser[[#This Row],[Batch Hours]]*tbl_FlatLaser[[#This Row],[% Complete]],tbl_FlatLaser[[#This Row],[Total hours]]*tbl_FlatLaser[[#This Row],[% Complete]])</f>
        <v>#DIV/0!</v>
      </c>
      <c r="N224" s="31"/>
      <c r="P224" s="28" t="e">
        <f>tbl_FlatLaser[[#This Row],[Mat. Qty]]*tbl_FlatLaser[[#This Row],[% Complete]]</f>
        <v>#DIV/0!</v>
      </c>
      <c r="R224" s="32" t="str">
        <f>IFERROR(tbl_FlatLaser[[#This Row],[Qty Complete]]/tbl_FlatLaser[[#This Row],[Total Hours Act]]*tbl_FlatLaser[[#This Row],['# of men Act]],"")</f>
        <v/>
      </c>
      <c r="T224"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224" s="35" t="str">
        <f>IFERROR((tbl_FlatLaser[[#This Row],[Adj. Total Hours]]+tbl_FlatLaser[[#This Row],[Est. Hours]])/(tbl_FlatLaser[[#This Row],[Total Hours Act]]+tbl_FlatLaser[[#This Row],[Act. Hours]]),"")</f>
        <v/>
      </c>
      <c r="Y224"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224" s="104" t="str">
        <f>IFERROR(tbl_FlatLaser[[#This Row],[Act. Mat. Qty]]-tbl_FlatLaser[[#This Row],[Adj. Mat. Qty]],"")</f>
        <v/>
      </c>
      <c r="AA224"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224" s="31"/>
      <c r="AD224" s="36"/>
    </row>
    <row r="225" spans="3:30" ht="25" customHeight="1">
      <c r="C225" s="28" t="str">
        <f>IF(tbl_FlatLaser[[#This Row],[Part'#]]="", "Batch", "Part")</f>
        <v>Batch</v>
      </c>
      <c r="G225" s="28"/>
      <c r="I225" s="70" t="e">
        <f>tbl_FlatLaser[[#This Row],[Qty Complete]]/tbl_FlatLaser[[#This Row],[Qty Required]]</f>
        <v>#DIV/0!</v>
      </c>
      <c r="L225" s="31">
        <f>IF(tbl_FlatLaser[[#This Row],[Job Type]]="Batch",0,tbl_FlatLaser[[#This Row],[Qty Required]]/tbl_FlatLaser[[#This Row],[PPH]]*tbl_FlatLaser[[#This Row],['# of men]])</f>
        <v>0</v>
      </c>
      <c r="M225" s="31" t="e">
        <f>IF(tbl_FlatLaser[[#This Row],[Job Type]]="Batch",tbl_FlatLaser[[#This Row],[Batch Hours]]*tbl_FlatLaser[[#This Row],[% Complete]],tbl_FlatLaser[[#This Row],[Total hours]]*tbl_FlatLaser[[#This Row],[% Complete]])</f>
        <v>#DIV/0!</v>
      </c>
      <c r="N225" s="31"/>
      <c r="P225" s="28" t="e">
        <f>tbl_FlatLaser[[#This Row],[Mat. Qty]]*tbl_FlatLaser[[#This Row],[% Complete]]</f>
        <v>#DIV/0!</v>
      </c>
      <c r="R225" s="32" t="str">
        <f>IFERROR(tbl_FlatLaser[[#This Row],[Qty Complete]]/tbl_FlatLaser[[#This Row],[Total Hours Act]]*tbl_FlatLaser[[#This Row],['# of men Act]],"")</f>
        <v/>
      </c>
      <c r="T225"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225" s="35" t="str">
        <f>IFERROR((tbl_FlatLaser[[#This Row],[Adj. Total Hours]]+tbl_FlatLaser[[#This Row],[Est. Hours]])/(tbl_FlatLaser[[#This Row],[Total Hours Act]]+tbl_FlatLaser[[#This Row],[Act. Hours]]),"")</f>
        <v/>
      </c>
      <c r="Y225"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225" s="104" t="str">
        <f>IFERROR(tbl_FlatLaser[[#This Row],[Act. Mat. Qty]]-tbl_FlatLaser[[#This Row],[Adj. Mat. Qty]],"")</f>
        <v/>
      </c>
      <c r="AA225"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225" s="31"/>
      <c r="AD225" s="36"/>
    </row>
    <row r="226" spans="3:30" ht="25" customHeight="1">
      <c r="C226" s="28" t="str">
        <f>IF(tbl_FlatLaser[[#This Row],[Part'#]]="", "Batch", "Part")</f>
        <v>Batch</v>
      </c>
      <c r="G226" s="28"/>
      <c r="I226" s="70" t="e">
        <f>tbl_FlatLaser[[#This Row],[Qty Complete]]/tbl_FlatLaser[[#This Row],[Qty Required]]</f>
        <v>#DIV/0!</v>
      </c>
      <c r="L226" s="31">
        <f>IF(tbl_FlatLaser[[#This Row],[Job Type]]="Batch",0,tbl_FlatLaser[[#This Row],[Qty Required]]/tbl_FlatLaser[[#This Row],[PPH]]*tbl_FlatLaser[[#This Row],['# of men]])</f>
        <v>0</v>
      </c>
      <c r="M226" s="31" t="e">
        <f>IF(tbl_FlatLaser[[#This Row],[Job Type]]="Batch",tbl_FlatLaser[[#This Row],[Batch Hours]]*tbl_FlatLaser[[#This Row],[% Complete]],tbl_FlatLaser[[#This Row],[Total hours]]*tbl_FlatLaser[[#This Row],[% Complete]])</f>
        <v>#DIV/0!</v>
      </c>
      <c r="N226" s="31"/>
      <c r="P226" s="28" t="e">
        <f>tbl_FlatLaser[[#This Row],[Mat. Qty]]*tbl_FlatLaser[[#This Row],[% Complete]]</f>
        <v>#DIV/0!</v>
      </c>
      <c r="R226" s="32" t="str">
        <f>IFERROR(tbl_FlatLaser[[#This Row],[Qty Complete]]/tbl_FlatLaser[[#This Row],[Total Hours Act]]*tbl_FlatLaser[[#This Row],['# of men Act]],"")</f>
        <v/>
      </c>
      <c r="T226"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226" s="35" t="str">
        <f>IFERROR((tbl_FlatLaser[[#This Row],[Adj. Total Hours]]+tbl_FlatLaser[[#This Row],[Est. Hours]])/(tbl_FlatLaser[[#This Row],[Total Hours Act]]+tbl_FlatLaser[[#This Row],[Act. Hours]]),"")</f>
        <v/>
      </c>
      <c r="Y226"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226" s="104" t="str">
        <f>IFERROR(tbl_FlatLaser[[#This Row],[Act. Mat. Qty]]-tbl_FlatLaser[[#This Row],[Adj. Mat. Qty]],"")</f>
        <v/>
      </c>
      <c r="AA226"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226" s="31"/>
      <c r="AD226" s="36"/>
    </row>
    <row r="227" spans="3:30" ht="25" customHeight="1">
      <c r="C227" s="28" t="str">
        <f>IF(tbl_FlatLaser[[#This Row],[Part'#]]="", "Batch", "Part")</f>
        <v>Batch</v>
      </c>
      <c r="G227" s="28"/>
      <c r="I227" s="70" t="e">
        <f>tbl_FlatLaser[[#This Row],[Qty Complete]]/tbl_FlatLaser[[#This Row],[Qty Required]]</f>
        <v>#DIV/0!</v>
      </c>
      <c r="L227" s="31">
        <f>IF(tbl_FlatLaser[[#This Row],[Job Type]]="Batch",0,tbl_FlatLaser[[#This Row],[Qty Required]]/tbl_FlatLaser[[#This Row],[PPH]]*tbl_FlatLaser[[#This Row],['# of men]])</f>
        <v>0</v>
      </c>
      <c r="M227" s="31" t="e">
        <f>IF(tbl_FlatLaser[[#This Row],[Job Type]]="Batch",tbl_FlatLaser[[#This Row],[Batch Hours]]*tbl_FlatLaser[[#This Row],[% Complete]],tbl_FlatLaser[[#This Row],[Total hours]]*tbl_FlatLaser[[#This Row],[% Complete]])</f>
        <v>#DIV/0!</v>
      </c>
      <c r="N227" s="31"/>
      <c r="P227" s="28" t="e">
        <f>tbl_FlatLaser[[#This Row],[Mat. Qty]]*tbl_FlatLaser[[#This Row],[% Complete]]</f>
        <v>#DIV/0!</v>
      </c>
      <c r="R227" s="32" t="str">
        <f>IFERROR(tbl_FlatLaser[[#This Row],[Qty Complete]]/tbl_FlatLaser[[#This Row],[Total Hours Act]]*tbl_FlatLaser[[#This Row],['# of men Act]],"")</f>
        <v/>
      </c>
      <c r="T227"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227" s="35" t="str">
        <f>IFERROR((tbl_FlatLaser[[#This Row],[Adj. Total Hours]]+tbl_FlatLaser[[#This Row],[Est. Hours]])/(tbl_FlatLaser[[#This Row],[Total Hours Act]]+tbl_FlatLaser[[#This Row],[Act. Hours]]),"")</f>
        <v/>
      </c>
      <c r="Y227"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227" s="104" t="str">
        <f>IFERROR(tbl_FlatLaser[[#This Row],[Act. Mat. Qty]]-tbl_FlatLaser[[#This Row],[Adj. Mat. Qty]],"")</f>
        <v/>
      </c>
      <c r="AA227"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227" s="31"/>
      <c r="AD227" s="36"/>
    </row>
    <row r="228" spans="3:30" ht="25" customHeight="1">
      <c r="C228" s="28" t="str">
        <f>IF(tbl_FlatLaser[[#This Row],[Part'#]]="", "Batch", "Part")</f>
        <v>Batch</v>
      </c>
      <c r="G228" s="28"/>
      <c r="I228" s="70" t="e">
        <f>tbl_FlatLaser[[#This Row],[Qty Complete]]/tbl_FlatLaser[[#This Row],[Qty Required]]</f>
        <v>#DIV/0!</v>
      </c>
      <c r="L228" s="31">
        <f>IF(tbl_FlatLaser[[#This Row],[Job Type]]="Batch",0,tbl_FlatLaser[[#This Row],[Qty Required]]/tbl_FlatLaser[[#This Row],[PPH]]*tbl_FlatLaser[[#This Row],['# of men]])</f>
        <v>0</v>
      </c>
      <c r="M228" s="31" t="e">
        <f>IF(tbl_FlatLaser[[#This Row],[Job Type]]="Batch",tbl_FlatLaser[[#This Row],[Batch Hours]]*tbl_FlatLaser[[#This Row],[% Complete]],tbl_FlatLaser[[#This Row],[Total hours]]*tbl_FlatLaser[[#This Row],[% Complete]])</f>
        <v>#DIV/0!</v>
      </c>
      <c r="N228" s="31"/>
      <c r="P228" s="28" t="e">
        <f>tbl_FlatLaser[[#This Row],[Mat. Qty]]*tbl_FlatLaser[[#This Row],[% Complete]]</f>
        <v>#DIV/0!</v>
      </c>
      <c r="R228" s="32" t="str">
        <f>IFERROR(tbl_FlatLaser[[#This Row],[Qty Complete]]/tbl_FlatLaser[[#This Row],[Total Hours Act]]*tbl_FlatLaser[[#This Row],['# of men Act]],"")</f>
        <v/>
      </c>
      <c r="T228"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228" s="35" t="str">
        <f>IFERROR((tbl_FlatLaser[[#This Row],[Adj. Total Hours]]+tbl_FlatLaser[[#This Row],[Est. Hours]])/(tbl_FlatLaser[[#This Row],[Total Hours Act]]+tbl_FlatLaser[[#This Row],[Act. Hours]]),"")</f>
        <v/>
      </c>
      <c r="Y228"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228" s="104" t="str">
        <f>IFERROR(tbl_FlatLaser[[#This Row],[Act. Mat. Qty]]-tbl_FlatLaser[[#This Row],[Adj. Mat. Qty]],"")</f>
        <v/>
      </c>
      <c r="AA228"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228" s="31"/>
      <c r="AD228" s="36"/>
    </row>
    <row r="229" spans="3:30" ht="25" customHeight="1">
      <c r="C229" s="28" t="str">
        <f>IF(tbl_FlatLaser[[#This Row],[Part'#]]="", "Batch", "Part")</f>
        <v>Batch</v>
      </c>
      <c r="G229" s="28"/>
      <c r="I229" s="70" t="e">
        <f>tbl_FlatLaser[[#This Row],[Qty Complete]]/tbl_FlatLaser[[#This Row],[Qty Required]]</f>
        <v>#DIV/0!</v>
      </c>
      <c r="L229" s="31">
        <f>IF(tbl_FlatLaser[[#This Row],[Job Type]]="Batch",0,tbl_FlatLaser[[#This Row],[Qty Required]]/tbl_FlatLaser[[#This Row],[PPH]]*tbl_FlatLaser[[#This Row],['# of men]])</f>
        <v>0</v>
      </c>
      <c r="M229" s="31" t="e">
        <f>IF(tbl_FlatLaser[[#This Row],[Job Type]]="Batch",tbl_FlatLaser[[#This Row],[Batch Hours]]*tbl_FlatLaser[[#This Row],[% Complete]],tbl_FlatLaser[[#This Row],[Total hours]]*tbl_FlatLaser[[#This Row],[% Complete]])</f>
        <v>#DIV/0!</v>
      </c>
      <c r="N229" s="31"/>
      <c r="P229" s="28" t="e">
        <f>tbl_FlatLaser[[#This Row],[Mat. Qty]]*tbl_FlatLaser[[#This Row],[% Complete]]</f>
        <v>#DIV/0!</v>
      </c>
      <c r="R229" s="32" t="str">
        <f>IFERROR(tbl_FlatLaser[[#This Row],[Qty Complete]]/tbl_FlatLaser[[#This Row],[Total Hours Act]]*tbl_FlatLaser[[#This Row],['# of men Act]],"")</f>
        <v/>
      </c>
      <c r="T229"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229" s="35" t="str">
        <f>IFERROR((tbl_FlatLaser[[#This Row],[Adj. Total Hours]]+tbl_FlatLaser[[#This Row],[Est. Hours]])/(tbl_FlatLaser[[#This Row],[Total Hours Act]]+tbl_FlatLaser[[#This Row],[Act. Hours]]),"")</f>
        <v/>
      </c>
      <c r="Y229"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229" s="104" t="str">
        <f>IFERROR(tbl_FlatLaser[[#This Row],[Act. Mat. Qty]]-tbl_FlatLaser[[#This Row],[Adj. Mat. Qty]],"")</f>
        <v/>
      </c>
      <c r="AA229"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229" s="31"/>
      <c r="AD229" s="36"/>
    </row>
    <row r="230" spans="3:30" ht="25" customHeight="1">
      <c r="C230" s="28" t="str">
        <f>IF(tbl_FlatLaser[[#This Row],[Part'#]]="", "Batch", "Part")</f>
        <v>Batch</v>
      </c>
      <c r="G230" s="28"/>
      <c r="I230" s="70" t="e">
        <f>tbl_FlatLaser[[#This Row],[Qty Complete]]/tbl_FlatLaser[[#This Row],[Qty Required]]</f>
        <v>#DIV/0!</v>
      </c>
      <c r="L230" s="31">
        <f>IF(tbl_FlatLaser[[#This Row],[Job Type]]="Batch",0,tbl_FlatLaser[[#This Row],[Qty Required]]/tbl_FlatLaser[[#This Row],[PPH]]*tbl_FlatLaser[[#This Row],['# of men]])</f>
        <v>0</v>
      </c>
      <c r="M230" s="31" t="e">
        <f>IF(tbl_FlatLaser[[#This Row],[Job Type]]="Batch",tbl_FlatLaser[[#This Row],[Batch Hours]]*tbl_FlatLaser[[#This Row],[% Complete]],tbl_FlatLaser[[#This Row],[Total hours]]*tbl_FlatLaser[[#This Row],[% Complete]])</f>
        <v>#DIV/0!</v>
      </c>
      <c r="N230" s="31"/>
      <c r="P230" s="28" t="e">
        <f>tbl_FlatLaser[[#This Row],[Mat. Qty]]*tbl_FlatLaser[[#This Row],[% Complete]]</f>
        <v>#DIV/0!</v>
      </c>
      <c r="R230" s="32" t="str">
        <f>IFERROR(tbl_FlatLaser[[#This Row],[Qty Complete]]/tbl_FlatLaser[[#This Row],[Total Hours Act]]*tbl_FlatLaser[[#This Row],['# of men Act]],"")</f>
        <v/>
      </c>
      <c r="T230"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230" s="35" t="str">
        <f>IFERROR((tbl_FlatLaser[[#This Row],[Adj. Total Hours]]+tbl_FlatLaser[[#This Row],[Est. Hours]])/(tbl_FlatLaser[[#This Row],[Total Hours Act]]+tbl_FlatLaser[[#This Row],[Act. Hours]]),"")</f>
        <v/>
      </c>
      <c r="Y230"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230" s="104" t="str">
        <f>IFERROR(tbl_FlatLaser[[#This Row],[Act. Mat. Qty]]-tbl_FlatLaser[[#This Row],[Adj. Mat. Qty]],"")</f>
        <v/>
      </c>
      <c r="AA230"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230" s="31"/>
      <c r="AD230" s="36"/>
    </row>
    <row r="231" spans="3:30" ht="25" customHeight="1">
      <c r="C231" s="28" t="str">
        <f>IF(tbl_FlatLaser[[#This Row],[Part'#]]="", "Batch", "Part")</f>
        <v>Batch</v>
      </c>
      <c r="G231" s="28"/>
      <c r="I231" s="70" t="e">
        <f>tbl_FlatLaser[[#This Row],[Qty Complete]]/tbl_FlatLaser[[#This Row],[Qty Required]]</f>
        <v>#DIV/0!</v>
      </c>
      <c r="L231" s="31">
        <f>IF(tbl_FlatLaser[[#This Row],[Job Type]]="Batch",0,tbl_FlatLaser[[#This Row],[Qty Required]]/tbl_FlatLaser[[#This Row],[PPH]]*tbl_FlatLaser[[#This Row],['# of men]])</f>
        <v>0</v>
      </c>
      <c r="M231" s="31" t="e">
        <f>IF(tbl_FlatLaser[[#This Row],[Job Type]]="Batch",tbl_FlatLaser[[#This Row],[Batch Hours]]*tbl_FlatLaser[[#This Row],[% Complete]],tbl_FlatLaser[[#This Row],[Total hours]]*tbl_FlatLaser[[#This Row],[% Complete]])</f>
        <v>#DIV/0!</v>
      </c>
      <c r="N231" s="31"/>
      <c r="P231" s="28" t="e">
        <f>tbl_FlatLaser[[#This Row],[Mat. Qty]]*tbl_FlatLaser[[#This Row],[% Complete]]</f>
        <v>#DIV/0!</v>
      </c>
      <c r="R231" s="32" t="str">
        <f>IFERROR(tbl_FlatLaser[[#This Row],[Qty Complete]]/tbl_FlatLaser[[#This Row],[Total Hours Act]]*tbl_FlatLaser[[#This Row],['# of men Act]],"")</f>
        <v/>
      </c>
      <c r="T231"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231" s="35" t="str">
        <f>IFERROR((tbl_FlatLaser[[#This Row],[Adj. Total Hours]]+tbl_FlatLaser[[#This Row],[Est. Hours]])/(tbl_FlatLaser[[#This Row],[Total Hours Act]]+tbl_FlatLaser[[#This Row],[Act. Hours]]),"")</f>
        <v/>
      </c>
      <c r="Y231"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231" s="104" t="str">
        <f>IFERROR(tbl_FlatLaser[[#This Row],[Act. Mat. Qty]]-tbl_FlatLaser[[#This Row],[Adj. Mat. Qty]],"")</f>
        <v/>
      </c>
      <c r="AA231"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231" s="31"/>
      <c r="AD231" s="36"/>
    </row>
    <row r="232" spans="3:30" ht="25" customHeight="1">
      <c r="C232" s="28" t="str">
        <f>IF(tbl_FlatLaser[[#This Row],[Part'#]]="", "Batch", "Part")</f>
        <v>Batch</v>
      </c>
      <c r="G232" s="28"/>
      <c r="I232" s="70" t="e">
        <f>tbl_FlatLaser[[#This Row],[Qty Complete]]/tbl_FlatLaser[[#This Row],[Qty Required]]</f>
        <v>#DIV/0!</v>
      </c>
      <c r="L232" s="31">
        <f>IF(tbl_FlatLaser[[#This Row],[Job Type]]="Batch",0,tbl_FlatLaser[[#This Row],[Qty Required]]/tbl_FlatLaser[[#This Row],[PPH]]*tbl_FlatLaser[[#This Row],['# of men]])</f>
        <v>0</v>
      </c>
      <c r="M232" s="31" t="e">
        <f>IF(tbl_FlatLaser[[#This Row],[Job Type]]="Batch",tbl_FlatLaser[[#This Row],[Batch Hours]]*tbl_FlatLaser[[#This Row],[% Complete]],tbl_FlatLaser[[#This Row],[Total hours]]*tbl_FlatLaser[[#This Row],[% Complete]])</f>
        <v>#DIV/0!</v>
      </c>
      <c r="N232" s="31"/>
      <c r="P232" s="28" t="e">
        <f>tbl_FlatLaser[[#This Row],[Mat. Qty]]*tbl_FlatLaser[[#This Row],[% Complete]]</f>
        <v>#DIV/0!</v>
      </c>
      <c r="R232" s="32" t="str">
        <f>IFERROR(tbl_FlatLaser[[#This Row],[Qty Complete]]/tbl_FlatLaser[[#This Row],[Total Hours Act]]*tbl_FlatLaser[[#This Row],['# of men Act]],"")</f>
        <v/>
      </c>
      <c r="T232"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232" s="35" t="str">
        <f>IFERROR((tbl_FlatLaser[[#This Row],[Adj. Total Hours]]+tbl_FlatLaser[[#This Row],[Est. Hours]])/(tbl_FlatLaser[[#This Row],[Total Hours Act]]+tbl_FlatLaser[[#This Row],[Act. Hours]]),"")</f>
        <v/>
      </c>
      <c r="Y232"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232" s="104" t="str">
        <f>IFERROR(tbl_FlatLaser[[#This Row],[Act. Mat. Qty]]-tbl_FlatLaser[[#This Row],[Adj. Mat. Qty]],"")</f>
        <v/>
      </c>
      <c r="AA232"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232" s="31"/>
      <c r="AD232" s="36"/>
    </row>
    <row r="233" spans="3:30" ht="25" customHeight="1">
      <c r="C233" s="28" t="str">
        <f>IF(tbl_FlatLaser[[#This Row],[Part'#]]="", "Batch", "Part")</f>
        <v>Batch</v>
      </c>
      <c r="G233" s="28"/>
      <c r="I233" s="70" t="e">
        <f>tbl_FlatLaser[[#This Row],[Qty Complete]]/tbl_FlatLaser[[#This Row],[Qty Required]]</f>
        <v>#DIV/0!</v>
      </c>
      <c r="L233" s="31">
        <f>IF(tbl_FlatLaser[[#This Row],[Job Type]]="Batch",0,tbl_FlatLaser[[#This Row],[Qty Required]]/tbl_FlatLaser[[#This Row],[PPH]]*tbl_FlatLaser[[#This Row],['# of men]])</f>
        <v>0</v>
      </c>
      <c r="M233" s="31" t="e">
        <f>IF(tbl_FlatLaser[[#This Row],[Job Type]]="Batch",tbl_FlatLaser[[#This Row],[Batch Hours]]*tbl_FlatLaser[[#This Row],[% Complete]],tbl_FlatLaser[[#This Row],[Total hours]]*tbl_FlatLaser[[#This Row],[% Complete]])</f>
        <v>#DIV/0!</v>
      </c>
      <c r="N233" s="31"/>
      <c r="P233" s="28" t="e">
        <f>tbl_FlatLaser[[#This Row],[Mat. Qty]]*tbl_FlatLaser[[#This Row],[% Complete]]</f>
        <v>#DIV/0!</v>
      </c>
      <c r="R233" s="32" t="str">
        <f>IFERROR(tbl_FlatLaser[[#This Row],[Qty Complete]]/tbl_FlatLaser[[#This Row],[Total Hours Act]]*tbl_FlatLaser[[#This Row],['# of men Act]],"")</f>
        <v/>
      </c>
      <c r="T233"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233" s="35" t="str">
        <f>IFERROR((tbl_FlatLaser[[#This Row],[Adj. Total Hours]]+tbl_FlatLaser[[#This Row],[Est. Hours]])/(tbl_FlatLaser[[#This Row],[Total Hours Act]]+tbl_FlatLaser[[#This Row],[Act. Hours]]),"")</f>
        <v/>
      </c>
      <c r="Y233"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233" s="104" t="str">
        <f>IFERROR(tbl_FlatLaser[[#This Row],[Act. Mat. Qty]]-tbl_FlatLaser[[#This Row],[Adj. Mat. Qty]],"")</f>
        <v/>
      </c>
      <c r="AA233"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233" s="31"/>
      <c r="AD233" s="36"/>
    </row>
    <row r="234" spans="3:30" ht="25" customHeight="1">
      <c r="C234" s="28" t="str">
        <f>IF(tbl_FlatLaser[[#This Row],[Part'#]]="", "Batch", "Part")</f>
        <v>Batch</v>
      </c>
      <c r="G234" s="28"/>
      <c r="I234" s="70" t="e">
        <f>tbl_FlatLaser[[#This Row],[Qty Complete]]/tbl_FlatLaser[[#This Row],[Qty Required]]</f>
        <v>#DIV/0!</v>
      </c>
      <c r="L234" s="31">
        <f>IF(tbl_FlatLaser[[#This Row],[Job Type]]="Batch",0,tbl_FlatLaser[[#This Row],[Qty Required]]/tbl_FlatLaser[[#This Row],[PPH]]*tbl_FlatLaser[[#This Row],['# of men]])</f>
        <v>0</v>
      </c>
      <c r="M234" s="31" t="e">
        <f>IF(tbl_FlatLaser[[#This Row],[Job Type]]="Batch",tbl_FlatLaser[[#This Row],[Batch Hours]]*tbl_FlatLaser[[#This Row],[% Complete]],tbl_FlatLaser[[#This Row],[Total hours]]*tbl_FlatLaser[[#This Row],[% Complete]])</f>
        <v>#DIV/0!</v>
      </c>
      <c r="N234" s="31"/>
      <c r="P234" s="28" t="e">
        <f>tbl_FlatLaser[[#This Row],[Mat. Qty]]*tbl_FlatLaser[[#This Row],[% Complete]]</f>
        <v>#DIV/0!</v>
      </c>
      <c r="R234" s="32" t="str">
        <f>IFERROR(tbl_FlatLaser[[#This Row],[Qty Complete]]/tbl_FlatLaser[[#This Row],[Total Hours Act]]*tbl_FlatLaser[[#This Row],['# of men Act]],"")</f>
        <v/>
      </c>
      <c r="T234"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234" s="35" t="str">
        <f>IFERROR((tbl_FlatLaser[[#This Row],[Adj. Total Hours]]+tbl_FlatLaser[[#This Row],[Est. Hours]])/(tbl_FlatLaser[[#This Row],[Total Hours Act]]+tbl_FlatLaser[[#This Row],[Act. Hours]]),"")</f>
        <v/>
      </c>
      <c r="Y234"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234" s="104" t="str">
        <f>IFERROR(tbl_FlatLaser[[#This Row],[Act. Mat. Qty]]-tbl_FlatLaser[[#This Row],[Adj. Mat. Qty]],"")</f>
        <v/>
      </c>
      <c r="AA234"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234" s="31"/>
      <c r="AD234" s="36"/>
    </row>
    <row r="235" spans="3:30" ht="25" customHeight="1">
      <c r="C235" s="28" t="str">
        <f>IF(tbl_FlatLaser[[#This Row],[Part'#]]="", "Batch", "Part")</f>
        <v>Batch</v>
      </c>
      <c r="G235" s="28"/>
      <c r="I235" s="70" t="e">
        <f>tbl_FlatLaser[[#This Row],[Qty Complete]]/tbl_FlatLaser[[#This Row],[Qty Required]]</f>
        <v>#DIV/0!</v>
      </c>
      <c r="L235" s="31">
        <f>IF(tbl_FlatLaser[[#This Row],[Job Type]]="Batch",0,tbl_FlatLaser[[#This Row],[Qty Required]]/tbl_FlatLaser[[#This Row],[PPH]]*tbl_FlatLaser[[#This Row],['# of men]])</f>
        <v>0</v>
      </c>
      <c r="M235" s="31" t="e">
        <f>IF(tbl_FlatLaser[[#This Row],[Job Type]]="Batch",tbl_FlatLaser[[#This Row],[Batch Hours]]*tbl_FlatLaser[[#This Row],[% Complete]],tbl_FlatLaser[[#This Row],[Total hours]]*tbl_FlatLaser[[#This Row],[% Complete]])</f>
        <v>#DIV/0!</v>
      </c>
      <c r="N235" s="31"/>
      <c r="P235" s="28" t="e">
        <f>tbl_FlatLaser[[#This Row],[Mat. Qty]]*tbl_FlatLaser[[#This Row],[% Complete]]</f>
        <v>#DIV/0!</v>
      </c>
      <c r="R235" s="32" t="str">
        <f>IFERROR(tbl_FlatLaser[[#This Row],[Qty Complete]]/tbl_FlatLaser[[#This Row],[Total Hours Act]]*tbl_FlatLaser[[#This Row],['# of men Act]],"")</f>
        <v/>
      </c>
      <c r="T235"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235" s="35" t="str">
        <f>IFERROR((tbl_FlatLaser[[#This Row],[Adj. Total Hours]]+tbl_FlatLaser[[#This Row],[Est. Hours]])/(tbl_FlatLaser[[#This Row],[Total Hours Act]]+tbl_FlatLaser[[#This Row],[Act. Hours]]),"")</f>
        <v/>
      </c>
      <c r="Y235"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235" s="104" t="str">
        <f>IFERROR(tbl_FlatLaser[[#This Row],[Act. Mat. Qty]]-tbl_FlatLaser[[#This Row],[Adj. Mat. Qty]],"")</f>
        <v/>
      </c>
      <c r="AA235"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235" s="31"/>
      <c r="AD235" s="36"/>
    </row>
    <row r="236" spans="3:30" ht="25" customHeight="1">
      <c r="C236" s="28" t="str">
        <f>IF(tbl_FlatLaser[[#This Row],[Part'#]]="", "Batch", "Part")</f>
        <v>Batch</v>
      </c>
      <c r="G236" s="28"/>
      <c r="I236" s="70" t="e">
        <f>tbl_FlatLaser[[#This Row],[Qty Complete]]/tbl_FlatLaser[[#This Row],[Qty Required]]</f>
        <v>#DIV/0!</v>
      </c>
      <c r="L236" s="31">
        <f>IF(tbl_FlatLaser[[#This Row],[Job Type]]="Batch",0,tbl_FlatLaser[[#This Row],[Qty Required]]/tbl_FlatLaser[[#This Row],[PPH]]*tbl_FlatLaser[[#This Row],['# of men]])</f>
        <v>0</v>
      </c>
      <c r="M236" s="31" t="e">
        <f>IF(tbl_FlatLaser[[#This Row],[Job Type]]="Batch",tbl_FlatLaser[[#This Row],[Batch Hours]]*tbl_FlatLaser[[#This Row],[% Complete]],tbl_FlatLaser[[#This Row],[Total hours]]*tbl_FlatLaser[[#This Row],[% Complete]])</f>
        <v>#DIV/0!</v>
      </c>
      <c r="N236" s="31"/>
      <c r="P236" s="28" t="e">
        <f>tbl_FlatLaser[[#This Row],[Mat. Qty]]*tbl_FlatLaser[[#This Row],[% Complete]]</f>
        <v>#DIV/0!</v>
      </c>
      <c r="R236" s="32" t="str">
        <f>IFERROR(tbl_FlatLaser[[#This Row],[Qty Complete]]/tbl_FlatLaser[[#This Row],[Total Hours Act]]*tbl_FlatLaser[[#This Row],['# of men Act]],"")</f>
        <v/>
      </c>
      <c r="T236"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236" s="35" t="str">
        <f>IFERROR((tbl_FlatLaser[[#This Row],[Adj. Total Hours]]+tbl_FlatLaser[[#This Row],[Est. Hours]])/(tbl_FlatLaser[[#This Row],[Total Hours Act]]+tbl_FlatLaser[[#This Row],[Act. Hours]]),"")</f>
        <v/>
      </c>
      <c r="Y236"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236" s="104" t="str">
        <f>IFERROR(tbl_FlatLaser[[#This Row],[Act. Mat. Qty]]-tbl_FlatLaser[[#This Row],[Adj. Mat. Qty]],"")</f>
        <v/>
      </c>
      <c r="AA236"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236" s="31"/>
      <c r="AD236" s="36"/>
    </row>
    <row r="237" spans="3:30" ht="25" customHeight="1">
      <c r="C237" s="28" t="str">
        <f>IF(tbl_FlatLaser[[#This Row],[Part'#]]="", "Batch", "Part")</f>
        <v>Batch</v>
      </c>
      <c r="G237" s="28"/>
      <c r="I237" s="70" t="e">
        <f>tbl_FlatLaser[[#This Row],[Qty Complete]]/tbl_FlatLaser[[#This Row],[Qty Required]]</f>
        <v>#DIV/0!</v>
      </c>
      <c r="L237" s="31">
        <f>IF(tbl_FlatLaser[[#This Row],[Job Type]]="Batch",0,tbl_FlatLaser[[#This Row],[Qty Required]]/tbl_FlatLaser[[#This Row],[PPH]]*tbl_FlatLaser[[#This Row],['# of men]])</f>
        <v>0</v>
      </c>
      <c r="M237" s="31" t="e">
        <f>IF(tbl_FlatLaser[[#This Row],[Job Type]]="Batch",tbl_FlatLaser[[#This Row],[Batch Hours]]*tbl_FlatLaser[[#This Row],[% Complete]],tbl_FlatLaser[[#This Row],[Total hours]]*tbl_FlatLaser[[#This Row],[% Complete]])</f>
        <v>#DIV/0!</v>
      </c>
      <c r="N237" s="31"/>
      <c r="P237" s="28" t="e">
        <f>tbl_FlatLaser[[#This Row],[Mat. Qty]]*tbl_FlatLaser[[#This Row],[% Complete]]</f>
        <v>#DIV/0!</v>
      </c>
      <c r="R237" s="32" t="str">
        <f>IFERROR(tbl_FlatLaser[[#This Row],[Qty Complete]]/tbl_FlatLaser[[#This Row],[Total Hours Act]]*tbl_FlatLaser[[#This Row],['# of men Act]],"")</f>
        <v/>
      </c>
      <c r="T237"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237" s="35" t="str">
        <f>IFERROR((tbl_FlatLaser[[#This Row],[Adj. Total Hours]]+tbl_FlatLaser[[#This Row],[Est. Hours]])/(tbl_FlatLaser[[#This Row],[Total Hours Act]]+tbl_FlatLaser[[#This Row],[Act. Hours]]),"")</f>
        <v/>
      </c>
      <c r="Y237"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237" s="104" t="str">
        <f>IFERROR(tbl_FlatLaser[[#This Row],[Act. Mat. Qty]]-tbl_FlatLaser[[#This Row],[Adj. Mat. Qty]],"")</f>
        <v/>
      </c>
      <c r="AA237"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237" s="31"/>
      <c r="AD237" s="36"/>
    </row>
    <row r="238" spans="3:30" ht="25" customHeight="1">
      <c r="C238" s="28" t="str">
        <f>IF(tbl_FlatLaser[[#This Row],[Part'#]]="", "Batch", "Part")</f>
        <v>Batch</v>
      </c>
      <c r="G238" s="28"/>
      <c r="I238" s="70" t="e">
        <f>tbl_FlatLaser[[#This Row],[Qty Complete]]/tbl_FlatLaser[[#This Row],[Qty Required]]</f>
        <v>#DIV/0!</v>
      </c>
      <c r="L238" s="31">
        <f>IF(tbl_FlatLaser[[#This Row],[Job Type]]="Batch",0,tbl_FlatLaser[[#This Row],[Qty Required]]/tbl_FlatLaser[[#This Row],[PPH]]*tbl_FlatLaser[[#This Row],['# of men]])</f>
        <v>0</v>
      </c>
      <c r="M238" s="31" t="e">
        <f>IF(tbl_FlatLaser[[#This Row],[Job Type]]="Batch",tbl_FlatLaser[[#This Row],[Batch Hours]]*tbl_FlatLaser[[#This Row],[% Complete]],tbl_FlatLaser[[#This Row],[Total hours]]*tbl_FlatLaser[[#This Row],[% Complete]])</f>
        <v>#DIV/0!</v>
      </c>
      <c r="N238" s="31"/>
      <c r="P238" s="28" t="e">
        <f>tbl_FlatLaser[[#This Row],[Mat. Qty]]*tbl_FlatLaser[[#This Row],[% Complete]]</f>
        <v>#DIV/0!</v>
      </c>
      <c r="R238" s="32" t="str">
        <f>IFERROR(tbl_FlatLaser[[#This Row],[Qty Complete]]/tbl_FlatLaser[[#This Row],[Total Hours Act]]*tbl_FlatLaser[[#This Row],['# of men Act]],"")</f>
        <v/>
      </c>
      <c r="T238"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238" s="35" t="str">
        <f>IFERROR((tbl_FlatLaser[[#This Row],[Adj. Total Hours]]+tbl_FlatLaser[[#This Row],[Est. Hours]])/(tbl_FlatLaser[[#This Row],[Total Hours Act]]+tbl_FlatLaser[[#This Row],[Act. Hours]]),"")</f>
        <v/>
      </c>
      <c r="Y238"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238" s="104" t="str">
        <f>IFERROR(tbl_FlatLaser[[#This Row],[Act. Mat. Qty]]-tbl_FlatLaser[[#This Row],[Adj. Mat. Qty]],"")</f>
        <v/>
      </c>
      <c r="AA238"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238" s="31"/>
      <c r="AD238" s="36"/>
    </row>
    <row r="239" spans="3:30" ht="25" customHeight="1">
      <c r="C239" s="28" t="str">
        <f>IF(tbl_FlatLaser[[#This Row],[Part'#]]="", "Batch", "Part")</f>
        <v>Batch</v>
      </c>
      <c r="G239" s="28"/>
      <c r="I239" s="70" t="e">
        <f>tbl_FlatLaser[[#This Row],[Qty Complete]]/tbl_FlatLaser[[#This Row],[Qty Required]]</f>
        <v>#DIV/0!</v>
      </c>
      <c r="L239" s="31">
        <f>IF(tbl_FlatLaser[[#This Row],[Job Type]]="Batch",0,tbl_FlatLaser[[#This Row],[Qty Required]]/tbl_FlatLaser[[#This Row],[PPH]]*tbl_FlatLaser[[#This Row],['# of men]])</f>
        <v>0</v>
      </c>
      <c r="M239" s="31" t="e">
        <f>IF(tbl_FlatLaser[[#This Row],[Job Type]]="Batch",tbl_FlatLaser[[#This Row],[Batch Hours]]*tbl_FlatLaser[[#This Row],[% Complete]],tbl_FlatLaser[[#This Row],[Total hours]]*tbl_FlatLaser[[#This Row],[% Complete]])</f>
        <v>#DIV/0!</v>
      </c>
      <c r="N239" s="31"/>
      <c r="P239" s="28" t="e">
        <f>tbl_FlatLaser[[#This Row],[Mat. Qty]]*tbl_FlatLaser[[#This Row],[% Complete]]</f>
        <v>#DIV/0!</v>
      </c>
      <c r="R239" s="32" t="str">
        <f>IFERROR(tbl_FlatLaser[[#This Row],[Qty Complete]]/tbl_FlatLaser[[#This Row],[Total Hours Act]]*tbl_FlatLaser[[#This Row],['# of men Act]],"")</f>
        <v/>
      </c>
      <c r="T239"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239" s="35" t="str">
        <f>IFERROR((tbl_FlatLaser[[#This Row],[Adj. Total Hours]]+tbl_FlatLaser[[#This Row],[Est. Hours]])/(tbl_FlatLaser[[#This Row],[Total Hours Act]]+tbl_FlatLaser[[#This Row],[Act. Hours]]),"")</f>
        <v/>
      </c>
      <c r="Y239"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239" s="104" t="str">
        <f>IFERROR(tbl_FlatLaser[[#This Row],[Act. Mat. Qty]]-tbl_FlatLaser[[#This Row],[Adj. Mat. Qty]],"")</f>
        <v/>
      </c>
      <c r="AA239"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239" s="31"/>
      <c r="AD239" s="36"/>
    </row>
    <row r="240" spans="3:30" ht="25" customHeight="1">
      <c r="C240" s="28" t="str">
        <f>IF(tbl_FlatLaser[[#This Row],[Part'#]]="", "Batch", "Part")</f>
        <v>Batch</v>
      </c>
      <c r="G240" s="28"/>
      <c r="I240" s="70" t="e">
        <f>tbl_FlatLaser[[#This Row],[Qty Complete]]/tbl_FlatLaser[[#This Row],[Qty Required]]</f>
        <v>#DIV/0!</v>
      </c>
      <c r="L240" s="31">
        <f>IF(tbl_FlatLaser[[#This Row],[Job Type]]="Batch",0,tbl_FlatLaser[[#This Row],[Qty Required]]/tbl_FlatLaser[[#This Row],[PPH]]*tbl_FlatLaser[[#This Row],['# of men]])</f>
        <v>0</v>
      </c>
      <c r="M240" s="31" t="e">
        <f>IF(tbl_FlatLaser[[#This Row],[Job Type]]="Batch",tbl_FlatLaser[[#This Row],[Batch Hours]]*tbl_FlatLaser[[#This Row],[% Complete]],tbl_FlatLaser[[#This Row],[Total hours]]*tbl_FlatLaser[[#This Row],[% Complete]])</f>
        <v>#DIV/0!</v>
      </c>
      <c r="N240" s="31"/>
      <c r="P240" s="28" t="e">
        <f>tbl_FlatLaser[[#This Row],[Mat. Qty]]*tbl_FlatLaser[[#This Row],[% Complete]]</f>
        <v>#DIV/0!</v>
      </c>
      <c r="R240" s="32" t="str">
        <f>IFERROR(tbl_FlatLaser[[#This Row],[Qty Complete]]/tbl_FlatLaser[[#This Row],[Total Hours Act]]*tbl_FlatLaser[[#This Row],['# of men Act]],"")</f>
        <v/>
      </c>
      <c r="T240"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240" s="35" t="str">
        <f>IFERROR((tbl_FlatLaser[[#This Row],[Adj. Total Hours]]+tbl_FlatLaser[[#This Row],[Est. Hours]])/(tbl_FlatLaser[[#This Row],[Total Hours Act]]+tbl_FlatLaser[[#This Row],[Act. Hours]]),"")</f>
        <v/>
      </c>
      <c r="Y240"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240" s="104" t="str">
        <f>IFERROR(tbl_FlatLaser[[#This Row],[Act. Mat. Qty]]-tbl_FlatLaser[[#This Row],[Adj. Mat. Qty]],"")</f>
        <v/>
      </c>
      <c r="AA240"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240" s="31"/>
      <c r="AD240" s="36"/>
    </row>
    <row r="241" spans="3:30" ht="25" customHeight="1">
      <c r="C241" s="28" t="str">
        <f>IF(tbl_FlatLaser[[#This Row],[Part'#]]="", "Batch", "Part")</f>
        <v>Batch</v>
      </c>
      <c r="G241" s="28"/>
      <c r="I241" s="70" t="e">
        <f>tbl_FlatLaser[[#This Row],[Qty Complete]]/tbl_FlatLaser[[#This Row],[Qty Required]]</f>
        <v>#DIV/0!</v>
      </c>
      <c r="L241" s="31">
        <f>IF(tbl_FlatLaser[[#This Row],[Job Type]]="Batch",0,tbl_FlatLaser[[#This Row],[Qty Required]]/tbl_FlatLaser[[#This Row],[PPH]]*tbl_FlatLaser[[#This Row],['# of men]])</f>
        <v>0</v>
      </c>
      <c r="M241" s="31" t="e">
        <f>IF(tbl_FlatLaser[[#This Row],[Job Type]]="Batch",tbl_FlatLaser[[#This Row],[Batch Hours]]*tbl_FlatLaser[[#This Row],[% Complete]],tbl_FlatLaser[[#This Row],[Total hours]]*tbl_FlatLaser[[#This Row],[% Complete]])</f>
        <v>#DIV/0!</v>
      </c>
      <c r="N241" s="31"/>
      <c r="P241" s="28" t="e">
        <f>tbl_FlatLaser[[#This Row],[Mat. Qty]]*tbl_FlatLaser[[#This Row],[% Complete]]</f>
        <v>#DIV/0!</v>
      </c>
      <c r="R241" s="32" t="str">
        <f>IFERROR(tbl_FlatLaser[[#This Row],[Qty Complete]]/tbl_FlatLaser[[#This Row],[Total Hours Act]]*tbl_FlatLaser[[#This Row],['# of men Act]],"")</f>
        <v/>
      </c>
      <c r="T241"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241" s="35" t="str">
        <f>IFERROR((tbl_FlatLaser[[#This Row],[Adj. Total Hours]]+tbl_FlatLaser[[#This Row],[Est. Hours]])/(tbl_FlatLaser[[#This Row],[Total Hours Act]]+tbl_FlatLaser[[#This Row],[Act. Hours]]),"")</f>
        <v/>
      </c>
      <c r="Y241"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241" s="104" t="str">
        <f>IFERROR(tbl_FlatLaser[[#This Row],[Act. Mat. Qty]]-tbl_FlatLaser[[#This Row],[Adj. Mat. Qty]],"")</f>
        <v/>
      </c>
      <c r="AA241"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241" s="31"/>
      <c r="AD241" s="36"/>
    </row>
    <row r="242" spans="3:30" ht="25" customHeight="1">
      <c r="C242" s="28" t="str">
        <f>IF(tbl_FlatLaser[[#This Row],[Part'#]]="", "Batch", "Part")</f>
        <v>Batch</v>
      </c>
      <c r="G242" s="28"/>
      <c r="I242" s="70" t="e">
        <f>tbl_FlatLaser[[#This Row],[Qty Complete]]/tbl_FlatLaser[[#This Row],[Qty Required]]</f>
        <v>#DIV/0!</v>
      </c>
      <c r="L242" s="31">
        <f>IF(tbl_FlatLaser[[#This Row],[Job Type]]="Batch",0,tbl_FlatLaser[[#This Row],[Qty Required]]/tbl_FlatLaser[[#This Row],[PPH]]*tbl_FlatLaser[[#This Row],['# of men]])</f>
        <v>0</v>
      </c>
      <c r="M242" s="31" t="e">
        <f>IF(tbl_FlatLaser[[#This Row],[Job Type]]="Batch",tbl_FlatLaser[[#This Row],[Batch Hours]]*tbl_FlatLaser[[#This Row],[% Complete]],tbl_FlatLaser[[#This Row],[Total hours]]*tbl_FlatLaser[[#This Row],[% Complete]])</f>
        <v>#DIV/0!</v>
      </c>
      <c r="N242" s="31"/>
      <c r="P242" s="28" t="e">
        <f>tbl_FlatLaser[[#This Row],[Mat. Qty]]*tbl_FlatLaser[[#This Row],[% Complete]]</f>
        <v>#DIV/0!</v>
      </c>
      <c r="R242" s="32" t="str">
        <f>IFERROR(tbl_FlatLaser[[#This Row],[Qty Complete]]/tbl_FlatLaser[[#This Row],[Total Hours Act]]*tbl_FlatLaser[[#This Row],['# of men Act]],"")</f>
        <v/>
      </c>
      <c r="T242"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242" s="35" t="str">
        <f>IFERROR((tbl_FlatLaser[[#This Row],[Adj. Total Hours]]+tbl_FlatLaser[[#This Row],[Est. Hours]])/(tbl_FlatLaser[[#This Row],[Total Hours Act]]+tbl_FlatLaser[[#This Row],[Act. Hours]]),"")</f>
        <v/>
      </c>
      <c r="Y242"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242" s="104" t="str">
        <f>IFERROR(tbl_FlatLaser[[#This Row],[Act. Mat. Qty]]-tbl_FlatLaser[[#This Row],[Adj. Mat. Qty]],"")</f>
        <v/>
      </c>
      <c r="AA242"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242" s="31"/>
      <c r="AD242" s="36"/>
    </row>
    <row r="243" spans="3:30" ht="25" customHeight="1">
      <c r="C243" s="28" t="str">
        <f>IF(tbl_FlatLaser[[#This Row],[Part'#]]="", "Batch", "Part")</f>
        <v>Batch</v>
      </c>
      <c r="G243" s="28"/>
      <c r="I243" s="70" t="e">
        <f>tbl_FlatLaser[[#This Row],[Qty Complete]]/tbl_FlatLaser[[#This Row],[Qty Required]]</f>
        <v>#DIV/0!</v>
      </c>
      <c r="L243" s="31">
        <f>IF(tbl_FlatLaser[[#This Row],[Job Type]]="Batch",0,tbl_FlatLaser[[#This Row],[Qty Required]]/tbl_FlatLaser[[#This Row],[PPH]]*tbl_FlatLaser[[#This Row],['# of men]])</f>
        <v>0</v>
      </c>
      <c r="M243" s="31" t="e">
        <f>IF(tbl_FlatLaser[[#This Row],[Job Type]]="Batch",tbl_FlatLaser[[#This Row],[Batch Hours]]*tbl_FlatLaser[[#This Row],[% Complete]],tbl_FlatLaser[[#This Row],[Total hours]]*tbl_FlatLaser[[#This Row],[% Complete]])</f>
        <v>#DIV/0!</v>
      </c>
      <c r="N243" s="31"/>
      <c r="P243" s="28" t="e">
        <f>tbl_FlatLaser[[#This Row],[Mat. Qty]]*tbl_FlatLaser[[#This Row],[% Complete]]</f>
        <v>#DIV/0!</v>
      </c>
      <c r="R243" s="32" t="str">
        <f>IFERROR(tbl_FlatLaser[[#This Row],[Qty Complete]]/tbl_FlatLaser[[#This Row],[Total Hours Act]]*tbl_FlatLaser[[#This Row],['# of men Act]],"")</f>
        <v/>
      </c>
      <c r="T243"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243" s="35" t="str">
        <f>IFERROR((tbl_FlatLaser[[#This Row],[Adj. Total Hours]]+tbl_FlatLaser[[#This Row],[Est. Hours]])/(tbl_FlatLaser[[#This Row],[Total Hours Act]]+tbl_FlatLaser[[#This Row],[Act. Hours]]),"")</f>
        <v/>
      </c>
      <c r="Y243"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243" s="104" t="str">
        <f>IFERROR(tbl_FlatLaser[[#This Row],[Act. Mat. Qty]]-tbl_FlatLaser[[#This Row],[Adj. Mat. Qty]],"")</f>
        <v/>
      </c>
      <c r="AA243"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243" s="31"/>
      <c r="AD243" s="36"/>
    </row>
    <row r="244" spans="3:30" ht="25" customHeight="1">
      <c r="C244" s="28" t="str">
        <f>IF(tbl_FlatLaser[[#This Row],[Part'#]]="", "Batch", "Part")</f>
        <v>Batch</v>
      </c>
      <c r="G244" s="28"/>
      <c r="I244" s="70" t="e">
        <f>tbl_FlatLaser[[#This Row],[Qty Complete]]/tbl_FlatLaser[[#This Row],[Qty Required]]</f>
        <v>#DIV/0!</v>
      </c>
      <c r="L244" s="31">
        <f>IF(tbl_FlatLaser[[#This Row],[Job Type]]="Batch",0,tbl_FlatLaser[[#This Row],[Qty Required]]/tbl_FlatLaser[[#This Row],[PPH]]*tbl_FlatLaser[[#This Row],['# of men]])</f>
        <v>0</v>
      </c>
      <c r="M244" s="31" t="e">
        <f>IF(tbl_FlatLaser[[#This Row],[Job Type]]="Batch",tbl_FlatLaser[[#This Row],[Batch Hours]]*tbl_FlatLaser[[#This Row],[% Complete]],tbl_FlatLaser[[#This Row],[Total hours]]*tbl_FlatLaser[[#This Row],[% Complete]])</f>
        <v>#DIV/0!</v>
      </c>
      <c r="N244" s="31"/>
      <c r="P244" s="28" t="e">
        <f>tbl_FlatLaser[[#This Row],[Mat. Qty]]*tbl_FlatLaser[[#This Row],[% Complete]]</f>
        <v>#DIV/0!</v>
      </c>
      <c r="R244" s="32" t="str">
        <f>IFERROR(tbl_FlatLaser[[#This Row],[Qty Complete]]/tbl_FlatLaser[[#This Row],[Total Hours Act]]*tbl_FlatLaser[[#This Row],['# of men Act]],"")</f>
        <v/>
      </c>
      <c r="T244"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244" s="35" t="str">
        <f>IFERROR((tbl_FlatLaser[[#This Row],[Adj. Total Hours]]+tbl_FlatLaser[[#This Row],[Est. Hours]])/(tbl_FlatLaser[[#This Row],[Total Hours Act]]+tbl_FlatLaser[[#This Row],[Act. Hours]]),"")</f>
        <v/>
      </c>
      <c r="Y244"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244" s="104" t="str">
        <f>IFERROR(tbl_FlatLaser[[#This Row],[Act. Mat. Qty]]-tbl_FlatLaser[[#This Row],[Adj. Mat. Qty]],"")</f>
        <v/>
      </c>
      <c r="AA244"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244" s="31"/>
      <c r="AD244" s="36"/>
    </row>
    <row r="245" spans="3:30" ht="25" customHeight="1">
      <c r="C245" s="28" t="str">
        <f>IF(tbl_FlatLaser[[#This Row],[Part'#]]="", "Batch", "Part")</f>
        <v>Batch</v>
      </c>
      <c r="G245" s="28"/>
      <c r="I245" s="70" t="e">
        <f>tbl_FlatLaser[[#This Row],[Qty Complete]]/tbl_FlatLaser[[#This Row],[Qty Required]]</f>
        <v>#DIV/0!</v>
      </c>
      <c r="L245" s="31">
        <f>IF(tbl_FlatLaser[[#This Row],[Job Type]]="Batch",0,tbl_FlatLaser[[#This Row],[Qty Required]]/tbl_FlatLaser[[#This Row],[PPH]]*tbl_FlatLaser[[#This Row],['# of men]])</f>
        <v>0</v>
      </c>
      <c r="M245" s="31" t="e">
        <f>IF(tbl_FlatLaser[[#This Row],[Job Type]]="Batch",tbl_FlatLaser[[#This Row],[Batch Hours]]*tbl_FlatLaser[[#This Row],[% Complete]],tbl_FlatLaser[[#This Row],[Total hours]]*tbl_FlatLaser[[#This Row],[% Complete]])</f>
        <v>#DIV/0!</v>
      </c>
      <c r="N245" s="31"/>
      <c r="P245" s="28" t="e">
        <f>tbl_FlatLaser[[#This Row],[Mat. Qty]]*tbl_FlatLaser[[#This Row],[% Complete]]</f>
        <v>#DIV/0!</v>
      </c>
      <c r="R245" s="32" t="str">
        <f>IFERROR(tbl_FlatLaser[[#This Row],[Qty Complete]]/tbl_FlatLaser[[#This Row],[Total Hours Act]]*tbl_FlatLaser[[#This Row],['# of men Act]],"")</f>
        <v/>
      </c>
      <c r="T245"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245" s="35" t="str">
        <f>IFERROR((tbl_FlatLaser[[#This Row],[Adj. Total Hours]]+tbl_FlatLaser[[#This Row],[Est. Hours]])/(tbl_FlatLaser[[#This Row],[Total Hours Act]]+tbl_FlatLaser[[#This Row],[Act. Hours]]),"")</f>
        <v/>
      </c>
      <c r="Y245"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245" s="104" t="str">
        <f>IFERROR(tbl_FlatLaser[[#This Row],[Act. Mat. Qty]]-tbl_FlatLaser[[#This Row],[Adj. Mat. Qty]],"")</f>
        <v/>
      </c>
      <c r="AA245"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245" s="31"/>
      <c r="AD245" s="36"/>
    </row>
    <row r="246" spans="3:30" ht="25" customHeight="1">
      <c r="C246" s="28" t="str">
        <f>IF(tbl_FlatLaser[[#This Row],[Part'#]]="", "Batch", "Part")</f>
        <v>Batch</v>
      </c>
      <c r="G246" s="28"/>
      <c r="I246" s="70" t="e">
        <f>tbl_FlatLaser[[#This Row],[Qty Complete]]/tbl_FlatLaser[[#This Row],[Qty Required]]</f>
        <v>#DIV/0!</v>
      </c>
      <c r="L246" s="31">
        <f>IF(tbl_FlatLaser[[#This Row],[Job Type]]="Batch",0,tbl_FlatLaser[[#This Row],[Qty Required]]/tbl_FlatLaser[[#This Row],[PPH]]*tbl_FlatLaser[[#This Row],['# of men]])</f>
        <v>0</v>
      </c>
      <c r="M246" s="31" t="e">
        <f>IF(tbl_FlatLaser[[#This Row],[Job Type]]="Batch",tbl_FlatLaser[[#This Row],[Batch Hours]]*tbl_FlatLaser[[#This Row],[% Complete]],tbl_FlatLaser[[#This Row],[Total hours]]*tbl_FlatLaser[[#This Row],[% Complete]])</f>
        <v>#DIV/0!</v>
      </c>
      <c r="N246" s="31"/>
      <c r="P246" s="28" t="e">
        <f>tbl_FlatLaser[[#This Row],[Mat. Qty]]*tbl_FlatLaser[[#This Row],[% Complete]]</f>
        <v>#DIV/0!</v>
      </c>
      <c r="R246" s="32" t="str">
        <f>IFERROR(tbl_FlatLaser[[#This Row],[Qty Complete]]/tbl_FlatLaser[[#This Row],[Total Hours Act]]*tbl_FlatLaser[[#This Row],['# of men Act]],"")</f>
        <v/>
      </c>
      <c r="T246"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246" s="35" t="str">
        <f>IFERROR((tbl_FlatLaser[[#This Row],[Adj. Total Hours]]+tbl_FlatLaser[[#This Row],[Est. Hours]])/(tbl_FlatLaser[[#This Row],[Total Hours Act]]+tbl_FlatLaser[[#This Row],[Act. Hours]]),"")</f>
        <v/>
      </c>
      <c r="Y246"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246" s="104" t="str">
        <f>IFERROR(tbl_FlatLaser[[#This Row],[Act. Mat. Qty]]-tbl_FlatLaser[[#This Row],[Adj. Mat. Qty]],"")</f>
        <v/>
      </c>
      <c r="AA246"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246" s="31"/>
      <c r="AD246" s="36"/>
    </row>
    <row r="247" spans="3:30" ht="25" customHeight="1">
      <c r="C247" s="28" t="str">
        <f>IF(tbl_FlatLaser[[#This Row],[Part'#]]="", "Batch", "Part")</f>
        <v>Batch</v>
      </c>
      <c r="G247" s="28"/>
      <c r="I247" s="70" t="e">
        <f>tbl_FlatLaser[[#This Row],[Qty Complete]]/tbl_FlatLaser[[#This Row],[Qty Required]]</f>
        <v>#DIV/0!</v>
      </c>
      <c r="L247" s="31">
        <f>IF(tbl_FlatLaser[[#This Row],[Job Type]]="Batch",0,tbl_FlatLaser[[#This Row],[Qty Required]]/tbl_FlatLaser[[#This Row],[PPH]]*tbl_FlatLaser[[#This Row],['# of men]])</f>
        <v>0</v>
      </c>
      <c r="M247" s="31" t="e">
        <f>IF(tbl_FlatLaser[[#This Row],[Job Type]]="Batch",tbl_FlatLaser[[#This Row],[Batch Hours]]*tbl_FlatLaser[[#This Row],[% Complete]],tbl_FlatLaser[[#This Row],[Total hours]]*tbl_FlatLaser[[#This Row],[% Complete]])</f>
        <v>#DIV/0!</v>
      </c>
      <c r="N247" s="31"/>
      <c r="P247" s="28" t="e">
        <f>tbl_FlatLaser[[#This Row],[Mat. Qty]]*tbl_FlatLaser[[#This Row],[% Complete]]</f>
        <v>#DIV/0!</v>
      </c>
      <c r="R247" s="32" t="str">
        <f>IFERROR(tbl_FlatLaser[[#This Row],[Qty Complete]]/tbl_FlatLaser[[#This Row],[Total Hours Act]]*tbl_FlatLaser[[#This Row],['# of men Act]],"")</f>
        <v/>
      </c>
      <c r="T247"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247" s="35" t="str">
        <f>IFERROR((tbl_FlatLaser[[#This Row],[Adj. Total Hours]]+tbl_FlatLaser[[#This Row],[Est. Hours]])/(tbl_FlatLaser[[#This Row],[Total Hours Act]]+tbl_FlatLaser[[#This Row],[Act. Hours]]),"")</f>
        <v/>
      </c>
      <c r="Y247"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247" s="104" t="str">
        <f>IFERROR(tbl_FlatLaser[[#This Row],[Act. Mat. Qty]]-tbl_FlatLaser[[#This Row],[Adj. Mat. Qty]],"")</f>
        <v/>
      </c>
      <c r="AA247"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247" s="31"/>
      <c r="AD247" s="36"/>
    </row>
    <row r="248" spans="3:30" ht="25" customHeight="1">
      <c r="C248" s="28" t="str">
        <f>IF(tbl_FlatLaser[[#This Row],[Part'#]]="", "Batch", "Part")</f>
        <v>Batch</v>
      </c>
      <c r="G248" s="28"/>
      <c r="I248" s="70" t="e">
        <f>tbl_FlatLaser[[#This Row],[Qty Complete]]/tbl_FlatLaser[[#This Row],[Qty Required]]</f>
        <v>#DIV/0!</v>
      </c>
      <c r="L248" s="31">
        <f>IF(tbl_FlatLaser[[#This Row],[Job Type]]="Batch",0,tbl_FlatLaser[[#This Row],[Qty Required]]/tbl_FlatLaser[[#This Row],[PPH]]*tbl_FlatLaser[[#This Row],['# of men]])</f>
        <v>0</v>
      </c>
      <c r="M248" s="31" t="e">
        <f>IF(tbl_FlatLaser[[#This Row],[Job Type]]="Batch",tbl_FlatLaser[[#This Row],[Batch Hours]]*tbl_FlatLaser[[#This Row],[% Complete]],tbl_FlatLaser[[#This Row],[Total hours]]*tbl_FlatLaser[[#This Row],[% Complete]])</f>
        <v>#DIV/0!</v>
      </c>
      <c r="N248" s="31"/>
      <c r="P248" s="28" t="e">
        <f>tbl_FlatLaser[[#This Row],[Mat. Qty]]*tbl_FlatLaser[[#This Row],[% Complete]]</f>
        <v>#DIV/0!</v>
      </c>
      <c r="R248" s="32" t="str">
        <f>IFERROR(tbl_FlatLaser[[#This Row],[Qty Complete]]/tbl_FlatLaser[[#This Row],[Total Hours Act]]*tbl_FlatLaser[[#This Row],['# of men Act]],"")</f>
        <v/>
      </c>
      <c r="T248"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248" s="35" t="str">
        <f>IFERROR((tbl_FlatLaser[[#This Row],[Adj. Total Hours]]+tbl_FlatLaser[[#This Row],[Est. Hours]])/(tbl_FlatLaser[[#This Row],[Total Hours Act]]+tbl_FlatLaser[[#This Row],[Act. Hours]]),"")</f>
        <v/>
      </c>
      <c r="Y248"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248" s="104" t="str">
        <f>IFERROR(tbl_FlatLaser[[#This Row],[Act. Mat. Qty]]-tbl_FlatLaser[[#This Row],[Adj. Mat. Qty]],"")</f>
        <v/>
      </c>
      <c r="AA248"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248" s="31"/>
      <c r="AD248" s="36"/>
    </row>
    <row r="249" spans="3:30" ht="25" customHeight="1">
      <c r="C249" s="28" t="str">
        <f>IF(tbl_FlatLaser[[#This Row],[Part'#]]="", "Batch", "Part")</f>
        <v>Batch</v>
      </c>
      <c r="G249" s="28"/>
      <c r="I249" s="70" t="e">
        <f>tbl_FlatLaser[[#This Row],[Qty Complete]]/tbl_FlatLaser[[#This Row],[Qty Required]]</f>
        <v>#DIV/0!</v>
      </c>
      <c r="L249" s="31">
        <f>IF(tbl_FlatLaser[[#This Row],[Job Type]]="Batch",0,tbl_FlatLaser[[#This Row],[Qty Required]]/tbl_FlatLaser[[#This Row],[PPH]]*tbl_FlatLaser[[#This Row],['# of men]])</f>
        <v>0</v>
      </c>
      <c r="M249" s="31" t="e">
        <f>IF(tbl_FlatLaser[[#This Row],[Job Type]]="Batch",tbl_FlatLaser[[#This Row],[Batch Hours]]*tbl_FlatLaser[[#This Row],[% Complete]],tbl_FlatLaser[[#This Row],[Total hours]]*tbl_FlatLaser[[#This Row],[% Complete]])</f>
        <v>#DIV/0!</v>
      </c>
      <c r="N249" s="31"/>
      <c r="P249" s="28" t="e">
        <f>tbl_FlatLaser[[#This Row],[Mat. Qty]]*tbl_FlatLaser[[#This Row],[% Complete]]</f>
        <v>#DIV/0!</v>
      </c>
      <c r="R249" s="32" t="str">
        <f>IFERROR(tbl_FlatLaser[[#This Row],[Qty Complete]]/tbl_FlatLaser[[#This Row],[Total Hours Act]]*tbl_FlatLaser[[#This Row],['# of men Act]],"")</f>
        <v/>
      </c>
      <c r="T249"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249" s="35" t="str">
        <f>IFERROR((tbl_FlatLaser[[#This Row],[Adj. Total Hours]]+tbl_FlatLaser[[#This Row],[Est. Hours]])/(tbl_FlatLaser[[#This Row],[Total Hours Act]]+tbl_FlatLaser[[#This Row],[Act. Hours]]),"")</f>
        <v/>
      </c>
      <c r="Y249"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249" s="104" t="str">
        <f>IFERROR(tbl_FlatLaser[[#This Row],[Act. Mat. Qty]]-tbl_FlatLaser[[#This Row],[Adj. Mat. Qty]],"")</f>
        <v/>
      </c>
      <c r="AA249"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249" s="31"/>
      <c r="AD249" s="36"/>
    </row>
    <row r="250" spans="3:30" ht="25" customHeight="1">
      <c r="C250" s="28" t="str">
        <f>IF(tbl_FlatLaser[[#This Row],[Part'#]]="", "Batch", "Part")</f>
        <v>Batch</v>
      </c>
      <c r="G250" s="28"/>
      <c r="I250" s="70" t="e">
        <f>tbl_FlatLaser[[#This Row],[Qty Complete]]/tbl_FlatLaser[[#This Row],[Qty Required]]</f>
        <v>#DIV/0!</v>
      </c>
      <c r="L250" s="31">
        <f>IF(tbl_FlatLaser[[#This Row],[Job Type]]="Batch",0,tbl_FlatLaser[[#This Row],[Qty Required]]/tbl_FlatLaser[[#This Row],[PPH]]*tbl_FlatLaser[[#This Row],['# of men]])</f>
        <v>0</v>
      </c>
      <c r="M250" s="31" t="e">
        <f>IF(tbl_FlatLaser[[#This Row],[Job Type]]="Batch",tbl_FlatLaser[[#This Row],[Batch Hours]]*tbl_FlatLaser[[#This Row],[% Complete]],tbl_FlatLaser[[#This Row],[Total hours]]*tbl_FlatLaser[[#This Row],[% Complete]])</f>
        <v>#DIV/0!</v>
      </c>
      <c r="N250" s="31"/>
      <c r="P250" s="28" t="e">
        <f>tbl_FlatLaser[[#This Row],[Mat. Qty]]*tbl_FlatLaser[[#This Row],[% Complete]]</f>
        <v>#DIV/0!</v>
      </c>
      <c r="R250" s="32" t="str">
        <f>IFERROR(tbl_FlatLaser[[#This Row],[Qty Complete]]/tbl_FlatLaser[[#This Row],[Total Hours Act]]*tbl_FlatLaser[[#This Row],['# of men Act]],"")</f>
        <v/>
      </c>
      <c r="T250" s="33">
        <f>(MOD(tbl_FlatLaser[[#This Row],[End Time]]-tbl_FlatLaser[[#This Row],[Start Time]],1)*24*tbl_FlatLaser[[#This Row],['# of men Act]])-
(
IF(AND(tbl_FlatLaser[[#This Row],[Start Time]]&lt;=Data!$B$2+(Data!$B$2&lt;tbl_FlatLaser[[#This Row],[Start Time]]),tbl_FlatLaser[[#This Row],[Start Time]]+MOD(tbl_FlatLaser[[#This Row],[End Time]]-tbl_FlatLaser[[#This Row],[Start Time]],1)&gt;=Data!$C$2+(Data!$C$2&lt;tbl_FlatLaser[[#This Row],[Start Time]])),0.5*tbl_FlatLaser[[#This Row],['# of men Act]],0)
+
IF(AND(tbl_FlatLaser[[#This Row],[Start Time]]&lt;=Data!$B$3+(Data!$B$3&lt;tbl_FlatLaser[[#This Row],[Start Time]]),tbl_FlatLaser[[#This Row],[Start Time]]+MOD(tbl_FlatLaser[[#This Row],[End Time]]-tbl_FlatLaser[[#This Row],[Start Time]],1)&gt;=Data!$C$3+(Data!$C$3&lt;tbl_FlatLaser[[#This Row],[Start Time]])),0.5*tbl_FlatLaser[[#This Row],['# of men Act]],0)
)</f>
        <v>0</v>
      </c>
      <c r="X250" s="35" t="str">
        <f>IFERROR((tbl_FlatLaser[[#This Row],[Adj. Total Hours]]+tbl_FlatLaser[[#This Row],[Est. Hours]])/(tbl_FlatLaser[[#This Row],[Total Hours Act]]+tbl_FlatLaser[[#This Row],[Act. Hours]]),"")</f>
        <v/>
      </c>
      <c r="Y250" s="102" t="str">
        <f>IF(AND(SUMIFS(tbl_FlatLaser[% Complete],tbl_FlatLaser[Job'#],tbl_FlatLaser[[#This Row],[Job'#]])&gt;=1,COUNTIF(INDEX(tbl_FlatLaser[Job'#],1):tbl_FlatLaser[[#This Row],[Job'#]],tbl_FlatLaser[[#This Row],[Job'#]])=COUNTIF(tbl_FlatLaser[Job'#],tbl_FlatLaser[[#This Row],[Job'#]])),IFERROR((SUMIFS(tbl_FlatLaser[Adj. Total Hours],tbl_FlatLaser[Job'#],tbl_FlatLaser[[#This Row],[Job'#]])+SUMIFS(tbl_FlatLaser[Est. Hours],tbl_FlatLaser[Job'#],tbl_FlatLaser[[#This Row],[Job'#]]))/(SUMIFS(tbl_FlatLaser[Total Hours Act],tbl_FlatLaser[Job'#],tbl_FlatLaser[[#This Row],[Job'#]])+SUMIFS(tbl_FlatLaser[Act. Hours],tbl_FlatLaser[Job'#],tbl_FlatLaser[[#This Row],[Job'#]])),""),"")</f>
        <v/>
      </c>
      <c r="Z250" s="104" t="str">
        <f>IFERROR(tbl_FlatLaser[[#This Row],[Act. Mat. Qty]]-tbl_FlatLaser[[#This Row],[Adj. Mat. Qty]],"")</f>
        <v/>
      </c>
      <c r="AA250" s="105" t="str">
        <f>IF(AND(SUMIFS(tbl_FlatLaser[% Complete],tbl_FlatLaser[Job'#],tbl_FlatLaser[[#This Row],[Job'#]])&gt;=1,COUNTIF(INDEX(tbl_FlatLaser[Job'#],1):tbl_FlatLaser[[#This Row],[Job'#]],tbl_FlatLaser[[#This Row],[Job'#]])=COUNTIF(tbl_FlatLaser[Job'#],tbl_FlatLaser[[#This Row],[Job'#]])),(SUMIFS(tbl_FlatLaser[Act. Mat. Qty],tbl_FlatLaser[Job'#],tbl_FlatLaser[[#This Row],[Job'#]]))-(SUMIFS(tbl_FlatLaser[Adj. Mat. Qty],tbl_FlatLaser[Job'#],tbl_FlatLaser[[#This Row],[Job'#]])),"")</f>
        <v/>
      </c>
      <c r="AC250" s="31"/>
      <c r="AD250" s="36"/>
    </row>
    <row r="251" spans="3:30" ht="25" customHeight="1">
      <c r="L251" s="31"/>
      <c r="M251" s="31"/>
      <c r="N251" s="31"/>
      <c r="R251" s="32"/>
      <c r="X251" s="35"/>
      <c r="Y251" s="102"/>
      <c r="Z251" s="104"/>
      <c r="AA251" s="105"/>
    </row>
    <row r="252" spans="3:30" ht="25" customHeight="1">
      <c r="L252" s="31"/>
      <c r="M252" s="31"/>
      <c r="N252" s="31"/>
      <c r="R252" s="32"/>
      <c r="X252" s="35"/>
      <c r="Y252" s="102"/>
      <c r="Z252" s="104"/>
      <c r="AA252" s="105"/>
    </row>
    <row r="253" spans="3:30" ht="25" customHeight="1">
      <c r="L253" s="31"/>
      <c r="M253" s="31"/>
      <c r="N253" s="31"/>
      <c r="R253" s="32"/>
      <c r="X253" s="35"/>
      <c r="Y253" s="102"/>
      <c r="Z253" s="104"/>
      <c r="AA253" s="105"/>
    </row>
    <row r="254" spans="3:30" ht="25" customHeight="1">
      <c r="L254" s="31"/>
      <c r="M254" s="31"/>
      <c r="N254" s="31"/>
      <c r="R254" s="32"/>
      <c r="X254" s="35"/>
      <c r="Y254" s="102"/>
      <c r="Z254" s="104"/>
      <c r="AA254" s="105"/>
    </row>
    <row r="255" spans="3:30" ht="25" customHeight="1">
      <c r="L255" s="31"/>
      <c r="M255" s="31"/>
      <c r="N255" s="31"/>
      <c r="R255" s="32"/>
      <c r="X255" s="35"/>
      <c r="Y255" s="102"/>
      <c r="Z255" s="104"/>
      <c r="AA255" s="105"/>
    </row>
    <row r="256" spans="3:30" ht="25" customHeight="1">
      <c r="L256" s="31"/>
      <c r="M256" s="31"/>
      <c r="N256" s="31"/>
      <c r="R256" s="32"/>
      <c r="X256" s="35"/>
      <c r="Y256" s="102"/>
      <c r="Z256" s="104"/>
      <c r="AA256" s="105"/>
    </row>
    <row r="257" spans="12:27" ht="25" customHeight="1">
      <c r="L257" s="31"/>
      <c r="M257" s="31"/>
      <c r="N257" s="31"/>
      <c r="R257" s="32"/>
      <c r="X257" s="35"/>
      <c r="Y257" s="102"/>
      <c r="Z257" s="104"/>
      <c r="AA257" s="105"/>
    </row>
    <row r="258" spans="12:27" ht="25" customHeight="1">
      <c r="L258" s="31"/>
      <c r="M258" s="31"/>
      <c r="N258" s="31"/>
      <c r="R258" s="32"/>
      <c r="X258" s="35"/>
      <c r="Y258" s="102"/>
      <c r="Z258" s="104"/>
      <c r="AA258" s="105"/>
    </row>
    <row r="259" spans="12:27" ht="25" customHeight="1">
      <c r="L259" s="31"/>
      <c r="M259" s="31"/>
      <c r="N259" s="31"/>
      <c r="R259" s="32"/>
      <c r="X259" s="35"/>
      <c r="Y259" s="102"/>
      <c r="Z259" s="104"/>
      <c r="AA259" s="105"/>
    </row>
    <row r="260" spans="12:27" ht="25" customHeight="1">
      <c r="L260" s="31"/>
      <c r="M260" s="31"/>
      <c r="N260" s="31"/>
      <c r="R260" s="32"/>
      <c r="X260" s="35"/>
      <c r="Y260" s="102"/>
      <c r="Z260" s="104"/>
      <c r="AA260" s="105"/>
    </row>
    <row r="261" spans="12:27" ht="25" customHeight="1">
      <c r="L261" s="31"/>
      <c r="M261" s="31"/>
      <c r="N261" s="31"/>
      <c r="R261" s="32"/>
      <c r="X261" s="35"/>
      <c r="Y261" s="102"/>
      <c r="Z261" s="104"/>
      <c r="AA261" s="105"/>
    </row>
    <row r="262" spans="12:27" ht="25" customHeight="1">
      <c r="L262" s="31"/>
      <c r="M262" s="31"/>
      <c r="N262" s="31"/>
      <c r="R262" s="32"/>
      <c r="X262" s="35"/>
      <c r="Y262" s="102"/>
      <c r="Z262" s="104"/>
      <c r="AA262" s="105"/>
    </row>
    <row r="263" spans="12:27" ht="25" customHeight="1">
      <c r="L263" s="31"/>
      <c r="M263" s="31"/>
      <c r="N263" s="31"/>
      <c r="R263" s="32"/>
      <c r="X263" s="35"/>
      <c r="Y263" s="102"/>
      <c r="Z263" s="104"/>
      <c r="AA263" s="105"/>
    </row>
    <row r="264" spans="12:27" ht="25" customHeight="1">
      <c r="L264" s="31"/>
      <c r="M264" s="31"/>
      <c r="N264" s="31"/>
      <c r="R264" s="32"/>
      <c r="X264" s="35"/>
      <c r="Y264" s="102"/>
      <c r="Z264" s="104"/>
      <c r="AA264" s="105"/>
    </row>
    <row r="265" spans="12:27" ht="25" customHeight="1">
      <c r="L265" s="31"/>
      <c r="M265" s="31"/>
      <c r="N265" s="31"/>
      <c r="R265" s="32"/>
      <c r="X265" s="35"/>
      <c r="Y265" s="102"/>
      <c r="Z265" s="104"/>
      <c r="AA265" s="105"/>
    </row>
    <row r="266" spans="12:27" ht="25" customHeight="1">
      <c r="L266" s="31"/>
      <c r="M266" s="31"/>
      <c r="N266" s="31"/>
      <c r="R266" s="32"/>
      <c r="X266" s="35"/>
      <c r="Y266" s="102"/>
      <c r="Z266" s="104"/>
      <c r="AA266" s="105"/>
    </row>
    <row r="267" spans="12:27" ht="25" customHeight="1">
      <c r="L267" s="31"/>
      <c r="M267" s="31"/>
      <c r="N267" s="31"/>
      <c r="R267" s="32"/>
      <c r="X267" s="35"/>
      <c r="Y267" s="102"/>
      <c r="Z267" s="104"/>
      <c r="AA267" s="105"/>
    </row>
    <row r="268" spans="12:27" ht="25" customHeight="1">
      <c r="L268" s="31"/>
      <c r="M268" s="31"/>
      <c r="N268" s="31"/>
      <c r="R268" s="32"/>
      <c r="X268" s="35"/>
      <c r="Y268" s="102"/>
      <c r="Z268" s="104"/>
      <c r="AA268" s="105"/>
    </row>
    <row r="269" spans="12:27" ht="25" customHeight="1">
      <c r="L269" s="31"/>
      <c r="M269" s="31"/>
      <c r="N269" s="31"/>
      <c r="R269" s="32"/>
      <c r="X269" s="35"/>
      <c r="Y269" s="102"/>
      <c r="Z269" s="104"/>
      <c r="AA269" s="105"/>
    </row>
    <row r="270" spans="12:27" ht="25" customHeight="1">
      <c r="L270" s="31"/>
      <c r="M270" s="31"/>
      <c r="N270" s="31"/>
      <c r="R270" s="32"/>
      <c r="X270" s="35"/>
      <c r="Y270" s="102"/>
      <c r="Z270" s="104"/>
      <c r="AA270" s="105"/>
    </row>
    <row r="271" spans="12:27" ht="25" customHeight="1">
      <c r="L271" s="31"/>
      <c r="M271" s="31"/>
      <c r="N271" s="31"/>
      <c r="R271" s="32"/>
      <c r="X271" s="35"/>
      <c r="Y271" s="102"/>
      <c r="Z271" s="104"/>
      <c r="AA271" s="105"/>
    </row>
    <row r="272" spans="12:27" ht="25" customHeight="1">
      <c r="L272" s="31"/>
      <c r="M272" s="31"/>
      <c r="N272" s="31"/>
      <c r="R272" s="32"/>
      <c r="X272" s="35"/>
      <c r="Y272" s="102"/>
      <c r="Z272" s="104"/>
      <c r="AA272" s="105"/>
    </row>
    <row r="273" spans="12:27" ht="25" customHeight="1">
      <c r="L273" s="31"/>
      <c r="M273" s="31"/>
      <c r="N273" s="31"/>
      <c r="R273" s="32"/>
      <c r="X273" s="35"/>
      <c r="Y273" s="102"/>
      <c r="Z273" s="104"/>
      <c r="AA273" s="105"/>
    </row>
    <row r="274" spans="12:27" ht="25" customHeight="1">
      <c r="L274" s="31"/>
      <c r="M274" s="31"/>
      <c r="N274" s="31"/>
      <c r="R274" s="32"/>
      <c r="X274" s="35"/>
      <c r="Y274" s="102"/>
      <c r="Z274" s="104"/>
      <c r="AA274" s="105"/>
    </row>
    <row r="275" spans="12:27" ht="25" customHeight="1">
      <c r="L275" s="31"/>
      <c r="M275" s="31"/>
      <c r="N275" s="31"/>
      <c r="R275" s="32"/>
      <c r="X275" s="35"/>
      <c r="Y275" s="102"/>
      <c r="Z275" s="104"/>
      <c r="AA275" s="105"/>
    </row>
    <row r="276" spans="12:27" ht="25" customHeight="1">
      <c r="L276" s="31"/>
      <c r="M276" s="31"/>
      <c r="N276" s="31"/>
      <c r="R276" s="32"/>
      <c r="X276" s="35"/>
      <c r="Y276" s="102"/>
      <c r="Z276" s="104"/>
      <c r="AA276" s="105"/>
    </row>
    <row r="277" spans="12:27" ht="25" customHeight="1">
      <c r="L277" s="31"/>
      <c r="M277" s="31"/>
      <c r="N277" s="31"/>
      <c r="R277" s="32"/>
      <c r="X277" s="35"/>
      <c r="Y277" s="102"/>
      <c r="Z277" s="104"/>
      <c r="AA277" s="105"/>
    </row>
    <row r="278" spans="12:27" ht="25" customHeight="1">
      <c r="L278" s="31"/>
      <c r="M278" s="31"/>
      <c r="N278" s="31"/>
      <c r="R278" s="32"/>
      <c r="X278" s="35"/>
      <c r="Y278" s="102"/>
      <c r="Z278" s="104"/>
      <c r="AA278" s="105"/>
    </row>
    <row r="279" spans="12:27" ht="25" customHeight="1">
      <c r="L279" s="31"/>
      <c r="M279" s="31"/>
      <c r="N279" s="31"/>
      <c r="R279" s="32"/>
      <c r="X279" s="35"/>
      <c r="Y279" s="102"/>
      <c r="Z279" s="104"/>
      <c r="AA279" s="105"/>
    </row>
    <row r="280" spans="12:27" ht="25" customHeight="1">
      <c r="L280" s="31"/>
      <c r="M280" s="31"/>
      <c r="N280" s="31"/>
      <c r="R280" s="32"/>
      <c r="X280" s="35"/>
      <c r="Y280" s="102"/>
      <c r="Z280" s="104"/>
      <c r="AA280" s="105"/>
    </row>
    <row r="281" spans="12:27" ht="25" customHeight="1">
      <c r="L281" s="31"/>
      <c r="M281" s="31"/>
      <c r="N281" s="31"/>
      <c r="R281" s="32"/>
      <c r="X281" s="35"/>
      <c r="Y281" s="102"/>
      <c r="Z281" s="104"/>
      <c r="AA281" s="105"/>
    </row>
    <row r="282" spans="12:27" ht="25" customHeight="1">
      <c r="L282" s="31"/>
      <c r="M282" s="31"/>
      <c r="N282" s="31"/>
      <c r="R282" s="32"/>
      <c r="X282" s="35"/>
      <c r="Y282" s="102"/>
      <c r="Z282" s="104"/>
      <c r="AA282" s="105"/>
    </row>
    <row r="283" spans="12:27" ht="25" customHeight="1">
      <c r="L283" s="31"/>
      <c r="M283" s="31"/>
      <c r="N283" s="31"/>
      <c r="R283" s="32"/>
      <c r="X283" s="35"/>
      <c r="Y283" s="102"/>
      <c r="Z283" s="104"/>
      <c r="AA283" s="105"/>
    </row>
    <row r="284" spans="12:27" ht="25" customHeight="1">
      <c r="L284" s="31"/>
      <c r="M284" s="31"/>
      <c r="N284" s="31"/>
      <c r="R284" s="32"/>
      <c r="X284" s="35"/>
      <c r="Y284" s="102"/>
      <c r="Z284" s="104"/>
      <c r="AA284" s="105"/>
    </row>
    <row r="285" spans="12:27" ht="25" customHeight="1">
      <c r="L285" s="31"/>
      <c r="M285" s="31"/>
      <c r="N285" s="31"/>
      <c r="R285" s="32"/>
      <c r="X285" s="35"/>
      <c r="Y285" s="102"/>
      <c r="Z285" s="104"/>
      <c r="AA285" s="105"/>
    </row>
    <row r="286" spans="12:27" ht="25" customHeight="1">
      <c r="L286" s="31"/>
      <c r="M286" s="31"/>
      <c r="N286" s="31"/>
      <c r="R286" s="32"/>
      <c r="X286" s="35"/>
      <c r="Y286" s="102"/>
      <c r="Z286" s="104"/>
      <c r="AA286" s="105"/>
    </row>
    <row r="287" spans="12:27" ht="25" customHeight="1">
      <c r="L287" s="31"/>
      <c r="M287" s="31"/>
      <c r="N287" s="31"/>
      <c r="R287" s="32"/>
      <c r="X287" s="35"/>
      <c r="Y287" s="102"/>
      <c r="Z287" s="104"/>
      <c r="AA287" s="105"/>
    </row>
    <row r="288" spans="12:27" ht="25" customHeight="1">
      <c r="L288" s="31"/>
      <c r="M288" s="31"/>
      <c r="N288" s="31"/>
      <c r="R288" s="32"/>
      <c r="X288" s="35"/>
      <c r="Y288" s="102"/>
      <c r="Z288" s="104"/>
      <c r="AA288" s="105"/>
    </row>
    <row r="289" spans="12:27" ht="25" customHeight="1">
      <c r="L289" s="31"/>
      <c r="M289" s="31"/>
      <c r="N289" s="31"/>
      <c r="R289" s="32"/>
      <c r="X289" s="35"/>
      <c r="Y289" s="102"/>
      <c r="Z289" s="104"/>
      <c r="AA289" s="105"/>
    </row>
    <row r="290" spans="12:27" ht="25" customHeight="1">
      <c r="L290" s="31"/>
      <c r="M290" s="31"/>
      <c r="N290" s="31"/>
      <c r="R290" s="32"/>
      <c r="X290" s="35"/>
      <c r="Y290" s="102"/>
      <c r="Z290" s="104"/>
      <c r="AA290" s="105"/>
    </row>
    <row r="291" spans="12:27" ht="25" customHeight="1">
      <c r="L291" s="31"/>
      <c r="M291" s="31"/>
      <c r="N291" s="31"/>
      <c r="R291" s="32"/>
      <c r="X291" s="35"/>
      <c r="Y291" s="102"/>
      <c r="Z291" s="104"/>
      <c r="AA291" s="105"/>
    </row>
    <row r="292" spans="12:27" ht="25" customHeight="1">
      <c r="L292" s="31"/>
      <c r="M292" s="31"/>
      <c r="N292" s="31"/>
      <c r="R292" s="32"/>
      <c r="X292" s="35"/>
      <c r="Y292" s="102"/>
      <c r="Z292" s="104"/>
      <c r="AA292" s="105"/>
    </row>
    <row r="293" spans="12:27" ht="25" customHeight="1">
      <c r="L293" s="31"/>
      <c r="M293" s="31"/>
      <c r="N293" s="31"/>
      <c r="R293" s="32"/>
      <c r="X293" s="35"/>
      <c r="Y293" s="102"/>
      <c r="Z293" s="104"/>
      <c r="AA293" s="105"/>
    </row>
    <row r="294" spans="12:27" ht="25" customHeight="1">
      <c r="L294" s="31"/>
      <c r="M294" s="31"/>
      <c r="N294" s="31"/>
      <c r="R294" s="32"/>
      <c r="X294" s="35"/>
      <c r="Y294" s="102"/>
      <c r="Z294" s="104"/>
      <c r="AA294" s="105"/>
    </row>
    <row r="295" spans="12:27" ht="25" customHeight="1">
      <c r="L295" s="31"/>
      <c r="M295" s="31"/>
      <c r="N295" s="31"/>
      <c r="R295" s="32"/>
      <c r="X295" s="35"/>
      <c r="Y295" s="102"/>
      <c r="Z295" s="104"/>
      <c r="AA295" s="105"/>
    </row>
    <row r="296" spans="12:27" ht="25" customHeight="1">
      <c r="L296" s="31"/>
      <c r="M296" s="31"/>
      <c r="N296" s="31"/>
      <c r="R296" s="32"/>
      <c r="X296" s="35"/>
      <c r="Y296" s="102"/>
      <c r="Z296" s="104"/>
      <c r="AA296" s="105"/>
    </row>
    <row r="297" spans="12:27" ht="25" customHeight="1">
      <c r="L297" s="31"/>
      <c r="M297" s="31"/>
      <c r="N297" s="31"/>
      <c r="R297" s="32"/>
      <c r="X297" s="35"/>
      <c r="Y297" s="102"/>
      <c r="Z297" s="104"/>
      <c r="AA297" s="105"/>
    </row>
    <row r="298" spans="12:27" ht="25" customHeight="1">
      <c r="L298" s="31"/>
      <c r="M298" s="31"/>
      <c r="N298" s="31"/>
      <c r="R298" s="32"/>
      <c r="X298" s="35"/>
      <c r="Y298" s="102"/>
      <c r="Z298" s="104"/>
      <c r="AA298" s="105"/>
    </row>
    <row r="299" spans="12:27" ht="25" customHeight="1">
      <c r="L299" s="31"/>
      <c r="M299" s="31"/>
      <c r="N299" s="31"/>
      <c r="R299" s="32"/>
      <c r="X299" s="35"/>
      <c r="Y299" s="102"/>
      <c r="Z299" s="104"/>
      <c r="AA299" s="105"/>
    </row>
    <row r="300" spans="12:27" ht="25" customHeight="1">
      <c r="L300" s="31"/>
      <c r="M300" s="31"/>
      <c r="N300" s="31"/>
      <c r="R300" s="32"/>
      <c r="X300" s="35"/>
      <c r="Y300" s="102"/>
      <c r="Z300" s="104"/>
      <c r="AA300" s="105"/>
    </row>
    <row r="301" spans="12:27" ht="25" customHeight="1">
      <c r="L301" s="31"/>
      <c r="M301" s="31"/>
      <c r="N301" s="31"/>
      <c r="R301" s="32"/>
      <c r="X301" s="35"/>
      <c r="Y301" s="102"/>
      <c r="Z301" s="104"/>
      <c r="AA301" s="105"/>
    </row>
    <row r="302" spans="12:27" ht="25" customHeight="1">
      <c r="L302" s="31"/>
      <c r="M302" s="31"/>
      <c r="N302" s="31"/>
      <c r="R302" s="32"/>
      <c r="X302" s="35"/>
      <c r="Y302" s="102"/>
      <c r="Z302" s="104"/>
      <c r="AA302" s="105"/>
    </row>
    <row r="303" spans="12:27" ht="25" customHeight="1">
      <c r="L303" s="31"/>
      <c r="M303" s="31"/>
      <c r="N303" s="31"/>
      <c r="R303" s="32"/>
      <c r="X303" s="35"/>
      <c r="Y303" s="102"/>
      <c r="Z303" s="104"/>
      <c r="AA303" s="105"/>
    </row>
    <row r="304" spans="12:27" ht="25" customHeight="1">
      <c r="L304" s="31"/>
      <c r="M304" s="31"/>
      <c r="N304" s="31"/>
      <c r="R304" s="32"/>
      <c r="X304" s="35"/>
      <c r="Y304" s="102"/>
      <c r="Z304" s="104"/>
      <c r="AA304" s="105"/>
    </row>
    <row r="305" spans="12:27" ht="25" customHeight="1">
      <c r="L305" s="31"/>
      <c r="M305" s="31"/>
      <c r="N305" s="31"/>
      <c r="R305" s="32"/>
      <c r="X305" s="35"/>
      <c r="Y305" s="102"/>
      <c r="Z305" s="104"/>
      <c r="AA305" s="105"/>
    </row>
    <row r="306" spans="12:27" ht="25" customHeight="1">
      <c r="L306" s="31"/>
      <c r="M306" s="31"/>
      <c r="N306" s="31"/>
      <c r="R306" s="32"/>
      <c r="X306" s="35"/>
      <c r="Y306" s="102"/>
      <c r="Z306" s="104"/>
      <c r="AA306" s="105"/>
    </row>
    <row r="307" spans="12:27" ht="25" customHeight="1">
      <c r="L307" s="31"/>
      <c r="M307" s="31"/>
      <c r="N307" s="31"/>
      <c r="R307" s="32"/>
      <c r="X307" s="35"/>
      <c r="Y307" s="102"/>
      <c r="Z307" s="104"/>
      <c r="AA307" s="105"/>
    </row>
    <row r="308" spans="12:27" ht="25" customHeight="1">
      <c r="L308" s="31"/>
      <c r="M308" s="31"/>
      <c r="N308" s="31"/>
      <c r="R308" s="32"/>
      <c r="X308" s="35"/>
      <c r="Y308" s="102"/>
      <c r="Z308" s="104"/>
      <c r="AA308" s="105"/>
    </row>
    <row r="309" spans="12:27" ht="25" customHeight="1">
      <c r="L309" s="31"/>
      <c r="M309" s="31"/>
      <c r="N309" s="31"/>
      <c r="R309" s="32"/>
      <c r="X309" s="35"/>
      <c r="Y309" s="102"/>
      <c r="Z309" s="104"/>
      <c r="AA309" s="105"/>
    </row>
    <row r="310" spans="12:27" ht="25" customHeight="1">
      <c r="L310" s="31"/>
      <c r="M310" s="31"/>
      <c r="N310" s="31"/>
      <c r="R310" s="32"/>
      <c r="X310" s="35"/>
      <c r="Y310" s="102"/>
      <c r="Z310" s="104"/>
      <c r="AA310" s="105"/>
    </row>
    <row r="311" spans="12:27" ht="25" customHeight="1">
      <c r="L311" s="31"/>
      <c r="M311" s="31"/>
      <c r="N311" s="31"/>
      <c r="R311" s="32"/>
      <c r="X311" s="35"/>
      <c r="Y311" s="102"/>
      <c r="Z311" s="104"/>
      <c r="AA311" s="105"/>
    </row>
    <row r="312" spans="12:27" ht="25" customHeight="1">
      <c r="L312" s="31"/>
      <c r="M312" s="31"/>
      <c r="N312" s="31"/>
      <c r="R312" s="32"/>
      <c r="X312" s="35"/>
      <c r="Y312" s="102"/>
      <c r="Z312" s="104"/>
      <c r="AA312" s="105"/>
    </row>
    <row r="313" spans="12:27" ht="25" customHeight="1">
      <c r="L313" s="31"/>
      <c r="M313" s="31"/>
      <c r="N313" s="31"/>
      <c r="R313" s="32"/>
      <c r="X313" s="35"/>
      <c r="Y313" s="102"/>
      <c r="Z313" s="104"/>
      <c r="AA313" s="105"/>
    </row>
    <row r="314" spans="12:27" ht="25" customHeight="1">
      <c r="L314" s="31"/>
      <c r="M314" s="31"/>
      <c r="N314" s="31"/>
      <c r="R314" s="32"/>
      <c r="X314" s="35"/>
      <c r="Y314" s="102"/>
      <c r="Z314" s="104"/>
      <c r="AA314" s="105"/>
    </row>
    <row r="315" spans="12:27" ht="25" customHeight="1">
      <c r="L315" s="31"/>
      <c r="M315" s="31"/>
      <c r="N315" s="31"/>
      <c r="R315" s="32"/>
      <c r="X315" s="35"/>
      <c r="Y315" s="102"/>
      <c r="Z315" s="104"/>
      <c r="AA315" s="105"/>
    </row>
    <row r="316" spans="12:27" ht="25" customHeight="1">
      <c r="L316" s="31"/>
      <c r="M316" s="31"/>
      <c r="N316" s="31"/>
      <c r="R316" s="32"/>
      <c r="X316" s="35"/>
      <c r="Y316" s="102"/>
      <c r="Z316" s="104"/>
      <c r="AA316" s="105"/>
    </row>
    <row r="317" spans="12:27" ht="25" customHeight="1">
      <c r="L317" s="31"/>
      <c r="M317" s="31"/>
      <c r="N317" s="31"/>
      <c r="R317" s="32"/>
      <c r="X317" s="35"/>
      <c r="Y317" s="102"/>
      <c r="Z317" s="104"/>
      <c r="AA317" s="105"/>
    </row>
    <row r="318" spans="12:27" ht="25" customHeight="1">
      <c r="L318" s="31"/>
      <c r="M318" s="31"/>
      <c r="N318" s="31"/>
      <c r="R318" s="32"/>
      <c r="X318" s="35"/>
      <c r="Y318" s="102"/>
      <c r="Z318" s="104"/>
      <c r="AA318" s="105"/>
    </row>
    <row r="319" spans="12:27" ht="25" customHeight="1">
      <c r="L319" s="31"/>
      <c r="M319" s="31"/>
      <c r="N319" s="31"/>
      <c r="R319" s="32"/>
      <c r="X319" s="35"/>
      <c r="Y319" s="102"/>
      <c r="Z319" s="104"/>
      <c r="AA319" s="105"/>
    </row>
    <row r="320" spans="12:27" ht="25" customHeight="1">
      <c r="L320" s="31"/>
      <c r="M320" s="31"/>
      <c r="N320" s="31"/>
      <c r="R320" s="32"/>
      <c r="X320" s="35"/>
      <c r="Y320" s="102"/>
      <c r="Z320" s="104"/>
      <c r="AA320" s="105"/>
    </row>
    <row r="321" spans="12:27" ht="25" customHeight="1">
      <c r="L321" s="31"/>
      <c r="M321" s="31"/>
      <c r="N321" s="31"/>
      <c r="R321" s="32"/>
      <c r="X321" s="35"/>
      <c r="Y321" s="102"/>
      <c r="Z321" s="104"/>
      <c r="AA321" s="105"/>
    </row>
    <row r="322" spans="12:27" ht="25" customHeight="1">
      <c r="L322" s="31"/>
      <c r="M322" s="31"/>
      <c r="N322" s="31"/>
      <c r="R322" s="32"/>
      <c r="X322" s="35"/>
      <c r="Y322" s="102"/>
      <c r="Z322" s="104"/>
      <c r="AA322" s="105"/>
    </row>
    <row r="323" spans="12:27" ht="25" customHeight="1">
      <c r="L323" s="31"/>
      <c r="M323" s="31"/>
      <c r="N323" s="31"/>
      <c r="R323" s="32"/>
      <c r="X323" s="35"/>
      <c r="Y323" s="102"/>
      <c r="Z323" s="104"/>
      <c r="AA323" s="105"/>
    </row>
    <row r="324" spans="12:27" ht="25" customHeight="1">
      <c r="L324" s="31"/>
      <c r="M324" s="31"/>
      <c r="N324" s="31"/>
      <c r="R324" s="32"/>
      <c r="X324" s="35"/>
      <c r="Y324" s="102"/>
      <c r="Z324" s="104"/>
      <c r="AA324" s="105"/>
    </row>
    <row r="325" spans="12:27" ht="25" customHeight="1">
      <c r="L325" s="31"/>
      <c r="M325" s="31"/>
      <c r="N325" s="31"/>
      <c r="R325" s="32"/>
      <c r="X325" s="35"/>
      <c r="Y325" s="102"/>
      <c r="Z325" s="104"/>
      <c r="AA325" s="105"/>
    </row>
    <row r="326" spans="12:27" ht="25" customHeight="1">
      <c r="L326" s="31"/>
      <c r="M326" s="31"/>
      <c r="N326" s="31"/>
      <c r="R326" s="32"/>
      <c r="X326" s="35"/>
      <c r="Y326" s="102"/>
      <c r="Z326" s="104"/>
      <c r="AA326" s="105"/>
    </row>
    <row r="327" spans="12:27" ht="25" customHeight="1">
      <c r="L327" s="31"/>
      <c r="M327" s="31"/>
      <c r="N327" s="31"/>
      <c r="R327" s="32"/>
      <c r="X327" s="35"/>
      <c r="Y327" s="102"/>
      <c r="Z327" s="104"/>
      <c r="AA327" s="105"/>
    </row>
    <row r="328" spans="12:27" ht="25" customHeight="1">
      <c r="L328" s="31"/>
      <c r="M328" s="31"/>
      <c r="N328" s="31"/>
      <c r="R328" s="32"/>
      <c r="X328" s="35"/>
      <c r="Y328" s="102"/>
      <c r="Z328" s="104"/>
      <c r="AA328" s="105"/>
    </row>
    <row r="329" spans="12:27" ht="25" customHeight="1">
      <c r="L329" s="31"/>
      <c r="M329" s="31"/>
      <c r="N329" s="31"/>
      <c r="R329" s="32"/>
      <c r="X329" s="35"/>
      <c r="Y329" s="102"/>
      <c r="Z329" s="104"/>
      <c r="AA329" s="105"/>
    </row>
    <row r="330" spans="12:27" ht="25" customHeight="1">
      <c r="L330" s="31"/>
      <c r="M330" s="31"/>
      <c r="N330" s="31"/>
      <c r="R330" s="32"/>
      <c r="X330" s="35"/>
      <c r="Y330" s="102"/>
      <c r="Z330" s="104"/>
      <c r="AA330" s="105"/>
    </row>
    <row r="331" spans="12:27" ht="25" customHeight="1">
      <c r="L331" s="31"/>
      <c r="M331" s="31"/>
      <c r="N331" s="31"/>
      <c r="R331" s="32"/>
      <c r="X331" s="35"/>
      <c r="Y331" s="102"/>
      <c r="Z331" s="104"/>
      <c r="AA331" s="105"/>
    </row>
    <row r="332" spans="12:27" ht="25" customHeight="1">
      <c r="L332" s="31"/>
      <c r="M332" s="31"/>
      <c r="N332" s="31"/>
      <c r="R332" s="32"/>
      <c r="X332" s="35"/>
      <c r="Y332" s="102"/>
      <c r="Z332" s="104"/>
      <c r="AA332" s="105"/>
    </row>
    <row r="333" spans="12:27" ht="25" customHeight="1">
      <c r="L333" s="31"/>
      <c r="M333" s="31"/>
      <c r="N333" s="31"/>
      <c r="R333" s="32"/>
      <c r="X333" s="35"/>
      <c r="Y333" s="102"/>
      <c r="Z333" s="104"/>
      <c r="AA333" s="105"/>
    </row>
    <row r="334" spans="12:27" ht="25" customHeight="1">
      <c r="L334" s="31"/>
      <c r="M334" s="31"/>
      <c r="N334" s="31"/>
      <c r="R334" s="32"/>
      <c r="X334" s="35"/>
      <c r="Y334" s="102"/>
      <c r="Z334" s="104"/>
      <c r="AA334" s="105"/>
    </row>
    <row r="335" spans="12:27" ht="25" customHeight="1">
      <c r="L335" s="31"/>
      <c r="M335" s="31"/>
      <c r="N335" s="31"/>
      <c r="R335" s="32"/>
      <c r="X335" s="35"/>
      <c r="Y335" s="102"/>
      <c r="Z335" s="104"/>
      <c r="AA335" s="105"/>
    </row>
    <row r="336" spans="12:27" ht="25" customHeight="1">
      <c r="L336" s="31"/>
      <c r="M336" s="31"/>
      <c r="N336" s="31"/>
      <c r="R336" s="32"/>
      <c r="X336" s="35"/>
      <c r="Y336" s="102"/>
      <c r="Z336" s="104"/>
      <c r="AA336" s="105"/>
    </row>
    <row r="337" spans="12:27" ht="25" customHeight="1">
      <c r="L337" s="31"/>
      <c r="M337" s="31"/>
      <c r="N337" s="31"/>
      <c r="R337" s="32"/>
      <c r="X337" s="35"/>
      <c r="Y337" s="102"/>
      <c r="Z337" s="104"/>
      <c r="AA337" s="105"/>
    </row>
    <row r="338" spans="12:27" ht="25" customHeight="1">
      <c r="L338" s="31"/>
      <c r="M338" s="31"/>
      <c r="N338" s="31"/>
      <c r="R338" s="32"/>
      <c r="X338" s="35"/>
      <c r="Y338" s="102"/>
      <c r="Z338" s="104"/>
      <c r="AA338" s="105"/>
    </row>
    <row r="339" spans="12:27" ht="25" customHeight="1">
      <c r="L339" s="31"/>
      <c r="M339" s="31"/>
      <c r="N339" s="31"/>
      <c r="R339" s="32"/>
      <c r="X339" s="35"/>
      <c r="Y339" s="102"/>
      <c r="Z339" s="104"/>
      <c r="AA339" s="105"/>
    </row>
    <row r="340" spans="12:27" ht="25" customHeight="1">
      <c r="L340" s="31"/>
      <c r="M340" s="31"/>
      <c r="N340" s="31"/>
      <c r="R340" s="32"/>
      <c r="X340" s="35"/>
      <c r="Y340" s="102"/>
      <c r="Z340" s="104"/>
      <c r="AA340" s="105"/>
    </row>
    <row r="341" spans="12:27" ht="25" customHeight="1">
      <c r="L341" s="31"/>
      <c r="M341" s="31"/>
      <c r="N341" s="31"/>
      <c r="R341" s="32"/>
      <c r="X341" s="35"/>
      <c r="Y341" s="102"/>
      <c r="Z341" s="104"/>
      <c r="AA341" s="105"/>
    </row>
    <row r="342" spans="12:27" ht="25" customHeight="1">
      <c r="L342" s="31"/>
      <c r="M342" s="31"/>
      <c r="N342" s="31"/>
      <c r="R342" s="32"/>
      <c r="X342" s="35"/>
      <c r="Y342" s="102"/>
      <c r="Z342" s="104"/>
      <c r="AA342" s="105"/>
    </row>
    <row r="343" spans="12:27" ht="25" customHeight="1">
      <c r="L343" s="31"/>
      <c r="M343" s="31"/>
      <c r="N343" s="31"/>
      <c r="R343" s="32"/>
      <c r="X343" s="35"/>
      <c r="Y343" s="102"/>
      <c r="Z343" s="104"/>
      <c r="AA343" s="105"/>
    </row>
    <row r="344" spans="12:27" ht="25" customHeight="1">
      <c r="L344" s="31"/>
      <c r="M344" s="31"/>
      <c r="N344" s="31"/>
      <c r="R344" s="32"/>
      <c r="X344" s="35"/>
      <c r="Y344" s="102"/>
      <c r="Z344" s="104"/>
      <c r="AA344" s="105"/>
    </row>
    <row r="345" spans="12:27" ht="25" customHeight="1">
      <c r="L345" s="31"/>
      <c r="M345" s="31"/>
      <c r="N345" s="31"/>
      <c r="R345" s="32"/>
      <c r="X345" s="35"/>
      <c r="Y345" s="102"/>
      <c r="Z345" s="104"/>
      <c r="AA345" s="105"/>
    </row>
    <row r="346" spans="12:27" ht="25" customHeight="1">
      <c r="L346" s="31"/>
      <c r="M346" s="31"/>
      <c r="N346" s="31"/>
      <c r="R346" s="32"/>
      <c r="X346" s="35"/>
      <c r="Y346" s="102"/>
      <c r="Z346" s="104"/>
      <c r="AA346" s="105"/>
    </row>
    <row r="347" spans="12:27" ht="25" customHeight="1">
      <c r="L347" s="31"/>
      <c r="M347" s="31"/>
      <c r="N347" s="31"/>
      <c r="R347" s="32"/>
      <c r="X347" s="35"/>
      <c r="Y347" s="102"/>
      <c r="Z347" s="104"/>
      <c r="AA347" s="105"/>
    </row>
    <row r="348" spans="12:27" ht="25" customHeight="1">
      <c r="L348" s="31"/>
      <c r="M348" s="31"/>
      <c r="N348" s="31"/>
      <c r="R348" s="32"/>
      <c r="X348" s="35"/>
      <c r="Y348" s="102"/>
      <c r="Z348" s="104"/>
      <c r="AA348" s="105"/>
    </row>
    <row r="349" spans="12:27" ht="25" customHeight="1">
      <c r="L349" s="31"/>
      <c r="M349" s="31"/>
      <c r="N349" s="31"/>
      <c r="R349" s="32"/>
      <c r="X349" s="35"/>
      <c r="Y349" s="102"/>
      <c r="Z349" s="104"/>
      <c r="AA349" s="105"/>
    </row>
    <row r="350" spans="12:27" ht="25" customHeight="1">
      <c r="L350" s="31"/>
      <c r="M350" s="31"/>
      <c r="N350" s="31"/>
      <c r="R350" s="32"/>
      <c r="X350" s="35"/>
      <c r="Y350" s="102"/>
      <c r="Z350" s="104"/>
      <c r="AA350" s="105"/>
    </row>
    <row r="351" spans="12:27" ht="25" customHeight="1">
      <c r="L351" s="31"/>
      <c r="M351" s="31"/>
      <c r="N351" s="31"/>
      <c r="R351" s="32"/>
      <c r="X351" s="35"/>
      <c r="Y351" s="102"/>
      <c r="Z351" s="104"/>
      <c r="AA351" s="105"/>
    </row>
    <row r="352" spans="12:27" ht="25" customHeight="1">
      <c r="L352" s="31"/>
      <c r="M352" s="31"/>
      <c r="N352" s="31"/>
      <c r="R352" s="32"/>
      <c r="X352" s="35"/>
      <c r="Y352" s="102"/>
      <c r="Z352" s="104"/>
      <c r="AA352" s="105"/>
    </row>
    <row r="353" spans="12:27" ht="25" customHeight="1">
      <c r="L353" s="31"/>
      <c r="M353" s="31"/>
      <c r="N353" s="31"/>
      <c r="R353" s="32"/>
      <c r="X353" s="35"/>
      <c r="Y353" s="102"/>
      <c r="Z353" s="104"/>
      <c r="AA353" s="105"/>
    </row>
    <row r="354" spans="12:27" ht="25" customHeight="1">
      <c r="L354" s="31"/>
      <c r="M354" s="31"/>
      <c r="N354" s="31"/>
      <c r="R354" s="32"/>
      <c r="X354" s="35"/>
      <c r="Y354" s="102"/>
      <c r="Z354" s="104"/>
      <c r="AA354" s="105"/>
    </row>
    <row r="355" spans="12:27" ht="25" customHeight="1">
      <c r="L355" s="31"/>
      <c r="M355" s="31"/>
      <c r="N355" s="31"/>
      <c r="R355" s="32"/>
      <c r="X355" s="35"/>
      <c r="Y355" s="102"/>
      <c r="Z355" s="104"/>
      <c r="AA355" s="105"/>
    </row>
    <row r="356" spans="12:27" ht="25" customHeight="1">
      <c r="L356" s="31"/>
      <c r="M356" s="31"/>
      <c r="N356" s="31"/>
      <c r="R356" s="32"/>
      <c r="X356" s="35"/>
      <c r="Y356" s="102"/>
      <c r="Z356" s="104"/>
      <c r="AA356" s="105"/>
    </row>
    <row r="357" spans="12:27" ht="25" customHeight="1">
      <c r="L357" s="31"/>
      <c r="M357" s="31"/>
      <c r="N357" s="31"/>
      <c r="R357" s="32"/>
      <c r="X357" s="35"/>
      <c r="Y357" s="102"/>
      <c r="Z357" s="104"/>
      <c r="AA357" s="105"/>
    </row>
    <row r="358" spans="12:27" ht="25" customHeight="1">
      <c r="L358" s="31"/>
      <c r="M358" s="31"/>
      <c r="N358" s="31"/>
      <c r="R358" s="32"/>
      <c r="X358" s="35"/>
      <c r="Y358" s="102"/>
      <c r="Z358" s="104"/>
      <c r="AA358" s="105"/>
    </row>
    <row r="359" spans="12:27" ht="25" customHeight="1">
      <c r="L359" s="31"/>
      <c r="M359" s="31"/>
      <c r="N359" s="31"/>
      <c r="R359" s="32"/>
      <c r="X359" s="35"/>
      <c r="Y359" s="102"/>
      <c r="Z359" s="104"/>
      <c r="AA359" s="105"/>
    </row>
    <row r="360" spans="12:27" ht="25" customHeight="1">
      <c r="L360" s="31"/>
      <c r="M360" s="31"/>
      <c r="N360" s="31"/>
      <c r="R360" s="32"/>
      <c r="X360" s="35"/>
      <c r="Y360" s="102"/>
      <c r="Z360" s="104"/>
      <c r="AA360" s="105"/>
    </row>
    <row r="361" spans="12:27" ht="25" customHeight="1">
      <c r="L361" s="31"/>
      <c r="M361" s="31"/>
      <c r="N361" s="31"/>
      <c r="R361" s="32"/>
      <c r="X361" s="35"/>
      <c r="Y361" s="102"/>
      <c r="Z361" s="104"/>
      <c r="AA361" s="105"/>
    </row>
    <row r="362" spans="12:27" ht="25" customHeight="1">
      <c r="L362" s="31"/>
      <c r="M362" s="31"/>
      <c r="N362" s="31"/>
      <c r="R362" s="32"/>
      <c r="X362" s="35"/>
      <c r="Y362" s="102"/>
      <c r="Z362" s="104"/>
      <c r="AA362" s="105"/>
    </row>
    <row r="363" spans="12:27" ht="25" customHeight="1">
      <c r="L363" s="31"/>
      <c r="M363" s="31"/>
      <c r="N363" s="31"/>
      <c r="R363" s="32"/>
      <c r="X363" s="35"/>
      <c r="Y363" s="102"/>
      <c r="Z363" s="104"/>
      <c r="AA363" s="105"/>
    </row>
    <row r="364" spans="12:27" ht="25" customHeight="1">
      <c r="L364" s="31"/>
      <c r="M364" s="31"/>
      <c r="N364" s="31"/>
      <c r="R364" s="32"/>
      <c r="X364" s="35"/>
      <c r="Y364" s="102"/>
      <c r="Z364" s="104"/>
      <c r="AA364" s="105"/>
    </row>
    <row r="365" spans="12:27" ht="25" customHeight="1">
      <c r="L365" s="31"/>
      <c r="M365" s="31"/>
      <c r="N365" s="31"/>
      <c r="R365" s="32"/>
      <c r="X365" s="35"/>
      <c r="Y365" s="102"/>
      <c r="Z365" s="104"/>
      <c r="AA365" s="105"/>
    </row>
    <row r="366" spans="12:27" ht="25" customHeight="1">
      <c r="L366" s="31"/>
      <c r="M366" s="31"/>
      <c r="N366" s="31"/>
      <c r="R366" s="32"/>
      <c r="X366" s="35"/>
      <c r="Y366" s="102"/>
      <c r="Z366" s="104"/>
      <c r="AA366" s="105"/>
    </row>
    <row r="367" spans="12:27" ht="25" customHeight="1">
      <c r="L367" s="31"/>
      <c r="M367" s="31"/>
      <c r="N367" s="31"/>
      <c r="R367" s="32"/>
      <c r="X367" s="35"/>
      <c r="Y367" s="102"/>
      <c r="Z367" s="104"/>
      <c r="AA367" s="105"/>
    </row>
    <row r="368" spans="12:27" ht="25" customHeight="1">
      <c r="L368" s="31"/>
      <c r="M368" s="31"/>
      <c r="N368" s="31"/>
      <c r="R368" s="32"/>
      <c r="X368" s="35"/>
      <c r="Y368" s="102"/>
      <c r="Z368" s="104"/>
      <c r="AA368" s="105"/>
    </row>
    <row r="369" spans="12:27" ht="25" customHeight="1">
      <c r="L369" s="31"/>
      <c r="M369" s="31"/>
      <c r="N369" s="31"/>
      <c r="R369" s="32"/>
      <c r="X369" s="35"/>
      <c r="Y369" s="102"/>
      <c r="Z369" s="104"/>
      <c r="AA369" s="105"/>
    </row>
    <row r="370" spans="12:27" ht="25" customHeight="1">
      <c r="L370" s="31"/>
      <c r="M370" s="31"/>
      <c r="N370" s="31"/>
      <c r="R370" s="32"/>
      <c r="X370" s="35"/>
      <c r="Y370" s="102"/>
      <c r="Z370" s="104"/>
      <c r="AA370" s="105"/>
    </row>
    <row r="371" spans="12:27" ht="25" customHeight="1">
      <c r="L371" s="31"/>
      <c r="M371" s="31"/>
      <c r="N371" s="31"/>
      <c r="R371" s="32"/>
      <c r="X371" s="35"/>
      <c r="Y371" s="102"/>
      <c r="Z371" s="104"/>
      <c r="AA371" s="105"/>
    </row>
    <row r="372" spans="12:27" ht="25" customHeight="1">
      <c r="L372" s="31"/>
      <c r="M372" s="31"/>
      <c r="N372" s="31"/>
      <c r="R372" s="32"/>
      <c r="X372" s="35"/>
      <c r="Y372" s="102"/>
      <c r="Z372" s="104"/>
      <c r="AA372" s="105"/>
    </row>
    <row r="373" spans="12:27" ht="25" customHeight="1">
      <c r="L373" s="31"/>
      <c r="M373" s="31"/>
      <c r="N373" s="31"/>
      <c r="R373" s="32"/>
      <c r="X373" s="35"/>
      <c r="Y373" s="102"/>
      <c r="Z373" s="104"/>
      <c r="AA373" s="105"/>
    </row>
    <row r="374" spans="12:27" ht="25" customHeight="1">
      <c r="L374" s="31"/>
      <c r="M374" s="31"/>
      <c r="N374" s="31"/>
      <c r="R374" s="32"/>
      <c r="X374" s="35"/>
      <c r="Y374" s="102"/>
      <c r="Z374" s="104"/>
      <c r="AA374" s="105"/>
    </row>
    <row r="375" spans="12:27" ht="25" customHeight="1">
      <c r="L375" s="31"/>
      <c r="M375" s="31"/>
      <c r="N375" s="31"/>
      <c r="R375" s="32"/>
      <c r="X375" s="35"/>
      <c r="Y375" s="102"/>
      <c r="Z375" s="104"/>
      <c r="AA375" s="105"/>
    </row>
    <row r="376" spans="12:27" ht="25" customHeight="1">
      <c r="L376" s="31"/>
      <c r="M376" s="31"/>
      <c r="N376" s="31"/>
      <c r="R376" s="32"/>
      <c r="X376" s="35"/>
      <c r="Y376" s="102"/>
      <c r="Z376" s="104"/>
      <c r="AA376" s="105"/>
    </row>
    <row r="377" spans="12:27" ht="25" customHeight="1">
      <c r="L377" s="31"/>
      <c r="M377" s="31"/>
      <c r="N377" s="31"/>
      <c r="R377" s="32"/>
      <c r="X377" s="35"/>
      <c r="Y377" s="102"/>
      <c r="Z377" s="104"/>
      <c r="AA377" s="105"/>
    </row>
    <row r="378" spans="12:27" ht="25" customHeight="1">
      <c r="L378" s="31"/>
      <c r="M378" s="31"/>
      <c r="N378" s="31"/>
      <c r="R378" s="32"/>
      <c r="X378" s="35"/>
      <c r="Y378" s="102"/>
      <c r="Z378" s="104"/>
      <c r="AA378" s="105"/>
    </row>
    <row r="379" spans="12:27" ht="25" customHeight="1">
      <c r="L379" s="31"/>
      <c r="M379" s="31"/>
      <c r="N379" s="31"/>
      <c r="R379" s="32"/>
      <c r="X379" s="35"/>
      <c r="Y379" s="102"/>
      <c r="Z379" s="104"/>
      <c r="AA379" s="105"/>
    </row>
    <row r="380" spans="12:27" ht="25" customHeight="1">
      <c r="L380" s="31"/>
      <c r="M380" s="31"/>
      <c r="N380" s="31"/>
      <c r="R380" s="32"/>
      <c r="X380" s="35"/>
      <c r="Y380" s="102"/>
      <c r="Z380" s="104"/>
      <c r="AA380" s="105"/>
    </row>
    <row r="381" spans="12:27" ht="25" customHeight="1">
      <c r="L381" s="31"/>
      <c r="M381" s="31"/>
      <c r="N381" s="31"/>
      <c r="R381" s="32"/>
      <c r="X381" s="35"/>
      <c r="Y381" s="102"/>
      <c r="Z381" s="104"/>
      <c r="AA381" s="105"/>
    </row>
    <row r="382" spans="12:27" ht="25" customHeight="1">
      <c r="L382" s="31"/>
      <c r="M382" s="31"/>
      <c r="N382" s="31"/>
      <c r="R382" s="32"/>
      <c r="X382" s="35"/>
      <c r="Y382" s="102"/>
      <c r="Z382" s="104"/>
      <c r="AA382" s="105"/>
    </row>
    <row r="383" spans="12:27" ht="25" customHeight="1">
      <c r="L383" s="31"/>
      <c r="M383" s="31"/>
      <c r="N383" s="31"/>
      <c r="R383" s="32"/>
      <c r="X383" s="35"/>
      <c r="Y383" s="102"/>
      <c r="Z383" s="104"/>
      <c r="AA383" s="105"/>
    </row>
    <row r="384" spans="12:27" ht="25" customHeight="1">
      <c r="L384" s="31"/>
      <c r="M384" s="31"/>
      <c r="N384" s="31"/>
      <c r="R384" s="32"/>
      <c r="X384" s="35"/>
      <c r="Y384" s="102"/>
      <c r="Z384" s="104"/>
      <c r="AA384" s="105"/>
    </row>
    <row r="385" spans="12:27" ht="25" customHeight="1">
      <c r="L385" s="31"/>
      <c r="M385" s="31"/>
      <c r="N385" s="31"/>
      <c r="R385" s="32"/>
      <c r="X385" s="35"/>
      <c r="Y385" s="102"/>
      <c r="Z385" s="104"/>
      <c r="AA385" s="105"/>
    </row>
    <row r="386" spans="12:27" ht="25" customHeight="1">
      <c r="L386" s="31"/>
      <c r="M386" s="31"/>
      <c r="N386" s="31"/>
      <c r="R386" s="32"/>
      <c r="X386" s="35"/>
      <c r="Y386" s="102"/>
      <c r="Z386" s="104"/>
      <c r="AA386" s="105"/>
    </row>
    <row r="387" spans="12:27" ht="25" customHeight="1">
      <c r="L387" s="31"/>
      <c r="M387" s="31"/>
      <c r="N387" s="31"/>
      <c r="R387" s="32"/>
      <c r="X387" s="35"/>
      <c r="Y387" s="102"/>
      <c r="Z387" s="104"/>
      <c r="AA387" s="105"/>
    </row>
    <row r="388" spans="12:27" ht="25" customHeight="1">
      <c r="L388" s="31"/>
      <c r="M388" s="31"/>
      <c r="N388" s="31"/>
      <c r="R388" s="32"/>
      <c r="X388" s="35"/>
      <c r="Y388" s="102"/>
      <c r="Z388" s="104"/>
      <c r="AA388" s="105"/>
    </row>
    <row r="389" spans="12:27" ht="25" customHeight="1">
      <c r="L389" s="31"/>
      <c r="M389" s="31"/>
      <c r="N389" s="31"/>
      <c r="R389" s="32"/>
      <c r="X389" s="35"/>
      <c r="Y389" s="102"/>
      <c r="Z389" s="104"/>
      <c r="AA389" s="105"/>
    </row>
    <row r="390" spans="12:27" ht="25" customHeight="1">
      <c r="L390" s="31"/>
      <c r="M390" s="31"/>
      <c r="N390" s="31"/>
      <c r="R390" s="32"/>
      <c r="X390" s="35"/>
      <c r="Y390" s="102"/>
      <c r="Z390" s="104"/>
      <c r="AA390" s="105"/>
    </row>
    <row r="391" spans="12:27" ht="25" customHeight="1">
      <c r="L391" s="31"/>
      <c r="M391" s="31"/>
      <c r="N391" s="31"/>
      <c r="R391" s="32"/>
      <c r="X391" s="35"/>
      <c r="Y391" s="102"/>
      <c r="Z391" s="104"/>
      <c r="AA391" s="105"/>
    </row>
    <row r="392" spans="12:27" ht="25" customHeight="1">
      <c r="L392" s="31"/>
      <c r="M392" s="31"/>
      <c r="N392" s="31"/>
      <c r="R392" s="32"/>
      <c r="X392" s="35"/>
      <c r="Y392" s="102"/>
      <c r="Z392" s="104"/>
      <c r="AA392" s="105"/>
    </row>
    <row r="393" spans="12:27" ht="25" customHeight="1">
      <c r="L393" s="31"/>
      <c r="M393" s="31"/>
      <c r="N393" s="31"/>
      <c r="R393" s="32"/>
      <c r="X393" s="35"/>
      <c r="Y393" s="102"/>
      <c r="Z393" s="104"/>
      <c r="AA393" s="105"/>
    </row>
    <row r="394" spans="12:27" ht="25" customHeight="1">
      <c r="L394" s="31"/>
      <c r="M394" s="31"/>
      <c r="N394" s="31"/>
      <c r="R394" s="32"/>
      <c r="X394" s="35"/>
      <c r="Y394" s="102"/>
      <c r="Z394" s="104"/>
      <c r="AA394" s="105"/>
    </row>
    <row r="395" spans="12:27" ht="25" customHeight="1">
      <c r="L395" s="31"/>
      <c r="M395" s="31"/>
      <c r="N395" s="31"/>
      <c r="R395" s="32"/>
      <c r="X395" s="35"/>
      <c r="Y395" s="102"/>
      <c r="Z395" s="104"/>
      <c r="AA395" s="105"/>
    </row>
    <row r="396" spans="12:27" ht="25" customHeight="1">
      <c r="L396" s="31"/>
      <c r="M396" s="31"/>
      <c r="N396" s="31"/>
      <c r="R396" s="32"/>
      <c r="X396" s="35"/>
      <c r="Y396" s="102"/>
      <c r="Z396" s="104"/>
      <c r="AA396" s="105"/>
    </row>
    <row r="397" spans="12:27" ht="25" customHeight="1">
      <c r="L397" s="31"/>
      <c r="M397" s="31"/>
      <c r="N397" s="31"/>
      <c r="R397" s="32"/>
      <c r="X397" s="35"/>
      <c r="Y397" s="102"/>
      <c r="Z397" s="104"/>
      <c r="AA397" s="105"/>
    </row>
    <row r="398" spans="12:27" ht="25" customHeight="1">
      <c r="L398" s="31"/>
      <c r="M398" s="31"/>
      <c r="N398" s="31"/>
      <c r="R398" s="32"/>
      <c r="X398" s="35"/>
      <c r="Y398" s="102"/>
      <c r="Z398" s="104"/>
      <c r="AA398" s="105"/>
    </row>
    <row r="399" spans="12:27" ht="25" customHeight="1">
      <c r="L399" s="31"/>
      <c r="M399" s="31"/>
      <c r="N399" s="31"/>
      <c r="R399" s="32"/>
      <c r="X399" s="35"/>
      <c r="Y399" s="102"/>
      <c r="Z399" s="104"/>
      <c r="AA399" s="105"/>
    </row>
    <row r="400" spans="12:27" ht="25" customHeight="1">
      <c r="L400" s="31"/>
      <c r="M400" s="31"/>
      <c r="N400" s="31"/>
      <c r="R400" s="32"/>
      <c r="X400" s="35"/>
      <c r="Y400" s="102"/>
      <c r="Z400" s="104"/>
      <c r="AA400" s="105"/>
    </row>
    <row r="401" spans="12:27" ht="25" customHeight="1">
      <c r="L401" s="31"/>
      <c r="M401" s="31"/>
      <c r="N401" s="31"/>
      <c r="R401" s="32"/>
      <c r="X401" s="35"/>
      <c r="Y401" s="102"/>
      <c r="Z401" s="104"/>
      <c r="AA401" s="105"/>
    </row>
    <row r="402" spans="12:27" ht="25" customHeight="1">
      <c r="L402" s="31"/>
      <c r="M402" s="31"/>
      <c r="N402" s="31"/>
      <c r="R402" s="32"/>
      <c r="X402" s="35"/>
      <c r="Y402" s="102"/>
      <c r="Z402" s="104"/>
      <c r="AA402" s="105"/>
    </row>
    <row r="403" spans="12:27" ht="25" customHeight="1">
      <c r="L403" s="31"/>
      <c r="M403" s="31"/>
      <c r="N403" s="31"/>
      <c r="R403" s="32"/>
      <c r="X403" s="35"/>
      <c r="Y403" s="102"/>
      <c r="Z403" s="104"/>
      <c r="AA403" s="105"/>
    </row>
    <row r="404" spans="12:27" ht="25" customHeight="1">
      <c r="L404" s="31"/>
      <c r="M404" s="31"/>
      <c r="N404" s="31"/>
      <c r="R404" s="32"/>
      <c r="X404" s="35"/>
      <c r="Y404" s="102"/>
      <c r="Z404" s="104"/>
      <c r="AA404" s="105"/>
    </row>
    <row r="405" spans="12:27" ht="25" customHeight="1">
      <c r="L405" s="31"/>
      <c r="M405" s="31"/>
      <c r="N405" s="31"/>
      <c r="R405" s="32"/>
      <c r="X405" s="35"/>
      <c r="Y405" s="102"/>
      <c r="Z405" s="104"/>
      <c r="AA405" s="105"/>
    </row>
    <row r="406" spans="12:27" ht="25" customHeight="1">
      <c r="L406" s="31"/>
      <c r="M406" s="31"/>
      <c r="N406" s="31"/>
      <c r="R406" s="32"/>
      <c r="X406" s="35"/>
      <c r="Y406" s="102"/>
      <c r="Z406" s="104"/>
      <c r="AA406" s="105"/>
    </row>
    <row r="407" spans="12:27" ht="25" customHeight="1">
      <c r="L407" s="31"/>
      <c r="M407" s="31"/>
      <c r="N407" s="31"/>
      <c r="R407" s="32"/>
      <c r="X407" s="35"/>
      <c r="Y407" s="102"/>
      <c r="Z407" s="104"/>
      <c r="AA407" s="105"/>
    </row>
    <row r="408" spans="12:27" ht="25" customHeight="1">
      <c r="L408" s="31"/>
      <c r="M408" s="31"/>
      <c r="N408" s="31"/>
      <c r="R408" s="32"/>
      <c r="X408" s="35"/>
      <c r="Y408" s="102"/>
      <c r="Z408" s="104"/>
      <c r="AA408" s="105"/>
    </row>
    <row r="409" spans="12:27" ht="25" customHeight="1">
      <c r="L409" s="31"/>
      <c r="M409" s="31"/>
      <c r="N409" s="31"/>
      <c r="R409" s="32"/>
      <c r="X409" s="35"/>
      <c r="Y409" s="102"/>
      <c r="Z409" s="104"/>
      <c r="AA409" s="105"/>
    </row>
    <row r="410" spans="12:27" ht="25" customHeight="1">
      <c r="L410" s="31"/>
      <c r="M410" s="31"/>
      <c r="N410" s="31"/>
      <c r="R410" s="32"/>
      <c r="X410" s="35"/>
      <c r="Y410" s="102"/>
      <c r="Z410" s="104"/>
      <c r="AA410" s="105"/>
    </row>
    <row r="411" spans="12:27" ht="25" customHeight="1">
      <c r="L411" s="31"/>
      <c r="M411" s="31"/>
      <c r="N411" s="31"/>
      <c r="R411" s="32"/>
      <c r="X411" s="35"/>
      <c r="Y411" s="102"/>
      <c r="Z411" s="104"/>
      <c r="AA411" s="105"/>
    </row>
    <row r="412" spans="12:27" ht="25" customHeight="1">
      <c r="L412" s="31"/>
      <c r="M412" s="31"/>
      <c r="N412" s="31"/>
      <c r="R412" s="32"/>
      <c r="X412" s="35"/>
      <c r="Y412" s="102"/>
      <c r="Z412" s="104"/>
      <c r="AA412" s="105"/>
    </row>
    <row r="413" spans="12:27" ht="25" customHeight="1">
      <c r="L413" s="31"/>
      <c r="M413" s="31"/>
      <c r="N413" s="31"/>
      <c r="R413" s="32"/>
      <c r="X413" s="35"/>
      <c r="Y413" s="102"/>
      <c r="Z413" s="104"/>
      <c r="AA413" s="105"/>
    </row>
    <row r="414" spans="12:27" ht="25" customHeight="1">
      <c r="L414" s="31"/>
      <c r="M414" s="31"/>
      <c r="N414" s="31"/>
      <c r="R414" s="32"/>
      <c r="X414" s="35"/>
      <c r="Y414" s="102"/>
      <c r="Z414" s="104"/>
      <c r="AA414" s="105"/>
    </row>
    <row r="415" spans="12:27" ht="25" customHeight="1">
      <c r="L415" s="31"/>
      <c r="M415" s="31"/>
      <c r="N415" s="31"/>
      <c r="R415" s="32"/>
      <c r="X415" s="35"/>
      <c r="Y415" s="102"/>
      <c r="Z415" s="104"/>
      <c r="AA415" s="105"/>
    </row>
    <row r="416" spans="12:27" ht="25" customHeight="1">
      <c r="L416" s="31"/>
      <c r="M416" s="31"/>
      <c r="N416" s="31"/>
      <c r="R416" s="32"/>
      <c r="X416" s="35"/>
      <c r="Y416" s="102"/>
      <c r="Z416" s="104"/>
      <c r="AA416" s="105"/>
    </row>
    <row r="417" spans="12:27" ht="25" customHeight="1">
      <c r="L417" s="31"/>
      <c r="M417" s="31"/>
      <c r="N417" s="31"/>
      <c r="R417" s="32"/>
      <c r="X417" s="35"/>
      <c r="Y417" s="102"/>
      <c r="Z417" s="104"/>
      <c r="AA417" s="105"/>
    </row>
    <row r="418" spans="12:27" ht="25" customHeight="1">
      <c r="L418" s="31"/>
      <c r="M418" s="31"/>
      <c r="N418" s="31"/>
      <c r="R418" s="32"/>
      <c r="X418" s="35"/>
      <c r="Y418" s="102"/>
      <c r="Z418" s="104"/>
      <c r="AA418" s="105"/>
    </row>
    <row r="419" spans="12:27" ht="25" customHeight="1">
      <c r="L419" s="31"/>
      <c r="M419" s="31"/>
      <c r="N419" s="31"/>
      <c r="R419" s="32"/>
      <c r="X419" s="35"/>
      <c r="Y419" s="102"/>
      <c r="Z419" s="104"/>
      <c r="AA419" s="105"/>
    </row>
    <row r="420" spans="12:27" ht="25" customHeight="1">
      <c r="L420" s="31"/>
      <c r="M420" s="31"/>
      <c r="N420" s="31"/>
      <c r="R420" s="32"/>
      <c r="X420" s="35"/>
      <c r="Y420" s="102"/>
      <c r="Z420" s="104"/>
      <c r="AA420" s="105"/>
    </row>
    <row r="421" spans="12:27" ht="25" customHeight="1">
      <c r="L421" s="31"/>
      <c r="M421" s="31"/>
      <c r="N421" s="31"/>
      <c r="R421" s="32"/>
      <c r="X421" s="35"/>
      <c r="Y421" s="102"/>
      <c r="Z421" s="104"/>
      <c r="AA421" s="105"/>
    </row>
    <row r="422" spans="12:27" ht="25" customHeight="1">
      <c r="L422" s="31"/>
      <c r="M422" s="31"/>
      <c r="N422" s="31"/>
      <c r="R422" s="32"/>
      <c r="X422" s="35"/>
      <c r="Y422" s="102"/>
      <c r="Z422" s="104"/>
      <c r="AA422" s="105"/>
    </row>
    <row r="423" spans="12:27" ht="25" customHeight="1">
      <c r="L423" s="31"/>
      <c r="M423" s="31"/>
      <c r="N423" s="31"/>
      <c r="R423" s="32"/>
      <c r="X423" s="35"/>
      <c r="Y423" s="102"/>
      <c r="Z423" s="104"/>
      <c r="AA423" s="105"/>
    </row>
    <row r="424" spans="12:27" ht="25" customHeight="1">
      <c r="L424" s="31"/>
      <c r="M424" s="31"/>
      <c r="N424" s="31"/>
      <c r="R424" s="32"/>
      <c r="X424" s="35"/>
      <c r="Y424" s="102"/>
      <c r="Z424" s="104"/>
      <c r="AA424" s="105"/>
    </row>
    <row r="425" spans="12:27" ht="25" customHeight="1">
      <c r="L425" s="31"/>
      <c r="M425" s="31"/>
      <c r="N425" s="31"/>
      <c r="R425" s="32"/>
      <c r="X425" s="35"/>
      <c r="Y425" s="102"/>
      <c r="Z425" s="104"/>
      <c r="AA425" s="105"/>
    </row>
    <row r="426" spans="12:27" ht="25" customHeight="1">
      <c r="L426" s="31"/>
      <c r="M426" s="31"/>
      <c r="N426" s="31"/>
      <c r="R426" s="32"/>
      <c r="X426" s="35"/>
      <c r="Y426" s="102"/>
      <c r="Z426" s="104"/>
      <c r="AA426" s="105"/>
    </row>
    <row r="427" spans="12:27" ht="25" customHeight="1">
      <c r="L427" s="31"/>
      <c r="M427" s="31"/>
      <c r="N427" s="31"/>
      <c r="R427" s="32"/>
      <c r="X427" s="35"/>
      <c r="Y427" s="102"/>
      <c r="Z427" s="104"/>
      <c r="AA427" s="105"/>
    </row>
    <row r="428" spans="12:27" ht="25" customHeight="1">
      <c r="L428" s="31"/>
      <c r="M428" s="31"/>
      <c r="N428" s="31"/>
      <c r="R428" s="32"/>
      <c r="X428" s="35"/>
      <c r="Y428" s="102"/>
      <c r="Z428" s="104"/>
      <c r="AA428" s="105"/>
    </row>
    <row r="429" spans="12:27" ht="25" customHeight="1">
      <c r="L429" s="31"/>
      <c r="M429" s="31"/>
      <c r="N429" s="31"/>
      <c r="R429" s="32"/>
      <c r="X429" s="35"/>
      <c r="Y429" s="102"/>
      <c r="Z429" s="104"/>
      <c r="AA429" s="105"/>
    </row>
    <row r="430" spans="12:27" ht="25" customHeight="1">
      <c r="L430" s="31"/>
      <c r="M430" s="31"/>
      <c r="N430" s="31"/>
      <c r="R430" s="32"/>
      <c r="X430" s="35"/>
      <c r="Y430" s="102"/>
      <c r="Z430" s="104"/>
      <c r="AA430" s="105"/>
    </row>
    <row r="431" spans="12:27" ht="25" customHeight="1">
      <c r="L431" s="31"/>
      <c r="M431" s="31"/>
      <c r="N431" s="31"/>
      <c r="R431" s="32"/>
      <c r="X431" s="35"/>
      <c r="Y431" s="102"/>
      <c r="Z431" s="104"/>
      <c r="AA431" s="105"/>
    </row>
    <row r="432" spans="12:27" ht="25" customHeight="1">
      <c r="L432" s="31"/>
      <c r="M432" s="31"/>
      <c r="N432" s="31"/>
      <c r="R432" s="32"/>
      <c r="X432" s="35"/>
      <c r="Y432" s="102"/>
      <c r="Z432" s="104"/>
      <c r="AA432" s="105"/>
    </row>
    <row r="433" spans="12:27" ht="25" customHeight="1">
      <c r="L433" s="31"/>
      <c r="M433" s="31"/>
      <c r="N433" s="31"/>
      <c r="R433" s="32"/>
      <c r="X433" s="35"/>
      <c r="Y433" s="102"/>
      <c r="Z433" s="104"/>
      <c r="AA433" s="105"/>
    </row>
    <row r="434" spans="12:27" ht="25" customHeight="1">
      <c r="L434" s="31"/>
      <c r="M434" s="31"/>
      <c r="N434" s="31"/>
      <c r="R434" s="32"/>
      <c r="X434" s="35"/>
      <c r="Y434" s="102"/>
      <c r="Z434" s="104"/>
      <c r="AA434" s="105"/>
    </row>
    <row r="435" spans="12:27" ht="25" customHeight="1">
      <c r="L435" s="31"/>
      <c r="M435" s="31"/>
      <c r="N435" s="31"/>
      <c r="R435" s="32"/>
      <c r="X435" s="35"/>
      <c r="Y435" s="102"/>
      <c r="Z435" s="104"/>
      <c r="AA435" s="105"/>
    </row>
    <row r="436" spans="12:27" ht="25" customHeight="1">
      <c r="L436" s="31"/>
      <c r="M436" s="31"/>
      <c r="N436" s="31"/>
      <c r="R436" s="32"/>
      <c r="X436" s="35"/>
      <c r="Y436" s="102"/>
      <c r="Z436" s="104"/>
      <c r="AA436" s="105"/>
    </row>
    <row r="437" spans="12:27" ht="25" customHeight="1">
      <c r="L437" s="31"/>
      <c r="M437" s="31"/>
      <c r="N437" s="31"/>
      <c r="R437" s="32"/>
      <c r="X437" s="35"/>
      <c r="Y437" s="102"/>
      <c r="Z437" s="104"/>
      <c r="AA437" s="105"/>
    </row>
    <row r="438" spans="12:27" ht="25" customHeight="1">
      <c r="L438" s="31"/>
      <c r="M438" s="31"/>
      <c r="N438" s="31"/>
      <c r="R438" s="32"/>
      <c r="X438" s="35"/>
      <c r="Y438" s="102"/>
      <c r="Z438" s="104"/>
      <c r="AA438" s="105"/>
    </row>
    <row r="439" spans="12:27" ht="25" customHeight="1">
      <c r="L439" s="31"/>
      <c r="M439" s="31"/>
      <c r="N439" s="31"/>
      <c r="R439" s="32"/>
      <c r="X439" s="35"/>
      <c r="Y439" s="102"/>
      <c r="Z439" s="104"/>
      <c r="AA439" s="105"/>
    </row>
    <row r="440" spans="12:27" ht="25" customHeight="1">
      <c r="L440" s="31"/>
      <c r="M440" s="31"/>
      <c r="N440" s="31"/>
      <c r="R440" s="32"/>
      <c r="X440" s="35"/>
      <c r="Y440" s="102"/>
      <c r="Z440" s="104"/>
      <c r="AA440" s="105"/>
    </row>
    <row r="441" spans="12:27" ht="25" customHeight="1">
      <c r="L441" s="31"/>
      <c r="M441" s="31"/>
      <c r="N441" s="31"/>
      <c r="R441" s="32"/>
      <c r="X441" s="35"/>
      <c r="Y441" s="102"/>
      <c r="Z441" s="104"/>
      <c r="AA441" s="105"/>
    </row>
    <row r="442" spans="12:27" ht="25" customHeight="1">
      <c r="L442" s="31"/>
      <c r="M442" s="31"/>
      <c r="N442" s="31"/>
      <c r="R442" s="32"/>
      <c r="X442" s="35"/>
      <c r="Y442" s="102"/>
      <c r="Z442" s="104"/>
      <c r="AA442" s="105"/>
    </row>
    <row r="443" spans="12:27" ht="25" customHeight="1">
      <c r="L443" s="31"/>
      <c r="M443" s="31"/>
      <c r="N443" s="31"/>
      <c r="R443" s="32"/>
      <c r="X443" s="35"/>
      <c r="Y443" s="102"/>
      <c r="Z443" s="104"/>
      <c r="AA443" s="105"/>
    </row>
    <row r="444" spans="12:27" ht="25" customHeight="1">
      <c r="L444" s="31"/>
      <c r="M444" s="31"/>
      <c r="N444" s="31"/>
      <c r="R444" s="32"/>
      <c r="X444" s="35"/>
      <c r="Y444" s="102"/>
      <c r="Z444" s="104"/>
      <c r="AA444" s="105"/>
    </row>
    <row r="445" spans="12:27" ht="25" customHeight="1">
      <c r="L445" s="31"/>
      <c r="M445" s="31"/>
      <c r="N445" s="31"/>
      <c r="R445" s="32"/>
      <c r="X445" s="35"/>
      <c r="Y445" s="102"/>
      <c r="Z445" s="104"/>
      <c r="AA445" s="105"/>
    </row>
    <row r="446" spans="12:27" ht="25" customHeight="1">
      <c r="L446" s="31"/>
      <c r="M446" s="31"/>
      <c r="N446" s="31"/>
      <c r="R446" s="32"/>
      <c r="X446" s="35"/>
      <c r="Y446" s="102"/>
      <c r="Z446" s="104"/>
      <c r="AA446" s="105"/>
    </row>
    <row r="447" spans="12:27" ht="25" customHeight="1">
      <c r="L447" s="31"/>
      <c r="M447" s="31"/>
      <c r="N447" s="31"/>
      <c r="R447" s="32"/>
      <c r="X447" s="35"/>
      <c r="Y447" s="102"/>
      <c r="Z447" s="104"/>
      <c r="AA447" s="105"/>
    </row>
    <row r="448" spans="12:27" ht="25" customHeight="1">
      <c r="L448" s="31"/>
      <c r="M448" s="31"/>
      <c r="N448" s="31"/>
      <c r="R448" s="32"/>
      <c r="X448" s="35"/>
      <c r="Y448" s="102"/>
      <c r="Z448" s="104"/>
      <c r="AA448" s="105"/>
    </row>
    <row r="449" spans="12:27" ht="25" customHeight="1">
      <c r="L449" s="31"/>
      <c r="M449" s="31"/>
      <c r="N449" s="31"/>
      <c r="R449" s="32"/>
      <c r="X449" s="35"/>
      <c r="Y449" s="102"/>
      <c r="Z449" s="104"/>
      <c r="AA449" s="105"/>
    </row>
    <row r="450" spans="12:27" ht="25" customHeight="1">
      <c r="L450" s="31"/>
      <c r="M450" s="31"/>
      <c r="N450" s="31"/>
      <c r="R450" s="32"/>
      <c r="X450" s="35"/>
      <c r="Y450" s="102"/>
      <c r="Z450" s="104"/>
      <c r="AA450" s="105"/>
    </row>
    <row r="451" spans="12:27" ht="25" customHeight="1">
      <c r="L451" s="31"/>
      <c r="M451" s="31"/>
      <c r="N451" s="31"/>
      <c r="R451" s="32"/>
      <c r="X451" s="35"/>
      <c r="Y451" s="102"/>
      <c r="Z451" s="104"/>
      <c r="AA451" s="105"/>
    </row>
    <row r="452" spans="12:27" ht="25" customHeight="1">
      <c r="L452" s="31"/>
      <c r="M452" s="31"/>
      <c r="N452" s="31"/>
      <c r="R452" s="32"/>
      <c r="X452" s="35"/>
      <c r="Y452" s="102"/>
      <c r="Z452" s="104"/>
      <c r="AA452" s="105"/>
    </row>
    <row r="453" spans="12:27" ht="25" customHeight="1">
      <c r="L453" s="31"/>
      <c r="M453" s="31"/>
      <c r="N453" s="31"/>
      <c r="R453" s="32"/>
      <c r="X453" s="35"/>
      <c r="Y453" s="102"/>
      <c r="Z453" s="104"/>
      <c r="AA453" s="105"/>
    </row>
    <row r="454" spans="12:27" ht="25" customHeight="1">
      <c r="L454" s="31"/>
      <c r="M454" s="31"/>
      <c r="N454" s="31"/>
      <c r="R454" s="32"/>
      <c r="X454" s="35"/>
      <c r="Y454" s="102"/>
      <c r="Z454" s="104"/>
      <c r="AA454" s="105"/>
    </row>
    <row r="455" spans="12:27" ht="25" customHeight="1">
      <c r="L455" s="31"/>
      <c r="M455" s="31"/>
      <c r="N455" s="31"/>
      <c r="R455" s="32"/>
      <c r="X455" s="35"/>
      <c r="Y455" s="102"/>
      <c r="Z455" s="104"/>
      <c r="AA455" s="105"/>
    </row>
    <row r="456" spans="12:27" ht="25" customHeight="1">
      <c r="L456" s="31"/>
      <c r="M456" s="31"/>
      <c r="N456" s="31"/>
      <c r="R456" s="32"/>
      <c r="X456" s="35"/>
      <c r="Y456" s="102"/>
      <c r="Z456" s="104"/>
      <c r="AA456" s="105"/>
    </row>
    <row r="457" spans="12:27" ht="25" customHeight="1">
      <c r="L457" s="31"/>
      <c r="M457" s="31"/>
      <c r="N457" s="31"/>
      <c r="R457" s="32"/>
      <c r="X457" s="35"/>
      <c r="Y457" s="102"/>
      <c r="Z457" s="104"/>
      <c r="AA457" s="105"/>
    </row>
    <row r="458" spans="12:27" ht="25" customHeight="1">
      <c r="L458" s="31"/>
      <c r="M458" s="31"/>
      <c r="N458" s="31"/>
      <c r="R458" s="32"/>
      <c r="X458" s="35"/>
      <c r="Y458" s="102"/>
      <c r="Z458" s="104"/>
      <c r="AA458" s="105"/>
    </row>
    <row r="459" spans="12:27" ht="25" customHeight="1">
      <c r="L459" s="31"/>
      <c r="M459" s="31"/>
      <c r="N459" s="31"/>
      <c r="R459" s="32"/>
      <c r="X459" s="35"/>
      <c r="Y459" s="102"/>
      <c r="Z459" s="104"/>
      <c r="AA459" s="105"/>
    </row>
    <row r="460" spans="12:27" ht="25" customHeight="1">
      <c r="L460" s="31"/>
      <c r="M460" s="31"/>
      <c r="N460" s="31"/>
      <c r="R460" s="32"/>
      <c r="X460" s="35"/>
      <c r="Y460" s="102"/>
      <c r="Z460" s="104"/>
      <c r="AA460" s="105"/>
    </row>
    <row r="461" spans="12:27" ht="25" customHeight="1">
      <c r="L461" s="31"/>
      <c r="M461" s="31"/>
      <c r="N461" s="31"/>
      <c r="R461" s="32"/>
      <c r="X461" s="35"/>
      <c r="Y461" s="102"/>
      <c r="Z461" s="104"/>
      <c r="AA461" s="105"/>
    </row>
    <row r="462" spans="12:27" ht="25" customHeight="1">
      <c r="L462" s="31"/>
      <c r="M462" s="31"/>
      <c r="N462" s="31"/>
      <c r="R462" s="32"/>
      <c r="X462" s="35"/>
      <c r="Y462" s="102"/>
      <c r="Z462" s="104"/>
      <c r="AA462" s="105"/>
    </row>
    <row r="463" spans="12:27" ht="25" customHeight="1">
      <c r="L463" s="31"/>
      <c r="M463" s="31"/>
      <c r="N463" s="31"/>
      <c r="R463" s="32"/>
      <c r="X463" s="35"/>
      <c r="Y463" s="102"/>
      <c r="Z463" s="104"/>
      <c r="AA463" s="105"/>
    </row>
    <row r="464" spans="12:27" ht="25" customHeight="1">
      <c r="L464" s="31"/>
      <c r="M464" s="31"/>
      <c r="N464" s="31"/>
      <c r="R464" s="32"/>
      <c r="X464" s="35"/>
      <c r="Y464" s="102"/>
      <c r="Z464" s="104"/>
      <c r="AA464" s="105"/>
    </row>
    <row r="465" spans="12:27" ht="25" customHeight="1">
      <c r="L465" s="31"/>
      <c r="M465" s="31"/>
      <c r="N465" s="31"/>
      <c r="R465" s="32"/>
      <c r="X465" s="35"/>
      <c r="Y465" s="102"/>
      <c r="Z465" s="104"/>
      <c r="AA465" s="105"/>
    </row>
    <row r="466" spans="12:27" ht="25" customHeight="1">
      <c r="L466" s="31"/>
      <c r="M466" s="31"/>
      <c r="N466" s="31"/>
      <c r="R466" s="32"/>
      <c r="X466" s="35"/>
      <c r="Y466" s="102"/>
      <c r="Z466" s="104"/>
      <c r="AA466" s="105"/>
    </row>
    <row r="467" spans="12:27" ht="25" customHeight="1">
      <c r="L467" s="31"/>
      <c r="M467" s="31"/>
      <c r="N467" s="31"/>
      <c r="R467" s="32"/>
      <c r="X467" s="35"/>
      <c r="Y467" s="102"/>
      <c r="Z467" s="104"/>
      <c r="AA467" s="105"/>
    </row>
    <row r="468" spans="12:27" ht="25" customHeight="1">
      <c r="L468" s="31"/>
      <c r="M468" s="31"/>
      <c r="N468" s="31"/>
      <c r="R468" s="32"/>
      <c r="X468" s="35"/>
      <c r="Y468" s="102"/>
      <c r="Z468" s="104"/>
      <c r="AA468" s="105"/>
    </row>
    <row r="469" spans="12:27" ht="25" customHeight="1">
      <c r="L469" s="31"/>
      <c r="M469" s="31"/>
      <c r="N469" s="31"/>
      <c r="R469" s="32"/>
      <c r="X469" s="35"/>
      <c r="Y469" s="102"/>
      <c r="Z469" s="104"/>
      <c r="AA469" s="105"/>
    </row>
    <row r="470" spans="12:27" ht="25" customHeight="1">
      <c r="L470" s="31"/>
      <c r="M470" s="31"/>
      <c r="N470" s="31"/>
      <c r="R470" s="32"/>
      <c r="X470" s="35"/>
      <c r="Y470" s="102"/>
      <c r="Z470" s="104"/>
      <c r="AA470" s="105"/>
    </row>
    <row r="471" spans="12:27" ht="25" customHeight="1">
      <c r="L471" s="31"/>
      <c r="M471" s="31"/>
      <c r="N471" s="31"/>
      <c r="R471" s="32"/>
      <c r="X471" s="35"/>
      <c r="Y471" s="102"/>
      <c r="Z471" s="104"/>
      <c r="AA471" s="105"/>
    </row>
    <row r="472" spans="12:27" ht="25" customHeight="1">
      <c r="L472" s="31"/>
      <c r="M472" s="31"/>
      <c r="N472" s="31"/>
      <c r="R472" s="32"/>
      <c r="X472" s="35"/>
      <c r="Y472" s="102"/>
      <c r="Z472" s="104"/>
      <c r="AA472" s="105"/>
    </row>
    <row r="473" spans="12:27" ht="25" customHeight="1">
      <c r="L473" s="31"/>
      <c r="M473" s="31"/>
      <c r="N473" s="31"/>
      <c r="R473" s="32"/>
      <c r="X473" s="35"/>
      <c r="Y473" s="102"/>
      <c r="Z473" s="104"/>
      <c r="AA473" s="105"/>
    </row>
    <row r="474" spans="12:27" ht="25" customHeight="1">
      <c r="L474" s="31"/>
      <c r="M474" s="31"/>
      <c r="N474" s="31"/>
      <c r="R474" s="32"/>
      <c r="X474" s="35"/>
      <c r="Y474" s="102"/>
      <c r="Z474" s="104"/>
      <c r="AA474" s="105"/>
    </row>
    <row r="475" spans="12:27" ht="25" customHeight="1">
      <c r="L475" s="31"/>
      <c r="M475" s="31"/>
      <c r="N475" s="31"/>
      <c r="R475" s="32"/>
      <c r="X475" s="35"/>
      <c r="Y475" s="102"/>
      <c r="Z475" s="104"/>
      <c r="AA475" s="105"/>
    </row>
    <row r="476" spans="12:27" ht="25" customHeight="1">
      <c r="L476" s="31"/>
      <c r="M476" s="31"/>
      <c r="N476" s="31"/>
      <c r="R476" s="32"/>
      <c r="X476" s="35"/>
      <c r="Y476" s="102"/>
      <c r="Z476" s="104"/>
      <c r="AA476" s="105"/>
    </row>
    <row r="477" spans="12:27" ht="25" customHeight="1">
      <c r="L477" s="31"/>
      <c r="M477" s="31"/>
      <c r="N477" s="31"/>
      <c r="R477" s="32"/>
      <c r="X477" s="35"/>
      <c r="Y477" s="102"/>
      <c r="Z477" s="104"/>
      <c r="AA477" s="105"/>
    </row>
    <row r="478" spans="12:27" ht="25" customHeight="1">
      <c r="L478" s="31"/>
      <c r="M478" s="31"/>
      <c r="N478" s="31"/>
      <c r="R478" s="32"/>
      <c r="X478" s="35"/>
      <c r="Y478" s="102"/>
      <c r="Z478" s="104"/>
      <c r="AA478" s="105"/>
    </row>
    <row r="479" spans="12:27" ht="25" customHeight="1">
      <c r="L479" s="31"/>
      <c r="M479" s="31"/>
      <c r="N479" s="31"/>
      <c r="R479" s="32"/>
      <c r="X479" s="35"/>
      <c r="Y479" s="102"/>
      <c r="Z479" s="104"/>
      <c r="AA479" s="105"/>
    </row>
    <row r="480" spans="12:27" ht="25" customHeight="1">
      <c r="L480" s="31"/>
      <c r="M480" s="31"/>
      <c r="N480" s="31"/>
      <c r="R480" s="32"/>
      <c r="X480" s="35"/>
      <c r="Y480" s="102"/>
      <c r="Z480" s="104"/>
      <c r="AA480" s="105"/>
    </row>
    <row r="481" spans="12:27" ht="25" customHeight="1">
      <c r="L481" s="31"/>
      <c r="M481" s="31"/>
      <c r="N481" s="31"/>
      <c r="R481" s="32"/>
      <c r="X481" s="35"/>
      <c r="Y481" s="102"/>
      <c r="Z481" s="104"/>
      <c r="AA481" s="105"/>
    </row>
    <row r="482" spans="12:27" ht="25" customHeight="1">
      <c r="L482" s="31"/>
      <c r="M482" s="31"/>
      <c r="N482" s="31"/>
      <c r="R482" s="32"/>
      <c r="X482" s="35"/>
      <c r="Y482" s="102"/>
      <c r="Z482" s="104"/>
      <c r="AA482" s="105"/>
    </row>
    <row r="483" spans="12:27" ht="25" customHeight="1">
      <c r="L483" s="31"/>
      <c r="M483" s="31"/>
      <c r="N483" s="31"/>
      <c r="R483" s="32"/>
      <c r="X483" s="35"/>
      <c r="Y483" s="102"/>
      <c r="Z483" s="104"/>
      <c r="AA483" s="105"/>
    </row>
    <row r="484" spans="12:27" ht="25" customHeight="1">
      <c r="L484" s="31"/>
      <c r="M484" s="31"/>
      <c r="N484" s="31"/>
      <c r="R484" s="32"/>
      <c r="X484" s="35"/>
      <c r="Y484" s="102"/>
      <c r="Z484" s="104"/>
      <c r="AA484" s="105"/>
    </row>
    <row r="485" spans="12:27" ht="25" customHeight="1">
      <c r="L485" s="31"/>
      <c r="M485" s="31"/>
      <c r="N485" s="31"/>
      <c r="R485" s="32"/>
      <c r="X485" s="35"/>
      <c r="Y485" s="102"/>
      <c r="Z485" s="104"/>
      <c r="AA485" s="105"/>
    </row>
    <row r="486" spans="12:27" ht="25" customHeight="1">
      <c r="L486" s="31"/>
      <c r="M486" s="31"/>
      <c r="N486" s="31"/>
      <c r="R486" s="32"/>
      <c r="X486" s="35"/>
      <c r="Y486" s="102"/>
      <c r="Z486" s="104"/>
      <c r="AA486" s="105"/>
    </row>
    <row r="487" spans="12:27" ht="25" customHeight="1">
      <c r="L487" s="31"/>
      <c r="M487" s="31"/>
      <c r="N487" s="31"/>
      <c r="R487" s="32"/>
      <c r="X487" s="35"/>
      <c r="Y487" s="102"/>
      <c r="Z487" s="104"/>
      <c r="AA487" s="105"/>
    </row>
    <row r="488" spans="12:27" ht="25" customHeight="1">
      <c r="L488" s="31"/>
      <c r="M488" s="31"/>
      <c r="N488" s="31"/>
      <c r="R488" s="32"/>
      <c r="X488" s="35"/>
      <c r="Y488" s="102"/>
      <c r="Z488" s="104"/>
      <c r="AA488" s="105"/>
    </row>
    <row r="489" spans="12:27" ht="25" customHeight="1">
      <c r="L489" s="31"/>
      <c r="M489" s="31"/>
      <c r="N489" s="31"/>
      <c r="R489" s="32"/>
      <c r="X489" s="35"/>
      <c r="Y489" s="102"/>
      <c r="Z489" s="104"/>
      <c r="AA489" s="105"/>
    </row>
    <row r="490" spans="12:27" ht="25" customHeight="1">
      <c r="L490" s="31"/>
      <c r="M490" s="31"/>
      <c r="N490" s="31"/>
      <c r="R490" s="32"/>
      <c r="X490" s="35"/>
      <c r="Y490" s="102"/>
      <c r="Z490" s="104"/>
      <c r="AA490" s="105"/>
    </row>
    <row r="491" spans="12:27" ht="25" customHeight="1">
      <c r="L491" s="31"/>
      <c r="M491" s="31"/>
      <c r="N491" s="31"/>
      <c r="R491" s="32"/>
      <c r="X491" s="35"/>
      <c r="Y491" s="102"/>
      <c r="Z491" s="104"/>
      <c r="AA491" s="105"/>
    </row>
    <row r="492" spans="12:27" ht="25" customHeight="1">
      <c r="L492" s="31"/>
      <c r="M492" s="31"/>
      <c r="N492" s="31"/>
      <c r="R492" s="32"/>
      <c r="X492" s="35"/>
      <c r="Y492" s="102"/>
      <c r="Z492" s="104"/>
      <c r="AA492" s="105"/>
    </row>
    <row r="493" spans="12:27" ht="25" customHeight="1">
      <c r="L493" s="31"/>
      <c r="M493" s="31"/>
      <c r="N493" s="31"/>
      <c r="R493" s="32"/>
      <c r="X493" s="35"/>
      <c r="Y493" s="102"/>
      <c r="Z493" s="104"/>
      <c r="AA493" s="105"/>
    </row>
    <row r="494" spans="12:27" ht="25" customHeight="1">
      <c r="L494" s="31"/>
      <c r="M494" s="31"/>
      <c r="N494" s="31"/>
      <c r="R494" s="32"/>
      <c r="X494" s="35"/>
      <c r="Y494" s="102"/>
      <c r="Z494" s="104"/>
      <c r="AA494" s="105"/>
    </row>
    <row r="495" spans="12:27" ht="25" customHeight="1">
      <c r="L495" s="31"/>
      <c r="M495" s="31"/>
      <c r="N495" s="31"/>
      <c r="R495" s="32"/>
      <c r="X495" s="35"/>
      <c r="Y495" s="102"/>
      <c r="Z495" s="104"/>
      <c r="AA495" s="105"/>
    </row>
    <row r="496" spans="12:27" ht="25" customHeight="1">
      <c r="L496" s="31"/>
      <c r="M496" s="31"/>
      <c r="N496" s="31"/>
      <c r="R496" s="32"/>
      <c r="X496" s="35"/>
      <c r="Y496" s="102"/>
      <c r="Z496" s="104"/>
      <c r="AA496" s="105"/>
    </row>
    <row r="497" spans="12:27" ht="25" customHeight="1">
      <c r="L497" s="31"/>
      <c r="M497" s="31"/>
      <c r="N497" s="31"/>
      <c r="R497" s="32"/>
      <c r="X497" s="35"/>
      <c r="Y497" s="102"/>
      <c r="Z497" s="104"/>
      <c r="AA497" s="105"/>
    </row>
    <row r="498" spans="12:27" ht="25" customHeight="1">
      <c r="L498" s="31"/>
      <c r="M498" s="31"/>
      <c r="N498" s="31"/>
      <c r="R498" s="32"/>
      <c r="X498" s="35"/>
      <c r="Y498" s="102"/>
      <c r="Z498" s="104"/>
      <c r="AA498" s="105"/>
    </row>
    <row r="499" spans="12:27" ht="25" customHeight="1">
      <c r="L499" s="31"/>
      <c r="M499" s="31"/>
      <c r="N499" s="31"/>
      <c r="R499" s="32"/>
      <c r="X499" s="35"/>
      <c r="Y499" s="102"/>
      <c r="Z499" s="104"/>
      <c r="AA499" s="105"/>
    </row>
    <row r="500" spans="12:27" ht="25" customHeight="1">
      <c r="L500" s="31"/>
      <c r="M500" s="31"/>
      <c r="N500" s="31"/>
      <c r="R500" s="32"/>
      <c r="X500" s="35"/>
      <c r="Y500" s="102"/>
      <c r="Z500" s="104"/>
      <c r="AA500" s="105"/>
    </row>
    <row r="501" spans="12:27" ht="25" customHeight="1">
      <c r="L501" s="31"/>
      <c r="M501" s="31"/>
      <c r="N501" s="31"/>
      <c r="R501" s="32"/>
      <c r="X501" s="35"/>
      <c r="Y501" s="102"/>
      <c r="Z501" s="104"/>
      <c r="AA501" s="105"/>
    </row>
    <row r="502" spans="12:27" ht="25" customHeight="1">
      <c r="L502" s="31"/>
      <c r="M502" s="31"/>
      <c r="N502" s="31"/>
      <c r="R502" s="32"/>
      <c r="X502" s="35"/>
      <c r="Y502" s="102"/>
      <c r="Z502" s="104"/>
      <c r="AA502" s="105"/>
    </row>
    <row r="503" spans="12:27" ht="25" customHeight="1">
      <c r="L503" s="31"/>
      <c r="M503" s="31"/>
      <c r="N503" s="31"/>
      <c r="R503" s="32"/>
      <c r="X503" s="35"/>
      <c r="Y503" s="102"/>
      <c r="Z503" s="104"/>
      <c r="AA503" s="105"/>
    </row>
    <row r="504" spans="12:27" ht="25" customHeight="1">
      <c r="L504" s="31"/>
      <c r="M504" s="31"/>
      <c r="N504" s="31"/>
      <c r="R504" s="32"/>
      <c r="X504" s="35"/>
      <c r="Y504" s="102"/>
      <c r="Z504" s="104"/>
      <c r="AA504" s="105"/>
    </row>
    <row r="505" spans="12:27" ht="25" customHeight="1">
      <c r="L505" s="31"/>
      <c r="M505" s="31"/>
      <c r="N505" s="31"/>
      <c r="R505" s="32"/>
      <c r="X505" s="35"/>
      <c r="Y505" s="102"/>
      <c r="Z505" s="104"/>
      <c r="AA505" s="105"/>
    </row>
    <row r="506" spans="12:27" ht="25" customHeight="1">
      <c r="L506" s="31"/>
      <c r="M506" s="31"/>
      <c r="N506" s="31"/>
      <c r="R506" s="32"/>
      <c r="X506" s="35"/>
      <c r="Y506" s="102"/>
      <c r="Z506" s="104"/>
      <c r="AA506" s="105"/>
    </row>
    <row r="507" spans="12:27" ht="25" customHeight="1">
      <c r="L507" s="31"/>
      <c r="M507" s="31"/>
      <c r="N507" s="31"/>
      <c r="R507" s="32"/>
      <c r="X507" s="35"/>
      <c r="Y507" s="102"/>
      <c r="Z507" s="104"/>
      <c r="AA507" s="105"/>
    </row>
    <row r="508" spans="12:27" ht="25" customHeight="1">
      <c r="L508" s="31"/>
      <c r="M508" s="31"/>
      <c r="N508" s="31"/>
      <c r="R508" s="32"/>
      <c r="X508" s="35"/>
      <c r="Y508" s="102"/>
      <c r="Z508" s="104"/>
      <c r="AA508" s="105"/>
    </row>
    <row r="509" spans="12:27" ht="25" customHeight="1">
      <c r="L509" s="31"/>
      <c r="M509" s="31"/>
      <c r="N509" s="31"/>
      <c r="R509" s="32"/>
      <c r="X509" s="35"/>
      <c r="Y509" s="102"/>
      <c r="Z509" s="104"/>
      <c r="AA509" s="105"/>
    </row>
    <row r="510" spans="12:27" ht="25" customHeight="1">
      <c r="L510" s="31"/>
      <c r="M510" s="31"/>
      <c r="N510" s="31"/>
      <c r="R510" s="32"/>
      <c r="X510" s="35"/>
      <c r="Y510" s="102"/>
      <c r="Z510" s="104"/>
      <c r="AA510" s="105"/>
    </row>
    <row r="511" spans="12:27" ht="25" customHeight="1">
      <c r="L511" s="31"/>
      <c r="M511" s="31"/>
      <c r="N511" s="31"/>
      <c r="R511" s="32"/>
      <c r="X511" s="35"/>
      <c r="Y511" s="102"/>
      <c r="Z511" s="104"/>
      <c r="AA511" s="105"/>
    </row>
    <row r="512" spans="12:27" ht="25" customHeight="1">
      <c r="L512" s="31"/>
      <c r="M512" s="31"/>
      <c r="N512" s="31"/>
      <c r="R512" s="32"/>
      <c r="X512" s="35"/>
      <c r="Y512" s="102"/>
      <c r="Z512" s="104"/>
      <c r="AA512" s="105"/>
    </row>
    <row r="513" spans="12:27" ht="25" customHeight="1">
      <c r="L513" s="31"/>
      <c r="M513" s="31"/>
      <c r="N513" s="31"/>
      <c r="R513" s="32"/>
      <c r="X513" s="35"/>
      <c r="Y513" s="102"/>
      <c r="Z513" s="104"/>
      <c r="AA513" s="105"/>
    </row>
    <row r="514" spans="12:27" ht="25" customHeight="1">
      <c r="L514" s="31"/>
      <c r="M514" s="31"/>
      <c r="N514" s="31"/>
      <c r="R514" s="32"/>
      <c r="X514" s="35"/>
      <c r="Y514" s="102"/>
      <c r="Z514" s="104"/>
      <c r="AA514" s="105"/>
    </row>
    <row r="515" spans="12:27" ht="25" customHeight="1">
      <c r="L515" s="31"/>
      <c r="M515" s="31"/>
      <c r="N515" s="31"/>
      <c r="R515" s="32"/>
      <c r="X515" s="35"/>
      <c r="Y515" s="102"/>
      <c r="Z515" s="104"/>
      <c r="AA515" s="105"/>
    </row>
    <row r="516" spans="12:27" ht="25" customHeight="1">
      <c r="L516" s="31"/>
      <c r="M516" s="31"/>
      <c r="N516" s="31"/>
      <c r="R516" s="32"/>
      <c r="X516" s="35"/>
      <c r="Y516" s="102"/>
      <c r="Z516" s="104"/>
      <c r="AA516" s="105"/>
    </row>
    <row r="517" spans="12:27" ht="25" customHeight="1">
      <c r="L517" s="31"/>
      <c r="M517" s="31"/>
      <c r="N517" s="31"/>
      <c r="R517" s="32"/>
      <c r="X517" s="35"/>
      <c r="Y517" s="102"/>
      <c r="Z517" s="104"/>
      <c r="AA517" s="105"/>
    </row>
    <row r="518" spans="12:27" ht="25" customHeight="1">
      <c r="L518" s="31"/>
      <c r="M518" s="31"/>
      <c r="N518" s="31"/>
      <c r="R518" s="32"/>
      <c r="X518" s="35"/>
      <c r="Y518" s="102"/>
      <c r="Z518" s="104"/>
      <c r="AA518" s="105"/>
    </row>
    <row r="519" spans="12:27" ht="25" customHeight="1">
      <c r="L519" s="31"/>
      <c r="M519" s="31"/>
      <c r="N519" s="31"/>
      <c r="R519" s="32"/>
      <c r="X519" s="35"/>
      <c r="Y519" s="102"/>
      <c r="Z519" s="104"/>
      <c r="AA519" s="105"/>
    </row>
    <row r="520" spans="12:27" ht="25" customHeight="1">
      <c r="L520" s="31"/>
      <c r="M520" s="31"/>
      <c r="N520" s="31"/>
      <c r="R520" s="32"/>
      <c r="X520" s="35"/>
      <c r="Y520" s="102"/>
      <c r="Z520" s="104"/>
      <c r="AA520" s="105"/>
    </row>
    <row r="521" spans="12:27" ht="25" customHeight="1">
      <c r="L521" s="31"/>
      <c r="M521" s="31"/>
      <c r="N521" s="31"/>
      <c r="R521" s="32"/>
      <c r="X521" s="35"/>
      <c r="Y521" s="102"/>
      <c r="Z521" s="104"/>
      <c r="AA521" s="105"/>
    </row>
    <row r="522" spans="12:27" ht="25" customHeight="1">
      <c r="L522" s="31"/>
      <c r="M522" s="31"/>
      <c r="N522" s="31"/>
      <c r="R522" s="32"/>
      <c r="X522" s="35"/>
      <c r="Y522" s="102"/>
      <c r="Z522" s="104"/>
      <c r="AA522" s="105"/>
    </row>
    <row r="523" spans="12:27" ht="25" customHeight="1">
      <c r="L523" s="31"/>
      <c r="M523" s="31"/>
      <c r="N523" s="31"/>
      <c r="R523" s="32"/>
      <c r="X523" s="35"/>
      <c r="Y523" s="102"/>
      <c r="Z523" s="104"/>
      <c r="AA523" s="105"/>
    </row>
    <row r="524" spans="12:27" ht="25" customHeight="1">
      <c r="L524" s="31"/>
      <c r="M524" s="31"/>
      <c r="N524" s="31"/>
      <c r="R524" s="32"/>
      <c r="X524" s="35"/>
      <c r="Y524" s="102"/>
      <c r="Z524" s="104"/>
      <c r="AA524" s="105"/>
    </row>
    <row r="525" spans="12:27" ht="25" customHeight="1">
      <c r="L525" s="31"/>
      <c r="M525" s="31"/>
      <c r="N525" s="31"/>
      <c r="R525" s="32"/>
      <c r="X525" s="35"/>
      <c r="Y525" s="102"/>
      <c r="Z525" s="104"/>
      <c r="AA525" s="105"/>
    </row>
    <row r="526" spans="12:27" ht="25" customHeight="1">
      <c r="L526" s="31"/>
      <c r="M526" s="31"/>
      <c r="N526" s="31"/>
      <c r="R526" s="32"/>
      <c r="X526" s="35"/>
      <c r="Y526" s="102"/>
      <c r="Z526" s="104"/>
      <c r="AA526" s="105"/>
    </row>
    <row r="527" spans="12:27" ht="25" customHeight="1">
      <c r="L527" s="31"/>
      <c r="M527" s="31"/>
      <c r="N527" s="31"/>
      <c r="R527" s="32"/>
      <c r="X527" s="35"/>
      <c r="Y527" s="102"/>
      <c r="Z527" s="104"/>
      <c r="AA527" s="105"/>
    </row>
    <row r="528" spans="12:27" ht="25" customHeight="1">
      <c r="L528" s="31"/>
      <c r="M528" s="31"/>
      <c r="N528" s="31"/>
      <c r="R528" s="32"/>
      <c r="X528" s="35"/>
      <c r="Y528" s="102"/>
      <c r="Z528" s="104"/>
      <c r="AA528" s="105"/>
    </row>
    <row r="529" spans="12:27" ht="25" customHeight="1">
      <c r="L529" s="31"/>
      <c r="M529" s="31"/>
      <c r="N529" s="31"/>
      <c r="R529" s="32"/>
      <c r="X529" s="35"/>
      <c r="Y529" s="102"/>
      <c r="Z529" s="104"/>
      <c r="AA529" s="105"/>
    </row>
    <row r="530" spans="12:27" ht="25" customHeight="1">
      <c r="L530" s="31"/>
      <c r="M530" s="31"/>
      <c r="N530" s="31"/>
      <c r="R530" s="32"/>
      <c r="X530" s="35"/>
      <c r="Y530" s="102"/>
      <c r="Z530" s="104"/>
      <c r="AA530" s="105"/>
    </row>
    <row r="531" spans="12:27" ht="25" customHeight="1">
      <c r="L531" s="31"/>
      <c r="M531" s="31"/>
      <c r="N531" s="31"/>
      <c r="R531" s="32"/>
      <c r="X531" s="35"/>
      <c r="Y531" s="102"/>
      <c r="Z531" s="104"/>
      <c r="AA531" s="105"/>
    </row>
    <row r="532" spans="12:27" ht="25" customHeight="1">
      <c r="L532" s="31"/>
      <c r="M532" s="31"/>
      <c r="N532" s="31"/>
      <c r="R532" s="32"/>
      <c r="X532" s="35"/>
      <c r="Y532" s="102"/>
      <c r="Z532" s="104"/>
      <c r="AA532" s="105"/>
    </row>
    <row r="533" spans="12:27" ht="25" customHeight="1">
      <c r="L533" s="31"/>
      <c r="M533" s="31"/>
      <c r="N533" s="31"/>
      <c r="R533" s="32"/>
      <c r="X533" s="35"/>
      <c r="Y533" s="102"/>
      <c r="Z533" s="104"/>
      <c r="AA533" s="105"/>
    </row>
    <row r="534" spans="12:27" ht="25" customHeight="1">
      <c r="L534" s="31"/>
      <c r="M534" s="31"/>
      <c r="N534" s="31"/>
      <c r="R534" s="32"/>
      <c r="X534" s="35"/>
      <c r="Y534" s="102"/>
      <c r="Z534" s="104"/>
      <c r="AA534" s="105"/>
    </row>
    <row r="535" spans="12:27" ht="25" customHeight="1">
      <c r="L535" s="31"/>
      <c r="M535" s="31"/>
      <c r="N535" s="31"/>
      <c r="R535" s="32"/>
      <c r="X535" s="35"/>
      <c r="Y535" s="102"/>
      <c r="Z535" s="104"/>
      <c r="AA535" s="105"/>
    </row>
    <row r="536" spans="12:27" ht="25" customHeight="1">
      <c r="L536" s="31"/>
      <c r="M536" s="31"/>
      <c r="N536" s="31"/>
      <c r="R536" s="32"/>
      <c r="X536" s="35"/>
      <c r="Y536" s="102"/>
      <c r="Z536" s="104"/>
      <c r="AA536" s="105"/>
    </row>
    <row r="537" spans="12:27" ht="25" customHeight="1">
      <c r="L537" s="31"/>
      <c r="M537" s="31"/>
      <c r="N537" s="31"/>
      <c r="R537" s="32"/>
      <c r="X537" s="35"/>
      <c r="Y537" s="102"/>
      <c r="Z537" s="104"/>
      <c r="AA537" s="105"/>
    </row>
    <row r="538" spans="12:27" ht="25" customHeight="1">
      <c r="L538" s="31"/>
      <c r="M538" s="31"/>
      <c r="N538" s="31"/>
      <c r="R538" s="32"/>
      <c r="X538" s="35"/>
      <c r="Y538" s="102"/>
      <c r="Z538" s="104"/>
      <c r="AA538" s="105"/>
    </row>
    <row r="539" spans="12:27" ht="25" customHeight="1">
      <c r="L539" s="31"/>
      <c r="M539" s="31"/>
      <c r="N539" s="31"/>
      <c r="R539" s="32"/>
      <c r="X539" s="35"/>
      <c r="Y539" s="102"/>
      <c r="Z539" s="104"/>
      <c r="AA539" s="105"/>
    </row>
    <row r="540" spans="12:27" ht="25" customHeight="1">
      <c r="L540" s="31"/>
      <c r="M540" s="31"/>
      <c r="N540" s="31"/>
      <c r="R540" s="32"/>
      <c r="X540" s="35"/>
      <c r="Y540" s="102"/>
      <c r="Z540" s="104"/>
      <c r="AA540" s="105"/>
    </row>
    <row r="541" spans="12:27" ht="25" customHeight="1">
      <c r="L541" s="31"/>
      <c r="M541" s="31"/>
      <c r="N541" s="31"/>
      <c r="R541" s="32"/>
      <c r="X541" s="35"/>
      <c r="Y541" s="102"/>
      <c r="Z541" s="104"/>
      <c r="AA541" s="105"/>
    </row>
    <row r="542" spans="12:27" ht="25" customHeight="1">
      <c r="L542" s="31"/>
      <c r="M542" s="31"/>
      <c r="N542" s="31"/>
      <c r="R542" s="32"/>
      <c r="X542" s="35"/>
      <c r="Y542" s="102"/>
      <c r="Z542" s="104"/>
      <c r="AA542" s="105"/>
    </row>
    <row r="543" spans="12:27" ht="25" customHeight="1">
      <c r="L543" s="31"/>
      <c r="M543" s="31"/>
      <c r="N543" s="31"/>
      <c r="R543" s="32"/>
      <c r="X543" s="35"/>
      <c r="Y543" s="102"/>
      <c r="Z543" s="104"/>
      <c r="AA543" s="105"/>
    </row>
    <row r="544" spans="12:27" ht="25" customHeight="1">
      <c r="L544" s="31"/>
      <c r="M544" s="31"/>
      <c r="N544" s="31"/>
      <c r="R544" s="32"/>
      <c r="X544" s="35"/>
      <c r="Y544" s="102"/>
      <c r="Z544" s="104"/>
      <c r="AA544" s="105"/>
    </row>
    <row r="545" spans="12:27" ht="25" customHeight="1">
      <c r="L545" s="31"/>
      <c r="M545" s="31"/>
      <c r="N545" s="31"/>
      <c r="R545" s="32"/>
      <c r="X545" s="35"/>
      <c r="Y545" s="102"/>
      <c r="Z545" s="104"/>
      <c r="AA545" s="105"/>
    </row>
    <row r="546" spans="12:27" ht="25" customHeight="1">
      <c r="L546" s="31"/>
      <c r="M546" s="31"/>
      <c r="N546" s="31"/>
      <c r="R546" s="32"/>
      <c r="X546" s="35"/>
      <c r="Y546" s="102"/>
      <c r="Z546" s="104"/>
      <c r="AA546" s="105"/>
    </row>
    <row r="547" spans="12:27" ht="25" customHeight="1">
      <c r="L547" s="31"/>
      <c r="M547" s="31"/>
      <c r="N547" s="31"/>
      <c r="R547" s="32"/>
      <c r="X547" s="35"/>
      <c r="Y547" s="102"/>
      <c r="Z547" s="104"/>
      <c r="AA547" s="105"/>
    </row>
    <row r="548" spans="12:27" ht="25" customHeight="1">
      <c r="L548" s="31"/>
      <c r="M548" s="31"/>
      <c r="N548" s="31"/>
      <c r="R548" s="32"/>
      <c r="X548" s="35"/>
      <c r="Y548" s="102"/>
      <c r="Z548" s="104"/>
      <c r="AA548" s="105"/>
    </row>
    <row r="549" spans="12:27" ht="25" customHeight="1">
      <c r="L549" s="31"/>
      <c r="M549" s="31"/>
      <c r="N549" s="31"/>
      <c r="R549" s="32"/>
      <c r="X549" s="35"/>
      <c r="Y549" s="102"/>
      <c r="Z549" s="104"/>
      <c r="AA549" s="105"/>
    </row>
    <row r="550" spans="12:27" ht="25" customHeight="1">
      <c r="L550" s="31"/>
      <c r="M550" s="31"/>
      <c r="N550" s="31"/>
      <c r="R550" s="32"/>
      <c r="X550" s="35"/>
      <c r="Y550" s="102"/>
      <c r="Z550" s="104"/>
      <c r="AA550" s="105"/>
    </row>
    <row r="551" spans="12:27" ht="25" customHeight="1">
      <c r="L551" s="31"/>
      <c r="M551" s="31"/>
      <c r="N551" s="31"/>
      <c r="R551" s="32"/>
      <c r="X551" s="35"/>
      <c r="Y551" s="102"/>
      <c r="Z551" s="104"/>
      <c r="AA551" s="105"/>
    </row>
    <row r="552" spans="12:27" ht="25" customHeight="1">
      <c r="L552" s="31"/>
      <c r="M552" s="31"/>
      <c r="N552" s="31"/>
      <c r="R552" s="32"/>
      <c r="X552" s="35"/>
      <c r="Y552" s="102"/>
      <c r="Z552" s="104"/>
      <c r="AA552" s="105"/>
    </row>
    <row r="553" spans="12:27" ht="25" customHeight="1">
      <c r="L553" s="31"/>
      <c r="M553" s="31"/>
      <c r="N553" s="31"/>
      <c r="R553" s="32"/>
      <c r="X553" s="35"/>
      <c r="Y553" s="102"/>
      <c r="Z553" s="104"/>
      <c r="AA553" s="105"/>
    </row>
    <row r="554" spans="12:27" ht="25" customHeight="1">
      <c r="L554" s="31"/>
      <c r="M554" s="31"/>
      <c r="N554" s="31"/>
      <c r="R554" s="32"/>
      <c r="X554" s="35"/>
      <c r="Y554" s="102"/>
      <c r="Z554" s="104"/>
      <c r="AA554" s="105"/>
    </row>
    <row r="555" spans="12:27" ht="25" customHeight="1">
      <c r="L555" s="31"/>
      <c r="M555" s="31"/>
      <c r="N555" s="31"/>
      <c r="R555" s="32"/>
      <c r="X555" s="35"/>
      <c r="Y555" s="102"/>
      <c r="Z555" s="104"/>
      <c r="AA555" s="105"/>
    </row>
    <row r="556" spans="12:27" ht="25" customHeight="1">
      <c r="L556" s="31"/>
      <c r="M556" s="31"/>
      <c r="N556" s="31"/>
      <c r="R556" s="32"/>
      <c r="X556" s="35"/>
      <c r="Y556" s="102"/>
      <c r="Z556" s="104"/>
      <c r="AA556" s="105"/>
    </row>
    <row r="557" spans="12:27" ht="25" customHeight="1">
      <c r="L557" s="31"/>
      <c r="M557" s="31"/>
      <c r="N557" s="31"/>
      <c r="R557" s="32"/>
      <c r="X557" s="35"/>
      <c r="Y557" s="102"/>
      <c r="Z557" s="104"/>
      <c r="AA557" s="105"/>
    </row>
    <row r="558" spans="12:27" ht="25" customHeight="1">
      <c r="L558" s="31"/>
      <c r="M558" s="31"/>
      <c r="N558" s="31"/>
      <c r="R558" s="32"/>
      <c r="X558" s="35"/>
      <c r="Y558" s="102"/>
      <c r="Z558" s="104"/>
      <c r="AA558" s="105"/>
    </row>
    <row r="559" spans="12:27" ht="25" customHeight="1">
      <c r="L559" s="31"/>
      <c r="M559" s="31"/>
      <c r="N559" s="31"/>
      <c r="R559" s="32"/>
      <c r="X559" s="35"/>
      <c r="Y559" s="102"/>
      <c r="Z559" s="104"/>
      <c r="AA559" s="105"/>
    </row>
    <row r="560" spans="12:27" ht="25" customHeight="1">
      <c r="L560" s="31"/>
      <c r="M560" s="31"/>
      <c r="N560" s="31"/>
      <c r="R560" s="32"/>
      <c r="X560" s="35"/>
      <c r="Y560" s="102"/>
      <c r="Z560" s="104"/>
      <c r="AA560" s="105"/>
    </row>
    <row r="561" spans="12:27" ht="25" customHeight="1">
      <c r="L561" s="31"/>
      <c r="M561" s="31"/>
      <c r="N561" s="31"/>
      <c r="R561" s="32"/>
      <c r="X561" s="35"/>
      <c r="Y561" s="102"/>
      <c r="Z561" s="104"/>
      <c r="AA561" s="105"/>
    </row>
    <row r="562" spans="12:27" ht="25" customHeight="1">
      <c r="L562" s="31"/>
      <c r="M562" s="31"/>
      <c r="N562" s="31"/>
      <c r="R562" s="32"/>
      <c r="X562" s="35"/>
      <c r="Y562" s="102"/>
      <c r="Z562" s="104"/>
      <c r="AA562" s="105"/>
    </row>
    <row r="563" spans="12:27" ht="25" customHeight="1">
      <c r="L563" s="31"/>
      <c r="M563" s="31"/>
      <c r="N563" s="31"/>
      <c r="R563" s="32"/>
      <c r="X563" s="35"/>
      <c r="Y563" s="102"/>
      <c r="Z563" s="104"/>
      <c r="AA563" s="105"/>
    </row>
    <row r="564" spans="12:27" ht="25" customHeight="1">
      <c r="L564" s="31"/>
      <c r="M564" s="31"/>
      <c r="N564" s="31"/>
      <c r="R564" s="32"/>
      <c r="X564" s="35"/>
      <c r="Y564" s="102"/>
      <c r="Z564" s="104"/>
      <c r="AA564" s="105"/>
    </row>
    <row r="565" spans="12:27" ht="25" customHeight="1">
      <c r="L565" s="31"/>
      <c r="M565" s="31"/>
      <c r="N565" s="31"/>
      <c r="R565" s="32"/>
      <c r="X565" s="35"/>
      <c r="Y565" s="102"/>
      <c r="Z565" s="104"/>
      <c r="AA565" s="105"/>
    </row>
    <row r="566" spans="12:27" ht="25" customHeight="1">
      <c r="L566" s="31"/>
      <c r="M566" s="31"/>
      <c r="N566" s="31"/>
      <c r="R566" s="32"/>
      <c r="X566" s="35"/>
      <c r="Y566" s="102"/>
      <c r="Z566" s="104"/>
      <c r="AA566" s="105"/>
    </row>
    <row r="567" spans="12:27" ht="25" customHeight="1">
      <c r="L567" s="31"/>
      <c r="M567" s="31"/>
      <c r="N567" s="31"/>
      <c r="R567" s="32"/>
      <c r="X567" s="35"/>
      <c r="Y567" s="102"/>
      <c r="Z567" s="104"/>
      <c r="AA567" s="105"/>
    </row>
    <row r="568" spans="12:27" ht="25" customHeight="1">
      <c r="L568" s="31"/>
      <c r="M568" s="31"/>
      <c r="N568" s="31"/>
      <c r="R568" s="32"/>
      <c r="X568" s="35"/>
      <c r="Y568" s="102"/>
      <c r="Z568" s="104"/>
      <c r="AA568" s="105"/>
    </row>
    <row r="569" spans="12:27" ht="25" customHeight="1">
      <c r="L569" s="31"/>
      <c r="M569" s="31"/>
      <c r="N569" s="31"/>
      <c r="R569" s="32"/>
      <c r="X569" s="35"/>
      <c r="Y569" s="102"/>
      <c r="Z569" s="104"/>
      <c r="AA569" s="105"/>
    </row>
    <row r="570" spans="12:27" ht="25" customHeight="1">
      <c r="L570" s="31"/>
      <c r="M570" s="31"/>
      <c r="N570" s="31"/>
      <c r="R570" s="32"/>
      <c r="X570" s="35"/>
      <c r="Y570" s="102"/>
      <c r="Z570" s="104"/>
      <c r="AA570" s="105"/>
    </row>
    <row r="571" spans="12:27" ht="25" customHeight="1">
      <c r="L571" s="31"/>
      <c r="M571" s="31"/>
      <c r="N571" s="31"/>
      <c r="R571" s="32"/>
      <c r="X571" s="35"/>
      <c r="Y571" s="102"/>
      <c r="Z571" s="104"/>
      <c r="AA571" s="105"/>
    </row>
    <row r="572" spans="12:27" ht="25" customHeight="1">
      <c r="L572" s="31"/>
      <c r="M572" s="31"/>
      <c r="N572" s="31"/>
      <c r="R572" s="32"/>
      <c r="X572" s="35"/>
      <c r="Y572" s="102"/>
      <c r="Z572" s="104"/>
      <c r="AA572" s="105"/>
    </row>
    <row r="573" spans="12:27" ht="25" customHeight="1">
      <c r="L573" s="31"/>
      <c r="M573" s="31"/>
      <c r="N573" s="31"/>
      <c r="R573" s="32"/>
      <c r="X573" s="35"/>
      <c r="Y573" s="102"/>
      <c r="Z573" s="104"/>
      <c r="AA573" s="105"/>
    </row>
    <row r="574" spans="12:27" ht="25" customHeight="1">
      <c r="L574" s="31"/>
      <c r="M574" s="31"/>
      <c r="N574" s="31"/>
      <c r="R574" s="32"/>
      <c r="X574" s="35"/>
      <c r="Y574" s="102"/>
      <c r="Z574" s="104"/>
      <c r="AA574" s="105"/>
    </row>
    <row r="575" spans="12:27" ht="25" customHeight="1">
      <c r="L575" s="31"/>
      <c r="M575" s="31"/>
      <c r="N575" s="31"/>
      <c r="R575" s="32"/>
      <c r="X575" s="35"/>
      <c r="Y575" s="102"/>
      <c r="Z575" s="104"/>
      <c r="AA575" s="105"/>
    </row>
    <row r="576" spans="12:27" ht="25" customHeight="1">
      <c r="L576" s="31"/>
      <c r="M576" s="31"/>
      <c r="N576" s="31"/>
      <c r="R576" s="32"/>
      <c r="X576" s="35"/>
      <c r="Y576" s="102"/>
      <c r="Z576" s="104"/>
      <c r="AA576" s="105"/>
    </row>
    <row r="577" spans="12:27" ht="25" customHeight="1">
      <c r="L577" s="31"/>
      <c r="M577" s="31"/>
      <c r="N577" s="31"/>
      <c r="R577" s="32"/>
      <c r="X577" s="35"/>
      <c r="Y577" s="102"/>
      <c r="Z577" s="104"/>
      <c r="AA577" s="105"/>
    </row>
    <row r="578" spans="12:27" ht="25" customHeight="1">
      <c r="L578" s="31"/>
      <c r="M578" s="31"/>
      <c r="N578" s="31"/>
      <c r="R578" s="32"/>
      <c r="X578" s="35"/>
      <c r="Y578" s="102"/>
      <c r="Z578" s="104"/>
      <c r="AA578" s="105"/>
    </row>
    <row r="579" spans="12:27" ht="25" customHeight="1">
      <c r="L579" s="31"/>
      <c r="M579" s="31"/>
      <c r="N579" s="31"/>
      <c r="R579" s="32"/>
      <c r="X579" s="35"/>
      <c r="Y579" s="102"/>
      <c r="Z579" s="104"/>
      <c r="AA579" s="105"/>
    </row>
    <row r="580" spans="12:27" ht="25" customHeight="1">
      <c r="L580" s="31"/>
      <c r="M580" s="31"/>
      <c r="N580" s="31"/>
      <c r="R580" s="32"/>
      <c r="X580" s="35"/>
      <c r="Y580" s="102"/>
      <c r="Z580" s="104"/>
      <c r="AA580" s="105"/>
    </row>
    <row r="581" spans="12:27" ht="25" customHeight="1">
      <c r="L581" s="31"/>
      <c r="M581" s="31"/>
      <c r="N581" s="31"/>
      <c r="R581" s="32"/>
      <c r="X581" s="35"/>
      <c r="Y581" s="102"/>
      <c r="Z581" s="104"/>
      <c r="AA581" s="105"/>
    </row>
    <row r="582" spans="12:27" ht="25" customHeight="1">
      <c r="L582" s="31"/>
      <c r="M582" s="31"/>
      <c r="N582" s="31"/>
      <c r="R582" s="32"/>
      <c r="X582" s="35"/>
      <c r="Y582" s="102"/>
      <c r="Z582" s="104"/>
      <c r="AA582" s="105"/>
    </row>
    <row r="583" spans="12:27" ht="25" customHeight="1">
      <c r="L583" s="31"/>
      <c r="M583" s="31"/>
      <c r="N583" s="31"/>
      <c r="R583" s="32"/>
      <c r="X583" s="35"/>
      <c r="Y583" s="102"/>
      <c r="Z583" s="104"/>
      <c r="AA583" s="105"/>
    </row>
    <row r="584" spans="12:27" ht="25" customHeight="1">
      <c r="L584" s="31"/>
      <c r="M584" s="31"/>
      <c r="N584" s="31"/>
      <c r="R584" s="32"/>
      <c r="X584" s="35"/>
      <c r="Y584" s="102"/>
      <c r="Z584" s="104"/>
      <c r="AA584" s="105"/>
    </row>
    <row r="585" spans="12:27" ht="25" customHeight="1">
      <c r="L585" s="31"/>
      <c r="M585" s="31"/>
      <c r="N585" s="31"/>
      <c r="R585" s="32"/>
      <c r="X585" s="35"/>
      <c r="Y585" s="102"/>
      <c r="Z585" s="104"/>
      <c r="AA585" s="105"/>
    </row>
    <row r="586" spans="12:27" ht="25" customHeight="1">
      <c r="L586" s="31"/>
      <c r="M586" s="31"/>
      <c r="N586" s="31"/>
      <c r="R586" s="32"/>
      <c r="X586" s="35"/>
      <c r="Y586" s="102"/>
      <c r="Z586" s="104"/>
      <c r="AA586" s="105"/>
    </row>
    <row r="587" spans="12:27" ht="25" customHeight="1">
      <c r="L587" s="31"/>
      <c r="M587" s="31"/>
      <c r="N587" s="31"/>
      <c r="R587" s="32"/>
      <c r="X587" s="35"/>
      <c r="Y587" s="102"/>
      <c r="Z587" s="104"/>
      <c r="AA587" s="105"/>
    </row>
    <row r="588" spans="12:27" ht="25" customHeight="1">
      <c r="L588" s="31"/>
      <c r="M588" s="31"/>
      <c r="N588" s="31"/>
      <c r="R588" s="32"/>
      <c r="X588" s="35"/>
      <c r="Y588" s="102"/>
      <c r="Z588" s="104"/>
      <c r="AA588" s="105"/>
    </row>
    <row r="589" spans="12:27" ht="25" customHeight="1">
      <c r="L589" s="31"/>
      <c r="M589" s="31"/>
      <c r="N589" s="31"/>
      <c r="R589" s="32"/>
      <c r="X589" s="35"/>
      <c r="Y589" s="102"/>
      <c r="Z589" s="104"/>
      <c r="AA589" s="105"/>
    </row>
    <row r="590" spans="12:27" ht="25" customHeight="1">
      <c r="L590" s="31"/>
      <c r="M590" s="31"/>
      <c r="N590" s="31"/>
      <c r="R590" s="32"/>
      <c r="X590" s="35"/>
      <c r="Y590" s="102"/>
      <c r="Z590" s="104"/>
      <c r="AA590" s="105"/>
    </row>
    <row r="591" spans="12:27" ht="25" customHeight="1">
      <c r="L591" s="31"/>
      <c r="M591" s="31"/>
      <c r="N591" s="31"/>
      <c r="R591" s="32"/>
      <c r="X591" s="35"/>
      <c r="Y591" s="102"/>
      <c r="Z591" s="104"/>
      <c r="AA591" s="105"/>
    </row>
    <row r="592" spans="12:27" ht="25" customHeight="1">
      <c r="L592" s="31"/>
      <c r="M592" s="31"/>
      <c r="N592" s="31"/>
      <c r="R592" s="32"/>
      <c r="X592" s="35"/>
      <c r="Y592" s="102"/>
      <c r="Z592" s="104"/>
      <c r="AA592" s="105"/>
    </row>
    <row r="593" spans="12:27" ht="25" customHeight="1">
      <c r="L593" s="31"/>
      <c r="M593" s="31"/>
      <c r="N593" s="31"/>
      <c r="R593" s="32"/>
      <c r="X593" s="35"/>
      <c r="Y593" s="102"/>
      <c r="Z593" s="104"/>
      <c r="AA593" s="105"/>
    </row>
    <row r="594" spans="12:27" ht="25" customHeight="1">
      <c r="L594" s="31"/>
      <c r="M594" s="31"/>
      <c r="N594" s="31"/>
      <c r="R594" s="32"/>
      <c r="X594" s="35"/>
      <c r="Y594" s="102"/>
      <c r="Z594" s="104"/>
      <c r="AA594" s="105"/>
    </row>
    <row r="595" spans="12:27" ht="25" customHeight="1">
      <c r="L595" s="31"/>
      <c r="M595" s="31"/>
      <c r="N595" s="31"/>
      <c r="R595" s="32"/>
      <c r="X595" s="35"/>
      <c r="Y595" s="102"/>
      <c r="Z595" s="104"/>
      <c r="AA595" s="105"/>
    </row>
    <row r="596" spans="12:27" ht="25" customHeight="1">
      <c r="L596" s="31"/>
      <c r="M596" s="31"/>
      <c r="N596" s="31"/>
      <c r="R596" s="32"/>
      <c r="X596" s="35"/>
      <c r="Y596" s="102"/>
      <c r="Z596" s="104"/>
      <c r="AA596" s="105"/>
    </row>
    <row r="597" spans="12:27" ht="25" customHeight="1">
      <c r="L597" s="31"/>
      <c r="M597" s="31"/>
      <c r="N597" s="31"/>
      <c r="R597" s="32"/>
      <c r="X597" s="35"/>
      <c r="Y597" s="102"/>
      <c r="Z597" s="104"/>
      <c r="AA597" s="105"/>
    </row>
    <row r="598" spans="12:27" ht="25" customHeight="1">
      <c r="L598" s="31"/>
      <c r="M598" s="31"/>
      <c r="N598" s="31"/>
      <c r="R598" s="32"/>
      <c r="X598" s="35"/>
      <c r="Y598" s="102"/>
      <c r="Z598" s="104"/>
      <c r="AA598" s="105"/>
    </row>
    <row r="599" spans="12:27" ht="25" customHeight="1">
      <c r="L599" s="31"/>
      <c r="M599" s="31"/>
      <c r="N599" s="31"/>
      <c r="R599" s="32"/>
      <c r="X599" s="35"/>
      <c r="Y599" s="102"/>
      <c r="Z599" s="104"/>
      <c r="AA599" s="105"/>
    </row>
    <row r="600" spans="12:27" ht="25" customHeight="1">
      <c r="L600" s="31"/>
      <c r="M600" s="31"/>
      <c r="N600" s="31"/>
      <c r="R600" s="32"/>
      <c r="X600" s="35"/>
      <c r="Y600" s="102"/>
      <c r="Z600" s="104"/>
      <c r="AA600" s="105"/>
    </row>
    <row r="601" spans="12:27" ht="25" customHeight="1">
      <c r="L601" s="31"/>
      <c r="M601" s="31"/>
      <c r="N601" s="31"/>
      <c r="R601" s="32"/>
      <c r="X601" s="35"/>
      <c r="Y601" s="102"/>
      <c r="Z601" s="104"/>
      <c r="AA601" s="105"/>
    </row>
    <row r="602" spans="12:27" ht="25" customHeight="1">
      <c r="L602" s="31"/>
      <c r="M602" s="31"/>
      <c r="N602" s="31"/>
      <c r="R602" s="32"/>
      <c r="X602" s="35"/>
      <c r="Y602" s="102"/>
      <c r="Z602" s="104"/>
      <c r="AA602" s="105"/>
    </row>
    <row r="603" spans="12:27" ht="25" customHeight="1">
      <c r="L603" s="31"/>
      <c r="M603" s="31"/>
      <c r="N603" s="31"/>
      <c r="R603" s="32"/>
      <c r="X603" s="35"/>
      <c r="Y603" s="102"/>
      <c r="Z603" s="104"/>
      <c r="AA603" s="105"/>
    </row>
    <row r="604" spans="12:27" ht="25" customHeight="1">
      <c r="L604" s="31"/>
      <c r="M604" s="31"/>
      <c r="N604" s="31"/>
      <c r="R604" s="32"/>
      <c r="X604" s="35"/>
      <c r="Y604" s="102"/>
      <c r="Z604" s="104"/>
      <c r="AA604" s="105"/>
    </row>
    <row r="605" spans="12:27" ht="25" customHeight="1">
      <c r="L605" s="31"/>
      <c r="M605" s="31"/>
      <c r="N605" s="31"/>
      <c r="R605" s="32"/>
      <c r="X605" s="35"/>
      <c r="Y605" s="102"/>
      <c r="Z605" s="104"/>
      <c r="AA605" s="105"/>
    </row>
    <row r="606" spans="12:27" ht="25" customHeight="1">
      <c r="L606" s="31"/>
      <c r="M606" s="31"/>
      <c r="N606" s="31"/>
      <c r="R606" s="32"/>
      <c r="X606" s="35"/>
      <c r="Y606" s="102"/>
      <c r="Z606" s="104"/>
      <c r="AA606" s="105"/>
    </row>
    <row r="607" spans="12:27" ht="25" customHeight="1">
      <c r="L607" s="31"/>
      <c r="M607" s="31"/>
      <c r="N607" s="31"/>
      <c r="R607" s="32"/>
      <c r="X607" s="35"/>
      <c r="Y607" s="102"/>
      <c r="Z607" s="104"/>
      <c r="AA607" s="105"/>
    </row>
    <row r="608" spans="12:27" ht="25" customHeight="1">
      <c r="L608" s="31"/>
      <c r="M608" s="31"/>
      <c r="N608" s="31"/>
      <c r="R608" s="32"/>
      <c r="X608" s="35"/>
      <c r="Y608" s="102"/>
      <c r="Z608" s="104"/>
      <c r="AA608" s="105"/>
    </row>
    <row r="609" spans="12:27" ht="25" customHeight="1">
      <c r="L609" s="31"/>
      <c r="M609" s="31"/>
      <c r="N609" s="31"/>
      <c r="R609" s="32"/>
      <c r="X609" s="35"/>
      <c r="Y609" s="102"/>
      <c r="Z609" s="104"/>
      <c r="AA609" s="105"/>
    </row>
    <row r="610" spans="12:27" ht="25" customHeight="1">
      <c r="L610" s="31"/>
      <c r="M610" s="31"/>
      <c r="N610" s="31"/>
      <c r="R610" s="32"/>
      <c r="X610" s="35"/>
      <c r="Y610" s="102"/>
      <c r="Z610" s="104"/>
      <c r="AA610" s="105"/>
    </row>
    <row r="611" spans="12:27" ht="25" customHeight="1">
      <c r="L611" s="31"/>
      <c r="M611" s="31"/>
      <c r="N611" s="31"/>
      <c r="R611" s="32"/>
      <c r="X611" s="35"/>
      <c r="Y611" s="102"/>
      <c r="Z611" s="104"/>
      <c r="AA611" s="105"/>
    </row>
    <row r="612" spans="12:27" ht="25" customHeight="1">
      <c r="L612" s="31"/>
      <c r="M612" s="31"/>
      <c r="N612" s="31"/>
      <c r="R612" s="32"/>
      <c r="X612" s="35"/>
      <c r="Y612" s="102"/>
      <c r="Z612" s="104"/>
      <c r="AA612" s="105"/>
    </row>
    <row r="613" spans="12:27" ht="25" customHeight="1">
      <c r="L613" s="31"/>
      <c r="M613" s="31"/>
      <c r="N613" s="31"/>
      <c r="R613" s="32"/>
      <c r="X613" s="35"/>
      <c r="Y613" s="102"/>
      <c r="Z613" s="104"/>
      <c r="AA613" s="105"/>
    </row>
    <row r="614" spans="12:27" ht="25" customHeight="1">
      <c r="L614" s="31"/>
      <c r="M614" s="31"/>
      <c r="N614" s="31"/>
      <c r="R614" s="32"/>
      <c r="X614" s="35"/>
      <c r="Y614" s="102"/>
      <c r="Z614" s="104"/>
      <c r="AA614" s="105"/>
    </row>
    <row r="615" spans="12:27" ht="25" customHeight="1">
      <c r="L615" s="31"/>
      <c r="M615" s="31"/>
      <c r="N615" s="31"/>
      <c r="R615" s="32"/>
      <c r="X615" s="35"/>
      <c r="Y615" s="102"/>
      <c r="Z615" s="104"/>
      <c r="AA615" s="105"/>
    </row>
    <row r="616" spans="12:27" ht="25" customHeight="1">
      <c r="L616" s="31"/>
      <c r="M616" s="31"/>
      <c r="N616" s="31"/>
      <c r="R616" s="32"/>
      <c r="X616" s="35"/>
      <c r="Y616" s="102"/>
      <c r="Z616" s="104"/>
      <c r="AA616" s="105"/>
    </row>
    <row r="617" spans="12:27" ht="25" customHeight="1">
      <c r="L617" s="31"/>
      <c r="M617" s="31"/>
      <c r="N617" s="31"/>
      <c r="R617" s="32"/>
      <c r="X617" s="35"/>
      <c r="Y617" s="102"/>
      <c r="Z617" s="104"/>
      <c r="AA617" s="105"/>
    </row>
    <row r="618" spans="12:27" ht="25" customHeight="1">
      <c r="L618" s="31"/>
      <c r="M618" s="31"/>
      <c r="N618" s="31"/>
      <c r="R618" s="32"/>
      <c r="X618" s="35"/>
      <c r="Y618" s="102"/>
      <c r="Z618" s="104"/>
      <c r="AA618" s="105"/>
    </row>
    <row r="619" spans="12:27" ht="25" customHeight="1">
      <c r="L619" s="31"/>
      <c r="M619" s="31"/>
      <c r="N619" s="31"/>
      <c r="R619" s="32"/>
      <c r="X619" s="35"/>
      <c r="Y619" s="102"/>
      <c r="Z619" s="104"/>
      <c r="AA619" s="105"/>
    </row>
    <row r="620" spans="12:27" ht="25" customHeight="1">
      <c r="L620" s="31"/>
      <c r="M620" s="31"/>
      <c r="N620" s="31"/>
      <c r="R620" s="32"/>
      <c r="X620" s="35"/>
      <c r="Y620" s="102"/>
      <c r="Z620" s="104"/>
      <c r="AA620" s="105"/>
    </row>
    <row r="621" spans="12:27" ht="25" customHeight="1">
      <c r="L621" s="31"/>
      <c r="M621" s="31"/>
      <c r="N621" s="31"/>
      <c r="R621" s="32"/>
      <c r="X621" s="35"/>
      <c r="Y621" s="102"/>
      <c r="Z621" s="104"/>
      <c r="AA621" s="105"/>
    </row>
    <row r="622" spans="12:27" ht="25" customHeight="1">
      <c r="L622" s="31"/>
      <c r="M622" s="31"/>
      <c r="N622" s="31"/>
      <c r="R622" s="32"/>
      <c r="X622" s="35"/>
      <c r="Y622" s="102"/>
      <c r="Z622" s="104"/>
      <c r="AA622" s="105"/>
    </row>
    <row r="623" spans="12:27" ht="25" customHeight="1">
      <c r="L623" s="31"/>
      <c r="M623" s="31"/>
      <c r="N623" s="31"/>
      <c r="R623" s="32"/>
      <c r="X623" s="35"/>
      <c r="Y623" s="102"/>
      <c r="Z623" s="104"/>
      <c r="AA623" s="105"/>
    </row>
    <row r="624" spans="12:27" ht="25" customHeight="1">
      <c r="L624" s="31"/>
      <c r="M624" s="31"/>
      <c r="N624" s="31"/>
      <c r="R624" s="32"/>
      <c r="X624" s="35"/>
      <c r="Y624" s="102"/>
      <c r="Z624" s="104"/>
      <c r="AA624" s="105"/>
    </row>
    <row r="625" spans="12:27" ht="25" customHeight="1">
      <c r="L625" s="31"/>
      <c r="M625" s="31"/>
      <c r="N625" s="31"/>
      <c r="R625" s="32"/>
      <c r="X625" s="35"/>
      <c r="Y625" s="102"/>
      <c r="Z625" s="104"/>
      <c r="AA625" s="105"/>
    </row>
    <row r="626" spans="12:27" ht="25" customHeight="1">
      <c r="L626" s="31"/>
      <c r="M626" s="31"/>
      <c r="N626" s="31"/>
      <c r="R626" s="32"/>
      <c r="X626" s="35"/>
      <c r="Y626" s="102"/>
      <c r="Z626" s="104"/>
      <c r="AA626" s="105"/>
    </row>
    <row r="627" spans="12:27" ht="25" customHeight="1">
      <c r="L627" s="31"/>
      <c r="M627" s="31"/>
      <c r="N627" s="31"/>
      <c r="R627" s="32"/>
      <c r="X627" s="35"/>
      <c r="Y627" s="102"/>
      <c r="Z627" s="104"/>
      <c r="AA627" s="105"/>
    </row>
    <row r="628" spans="12:27" ht="25" customHeight="1">
      <c r="L628" s="31"/>
      <c r="M628" s="31"/>
      <c r="N628" s="31"/>
      <c r="R628" s="32"/>
      <c r="X628" s="35"/>
      <c r="Y628" s="102"/>
      <c r="Z628" s="104"/>
      <c r="AA628" s="105"/>
    </row>
    <row r="629" spans="12:27" ht="25" customHeight="1">
      <c r="L629" s="31"/>
      <c r="M629" s="31"/>
      <c r="N629" s="31"/>
      <c r="R629" s="32"/>
      <c r="X629" s="35"/>
      <c r="Y629" s="102"/>
      <c r="Z629" s="104"/>
      <c r="AA629" s="105"/>
    </row>
    <row r="630" spans="12:27" ht="25" customHeight="1">
      <c r="L630" s="31"/>
      <c r="M630" s="31"/>
      <c r="N630" s="31"/>
      <c r="R630" s="32"/>
      <c r="X630" s="35"/>
      <c r="Y630" s="102"/>
      <c r="Z630" s="104"/>
      <c r="AA630" s="105"/>
    </row>
    <row r="631" spans="12:27" ht="25" customHeight="1">
      <c r="L631" s="31"/>
      <c r="M631" s="31"/>
      <c r="N631" s="31"/>
      <c r="R631" s="32"/>
      <c r="X631" s="35"/>
      <c r="Y631" s="102"/>
      <c r="Z631" s="104"/>
      <c r="AA631" s="105"/>
    </row>
    <row r="632" spans="12:27" ht="25" customHeight="1">
      <c r="L632" s="31"/>
      <c r="M632" s="31"/>
      <c r="N632" s="31"/>
      <c r="R632" s="32"/>
      <c r="X632" s="35"/>
      <c r="Y632" s="102"/>
      <c r="Z632" s="104"/>
      <c r="AA632" s="105"/>
    </row>
    <row r="633" spans="12:27" ht="25" customHeight="1">
      <c r="L633" s="31"/>
      <c r="M633" s="31"/>
      <c r="N633" s="31"/>
      <c r="R633" s="32"/>
      <c r="X633" s="35"/>
      <c r="Y633" s="102"/>
      <c r="Z633" s="104"/>
      <c r="AA633" s="105"/>
    </row>
    <row r="634" spans="12:27" ht="25" customHeight="1">
      <c r="L634" s="31"/>
      <c r="M634" s="31"/>
      <c r="N634" s="31"/>
      <c r="R634" s="32"/>
      <c r="X634" s="35"/>
      <c r="Y634" s="102"/>
      <c r="Z634" s="104"/>
      <c r="AA634" s="105"/>
    </row>
    <row r="635" spans="12:27" ht="25" customHeight="1">
      <c r="L635" s="31"/>
      <c r="M635" s="31"/>
      <c r="N635" s="31"/>
      <c r="R635" s="32"/>
      <c r="X635" s="35"/>
      <c r="Y635" s="102"/>
      <c r="Z635" s="104"/>
      <c r="AA635" s="105"/>
    </row>
    <row r="636" spans="12:27" ht="25" customHeight="1">
      <c r="L636" s="31"/>
      <c r="M636" s="31"/>
      <c r="N636" s="31"/>
      <c r="R636" s="32"/>
      <c r="X636" s="35"/>
      <c r="Y636" s="102"/>
      <c r="Z636" s="104"/>
      <c r="AA636" s="105"/>
    </row>
    <row r="637" spans="12:27" ht="25" customHeight="1">
      <c r="L637" s="31"/>
      <c r="M637" s="31"/>
      <c r="N637" s="31"/>
      <c r="R637" s="32"/>
      <c r="X637" s="35"/>
      <c r="Y637" s="102"/>
      <c r="Z637" s="104"/>
      <c r="AA637" s="105"/>
    </row>
    <row r="638" spans="12:27" ht="25" customHeight="1">
      <c r="L638" s="31"/>
      <c r="M638" s="31"/>
      <c r="N638" s="31"/>
      <c r="R638" s="32"/>
      <c r="X638" s="35"/>
      <c r="Y638" s="102"/>
      <c r="Z638" s="104"/>
      <c r="AA638" s="105"/>
    </row>
    <row r="639" spans="12:27" ht="25" customHeight="1">
      <c r="L639" s="31"/>
      <c r="M639" s="31"/>
      <c r="N639" s="31"/>
      <c r="R639" s="32"/>
      <c r="X639" s="35"/>
      <c r="Y639" s="102"/>
      <c r="Z639" s="104"/>
      <c r="AA639" s="105"/>
    </row>
    <row r="640" spans="12:27" ht="25" customHeight="1">
      <c r="L640" s="31"/>
      <c r="M640" s="31"/>
      <c r="N640" s="31"/>
      <c r="R640" s="32"/>
      <c r="X640" s="35"/>
      <c r="Y640" s="102"/>
      <c r="Z640" s="104"/>
      <c r="AA640" s="105"/>
    </row>
    <row r="641" spans="12:27" ht="25" customHeight="1">
      <c r="L641" s="31"/>
      <c r="M641" s="31"/>
      <c r="N641" s="31"/>
      <c r="R641" s="32"/>
      <c r="X641" s="35"/>
      <c r="Y641" s="102"/>
      <c r="Z641" s="104"/>
      <c r="AA641" s="105"/>
    </row>
    <row r="642" spans="12:27" ht="25" customHeight="1">
      <c r="L642" s="31"/>
      <c r="M642" s="31"/>
      <c r="N642" s="31"/>
      <c r="R642" s="32"/>
      <c r="X642" s="35"/>
      <c r="Y642" s="102"/>
      <c r="Z642" s="104"/>
      <c r="AA642" s="105"/>
    </row>
    <row r="643" spans="12:27" ht="25" customHeight="1">
      <c r="L643" s="31"/>
      <c r="M643" s="31"/>
      <c r="N643" s="31"/>
      <c r="R643" s="32"/>
      <c r="X643" s="35"/>
      <c r="Y643" s="102"/>
      <c r="Z643" s="104"/>
      <c r="AA643" s="105"/>
    </row>
    <row r="644" spans="12:27" ht="25" customHeight="1">
      <c r="L644" s="31"/>
      <c r="M644" s="31"/>
      <c r="N644" s="31"/>
      <c r="R644" s="32"/>
      <c r="X644" s="35"/>
      <c r="Y644" s="102"/>
      <c r="Z644" s="104"/>
      <c r="AA644" s="105"/>
    </row>
    <row r="645" spans="12:27" ht="25" customHeight="1">
      <c r="L645" s="31"/>
      <c r="M645" s="31"/>
      <c r="N645" s="31"/>
      <c r="R645" s="32"/>
      <c r="X645" s="35"/>
      <c r="Y645" s="102"/>
      <c r="Z645" s="104"/>
      <c r="AA645" s="105"/>
    </row>
    <row r="646" spans="12:27" ht="25" customHeight="1">
      <c r="L646" s="31"/>
      <c r="M646" s="31"/>
      <c r="N646" s="31"/>
      <c r="R646" s="32"/>
      <c r="X646" s="35"/>
      <c r="Y646" s="102"/>
      <c r="Z646" s="104"/>
      <c r="AA646" s="105"/>
    </row>
    <row r="647" spans="12:27" ht="25" customHeight="1">
      <c r="L647" s="31"/>
      <c r="M647" s="31"/>
      <c r="N647" s="31"/>
      <c r="R647" s="32"/>
      <c r="X647" s="35"/>
      <c r="Y647" s="102"/>
      <c r="Z647" s="104"/>
      <c r="AA647" s="105"/>
    </row>
    <row r="648" spans="12:27" ht="25" customHeight="1">
      <c r="L648" s="31"/>
      <c r="M648" s="31"/>
      <c r="N648" s="31"/>
      <c r="R648" s="32"/>
      <c r="X648" s="35"/>
      <c r="Y648" s="102"/>
      <c r="Z648" s="104"/>
      <c r="AA648" s="105"/>
    </row>
    <row r="649" spans="12:27" ht="25" customHeight="1">
      <c r="L649" s="31"/>
      <c r="M649" s="31"/>
      <c r="N649" s="31"/>
      <c r="R649" s="32"/>
      <c r="X649" s="35"/>
      <c r="Y649" s="102"/>
      <c r="Z649" s="104"/>
      <c r="AA649" s="105"/>
    </row>
    <row r="650" spans="12:27" ht="25" customHeight="1">
      <c r="L650" s="31"/>
      <c r="M650" s="31"/>
      <c r="N650" s="31"/>
      <c r="R650" s="32"/>
      <c r="X650" s="35"/>
      <c r="Y650" s="102"/>
      <c r="Z650" s="104"/>
      <c r="AA650" s="105"/>
    </row>
    <row r="651" spans="12:27" ht="25" customHeight="1">
      <c r="L651" s="31"/>
      <c r="M651" s="31"/>
      <c r="N651" s="31"/>
      <c r="R651" s="32"/>
      <c r="X651" s="35"/>
      <c r="Y651" s="102"/>
      <c r="Z651" s="104"/>
      <c r="AA651" s="105"/>
    </row>
    <row r="652" spans="12:27" ht="25" customHeight="1">
      <c r="L652" s="31"/>
      <c r="M652" s="31"/>
      <c r="N652" s="31"/>
      <c r="R652" s="32"/>
      <c r="X652" s="35"/>
      <c r="Y652" s="102"/>
      <c r="Z652" s="104"/>
      <c r="AA652" s="105"/>
    </row>
    <row r="653" spans="12:27" ht="25" customHeight="1">
      <c r="L653" s="31"/>
      <c r="M653" s="31"/>
      <c r="N653" s="31"/>
      <c r="R653" s="32"/>
      <c r="X653" s="35"/>
      <c r="Y653" s="102"/>
      <c r="Z653" s="104"/>
      <c r="AA653" s="105"/>
    </row>
    <row r="654" spans="12:27" ht="25" customHeight="1">
      <c r="L654" s="31"/>
      <c r="M654" s="31"/>
      <c r="N654" s="31"/>
      <c r="R654" s="32"/>
      <c r="X654" s="35"/>
      <c r="Y654" s="102"/>
      <c r="Z654" s="104"/>
      <c r="AA654" s="105"/>
    </row>
    <row r="655" spans="12:27" ht="25" customHeight="1">
      <c r="L655" s="31"/>
      <c r="M655" s="31"/>
      <c r="N655" s="31"/>
      <c r="R655" s="32"/>
      <c r="X655" s="35"/>
      <c r="Y655" s="102"/>
      <c r="Z655" s="104"/>
      <c r="AA655" s="105"/>
    </row>
    <row r="656" spans="12:27" ht="25" customHeight="1">
      <c r="L656" s="31"/>
      <c r="M656" s="31"/>
      <c r="N656" s="31"/>
      <c r="R656" s="32"/>
      <c r="X656" s="35"/>
      <c r="Y656" s="102"/>
      <c r="Z656" s="104"/>
      <c r="AA656" s="105"/>
    </row>
    <row r="657" spans="12:27" ht="25" customHeight="1">
      <c r="L657" s="31"/>
      <c r="M657" s="31"/>
      <c r="N657" s="31"/>
      <c r="R657" s="32"/>
      <c r="X657" s="35"/>
      <c r="Y657" s="102"/>
      <c r="Z657" s="104"/>
      <c r="AA657" s="105"/>
    </row>
    <row r="658" spans="12:27" ht="25" customHeight="1">
      <c r="L658" s="31"/>
      <c r="M658" s="31"/>
      <c r="N658" s="31"/>
      <c r="R658" s="32"/>
      <c r="X658" s="35"/>
      <c r="Y658" s="102"/>
      <c r="Z658" s="104"/>
      <c r="AA658" s="105"/>
    </row>
    <row r="659" spans="12:27" ht="25" customHeight="1">
      <c r="L659" s="31"/>
      <c r="M659" s="31"/>
      <c r="N659" s="31"/>
      <c r="R659" s="32"/>
      <c r="X659" s="35"/>
      <c r="Y659" s="102"/>
      <c r="Z659" s="104"/>
      <c r="AA659" s="105"/>
    </row>
    <row r="660" spans="12:27" ht="25" customHeight="1">
      <c r="L660" s="31"/>
      <c r="M660" s="31"/>
      <c r="N660" s="31"/>
      <c r="R660" s="32"/>
      <c r="X660" s="35"/>
      <c r="Y660" s="102"/>
      <c r="Z660" s="104"/>
      <c r="AA660" s="105"/>
    </row>
    <row r="661" spans="12:27" ht="25" customHeight="1">
      <c r="L661" s="31"/>
      <c r="M661" s="31"/>
      <c r="N661" s="31"/>
      <c r="R661" s="32"/>
      <c r="X661" s="35"/>
      <c r="Y661" s="102"/>
      <c r="Z661" s="104"/>
      <c r="AA661" s="105"/>
    </row>
    <row r="662" spans="12:27" ht="25" customHeight="1">
      <c r="L662" s="31"/>
      <c r="M662" s="31"/>
      <c r="N662" s="31"/>
      <c r="R662" s="32"/>
      <c r="X662" s="35"/>
      <c r="Y662" s="102"/>
      <c r="Z662" s="104"/>
      <c r="AA662" s="105"/>
    </row>
    <row r="663" spans="12:27" ht="25" customHeight="1">
      <c r="L663" s="31"/>
      <c r="M663" s="31"/>
      <c r="N663" s="31"/>
      <c r="R663" s="32"/>
      <c r="X663" s="35"/>
      <c r="Y663" s="102"/>
      <c r="Z663" s="104"/>
      <c r="AA663" s="105"/>
    </row>
    <row r="664" spans="12:27" ht="25" customHeight="1">
      <c r="L664" s="31"/>
      <c r="M664" s="31"/>
      <c r="N664" s="31"/>
      <c r="R664" s="32"/>
      <c r="X664" s="35"/>
      <c r="Y664" s="102"/>
      <c r="Z664" s="104"/>
      <c r="AA664" s="105"/>
    </row>
    <row r="665" spans="12:27" ht="25" customHeight="1">
      <c r="L665" s="31"/>
      <c r="M665" s="31"/>
      <c r="N665" s="31"/>
      <c r="R665" s="32"/>
      <c r="X665" s="35"/>
      <c r="Y665" s="102"/>
      <c r="Z665" s="104"/>
      <c r="AA665" s="105"/>
    </row>
    <row r="666" spans="12:27" ht="25" customHeight="1">
      <c r="L666" s="31"/>
      <c r="M666" s="31"/>
      <c r="N666" s="31"/>
      <c r="R666" s="32"/>
      <c r="X666" s="35"/>
      <c r="Y666" s="102"/>
      <c r="Z666" s="104"/>
      <c r="AA666" s="105"/>
    </row>
    <row r="667" spans="12:27" ht="25" customHeight="1">
      <c r="L667" s="31"/>
      <c r="M667" s="31"/>
      <c r="N667" s="31"/>
      <c r="R667" s="32"/>
      <c r="X667" s="35"/>
      <c r="Y667" s="102"/>
      <c r="Z667" s="104"/>
      <c r="AA667" s="105"/>
    </row>
    <row r="668" spans="12:27" ht="25" customHeight="1">
      <c r="L668" s="31"/>
      <c r="M668" s="31"/>
      <c r="N668" s="31"/>
      <c r="R668" s="32"/>
      <c r="X668" s="35"/>
      <c r="Y668" s="102"/>
      <c r="Z668" s="104"/>
      <c r="AA668" s="105"/>
    </row>
    <row r="669" spans="12:27" ht="25" customHeight="1">
      <c r="L669" s="31"/>
      <c r="M669" s="31"/>
      <c r="N669" s="31"/>
      <c r="R669" s="32"/>
      <c r="X669" s="35"/>
      <c r="Y669" s="102"/>
      <c r="Z669" s="104"/>
      <c r="AA669" s="105"/>
    </row>
    <row r="670" spans="12:27" ht="25" customHeight="1">
      <c r="L670" s="31"/>
      <c r="M670" s="31"/>
      <c r="N670" s="31"/>
      <c r="R670" s="32"/>
      <c r="X670" s="35"/>
      <c r="Y670" s="102"/>
      <c r="Z670" s="104"/>
      <c r="AA670" s="105"/>
    </row>
    <row r="671" spans="12:27" ht="25" customHeight="1">
      <c r="L671" s="31"/>
      <c r="M671" s="31"/>
      <c r="N671" s="31"/>
      <c r="R671" s="32"/>
      <c r="X671" s="35"/>
      <c r="Y671" s="102"/>
      <c r="Z671" s="104"/>
      <c r="AA671" s="105"/>
    </row>
    <row r="672" spans="12:27" ht="25" customHeight="1">
      <c r="L672" s="31"/>
      <c r="M672" s="31"/>
      <c r="N672" s="31"/>
      <c r="R672" s="32"/>
      <c r="X672" s="35"/>
      <c r="Y672" s="102"/>
      <c r="Z672" s="104"/>
      <c r="AA672" s="105"/>
    </row>
    <row r="673" spans="12:27" ht="25" customHeight="1">
      <c r="L673" s="31"/>
      <c r="M673" s="31"/>
      <c r="N673" s="31"/>
      <c r="R673" s="32"/>
      <c r="X673" s="35"/>
      <c r="Y673" s="102"/>
      <c r="Z673" s="104"/>
      <c r="AA673" s="105"/>
    </row>
    <row r="674" spans="12:27" ht="25" customHeight="1">
      <c r="L674" s="31"/>
      <c r="M674" s="31"/>
      <c r="N674" s="31"/>
      <c r="R674" s="32"/>
      <c r="X674" s="35"/>
      <c r="Y674" s="102"/>
      <c r="Z674" s="104"/>
      <c r="AA674" s="105"/>
    </row>
    <row r="675" spans="12:27" ht="25" customHeight="1">
      <c r="L675" s="31"/>
      <c r="M675" s="31"/>
      <c r="N675" s="31"/>
      <c r="R675" s="32"/>
      <c r="X675" s="35"/>
      <c r="Y675" s="102"/>
      <c r="Z675" s="104"/>
      <c r="AA675" s="105"/>
    </row>
    <row r="676" spans="12:27" ht="25" customHeight="1">
      <c r="L676" s="31"/>
      <c r="M676" s="31"/>
      <c r="N676" s="31"/>
      <c r="R676" s="32"/>
      <c r="X676" s="35"/>
      <c r="Y676" s="102"/>
      <c r="Z676" s="104"/>
      <c r="AA676" s="105"/>
    </row>
    <row r="677" spans="12:27" ht="25" customHeight="1">
      <c r="L677" s="31"/>
      <c r="M677" s="31"/>
      <c r="N677" s="31"/>
      <c r="R677" s="32"/>
      <c r="X677" s="35"/>
      <c r="Y677" s="102"/>
      <c r="Z677" s="104"/>
      <c r="AA677" s="105"/>
    </row>
    <row r="678" spans="12:27" ht="25" customHeight="1">
      <c r="L678" s="31"/>
      <c r="M678" s="31"/>
      <c r="N678" s="31"/>
      <c r="R678" s="32"/>
      <c r="X678" s="35"/>
      <c r="Y678" s="102"/>
      <c r="Z678" s="104"/>
      <c r="AA678" s="105"/>
    </row>
    <row r="679" spans="12:27" ht="25" customHeight="1">
      <c r="L679" s="31"/>
      <c r="M679" s="31"/>
      <c r="N679" s="31"/>
      <c r="R679" s="32"/>
      <c r="X679" s="35"/>
      <c r="Y679" s="102"/>
      <c r="Z679" s="104"/>
      <c r="AA679" s="105"/>
    </row>
    <row r="680" spans="12:27" ht="25" customHeight="1">
      <c r="L680" s="31"/>
      <c r="M680" s="31"/>
      <c r="N680" s="31"/>
      <c r="R680" s="32"/>
      <c r="X680" s="35"/>
      <c r="Y680" s="102"/>
      <c r="Z680" s="104"/>
      <c r="AA680" s="105"/>
    </row>
    <row r="681" spans="12:27" ht="25" customHeight="1">
      <c r="L681" s="31"/>
      <c r="M681" s="31"/>
      <c r="N681" s="31"/>
      <c r="R681" s="32"/>
      <c r="X681" s="35"/>
      <c r="Y681" s="102"/>
      <c r="Z681" s="104"/>
      <c r="AA681" s="105"/>
    </row>
    <row r="682" spans="12:27" ht="25" customHeight="1">
      <c r="L682" s="31"/>
      <c r="M682" s="31"/>
      <c r="N682" s="31"/>
      <c r="R682" s="32"/>
      <c r="X682" s="35"/>
      <c r="Y682" s="102"/>
      <c r="Z682" s="104"/>
      <c r="AA682" s="105"/>
    </row>
    <row r="683" spans="12:27" ht="25" customHeight="1">
      <c r="L683" s="31"/>
      <c r="M683" s="31"/>
      <c r="N683" s="31"/>
      <c r="R683" s="32"/>
      <c r="X683" s="35"/>
      <c r="Y683" s="102"/>
      <c r="Z683" s="104"/>
      <c r="AA683" s="105"/>
    </row>
    <row r="684" spans="12:27" ht="25" customHeight="1">
      <c r="L684" s="31"/>
      <c r="M684" s="31"/>
      <c r="N684" s="31"/>
      <c r="R684" s="32"/>
      <c r="X684" s="35"/>
      <c r="Y684" s="102"/>
      <c r="Z684" s="104"/>
      <c r="AA684" s="105"/>
    </row>
    <row r="685" spans="12:27" ht="25" customHeight="1">
      <c r="L685" s="31"/>
      <c r="M685" s="31"/>
      <c r="N685" s="31"/>
      <c r="R685" s="32"/>
      <c r="X685" s="35"/>
      <c r="Y685" s="102"/>
      <c r="Z685" s="104"/>
      <c r="AA685" s="105"/>
    </row>
    <row r="686" spans="12:27" ht="25" customHeight="1">
      <c r="L686" s="31"/>
      <c r="M686" s="31"/>
      <c r="N686" s="31"/>
      <c r="R686" s="32"/>
      <c r="X686" s="35"/>
      <c r="Y686" s="102"/>
      <c r="Z686" s="104"/>
      <c r="AA686" s="105"/>
    </row>
    <row r="687" spans="12:27" ht="25" customHeight="1">
      <c r="L687" s="31"/>
      <c r="M687" s="31"/>
      <c r="N687" s="31"/>
      <c r="R687" s="32"/>
      <c r="X687" s="35"/>
      <c r="Y687" s="102"/>
      <c r="Z687" s="104"/>
      <c r="AA687" s="105"/>
    </row>
    <row r="688" spans="12:27" ht="25" customHeight="1">
      <c r="L688" s="31"/>
      <c r="M688" s="31"/>
      <c r="N688" s="31"/>
      <c r="R688" s="32"/>
      <c r="X688" s="35"/>
      <c r="Y688" s="102"/>
      <c r="Z688" s="104"/>
      <c r="AA688" s="105"/>
    </row>
    <row r="689" spans="12:27" ht="25" customHeight="1">
      <c r="L689" s="31"/>
      <c r="M689" s="31"/>
      <c r="N689" s="31"/>
      <c r="R689" s="32"/>
      <c r="X689" s="35"/>
      <c r="Y689" s="102"/>
      <c r="Z689" s="104"/>
      <c r="AA689" s="105"/>
    </row>
    <row r="690" spans="12:27" ht="25" customHeight="1">
      <c r="L690" s="31"/>
      <c r="M690" s="31"/>
      <c r="N690" s="31"/>
      <c r="R690" s="32"/>
      <c r="X690" s="35"/>
      <c r="Y690" s="102"/>
      <c r="Z690" s="104"/>
      <c r="AA690" s="105"/>
    </row>
    <row r="691" spans="12:27" ht="25" customHeight="1">
      <c r="L691" s="31"/>
      <c r="M691" s="31"/>
      <c r="N691" s="31"/>
      <c r="R691" s="32"/>
      <c r="X691" s="35"/>
      <c r="Y691" s="102"/>
      <c r="Z691" s="104"/>
      <c r="AA691" s="105"/>
    </row>
    <row r="692" spans="12:27" ht="25" customHeight="1">
      <c r="L692" s="31"/>
      <c r="M692" s="31"/>
      <c r="N692" s="31"/>
      <c r="R692" s="32"/>
      <c r="X692" s="35"/>
      <c r="Y692" s="102"/>
      <c r="Z692" s="104"/>
      <c r="AA692" s="105"/>
    </row>
    <row r="693" spans="12:27" ht="25" customHeight="1">
      <c r="L693" s="31"/>
      <c r="M693" s="31"/>
      <c r="N693" s="31"/>
      <c r="R693" s="32"/>
      <c r="X693" s="35"/>
      <c r="Y693" s="102"/>
      <c r="Z693" s="104"/>
      <c r="AA693" s="105"/>
    </row>
    <row r="694" spans="12:27" ht="25" customHeight="1">
      <c r="L694" s="31"/>
      <c r="M694" s="31"/>
      <c r="N694" s="31"/>
      <c r="R694" s="32"/>
      <c r="X694" s="35"/>
      <c r="Y694" s="102"/>
      <c r="Z694" s="104"/>
      <c r="AA694" s="105"/>
    </row>
    <row r="695" spans="12:27" ht="25" customHeight="1">
      <c r="L695" s="31"/>
      <c r="M695" s="31"/>
      <c r="N695" s="31"/>
      <c r="R695" s="32"/>
      <c r="X695" s="35"/>
      <c r="Y695" s="102"/>
      <c r="Z695" s="104"/>
      <c r="AA695" s="105"/>
    </row>
    <row r="696" spans="12:27" ht="25" customHeight="1">
      <c r="L696" s="31"/>
      <c r="M696" s="31"/>
      <c r="N696" s="31"/>
      <c r="R696" s="32"/>
      <c r="X696" s="35"/>
      <c r="Y696" s="102"/>
      <c r="Z696" s="104"/>
      <c r="AA696" s="105"/>
    </row>
    <row r="697" spans="12:27" ht="25" customHeight="1">
      <c r="L697" s="31"/>
      <c r="M697" s="31"/>
      <c r="N697" s="31"/>
      <c r="R697" s="32"/>
      <c r="X697" s="35"/>
      <c r="Y697" s="102"/>
      <c r="Z697" s="104"/>
      <c r="AA697" s="105"/>
    </row>
    <row r="698" spans="12:27" ht="25" customHeight="1">
      <c r="L698" s="31"/>
      <c r="M698" s="31"/>
      <c r="N698" s="31"/>
      <c r="R698" s="32"/>
      <c r="X698" s="35"/>
      <c r="Y698" s="102"/>
      <c r="Z698" s="104"/>
      <c r="AA698" s="105"/>
    </row>
    <row r="699" spans="12:27" ht="25" customHeight="1">
      <c r="L699" s="31"/>
      <c r="M699" s="31"/>
      <c r="N699" s="31"/>
      <c r="R699" s="32"/>
      <c r="X699" s="35"/>
      <c r="Y699" s="102"/>
      <c r="Z699" s="104"/>
      <c r="AA699" s="105"/>
    </row>
    <row r="700" spans="12:27" ht="25" customHeight="1">
      <c r="L700" s="31"/>
      <c r="M700" s="31"/>
      <c r="N700" s="31"/>
      <c r="R700" s="32"/>
      <c r="X700" s="35"/>
      <c r="Y700" s="102"/>
      <c r="Z700" s="104"/>
      <c r="AA700" s="105"/>
    </row>
    <row r="701" spans="12:27" ht="25" customHeight="1">
      <c r="L701" s="31"/>
      <c r="M701" s="31"/>
      <c r="N701" s="31"/>
      <c r="R701" s="32"/>
      <c r="X701" s="35"/>
      <c r="Y701" s="102"/>
      <c r="Z701" s="104"/>
      <c r="AA701" s="105"/>
    </row>
    <row r="702" spans="12:27" ht="25" customHeight="1">
      <c r="L702" s="31"/>
      <c r="M702" s="31"/>
      <c r="N702" s="31"/>
      <c r="R702" s="32"/>
      <c r="X702" s="35"/>
      <c r="Y702" s="102"/>
      <c r="Z702" s="104"/>
      <c r="AA702" s="105"/>
    </row>
    <row r="703" spans="12:27" ht="25" customHeight="1">
      <c r="L703" s="31"/>
      <c r="M703" s="31"/>
      <c r="N703" s="31"/>
      <c r="R703" s="32"/>
      <c r="X703" s="35"/>
      <c r="Y703" s="102"/>
      <c r="Z703" s="104"/>
      <c r="AA703" s="105"/>
    </row>
    <row r="704" spans="12:27" ht="25" customHeight="1">
      <c r="L704" s="31"/>
      <c r="M704" s="31"/>
      <c r="N704" s="31"/>
      <c r="R704" s="32"/>
      <c r="X704" s="35"/>
      <c r="Y704" s="102"/>
      <c r="Z704" s="104"/>
      <c r="AA704" s="105"/>
    </row>
    <row r="705" spans="12:27" ht="25" customHeight="1">
      <c r="L705" s="31"/>
      <c r="M705" s="31"/>
      <c r="N705" s="31"/>
      <c r="R705" s="32"/>
      <c r="X705" s="35"/>
      <c r="Y705" s="102"/>
      <c r="Z705" s="104"/>
      <c r="AA705" s="105"/>
    </row>
    <row r="706" spans="12:27" ht="25" customHeight="1">
      <c r="L706" s="31"/>
      <c r="M706" s="31"/>
      <c r="N706" s="31"/>
      <c r="R706" s="32"/>
      <c r="X706" s="35"/>
      <c r="Y706" s="102"/>
      <c r="Z706" s="104"/>
      <c r="AA706" s="105"/>
    </row>
    <row r="707" spans="12:27" ht="25" customHeight="1">
      <c r="L707" s="31"/>
      <c r="M707" s="31"/>
      <c r="N707" s="31"/>
      <c r="R707" s="32"/>
      <c r="X707" s="35"/>
      <c r="Y707" s="102"/>
      <c r="Z707" s="104"/>
      <c r="AA707" s="105"/>
    </row>
    <row r="708" spans="12:27" ht="25" customHeight="1">
      <c r="L708" s="31"/>
      <c r="M708" s="31"/>
      <c r="N708" s="31"/>
      <c r="R708" s="32"/>
      <c r="X708" s="35"/>
      <c r="Y708" s="102"/>
      <c r="Z708" s="104"/>
      <c r="AA708" s="105"/>
    </row>
    <row r="709" spans="12:27" ht="25" customHeight="1">
      <c r="L709" s="31"/>
      <c r="M709" s="31"/>
      <c r="N709" s="31"/>
      <c r="R709" s="32"/>
      <c r="X709" s="35"/>
      <c r="Y709" s="102"/>
      <c r="Z709" s="104"/>
      <c r="AA709" s="105"/>
    </row>
    <row r="710" spans="12:27" ht="25" customHeight="1">
      <c r="L710" s="31"/>
      <c r="M710" s="31"/>
      <c r="N710" s="31"/>
      <c r="R710" s="32"/>
      <c r="X710" s="35"/>
      <c r="Y710" s="102"/>
      <c r="Z710" s="104"/>
      <c r="AA710" s="105"/>
    </row>
    <row r="711" spans="12:27" ht="25" customHeight="1">
      <c r="L711" s="31"/>
      <c r="M711" s="31"/>
      <c r="N711" s="31"/>
      <c r="R711" s="32"/>
      <c r="X711" s="35"/>
      <c r="Y711" s="102"/>
      <c r="Z711" s="104"/>
      <c r="AA711" s="105"/>
    </row>
    <row r="712" spans="12:27" ht="25" customHeight="1">
      <c r="L712" s="31"/>
      <c r="M712" s="31"/>
      <c r="N712" s="31"/>
      <c r="R712" s="32"/>
      <c r="X712" s="35"/>
      <c r="Y712" s="102"/>
      <c r="Z712" s="104"/>
      <c r="AA712" s="105"/>
    </row>
    <row r="713" spans="12:27" ht="25" customHeight="1">
      <c r="L713" s="31"/>
      <c r="M713" s="31"/>
      <c r="N713" s="31"/>
      <c r="R713" s="32"/>
      <c r="X713" s="35"/>
      <c r="Y713" s="102"/>
      <c r="Z713" s="104"/>
      <c r="AA713" s="105"/>
    </row>
    <row r="714" spans="12:27" ht="25" customHeight="1">
      <c r="L714" s="31"/>
      <c r="M714" s="31"/>
      <c r="N714" s="31"/>
      <c r="R714" s="32"/>
      <c r="X714" s="35"/>
      <c r="Y714" s="102"/>
      <c r="Z714" s="104"/>
      <c r="AA714" s="105"/>
    </row>
    <row r="715" spans="12:27" ht="25" customHeight="1">
      <c r="L715" s="31"/>
      <c r="M715" s="31"/>
      <c r="N715" s="31"/>
      <c r="R715" s="32"/>
      <c r="X715" s="35"/>
      <c r="Y715" s="102"/>
      <c r="Z715" s="104"/>
      <c r="AA715" s="105"/>
    </row>
    <row r="716" spans="12:27" ht="25" customHeight="1">
      <c r="L716" s="31"/>
      <c r="M716" s="31"/>
      <c r="N716" s="31"/>
      <c r="R716" s="32"/>
      <c r="X716" s="35"/>
      <c r="Y716" s="102"/>
      <c r="Z716" s="104"/>
      <c r="AA716" s="105"/>
    </row>
    <row r="717" spans="12:27" ht="25" customHeight="1">
      <c r="L717" s="31"/>
      <c r="M717" s="31"/>
      <c r="N717" s="31"/>
      <c r="R717" s="32"/>
      <c r="X717" s="35"/>
      <c r="Y717" s="102"/>
      <c r="Z717" s="104"/>
      <c r="AA717" s="105"/>
    </row>
    <row r="718" spans="12:27" ht="25" customHeight="1">
      <c r="L718" s="31"/>
      <c r="M718" s="31"/>
      <c r="N718" s="31"/>
      <c r="R718" s="32"/>
      <c r="X718" s="35"/>
      <c r="Y718" s="102"/>
      <c r="Z718" s="104"/>
      <c r="AA718" s="105"/>
    </row>
    <row r="719" spans="12:27" ht="25" customHeight="1">
      <c r="L719" s="31"/>
      <c r="M719" s="31"/>
      <c r="N719" s="31"/>
      <c r="R719" s="32"/>
      <c r="X719" s="35"/>
      <c r="Y719" s="102"/>
      <c r="Z719" s="104"/>
      <c r="AA719" s="105"/>
    </row>
    <row r="720" spans="12:27" ht="25" customHeight="1">
      <c r="L720" s="31"/>
      <c r="M720" s="31"/>
      <c r="N720" s="31"/>
      <c r="R720" s="32"/>
      <c r="X720" s="35"/>
      <c r="Y720" s="102"/>
      <c r="Z720" s="104"/>
      <c r="AA720" s="105"/>
    </row>
    <row r="721" spans="12:27" ht="25" customHeight="1">
      <c r="L721" s="31"/>
      <c r="M721" s="31"/>
      <c r="N721" s="31"/>
      <c r="R721" s="32"/>
      <c r="X721" s="35"/>
      <c r="Y721" s="102"/>
      <c r="Z721" s="104"/>
      <c r="AA721" s="105"/>
    </row>
    <row r="722" spans="12:27" ht="25" customHeight="1">
      <c r="L722" s="31"/>
      <c r="M722" s="31"/>
      <c r="N722" s="31"/>
      <c r="R722" s="32"/>
      <c r="X722" s="35"/>
      <c r="Y722" s="102"/>
      <c r="Z722" s="104"/>
      <c r="AA722" s="105"/>
    </row>
    <row r="723" spans="12:27" ht="25" customHeight="1">
      <c r="L723" s="31"/>
      <c r="M723" s="31"/>
      <c r="N723" s="31"/>
      <c r="R723" s="32"/>
      <c r="X723" s="35"/>
      <c r="Y723" s="102"/>
      <c r="Z723" s="104"/>
      <c r="AA723" s="105"/>
    </row>
    <row r="724" spans="12:27" ht="25" customHeight="1">
      <c r="L724" s="31"/>
      <c r="M724" s="31"/>
      <c r="N724" s="31"/>
      <c r="R724" s="32"/>
      <c r="X724" s="35"/>
      <c r="Y724" s="102"/>
      <c r="Z724" s="104"/>
      <c r="AA724" s="105"/>
    </row>
    <row r="725" spans="12:27" ht="25" customHeight="1">
      <c r="L725" s="31"/>
      <c r="M725" s="31"/>
      <c r="N725" s="31"/>
      <c r="R725" s="32"/>
      <c r="X725" s="35"/>
      <c r="Y725" s="102"/>
      <c r="Z725" s="104"/>
      <c r="AA725" s="105"/>
    </row>
    <row r="726" spans="12:27" ht="25" customHeight="1">
      <c r="L726" s="31"/>
      <c r="M726" s="31"/>
      <c r="N726" s="31"/>
      <c r="R726" s="32"/>
      <c r="X726" s="35"/>
      <c r="Y726" s="102"/>
      <c r="Z726" s="104"/>
      <c r="AA726" s="105"/>
    </row>
    <row r="727" spans="12:27" ht="25" customHeight="1">
      <c r="L727" s="31"/>
      <c r="M727" s="31"/>
      <c r="N727" s="31"/>
      <c r="R727" s="32"/>
      <c r="X727" s="35"/>
      <c r="Y727" s="102"/>
      <c r="Z727" s="104"/>
      <c r="AA727" s="105"/>
    </row>
    <row r="728" spans="12:27" ht="25" customHeight="1">
      <c r="L728" s="31"/>
      <c r="M728" s="31"/>
      <c r="N728" s="31"/>
      <c r="R728" s="32"/>
      <c r="X728" s="35"/>
      <c r="Y728" s="102"/>
      <c r="Z728" s="104"/>
      <c r="AA728" s="105"/>
    </row>
    <row r="729" spans="12:27" ht="25" customHeight="1">
      <c r="L729" s="31"/>
      <c r="M729" s="31"/>
      <c r="N729" s="31"/>
      <c r="R729" s="32"/>
      <c r="X729" s="35"/>
      <c r="Y729" s="102"/>
      <c r="Z729" s="104"/>
      <c r="AA729" s="105"/>
    </row>
    <row r="730" spans="12:27" ht="25" customHeight="1">
      <c r="L730" s="31"/>
      <c r="M730" s="31"/>
      <c r="N730" s="31"/>
      <c r="R730" s="32"/>
      <c r="X730" s="35"/>
      <c r="Y730" s="102"/>
      <c r="Z730" s="104"/>
      <c r="AA730" s="105"/>
    </row>
    <row r="731" spans="12:27" ht="25" customHeight="1">
      <c r="L731" s="31"/>
      <c r="M731" s="31"/>
      <c r="N731" s="31"/>
      <c r="R731" s="32"/>
      <c r="X731" s="35"/>
      <c r="Y731" s="102"/>
      <c r="Z731" s="104"/>
      <c r="AA731" s="105"/>
    </row>
    <row r="732" spans="12:27" ht="25" customHeight="1">
      <c r="L732" s="31"/>
      <c r="M732" s="31"/>
      <c r="N732" s="31"/>
      <c r="R732" s="32"/>
      <c r="X732" s="35"/>
      <c r="Y732" s="102"/>
      <c r="Z732" s="104"/>
      <c r="AA732" s="105"/>
    </row>
    <row r="733" spans="12:27" ht="25" customHeight="1">
      <c r="L733" s="31"/>
      <c r="M733" s="31"/>
      <c r="N733" s="31"/>
      <c r="R733" s="32"/>
      <c r="X733" s="35"/>
      <c r="Y733" s="102"/>
      <c r="Z733" s="104"/>
      <c r="AA733" s="105"/>
    </row>
    <row r="734" spans="12:27" ht="25" customHeight="1">
      <c r="L734" s="31"/>
      <c r="M734" s="31"/>
      <c r="N734" s="31"/>
      <c r="R734" s="32"/>
      <c r="X734" s="35"/>
      <c r="Y734" s="102"/>
      <c r="Z734" s="104"/>
      <c r="AA734" s="105"/>
    </row>
    <row r="735" spans="12:27" ht="25" customHeight="1">
      <c r="L735" s="31"/>
      <c r="M735" s="31"/>
      <c r="N735" s="31"/>
      <c r="R735" s="32"/>
      <c r="X735" s="35"/>
      <c r="Y735" s="102"/>
      <c r="Z735" s="104"/>
      <c r="AA735" s="105"/>
    </row>
    <row r="736" spans="12:27" ht="25" customHeight="1">
      <c r="L736" s="31"/>
      <c r="M736" s="31"/>
      <c r="N736" s="31"/>
      <c r="R736" s="32"/>
      <c r="X736" s="35"/>
      <c r="Y736" s="102"/>
      <c r="Z736" s="104"/>
      <c r="AA736" s="105"/>
    </row>
    <row r="737" spans="12:27" ht="25" customHeight="1">
      <c r="L737" s="31"/>
      <c r="M737" s="31"/>
      <c r="N737" s="31"/>
      <c r="R737" s="32"/>
      <c r="X737" s="35"/>
      <c r="Y737" s="102"/>
      <c r="Z737" s="104"/>
      <c r="AA737" s="105"/>
    </row>
    <row r="738" spans="12:27" ht="25" customHeight="1">
      <c r="L738" s="31"/>
      <c r="M738" s="31"/>
      <c r="N738" s="31"/>
      <c r="R738" s="32"/>
      <c r="X738" s="35"/>
      <c r="Y738" s="102"/>
      <c r="Z738" s="104"/>
      <c r="AA738" s="105"/>
    </row>
    <row r="739" spans="12:27" ht="25" customHeight="1">
      <c r="L739" s="31"/>
      <c r="M739" s="31"/>
      <c r="N739" s="31"/>
      <c r="R739" s="32"/>
      <c r="X739" s="35"/>
      <c r="Y739" s="102"/>
      <c r="Z739" s="104"/>
      <c r="AA739" s="105"/>
    </row>
    <row r="740" spans="12:27" ht="25" customHeight="1">
      <c r="L740" s="31"/>
      <c r="M740" s="31"/>
      <c r="N740" s="31"/>
      <c r="R740" s="32"/>
      <c r="X740" s="35"/>
      <c r="Y740" s="102"/>
      <c r="Z740" s="104"/>
      <c r="AA740" s="105"/>
    </row>
    <row r="741" spans="12:27" ht="25" customHeight="1">
      <c r="L741" s="31"/>
      <c r="M741" s="31"/>
      <c r="N741" s="31"/>
      <c r="R741" s="32"/>
      <c r="X741" s="35"/>
      <c r="Y741" s="102"/>
      <c r="Z741" s="104"/>
      <c r="AA741" s="105"/>
    </row>
    <row r="742" spans="12:27" ht="25" customHeight="1">
      <c r="L742" s="31"/>
      <c r="M742" s="31"/>
      <c r="N742" s="31"/>
      <c r="R742" s="32"/>
      <c r="X742" s="35"/>
      <c r="Y742" s="102"/>
      <c r="Z742" s="104"/>
      <c r="AA742" s="105"/>
    </row>
    <row r="743" spans="12:27" ht="25" customHeight="1">
      <c r="L743" s="31"/>
      <c r="M743" s="31"/>
      <c r="N743" s="31"/>
      <c r="R743" s="32"/>
      <c r="X743" s="35"/>
      <c r="Y743" s="102"/>
      <c r="Z743" s="104"/>
      <c r="AA743" s="105"/>
    </row>
    <row r="744" spans="12:27" ht="25" customHeight="1">
      <c r="L744" s="31"/>
      <c r="M744" s="31"/>
      <c r="N744" s="31"/>
      <c r="R744" s="32"/>
      <c r="X744" s="35"/>
      <c r="Y744" s="102"/>
      <c r="Z744" s="104"/>
      <c r="AA744" s="105"/>
    </row>
    <row r="745" spans="12:27" ht="25" customHeight="1">
      <c r="L745" s="31"/>
      <c r="M745" s="31"/>
      <c r="N745" s="31"/>
      <c r="R745" s="32"/>
      <c r="X745" s="35"/>
      <c r="Y745" s="102"/>
      <c r="Z745" s="104"/>
      <c r="AA745" s="105"/>
    </row>
    <row r="746" spans="12:27" ht="25" customHeight="1">
      <c r="L746" s="31"/>
      <c r="M746" s="31"/>
      <c r="N746" s="31"/>
      <c r="R746" s="32"/>
      <c r="X746" s="35"/>
      <c r="Y746" s="102"/>
      <c r="Z746" s="104"/>
      <c r="AA746" s="105"/>
    </row>
    <row r="747" spans="12:27" ht="25" customHeight="1">
      <c r="L747" s="31"/>
      <c r="M747" s="31"/>
      <c r="N747" s="31"/>
      <c r="R747" s="32"/>
      <c r="X747" s="35"/>
      <c r="Y747" s="102"/>
      <c r="Z747" s="104"/>
      <c r="AA747" s="105"/>
    </row>
    <row r="748" spans="12:27" ht="25" customHeight="1">
      <c r="L748" s="31"/>
      <c r="M748" s="31"/>
      <c r="N748" s="31"/>
      <c r="R748" s="32"/>
      <c r="X748" s="35"/>
      <c r="Y748" s="102"/>
      <c r="Z748" s="104"/>
      <c r="AA748" s="105"/>
    </row>
    <row r="749" spans="12:27" ht="25" customHeight="1">
      <c r="L749" s="31"/>
      <c r="M749" s="31"/>
      <c r="N749" s="31"/>
      <c r="R749" s="32"/>
      <c r="X749" s="35"/>
      <c r="Y749" s="102"/>
      <c r="Z749" s="104"/>
      <c r="AA749" s="105"/>
    </row>
    <row r="750" spans="12:27" ht="25" customHeight="1">
      <c r="L750" s="31"/>
      <c r="M750" s="31"/>
      <c r="N750" s="31"/>
      <c r="R750" s="32"/>
      <c r="X750" s="35"/>
      <c r="Y750" s="102"/>
      <c r="Z750" s="104"/>
      <c r="AA750" s="105"/>
    </row>
    <row r="751" spans="12:27" ht="25" customHeight="1">
      <c r="L751" s="31"/>
      <c r="M751" s="31"/>
      <c r="N751" s="31"/>
      <c r="R751" s="32"/>
      <c r="X751" s="35"/>
      <c r="Y751" s="102"/>
      <c r="Z751" s="104"/>
      <c r="AA751" s="105"/>
    </row>
    <row r="752" spans="12:27" ht="25" customHeight="1">
      <c r="L752" s="31"/>
      <c r="M752" s="31"/>
      <c r="N752" s="31"/>
      <c r="R752" s="32"/>
      <c r="X752" s="35"/>
      <c r="Y752" s="102"/>
      <c r="Z752" s="104"/>
      <c r="AA752" s="105"/>
    </row>
    <row r="753" spans="12:27" ht="25" customHeight="1">
      <c r="L753" s="31"/>
      <c r="M753" s="31"/>
      <c r="N753" s="31"/>
      <c r="R753" s="32"/>
      <c r="X753" s="35"/>
      <c r="Y753" s="102"/>
      <c r="Z753" s="104"/>
      <c r="AA753" s="105"/>
    </row>
    <row r="754" spans="12:27" ht="25" customHeight="1">
      <c r="L754" s="31"/>
      <c r="M754" s="31"/>
      <c r="N754" s="31"/>
      <c r="R754" s="32"/>
      <c r="X754" s="35"/>
      <c r="Y754" s="102"/>
      <c r="Z754" s="104"/>
      <c r="AA754" s="105"/>
    </row>
    <row r="755" spans="12:27" ht="25" customHeight="1">
      <c r="L755" s="31"/>
      <c r="M755" s="31"/>
      <c r="N755" s="31"/>
      <c r="R755" s="32"/>
      <c r="X755" s="35"/>
      <c r="Y755" s="102"/>
      <c r="Z755" s="104"/>
      <c r="AA755" s="105"/>
    </row>
    <row r="756" spans="12:27" ht="25" customHeight="1">
      <c r="L756" s="31"/>
      <c r="M756" s="31"/>
      <c r="N756" s="31"/>
      <c r="R756" s="32"/>
      <c r="X756" s="35"/>
      <c r="Y756" s="102"/>
      <c r="Z756" s="104"/>
      <c r="AA756" s="105"/>
    </row>
    <row r="757" spans="12:27" ht="25" customHeight="1">
      <c r="L757" s="31"/>
      <c r="M757" s="31"/>
      <c r="N757" s="31"/>
      <c r="R757" s="32"/>
      <c r="X757" s="35"/>
      <c r="Y757" s="102"/>
      <c r="Z757" s="104"/>
      <c r="AA757" s="105"/>
    </row>
    <row r="758" spans="12:27" ht="25" customHeight="1">
      <c r="L758" s="31"/>
      <c r="M758" s="31"/>
      <c r="N758" s="31"/>
      <c r="R758" s="32"/>
      <c r="X758" s="35"/>
      <c r="Y758" s="102"/>
      <c r="Z758" s="104"/>
      <c r="AA758" s="105"/>
    </row>
    <row r="759" spans="12:27" ht="25" customHeight="1">
      <c r="L759" s="31"/>
      <c r="M759" s="31"/>
      <c r="N759" s="31"/>
      <c r="R759" s="32"/>
      <c r="X759" s="35"/>
      <c r="Y759" s="102"/>
      <c r="Z759" s="104"/>
      <c r="AA759" s="105"/>
    </row>
    <row r="760" spans="12:27" ht="25" customHeight="1">
      <c r="L760" s="31"/>
      <c r="M760" s="31"/>
      <c r="N760" s="31"/>
      <c r="R760" s="32"/>
      <c r="X760" s="35"/>
      <c r="Y760" s="102"/>
      <c r="Z760" s="104"/>
      <c r="AA760" s="105"/>
    </row>
    <row r="761" spans="12:27" ht="25" customHeight="1">
      <c r="L761" s="31"/>
      <c r="M761" s="31"/>
      <c r="N761" s="31"/>
      <c r="R761" s="32"/>
      <c r="X761" s="35"/>
      <c r="Y761" s="102"/>
      <c r="Z761" s="104"/>
      <c r="AA761" s="105"/>
    </row>
    <row r="762" spans="12:27" ht="25" customHeight="1">
      <c r="L762" s="31"/>
      <c r="M762" s="31"/>
      <c r="N762" s="31"/>
      <c r="R762" s="32"/>
      <c r="X762" s="35"/>
      <c r="Y762" s="102"/>
      <c r="Z762" s="104"/>
      <c r="AA762" s="105"/>
    </row>
    <row r="763" spans="12:27" ht="25" customHeight="1">
      <c r="L763" s="31"/>
      <c r="M763" s="31"/>
      <c r="N763" s="31"/>
      <c r="R763" s="32"/>
      <c r="X763" s="35"/>
      <c r="Y763" s="102"/>
      <c r="Z763" s="104"/>
      <c r="AA763" s="105"/>
    </row>
    <row r="764" spans="12:27" ht="25" customHeight="1">
      <c r="L764" s="31"/>
      <c r="M764" s="31"/>
      <c r="N764" s="31"/>
      <c r="R764" s="32"/>
      <c r="X764" s="35"/>
      <c r="Y764" s="102"/>
      <c r="Z764" s="104"/>
      <c r="AA764" s="105"/>
    </row>
    <row r="765" spans="12:27" ht="25" customHeight="1">
      <c r="L765" s="31"/>
      <c r="M765" s="31"/>
      <c r="N765" s="31"/>
      <c r="R765" s="32"/>
      <c r="X765" s="35"/>
      <c r="Y765" s="102"/>
      <c r="Z765" s="104"/>
      <c r="AA765" s="105"/>
    </row>
    <row r="766" spans="12:27" ht="25" customHeight="1">
      <c r="L766" s="31"/>
      <c r="M766" s="31"/>
      <c r="N766" s="31"/>
      <c r="R766" s="32"/>
      <c r="X766" s="35"/>
      <c r="Y766" s="102"/>
      <c r="Z766" s="104"/>
      <c r="AA766" s="105"/>
    </row>
    <row r="767" spans="12:27" ht="25" customHeight="1">
      <c r="L767" s="31"/>
      <c r="M767" s="31"/>
      <c r="N767" s="31"/>
      <c r="R767" s="32"/>
      <c r="X767" s="35"/>
      <c r="Y767" s="102"/>
      <c r="Z767" s="104"/>
      <c r="AA767" s="105"/>
    </row>
    <row r="768" spans="12:27" ht="25" customHeight="1">
      <c r="L768" s="31"/>
      <c r="M768" s="31"/>
      <c r="N768" s="31"/>
      <c r="R768" s="32"/>
      <c r="X768" s="35"/>
      <c r="Y768" s="102"/>
      <c r="Z768" s="104"/>
      <c r="AA768" s="105"/>
    </row>
    <row r="769" spans="12:27" ht="25" customHeight="1">
      <c r="L769" s="31"/>
      <c r="M769" s="31"/>
      <c r="N769" s="31"/>
      <c r="R769" s="32"/>
      <c r="X769" s="35"/>
      <c r="Y769" s="102"/>
      <c r="Z769" s="104"/>
      <c r="AA769" s="105"/>
    </row>
    <row r="770" spans="12:27" ht="25" customHeight="1">
      <c r="L770" s="31"/>
      <c r="M770" s="31"/>
      <c r="N770" s="31"/>
      <c r="R770" s="32"/>
      <c r="X770" s="35"/>
      <c r="Y770" s="102"/>
      <c r="Z770" s="104"/>
      <c r="AA770" s="105"/>
    </row>
    <row r="771" spans="12:27" ht="25" customHeight="1">
      <c r="L771" s="31"/>
      <c r="M771" s="31"/>
      <c r="N771" s="31"/>
      <c r="R771" s="32"/>
      <c r="X771" s="35"/>
      <c r="Y771" s="102"/>
      <c r="Z771" s="104"/>
      <c r="AA771" s="105"/>
    </row>
    <row r="772" spans="12:27" ht="25" customHeight="1">
      <c r="L772" s="31"/>
      <c r="M772" s="31"/>
      <c r="N772" s="31"/>
      <c r="R772" s="32"/>
      <c r="X772" s="35"/>
      <c r="Y772" s="102"/>
      <c r="Z772" s="104"/>
      <c r="AA772" s="105"/>
    </row>
    <row r="773" spans="12:27" ht="25" customHeight="1">
      <c r="L773" s="31"/>
      <c r="M773" s="31"/>
      <c r="N773" s="31"/>
      <c r="R773" s="32"/>
      <c r="X773" s="35"/>
      <c r="Y773" s="102"/>
      <c r="Z773" s="104"/>
      <c r="AA773" s="105"/>
    </row>
    <row r="774" spans="12:27" ht="25" customHeight="1">
      <c r="L774" s="31"/>
      <c r="M774" s="31"/>
      <c r="N774" s="31"/>
      <c r="R774" s="32"/>
      <c r="X774" s="35"/>
      <c r="Y774" s="102"/>
      <c r="Z774" s="104"/>
      <c r="AA774" s="105"/>
    </row>
    <row r="775" spans="12:27" ht="25" customHeight="1">
      <c r="L775" s="31"/>
      <c r="M775" s="31"/>
      <c r="N775" s="31"/>
      <c r="R775" s="32"/>
      <c r="X775" s="35"/>
      <c r="Y775" s="102"/>
      <c r="Z775" s="104"/>
      <c r="AA775" s="105"/>
    </row>
    <row r="776" spans="12:27" ht="25" customHeight="1">
      <c r="L776" s="31"/>
      <c r="M776" s="31"/>
      <c r="N776" s="31"/>
      <c r="R776" s="32"/>
      <c r="X776" s="35"/>
      <c r="Y776" s="102"/>
      <c r="Z776" s="104"/>
      <c r="AA776" s="105"/>
    </row>
    <row r="777" spans="12:27" ht="25" customHeight="1">
      <c r="L777" s="31"/>
      <c r="M777" s="31"/>
      <c r="N777" s="31"/>
      <c r="R777" s="32"/>
      <c r="X777" s="35"/>
      <c r="Y777" s="102"/>
      <c r="Z777" s="104"/>
      <c r="AA777" s="105"/>
    </row>
    <row r="778" spans="12:27" ht="25" customHeight="1">
      <c r="L778" s="31"/>
      <c r="M778" s="31"/>
      <c r="N778" s="31"/>
      <c r="R778" s="32"/>
      <c r="X778" s="35"/>
      <c r="Y778" s="102"/>
      <c r="Z778" s="104"/>
      <c r="AA778" s="105"/>
    </row>
    <row r="779" spans="12:27" ht="25" customHeight="1">
      <c r="L779" s="31"/>
      <c r="M779" s="31"/>
      <c r="N779" s="31"/>
      <c r="R779" s="32"/>
      <c r="X779" s="35"/>
      <c r="Y779" s="102"/>
      <c r="Z779" s="104"/>
      <c r="AA779" s="105"/>
    </row>
    <row r="780" spans="12:27" ht="25" customHeight="1">
      <c r="L780" s="31"/>
      <c r="M780" s="31"/>
      <c r="N780" s="31"/>
      <c r="R780" s="32"/>
      <c r="X780" s="35"/>
      <c r="Y780" s="102"/>
      <c r="Z780" s="104"/>
      <c r="AA780" s="105"/>
    </row>
    <row r="781" spans="12:27" ht="25" customHeight="1">
      <c r="L781" s="31"/>
      <c r="M781" s="31"/>
      <c r="N781" s="31"/>
      <c r="R781" s="32"/>
      <c r="X781" s="35"/>
      <c r="Y781" s="102"/>
      <c r="Z781" s="104"/>
      <c r="AA781" s="105"/>
    </row>
    <row r="782" spans="12:27" ht="25" customHeight="1">
      <c r="L782" s="31"/>
      <c r="M782" s="31"/>
      <c r="N782" s="31"/>
      <c r="R782" s="32"/>
      <c r="X782" s="35"/>
      <c r="Y782" s="102"/>
      <c r="Z782" s="104"/>
      <c r="AA782" s="105"/>
    </row>
    <row r="783" spans="12:27" ht="25" customHeight="1">
      <c r="L783" s="31"/>
      <c r="M783" s="31"/>
      <c r="N783" s="31"/>
      <c r="R783" s="32"/>
      <c r="X783" s="35"/>
      <c r="Y783" s="102"/>
      <c r="Z783" s="104"/>
      <c r="AA783" s="105"/>
    </row>
    <row r="784" spans="12:27" ht="25" customHeight="1">
      <c r="L784" s="31"/>
      <c r="M784" s="31"/>
      <c r="N784" s="31"/>
      <c r="R784" s="32"/>
      <c r="X784" s="35"/>
      <c r="Y784" s="102"/>
      <c r="Z784" s="104"/>
      <c r="AA784" s="105"/>
    </row>
    <row r="785" spans="12:27" ht="25" customHeight="1">
      <c r="L785" s="31"/>
      <c r="M785" s="31"/>
      <c r="N785" s="31"/>
      <c r="R785" s="32"/>
      <c r="X785" s="35"/>
      <c r="Y785" s="102"/>
      <c r="Z785" s="104"/>
      <c r="AA785" s="105"/>
    </row>
    <row r="786" spans="12:27" ht="25" customHeight="1">
      <c r="L786" s="31"/>
      <c r="M786" s="31"/>
      <c r="N786" s="31"/>
      <c r="R786" s="32"/>
      <c r="X786" s="35"/>
      <c r="Y786" s="102"/>
      <c r="Z786" s="104"/>
      <c r="AA786" s="105"/>
    </row>
    <row r="787" spans="12:27" ht="25" customHeight="1">
      <c r="L787" s="31"/>
      <c r="M787" s="31"/>
      <c r="N787" s="31"/>
      <c r="R787" s="32"/>
      <c r="X787" s="35"/>
      <c r="Y787" s="102"/>
      <c r="Z787" s="104"/>
      <c r="AA787" s="105"/>
    </row>
    <row r="788" spans="12:27" ht="25" customHeight="1">
      <c r="L788" s="31"/>
      <c r="M788" s="31"/>
      <c r="N788" s="31"/>
      <c r="R788" s="32"/>
      <c r="X788" s="35"/>
      <c r="Y788" s="102"/>
      <c r="Z788" s="104"/>
      <c r="AA788" s="105"/>
    </row>
    <row r="789" spans="12:27" ht="25" customHeight="1">
      <c r="L789" s="31"/>
      <c r="M789" s="31"/>
      <c r="N789" s="31"/>
      <c r="R789" s="32"/>
      <c r="X789" s="35"/>
      <c r="Y789" s="102"/>
      <c r="Z789" s="104"/>
      <c r="AA789" s="105"/>
    </row>
    <row r="790" spans="12:27" ht="25" customHeight="1">
      <c r="L790" s="31"/>
      <c r="M790" s="31"/>
      <c r="N790" s="31"/>
      <c r="R790" s="32"/>
      <c r="X790" s="35"/>
      <c r="Y790" s="102"/>
      <c r="Z790" s="104"/>
      <c r="AA790" s="105"/>
    </row>
    <row r="791" spans="12:27" ht="25" customHeight="1">
      <c r="L791" s="31"/>
      <c r="M791" s="31"/>
      <c r="N791" s="31"/>
      <c r="R791" s="32"/>
      <c r="X791" s="35"/>
      <c r="Y791" s="102"/>
      <c r="Z791" s="104"/>
      <c r="AA791" s="105"/>
    </row>
    <row r="792" spans="12:27" ht="25" customHeight="1">
      <c r="L792" s="31"/>
      <c r="M792" s="31"/>
      <c r="N792" s="31"/>
      <c r="R792" s="32"/>
      <c r="X792" s="35"/>
      <c r="Y792" s="102"/>
      <c r="Z792" s="104"/>
      <c r="AA792" s="105"/>
    </row>
    <row r="793" spans="12:27" ht="25" customHeight="1">
      <c r="L793" s="31"/>
      <c r="M793" s="31"/>
      <c r="N793" s="31"/>
      <c r="R793" s="32"/>
      <c r="X793" s="35"/>
      <c r="Y793" s="102"/>
      <c r="Z793" s="104"/>
      <c r="AA793" s="105"/>
    </row>
    <row r="794" spans="12:27" ht="25" customHeight="1">
      <c r="L794" s="31"/>
      <c r="M794" s="31"/>
      <c r="N794" s="31"/>
      <c r="R794" s="32"/>
      <c r="X794" s="35"/>
      <c r="Y794" s="102"/>
      <c r="Z794" s="104"/>
      <c r="AA794" s="105"/>
    </row>
    <row r="795" spans="12:27" ht="25" customHeight="1">
      <c r="L795" s="31"/>
      <c r="M795" s="31"/>
      <c r="N795" s="31"/>
      <c r="R795" s="32"/>
      <c r="X795" s="35"/>
      <c r="Y795" s="102"/>
      <c r="Z795" s="104"/>
      <c r="AA795" s="105"/>
    </row>
    <row r="796" spans="12:27" ht="25" customHeight="1">
      <c r="L796" s="31"/>
      <c r="M796" s="31"/>
      <c r="N796" s="31"/>
      <c r="R796" s="32"/>
      <c r="X796" s="35"/>
      <c r="Y796" s="102"/>
      <c r="Z796" s="104"/>
      <c r="AA796" s="105"/>
    </row>
    <row r="797" spans="12:27" ht="25" customHeight="1">
      <c r="L797" s="31"/>
      <c r="M797" s="31"/>
      <c r="N797" s="31"/>
      <c r="R797" s="32"/>
      <c r="X797" s="35"/>
      <c r="Y797" s="102"/>
      <c r="Z797" s="104"/>
      <c r="AA797" s="105"/>
    </row>
    <row r="798" spans="12:27" ht="25" customHeight="1">
      <c r="L798" s="31"/>
      <c r="M798" s="31"/>
      <c r="N798" s="31"/>
      <c r="R798" s="32"/>
      <c r="X798" s="35"/>
      <c r="Y798" s="102"/>
      <c r="Z798" s="104"/>
      <c r="AA798" s="105"/>
    </row>
    <row r="799" spans="12:27" ht="25" customHeight="1">
      <c r="L799" s="31"/>
      <c r="M799" s="31"/>
      <c r="N799" s="31"/>
      <c r="R799" s="32"/>
      <c r="X799" s="35"/>
      <c r="Y799" s="102"/>
      <c r="Z799" s="104"/>
      <c r="AA799" s="105"/>
    </row>
    <row r="800" spans="12:27" ht="25" customHeight="1">
      <c r="L800" s="31"/>
      <c r="M800" s="31"/>
      <c r="N800" s="31"/>
      <c r="R800" s="32"/>
      <c r="X800" s="35"/>
      <c r="Y800" s="102"/>
      <c r="Z800" s="104"/>
      <c r="AA800" s="105"/>
    </row>
    <row r="801" spans="12:27" ht="25" customHeight="1">
      <c r="L801" s="31"/>
      <c r="M801" s="31"/>
      <c r="N801" s="31"/>
      <c r="R801" s="32"/>
      <c r="X801" s="35"/>
      <c r="Y801" s="102"/>
      <c r="Z801" s="104"/>
      <c r="AA801" s="105"/>
    </row>
    <row r="802" spans="12:27" ht="25" customHeight="1">
      <c r="L802" s="31"/>
      <c r="M802" s="31"/>
      <c r="N802" s="31"/>
      <c r="R802" s="32"/>
      <c r="X802" s="35"/>
      <c r="Y802" s="102"/>
      <c r="Z802" s="104"/>
      <c r="AA802" s="105"/>
    </row>
    <row r="803" spans="12:27" ht="25" customHeight="1">
      <c r="L803" s="31"/>
      <c r="M803" s="31"/>
      <c r="N803" s="31"/>
      <c r="R803" s="32"/>
      <c r="X803" s="35"/>
      <c r="Y803" s="102"/>
      <c r="Z803" s="104"/>
      <c r="AA803" s="105"/>
    </row>
    <row r="804" spans="12:27" ht="25" customHeight="1">
      <c r="L804" s="31"/>
      <c r="M804" s="31"/>
      <c r="N804" s="31"/>
      <c r="R804" s="32"/>
      <c r="X804" s="35"/>
      <c r="Y804" s="102"/>
      <c r="Z804" s="104"/>
      <c r="AA804" s="105"/>
    </row>
    <row r="805" spans="12:27" ht="25" customHeight="1">
      <c r="L805" s="31"/>
      <c r="M805" s="31"/>
      <c r="N805" s="31"/>
      <c r="R805" s="32"/>
      <c r="X805" s="35"/>
      <c r="Y805" s="102"/>
      <c r="Z805" s="104"/>
      <c r="AA805" s="105"/>
    </row>
    <row r="806" spans="12:27" ht="25" customHeight="1">
      <c r="L806" s="31"/>
      <c r="M806" s="31"/>
      <c r="N806" s="31"/>
      <c r="R806" s="32"/>
      <c r="X806" s="35"/>
      <c r="Y806" s="102"/>
      <c r="Z806" s="104"/>
      <c r="AA806" s="105"/>
    </row>
    <row r="807" spans="12:27" ht="25" customHeight="1">
      <c r="L807" s="31"/>
      <c r="M807" s="31"/>
      <c r="N807" s="31"/>
      <c r="R807" s="32"/>
      <c r="X807" s="35"/>
      <c r="Y807" s="102"/>
      <c r="Z807" s="104"/>
      <c r="AA807" s="105"/>
    </row>
    <row r="808" spans="12:27" ht="25" customHeight="1">
      <c r="L808" s="31"/>
      <c r="M808" s="31"/>
      <c r="N808" s="31"/>
      <c r="R808" s="32"/>
      <c r="X808" s="35"/>
      <c r="Y808" s="102"/>
      <c r="Z808" s="104"/>
      <c r="AA808" s="105"/>
    </row>
    <row r="809" spans="12:27" ht="25" customHeight="1">
      <c r="L809" s="31"/>
      <c r="M809" s="31"/>
      <c r="N809" s="31"/>
      <c r="R809" s="32"/>
      <c r="X809" s="35"/>
      <c r="Y809" s="102"/>
      <c r="Z809" s="104"/>
      <c r="AA809" s="105"/>
    </row>
    <row r="810" spans="12:27" ht="25" customHeight="1">
      <c r="L810" s="31"/>
      <c r="M810" s="31"/>
      <c r="N810" s="31"/>
      <c r="R810" s="32"/>
      <c r="X810" s="35"/>
      <c r="Y810" s="102"/>
      <c r="Z810" s="104"/>
      <c r="AA810" s="105"/>
    </row>
    <row r="811" spans="12:27" ht="25" customHeight="1">
      <c r="L811" s="31"/>
      <c r="M811" s="31"/>
      <c r="N811" s="31"/>
      <c r="R811" s="32"/>
      <c r="X811" s="35"/>
      <c r="Y811" s="102"/>
      <c r="Z811" s="104"/>
      <c r="AA811" s="105"/>
    </row>
    <row r="812" spans="12:27" ht="25" customHeight="1">
      <c r="L812" s="31"/>
      <c r="M812" s="31"/>
      <c r="N812" s="31"/>
      <c r="R812" s="32"/>
      <c r="X812" s="35"/>
      <c r="Y812" s="102"/>
      <c r="Z812" s="104"/>
      <c r="AA812" s="105"/>
    </row>
    <row r="813" spans="12:27" ht="25" customHeight="1">
      <c r="L813" s="31"/>
      <c r="M813" s="31"/>
      <c r="N813" s="31"/>
      <c r="R813" s="32"/>
      <c r="X813" s="35"/>
      <c r="Y813" s="102"/>
      <c r="Z813" s="104"/>
      <c r="AA813" s="105"/>
    </row>
    <row r="814" spans="12:27" ht="25" customHeight="1">
      <c r="L814" s="31"/>
      <c r="M814" s="31"/>
      <c r="N814" s="31"/>
      <c r="R814" s="32"/>
      <c r="X814" s="35"/>
      <c r="Y814" s="102"/>
      <c r="Z814" s="104"/>
      <c r="AA814" s="105"/>
    </row>
    <row r="815" spans="12:27" ht="25" customHeight="1">
      <c r="L815" s="31"/>
      <c r="M815" s="31"/>
      <c r="N815" s="31"/>
      <c r="R815" s="32"/>
      <c r="X815" s="35"/>
      <c r="Y815" s="102"/>
      <c r="Z815" s="104"/>
      <c r="AA815" s="105"/>
    </row>
    <row r="816" spans="12:27" ht="25" customHeight="1">
      <c r="L816" s="31"/>
      <c r="M816" s="31"/>
      <c r="N816" s="31"/>
      <c r="R816" s="32"/>
      <c r="X816" s="35"/>
      <c r="Y816" s="102"/>
      <c r="Z816" s="104"/>
      <c r="AA816" s="105"/>
    </row>
    <row r="817" spans="12:27" ht="25" customHeight="1">
      <c r="L817" s="31"/>
      <c r="M817" s="31"/>
      <c r="N817" s="31"/>
      <c r="R817" s="32"/>
      <c r="X817" s="35"/>
      <c r="Y817" s="102"/>
      <c r="Z817" s="104"/>
      <c r="AA817" s="105"/>
    </row>
    <row r="818" spans="12:27" ht="25" customHeight="1">
      <c r="L818" s="31"/>
      <c r="M818" s="31"/>
      <c r="N818" s="31"/>
      <c r="R818" s="32"/>
      <c r="X818" s="35"/>
      <c r="Y818" s="102"/>
      <c r="Z818" s="104"/>
      <c r="AA818" s="105"/>
    </row>
    <row r="819" spans="12:27" ht="25" customHeight="1">
      <c r="L819" s="31"/>
      <c r="M819" s="31"/>
      <c r="N819" s="31"/>
      <c r="R819" s="32"/>
      <c r="X819" s="35"/>
      <c r="Y819" s="102"/>
      <c r="Z819" s="104"/>
      <c r="AA819" s="105"/>
    </row>
    <row r="820" spans="12:27" ht="25" customHeight="1">
      <c r="L820" s="31"/>
      <c r="M820" s="31"/>
      <c r="N820" s="31"/>
      <c r="R820" s="32"/>
      <c r="X820" s="35"/>
      <c r="Y820" s="102"/>
      <c r="Z820" s="104"/>
      <c r="AA820" s="105"/>
    </row>
    <row r="821" spans="12:27" ht="25" customHeight="1">
      <c r="L821" s="31"/>
      <c r="M821" s="31"/>
      <c r="N821" s="31"/>
      <c r="R821" s="32"/>
      <c r="X821" s="35"/>
      <c r="Y821" s="102"/>
      <c r="Z821" s="104"/>
      <c r="AA821" s="105"/>
    </row>
    <row r="822" spans="12:27" ht="25" customHeight="1">
      <c r="L822" s="31"/>
      <c r="M822" s="31"/>
      <c r="N822" s="31"/>
      <c r="R822" s="32"/>
      <c r="X822" s="35"/>
      <c r="Y822" s="102"/>
      <c r="Z822" s="104"/>
      <c r="AA822" s="105"/>
    </row>
    <row r="823" spans="12:27" ht="25" customHeight="1">
      <c r="L823" s="31"/>
      <c r="M823" s="31"/>
      <c r="N823" s="31"/>
      <c r="R823" s="32"/>
      <c r="X823" s="35"/>
      <c r="Y823" s="102"/>
      <c r="Z823" s="104"/>
      <c r="AA823" s="105"/>
    </row>
    <row r="824" spans="12:27" ht="25" customHeight="1">
      <c r="L824" s="31"/>
      <c r="M824" s="31"/>
      <c r="N824" s="31"/>
      <c r="R824" s="32"/>
      <c r="X824" s="35"/>
      <c r="Y824" s="102"/>
      <c r="Z824" s="104"/>
      <c r="AA824" s="105"/>
    </row>
    <row r="825" spans="12:27" ht="25" customHeight="1">
      <c r="L825" s="31"/>
      <c r="M825" s="31"/>
      <c r="N825" s="31"/>
      <c r="R825" s="32"/>
      <c r="X825" s="35"/>
      <c r="Y825" s="102"/>
      <c r="Z825" s="104"/>
      <c r="AA825" s="105"/>
    </row>
    <row r="826" spans="12:27" ht="25" customHeight="1">
      <c r="L826" s="31"/>
      <c r="M826" s="31"/>
      <c r="N826" s="31"/>
      <c r="R826" s="32"/>
      <c r="X826" s="35"/>
      <c r="Y826" s="102"/>
      <c r="Z826" s="104"/>
      <c r="AA826" s="105"/>
    </row>
    <row r="827" spans="12:27" ht="25" customHeight="1">
      <c r="L827" s="31"/>
      <c r="M827" s="31"/>
      <c r="N827" s="31"/>
      <c r="R827" s="32"/>
      <c r="X827" s="35"/>
      <c r="Y827" s="102"/>
      <c r="Z827" s="104"/>
      <c r="AA827" s="105"/>
    </row>
    <row r="828" spans="12:27" ht="25" customHeight="1">
      <c r="L828" s="31"/>
      <c r="M828" s="31"/>
      <c r="N828" s="31"/>
      <c r="R828" s="32"/>
      <c r="X828" s="35"/>
      <c r="Y828" s="102"/>
      <c r="Z828" s="104"/>
      <c r="AA828" s="105"/>
    </row>
    <row r="829" spans="12:27" ht="25" customHeight="1">
      <c r="L829" s="31"/>
      <c r="M829" s="31"/>
      <c r="N829" s="31"/>
      <c r="R829" s="32"/>
      <c r="X829" s="35"/>
      <c r="Y829" s="102"/>
      <c r="Z829" s="104"/>
      <c r="AA829" s="105"/>
    </row>
    <row r="830" spans="12:27" ht="25" customHeight="1">
      <c r="L830" s="31"/>
      <c r="M830" s="31"/>
      <c r="N830" s="31"/>
      <c r="R830" s="32"/>
      <c r="X830" s="35"/>
      <c r="Y830" s="102"/>
      <c r="Z830" s="104"/>
      <c r="AA830" s="105"/>
    </row>
    <row r="831" spans="12:27" ht="25" customHeight="1">
      <c r="L831" s="31"/>
      <c r="M831" s="31"/>
      <c r="N831" s="31"/>
      <c r="R831" s="32"/>
      <c r="X831" s="35"/>
      <c r="Y831" s="102"/>
      <c r="Z831" s="104"/>
      <c r="AA831" s="105"/>
    </row>
    <row r="832" spans="12:27" ht="25" customHeight="1">
      <c r="L832" s="31"/>
      <c r="M832" s="31"/>
      <c r="N832" s="31"/>
      <c r="R832" s="32"/>
      <c r="X832" s="35"/>
      <c r="Y832" s="102"/>
      <c r="Z832" s="104"/>
      <c r="AA832" s="105"/>
    </row>
    <row r="833" spans="12:27" ht="25" customHeight="1">
      <c r="L833" s="31"/>
      <c r="M833" s="31"/>
      <c r="N833" s="31"/>
      <c r="R833" s="32"/>
      <c r="X833" s="35"/>
      <c r="Y833" s="102"/>
      <c r="Z833" s="104"/>
      <c r="AA833" s="105"/>
    </row>
    <row r="834" spans="12:27" ht="25" customHeight="1">
      <c r="L834" s="31"/>
      <c r="M834" s="31"/>
      <c r="N834" s="31"/>
      <c r="R834" s="32"/>
      <c r="X834" s="35"/>
      <c r="Y834" s="102"/>
      <c r="Z834" s="104"/>
      <c r="AA834" s="105"/>
    </row>
    <row r="835" spans="12:27" ht="25" customHeight="1">
      <c r="L835" s="31"/>
      <c r="M835" s="31"/>
      <c r="N835" s="31"/>
      <c r="R835" s="32"/>
      <c r="X835" s="35"/>
      <c r="Y835" s="102"/>
      <c r="Z835" s="104"/>
      <c r="AA835" s="105"/>
    </row>
    <row r="836" spans="12:27" ht="25" customHeight="1">
      <c r="L836" s="31"/>
      <c r="M836" s="31"/>
      <c r="N836" s="31"/>
      <c r="R836" s="32"/>
      <c r="X836" s="35"/>
      <c r="Y836" s="102"/>
      <c r="Z836" s="104"/>
      <c r="AA836" s="105"/>
    </row>
    <row r="837" spans="12:27" ht="25" customHeight="1">
      <c r="L837" s="31"/>
      <c r="M837" s="31"/>
      <c r="N837" s="31"/>
      <c r="R837" s="32"/>
      <c r="X837" s="35"/>
      <c r="Y837" s="102"/>
      <c r="Z837" s="104"/>
      <c r="AA837" s="105"/>
    </row>
    <row r="838" spans="12:27" ht="25" customHeight="1">
      <c r="L838" s="31"/>
      <c r="M838" s="31"/>
      <c r="N838" s="31"/>
      <c r="R838" s="32"/>
      <c r="X838" s="35"/>
      <c r="Y838" s="102"/>
      <c r="Z838" s="104"/>
      <c r="AA838" s="105"/>
    </row>
    <row r="839" spans="12:27" ht="25" customHeight="1">
      <c r="L839" s="31"/>
      <c r="M839" s="31"/>
      <c r="N839" s="31"/>
      <c r="R839" s="32"/>
      <c r="X839" s="35"/>
      <c r="Y839" s="102"/>
      <c r="Z839" s="104"/>
      <c r="AA839" s="105"/>
    </row>
    <row r="840" spans="12:27" ht="25" customHeight="1">
      <c r="L840" s="31"/>
      <c r="M840" s="31"/>
      <c r="N840" s="31"/>
      <c r="R840" s="32"/>
      <c r="X840" s="35"/>
      <c r="Y840" s="102"/>
      <c r="Z840" s="104"/>
      <c r="AA840" s="105"/>
    </row>
    <row r="841" spans="12:27" ht="25" customHeight="1">
      <c r="L841" s="31"/>
      <c r="M841" s="31"/>
      <c r="N841" s="31"/>
      <c r="R841" s="32"/>
      <c r="X841" s="35"/>
      <c r="Y841" s="102"/>
      <c r="Z841" s="104"/>
      <c r="AA841" s="105"/>
    </row>
    <row r="842" spans="12:27" ht="25" customHeight="1">
      <c r="L842" s="31"/>
      <c r="M842" s="31"/>
      <c r="N842" s="31"/>
      <c r="R842" s="32"/>
      <c r="X842" s="35"/>
      <c r="Y842" s="102"/>
      <c r="Z842" s="104"/>
      <c r="AA842" s="105"/>
    </row>
    <row r="843" spans="12:27" ht="25" customHeight="1">
      <c r="L843" s="31"/>
      <c r="M843" s="31"/>
      <c r="N843" s="31"/>
      <c r="R843" s="32"/>
      <c r="X843" s="35"/>
      <c r="Y843" s="102"/>
      <c r="Z843" s="104"/>
      <c r="AA843" s="105"/>
    </row>
    <row r="844" spans="12:27" ht="25" customHeight="1">
      <c r="L844" s="31"/>
      <c r="M844" s="31"/>
      <c r="N844" s="31"/>
      <c r="R844" s="32"/>
      <c r="X844" s="35"/>
      <c r="Y844" s="102"/>
      <c r="Z844" s="104"/>
      <c r="AA844" s="105"/>
    </row>
    <row r="845" spans="12:27" ht="25" customHeight="1">
      <c r="L845" s="31"/>
      <c r="M845" s="31"/>
      <c r="N845" s="31"/>
      <c r="R845" s="32"/>
      <c r="X845" s="35"/>
      <c r="Y845" s="102"/>
      <c r="Z845" s="104"/>
      <c r="AA845" s="105"/>
    </row>
    <row r="846" spans="12:27" ht="25" customHeight="1">
      <c r="L846" s="31"/>
      <c r="M846" s="31"/>
      <c r="N846" s="31"/>
      <c r="R846" s="32"/>
      <c r="X846" s="35"/>
      <c r="Y846" s="102"/>
      <c r="Z846" s="104"/>
      <c r="AA846" s="105"/>
    </row>
    <row r="847" spans="12:27" ht="25" customHeight="1">
      <c r="L847" s="31"/>
      <c r="M847" s="31"/>
      <c r="N847" s="31"/>
      <c r="R847" s="32"/>
      <c r="X847" s="35"/>
      <c r="Y847" s="102"/>
      <c r="Z847" s="104"/>
      <c r="AA847" s="105"/>
    </row>
    <row r="848" spans="12:27" ht="25" customHeight="1">
      <c r="L848" s="31"/>
      <c r="M848" s="31"/>
      <c r="N848" s="31"/>
      <c r="R848" s="32"/>
      <c r="X848" s="35"/>
      <c r="Y848" s="102"/>
      <c r="Z848" s="104"/>
      <c r="AA848" s="105"/>
    </row>
    <row r="849" spans="12:27" ht="25" customHeight="1">
      <c r="L849" s="31"/>
      <c r="M849" s="31"/>
      <c r="N849" s="31"/>
      <c r="R849" s="32"/>
      <c r="X849" s="35"/>
      <c r="Y849" s="102"/>
      <c r="Z849" s="104"/>
      <c r="AA849" s="105"/>
    </row>
    <row r="850" spans="12:27" ht="25" customHeight="1">
      <c r="L850" s="31"/>
      <c r="M850" s="31"/>
      <c r="N850" s="31"/>
      <c r="R850" s="32"/>
      <c r="X850" s="35"/>
      <c r="Y850" s="102"/>
      <c r="Z850" s="104"/>
      <c r="AA850" s="105"/>
    </row>
    <row r="851" spans="12:27" ht="25" customHeight="1">
      <c r="L851" s="31"/>
      <c r="M851" s="31"/>
      <c r="N851" s="31"/>
      <c r="R851" s="32"/>
      <c r="X851" s="35"/>
      <c r="Y851" s="102"/>
      <c r="Z851" s="104"/>
      <c r="AA851" s="105"/>
    </row>
    <row r="852" spans="12:27" ht="25" customHeight="1">
      <c r="L852" s="31"/>
      <c r="M852" s="31"/>
      <c r="N852" s="31"/>
      <c r="R852" s="32"/>
      <c r="X852" s="35"/>
      <c r="Y852" s="102"/>
      <c r="Z852" s="104"/>
      <c r="AA852" s="105"/>
    </row>
    <row r="853" spans="12:27" ht="25" customHeight="1">
      <c r="L853" s="31"/>
      <c r="M853" s="31"/>
      <c r="N853" s="31"/>
      <c r="R853" s="32"/>
      <c r="X853" s="35"/>
      <c r="Y853" s="102"/>
      <c r="Z853" s="104"/>
      <c r="AA853" s="105"/>
    </row>
    <row r="854" spans="12:27" ht="25" customHeight="1">
      <c r="L854" s="31"/>
      <c r="M854" s="31"/>
      <c r="N854" s="31"/>
      <c r="R854" s="32"/>
      <c r="X854" s="35"/>
      <c r="Y854" s="102"/>
      <c r="Z854" s="104"/>
      <c r="AA854" s="105"/>
    </row>
    <row r="855" spans="12:27" ht="25" customHeight="1">
      <c r="L855" s="31"/>
      <c r="M855" s="31"/>
      <c r="N855" s="31"/>
      <c r="R855" s="32"/>
      <c r="X855" s="35"/>
      <c r="Y855" s="102"/>
      <c r="Z855" s="104"/>
      <c r="AA855" s="105"/>
    </row>
    <row r="856" spans="12:27" ht="25" customHeight="1">
      <c r="L856" s="31"/>
      <c r="M856" s="31"/>
      <c r="N856" s="31"/>
      <c r="R856" s="32"/>
      <c r="X856" s="35"/>
      <c r="Y856" s="102"/>
      <c r="Z856" s="104"/>
      <c r="AA856" s="105"/>
    </row>
    <row r="857" spans="12:27" ht="25" customHeight="1">
      <c r="L857" s="31"/>
      <c r="M857" s="31"/>
      <c r="N857" s="31"/>
      <c r="R857" s="32"/>
      <c r="X857" s="35"/>
      <c r="Y857" s="102"/>
      <c r="Z857" s="104"/>
      <c r="AA857" s="105"/>
    </row>
    <row r="858" spans="12:27" ht="25" customHeight="1">
      <c r="L858" s="31"/>
      <c r="M858" s="31"/>
      <c r="N858" s="31"/>
      <c r="R858" s="32"/>
      <c r="X858" s="35"/>
      <c r="Y858" s="102"/>
      <c r="Z858" s="104"/>
      <c r="AA858" s="105"/>
    </row>
    <row r="859" spans="12:27" ht="25" customHeight="1">
      <c r="L859" s="31"/>
      <c r="M859" s="31"/>
      <c r="N859" s="31"/>
      <c r="R859" s="32"/>
      <c r="X859" s="35"/>
      <c r="Y859" s="102"/>
      <c r="Z859" s="104"/>
      <c r="AA859" s="105"/>
    </row>
    <row r="860" spans="12:27" ht="25" customHeight="1">
      <c r="L860" s="31"/>
      <c r="M860" s="31"/>
      <c r="N860" s="31"/>
      <c r="R860" s="32"/>
      <c r="X860" s="35"/>
      <c r="Y860" s="102"/>
      <c r="Z860" s="104"/>
      <c r="AA860" s="105"/>
    </row>
    <row r="861" spans="12:27" ht="25" customHeight="1">
      <c r="L861" s="31"/>
      <c r="M861" s="31"/>
      <c r="N861" s="31"/>
      <c r="R861" s="32"/>
      <c r="X861" s="35"/>
      <c r="Y861" s="102"/>
      <c r="Z861" s="104"/>
      <c r="AA861" s="105"/>
    </row>
    <row r="862" spans="12:27" ht="25" customHeight="1">
      <c r="L862" s="31"/>
      <c r="M862" s="31"/>
      <c r="N862" s="31"/>
      <c r="R862" s="32"/>
      <c r="X862" s="35"/>
      <c r="Y862" s="102"/>
      <c r="Z862" s="104"/>
      <c r="AA862" s="105"/>
    </row>
    <row r="863" spans="12:27" ht="25" customHeight="1">
      <c r="L863" s="31"/>
      <c r="M863" s="31"/>
      <c r="N863" s="31"/>
      <c r="R863" s="32"/>
      <c r="X863" s="35"/>
      <c r="Y863" s="102"/>
      <c r="Z863" s="104"/>
      <c r="AA863" s="105"/>
    </row>
    <row r="864" spans="12:27" ht="25" customHeight="1">
      <c r="L864" s="31"/>
      <c r="M864" s="31"/>
      <c r="N864" s="31"/>
      <c r="R864" s="32"/>
      <c r="X864" s="35"/>
      <c r="Y864" s="102"/>
      <c r="Z864" s="104"/>
      <c r="AA864" s="105"/>
    </row>
    <row r="865" spans="12:27" ht="25" customHeight="1">
      <c r="L865" s="31"/>
      <c r="M865" s="31"/>
      <c r="N865" s="31"/>
      <c r="R865" s="32"/>
      <c r="X865" s="35"/>
      <c r="Y865" s="102"/>
      <c r="Z865" s="104"/>
      <c r="AA865" s="105"/>
    </row>
    <row r="866" spans="12:27" ht="25" customHeight="1">
      <c r="L866" s="31"/>
      <c r="M866" s="31"/>
      <c r="N866" s="31"/>
      <c r="R866" s="32"/>
      <c r="X866" s="35"/>
      <c r="Y866" s="102"/>
      <c r="Z866" s="104"/>
      <c r="AA866" s="105"/>
    </row>
    <row r="867" spans="12:27" ht="25" customHeight="1">
      <c r="L867" s="31"/>
      <c r="M867" s="31"/>
      <c r="N867" s="31"/>
      <c r="R867" s="32"/>
      <c r="X867" s="35"/>
      <c r="Y867" s="102"/>
      <c r="Z867" s="104"/>
      <c r="AA867" s="105"/>
    </row>
    <row r="868" spans="12:27" ht="25" customHeight="1">
      <c r="L868" s="31"/>
      <c r="M868" s="31"/>
      <c r="N868" s="31"/>
      <c r="R868" s="32"/>
      <c r="X868" s="35"/>
      <c r="Y868" s="102"/>
      <c r="Z868" s="104"/>
      <c r="AA868" s="105"/>
    </row>
    <row r="869" spans="12:27" ht="25" customHeight="1">
      <c r="L869" s="31"/>
      <c r="M869" s="31"/>
      <c r="N869" s="31"/>
      <c r="R869" s="32"/>
      <c r="X869" s="35"/>
      <c r="Y869" s="102"/>
      <c r="Z869" s="104"/>
      <c r="AA869" s="105"/>
    </row>
    <row r="870" spans="12:27" ht="25" customHeight="1">
      <c r="L870" s="31"/>
      <c r="M870" s="31"/>
      <c r="N870" s="31"/>
      <c r="R870" s="32"/>
      <c r="X870" s="35"/>
      <c r="Y870" s="102"/>
      <c r="Z870" s="104"/>
      <c r="AA870" s="105"/>
    </row>
    <row r="871" spans="12:27" ht="25" customHeight="1">
      <c r="L871" s="31"/>
      <c r="M871" s="31"/>
      <c r="N871" s="31"/>
      <c r="R871" s="32"/>
      <c r="X871" s="35"/>
      <c r="Y871" s="102"/>
      <c r="Z871" s="104"/>
      <c r="AA871" s="105"/>
    </row>
    <row r="872" spans="12:27" ht="25" customHeight="1">
      <c r="L872" s="31"/>
      <c r="M872" s="31"/>
      <c r="N872" s="31"/>
      <c r="R872" s="32"/>
      <c r="X872" s="35"/>
      <c r="Y872" s="102"/>
      <c r="Z872" s="104"/>
      <c r="AA872" s="105"/>
    </row>
    <row r="873" spans="12:27" ht="25" customHeight="1">
      <c r="L873" s="31"/>
      <c r="M873" s="31"/>
      <c r="N873" s="31"/>
      <c r="R873" s="32"/>
      <c r="X873" s="35"/>
      <c r="Y873" s="102"/>
      <c r="Z873" s="104"/>
      <c r="AA873" s="105"/>
    </row>
    <row r="874" spans="12:27" ht="25" customHeight="1">
      <c r="L874" s="31"/>
      <c r="M874" s="31"/>
      <c r="N874" s="31"/>
      <c r="R874" s="32"/>
      <c r="X874" s="35"/>
      <c r="Y874" s="102"/>
      <c r="Z874" s="104"/>
      <c r="AA874" s="105"/>
    </row>
    <row r="875" spans="12:27" ht="25" customHeight="1">
      <c r="L875" s="31"/>
      <c r="M875" s="31"/>
      <c r="N875" s="31"/>
      <c r="R875" s="32"/>
      <c r="X875" s="35"/>
      <c r="Y875" s="102"/>
      <c r="Z875" s="104"/>
      <c r="AA875" s="105"/>
    </row>
    <row r="876" spans="12:27" ht="25" customHeight="1">
      <c r="L876" s="31"/>
      <c r="M876" s="31"/>
      <c r="N876" s="31"/>
      <c r="R876" s="32"/>
      <c r="X876" s="35"/>
      <c r="Y876" s="102"/>
      <c r="Z876" s="104"/>
      <c r="AA876" s="105"/>
    </row>
    <row r="877" spans="12:27" ht="25" customHeight="1">
      <c r="L877" s="31"/>
      <c r="M877" s="31"/>
      <c r="N877" s="31"/>
      <c r="R877" s="32"/>
      <c r="X877" s="35"/>
      <c r="Y877" s="102"/>
      <c r="Z877" s="104"/>
      <c r="AA877" s="105"/>
    </row>
    <row r="878" spans="12:27" ht="25" customHeight="1">
      <c r="L878" s="31"/>
      <c r="M878" s="31"/>
      <c r="N878" s="31"/>
      <c r="R878" s="32"/>
      <c r="X878" s="35"/>
      <c r="Y878" s="102"/>
      <c r="Z878" s="104"/>
      <c r="AA878" s="105"/>
    </row>
    <row r="879" spans="12:27" ht="25" customHeight="1">
      <c r="L879" s="31"/>
      <c r="M879" s="31"/>
      <c r="N879" s="31"/>
      <c r="R879" s="32"/>
      <c r="X879" s="35"/>
      <c r="Y879" s="102"/>
      <c r="Z879" s="104"/>
      <c r="AA879" s="105"/>
    </row>
    <row r="880" spans="12:27" ht="25" customHeight="1">
      <c r="L880" s="31"/>
      <c r="M880" s="31"/>
      <c r="N880" s="31"/>
      <c r="R880" s="32"/>
      <c r="X880" s="35"/>
      <c r="Y880" s="102"/>
      <c r="Z880" s="104"/>
      <c r="AA880" s="105"/>
    </row>
    <row r="881" spans="12:27" ht="25" customHeight="1">
      <c r="L881" s="31"/>
      <c r="M881" s="31"/>
      <c r="N881" s="31"/>
      <c r="R881" s="32"/>
      <c r="X881" s="35"/>
      <c r="Y881" s="102"/>
      <c r="Z881" s="104"/>
      <c r="AA881" s="105"/>
    </row>
    <row r="882" spans="12:27" ht="25" customHeight="1">
      <c r="L882" s="31"/>
      <c r="M882" s="31"/>
      <c r="N882" s="31"/>
      <c r="R882" s="32"/>
      <c r="X882" s="35"/>
      <c r="Y882" s="102"/>
      <c r="Z882" s="104"/>
      <c r="AA882" s="105"/>
    </row>
    <row r="883" spans="12:27" ht="25" customHeight="1">
      <c r="L883" s="31"/>
      <c r="M883" s="31"/>
      <c r="N883" s="31"/>
      <c r="R883" s="32"/>
      <c r="X883" s="35"/>
      <c r="Y883" s="102"/>
      <c r="Z883" s="104"/>
      <c r="AA883" s="105"/>
    </row>
    <row r="884" spans="12:27" ht="25" customHeight="1">
      <c r="L884" s="31"/>
      <c r="M884" s="31"/>
      <c r="N884" s="31"/>
      <c r="R884" s="32"/>
      <c r="X884" s="35"/>
      <c r="Y884" s="102"/>
      <c r="Z884" s="104"/>
      <c r="AA884" s="105"/>
    </row>
    <row r="885" spans="12:27" ht="25" customHeight="1">
      <c r="L885" s="31"/>
      <c r="M885" s="31"/>
      <c r="N885" s="31"/>
      <c r="R885" s="32"/>
      <c r="X885" s="35"/>
      <c r="Y885" s="102"/>
      <c r="Z885" s="104"/>
      <c r="AA885" s="105"/>
    </row>
    <row r="886" spans="12:27" ht="25" customHeight="1">
      <c r="L886" s="31"/>
      <c r="M886" s="31"/>
      <c r="N886" s="31"/>
      <c r="R886" s="32"/>
      <c r="X886" s="35"/>
      <c r="Y886" s="102"/>
      <c r="Z886" s="104"/>
      <c r="AA886" s="105"/>
    </row>
    <row r="887" spans="12:27" ht="25" customHeight="1">
      <c r="L887" s="31"/>
      <c r="M887" s="31"/>
      <c r="N887" s="31"/>
      <c r="R887" s="32"/>
      <c r="X887" s="35"/>
      <c r="Y887" s="102"/>
      <c r="Z887" s="104"/>
      <c r="AA887" s="105"/>
    </row>
    <row r="888" spans="12:27" ht="25" customHeight="1">
      <c r="L888" s="31"/>
      <c r="M888" s="31"/>
      <c r="N888" s="31"/>
      <c r="R888" s="32"/>
      <c r="X888" s="35"/>
      <c r="Y888" s="102"/>
      <c r="Z888" s="104"/>
      <c r="AA888" s="105"/>
    </row>
    <row r="889" spans="12:27" ht="25" customHeight="1">
      <c r="L889" s="31"/>
      <c r="M889" s="31"/>
      <c r="N889" s="31"/>
      <c r="R889" s="32"/>
      <c r="X889" s="35"/>
      <c r="Y889" s="102"/>
      <c r="Z889" s="104"/>
      <c r="AA889" s="105"/>
    </row>
    <row r="890" spans="12:27" ht="25" customHeight="1">
      <c r="L890" s="31"/>
      <c r="M890" s="31"/>
      <c r="N890" s="31"/>
      <c r="R890" s="32"/>
      <c r="X890" s="35"/>
      <c r="Y890" s="102"/>
      <c r="Z890" s="104"/>
      <c r="AA890" s="105"/>
    </row>
    <row r="891" spans="12:27" ht="25" customHeight="1">
      <c r="L891" s="31"/>
      <c r="M891" s="31"/>
      <c r="N891" s="31"/>
      <c r="R891" s="32"/>
      <c r="X891" s="35"/>
      <c r="Y891" s="102"/>
      <c r="Z891" s="104"/>
      <c r="AA891" s="105"/>
    </row>
    <row r="892" spans="12:27" ht="25" customHeight="1">
      <c r="L892" s="31"/>
      <c r="M892" s="31"/>
      <c r="N892" s="31"/>
      <c r="R892" s="32"/>
      <c r="X892" s="35"/>
      <c r="Y892" s="102"/>
      <c r="Z892" s="104"/>
      <c r="AA892" s="105"/>
    </row>
    <row r="893" spans="12:27" ht="25" customHeight="1">
      <c r="L893" s="31"/>
      <c r="M893" s="31"/>
      <c r="N893" s="31"/>
      <c r="R893" s="32"/>
      <c r="X893" s="35"/>
      <c r="Y893" s="102"/>
      <c r="Z893" s="104"/>
      <c r="AA893" s="105"/>
    </row>
    <row r="894" spans="12:27" ht="25" customHeight="1">
      <c r="L894" s="31"/>
      <c r="M894" s="31"/>
      <c r="N894" s="31"/>
      <c r="R894" s="32"/>
      <c r="X894" s="35"/>
      <c r="Y894" s="102"/>
      <c r="Z894" s="104"/>
      <c r="AA894" s="105"/>
    </row>
    <row r="895" spans="12:27" ht="25" customHeight="1">
      <c r="L895" s="31"/>
      <c r="M895" s="31"/>
      <c r="N895" s="31"/>
      <c r="R895" s="32"/>
      <c r="X895" s="35"/>
      <c r="Y895" s="102"/>
      <c r="Z895" s="104"/>
      <c r="AA895" s="105"/>
    </row>
    <row r="896" spans="12:27" ht="25" customHeight="1">
      <c r="L896" s="31"/>
      <c r="M896" s="31"/>
      <c r="N896" s="31"/>
      <c r="R896" s="32"/>
      <c r="X896" s="35"/>
      <c r="Y896" s="102"/>
      <c r="Z896" s="104"/>
      <c r="AA896" s="105"/>
    </row>
    <row r="897" spans="12:27" ht="25" customHeight="1">
      <c r="L897" s="31"/>
      <c r="M897" s="31"/>
      <c r="N897" s="31"/>
      <c r="R897" s="32"/>
      <c r="X897" s="35"/>
      <c r="Y897" s="102"/>
      <c r="Z897" s="104"/>
      <c r="AA897" s="105"/>
    </row>
    <row r="898" spans="12:27" ht="25" customHeight="1">
      <c r="L898" s="31"/>
      <c r="M898" s="31"/>
      <c r="N898" s="31"/>
      <c r="R898" s="32"/>
      <c r="X898" s="35"/>
      <c r="Y898" s="102"/>
      <c r="Z898" s="104"/>
      <c r="AA898" s="105"/>
    </row>
    <row r="899" spans="12:27" ht="25" customHeight="1">
      <c r="L899" s="31"/>
      <c r="M899" s="31"/>
      <c r="N899" s="31"/>
      <c r="R899" s="32"/>
      <c r="X899" s="35"/>
      <c r="Y899" s="102"/>
      <c r="Z899" s="104"/>
      <c r="AA899" s="105"/>
    </row>
    <row r="900" spans="12:27" ht="25" customHeight="1">
      <c r="L900" s="31"/>
      <c r="M900" s="31"/>
      <c r="N900" s="31"/>
      <c r="R900" s="32"/>
      <c r="X900" s="35"/>
      <c r="Y900" s="102"/>
      <c r="Z900" s="104"/>
      <c r="AA900" s="105"/>
    </row>
    <row r="901" spans="12:27" ht="25" customHeight="1">
      <c r="L901" s="31"/>
      <c r="M901" s="31"/>
      <c r="N901" s="31"/>
      <c r="R901" s="32"/>
      <c r="X901" s="35"/>
      <c r="Y901" s="102"/>
      <c r="Z901" s="104"/>
      <c r="AA901" s="105"/>
    </row>
    <row r="902" spans="12:27" ht="25" customHeight="1">
      <c r="L902" s="31"/>
      <c r="M902" s="31"/>
      <c r="N902" s="31"/>
      <c r="R902" s="32"/>
      <c r="X902" s="35"/>
      <c r="Y902" s="102"/>
      <c r="Z902" s="104"/>
      <c r="AA902" s="105"/>
    </row>
    <row r="903" spans="12:27" ht="25" customHeight="1">
      <c r="L903" s="31"/>
      <c r="M903" s="31"/>
      <c r="N903" s="31"/>
      <c r="R903" s="32"/>
      <c r="X903" s="35"/>
      <c r="Y903" s="102"/>
      <c r="Z903" s="104"/>
      <c r="AA903" s="105"/>
    </row>
    <row r="904" spans="12:27" ht="25" customHeight="1">
      <c r="L904" s="31"/>
      <c r="M904" s="31"/>
      <c r="N904" s="31"/>
      <c r="R904" s="32"/>
      <c r="X904" s="35"/>
      <c r="Y904" s="102"/>
      <c r="Z904" s="104"/>
      <c r="AA904" s="105"/>
    </row>
    <row r="905" spans="12:27" ht="25" customHeight="1">
      <c r="L905" s="31"/>
      <c r="M905" s="31"/>
      <c r="N905" s="31"/>
      <c r="R905" s="32"/>
      <c r="X905" s="35"/>
      <c r="Y905" s="102"/>
      <c r="Z905" s="104"/>
      <c r="AA905" s="105"/>
    </row>
    <row r="906" spans="12:27" ht="25" customHeight="1">
      <c r="L906" s="31"/>
      <c r="M906" s="31"/>
      <c r="N906" s="31"/>
      <c r="R906" s="32"/>
      <c r="X906" s="35"/>
      <c r="Y906" s="102"/>
      <c r="Z906" s="104"/>
      <c r="AA906" s="105"/>
    </row>
    <row r="907" spans="12:27" ht="25" customHeight="1">
      <c r="L907" s="31"/>
      <c r="M907" s="31"/>
      <c r="N907" s="31"/>
      <c r="R907" s="32"/>
      <c r="X907" s="35"/>
      <c r="Y907" s="102"/>
      <c r="Z907" s="104"/>
      <c r="AA907" s="105"/>
    </row>
    <row r="908" spans="12:27" ht="25" customHeight="1">
      <c r="L908" s="31"/>
      <c r="M908" s="31"/>
      <c r="N908" s="31"/>
      <c r="R908" s="32"/>
      <c r="X908" s="35"/>
      <c r="Y908" s="102"/>
      <c r="Z908" s="104"/>
      <c r="AA908" s="105"/>
    </row>
    <row r="909" spans="12:27" ht="25" customHeight="1">
      <c r="L909" s="31"/>
      <c r="M909" s="31"/>
      <c r="N909" s="31"/>
      <c r="R909" s="32"/>
      <c r="X909" s="35"/>
      <c r="Y909" s="102"/>
      <c r="Z909" s="104"/>
      <c r="AA909" s="105"/>
    </row>
    <row r="910" spans="12:27" ht="25" customHeight="1">
      <c r="L910" s="31"/>
      <c r="M910" s="31"/>
      <c r="N910" s="31"/>
      <c r="R910" s="32"/>
      <c r="X910" s="35"/>
      <c r="Y910" s="102"/>
      <c r="Z910" s="104"/>
      <c r="AA910" s="105"/>
    </row>
    <row r="911" spans="12:27" ht="25" customHeight="1">
      <c r="L911" s="31"/>
      <c r="M911" s="31"/>
      <c r="N911" s="31"/>
      <c r="R911" s="32"/>
      <c r="X911" s="35"/>
      <c r="Y911" s="102"/>
      <c r="Z911" s="104"/>
      <c r="AA911" s="105"/>
    </row>
    <row r="912" spans="12:27" ht="25" customHeight="1">
      <c r="L912" s="31"/>
      <c r="M912" s="31"/>
      <c r="N912" s="31"/>
      <c r="R912" s="32"/>
      <c r="X912" s="35"/>
      <c r="Y912" s="102"/>
      <c r="Z912" s="104"/>
      <c r="AA912" s="105"/>
    </row>
    <row r="913" spans="12:27" ht="25" customHeight="1">
      <c r="L913" s="31"/>
      <c r="M913" s="31"/>
      <c r="N913" s="31"/>
      <c r="R913" s="32"/>
      <c r="X913" s="35"/>
      <c r="Y913" s="102"/>
      <c r="Z913" s="104"/>
      <c r="AA913" s="105"/>
    </row>
    <row r="914" spans="12:27" ht="25" customHeight="1">
      <c r="L914" s="31"/>
      <c r="M914" s="31"/>
      <c r="N914" s="31"/>
      <c r="R914" s="32"/>
      <c r="X914" s="35"/>
      <c r="Y914" s="102"/>
      <c r="Z914" s="104"/>
      <c r="AA914" s="105"/>
    </row>
    <row r="915" spans="12:27" ht="25" customHeight="1">
      <c r="L915" s="31"/>
      <c r="M915" s="31"/>
      <c r="N915" s="31"/>
      <c r="R915" s="32"/>
      <c r="X915" s="35"/>
      <c r="Y915" s="102"/>
      <c r="Z915" s="104"/>
      <c r="AA915" s="105"/>
    </row>
    <row r="916" spans="12:27" ht="25" customHeight="1">
      <c r="L916" s="31"/>
      <c r="M916" s="31"/>
      <c r="N916" s="31"/>
      <c r="R916" s="32"/>
      <c r="X916" s="35"/>
      <c r="Y916" s="102"/>
      <c r="Z916" s="104"/>
      <c r="AA916" s="105"/>
    </row>
    <row r="917" spans="12:27" ht="25" customHeight="1">
      <c r="L917" s="31"/>
      <c r="M917" s="31"/>
      <c r="N917" s="31"/>
      <c r="R917" s="32"/>
      <c r="X917" s="35"/>
      <c r="Y917" s="102"/>
      <c r="Z917" s="104"/>
      <c r="AA917" s="105"/>
    </row>
    <row r="918" spans="12:27" ht="25" customHeight="1">
      <c r="L918" s="31"/>
      <c r="M918" s="31"/>
      <c r="N918" s="31"/>
      <c r="R918" s="32"/>
      <c r="X918" s="35"/>
      <c r="Y918" s="102"/>
      <c r="Z918" s="104"/>
      <c r="AA918" s="105"/>
    </row>
    <row r="919" spans="12:27" ht="25" customHeight="1">
      <c r="L919" s="31"/>
      <c r="M919" s="31"/>
      <c r="N919" s="31"/>
      <c r="R919" s="32"/>
      <c r="X919" s="35"/>
      <c r="Y919" s="102"/>
      <c r="Z919" s="104"/>
      <c r="AA919" s="105"/>
    </row>
    <row r="920" spans="12:27" ht="25" customHeight="1">
      <c r="L920" s="31"/>
      <c r="M920" s="31"/>
      <c r="N920" s="31"/>
      <c r="R920" s="32"/>
      <c r="X920" s="35"/>
      <c r="Y920" s="102"/>
      <c r="Z920" s="104"/>
      <c r="AA920" s="105"/>
    </row>
    <row r="921" spans="12:27" ht="25" customHeight="1">
      <c r="L921" s="31"/>
      <c r="M921" s="31"/>
      <c r="N921" s="31"/>
      <c r="R921" s="32"/>
      <c r="X921" s="35"/>
      <c r="Y921" s="102"/>
      <c r="Z921" s="104"/>
      <c r="AA921" s="105"/>
    </row>
    <row r="922" spans="12:27" ht="25" customHeight="1">
      <c r="L922" s="31"/>
      <c r="M922" s="31"/>
      <c r="N922" s="31"/>
      <c r="R922" s="32"/>
      <c r="X922" s="35"/>
      <c r="Y922" s="102"/>
      <c r="Z922" s="104"/>
      <c r="AA922" s="105"/>
    </row>
    <row r="923" spans="12:27" ht="25" customHeight="1">
      <c r="L923" s="31"/>
      <c r="M923" s="31"/>
      <c r="N923" s="31"/>
      <c r="R923" s="32"/>
      <c r="X923" s="35"/>
      <c r="Y923" s="102"/>
      <c r="Z923" s="104"/>
      <c r="AA923" s="105"/>
    </row>
    <row r="924" spans="12:27" ht="25" customHeight="1">
      <c r="L924" s="31"/>
      <c r="M924" s="31"/>
      <c r="N924" s="31"/>
      <c r="R924" s="32"/>
      <c r="X924" s="35"/>
      <c r="Y924" s="102"/>
      <c r="Z924" s="104"/>
      <c r="AA924" s="105"/>
    </row>
    <row r="925" spans="12:27" ht="25" customHeight="1">
      <c r="L925" s="31"/>
      <c r="M925" s="31"/>
      <c r="N925" s="31"/>
      <c r="R925" s="32"/>
      <c r="X925" s="35"/>
      <c r="Y925" s="102"/>
      <c r="Z925" s="104"/>
      <c r="AA925" s="105"/>
    </row>
    <row r="926" spans="12:27" ht="25" customHeight="1">
      <c r="L926" s="31"/>
      <c r="M926" s="31"/>
      <c r="N926" s="31"/>
      <c r="R926" s="32"/>
      <c r="X926" s="35"/>
      <c r="Y926" s="102"/>
      <c r="Z926" s="104"/>
      <c r="AA926" s="105"/>
    </row>
    <row r="927" spans="12:27" ht="25" customHeight="1">
      <c r="L927" s="31"/>
      <c r="M927" s="31"/>
      <c r="N927" s="31"/>
      <c r="R927" s="32"/>
      <c r="X927" s="35"/>
      <c r="Y927" s="102"/>
      <c r="Z927" s="104"/>
      <c r="AA927" s="105"/>
    </row>
    <row r="928" spans="12:27" ht="25" customHeight="1">
      <c r="L928" s="31"/>
      <c r="M928" s="31"/>
      <c r="N928" s="31"/>
      <c r="R928" s="32"/>
      <c r="X928" s="35"/>
      <c r="Y928" s="102"/>
      <c r="Z928" s="104"/>
      <c r="AA928" s="105"/>
    </row>
    <row r="929" spans="12:27" ht="25" customHeight="1">
      <c r="L929" s="31"/>
      <c r="M929" s="31"/>
      <c r="N929" s="31"/>
      <c r="R929" s="32"/>
      <c r="X929" s="35"/>
      <c r="Y929" s="102"/>
      <c r="Z929" s="104"/>
      <c r="AA929" s="105"/>
    </row>
    <row r="930" spans="12:27" ht="25" customHeight="1">
      <c r="L930" s="31"/>
      <c r="M930" s="31"/>
      <c r="N930" s="31"/>
      <c r="R930" s="32"/>
      <c r="X930" s="35"/>
      <c r="Y930" s="102"/>
      <c r="Z930" s="104"/>
      <c r="AA930" s="105"/>
    </row>
    <row r="931" spans="12:27" ht="25" customHeight="1">
      <c r="L931" s="31"/>
      <c r="M931" s="31"/>
      <c r="N931" s="31"/>
      <c r="R931" s="32"/>
      <c r="X931" s="35"/>
      <c r="Y931" s="102"/>
      <c r="Z931" s="104"/>
      <c r="AA931" s="105"/>
    </row>
    <row r="932" spans="12:27" ht="25" customHeight="1">
      <c r="L932" s="31"/>
      <c r="M932" s="31"/>
      <c r="N932" s="31"/>
      <c r="R932" s="32"/>
      <c r="X932" s="35"/>
      <c r="Y932" s="102"/>
      <c r="Z932" s="104"/>
      <c r="AA932" s="105"/>
    </row>
    <row r="933" spans="12:27" ht="25" customHeight="1">
      <c r="L933" s="31"/>
      <c r="M933" s="31"/>
      <c r="N933" s="31"/>
      <c r="R933" s="32"/>
      <c r="X933" s="35"/>
      <c r="Y933" s="102"/>
      <c r="Z933" s="104"/>
      <c r="AA933" s="105"/>
    </row>
    <row r="934" spans="12:27" ht="25" customHeight="1">
      <c r="L934" s="31"/>
      <c r="M934" s="31"/>
      <c r="N934" s="31"/>
      <c r="R934" s="32"/>
      <c r="X934" s="35"/>
      <c r="Y934" s="102"/>
      <c r="Z934" s="104"/>
      <c r="AA934" s="105"/>
    </row>
    <row r="935" spans="12:27" ht="25" customHeight="1">
      <c r="L935" s="31"/>
      <c r="M935" s="31"/>
      <c r="N935" s="31"/>
      <c r="R935" s="32"/>
      <c r="X935" s="35"/>
      <c r="Y935" s="102"/>
      <c r="Z935" s="104"/>
      <c r="AA935" s="105"/>
    </row>
    <row r="936" spans="12:27" ht="25" customHeight="1">
      <c r="L936" s="31"/>
      <c r="M936" s="31"/>
      <c r="N936" s="31"/>
      <c r="R936" s="32"/>
      <c r="X936" s="35"/>
      <c r="Y936" s="102"/>
      <c r="Z936" s="104"/>
      <c r="AA936" s="105"/>
    </row>
    <row r="937" spans="12:27" ht="25" customHeight="1">
      <c r="L937" s="31"/>
      <c r="M937" s="31"/>
      <c r="N937" s="31"/>
      <c r="R937" s="32"/>
      <c r="X937" s="35"/>
      <c r="Y937" s="102"/>
      <c r="Z937" s="104"/>
      <c r="AA937" s="105"/>
    </row>
    <row r="938" spans="12:27" ht="25" customHeight="1">
      <c r="L938" s="31"/>
      <c r="M938" s="31"/>
      <c r="N938" s="31"/>
      <c r="R938" s="32"/>
      <c r="X938" s="35"/>
      <c r="Y938" s="102"/>
      <c r="Z938" s="104"/>
      <c r="AA938" s="105"/>
    </row>
    <row r="939" spans="12:27" ht="25" customHeight="1">
      <c r="L939" s="31"/>
      <c r="M939" s="31"/>
      <c r="N939" s="31"/>
      <c r="R939" s="32"/>
      <c r="X939" s="35"/>
      <c r="Y939" s="102"/>
      <c r="Z939" s="104"/>
      <c r="AA939" s="105"/>
    </row>
    <row r="940" spans="12:27" ht="25" customHeight="1">
      <c r="L940" s="31"/>
      <c r="M940" s="31"/>
      <c r="N940" s="31"/>
      <c r="R940" s="32"/>
      <c r="X940" s="35"/>
      <c r="Y940" s="102"/>
      <c r="Z940" s="104"/>
      <c r="AA940" s="105"/>
    </row>
    <row r="941" spans="12:27" ht="25" customHeight="1">
      <c r="L941" s="31"/>
      <c r="M941" s="31"/>
      <c r="N941" s="31"/>
      <c r="R941" s="32"/>
      <c r="X941" s="35"/>
      <c r="Y941" s="102"/>
      <c r="Z941" s="104"/>
      <c r="AA941" s="105"/>
    </row>
    <row r="942" spans="12:27" ht="25" customHeight="1">
      <c r="L942" s="31"/>
      <c r="M942" s="31"/>
      <c r="N942" s="31"/>
      <c r="R942" s="32"/>
      <c r="X942" s="35"/>
      <c r="Y942" s="102"/>
      <c r="Z942" s="104"/>
      <c r="AA942" s="105"/>
    </row>
    <row r="943" spans="12:27" ht="25" customHeight="1">
      <c r="L943" s="31"/>
      <c r="M943" s="31"/>
      <c r="N943" s="31"/>
      <c r="R943" s="32"/>
      <c r="X943" s="35"/>
      <c r="Y943" s="102"/>
      <c r="Z943" s="104"/>
      <c r="AA943" s="105"/>
    </row>
    <row r="944" spans="12:27" ht="25" customHeight="1">
      <c r="L944" s="31"/>
      <c r="M944" s="31"/>
      <c r="N944" s="31"/>
      <c r="R944" s="32"/>
      <c r="X944" s="35"/>
      <c r="Y944" s="102"/>
      <c r="Z944" s="104"/>
      <c r="AA944" s="105"/>
    </row>
    <row r="945" spans="12:27" ht="25" customHeight="1">
      <c r="L945" s="31"/>
      <c r="M945" s="31"/>
      <c r="N945" s="31"/>
      <c r="R945" s="32"/>
      <c r="X945" s="35"/>
      <c r="Y945" s="102"/>
      <c r="Z945" s="104"/>
      <c r="AA945" s="105"/>
    </row>
    <row r="946" spans="12:27" ht="25" customHeight="1">
      <c r="L946" s="31"/>
      <c r="M946" s="31"/>
      <c r="N946" s="31"/>
      <c r="R946" s="32"/>
      <c r="X946" s="35"/>
      <c r="Y946" s="102"/>
      <c r="Z946" s="104"/>
      <c r="AA946" s="105"/>
    </row>
    <row r="947" spans="12:27" ht="25" customHeight="1">
      <c r="L947" s="31"/>
      <c r="M947" s="31"/>
      <c r="N947" s="31"/>
      <c r="R947" s="32"/>
      <c r="X947" s="35"/>
      <c r="Y947" s="102"/>
      <c r="Z947" s="104"/>
      <c r="AA947" s="105"/>
    </row>
    <row r="948" spans="12:27" ht="25" customHeight="1">
      <c r="L948" s="31"/>
      <c r="M948" s="31"/>
      <c r="N948" s="31"/>
      <c r="R948" s="32"/>
      <c r="X948" s="35"/>
      <c r="Y948" s="102"/>
      <c r="Z948" s="104"/>
      <c r="AA948" s="105"/>
    </row>
    <row r="949" spans="12:27" ht="25" customHeight="1">
      <c r="L949" s="31"/>
      <c r="M949" s="31"/>
      <c r="N949" s="31"/>
      <c r="R949" s="32"/>
      <c r="X949" s="35"/>
      <c r="Y949" s="102"/>
      <c r="Z949" s="104"/>
      <c r="AA949" s="105"/>
    </row>
    <row r="950" spans="12:27" ht="25" customHeight="1">
      <c r="L950" s="31"/>
      <c r="M950" s="31"/>
      <c r="N950" s="31"/>
      <c r="R950" s="32"/>
      <c r="X950" s="35"/>
      <c r="Y950" s="102"/>
      <c r="Z950" s="104"/>
      <c r="AA950" s="105"/>
    </row>
    <row r="951" spans="12:27" ht="25" customHeight="1">
      <c r="L951" s="31"/>
      <c r="M951" s="31"/>
      <c r="N951" s="31"/>
      <c r="R951" s="32"/>
      <c r="X951" s="35"/>
      <c r="Y951" s="102"/>
      <c r="Z951" s="104"/>
      <c r="AA951" s="105"/>
    </row>
    <row r="952" spans="12:27" ht="25" customHeight="1">
      <c r="L952" s="31"/>
      <c r="M952" s="31"/>
      <c r="N952" s="31"/>
      <c r="R952" s="32"/>
      <c r="X952" s="35"/>
      <c r="Y952" s="102"/>
      <c r="Z952" s="104"/>
      <c r="AA952" s="105"/>
    </row>
    <row r="953" spans="12:27" ht="25" customHeight="1">
      <c r="L953" s="31"/>
      <c r="M953" s="31"/>
      <c r="N953" s="31"/>
      <c r="R953" s="32"/>
      <c r="X953" s="35"/>
      <c r="Y953" s="102"/>
      <c r="Z953" s="104"/>
      <c r="AA953" s="105"/>
    </row>
    <row r="954" spans="12:27" ht="25" customHeight="1">
      <c r="L954" s="31"/>
      <c r="M954" s="31"/>
      <c r="N954" s="31"/>
      <c r="R954" s="32"/>
      <c r="X954" s="35"/>
      <c r="Y954" s="102"/>
      <c r="Z954" s="104"/>
      <c r="AA954" s="105"/>
    </row>
    <row r="955" spans="12:27" ht="25" customHeight="1">
      <c r="L955" s="31"/>
      <c r="M955" s="31"/>
      <c r="N955" s="31"/>
      <c r="R955" s="32"/>
      <c r="X955" s="35"/>
      <c r="Y955" s="102"/>
      <c r="Z955" s="104"/>
      <c r="AA955" s="105"/>
    </row>
    <row r="956" spans="12:27" ht="25" customHeight="1">
      <c r="L956" s="31"/>
      <c r="M956" s="31"/>
      <c r="N956" s="31"/>
      <c r="R956" s="32"/>
      <c r="X956" s="35"/>
      <c r="Y956" s="102"/>
      <c r="Z956" s="104"/>
      <c r="AA956" s="105"/>
    </row>
    <row r="957" spans="12:27" ht="25" customHeight="1">
      <c r="L957" s="31"/>
      <c r="M957" s="31"/>
      <c r="N957" s="31"/>
      <c r="R957" s="32"/>
      <c r="X957" s="35"/>
      <c r="Y957" s="102"/>
      <c r="Z957" s="104"/>
      <c r="AA957" s="105"/>
    </row>
    <row r="958" spans="12:27" ht="25" customHeight="1">
      <c r="L958" s="31"/>
      <c r="M958" s="31"/>
      <c r="N958" s="31"/>
      <c r="R958" s="32"/>
      <c r="X958" s="35"/>
      <c r="Y958" s="102"/>
      <c r="Z958" s="104"/>
      <c r="AA958" s="105"/>
    </row>
    <row r="959" spans="12:27" ht="25" customHeight="1">
      <c r="L959" s="31"/>
      <c r="M959" s="31"/>
      <c r="N959" s="31"/>
      <c r="R959" s="32"/>
      <c r="X959" s="35"/>
      <c r="Y959" s="102"/>
      <c r="Z959" s="104"/>
      <c r="AA959" s="105"/>
    </row>
    <row r="960" spans="12:27" ht="25" customHeight="1">
      <c r="L960" s="31"/>
      <c r="M960" s="31"/>
      <c r="N960" s="31"/>
      <c r="R960" s="32"/>
      <c r="X960" s="35"/>
      <c r="Y960" s="102"/>
      <c r="Z960" s="104"/>
      <c r="AA960" s="105"/>
    </row>
    <row r="961" spans="12:27" ht="25" customHeight="1">
      <c r="L961" s="31"/>
      <c r="M961" s="31"/>
      <c r="N961" s="31"/>
      <c r="R961" s="32"/>
      <c r="X961" s="35"/>
      <c r="Y961" s="102"/>
      <c r="Z961" s="104"/>
      <c r="AA961" s="105"/>
    </row>
    <row r="962" spans="12:27" ht="25" customHeight="1">
      <c r="L962" s="31"/>
      <c r="M962" s="31"/>
      <c r="N962" s="31"/>
      <c r="R962" s="32"/>
      <c r="X962" s="35"/>
      <c r="Y962" s="102"/>
      <c r="Z962" s="104"/>
      <c r="AA962" s="105"/>
    </row>
    <row r="963" spans="12:27" ht="25" customHeight="1">
      <c r="L963" s="31"/>
      <c r="M963" s="31"/>
      <c r="N963" s="31"/>
      <c r="R963" s="32"/>
      <c r="X963" s="35"/>
      <c r="Y963" s="102"/>
      <c r="Z963" s="104"/>
      <c r="AA963" s="105"/>
    </row>
    <row r="964" spans="12:27" ht="25" customHeight="1">
      <c r="L964" s="31"/>
      <c r="M964" s="31"/>
      <c r="N964" s="31"/>
      <c r="R964" s="32"/>
      <c r="X964" s="35"/>
      <c r="Y964" s="102"/>
      <c r="Z964" s="104"/>
      <c r="AA964" s="105"/>
    </row>
    <row r="965" spans="12:27" ht="25" customHeight="1">
      <c r="L965" s="31"/>
      <c r="M965" s="31"/>
      <c r="N965" s="31"/>
      <c r="R965" s="32"/>
      <c r="X965" s="35"/>
      <c r="Y965" s="102"/>
      <c r="Z965" s="104"/>
      <c r="AA965" s="105"/>
    </row>
    <row r="966" spans="12:27" ht="25" customHeight="1">
      <c r="L966" s="31"/>
      <c r="M966" s="31"/>
      <c r="N966" s="31"/>
      <c r="R966" s="32"/>
      <c r="X966" s="35"/>
      <c r="Y966" s="102"/>
      <c r="Z966" s="104"/>
      <c r="AA966" s="105"/>
    </row>
    <row r="967" spans="12:27" ht="25" customHeight="1">
      <c r="L967" s="31"/>
      <c r="M967" s="31"/>
      <c r="N967" s="31"/>
      <c r="R967" s="32"/>
      <c r="X967" s="35"/>
      <c r="Y967" s="102"/>
      <c r="Z967" s="104"/>
      <c r="AA967" s="105"/>
    </row>
    <row r="968" spans="12:27" ht="25" customHeight="1">
      <c r="L968" s="31"/>
      <c r="M968" s="31"/>
      <c r="N968" s="31"/>
      <c r="R968" s="32"/>
      <c r="X968" s="35"/>
      <c r="Y968" s="102"/>
      <c r="Z968" s="104"/>
      <c r="AA968" s="105"/>
    </row>
    <row r="969" spans="12:27" ht="25" customHeight="1">
      <c r="L969" s="31"/>
      <c r="M969" s="31"/>
      <c r="N969" s="31"/>
      <c r="R969" s="32"/>
      <c r="X969" s="35"/>
      <c r="Y969" s="102"/>
      <c r="Z969" s="104"/>
      <c r="AA969" s="105"/>
    </row>
    <row r="970" spans="12:27" ht="25" customHeight="1">
      <c r="L970" s="31"/>
      <c r="M970" s="31"/>
      <c r="N970" s="31"/>
      <c r="R970" s="32"/>
      <c r="X970" s="35"/>
      <c r="Y970" s="102"/>
      <c r="Z970" s="104"/>
      <c r="AA970" s="105"/>
    </row>
    <row r="971" spans="12:27" ht="25" customHeight="1">
      <c r="L971" s="31"/>
      <c r="M971" s="31"/>
      <c r="N971" s="31"/>
      <c r="R971" s="32"/>
      <c r="X971" s="35"/>
      <c r="Y971" s="102"/>
      <c r="Z971" s="104"/>
      <c r="AA971" s="105"/>
    </row>
    <row r="972" spans="12:27" ht="25" customHeight="1">
      <c r="L972" s="31"/>
      <c r="M972" s="31"/>
      <c r="N972" s="31"/>
      <c r="R972" s="32"/>
      <c r="X972" s="35"/>
      <c r="Y972" s="102"/>
      <c r="Z972" s="104"/>
      <c r="AA972" s="105"/>
    </row>
    <row r="973" spans="12:27" ht="25" customHeight="1">
      <c r="L973" s="31"/>
      <c r="M973" s="31"/>
      <c r="N973" s="31"/>
      <c r="R973" s="32"/>
      <c r="X973" s="35"/>
      <c r="Y973" s="102"/>
      <c r="Z973" s="104"/>
      <c r="AA973" s="105"/>
    </row>
    <row r="974" spans="12:27" ht="25" customHeight="1">
      <c r="L974" s="31"/>
      <c r="M974" s="31"/>
      <c r="N974" s="31"/>
      <c r="R974" s="32"/>
      <c r="X974" s="35"/>
      <c r="Y974" s="102"/>
      <c r="Z974" s="104"/>
      <c r="AA974" s="105"/>
    </row>
    <row r="975" spans="12:27" ht="25" customHeight="1">
      <c r="L975" s="31"/>
      <c r="M975" s="31"/>
      <c r="N975" s="31"/>
      <c r="R975" s="32"/>
      <c r="X975" s="35"/>
      <c r="Y975" s="102"/>
      <c r="Z975" s="104"/>
      <c r="AA975" s="105"/>
    </row>
    <row r="976" spans="12:27" ht="25" customHeight="1">
      <c r="L976" s="31"/>
      <c r="M976" s="31"/>
      <c r="N976" s="31"/>
      <c r="R976" s="32"/>
      <c r="X976" s="35"/>
      <c r="Y976" s="102"/>
      <c r="Z976" s="104"/>
      <c r="AA976" s="105"/>
    </row>
    <row r="977" spans="12:27" ht="25" customHeight="1">
      <c r="L977" s="31"/>
      <c r="M977" s="31"/>
      <c r="N977" s="31"/>
      <c r="R977" s="32"/>
      <c r="X977" s="35"/>
      <c r="Y977" s="102"/>
      <c r="Z977" s="104"/>
      <c r="AA977" s="105"/>
    </row>
    <row r="978" spans="12:27" ht="25" customHeight="1">
      <c r="L978" s="31"/>
      <c r="M978" s="31"/>
      <c r="N978" s="31"/>
      <c r="R978" s="32"/>
      <c r="X978" s="35"/>
      <c r="Y978" s="102"/>
      <c r="Z978" s="104"/>
      <c r="AA978" s="105"/>
    </row>
    <row r="979" spans="12:27" ht="25" customHeight="1">
      <c r="L979" s="31"/>
      <c r="M979" s="31"/>
      <c r="N979" s="31"/>
      <c r="R979" s="32"/>
      <c r="X979" s="35"/>
      <c r="Y979" s="102"/>
      <c r="Z979" s="104"/>
      <c r="AA979" s="105"/>
    </row>
    <row r="980" spans="12:27" ht="25" customHeight="1">
      <c r="L980" s="31"/>
      <c r="M980" s="31"/>
      <c r="N980" s="31"/>
      <c r="R980" s="32"/>
      <c r="X980" s="35"/>
      <c r="Y980" s="102"/>
      <c r="Z980" s="104"/>
      <c r="AA980" s="105"/>
    </row>
    <row r="981" spans="12:27" ht="25" customHeight="1">
      <c r="L981" s="31"/>
      <c r="M981" s="31"/>
      <c r="N981" s="31"/>
      <c r="R981" s="32"/>
      <c r="X981" s="35"/>
      <c r="Y981" s="102"/>
      <c r="Z981" s="104"/>
      <c r="AA981" s="105"/>
    </row>
    <row r="982" spans="12:27" ht="25" customHeight="1">
      <c r="L982" s="31"/>
      <c r="M982" s="31"/>
      <c r="N982" s="31"/>
      <c r="R982" s="32"/>
      <c r="X982" s="35"/>
      <c r="Y982" s="102"/>
      <c r="Z982" s="104"/>
      <c r="AA982" s="105"/>
    </row>
    <row r="983" spans="12:27" ht="25" customHeight="1">
      <c r="L983" s="31"/>
      <c r="M983" s="31"/>
      <c r="N983" s="31"/>
      <c r="R983" s="32"/>
      <c r="X983" s="35"/>
      <c r="Y983" s="102"/>
      <c r="Z983" s="104"/>
      <c r="AA983" s="105"/>
    </row>
    <row r="984" spans="12:27" ht="25" customHeight="1">
      <c r="L984" s="31"/>
      <c r="M984" s="31"/>
      <c r="N984" s="31"/>
      <c r="R984" s="32"/>
      <c r="X984" s="35"/>
      <c r="Y984" s="102"/>
      <c r="Z984" s="104"/>
      <c r="AA984" s="105"/>
    </row>
    <row r="985" spans="12:27" ht="25" customHeight="1">
      <c r="L985" s="31"/>
      <c r="M985" s="31"/>
      <c r="N985" s="31"/>
      <c r="R985" s="32"/>
      <c r="X985" s="35"/>
      <c r="Y985" s="102"/>
      <c r="Z985" s="104"/>
      <c r="AA985" s="105"/>
    </row>
    <row r="986" spans="12:27" ht="25" customHeight="1">
      <c r="L986" s="31"/>
      <c r="M986" s="31"/>
      <c r="N986" s="31"/>
      <c r="R986" s="32"/>
      <c r="X986" s="35"/>
      <c r="Y986" s="102"/>
      <c r="Z986" s="104"/>
      <c r="AA986" s="105"/>
    </row>
    <row r="987" spans="12:27" ht="25" customHeight="1">
      <c r="L987" s="31"/>
      <c r="M987" s="31"/>
      <c r="N987" s="31"/>
      <c r="R987" s="32"/>
      <c r="X987" s="35"/>
      <c r="Y987" s="102"/>
      <c r="Z987" s="104"/>
      <c r="AA987" s="105"/>
    </row>
    <row r="988" spans="12:27" ht="25" customHeight="1">
      <c r="L988" s="31"/>
      <c r="M988" s="31"/>
      <c r="N988" s="31"/>
      <c r="R988" s="32"/>
      <c r="X988" s="35"/>
      <c r="Y988" s="102"/>
      <c r="Z988" s="104"/>
      <c r="AA988" s="105"/>
    </row>
    <row r="989" spans="12:27" ht="25" customHeight="1">
      <c r="L989" s="31"/>
      <c r="M989" s="31"/>
      <c r="N989" s="31"/>
      <c r="R989" s="32"/>
      <c r="X989" s="35"/>
      <c r="Y989" s="102"/>
      <c r="Z989" s="104"/>
      <c r="AA989" s="105"/>
    </row>
    <row r="990" spans="12:27" ht="25" customHeight="1">
      <c r="L990" s="31"/>
      <c r="M990" s="31"/>
      <c r="N990" s="31"/>
      <c r="R990" s="32"/>
      <c r="X990" s="35"/>
      <c r="Y990" s="102"/>
      <c r="Z990" s="104"/>
      <c r="AA990" s="105"/>
    </row>
    <row r="991" spans="12:27" ht="25" customHeight="1">
      <c r="L991" s="31"/>
      <c r="M991" s="31"/>
      <c r="N991" s="31"/>
      <c r="R991" s="32"/>
      <c r="X991" s="35"/>
      <c r="Y991" s="102"/>
      <c r="Z991" s="104"/>
      <c r="AA991" s="105"/>
    </row>
    <row r="992" spans="12:27" ht="25" customHeight="1">
      <c r="L992" s="31"/>
      <c r="M992" s="31"/>
      <c r="N992" s="31"/>
      <c r="R992" s="32"/>
      <c r="X992" s="35"/>
      <c r="Y992" s="102"/>
      <c r="Z992" s="104"/>
      <c r="AA992" s="105"/>
    </row>
    <row r="993" spans="12:27" ht="25" customHeight="1">
      <c r="L993" s="31"/>
      <c r="M993" s="31"/>
      <c r="N993" s="31"/>
      <c r="R993" s="32"/>
      <c r="X993" s="35"/>
      <c r="Y993" s="102"/>
      <c r="Z993" s="104"/>
      <c r="AA993" s="105"/>
    </row>
    <row r="994" spans="12:27" ht="25" customHeight="1">
      <c r="L994" s="31"/>
      <c r="M994" s="31"/>
      <c r="N994" s="31"/>
      <c r="R994" s="32"/>
      <c r="X994" s="35"/>
      <c r="Y994" s="102"/>
      <c r="Z994" s="104"/>
      <c r="AA994" s="105"/>
    </row>
    <row r="995" spans="12:27" ht="25" customHeight="1">
      <c r="L995" s="31"/>
      <c r="M995" s="31"/>
      <c r="N995" s="31"/>
      <c r="R995" s="32"/>
      <c r="X995" s="35"/>
      <c r="Y995" s="102"/>
      <c r="Z995" s="104"/>
      <c r="AA995" s="105"/>
    </row>
    <row r="996" spans="12:27" ht="25" customHeight="1">
      <c r="L996" s="31"/>
      <c r="M996" s="31"/>
      <c r="N996" s="31"/>
      <c r="R996" s="32"/>
      <c r="X996" s="35"/>
      <c r="Y996" s="102"/>
      <c r="Z996" s="104"/>
      <c r="AA996" s="105"/>
    </row>
    <row r="997" spans="12:27" ht="25" customHeight="1">
      <c r="L997" s="31"/>
      <c r="M997" s="31"/>
      <c r="N997" s="31"/>
      <c r="R997" s="32"/>
      <c r="X997" s="35"/>
      <c r="Y997" s="102"/>
      <c r="Z997" s="104"/>
      <c r="AA997" s="105"/>
    </row>
    <row r="998" spans="12:27" ht="25" customHeight="1">
      <c r="L998" s="31"/>
      <c r="M998" s="31"/>
      <c r="N998" s="31"/>
      <c r="R998" s="32"/>
      <c r="X998" s="35"/>
      <c r="Y998" s="102"/>
      <c r="Z998" s="104"/>
      <c r="AA998" s="105"/>
    </row>
    <row r="999" spans="12:27" ht="25" customHeight="1">
      <c r="L999" s="31"/>
      <c r="M999" s="31"/>
      <c r="N999" s="31"/>
      <c r="R999" s="32"/>
      <c r="X999" s="35"/>
      <c r="Y999" s="102"/>
      <c r="Z999" s="104"/>
      <c r="AA999" s="105"/>
    </row>
    <row r="1000" spans="12:27" ht="25" customHeight="1">
      <c r="L1000" s="31"/>
      <c r="M1000" s="31"/>
      <c r="N1000" s="31"/>
      <c r="R1000" s="32"/>
      <c r="X1000" s="35"/>
      <c r="Y1000" s="102"/>
      <c r="Z1000" s="104"/>
      <c r="AA1000" s="105"/>
    </row>
    <row r="1001" spans="12:27" ht="25" customHeight="1">
      <c r="L1001" s="31"/>
      <c r="M1001" s="31"/>
      <c r="N1001" s="31"/>
      <c r="R1001" s="32"/>
      <c r="X1001" s="35"/>
      <c r="Y1001" s="102"/>
      <c r="Z1001" s="104"/>
      <c r="AA1001" s="105"/>
    </row>
    <row r="1002" spans="12:27" ht="25" customHeight="1">
      <c r="L1002" s="31"/>
      <c r="M1002" s="31"/>
      <c r="N1002" s="31"/>
      <c r="R1002" s="32"/>
      <c r="X1002" s="35"/>
      <c r="Y1002" s="102"/>
      <c r="Z1002" s="104"/>
      <c r="AA1002" s="105"/>
    </row>
    <row r="1003" spans="12:27" ht="25" customHeight="1">
      <c r="L1003" s="31"/>
      <c r="M1003" s="31"/>
      <c r="N1003" s="31"/>
      <c r="R1003" s="32"/>
      <c r="X1003" s="35"/>
      <c r="Y1003" s="102"/>
      <c r="Z1003" s="104"/>
      <c r="AA1003" s="105"/>
    </row>
    <row r="1004" spans="12:27" ht="25" customHeight="1">
      <c r="L1004" s="31"/>
      <c r="M1004" s="31"/>
      <c r="N1004" s="31"/>
      <c r="R1004" s="32"/>
      <c r="X1004" s="35"/>
      <c r="Y1004" s="102"/>
      <c r="Z1004" s="104"/>
      <c r="AA1004" s="105"/>
    </row>
    <row r="1005" spans="12:27" ht="25" customHeight="1">
      <c r="L1005" s="31"/>
      <c r="M1005" s="31"/>
      <c r="N1005" s="31"/>
      <c r="R1005" s="32"/>
      <c r="X1005" s="35"/>
      <c r="Y1005" s="102"/>
      <c r="Z1005" s="104"/>
      <c r="AA1005" s="105"/>
    </row>
    <row r="1006" spans="12:27" ht="25" customHeight="1">
      <c r="L1006" s="31"/>
      <c r="M1006" s="31"/>
      <c r="N1006" s="31"/>
      <c r="R1006" s="32"/>
      <c r="X1006" s="35"/>
      <c r="Y1006" s="102"/>
      <c r="Z1006" s="104"/>
      <c r="AA1006" s="105"/>
    </row>
    <row r="1007" spans="12:27" ht="25" customHeight="1">
      <c r="L1007" s="31"/>
      <c r="M1007" s="31"/>
      <c r="N1007" s="31"/>
      <c r="R1007" s="32"/>
      <c r="X1007" s="35"/>
      <c r="Y1007" s="102"/>
      <c r="Z1007" s="104"/>
      <c r="AA1007" s="105"/>
    </row>
    <row r="1008" spans="12:27" ht="25" customHeight="1">
      <c r="L1008" s="31"/>
      <c r="M1008" s="31"/>
      <c r="N1008" s="31"/>
      <c r="R1008" s="32"/>
      <c r="X1008" s="35"/>
      <c r="Y1008" s="102"/>
      <c r="Z1008" s="104"/>
      <c r="AA1008" s="105"/>
    </row>
    <row r="1009" spans="12:27" ht="25" customHeight="1">
      <c r="L1009" s="31"/>
      <c r="M1009" s="31"/>
      <c r="N1009" s="31"/>
      <c r="R1009" s="32"/>
      <c r="X1009" s="35"/>
      <c r="Y1009" s="102"/>
      <c r="Z1009" s="104"/>
      <c r="AA1009" s="105"/>
    </row>
    <row r="1010" spans="12:27" ht="25" customHeight="1">
      <c r="L1010" s="31"/>
      <c r="M1010" s="31"/>
      <c r="N1010" s="31"/>
      <c r="R1010" s="32"/>
      <c r="X1010" s="35"/>
      <c r="Y1010" s="102"/>
      <c r="Z1010" s="104"/>
      <c r="AA1010" s="105"/>
    </row>
    <row r="1011" spans="12:27" ht="25" customHeight="1">
      <c r="L1011" s="31"/>
      <c r="M1011" s="31"/>
      <c r="N1011" s="31"/>
      <c r="R1011" s="32"/>
      <c r="X1011" s="35"/>
      <c r="Y1011" s="102"/>
      <c r="Z1011" s="104"/>
      <c r="AA1011" s="105"/>
    </row>
    <row r="1012" spans="12:27" ht="25" customHeight="1">
      <c r="L1012" s="31"/>
      <c r="M1012" s="31"/>
      <c r="N1012" s="31"/>
      <c r="R1012" s="32"/>
      <c r="X1012" s="35"/>
      <c r="Y1012" s="102"/>
      <c r="Z1012" s="104"/>
      <c r="AA1012" s="105"/>
    </row>
    <row r="1013" spans="12:27" ht="25" customHeight="1">
      <c r="L1013" s="31"/>
      <c r="M1013" s="31"/>
      <c r="N1013" s="31"/>
      <c r="R1013" s="32"/>
      <c r="X1013" s="35"/>
      <c r="Y1013" s="102"/>
      <c r="Z1013" s="104"/>
      <c r="AA1013" s="105"/>
    </row>
    <row r="1014" spans="12:27" ht="25" customHeight="1">
      <c r="L1014" s="31"/>
      <c r="M1014" s="31"/>
      <c r="N1014" s="31"/>
      <c r="R1014" s="32"/>
      <c r="X1014" s="35"/>
      <c r="Y1014" s="102"/>
      <c r="Z1014" s="104"/>
      <c r="AA1014" s="105"/>
    </row>
    <row r="1015" spans="12:27" ht="25" customHeight="1">
      <c r="L1015" s="31"/>
      <c r="M1015" s="31"/>
      <c r="N1015" s="31"/>
      <c r="R1015" s="32"/>
      <c r="X1015" s="35"/>
      <c r="Y1015" s="102"/>
      <c r="Z1015" s="104"/>
      <c r="AA1015" s="105"/>
    </row>
    <row r="1016" spans="12:27" ht="25" customHeight="1">
      <c r="L1016" s="31"/>
      <c r="M1016" s="31"/>
      <c r="N1016" s="31"/>
      <c r="R1016" s="32"/>
      <c r="X1016" s="35"/>
      <c r="Y1016" s="102"/>
      <c r="Z1016" s="104"/>
      <c r="AA1016" s="105"/>
    </row>
    <row r="1017" spans="12:27" ht="25" customHeight="1">
      <c r="L1017" s="31"/>
      <c r="M1017" s="31"/>
      <c r="N1017" s="31"/>
      <c r="R1017" s="32"/>
      <c r="X1017" s="35"/>
      <c r="Y1017" s="102"/>
      <c r="Z1017" s="104"/>
      <c r="AA1017" s="105"/>
    </row>
    <row r="1018" spans="12:27" ht="25" customHeight="1">
      <c r="L1018" s="31"/>
      <c r="M1018" s="31"/>
      <c r="N1018" s="31"/>
      <c r="R1018" s="32"/>
      <c r="X1018" s="35"/>
      <c r="Y1018" s="102"/>
      <c r="Z1018" s="104"/>
      <c r="AA1018" s="105"/>
    </row>
    <row r="1019" spans="12:27" ht="25" customHeight="1">
      <c r="L1019" s="31"/>
      <c r="M1019" s="31"/>
      <c r="N1019" s="31"/>
      <c r="R1019" s="32"/>
      <c r="X1019" s="35"/>
      <c r="Y1019" s="102"/>
      <c r="Z1019" s="104"/>
      <c r="AA1019" s="105"/>
    </row>
    <row r="1020" spans="12:27" ht="25" customHeight="1">
      <c r="L1020" s="31"/>
      <c r="M1020" s="31"/>
      <c r="N1020" s="31"/>
      <c r="R1020" s="32"/>
      <c r="X1020" s="35"/>
      <c r="Y1020" s="102"/>
      <c r="Z1020" s="104"/>
      <c r="AA1020" s="105"/>
    </row>
    <row r="1021" spans="12:27" ht="25" customHeight="1">
      <c r="L1021" s="31"/>
      <c r="M1021" s="31"/>
      <c r="N1021" s="31"/>
      <c r="R1021" s="32"/>
      <c r="X1021" s="35"/>
      <c r="Y1021" s="102"/>
      <c r="Z1021" s="104"/>
      <c r="AA1021" s="105"/>
    </row>
    <row r="1022" spans="12:27" ht="25" customHeight="1">
      <c r="L1022" s="31"/>
      <c r="M1022" s="31"/>
      <c r="N1022" s="31"/>
      <c r="R1022" s="32"/>
      <c r="X1022" s="35"/>
      <c r="Y1022" s="102"/>
      <c r="Z1022" s="104"/>
      <c r="AA1022" s="105"/>
    </row>
    <row r="1023" spans="12:27" ht="25" customHeight="1">
      <c r="L1023" s="31"/>
      <c r="M1023" s="31"/>
      <c r="N1023" s="31"/>
      <c r="R1023" s="32"/>
      <c r="X1023" s="35"/>
      <c r="Y1023" s="102"/>
      <c r="Z1023" s="104"/>
      <c r="AA1023" s="105"/>
    </row>
    <row r="1024" spans="12:27" ht="25" customHeight="1">
      <c r="L1024" s="31"/>
      <c r="M1024" s="31"/>
      <c r="N1024" s="31"/>
      <c r="R1024" s="32"/>
      <c r="X1024" s="35"/>
      <c r="Y1024" s="102"/>
      <c r="Z1024" s="104"/>
      <c r="AA1024" s="105"/>
    </row>
    <row r="1025" spans="12:27" ht="25" customHeight="1">
      <c r="L1025" s="31"/>
      <c r="M1025" s="31"/>
      <c r="N1025" s="31"/>
      <c r="R1025" s="32"/>
      <c r="X1025" s="35"/>
      <c r="Y1025" s="102"/>
      <c r="Z1025" s="104"/>
      <c r="AA1025" s="105"/>
    </row>
    <row r="1026" spans="12:27" ht="25" customHeight="1">
      <c r="L1026" s="31"/>
      <c r="M1026" s="31"/>
      <c r="N1026" s="31"/>
      <c r="R1026" s="32"/>
      <c r="X1026" s="35"/>
      <c r="Y1026" s="102"/>
      <c r="Z1026" s="104"/>
      <c r="AA1026" s="105"/>
    </row>
    <row r="1027" spans="12:27" ht="25" customHeight="1">
      <c r="L1027" s="31"/>
      <c r="M1027" s="31"/>
      <c r="N1027" s="31"/>
      <c r="R1027" s="32"/>
      <c r="X1027" s="35"/>
      <c r="Y1027" s="102"/>
      <c r="Z1027" s="104"/>
      <c r="AA1027" s="105"/>
    </row>
    <row r="1028" spans="12:27" ht="25" customHeight="1">
      <c r="L1028" s="31"/>
      <c r="M1028" s="31"/>
      <c r="N1028" s="31"/>
      <c r="R1028" s="32"/>
      <c r="X1028" s="35"/>
      <c r="Y1028" s="102"/>
      <c r="Z1028" s="104"/>
      <c r="AA1028" s="105"/>
    </row>
    <row r="1029" spans="12:27" ht="25" customHeight="1">
      <c r="L1029" s="31"/>
      <c r="M1029" s="31"/>
      <c r="N1029" s="31"/>
      <c r="R1029" s="32"/>
      <c r="X1029" s="35"/>
      <c r="Y1029" s="102"/>
      <c r="Z1029" s="104"/>
      <c r="AA1029" s="105"/>
    </row>
    <row r="1030" spans="12:27" ht="25" customHeight="1">
      <c r="L1030" s="31"/>
      <c r="M1030" s="31"/>
      <c r="N1030" s="31"/>
      <c r="R1030" s="32"/>
      <c r="X1030" s="35"/>
      <c r="Y1030" s="102"/>
      <c r="Z1030" s="104"/>
      <c r="AA1030" s="105"/>
    </row>
    <row r="1031" spans="12:27" ht="25" customHeight="1">
      <c r="L1031" s="31"/>
      <c r="M1031" s="31"/>
      <c r="N1031" s="31"/>
      <c r="R1031" s="32"/>
      <c r="X1031" s="35"/>
      <c r="Y1031" s="102"/>
      <c r="Z1031" s="104"/>
      <c r="AA1031" s="105"/>
    </row>
    <row r="1032" spans="12:27" ht="25" customHeight="1">
      <c r="L1032" s="31"/>
      <c r="M1032" s="31"/>
      <c r="N1032" s="31"/>
      <c r="R1032" s="32"/>
      <c r="X1032" s="35"/>
      <c r="Y1032" s="102"/>
      <c r="Z1032" s="104"/>
      <c r="AA1032" s="105"/>
    </row>
    <row r="1033" spans="12:27" ht="25" customHeight="1">
      <c r="L1033" s="31"/>
      <c r="M1033" s="31"/>
      <c r="N1033" s="31"/>
      <c r="R1033" s="32"/>
      <c r="X1033" s="35"/>
      <c r="Y1033" s="102"/>
      <c r="Z1033" s="104"/>
      <c r="AA1033" s="105"/>
    </row>
    <row r="1034" spans="12:27" ht="25" customHeight="1">
      <c r="L1034" s="31"/>
      <c r="M1034" s="31"/>
      <c r="N1034" s="31"/>
      <c r="R1034" s="32"/>
      <c r="X1034" s="35"/>
      <c r="Y1034" s="102"/>
      <c r="Z1034" s="104"/>
      <c r="AA1034" s="105"/>
    </row>
    <row r="1035" spans="12:27" ht="25" customHeight="1">
      <c r="L1035" s="31"/>
      <c r="M1035" s="31"/>
      <c r="N1035" s="31"/>
      <c r="R1035" s="32"/>
      <c r="X1035" s="35"/>
      <c r="Y1035" s="102"/>
      <c r="Z1035" s="104"/>
      <c r="AA1035" s="105"/>
    </row>
    <row r="1036" spans="12:27" ht="25" customHeight="1">
      <c r="L1036" s="31"/>
      <c r="M1036" s="31"/>
      <c r="N1036" s="31"/>
      <c r="R1036" s="32"/>
      <c r="X1036" s="35"/>
      <c r="Y1036" s="102"/>
      <c r="Z1036" s="104"/>
      <c r="AA1036" s="105"/>
    </row>
    <row r="1037" spans="12:27" ht="25" customHeight="1">
      <c r="L1037" s="31"/>
      <c r="M1037" s="31"/>
      <c r="N1037" s="31"/>
      <c r="R1037" s="32"/>
      <c r="X1037" s="35"/>
      <c r="Y1037" s="102"/>
      <c r="Z1037" s="104"/>
      <c r="AA1037" s="105"/>
    </row>
    <row r="1038" spans="12:27" ht="25" customHeight="1">
      <c r="L1038" s="31"/>
      <c r="M1038" s="31"/>
      <c r="N1038" s="31"/>
      <c r="R1038" s="32"/>
      <c r="X1038" s="35"/>
      <c r="Y1038" s="102"/>
      <c r="Z1038" s="104"/>
      <c r="AA1038" s="105"/>
    </row>
    <row r="1039" spans="12:27" ht="25" customHeight="1">
      <c r="L1039" s="31"/>
      <c r="M1039" s="31"/>
      <c r="N1039" s="31"/>
      <c r="R1039" s="32"/>
      <c r="X1039" s="35"/>
      <c r="Y1039" s="102"/>
      <c r="Z1039" s="104"/>
      <c r="AA1039" s="105"/>
    </row>
    <row r="1040" spans="12:27" ht="25" customHeight="1">
      <c r="L1040" s="31"/>
      <c r="M1040" s="31"/>
      <c r="N1040" s="31"/>
      <c r="R1040" s="32"/>
      <c r="X1040" s="35"/>
      <c r="Y1040" s="102"/>
      <c r="Z1040" s="104"/>
      <c r="AA1040" s="105"/>
    </row>
    <row r="1041" spans="12:27" ht="25" customHeight="1">
      <c r="L1041" s="31"/>
      <c r="M1041" s="31"/>
      <c r="N1041" s="31"/>
      <c r="R1041" s="32"/>
      <c r="X1041" s="35"/>
      <c r="Y1041" s="102"/>
      <c r="Z1041" s="104"/>
      <c r="AA1041" s="105"/>
    </row>
    <row r="1042" spans="12:27" ht="25" customHeight="1">
      <c r="L1042" s="31"/>
      <c r="M1042" s="31"/>
      <c r="N1042" s="31"/>
      <c r="R1042" s="32"/>
      <c r="X1042" s="35"/>
      <c r="Y1042" s="102"/>
      <c r="Z1042" s="104"/>
      <c r="AA1042" s="105"/>
    </row>
    <row r="1043" spans="12:27" ht="25" customHeight="1">
      <c r="L1043" s="31"/>
      <c r="M1043" s="31"/>
      <c r="N1043" s="31"/>
      <c r="R1043" s="32"/>
      <c r="X1043" s="35"/>
      <c r="Y1043" s="102"/>
      <c r="Z1043" s="104"/>
      <c r="AA1043" s="105"/>
    </row>
    <row r="1044" spans="12:27" ht="25" customHeight="1">
      <c r="L1044" s="31"/>
      <c r="M1044" s="31"/>
      <c r="N1044" s="31"/>
      <c r="R1044" s="32"/>
      <c r="X1044" s="35"/>
      <c r="Y1044" s="102"/>
      <c r="Z1044" s="104"/>
      <c r="AA1044" s="105"/>
    </row>
    <row r="1045" spans="12:27" ht="25" customHeight="1">
      <c r="L1045" s="31"/>
      <c r="M1045" s="31"/>
      <c r="N1045" s="31"/>
      <c r="R1045" s="32"/>
      <c r="X1045" s="35"/>
      <c r="Y1045" s="102"/>
      <c r="Z1045" s="104"/>
      <c r="AA1045" s="105"/>
    </row>
    <row r="1046" spans="12:27" ht="25" customHeight="1">
      <c r="L1046" s="31"/>
      <c r="M1046" s="31"/>
      <c r="N1046" s="31"/>
      <c r="R1046" s="32"/>
      <c r="X1046" s="35"/>
      <c r="Y1046" s="102"/>
      <c r="Z1046" s="104"/>
      <c r="AA1046" s="105"/>
    </row>
    <row r="1047" spans="12:27" ht="25" customHeight="1">
      <c r="L1047" s="31"/>
      <c r="M1047" s="31"/>
      <c r="N1047" s="31"/>
      <c r="R1047" s="32"/>
      <c r="X1047" s="35"/>
      <c r="Y1047" s="102"/>
      <c r="Z1047" s="104"/>
      <c r="AA1047" s="105"/>
    </row>
    <row r="1048" spans="12:27" ht="25" customHeight="1">
      <c r="L1048" s="31"/>
      <c r="M1048" s="31"/>
      <c r="N1048" s="31"/>
      <c r="R1048" s="32"/>
      <c r="X1048" s="35"/>
      <c r="Y1048" s="102"/>
      <c r="Z1048" s="104"/>
      <c r="AA1048" s="105"/>
    </row>
    <row r="1049" spans="12:27" ht="25" customHeight="1">
      <c r="L1049" s="31"/>
      <c r="M1049" s="31"/>
      <c r="N1049" s="31"/>
      <c r="R1049" s="32"/>
      <c r="X1049" s="35"/>
      <c r="Y1049" s="102"/>
      <c r="Z1049" s="104"/>
      <c r="AA1049" s="105"/>
    </row>
    <row r="1050" spans="12:27" ht="25" customHeight="1">
      <c r="L1050" s="31"/>
      <c r="M1050" s="31"/>
      <c r="N1050" s="31"/>
      <c r="R1050" s="32"/>
      <c r="X1050" s="35"/>
      <c r="Y1050" s="102"/>
      <c r="Z1050" s="104"/>
      <c r="AA1050" s="105"/>
    </row>
    <row r="1051" spans="12:27" ht="25" customHeight="1">
      <c r="L1051" s="31"/>
      <c r="M1051" s="31"/>
      <c r="N1051" s="31"/>
      <c r="R1051" s="32"/>
      <c r="X1051" s="35"/>
      <c r="Y1051" s="102"/>
      <c r="Z1051" s="104"/>
      <c r="AA1051" s="105"/>
    </row>
    <row r="1052" spans="12:27" ht="25" customHeight="1">
      <c r="L1052" s="31"/>
      <c r="M1052" s="31"/>
      <c r="N1052" s="31"/>
      <c r="R1052" s="32"/>
      <c r="X1052" s="35"/>
      <c r="Y1052" s="102"/>
      <c r="Z1052" s="104"/>
      <c r="AA1052" s="105"/>
    </row>
    <row r="1053" spans="12:27" ht="25" customHeight="1">
      <c r="L1053" s="31"/>
      <c r="M1053" s="31"/>
      <c r="N1053" s="31"/>
      <c r="R1053" s="32"/>
      <c r="X1053" s="35"/>
      <c r="Y1053" s="102"/>
      <c r="Z1053" s="104"/>
      <c r="AA1053" s="105"/>
    </row>
    <row r="1054" spans="12:27" ht="25" customHeight="1">
      <c r="L1054" s="31"/>
      <c r="M1054" s="31"/>
      <c r="N1054" s="31"/>
      <c r="R1054" s="32"/>
      <c r="X1054" s="35"/>
      <c r="Y1054" s="102"/>
      <c r="Z1054" s="104"/>
      <c r="AA1054" s="105"/>
    </row>
    <row r="1055" spans="12:27" ht="25" customHeight="1">
      <c r="L1055" s="31"/>
      <c r="M1055" s="31"/>
      <c r="N1055" s="31"/>
      <c r="R1055" s="32"/>
      <c r="X1055" s="35"/>
      <c r="Y1055" s="102"/>
      <c r="Z1055" s="104"/>
      <c r="AA1055" s="105"/>
    </row>
    <row r="1056" spans="12:27" ht="25" customHeight="1">
      <c r="L1056" s="31"/>
      <c r="M1056" s="31"/>
      <c r="N1056" s="31"/>
      <c r="R1056" s="32"/>
      <c r="X1056" s="35"/>
      <c r="Y1056" s="102"/>
      <c r="Z1056" s="104"/>
      <c r="AA1056" s="105"/>
    </row>
    <row r="1057" spans="12:27" ht="25" customHeight="1">
      <c r="L1057" s="31"/>
      <c r="M1057" s="31"/>
      <c r="N1057" s="31"/>
      <c r="R1057" s="32"/>
      <c r="X1057" s="35"/>
      <c r="Y1057" s="102"/>
      <c r="Z1057" s="104"/>
      <c r="AA1057" s="105"/>
    </row>
    <row r="1058" spans="12:27" ht="25" customHeight="1">
      <c r="L1058" s="31"/>
      <c r="M1058" s="31"/>
      <c r="N1058" s="31"/>
      <c r="R1058" s="32"/>
      <c r="X1058" s="35"/>
      <c r="Y1058" s="102"/>
      <c r="Z1058" s="104"/>
      <c r="AA1058" s="105"/>
    </row>
    <row r="1059" spans="12:27" ht="25" customHeight="1">
      <c r="L1059" s="31"/>
      <c r="M1059" s="31"/>
      <c r="N1059" s="31"/>
      <c r="R1059" s="32"/>
      <c r="X1059" s="35"/>
      <c r="Y1059" s="102"/>
      <c r="Z1059" s="104"/>
      <c r="AA1059" s="105"/>
    </row>
    <row r="1060" spans="12:27" ht="25" customHeight="1">
      <c r="L1060" s="31"/>
      <c r="M1060" s="31"/>
      <c r="N1060" s="31"/>
      <c r="R1060" s="32"/>
      <c r="X1060" s="35"/>
      <c r="Y1060" s="102"/>
      <c r="Z1060" s="104"/>
      <c r="AA1060" s="105"/>
    </row>
    <row r="1061" spans="12:27" ht="25" customHeight="1">
      <c r="L1061" s="31"/>
      <c r="M1061" s="31"/>
      <c r="N1061" s="31"/>
      <c r="R1061" s="32"/>
      <c r="X1061" s="35"/>
      <c r="Y1061" s="102"/>
      <c r="Z1061" s="104"/>
      <c r="AA1061" s="105"/>
    </row>
    <row r="1062" spans="12:27" ht="25" customHeight="1">
      <c r="L1062" s="31"/>
      <c r="M1062" s="31"/>
      <c r="N1062" s="31"/>
      <c r="R1062" s="32"/>
      <c r="X1062" s="35"/>
      <c r="Y1062" s="102"/>
      <c r="Z1062" s="104"/>
      <c r="AA1062" s="105"/>
    </row>
    <row r="1063" spans="12:27" ht="25" customHeight="1">
      <c r="L1063" s="31"/>
      <c r="M1063" s="31"/>
      <c r="N1063" s="31"/>
      <c r="R1063" s="32"/>
      <c r="X1063" s="35"/>
      <c r="Y1063" s="102"/>
      <c r="Z1063" s="104"/>
      <c r="AA1063" s="105"/>
    </row>
    <row r="1064" spans="12:27" ht="25" customHeight="1">
      <c r="L1064" s="31"/>
      <c r="M1064" s="31"/>
      <c r="N1064" s="31"/>
      <c r="R1064" s="32"/>
      <c r="X1064" s="35"/>
      <c r="Y1064" s="102"/>
      <c r="Z1064" s="104"/>
      <c r="AA1064" s="105"/>
    </row>
    <row r="1065" spans="12:27" ht="25" customHeight="1">
      <c r="L1065" s="31"/>
      <c r="M1065" s="31"/>
      <c r="N1065" s="31"/>
      <c r="R1065" s="32"/>
      <c r="X1065" s="35"/>
      <c r="Y1065" s="102"/>
      <c r="Z1065" s="104"/>
      <c r="AA1065" s="105"/>
    </row>
    <row r="1066" spans="12:27" ht="25" customHeight="1">
      <c r="L1066" s="31"/>
      <c r="M1066" s="31"/>
      <c r="N1066" s="31"/>
      <c r="R1066" s="32"/>
      <c r="X1066" s="35"/>
      <c r="Y1066" s="102"/>
      <c r="Z1066" s="104"/>
      <c r="AA1066" s="105"/>
    </row>
    <row r="1067" spans="12:27" ht="25" customHeight="1">
      <c r="L1067" s="31"/>
      <c r="M1067" s="31"/>
      <c r="N1067" s="31"/>
      <c r="R1067" s="32"/>
      <c r="X1067" s="35"/>
      <c r="Y1067" s="102"/>
      <c r="Z1067" s="104"/>
      <c r="AA1067" s="105"/>
    </row>
    <row r="1068" spans="12:27" ht="25" customHeight="1">
      <c r="L1068" s="31"/>
      <c r="M1068" s="31"/>
      <c r="N1068" s="31"/>
      <c r="R1068" s="32"/>
      <c r="X1068" s="35"/>
      <c r="Y1068" s="102"/>
      <c r="Z1068" s="104"/>
      <c r="AA1068" s="105"/>
    </row>
    <row r="1069" spans="12:27" ht="25" customHeight="1">
      <c r="L1069" s="31"/>
      <c r="M1069" s="31"/>
      <c r="N1069" s="31"/>
      <c r="R1069" s="32"/>
      <c r="X1069" s="35"/>
      <c r="Y1069" s="102"/>
      <c r="Z1069" s="104"/>
      <c r="AA1069" s="105"/>
    </row>
    <row r="1070" spans="12:27" ht="25" customHeight="1">
      <c r="L1070" s="31"/>
      <c r="M1070" s="31"/>
      <c r="N1070" s="31"/>
      <c r="R1070" s="32"/>
      <c r="X1070" s="35"/>
      <c r="Y1070" s="102"/>
      <c r="Z1070" s="104"/>
      <c r="AA1070" s="105"/>
    </row>
    <row r="1071" spans="12:27" ht="25" customHeight="1">
      <c r="L1071" s="31"/>
      <c r="M1071" s="31"/>
      <c r="N1071" s="31"/>
      <c r="R1071" s="32"/>
      <c r="X1071" s="35"/>
      <c r="Y1071" s="102"/>
      <c r="Z1071" s="104"/>
      <c r="AA1071" s="105"/>
    </row>
    <row r="1072" spans="12:27" ht="25" customHeight="1">
      <c r="L1072" s="31"/>
      <c r="M1072" s="31"/>
      <c r="N1072" s="31"/>
      <c r="R1072" s="32"/>
      <c r="X1072" s="35"/>
      <c r="Y1072" s="102"/>
      <c r="Z1072" s="104"/>
      <c r="AA1072" s="105"/>
    </row>
    <row r="1073" spans="12:27" ht="25" customHeight="1">
      <c r="L1073" s="31"/>
      <c r="M1073" s="31"/>
      <c r="N1073" s="31"/>
      <c r="R1073" s="32"/>
      <c r="X1073" s="35"/>
      <c r="Y1073" s="102"/>
      <c r="Z1073" s="104"/>
      <c r="AA1073" s="105"/>
    </row>
    <row r="1074" spans="12:27" ht="25" customHeight="1">
      <c r="L1074" s="31"/>
      <c r="M1074" s="31"/>
      <c r="N1074" s="31"/>
      <c r="R1074" s="32"/>
      <c r="X1074" s="35"/>
      <c r="Y1074" s="102"/>
      <c r="Z1074" s="104"/>
      <c r="AA1074" s="105"/>
    </row>
    <row r="1075" spans="12:27" ht="25" customHeight="1">
      <c r="L1075" s="31"/>
      <c r="M1075" s="31"/>
      <c r="N1075" s="31"/>
      <c r="R1075" s="32"/>
      <c r="X1075" s="35"/>
      <c r="Y1075" s="102"/>
      <c r="Z1075" s="104"/>
      <c r="AA1075" s="105"/>
    </row>
    <row r="1076" spans="12:27" ht="25" customHeight="1">
      <c r="L1076" s="31"/>
      <c r="M1076" s="31"/>
      <c r="N1076" s="31"/>
      <c r="R1076" s="32"/>
      <c r="X1076" s="35"/>
      <c r="Y1076" s="102"/>
      <c r="Z1076" s="104"/>
      <c r="AA1076" s="105"/>
    </row>
    <row r="1077" spans="12:27" ht="25" customHeight="1">
      <c r="L1077" s="31"/>
      <c r="M1077" s="31"/>
      <c r="N1077" s="31"/>
      <c r="R1077" s="32"/>
      <c r="X1077" s="35"/>
      <c r="Y1077" s="102"/>
      <c r="Z1077" s="104"/>
      <c r="AA1077" s="105"/>
    </row>
    <row r="1078" spans="12:27" ht="25" customHeight="1">
      <c r="L1078" s="31"/>
      <c r="M1078" s="31"/>
      <c r="N1078" s="31"/>
      <c r="R1078" s="32"/>
      <c r="X1078" s="35"/>
      <c r="Y1078" s="102"/>
      <c r="Z1078" s="104"/>
      <c r="AA1078" s="105"/>
    </row>
    <row r="1079" spans="12:27" ht="25" customHeight="1">
      <c r="L1079" s="31"/>
      <c r="M1079" s="31"/>
      <c r="N1079" s="31"/>
      <c r="R1079" s="32"/>
      <c r="X1079" s="35"/>
      <c r="Y1079" s="102"/>
      <c r="Z1079" s="104"/>
      <c r="AA1079" s="105"/>
    </row>
    <row r="1080" spans="12:27" ht="25" customHeight="1">
      <c r="L1080" s="31"/>
      <c r="M1080" s="31"/>
      <c r="N1080" s="31"/>
      <c r="R1080" s="32"/>
      <c r="X1080" s="35"/>
      <c r="Y1080" s="102"/>
      <c r="Z1080" s="104"/>
      <c r="AA1080" s="105"/>
    </row>
    <row r="1081" spans="12:27" ht="25" customHeight="1">
      <c r="L1081" s="31"/>
      <c r="M1081" s="31"/>
      <c r="N1081" s="31"/>
      <c r="R1081" s="32"/>
      <c r="X1081" s="35"/>
      <c r="Y1081" s="102"/>
      <c r="Z1081" s="104"/>
      <c r="AA1081" s="105"/>
    </row>
    <row r="1082" spans="12:27" ht="25" customHeight="1">
      <c r="L1082" s="31"/>
      <c r="M1082" s="31"/>
      <c r="N1082" s="31"/>
      <c r="R1082" s="32"/>
      <c r="X1082" s="35"/>
      <c r="Y1082" s="102"/>
      <c r="Z1082" s="104"/>
      <c r="AA1082" s="105"/>
    </row>
    <row r="1083" spans="12:27" ht="25" customHeight="1">
      <c r="L1083" s="31"/>
      <c r="M1083" s="31"/>
      <c r="N1083" s="31"/>
      <c r="R1083" s="32"/>
      <c r="X1083" s="35"/>
      <c r="Y1083" s="102"/>
      <c r="Z1083" s="104"/>
      <c r="AA1083" s="105"/>
    </row>
    <row r="1084" spans="12:27" ht="25" customHeight="1">
      <c r="L1084" s="31"/>
      <c r="M1084" s="31"/>
      <c r="N1084" s="31"/>
      <c r="R1084" s="32"/>
      <c r="X1084" s="35"/>
      <c r="Y1084" s="102"/>
      <c r="Z1084" s="104"/>
      <c r="AA1084" s="105"/>
    </row>
    <row r="1085" spans="12:27" ht="25" customHeight="1">
      <c r="L1085" s="31"/>
      <c r="M1085" s="31"/>
      <c r="N1085" s="31"/>
      <c r="R1085" s="32"/>
      <c r="X1085" s="35"/>
      <c r="Y1085" s="102"/>
      <c r="Z1085" s="104"/>
      <c r="AA1085" s="105"/>
    </row>
    <row r="1086" spans="12:27" ht="25" customHeight="1">
      <c r="L1086" s="31"/>
      <c r="M1086" s="31"/>
      <c r="N1086" s="31"/>
      <c r="R1086" s="32"/>
      <c r="X1086" s="35"/>
      <c r="Y1086" s="102"/>
      <c r="Z1086" s="104"/>
      <c r="AA1086" s="105"/>
    </row>
    <row r="1087" spans="12:27" ht="25" customHeight="1">
      <c r="L1087" s="31"/>
      <c r="M1087" s="31"/>
      <c r="N1087" s="31"/>
      <c r="R1087" s="32"/>
      <c r="X1087" s="35"/>
      <c r="Y1087" s="102"/>
      <c r="Z1087" s="104"/>
      <c r="AA1087" s="105"/>
    </row>
    <row r="1088" spans="12:27" ht="25" customHeight="1">
      <c r="L1088" s="31"/>
      <c r="M1088" s="31"/>
      <c r="N1088" s="31"/>
      <c r="R1088" s="32"/>
      <c r="X1088" s="35"/>
      <c r="Y1088" s="102"/>
      <c r="Z1088" s="104"/>
      <c r="AA1088" s="105"/>
    </row>
    <row r="1089" spans="12:27" ht="25" customHeight="1">
      <c r="L1089" s="31"/>
      <c r="M1089" s="31"/>
      <c r="N1089" s="31"/>
      <c r="R1089" s="32"/>
      <c r="X1089" s="35"/>
      <c r="Y1089" s="102"/>
      <c r="Z1089" s="104"/>
      <c r="AA1089" s="105"/>
    </row>
    <row r="1090" spans="12:27" ht="25" customHeight="1">
      <c r="L1090" s="31"/>
      <c r="M1090" s="31"/>
      <c r="N1090" s="31"/>
      <c r="R1090" s="32"/>
      <c r="X1090" s="35"/>
      <c r="Y1090" s="102"/>
      <c r="Z1090" s="104"/>
      <c r="AA1090" s="105"/>
    </row>
    <row r="1091" spans="12:27" ht="25" customHeight="1">
      <c r="L1091" s="31"/>
      <c r="M1091" s="31"/>
      <c r="N1091" s="31"/>
      <c r="R1091" s="32"/>
      <c r="X1091" s="35"/>
      <c r="Y1091" s="102"/>
      <c r="Z1091" s="104"/>
      <c r="AA1091" s="105"/>
    </row>
    <row r="1092" spans="12:27" ht="25" customHeight="1">
      <c r="L1092" s="31"/>
      <c r="M1092" s="31"/>
      <c r="N1092" s="31"/>
      <c r="R1092" s="32"/>
      <c r="X1092" s="35"/>
      <c r="Y1092" s="102"/>
      <c r="Z1092" s="104"/>
      <c r="AA1092" s="105"/>
    </row>
    <row r="1093" spans="12:27" ht="25" customHeight="1">
      <c r="L1093" s="31"/>
      <c r="M1093" s="31"/>
      <c r="N1093" s="31"/>
      <c r="R1093" s="32"/>
      <c r="X1093" s="35"/>
      <c r="Y1093" s="102"/>
      <c r="Z1093" s="104"/>
      <c r="AA1093" s="105"/>
    </row>
    <row r="1094" spans="12:27" ht="25" customHeight="1">
      <c r="L1094" s="31"/>
      <c r="M1094" s="31"/>
      <c r="N1094" s="31"/>
      <c r="R1094" s="32"/>
      <c r="X1094" s="35"/>
      <c r="Y1094" s="102"/>
      <c r="Z1094" s="104"/>
      <c r="AA1094" s="105"/>
    </row>
    <row r="1095" spans="12:27" ht="25" customHeight="1">
      <c r="L1095" s="31"/>
      <c r="M1095" s="31"/>
      <c r="N1095" s="31"/>
      <c r="R1095" s="32"/>
      <c r="X1095" s="35"/>
      <c r="Y1095" s="102"/>
      <c r="Z1095" s="104"/>
      <c r="AA1095" s="105"/>
    </row>
    <row r="1096" spans="12:27" ht="25" customHeight="1">
      <c r="L1096" s="31"/>
      <c r="M1096" s="31"/>
      <c r="N1096" s="31"/>
      <c r="R1096" s="32"/>
      <c r="X1096" s="35"/>
      <c r="Y1096" s="102"/>
      <c r="Z1096" s="104"/>
      <c r="AA1096" s="105"/>
    </row>
    <row r="1097" spans="12:27" ht="25" customHeight="1">
      <c r="L1097" s="31"/>
      <c r="M1097" s="31"/>
      <c r="N1097" s="31"/>
      <c r="R1097" s="32"/>
      <c r="X1097" s="35"/>
      <c r="Y1097" s="102"/>
      <c r="Z1097" s="104"/>
      <c r="AA1097" s="105"/>
    </row>
    <row r="1098" spans="12:27" ht="25" customHeight="1">
      <c r="L1098" s="31"/>
      <c r="M1098" s="31"/>
      <c r="N1098" s="31"/>
      <c r="R1098" s="32"/>
      <c r="X1098" s="35"/>
      <c r="Y1098" s="102"/>
      <c r="Z1098" s="104"/>
      <c r="AA1098" s="105"/>
    </row>
    <row r="1099" spans="12:27" ht="25" customHeight="1">
      <c r="L1099" s="31"/>
      <c r="M1099" s="31"/>
      <c r="N1099" s="31"/>
      <c r="R1099" s="32"/>
      <c r="X1099" s="35"/>
      <c r="Y1099" s="102"/>
      <c r="Z1099" s="104"/>
      <c r="AA1099" s="105"/>
    </row>
    <row r="1100" spans="12:27" ht="25" customHeight="1">
      <c r="L1100" s="31"/>
      <c r="M1100" s="31"/>
      <c r="N1100" s="31"/>
      <c r="R1100" s="32"/>
      <c r="X1100" s="35"/>
      <c r="Y1100" s="102"/>
      <c r="Z1100" s="104"/>
      <c r="AA1100" s="105"/>
    </row>
    <row r="1101" spans="12:27" ht="25" customHeight="1">
      <c r="L1101" s="31"/>
      <c r="M1101" s="31"/>
      <c r="N1101" s="31"/>
      <c r="R1101" s="32"/>
      <c r="X1101" s="35"/>
      <c r="Y1101" s="102"/>
      <c r="Z1101" s="104"/>
      <c r="AA1101" s="105"/>
    </row>
    <row r="1102" spans="12:27" ht="25" customHeight="1">
      <c r="L1102" s="31"/>
      <c r="M1102" s="31"/>
      <c r="N1102" s="31"/>
      <c r="R1102" s="32"/>
      <c r="X1102" s="35"/>
      <c r="Y1102" s="102"/>
      <c r="Z1102" s="104"/>
      <c r="AA1102" s="105"/>
    </row>
    <row r="1103" spans="12:27" ht="25" customHeight="1">
      <c r="L1103" s="31"/>
      <c r="M1103" s="31"/>
      <c r="N1103" s="31"/>
      <c r="R1103" s="32"/>
      <c r="X1103" s="35"/>
      <c r="Y1103" s="102"/>
      <c r="Z1103" s="104"/>
      <c r="AA1103" s="105"/>
    </row>
    <row r="1104" spans="12:27" ht="25" customHeight="1">
      <c r="L1104" s="31"/>
      <c r="M1104" s="31"/>
      <c r="N1104" s="31"/>
      <c r="R1104" s="32"/>
      <c r="X1104" s="35"/>
      <c r="Y1104" s="102"/>
      <c r="Z1104" s="104"/>
      <c r="AA1104" s="105"/>
    </row>
    <row r="1105" spans="12:27" ht="25" customHeight="1">
      <c r="L1105" s="31"/>
      <c r="M1105" s="31"/>
      <c r="N1105" s="31"/>
      <c r="R1105" s="32"/>
      <c r="X1105" s="35"/>
      <c r="Y1105" s="102"/>
      <c r="Z1105" s="104"/>
      <c r="AA1105" s="105"/>
    </row>
    <row r="1106" spans="12:27" ht="25" customHeight="1">
      <c r="L1106" s="31"/>
      <c r="M1106" s="31"/>
      <c r="N1106" s="31"/>
      <c r="R1106" s="32"/>
      <c r="X1106" s="35"/>
      <c r="Y1106" s="102"/>
      <c r="Z1106" s="104"/>
      <c r="AA1106" s="105"/>
    </row>
    <row r="1107" spans="12:27" ht="25" customHeight="1">
      <c r="L1107" s="31"/>
      <c r="M1107" s="31"/>
      <c r="N1107" s="31"/>
      <c r="R1107" s="32"/>
      <c r="X1107" s="35"/>
      <c r="Y1107" s="102"/>
      <c r="Z1107" s="104"/>
      <c r="AA1107" s="105"/>
    </row>
    <row r="1108" spans="12:27" ht="25" customHeight="1">
      <c r="L1108" s="31"/>
      <c r="M1108" s="31"/>
      <c r="N1108" s="31"/>
      <c r="R1108" s="32"/>
      <c r="X1108" s="35"/>
      <c r="Y1108" s="102"/>
      <c r="Z1108" s="104"/>
      <c r="AA1108" s="105"/>
    </row>
    <row r="1109" spans="12:27" ht="25" customHeight="1">
      <c r="L1109" s="31"/>
      <c r="M1109" s="31"/>
      <c r="N1109" s="31"/>
      <c r="R1109" s="32"/>
      <c r="X1109" s="35"/>
      <c r="Y1109" s="102"/>
      <c r="Z1109" s="104"/>
      <c r="AA1109" s="105"/>
    </row>
    <row r="1110" spans="12:27" ht="25" customHeight="1">
      <c r="L1110" s="31"/>
      <c r="M1110" s="31"/>
      <c r="N1110" s="31"/>
      <c r="R1110" s="32"/>
      <c r="X1110" s="35"/>
      <c r="Y1110" s="102"/>
      <c r="Z1110" s="104"/>
      <c r="AA1110" s="105"/>
    </row>
    <row r="1111" spans="12:27" ht="25" customHeight="1">
      <c r="L1111" s="31"/>
      <c r="M1111" s="31"/>
      <c r="N1111" s="31"/>
      <c r="R1111" s="32"/>
      <c r="X1111" s="35"/>
      <c r="Y1111" s="102"/>
      <c r="Z1111" s="104"/>
      <c r="AA1111" s="105"/>
    </row>
    <row r="1112" spans="12:27" ht="25" customHeight="1">
      <c r="L1112" s="31"/>
      <c r="M1112" s="31"/>
      <c r="N1112" s="31"/>
      <c r="R1112" s="32"/>
      <c r="X1112" s="35"/>
      <c r="Y1112" s="102"/>
      <c r="Z1112" s="104"/>
      <c r="AA1112" s="105"/>
    </row>
    <row r="1113" spans="12:27" ht="25" customHeight="1">
      <c r="L1113" s="31"/>
      <c r="M1113" s="31"/>
      <c r="N1113" s="31"/>
      <c r="R1113" s="32"/>
      <c r="X1113" s="35"/>
      <c r="Y1113" s="102"/>
      <c r="Z1113" s="104"/>
      <c r="AA1113" s="105"/>
    </row>
    <row r="1114" spans="12:27" ht="25" customHeight="1">
      <c r="L1114" s="31"/>
      <c r="M1114" s="31"/>
      <c r="N1114" s="31"/>
      <c r="R1114" s="32"/>
      <c r="X1114" s="35"/>
      <c r="Y1114" s="102"/>
      <c r="Z1114" s="104"/>
      <c r="AA1114" s="105"/>
    </row>
    <row r="1115" spans="12:27" ht="25" customHeight="1">
      <c r="L1115" s="31"/>
      <c r="M1115" s="31"/>
      <c r="N1115" s="31"/>
      <c r="R1115" s="32"/>
      <c r="X1115" s="35"/>
      <c r="Y1115" s="102"/>
      <c r="Z1115" s="104"/>
      <c r="AA1115" s="105"/>
    </row>
    <row r="1116" spans="12:27" ht="25" customHeight="1">
      <c r="L1116" s="31"/>
      <c r="M1116" s="31"/>
      <c r="N1116" s="31"/>
      <c r="R1116" s="32"/>
      <c r="X1116" s="35"/>
      <c r="Y1116" s="102"/>
      <c r="Z1116" s="104"/>
      <c r="AA1116" s="105"/>
    </row>
    <row r="1117" spans="12:27" ht="25" customHeight="1">
      <c r="L1117" s="31"/>
      <c r="M1117" s="31"/>
      <c r="N1117" s="31"/>
      <c r="R1117" s="32"/>
      <c r="X1117" s="35"/>
      <c r="Y1117" s="102"/>
      <c r="Z1117" s="104"/>
      <c r="AA1117" s="105"/>
    </row>
    <row r="1118" spans="12:27" ht="25" customHeight="1">
      <c r="L1118" s="31"/>
      <c r="M1118" s="31"/>
      <c r="N1118" s="31"/>
      <c r="R1118" s="32"/>
      <c r="X1118" s="35"/>
      <c r="Y1118" s="102"/>
      <c r="Z1118" s="104"/>
      <c r="AA1118" s="105"/>
    </row>
    <row r="1119" spans="12:27" ht="25" customHeight="1">
      <c r="L1119" s="31"/>
      <c r="M1119" s="31"/>
      <c r="N1119" s="31"/>
      <c r="R1119" s="32"/>
      <c r="X1119" s="35"/>
      <c r="Y1119" s="102"/>
      <c r="Z1119" s="104"/>
      <c r="AA1119" s="105"/>
    </row>
    <row r="1120" spans="12:27" ht="25" customHeight="1">
      <c r="L1120" s="31"/>
      <c r="M1120" s="31"/>
      <c r="N1120" s="31"/>
      <c r="R1120" s="32"/>
      <c r="X1120" s="35"/>
      <c r="Y1120" s="102"/>
      <c r="Z1120" s="104"/>
      <c r="AA1120" s="105"/>
    </row>
    <row r="1121" spans="12:27" ht="25" customHeight="1">
      <c r="L1121" s="31"/>
      <c r="M1121" s="31"/>
      <c r="N1121" s="31"/>
      <c r="R1121" s="32"/>
      <c r="X1121" s="35"/>
      <c r="Y1121" s="102"/>
      <c r="Z1121" s="104"/>
      <c r="AA1121" s="105"/>
    </row>
    <row r="1122" spans="12:27" ht="25" customHeight="1">
      <c r="L1122" s="31"/>
      <c r="M1122" s="31"/>
      <c r="N1122" s="31"/>
      <c r="R1122" s="32"/>
      <c r="X1122" s="35"/>
      <c r="Y1122" s="102"/>
      <c r="Z1122" s="104"/>
      <c r="AA1122" s="105"/>
    </row>
    <row r="1123" spans="12:27" ht="25" customHeight="1">
      <c r="L1123" s="31"/>
      <c r="M1123" s="31"/>
      <c r="N1123" s="31"/>
      <c r="R1123" s="32"/>
      <c r="X1123" s="35"/>
      <c r="Y1123" s="102"/>
      <c r="Z1123" s="104"/>
      <c r="AA1123" s="105"/>
    </row>
    <row r="1124" spans="12:27" ht="25" customHeight="1">
      <c r="L1124" s="31"/>
      <c r="M1124" s="31"/>
      <c r="N1124" s="31"/>
      <c r="R1124" s="32"/>
      <c r="X1124" s="35"/>
      <c r="Y1124" s="102"/>
      <c r="Z1124" s="104"/>
      <c r="AA1124" s="105"/>
    </row>
    <row r="1125" spans="12:27" ht="25" customHeight="1">
      <c r="L1125" s="31"/>
      <c r="M1125" s="31"/>
      <c r="N1125" s="31"/>
      <c r="R1125" s="32"/>
      <c r="X1125" s="35"/>
      <c r="Y1125" s="102"/>
      <c r="Z1125" s="104"/>
      <c r="AA1125" s="105"/>
    </row>
    <row r="1126" spans="12:27" ht="25" customHeight="1">
      <c r="L1126" s="31"/>
      <c r="M1126" s="31"/>
      <c r="N1126" s="31"/>
      <c r="R1126" s="32"/>
      <c r="X1126" s="35"/>
      <c r="Y1126" s="102"/>
      <c r="Z1126" s="104"/>
      <c r="AA1126" s="105"/>
    </row>
    <row r="1127" spans="12:27" ht="25" customHeight="1">
      <c r="L1127" s="31"/>
      <c r="M1127" s="31"/>
      <c r="N1127" s="31"/>
      <c r="R1127" s="32"/>
      <c r="X1127" s="35"/>
      <c r="Y1127" s="102"/>
      <c r="Z1127" s="104"/>
      <c r="AA1127" s="105"/>
    </row>
    <row r="1128" spans="12:27" ht="25" customHeight="1">
      <c r="L1128" s="31"/>
      <c r="M1128" s="31"/>
      <c r="N1128" s="31"/>
      <c r="R1128" s="32"/>
      <c r="X1128" s="35"/>
      <c r="Y1128" s="102"/>
      <c r="Z1128" s="104"/>
      <c r="AA1128" s="105"/>
    </row>
    <row r="1129" spans="12:27" ht="25" customHeight="1">
      <c r="L1129" s="31"/>
      <c r="M1129" s="31"/>
      <c r="N1129" s="31"/>
      <c r="R1129" s="32"/>
      <c r="X1129" s="35"/>
      <c r="Y1129" s="102"/>
      <c r="Z1129" s="104"/>
      <c r="AA1129" s="105"/>
    </row>
    <row r="1130" spans="12:27" ht="25" customHeight="1">
      <c r="L1130" s="31"/>
      <c r="M1130" s="31"/>
      <c r="N1130" s="31"/>
      <c r="R1130" s="32"/>
      <c r="X1130" s="35"/>
      <c r="Y1130" s="102"/>
      <c r="Z1130" s="104"/>
      <c r="AA1130" s="105"/>
    </row>
    <row r="1131" spans="12:27" ht="25" customHeight="1">
      <c r="L1131" s="31"/>
      <c r="M1131" s="31"/>
      <c r="N1131" s="31"/>
      <c r="R1131" s="32"/>
      <c r="X1131" s="35"/>
      <c r="Y1131" s="102"/>
      <c r="Z1131" s="104"/>
      <c r="AA1131" s="105"/>
    </row>
    <row r="1132" spans="12:27" ht="25" customHeight="1">
      <c r="L1132" s="31"/>
      <c r="M1132" s="31"/>
      <c r="N1132" s="31"/>
      <c r="R1132" s="32"/>
      <c r="X1132" s="35"/>
      <c r="Y1132" s="102"/>
      <c r="Z1132" s="104"/>
      <c r="AA1132" s="105"/>
    </row>
    <row r="1133" spans="12:27" ht="25" customHeight="1">
      <c r="L1133" s="31"/>
      <c r="M1133" s="31"/>
      <c r="N1133" s="31"/>
      <c r="R1133" s="32"/>
      <c r="X1133" s="35"/>
      <c r="Y1133" s="102"/>
      <c r="Z1133" s="104"/>
      <c r="AA1133" s="105"/>
    </row>
    <row r="1134" spans="12:27" ht="25" customHeight="1">
      <c r="L1134" s="31"/>
      <c r="M1134" s="31"/>
      <c r="N1134" s="31"/>
      <c r="R1134" s="32"/>
      <c r="X1134" s="35"/>
      <c r="Y1134" s="102"/>
      <c r="Z1134" s="104"/>
      <c r="AA1134" s="105"/>
    </row>
    <row r="1135" spans="12:27" ht="25" customHeight="1">
      <c r="L1135" s="31"/>
      <c r="M1135" s="31"/>
      <c r="N1135" s="31"/>
      <c r="R1135" s="32"/>
      <c r="X1135" s="35"/>
      <c r="Y1135" s="102"/>
      <c r="Z1135" s="104"/>
      <c r="AA1135" s="105"/>
    </row>
    <row r="1136" spans="12:27" ht="25" customHeight="1">
      <c r="L1136" s="31"/>
      <c r="M1136" s="31"/>
      <c r="N1136" s="31"/>
      <c r="R1136" s="32"/>
      <c r="X1136" s="35"/>
      <c r="Y1136" s="102"/>
      <c r="Z1136" s="104"/>
      <c r="AA1136" s="105"/>
    </row>
    <row r="1137" spans="12:27" ht="25" customHeight="1">
      <c r="L1137" s="31"/>
      <c r="M1137" s="31"/>
      <c r="N1137" s="31"/>
      <c r="R1137" s="32"/>
      <c r="X1137" s="35"/>
      <c r="Y1137" s="102"/>
      <c r="Z1137" s="104"/>
      <c r="AA1137" s="105"/>
    </row>
    <row r="1138" spans="12:27" ht="25" customHeight="1">
      <c r="L1138" s="31"/>
      <c r="M1138" s="31"/>
      <c r="N1138" s="31"/>
      <c r="R1138" s="32"/>
      <c r="X1138" s="35"/>
      <c r="Y1138" s="102"/>
      <c r="Z1138" s="104"/>
      <c r="AA1138" s="105"/>
    </row>
    <row r="1139" spans="12:27" ht="25" customHeight="1">
      <c r="L1139" s="31"/>
      <c r="M1139" s="31"/>
      <c r="N1139" s="31"/>
      <c r="R1139" s="32"/>
      <c r="X1139" s="35"/>
      <c r="Y1139" s="102"/>
      <c r="Z1139" s="104"/>
      <c r="AA1139" s="105"/>
    </row>
    <row r="1140" spans="12:27" ht="25" customHeight="1">
      <c r="L1140" s="31"/>
      <c r="M1140" s="31"/>
      <c r="N1140" s="31"/>
      <c r="R1140" s="32"/>
      <c r="X1140" s="35"/>
      <c r="Y1140" s="102"/>
      <c r="Z1140" s="104"/>
      <c r="AA1140" s="105"/>
    </row>
    <row r="1141" spans="12:27" ht="25" customHeight="1">
      <c r="L1141" s="31"/>
      <c r="M1141" s="31"/>
      <c r="N1141" s="31"/>
      <c r="R1141" s="32"/>
      <c r="X1141" s="35"/>
      <c r="Y1141" s="102"/>
      <c r="Z1141" s="104"/>
      <c r="AA1141" s="105"/>
    </row>
    <row r="1142" spans="12:27" ht="25" customHeight="1">
      <c r="L1142" s="31"/>
      <c r="M1142" s="31"/>
      <c r="N1142" s="31"/>
      <c r="R1142" s="32"/>
      <c r="X1142" s="35"/>
      <c r="Y1142" s="102"/>
      <c r="Z1142" s="104"/>
      <c r="AA1142" s="105"/>
    </row>
    <row r="1143" spans="12:27" ht="25" customHeight="1">
      <c r="L1143" s="31"/>
      <c r="M1143" s="31"/>
      <c r="N1143" s="31"/>
      <c r="R1143" s="32"/>
      <c r="X1143" s="35"/>
      <c r="Y1143" s="102"/>
      <c r="Z1143" s="104"/>
      <c r="AA1143" s="105"/>
    </row>
    <row r="1144" spans="12:27" ht="25" customHeight="1">
      <c r="L1144" s="31"/>
      <c r="M1144" s="31"/>
      <c r="N1144" s="31"/>
      <c r="R1144" s="32"/>
      <c r="X1144" s="35"/>
      <c r="Y1144" s="102"/>
      <c r="Z1144" s="104"/>
      <c r="AA1144" s="105"/>
    </row>
    <row r="1145" spans="12:27" ht="25" customHeight="1">
      <c r="L1145" s="31"/>
      <c r="M1145" s="31"/>
      <c r="N1145" s="31"/>
      <c r="R1145" s="32"/>
      <c r="X1145" s="35"/>
      <c r="Y1145" s="102"/>
      <c r="Z1145" s="104"/>
      <c r="AA1145" s="105"/>
    </row>
    <row r="1146" spans="12:27" ht="25" customHeight="1">
      <c r="L1146" s="31"/>
      <c r="M1146" s="31"/>
      <c r="N1146" s="31"/>
      <c r="R1146" s="32"/>
      <c r="X1146" s="35"/>
      <c r="Y1146" s="102"/>
      <c r="Z1146" s="104"/>
      <c r="AA1146" s="105"/>
    </row>
    <row r="1147" spans="12:27" ht="25" customHeight="1">
      <c r="L1147" s="31"/>
      <c r="M1147" s="31"/>
      <c r="N1147" s="31"/>
      <c r="R1147" s="32"/>
      <c r="X1147" s="35"/>
      <c r="Y1147" s="102"/>
      <c r="Z1147" s="104"/>
      <c r="AA1147" s="105"/>
    </row>
    <row r="1148" spans="12:27" ht="25" customHeight="1">
      <c r="L1148" s="31"/>
      <c r="M1148" s="31"/>
      <c r="N1148" s="31"/>
      <c r="R1148" s="32"/>
      <c r="X1148" s="35"/>
      <c r="Y1148" s="102"/>
      <c r="Z1148" s="104"/>
      <c r="AA1148" s="105"/>
    </row>
    <row r="1149" spans="12:27" ht="25" customHeight="1">
      <c r="L1149" s="31"/>
      <c r="M1149" s="31"/>
      <c r="N1149" s="31"/>
      <c r="X1149" s="35"/>
      <c r="Y1149" s="102"/>
      <c r="Z1149" s="104"/>
      <c r="AA1149" s="105"/>
    </row>
    <row r="1150" spans="12:27" ht="25" customHeight="1">
      <c r="L1150" s="31"/>
      <c r="M1150" s="31"/>
      <c r="N1150" s="31"/>
      <c r="X1150" s="35"/>
      <c r="Y1150" s="102"/>
      <c r="Z1150" s="104"/>
      <c r="AA1150" s="105"/>
    </row>
    <row r="1151" spans="12:27" ht="25" customHeight="1">
      <c r="L1151" s="31"/>
      <c r="M1151" s="31"/>
      <c r="N1151" s="31"/>
      <c r="X1151" s="35"/>
      <c r="Y1151" s="102"/>
      <c r="Z1151" s="104"/>
      <c r="AA1151" s="105"/>
    </row>
    <row r="1152" spans="12:27" ht="25" customHeight="1">
      <c r="L1152" s="31"/>
      <c r="M1152" s="31"/>
      <c r="N1152" s="31"/>
      <c r="X1152" s="35"/>
      <c r="Y1152" s="102"/>
      <c r="Z1152" s="104"/>
      <c r="AA1152" s="105"/>
    </row>
    <row r="1153" spans="12:27" ht="25" customHeight="1">
      <c r="L1153" s="31"/>
      <c r="M1153" s="31"/>
      <c r="N1153" s="31"/>
      <c r="X1153" s="35"/>
      <c r="Y1153" s="102"/>
      <c r="Z1153" s="104"/>
      <c r="AA1153" s="105"/>
    </row>
    <row r="1154" spans="12:27" ht="25" customHeight="1">
      <c r="L1154" s="31"/>
      <c r="M1154" s="31"/>
      <c r="N1154" s="31"/>
      <c r="X1154" s="35"/>
      <c r="Y1154" s="102"/>
      <c r="Z1154" s="104"/>
      <c r="AA1154" s="105"/>
    </row>
    <row r="1155" spans="12:27" ht="25" customHeight="1">
      <c r="L1155" s="31"/>
      <c r="M1155" s="31"/>
      <c r="N1155" s="31"/>
      <c r="X1155" s="35"/>
      <c r="Y1155" s="102"/>
      <c r="Z1155" s="104"/>
      <c r="AA1155" s="105"/>
    </row>
    <row r="1156" spans="12:27" ht="25" customHeight="1">
      <c r="L1156" s="31"/>
      <c r="M1156" s="31"/>
      <c r="N1156" s="31"/>
      <c r="X1156" s="35"/>
      <c r="Y1156" s="102"/>
      <c r="Z1156" s="104"/>
      <c r="AA1156" s="105"/>
    </row>
    <row r="1157" spans="12:27" ht="25" customHeight="1">
      <c r="L1157" s="31"/>
      <c r="M1157" s="31"/>
      <c r="N1157" s="31"/>
      <c r="X1157" s="35"/>
      <c r="Y1157" s="102"/>
      <c r="Z1157" s="104"/>
      <c r="AA1157" s="105"/>
    </row>
    <row r="1158" spans="12:27" ht="25" customHeight="1">
      <c r="L1158" s="31"/>
      <c r="M1158" s="31"/>
      <c r="N1158" s="31"/>
      <c r="X1158" s="35"/>
      <c r="Y1158" s="102"/>
      <c r="Z1158" s="104"/>
      <c r="AA1158" s="105"/>
    </row>
    <row r="1159" spans="12:27" ht="25" customHeight="1">
      <c r="L1159" s="31"/>
      <c r="M1159" s="31"/>
      <c r="N1159" s="31"/>
      <c r="X1159" s="35"/>
      <c r="Y1159" s="102"/>
      <c r="Z1159" s="104"/>
      <c r="AA1159" s="105"/>
    </row>
    <row r="1160" spans="12:27" ht="25" customHeight="1">
      <c r="L1160" s="31"/>
      <c r="M1160" s="31"/>
      <c r="N1160" s="31"/>
      <c r="X1160" s="35"/>
      <c r="Y1160" s="102"/>
      <c r="Z1160" s="104"/>
      <c r="AA1160" s="105"/>
    </row>
    <row r="1161" spans="12:27" ht="25" customHeight="1">
      <c r="L1161" s="31"/>
      <c r="M1161" s="31"/>
      <c r="N1161" s="31"/>
      <c r="X1161" s="35"/>
      <c r="Y1161" s="102"/>
      <c r="Z1161" s="104"/>
      <c r="AA1161" s="105"/>
    </row>
    <row r="1162" spans="12:27" ht="25" customHeight="1">
      <c r="L1162" s="31"/>
      <c r="M1162" s="31"/>
      <c r="N1162" s="31"/>
      <c r="X1162" s="35"/>
      <c r="Y1162" s="102"/>
      <c r="Z1162" s="104"/>
      <c r="AA1162" s="105"/>
    </row>
    <row r="1163" spans="12:27" ht="25" customHeight="1">
      <c r="L1163" s="31"/>
      <c r="M1163" s="31"/>
      <c r="N1163" s="31"/>
      <c r="X1163" s="35"/>
      <c r="Y1163" s="102"/>
      <c r="Z1163" s="104"/>
      <c r="AA1163" s="105"/>
    </row>
    <row r="1164" spans="12:27" ht="25" customHeight="1">
      <c r="L1164" s="31"/>
      <c r="M1164" s="31"/>
      <c r="N1164" s="31"/>
      <c r="X1164" s="35"/>
      <c r="Y1164" s="102"/>
      <c r="Z1164" s="104"/>
      <c r="AA1164" s="105"/>
    </row>
    <row r="1165" spans="12:27" ht="25" customHeight="1">
      <c r="L1165" s="31"/>
      <c r="M1165" s="31"/>
      <c r="N1165" s="31"/>
      <c r="X1165" s="35"/>
      <c r="Y1165" s="102"/>
      <c r="Z1165" s="104"/>
      <c r="AA1165" s="105"/>
    </row>
    <row r="1166" spans="12:27" ht="25" customHeight="1">
      <c r="L1166" s="31"/>
      <c r="M1166" s="31"/>
      <c r="N1166" s="31"/>
      <c r="X1166" s="35"/>
      <c r="Y1166" s="102"/>
      <c r="Z1166" s="104"/>
      <c r="AA1166" s="105"/>
    </row>
    <row r="1167" spans="12:27" ht="25" customHeight="1">
      <c r="L1167" s="31"/>
      <c r="M1167" s="31"/>
      <c r="N1167" s="31"/>
      <c r="X1167" s="35"/>
      <c r="Y1167" s="102"/>
      <c r="Z1167" s="104"/>
      <c r="AA1167" s="105"/>
    </row>
    <row r="1168" spans="12:27" ht="25" customHeight="1">
      <c r="L1168" s="31"/>
      <c r="M1168" s="31"/>
      <c r="N1168" s="31"/>
      <c r="X1168" s="35"/>
      <c r="Y1168" s="102"/>
      <c r="Z1168" s="104"/>
      <c r="AA1168" s="105"/>
    </row>
    <row r="1169" spans="12:27" ht="25" customHeight="1">
      <c r="L1169" s="31"/>
      <c r="M1169" s="31"/>
      <c r="N1169" s="31"/>
      <c r="X1169" s="35"/>
      <c r="Y1169" s="102"/>
      <c r="Z1169" s="104"/>
      <c r="AA1169" s="105"/>
    </row>
    <row r="1170" spans="12:27" ht="25" customHeight="1">
      <c r="L1170" s="31"/>
      <c r="M1170" s="31"/>
      <c r="N1170" s="31"/>
      <c r="X1170" s="35"/>
      <c r="Y1170" s="102"/>
      <c r="Z1170" s="104"/>
      <c r="AA1170" s="105"/>
    </row>
    <row r="1171" spans="12:27" ht="25" customHeight="1">
      <c r="L1171" s="31"/>
      <c r="M1171" s="31"/>
      <c r="N1171" s="31"/>
      <c r="X1171" s="35"/>
      <c r="Y1171" s="102"/>
      <c r="Z1171" s="104"/>
      <c r="AA1171" s="105"/>
    </row>
    <row r="1172" spans="12:27" ht="25" customHeight="1">
      <c r="L1172" s="31"/>
      <c r="M1172" s="31"/>
      <c r="N1172" s="31"/>
      <c r="X1172" s="35"/>
      <c r="Y1172" s="102"/>
      <c r="Z1172" s="104"/>
      <c r="AA1172" s="105"/>
    </row>
    <row r="1173" spans="12:27" ht="25" customHeight="1">
      <c r="L1173" s="31"/>
      <c r="M1173" s="31"/>
      <c r="N1173" s="31"/>
      <c r="X1173" s="35"/>
      <c r="Y1173" s="102"/>
      <c r="Z1173" s="104"/>
      <c r="AA1173" s="105"/>
    </row>
    <row r="1174" spans="12:27" ht="25" customHeight="1">
      <c r="L1174" s="31"/>
      <c r="M1174" s="31"/>
      <c r="N1174" s="31"/>
      <c r="X1174" s="35"/>
      <c r="Y1174" s="102"/>
      <c r="Z1174" s="104"/>
      <c r="AA1174" s="105"/>
    </row>
    <row r="1175" spans="12:27" ht="25" customHeight="1">
      <c r="L1175" s="31"/>
      <c r="M1175" s="31"/>
      <c r="N1175" s="31"/>
      <c r="X1175" s="35"/>
      <c r="Y1175" s="102"/>
      <c r="Z1175" s="104"/>
      <c r="AA1175" s="105"/>
    </row>
    <row r="1176" spans="12:27" ht="25" customHeight="1">
      <c r="L1176" s="31"/>
      <c r="M1176" s="31"/>
      <c r="N1176" s="31"/>
      <c r="X1176" s="35"/>
      <c r="Y1176" s="102"/>
      <c r="Z1176" s="104"/>
      <c r="AA1176" s="105"/>
    </row>
    <row r="1177" spans="12:27" ht="25" customHeight="1">
      <c r="L1177" s="31"/>
      <c r="M1177" s="31"/>
      <c r="N1177" s="31"/>
      <c r="X1177" s="35"/>
      <c r="Y1177" s="102"/>
      <c r="Z1177" s="104"/>
      <c r="AA1177" s="105"/>
    </row>
    <row r="1178" spans="12:27" ht="25" customHeight="1">
      <c r="L1178" s="31"/>
      <c r="M1178" s="31"/>
      <c r="N1178" s="31"/>
      <c r="X1178" s="35"/>
      <c r="Y1178" s="102"/>
      <c r="Z1178" s="104"/>
      <c r="AA1178" s="105"/>
    </row>
    <row r="1179" spans="12:27" ht="25" customHeight="1">
      <c r="L1179" s="31"/>
      <c r="M1179" s="31"/>
      <c r="N1179" s="31"/>
      <c r="X1179" s="35"/>
      <c r="Y1179" s="102"/>
      <c r="Z1179" s="104"/>
      <c r="AA1179" s="105"/>
    </row>
    <row r="1180" spans="12:27" ht="25" customHeight="1">
      <c r="L1180" s="31"/>
      <c r="M1180" s="31"/>
      <c r="N1180" s="31"/>
      <c r="X1180" s="35"/>
      <c r="Y1180" s="102"/>
      <c r="Z1180" s="104"/>
      <c r="AA1180" s="105"/>
    </row>
    <row r="1181" spans="12:27" ht="25" customHeight="1">
      <c r="L1181" s="31"/>
      <c r="M1181" s="31"/>
      <c r="N1181" s="31"/>
      <c r="X1181" s="35"/>
      <c r="Y1181" s="102"/>
      <c r="Z1181" s="104"/>
      <c r="AA1181" s="105"/>
    </row>
    <row r="1182" spans="12:27" ht="25" customHeight="1">
      <c r="L1182" s="31"/>
      <c r="M1182" s="31"/>
      <c r="N1182" s="31"/>
      <c r="X1182" s="35"/>
      <c r="Y1182" s="102"/>
      <c r="Z1182" s="104"/>
      <c r="AA1182" s="105"/>
    </row>
    <row r="1183" spans="12:27" ht="25" customHeight="1">
      <c r="L1183" s="31"/>
      <c r="M1183" s="31"/>
      <c r="N1183" s="31"/>
      <c r="X1183" s="35"/>
      <c r="Y1183" s="102"/>
      <c r="Z1183" s="104"/>
      <c r="AA1183" s="105"/>
    </row>
    <row r="1184" spans="12:27" ht="25" customHeight="1">
      <c r="L1184" s="31"/>
      <c r="M1184" s="31"/>
      <c r="N1184" s="31"/>
      <c r="X1184" s="35"/>
      <c r="Y1184" s="102"/>
      <c r="Z1184" s="104"/>
      <c r="AA1184" s="105"/>
    </row>
    <row r="1185" spans="12:27" ht="25" customHeight="1">
      <c r="L1185" s="31"/>
      <c r="M1185" s="31"/>
      <c r="N1185" s="31"/>
      <c r="X1185" s="35"/>
      <c r="Y1185" s="102"/>
      <c r="Z1185" s="104"/>
      <c r="AA1185" s="105"/>
    </row>
    <row r="1186" spans="12:27" ht="25" customHeight="1">
      <c r="L1186" s="31"/>
      <c r="M1186" s="31"/>
      <c r="N1186" s="31"/>
      <c r="X1186" s="35"/>
      <c r="Y1186" s="102"/>
      <c r="Z1186" s="104"/>
      <c r="AA1186" s="105"/>
    </row>
    <row r="1187" spans="12:27" ht="25" customHeight="1">
      <c r="L1187" s="31"/>
      <c r="M1187" s="31"/>
      <c r="N1187" s="31"/>
      <c r="X1187" s="35"/>
      <c r="Y1187" s="102"/>
      <c r="Z1187" s="104"/>
      <c r="AA1187" s="105"/>
    </row>
    <row r="1188" spans="12:27" ht="25" customHeight="1">
      <c r="L1188" s="31"/>
      <c r="M1188" s="31"/>
      <c r="N1188" s="31"/>
      <c r="X1188" s="35"/>
      <c r="Y1188" s="102"/>
      <c r="Z1188" s="104"/>
      <c r="AA1188" s="105"/>
    </row>
    <row r="1189" spans="12:27" ht="25" customHeight="1">
      <c r="L1189" s="31"/>
      <c r="M1189" s="31"/>
      <c r="N1189" s="31"/>
      <c r="X1189" s="35"/>
      <c r="Y1189" s="102"/>
      <c r="Z1189" s="104"/>
      <c r="AA1189" s="105"/>
    </row>
    <row r="1190" spans="12:27" ht="25" customHeight="1">
      <c r="L1190" s="31"/>
      <c r="M1190" s="31"/>
      <c r="N1190" s="31"/>
      <c r="X1190" s="35"/>
      <c r="Y1190" s="102"/>
      <c r="Z1190" s="104"/>
      <c r="AA1190" s="105"/>
    </row>
    <row r="1191" spans="12:27" ht="25" customHeight="1">
      <c r="L1191" s="31"/>
      <c r="M1191" s="31"/>
      <c r="N1191" s="31"/>
      <c r="X1191" s="35"/>
      <c r="Y1191" s="102"/>
      <c r="Z1191" s="104"/>
      <c r="AA1191" s="105"/>
    </row>
    <row r="1192" spans="12:27" ht="25" customHeight="1">
      <c r="L1192" s="31"/>
      <c r="M1192" s="31"/>
      <c r="N1192" s="31"/>
      <c r="X1192" s="35"/>
      <c r="Y1192" s="102"/>
      <c r="Z1192" s="104"/>
      <c r="AA1192" s="105"/>
    </row>
    <row r="1193" spans="12:27" ht="25" customHeight="1">
      <c r="L1193" s="31"/>
      <c r="M1193" s="31"/>
      <c r="N1193" s="31"/>
      <c r="X1193" s="35"/>
      <c r="Y1193" s="102"/>
      <c r="Z1193" s="104"/>
      <c r="AA1193" s="105"/>
    </row>
    <row r="1194" spans="12:27" ht="25" customHeight="1">
      <c r="L1194" s="31"/>
      <c r="M1194" s="31"/>
      <c r="N1194" s="31"/>
      <c r="X1194" s="35"/>
      <c r="Y1194" s="102"/>
      <c r="Z1194" s="104"/>
      <c r="AA1194" s="105"/>
    </row>
    <row r="1195" spans="12:27" ht="25" customHeight="1">
      <c r="L1195" s="31"/>
      <c r="M1195" s="31"/>
      <c r="N1195" s="31"/>
      <c r="X1195" s="35"/>
      <c r="Y1195" s="102"/>
      <c r="Z1195" s="104"/>
      <c r="AA1195" s="105"/>
    </row>
    <row r="1196" spans="12:27" ht="25" customHeight="1">
      <c r="L1196" s="31"/>
      <c r="M1196" s="31"/>
      <c r="N1196" s="31"/>
      <c r="X1196" s="35"/>
      <c r="Y1196" s="102"/>
      <c r="Z1196" s="104"/>
      <c r="AA1196" s="105"/>
    </row>
    <row r="1197" spans="12:27" ht="25" customHeight="1">
      <c r="L1197" s="31"/>
      <c r="M1197" s="31"/>
      <c r="N1197" s="31"/>
      <c r="X1197" s="35"/>
      <c r="Y1197" s="102"/>
      <c r="Z1197" s="104"/>
      <c r="AA1197" s="105"/>
    </row>
    <row r="1198" spans="12:27" ht="25" customHeight="1">
      <c r="L1198" s="31"/>
      <c r="M1198" s="31"/>
      <c r="N1198" s="31"/>
      <c r="X1198" s="35"/>
      <c r="Y1198" s="102"/>
      <c r="Z1198" s="104"/>
      <c r="AA1198" s="105"/>
    </row>
    <row r="1199" spans="12:27" ht="25" customHeight="1">
      <c r="L1199" s="31"/>
      <c r="M1199" s="31"/>
      <c r="N1199" s="31"/>
      <c r="X1199" s="35"/>
      <c r="Y1199" s="102"/>
      <c r="Z1199" s="104"/>
      <c r="AA1199" s="105"/>
    </row>
    <row r="1200" spans="12:27" ht="25" customHeight="1">
      <c r="L1200" s="31"/>
      <c r="M1200" s="31"/>
      <c r="N1200" s="31"/>
      <c r="X1200" s="35"/>
      <c r="Y1200" s="102"/>
      <c r="Z1200" s="104"/>
      <c r="AA1200" s="105"/>
    </row>
    <row r="1201" spans="12:27" ht="25" customHeight="1">
      <c r="L1201" s="31"/>
      <c r="M1201" s="31"/>
      <c r="N1201" s="31"/>
      <c r="X1201" s="35"/>
      <c r="Y1201" s="102"/>
      <c r="Z1201" s="104"/>
      <c r="AA1201" s="105"/>
    </row>
    <row r="1202" spans="12:27" ht="25" customHeight="1">
      <c r="L1202" s="31"/>
      <c r="M1202" s="31"/>
      <c r="N1202" s="31"/>
      <c r="X1202" s="35"/>
      <c r="Y1202" s="102"/>
      <c r="Z1202" s="104"/>
      <c r="AA1202" s="105"/>
    </row>
    <row r="1203" spans="12:27" ht="25" customHeight="1">
      <c r="L1203" s="31"/>
      <c r="M1203" s="31"/>
      <c r="N1203" s="31"/>
      <c r="X1203" s="35"/>
      <c r="Y1203" s="102"/>
      <c r="Z1203" s="104"/>
      <c r="AA1203" s="105"/>
    </row>
    <row r="1204" spans="12:27" ht="25" customHeight="1">
      <c r="L1204" s="31"/>
      <c r="M1204" s="31"/>
      <c r="N1204" s="31"/>
      <c r="X1204" s="35"/>
      <c r="Y1204" s="102"/>
      <c r="Z1204" s="104"/>
      <c r="AA1204" s="105"/>
    </row>
    <row r="1205" spans="12:27" ht="25" customHeight="1">
      <c r="L1205" s="31"/>
      <c r="M1205" s="31"/>
      <c r="N1205" s="31"/>
      <c r="X1205" s="35"/>
      <c r="Y1205" s="102"/>
      <c r="Z1205" s="104"/>
      <c r="AA1205" s="105"/>
    </row>
    <row r="1206" spans="12:27" ht="25" customHeight="1">
      <c r="L1206" s="31"/>
      <c r="M1206" s="31"/>
      <c r="N1206" s="31"/>
      <c r="X1206" s="35"/>
      <c r="Y1206" s="102"/>
      <c r="Z1206" s="104"/>
      <c r="AA1206" s="105"/>
    </row>
    <row r="1207" spans="12:27" ht="25" customHeight="1">
      <c r="L1207" s="31"/>
      <c r="M1207" s="31"/>
      <c r="N1207" s="31"/>
      <c r="X1207" s="35"/>
      <c r="Y1207" s="102"/>
      <c r="Z1207" s="104"/>
      <c r="AA1207" s="105"/>
    </row>
    <row r="1208" spans="12:27" ht="25" customHeight="1">
      <c r="L1208" s="31"/>
      <c r="M1208" s="31"/>
      <c r="N1208" s="31"/>
      <c r="X1208" s="35"/>
      <c r="Y1208" s="102"/>
      <c r="Z1208" s="104"/>
      <c r="AA1208" s="105"/>
    </row>
    <row r="1209" spans="12:27" ht="25" customHeight="1">
      <c r="L1209" s="31"/>
      <c r="M1209" s="31"/>
      <c r="N1209" s="31"/>
      <c r="X1209" s="35"/>
      <c r="Y1209" s="102"/>
      <c r="Z1209" s="104"/>
      <c r="AA1209" s="105"/>
    </row>
    <row r="1210" spans="12:27" ht="25" customHeight="1">
      <c r="L1210" s="31"/>
      <c r="M1210" s="31"/>
      <c r="N1210" s="31"/>
      <c r="X1210" s="35"/>
      <c r="Y1210" s="102"/>
      <c r="Z1210" s="104"/>
      <c r="AA1210" s="105"/>
    </row>
    <row r="1211" spans="12:27" ht="25" customHeight="1">
      <c r="L1211" s="31"/>
      <c r="M1211" s="31"/>
      <c r="N1211" s="31"/>
      <c r="X1211" s="35"/>
      <c r="Y1211" s="102"/>
      <c r="Z1211" s="104"/>
      <c r="AA1211" s="105"/>
    </row>
    <row r="1212" spans="12:27" ht="25" customHeight="1">
      <c r="L1212" s="31"/>
      <c r="M1212" s="31"/>
      <c r="N1212" s="31"/>
      <c r="X1212" s="35"/>
      <c r="Y1212" s="102"/>
      <c r="Z1212" s="104"/>
      <c r="AA1212" s="105"/>
    </row>
    <row r="1213" spans="12:27" ht="25" customHeight="1">
      <c r="L1213" s="31"/>
      <c r="M1213" s="31"/>
      <c r="N1213" s="31"/>
      <c r="X1213" s="35"/>
      <c r="Y1213" s="102"/>
      <c r="Z1213" s="104"/>
      <c r="AA1213" s="105"/>
    </row>
    <row r="1214" spans="12:27" ht="25" customHeight="1">
      <c r="L1214" s="31"/>
      <c r="M1214" s="31"/>
      <c r="N1214" s="31"/>
      <c r="X1214" s="35"/>
      <c r="Y1214" s="102"/>
      <c r="Z1214" s="104"/>
      <c r="AA1214" s="105"/>
    </row>
    <row r="1215" spans="12:27" ht="25" customHeight="1">
      <c r="L1215" s="31"/>
      <c r="M1215" s="31"/>
      <c r="N1215" s="31"/>
      <c r="X1215" s="35"/>
      <c r="Y1215" s="102"/>
      <c r="Z1215" s="104"/>
      <c r="AA1215" s="105"/>
    </row>
    <row r="1216" spans="12:27" ht="25" customHeight="1">
      <c r="L1216" s="31"/>
      <c r="M1216" s="31"/>
      <c r="N1216" s="31"/>
      <c r="X1216" s="35"/>
      <c r="Y1216" s="102"/>
      <c r="Z1216" s="104"/>
      <c r="AA1216" s="105"/>
    </row>
    <row r="1217" spans="12:27" ht="25" customHeight="1">
      <c r="L1217" s="31"/>
      <c r="M1217" s="31"/>
      <c r="N1217" s="31"/>
      <c r="X1217" s="35"/>
      <c r="Y1217" s="102"/>
      <c r="Z1217" s="104"/>
      <c r="AA1217" s="105"/>
    </row>
    <row r="1218" spans="12:27" ht="25" customHeight="1">
      <c r="L1218" s="31"/>
      <c r="M1218" s="31"/>
      <c r="N1218" s="31"/>
      <c r="X1218" s="35"/>
      <c r="Y1218" s="102"/>
      <c r="Z1218" s="104"/>
      <c r="AA1218" s="105"/>
    </row>
    <row r="1219" spans="12:27" ht="25" customHeight="1">
      <c r="L1219" s="31"/>
      <c r="M1219" s="31"/>
      <c r="N1219" s="31"/>
      <c r="X1219" s="35"/>
      <c r="Y1219" s="102"/>
      <c r="Z1219" s="104"/>
      <c r="AA1219" s="105"/>
    </row>
    <row r="1220" spans="12:27" ht="25" customHeight="1">
      <c r="L1220" s="31"/>
      <c r="M1220" s="31"/>
      <c r="N1220" s="31"/>
      <c r="X1220" s="35"/>
      <c r="Y1220" s="102"/>
      <c r="Z1220" s="104"/>
      <c r="AA1220" s="105"/>
    </row>
    <row r="1221" spans="12:27" ht="25" customHeight="1">
      <c r="L1221" s="31"/>
      <c r="M1221" s="31"/>
      <c r="N1221" s="31"/>
      <c r="X1221" s="35"/>
      <c r="Y1221" s="102"/>
      <c r="Z1221" s="104"/>
      <c r="AA1221" s="105"/>
    </row>
    <row r="1222" spans="12:27" ht="25" customHeight="1">
      <c r="L1222" s="31"/>
      <c r="M1222" s="31"/>
      <c r="N1222" s="31"/>
      <c r="X1222" s="35"/>
      <c r="Y1222" s="102"/>
      <c r="Z1222" s="104"/>
      <c r="AA1222" s="105"/>
    </row>
    <row r="1223" spans="12:27" ht="25" customHeight="1">
      <c r="L1223" s="31"/>
      <c r="M1223" s="31"/>
      <c r="N1223" s="31"/>
      <c r="X1223" s="35"/>
      <c r="Y1223" s="102"/>
      <c r="Z1223" s="104"/>
      <c r="AA1223" s="105"/>
    </row>
    <row r="1224" spans="12:27" ht="25" customHeight="1">
      <c r="L1224" s="31"/>
      <c r="M1224" s="31"/>
      <c r="N1224" s="31"/>
      <c r="X1224" s="35"/>
      <c r="Y1224" s="102"/>
      <c r="Z1224" s="104"/>
      <c r="AA1224" s="105"/>
    </row>
    <row r="1225" spans="12:27" ht="25" customHeight="1">
      <c r="L1225" s="31"/>
      <c r="M1225" s="31"/>
      <c r="N1225" s="31"/>
      <c r="X1225" s="35"/>
      <c r="Y1225" s="102"/>
      <c r="Z1225" s="104"/>
      <c r="AA1225" s="105"/>
    </row>
    <row r="1226" spans="12:27" ht="25" customHeight="1">
      <c r="L1226" s="31"/>
      <c r="M1226" s="31"/>
      <c r="N1226" s="31"/>
      <c r="X1226" s="35"/>
      <c r="Y1226" s="102"/>
      <c r="Z1226" s="104"/>
      <c r="AA1226" s="105"/>
    </row>
    <row r="1227" spans="12:27" ht="25" customHeight="1">
      <c r="L1227" s="31"/>
      <c r="M1227" s="31"/>
      <c r="N1227" s="31"/>
      <c r="X1227" s="35"/>
      <c r="Y1227" s="102"/>
      <c r="Z1227" s="104"/>
      <c r="AA1227" s="105"/>
    </row>
    <row r="1228" spans="12:27" ht="25" customHeight="1">
      <c r="L1228" s="31"/>
      <c r="M1228" s="31"/>
      <c r="N1228" s="31"/>
      <c r="X1228" s="35"/>
      <c r="Y1228" s="102"/>
      <c r="Z1228" s="104"/>
      <c r="AA1228" s="105"/>
    </row>
    <row r="1229" spans="12:27" ht="25" customHeight="1">
      <c r="L1229" s="31"/>
      <c r="M1229" s="31"/>
      <c r="N1229" s="31"/>
      <c r="X1229" s="35"/>
      <c r="Y1229" s="102"/>
      <c r="Z1229" s="104"/>
      <c r="AA1229" s="105"/>
    </row>
    <row r="1230" spans="12:27" ht="25" customHeight="1">
      <c r="L1230" s="31"/>
      <c r="M1230" s="31"/>
      <c r="N1230" s="31"/>
      <c r="X1230" s="35"/>
      <c r="Y1230" s="102"/>
      <c r="Z1230" s="104"/>
      <c r="AA1230" s="105"/>
    </row>
    <row r="1231" spans="12:27" ht="25" customHeight="1">
      <c r="L1231" s="31"/>
      <c r="M1231" s="31"/>
      <c r="N1231" s="31"/>
      <c r="X1231" s="35"/>
      <c r="Y1231" s="102"/>
      <c r="Z1231" s="104"/>
      <c r="AA1231" s="105"/>
    </row>
    <row r="1232" spans="12:27" ht="25" customHeight="1">
      <c r="L1232" s="31"/>
      <c r="M1232" s="31"/>
      <c r="N1232" s="31"/>
      <c r="X1232" s="35"/>
      <c r="Y1232" s="102"/>
      <c r="Z1232" s="104"/>
      <c r="AA1232" s="105"/>
    </row>
    <row r="1233" spans="12:27" ht="25" customHeight="1">
      <c r="L1233" s="31"/>
      <c r="M1233" s="31"/>
      <c r="N1233" s="31"/>
      <c r="X1233" s="35"/>
      <c r="Y1233" s="102"/>
      <c r="Z1233" s="104"/>
      <c r="AA1233" s="105"/>
    </row>
    <row r="1234" spans="12:27" ht="25" customHeight="1">
      <c r="L1234" s="31"/>
      <c r="M1234" s="31"/>
      <c r="N1234" s="31"/>
      <c r="X1234" s="35"/>
      <c r="Y1234" s="102"/>
      <c r="Z1234" s="104"/>
      <c r="AA1234" s="105"/>
    </row>
    <row r="1235" spans="12:27" ht="25" customHeight="1">
      <c r="L1235" s="31"/>
      <c r="M1235" s="31"/>
      <c r="N1235" s="31"/>
      <c r="X1235" s="35"/>
      <c r="Y1235" s="102"/>
      <c r="Z1235" s="104"/>
      <c r="AA1235" s="105"/>
    </row>
    <row r="1236" spans="12:27" ht="25" customHeight="1">
      <c r="L1236" s="31"/>
      <c r="M1236" s="31"/>
      <c r="N1236" s="31"/>
      <c r="X1236" s="35"/>
      <c r="Y1236" s="102"/>
      <c r="Z1236" s="104"/>
      <c r="AA1236" s="105"/>
    </row>
    <row r="1237" spans="12:27" ht="25" customHeight="1">
      <c r="L1237" s="31"/>
      <c r="M1237" s="31"/>
      <c r="N1237" s="31"/>
      <c r="X1237" s="35"/>
      <c r="Y1237" s="102"/>
      <c r="Z1237" s="104"/>
      <c r="AA1237" s="105"/>
    </row>
    <row r="1238" spans="12:27" ht="25" customHeight="1">
      <c r="L1238" s="31"/>
      <c r="M1238" s="31"/>
      <c r="N1238" s="31"/>
      <c r="X1238" s="35"/>
      <c r="Y1238" s="102"/>
      <c r="Z1238" s="104"/>
      <c r="AA1238" s="105"/>
    </row>
    <row r="1239" spans="12:27" ht="25" customHeight="1">
      <c r="L1239" s="31"/>
      <c r="M1239" s="31"/>
      <c r="N1239" s="31"/>
      <c r="X1239" s="35"/>
      <c r="Y1239" s="102"/>
      <c r="Z1239" s="104"/>
      <c r="AA1239" s="105"/>
    </row>
    <row r="1240" spans="12:27" ht="25" customHeight="1">
      <c r="L1240" s="31"/>
      <c r="M1240" s="31"/>
      <c r="N1240" s="31"/>
      <c r="X1240" s="35"/>
      <c r="Y1240" s="102"/>
      <c r="Z1240" s="104"/>
      <c r="AA1240" s="105"/>
    </row>
    <row r="1241" spans="12:27" ht="25" customHeight="1">
      <c r="L1241" s="31"/>
      <c r="M1241" s="31"/>
      <c r="N1241" s="31"/>
      <c r="X1241" s="35"/>
      <c r="Y1241" s="102"/>
      <c r="Z1241" s="104"/>
      <c r="AA1241" s="105"/>
    </row>
    <row r="1242" spans="12:27" ht="25" customHeight="1">
      <c r="L1242" s="31"/>
      <c r="M1242" s="31"/>
      <c r="N1242" s="31"/>
      <c r="X1242" s="35"/>
      <c r="Y1242" s="102"/>
      <c r="Z1242" s="104"/>
      <c r="AA1242" s="105"/>
    </row>
    <row r="1243" spans="12:27" ht="25" customHeight="1">
      <c r="L1243" s="31"/>
      <c r="M1243" s="31"/>
      <c r="N1243" s="31"/>
      <c r="X1243" s="35"/>
      <c r="Y1243" s="102"/>
      <c r="Z1243" s="104"/>
      <c r="AA1243" s="105"/>
    </row>
    <row r="1244" spans="12:27" ht="25" customHeight="1">
      <c r="L1244" s="31"/>
      <c r="M1244" s="31"/>
      <c r="N1244" s="31"/>
      <c r="X1244" s="35"/>
      <c r="Y1244" s="102"/>
      <c r="Z1244" s="104"/>
      <c r="AA1244" s="105"/>
    </row>
    <row r="1245" spans="12:27" ht="25" customHeight="1">
      <c r="L1245" s="31"/>
      <c r="M1245" s="31"/>
      <c r="N1245" s="31"/>
      <c r="X1245" s="35"/>
      <c r="Y1245" s="102"/>
      <c r="Z1245" s="104"/>
      <c r="AA1245" s="105"/>
    </row>
    <row r="1246" spans="12:27" ht="25" customHeight="1">
      <c r="L1246" s="31"/>
      <c r="M1246" s="31"/>
      <c r="N1246" s="31"/>
      <c r="X1246" s="35"/>
      <c r="Y1246" s="102"/>
      <c r="Z1246" s="104"/>
      <c r="AA1246" s="105"/>
    </row>
    <row r="1247" spans="12:27" ht="25" customHeight="1">
      <c r="L1247" s="31"/>
      <c r="M1247" s="31"/>
      <c r="N1247" s="31"/>
      <c r="X1247" s="35"/>
      <c r="Y1247" s="102"/>
      <c r="Z1247" s="104"/>
      <c r="AA1247" s="105"/>
    </row>
    <row r="1248" spans="12:27" ht="25" customHeight="1">
      <c r="L1248" s="31"/>
      <c r="M1248" s="31"/>
      <c r="N1248" s="31"/>
      <c r="X1248" s="35"/>
      <c r="Y1248" s="102"/>
      <c r="Z1248" s="104"/>
      <c r="AA1248" s="105"/>
    </row>
    <row r="1249" spans="12:27" ht="25" customHeight="1">
      <c r="L1249" s="31"/>
      <c r="M1249" s="31"/>
      <c r="N1249" s="31"/>
      <c r="X1249" s="35"/>
      <c r="Y1249" s="102"/>
      <c r="Z1249" s="104"/>
      <c r="AA1249" s="105"/>
    </row>
    <row r="1250" spans="12:27" ht="25" customHeight="1">
      <c r="L1250" s="31"/>
      <c r="M1250" s="31"/>
      <c r="N1250" s="31"/>
      <c r="X1250" s="35"/>
      <c r="Y1250" s="102"/>
      <c r="Z1250" s="104"/>
      <c r="AA1250" s="105"/>
    </row>
    <row r="1251" spans="12:27" ht="25" customHeight="1">
      <c r="L1251" s="31"/>
      <c r="M1251" s="31"/>
      <c r="N1251" s="31"/>
      <c r="X1251" s="35"/>
      <c r="Y1251" s="102"/>
      <c r="Z1251" s="104"/>
      <c r="AA1251" s="105"/>
    </row>
    <row r="1252" spans="12:27" ht="25" customHeight="1">
      <c r="L1252" s="31"/>
      <c r="M1252" s="31"/>
      <c r="N1252" s="31"/>
      <c r="X1252" s="35"/>
      <c r="Y1252" s="102"/>
      <c r="Z1252" s="104"/>
      <c r="AA1252" s="105"/>
    </row>
    <row r="1253" spans="12:27" ht="25" customHeight="1">
      <c r="L1253" s="31"/>
      <c r="M1253" s="31"/>
      <c r="N1253" s="31"/>
      <c r="X1253" s="35"/>
      <c r="Y1253" s="102"/>
      <c r="Z1253" s="104"/>
      <c r="AA1253" s="105"/>
    </row>
    <row r="1254" spans="12:27" ht="25" customHeight="1">
      <c r="L1254" s="31"/>
      <c r="M1254" s="31"/>
      <c r="N1254" s="31"/>
      <c r="X1254" s="35"/>
      <c r="Y1254" s="102"/>
      <c r="Z1254" s="104"/>
      <c r="AA1254" s="105"/>
    </row>
    <row r="1255" spans="12:27" ht="25" customHeight="1">
      <c r="L1255" s="31"/>
      <c r="M1255" s="31"/>
      <c r="N1255" s="31"/>
      <c r="X1255" s="35"/>
      <c r="Y1255" s="102"/>
      <c r="Z1255" s="104"/>
      <c r="AA1255" s="105"/>
    </row>
    <row r="1256" spans="12:27" ht="25" customHeight="1">
      <c r="L1256" s="31"/>
      <c r="M1256" s="31"/>
      <c r="N1256" s="31"/>
      <c r="X1256" s="35"/>
      <c r="Y1256" s="102"/>
      <c r="Z1256" s="104"/>
      <c r="AA1256" s="105"/>
    </row>
    <row r="1257" spans="12:27" ht="25" customHeight="1">
      <c r="L1257" s="31"/>
      <c r="M1257" s="31"/>
      <c r="N1257" s="31"/>
      <c r="X1257" s="35"/>
      <c r="Y1257" s="102"/>
      <c r="Z1257" s="104"/>
      <c r="AA1257" s="105"/>
    </row>
    <row r="1258" spans="12:27" ht="25" customHeight="1">
      <c r="L1258" s="31"/>
      <c r="M1258" s="31"/>
      <c r="N1258" s="31"/>
      <c r="X1258" s="35"/>
      <c r="Y1258" s="102"/>
      <c r="Z1258" s="104"/>
      <c r="AA1258" s="105"/>
    </row>
    <row r="1259" spans="12:27" ht="25" customHeight="1">
      <c r="L1259" s="31"/>
      <c r="M1259" s="31"/>
      <c r="N1259" s="31"/>
      <c r="X1259" s="35"/>
      <c r="Y1259" s="102"/>
      <c r="Z1259" s="104"/>
      <c r="AA1259" s="105"/>
    </row>
    <row r="1260" spans="12:27" ht="25" customHeight="1">
      <c r="L1260" s="31"/>
      <c r="M1260" s="31"/>
      <c r="N1260" s="31"/>
      <c r="X1260" s="35"/>
      <c r="Y1260" s="102"/>
      <c r="Z1260" s="104"/>
      <c r="AA1260" s="105"/>
    </row>
    <row r="1261" spans="12:27" ht="25" customHeight="1">
      <c r="L1261" s="31"/>
      <c r="M1261" s="31"/>
      <c r="N1261" s="31"/>
      <c r="X1261" s="35"/>
      <c r="Y1261" s="102"/>
      <c r="Z1261" s="104"/>
      <c r="AA1261" s="105"/>
    </row>
    <row r="1262" spans="12:27" ht="25" customHeight="1">
      <c r="L1262" s="31"/>
      <c r="M1262" s="31"/>
      <c r="N1262" s="31"/>
      <c r="X1262" s="35"/>
      <c r="Y1262" s="102"/>
      <c r="Z1262" s="104"/>
      <c r="AA1262" s="105"/>
    </row>
    <row r="1263" spans="12:27" ht="25" customHeight="1">
      <c r="L1263" s="31"/>
      <c r="M1263" s="31"/>
      <c r="N1263" s="31"/>
      <c r="X1263" s="35"/>
      <c r="Y1263" s="102"/>
      <c r="Z1263" s="104"/>
      <c r="AA1263" s="105"/>
    </row>
    <row r="1264" spans="12:27" ht="25" customHeight="1">
      <c r="L1264" s="31"/>
      <c r="M1264" s="31"/>
      <c r="N1264" s="31"/>
      <c r="X1264" s="35"/>
      <c r="Y1264" s="102"/>
      <c r="Z1264" s="104"/>
      <c r="AA1264" s="105"/>
    </row>
    <row r="1265" spans="12:27" ht="25" customHeight="1">
      <c r="L1265" s="31"/>
      <c r="M1265" s="31"/>
      <c r="N1265" s="31"/>
      <c r="X1265" s="35"/>
      <c r="Y1265" s="102"/>
      <c r="Z1265" s="104"/>
      <c r="AA1265" s="105"/>
    </row>
    <row r="1266" spans="12:27" ht="25" customHeight="1">
      <c r="L1266" s="31"/>
      <c r="M1266" s="31"/>
      <c r="N1266" s="31"/>
      <c r="X1266" s="35"/>
      <c r="Y1266" s="102"/>
      <c r="Z1266" s="104"/>
      <c r="AA1266" s="105"/>
    </row>
    <row r="1267" spans="12:27" ht="25" customHeight="1">
      <c r="L1267" s="31"/>
      <c r="M1267" s="31"/>
      <c r="N1267" s="31"/>
      <c r="X1267" s="35"/>
      <c r="Y1267" s="102"/>
      <c r="Z1267" s="104"/>
      <c r="AA1267" s="105"/>
    </row>
    <row r="1268" spans="12:27" ht="25" customHeight="1">
      <c r="L1268" s="31"/>
      <c r="M1268" s="31"/>
      <c r="N1268" s="31"/>
      <c r="X1268" s="35"/>
      <c r="Y1268" s="102"/>
      <c r="Z1268" s="104"/>
      <c r="AA1268" s="105"/>
    </row>
    <row r="1269" spans="12:27" ht="25" customHeight="1">
      <c r="L1269" s="31"/>
      <c r="M1269" s="31"/>
      <c r="N1269" s="31"/>
      <c r="X1269" s="35"/>
      <c r="Y1269" s="102"/>
      <c r="Z1269" s="104"/>
      <c r="AA1269" s="105"/>
    </row>
    <row r="1270" spans="12:27" ht="25" customHeight="1">
      <c r="L1270" s="31"/>
      <c r="M1270" s="31"/>
      <c r="N1270" s="31"/>
      <c r="X1270" s="35"/>
      <c r="Y1270" s="102"/>
      <c r="Z1270" s="104"/>
      <c r="AA1270" s="105"/>
    </row>
    <row r="1271" spans="12:27" ht="25" customHeight="1">
      <c r="L1271" s="31"/>
      <c r="M1271" s="31"/>
      <c r="N1271" s="31"/>
      <c r="X1271" s="35"/>
      <c r="Y1271" s="102"/>
      <c r="Z1271" s="104"/>
      <c r="AA1271" s="105"/>
    </row>
    <row r="1272" spans="12:27" ht="25" customHeight="1">
      <c r="L1272" s="31"/>
      <c r="M1272" s="31"/>
      <c r="N1272" s="31"/>
      <c r="X1272" s="35"/>
      <c r="Y1272" s="102"/>
      <c r="Z1272" s="104"/>
      <c r="AA1272" s="105"/>
    </row>
    <row r="1273" spans="12:27" ht="25" customHeight="1">
      <c r="L1273" s="31"/>
      <c r="M1273" s="31"/>
      <c r="N1273" s="31"/>
      <c r="X1273" s="35"/>
      <c r="Y1273" s="102"/>
      <c r="Z1273" s="104"/>
      <c r="AA1273" s="105"/>
    </row>
    <row r="1274" spans="12:27" ht="25" customHeight="1">
      <c r="L1274" s="31"/>
      <c r="M1274" s="31"/>
      <c r="N1274" s="31"/>
      <c r="X1274" s="35"/>
      <c r="Y1274" s="102"/>
      <c r="Z1274" s="104"/>
      <c r="AA1274" s="105"/>
    </row>
    <row r="1275" spans="12:27" ht="25" customHeight="1">
      <c r="L1275" s="31"/>
      <c r="M1275" s="31"/>
      <c r="N1275" s="31"/>
      <c r="X1275" s="35"/>
      <c r="Y1275" s="102"/>
      <c r="Z1275" s="104"/>
      <c r="AA1275" s="105"/>
    </row>
    <row r="1276" spans="12:27" ht="25" customHeight="1">
      <c r="L1276" s="31"/>
      <c r="M1276" s="31"/>
      <c r="N1276" s="31"/>
      <c r="X1276" s="35"/>
      <c r="Y1276" s="102"/>
      <c r="Z1276" s="104"/>
      <c r="AA1276" s="105"/>
    </row>
    <row r="1277" spans="12:27" ht="25" customHeight="1">
      <c r="L1277" s="31"/>
      <c r="M1277" s="31"/>
      <c r="N1277" s="31"/>
      <c r="X1277" s="35"/>
      <c r="Y1277" s="102"/>
      <c r="Z1277" s="104"/>
      <c r="AA1277" s="105"/>
    </row>
    <row r="1278" spans="12:27" ht="25" customHeight="1">
      <c r="L1278" s="31"/>
      <c r="M1278" s="31"/>
      <c r="N1278" s="31"/>
      <c r="X1278" s="35"/>
      <c r="Y1278" s="102"/>
      <c r="Z1278" s="104"/>
      <c r="AA1278" s="105"/>
    </row>
    <row r="1279" spans="12:27" ht="25" customHeight="1">
      <c r="L1279" s="31"/>
      <c r="M1279" s="31"/>
      <c r="N1279" s="31"/>
      <c r="X1279" s="35"/>
      <c r="Y1279" s="102"/>
      <c r="Z1279" s="104"/>
      <c r="AA1279" s="105"/>
    </row>
    <row r="1280" spans="12:27" ht="25" customHeight="1">
      <c r="L1280" s="31"/>
      <c r="M1280" s="31"/>
      <c r="N1280" s="31"/>
      <c r="X1280" s="35"/>
      <c r="Y1280" s="102"/>
      <c r="Z1280" s="104"/>
      <c r="AA1280" s="105"/>
    </row>
    <row r="1281" spans="12:27" ht="25" customHeight="1">
      <c r="L1281" s="31"/>
      <c r="M1281" s="31"/>
      <c r="N1281" s="31"/>
      <c r="X1281" s="35"/>
      <c r="Y1281" s="102"/>
      <c r="Z1281" s="104"/>
      <c r="AA1281" s="105"/>
    </row>
    <row r="1282" spans="12:27" ht="25" customHeight="1">
      <c r="L1282" s="31"/>
      <c r="M1282" s="31"/>
      <c r="N1282" s="31"/>
      <c r="X1282" s="35"/>
      <c r="Y1282" s="102"/>
      <c r="Z1282" s="104"/>
      <c r="AA1282" s="105"/>
    </row>
    <row r="1283" spans="12:27" ht="25" customHeight="1">
      <c r="L1283" s="31"/>
      <c r="M1283" s="31"/>
      <c r="N1283" s="31"/>
      <c r="X1283" s="35"/>
      <c r="Y1283" s="102"/>
      <c r="Z1283" s="104"/>
      <c r="AA1283" s="105"/>
    </row>
    <row r="1284" spans="12:27" ht="25" customHeight="1">
      <c r="L1284" s="31"/>
      <c r="M1284" s="31"/>
      <c r="N1284" s="31"/>
      <c r="X1284" s="35"/>
      <c r="Y1284" s="102"/>
      <c r="Z1284" s="104"/>
      <c r="AA1284" s="105"/>
    </row>
    <row r="1285" spans="12:27" ht="25" customHeight="1">
      <c r="L1285" s="31"/>
      <c r="M1285" s="31"/>
      <c r="N1285" s="31"/>
      <c r="X1285" s="35"/>
      <c r="Y1285" s="102"/>
      <c r="Z1285" s="104"/>
      <c r="AA1285" s="105"/>
    </row>
    <row r="1286" spans="12:27" ht="25" customHeight="1">
      <c r="L1286" s="31"/>
      <c r="M1286" s="31"/>
      <c r="N1286" s="31"/>
      <c r="X1286" s="35"/>
      <c r="Y1286" s="102"/>
      <c r="Z1286" s="104"/>
      <c r="AA1286" s="105"/>
    </row>
    <row r="1287" spans="12:27" ht="25" customHeight="1">
      <c r="L1287" s="31"/>
      <c r="M1287" s="31"/>
      <c r="N1287" s="31"/>
      <c r="X1287" s="35"/>
      <c r="Y1287" s="102"/>
      <c r="Z1287" s="104"/>
      <c r="AA1287" s="105"/>
    </row>
    <row r="1288" spans="12:27" ht="25" customHeight="1">
      <c r="L1288" s="31"/>
      <c r="M1288" s="31"/>
      <c r="N1288" s="31"/>
      <c r="X1288" s="35"/>
      <c r="Y1288" s="102"/>
      <c r="Z1288" s="104"/>
      <c r="AA1288" s="105"/>
    </row>
    <row r="1289" spans="12:27" ht="25" customHeight="1">
      <c r="L1289" s="31"/>
      <c r="M1289" s="31"/>
      <c r="N1289" s="31"/>
      <c r="X1289" s="35"/>
      <c r="Y1289" s="102"/>
      <c r="Z1289" s="104"/>
      <c r="AA1289" s="105"/>
    </row>
    <row r="1290" spans="12:27" ht="25" customHeight="1">
      <c r="L1290" s="31"/>
      <c r="M1290" s="31"/>
      <c r="N1290" s="31"/>
      <c r="X1290" s="35"/>
      <c r="Y1290" s="102"/>
      <c r="Z1290" s="104"/>
      <c r="AA1290" s="105"/>
    </row>
    <row r="1291" spans="12:27" ht="25" customHeight="1">
      <c r="L1291" s="31"/>
      <c r="M1291" s="31"/>
      <c r="N1291" s="31"/>
      <c r="X1291" s="35"/>
      <c r="Y1291" s="102"/>
      <c r="Z1291" s="104"/>
      <c r="AA1291" s="105"/>
    </row>
    <row r="1292" spans="12:27" ht="25" customHeight="1">
      <c r="L1292" s="31"/>
      <c r="M1292" s="31"/>
      <c r="N1292" s="31"/>
      <c r="X1292" s="35"/>
      <c r="Y1292" s="102"/>
      <c r="Z1292" s="104"/>
      <c r="AA1292" s="105"/>
    </row>
    <row r="1293" spans="12:27" ht="25" customHeight="1">
      <c r="L1293" s="31"/>
      <c r="M1293" s="31"/>
      <c r="N1293" s="31"/>
      <c r="X1293" s="35"/>
      <c r="Y1293" s="102"/>
      <c r="Z1293" s="104"/>
      <c r="AA1293" s="105"/>
    </row>
    <row r="1294" spans="12:27" ht="25" customHeight="1">
      <c r="L1294" s="31"/>
      <c r="M1294" s="31"/>
      <c r="N1294" s="31"/>
      <c r="X1294" s="35"/>
      <c r="Y1294" s="102"/>
      <c r="Z1294" s="104"/>
      <c r="AA1294" s="105"/>
    </row>
    <row r="1295" spans="12:27" ht="25" customHeight="1">
      <c r="L1295" s="31"/>
      <c r="M1295" s="31"/>
      <c r="N1295" s="31"/>
      <c r="X1295" s="35"/>
      <c r="Y1295" s="102"/>
      <c r="Z1295" s="104"/>
      <c r="AA1295" s="105"/>
    </row>
    <row r="1296" spans="12:27" ht="25" customHeight="1">
      <c r="L1296" s="31"/>
      <c r="M1296" s="31"/>
      <c r="N1296" s="31"/>
      <c r="X1296" s="35"/>
      <c r="Y1296" s="102"/>
      <c r="Z1296" s="104"/>
      <c r="AA1296" s="105"/>
    </row>
    <row r="1297" spans="12:27" ht="25" customHeight="1">
      <c r="L1297" s="31"/>
      <c r="M1297" s="31"/>
      <c r="N1297" s="31"/>
      <c r="X1297" s="35"/>
      <c r="Y1297" s="102"/>
      <c r="Z1297" s="104"/>
      <c r="AA1297" s="105"/>
    </row>
    <row r="1298" spans="12:27" ht="25" customHeight="1">
      <c r="L1298" s="31"/>
      <c r="M1298" s="31"/>
      <c r="N1298" s="31"/>
      <c r="X1298" s="35"/>
      <c r="Y1298" s="102"/>
      <c r="Z1298" s="104"/>
      <c r="AA1298" s="105"/>
    </row>
    <row r="1299" spans="12:27" ht="25" customHeight="1">
      <c r="L1299" s="31"/>
      <c r="M1299" s="31"/>
      <c r="N1299" s="31"/>
      <c r="X1299" s="35"/>
      <c r="Y1299" s="102"/>
      <c r="Z1299" s="104"/>
      <c r="AA1299" s="105"/>
    </row>
    <row r="1300" spans="12:27" ht="25" customHeight="1">
      <c r="L1300" s="31"/>
      <c r="M1300" s="31"/>
      <c r="N1300" s="31"/>
      <c r="X1300" s="35"/>
      <c r="Y1300" s="102"/>
      <c r="Z1300" s="104"/>
      <c r="AA1300" s="105"/>
    </row>
    <row r="1301" spans="12:27" ht="25" customHeight="1">
      <c r="L1301" s="31"/>
      <c r="M1301" s="31"/>
      <c r="N1301" s="31"/>
      <c r="X1301" s="35"/>
      <c r="Y1301" s="102"/>
      <c r="Z1301" s="104"/>
      <c r="AA1301" s="105"/>
    </row>
    <row r="1302" spans="12:27" ht="25" customHeight="1">
      <c r="L1302" s="31"/>
      <c r="M1302" s="31"/>
      <c r="N1302" s="31"/>
      <c r="X1302" s="35"/>
      <c r="Y1302" s="102"/>
      <c r="Z1302" s="104"/>
      <c r="AA1302" s="105"/>
    </row>
    <row r="1303" spans="12:27" ht="25" customHeight="1">
      <c r="L1303" s="31"/>
      <c r="M1303" s="31"/>
      <c r="N1303" s="31"/>
      <c r="X1303" s="35"/>
      <c r="Y1303" s="102"/>
      <c r="Z1303" s="104"/>
      <c r="AA1303" s="105"/>
    </row>
    <row r="1304" spans="12:27" ht="25" customHeight="1">
      <c r="L1304" s="31"/>
      <c r="M1304" s="31"/>
      <c r="N1304" s="31"/>
      <c r="X1304" s="35"/>
      <c r="Y1304" s="102"/>
      <c r="Z1304" s="104"/>
      <c r="AA1304" s="105"/>
    </row>
    <row r="1305" spans="12:27" ht="25" customHeight="1">
      <c r="L1305" s="31"/>
      <c r="M1305" s="31"/>
      <c r="N1305" s="31"/>
      <c r="X1305" s="35"/>
      <c r="Y1305" s="102"/>
      <c r="Z1305" s="104"/>
      <c r="AA1305" s="105"/>
    </row>
    <row r="1306" spans="12:27" ht="25" customHeight="1">
      <c r="L1306" s="31"/>
      <c r="M1306" s="31"/>
      <c r="N1306" s="31"/>
      <c r="X1306" s="35"/>
      <c r="Y1306" s="102"/>
    </row>
    <row r="1307" spans="12:27" ht="25" customHeight="1">
      <c r="L1307" s="31"/>
      <c r="M1307" s="31"/>
      <c r="N1307" s="31"/>
      <c r="X1307" s="35"/>
      <c r="Y1307" s="102"/>
    </row>
    <row r="1308" spans="12:27" ht="25" customHeight="1">
      <c r="L1308" s="31"/>
      <c r="M1308" s="31"/>
      <c r="N1308" s="31"/>
      <c r="X1308" s="35"/>
      <c r="Y1308" s="102"/>
    </row>
    <row r="1309" spans="12:27" ht="25" customHeight="1">
      <c r="L1309" s="31"/>
      <c r="M1309" s="31"/>
      <c r="N1309" s="31"/>
      <c r="X1309" s="35"/>
      <c r="Y1309" s="102"/>
    </row>
    <row r="1310" spans="12:27" ht="25" customHeight="1">
      <c r="L1310" s="31"/>
      <c r="M1310" s="31"/>
      <c r="N1310" s="31"/>
      <c r="X1310" s="35"/>
      <c r="Y1310" s="102"/>
    </row>
    <row r="1311" spans="12:27" ht="25" customHeight="1">
      <c r="L1311" s="31"/>
      <c r="M1311" s="31"/>
      <c r="N1311" s="31"/>
      <c r="X1311" s="35"/>
      <c r="Y1311" s="102"/>
    </row>
    <row r="1312" spans="12:27" ht="25" customHeight="1">
      <c r="L1312" s="31"/>
      <c r="M1312" s="31"/>
      <c r="N1312" s="31"/>
      <c r="X1312" s="35"/>
      <c r="Y1312" s="102"/>
    </row>
    <row r="1313" spans="12:25" ht="25" customHeight="1">
      <c r="L1313" s="31"/>
      <c r="M1313" s="31"/>
      <c r="N1313" s="31"/>
      <c r="X1313" s="35"/>
      <c r="Y1313" s="102"/>
    </row>
    <row r="1314" spans="12:25" ht="25" customHeight="1">
      <c r="L1314" s="31"/>
      <c r="M1314" s="31"/>
      <c r="N1314" s="31"/>
      <c r="X1314" s="35"/>
      <c r="Y1314" s="102"/>
    </row>
    <row r="1315" spans="12:25" ht="25" customHeight="1">
      <c r="L1315" s="31"/>
      <c r="M1315" s="31"/>
      <c r="N1315" s="31"/>
      <c r="X1315" s="35"/>
      <c r="Y1315" s="102"/>
    </row>
    <row r="1316" spans="12:25" ht="25" customHeight="1">
      <c r="L1316" s="31"/>
      <c r="M1316" s="31"/>
      <c r="N1316" s="31"/>
      <c r="X1316" s="35"/>
      <c r="Y1316" s="102"/>
    </row>
    <row r="1317" spans="12:25" ht="25" customHeight="1">
      <c r="L1317" s="31"/>
      <c r="M1317" s="31"/>
      <c r="N1317" s="31"/>
      <c r="X1317" s="35"/>
      <c r="Y1317" s="102"/>
    </row>
    <row r="1318" spans="12:25" ht="25" customHeight="1">
      <c r="L1318" s="31"/>
      <c r="M1318" s="31"/>
      <c r="N1318" s="31"/>
      <c r="X1318" s="35"/>
      <c r="Y1318" s="102"/>
    </row>
    <row r="1319" spans="12:25" ht="25" customHeight="1">
      <c r="L1319" s="31"/>
      <c r="M1319" s="31"/>
      <c r="N1319" s="31"/>
      <c r="X1319" s="35"/>
      <c r="Y1319" s="102"/>
    </row>
    <row r="1320" spans="12:25" ht="25" customHeight="1">
      <c r="L1320" s="31"/>
      <c r="M1320" s="31"/>
      <c r="N1320" s="31"/>
      <c r="X1320" s="35"/>
      <c r="Y1320" s="102"/>
    </row>
    <row r="1321" spans="12:25" ht="25" customHeight="1">
      <c r="L1321" s="31"/>
      <c r="M1321" s="31"/>
      <c r="N1321" s="31"/>
      <c r="X1321" s="35"/>
      <c r="Y1321" s="102"/>
    </row>
    <row r="1322" spans="12:25" ht="25" customHeight="1">
      <c r="L1322" s="31"/>
      <c r="M1322" s="31"/>
      <c r="N1322" s="31"/>
      <c r="X1322" s="35"/>
      <c r="Y1322" s="102"/>
    </row>
    <row r="1323" spans="12:25" ht="25" customHeight="1">
      <c r="L1323" s="31"/>
      <c r="M1323" s="31"/>
      <c r="N1323" s="31"/>
      <c r="X1323" s="35"/>
      <c r="Y1323" s="102"/>
    </row>
    <row r="1324" spans="12:25" ht="25" customHeight="1">
      <c r="L1324" s="31"/>
      <c r="M1324" s="31"/>
      <c r="N1324" s="31"/>
      <c r="X1324" s="35"/>
      <c r="Y1324" s="102"/>
    </row>
    <row r="1325" spans="12:25" ht="25" customHeight="1">
      <c r="L1325" s="31"/>
      <c r="M1325" s="31"/>
      <c r="N1325" s="31"/>
      <c r="X1325" s="35"/>
      <c r="Y1325" s="102"/>
    </row>
    <row r="1326" spans="12:25" ht="25" customHeight="1">
      <c r="L1326" s="31"/>
      <c r="M1326" s="31"/>
      <c r="N1326" s="31"/>
      <c r="X1326" s="35"/>
      <c r="Y1326" s="102"/>
    </row>
    <row r="1327" spans="12:25" ht="25" customHeight="1">
      <c r="L1327" s="31"/>
      <c r="M1327" s="31"/>
      <c r="N1327" s="31"/>
      <c r="X1327" s="35"/>
      <c r="Y1327" s="102"/>
    </row>
    <row r="1328" spans="12:25" ht="25" customHeight="1">
      <c r="L1328" s="31"/>
      <c r="M1328" s="31"/>
      <c r="N1328" s="31"/>
      <c r="X1328" s="35"/>
      <c r="Y1328" s="102"/>
    </row>
    <row r="1329" spans="12:25" ht="25" customHeight="1">
      <c r="L1329" s="31"/>
      <c r="M1329" s="31"/>
      <c r="N1329" s="31"/>
      <c r="X1329" s="35"/>
      <c r="Y1329" s="102"/>
    </row>
    <row r="1330" spans="12:25" ht="25" customHeight="1">
      <c r="L1330" s="31"/>
      <c r="M1330" s="31"/>
      <c r="N1330" s="31"/>
      <c r="X1330" s="35"/>
      <c r="Y1330" s="102"/>
    </row>
    <row r="1331" spans="12:25" ht="25" customHeight="1">
      <c r="L1331" s="31"/>
      <c r="M1331" s="31"/>
      <c r="N1331" s="31"/>
      <c r="X1331" s="35"/>
      <c r="Y1331" s="102"/>
    </row>
    <row r="1332" spans="12:25" ht="25" customHeight="1">
      <c r="L1332" s="31"/>
      <c r="M1332" s="31"/>
      <c r="N1332" s="31"/>
      <c r="X1332" s="35"/>
      <c r="Y1332" s="102"/>
    </row>
    <row r="1333" spans="12:25" ht="25" customHeight="1">
      <c r="L1333" s="31"/>
      <c r="M1333" s="31"/>
      <c r="N1333" s="31"/>
      <c r="X1333" s="35"/>
      <c r="Y1333" s="102"/>
    </row>
    <row r="1334" spans="12:25" ht="25" customHeight="1">
      <c r="L1334" s="31"/>
      <c r="M1334" s="31"/>
      <c r="N1334" s="31"/>
      <c r="X1334" s="35"/>
      <c r="Y1334" s="102"/>
    </row>
    <row r="1335" spans="12:25" ht="25" customHeight="1">
      <c r="L1335" s="31"/>
      <c r="M1335" s="31"/>
      <c r="N1335" s="31"/>
      <c r="X1335" s="35"/>
      <c r="Y1335" s="102"/>
    </row>
    <row r="1336" spans="12:25" ht="25" customHeight="1">
      <c r="L1336" s="31"/>
      <c r="M1336" s="31"/>
      <c r="N1336" s="31"/>
      <c r="X1336" s="35"/>
      <c r="Y1336" s="102"/>
    </row>
    <row r="1337" spans="12:25" ht="25" customHeight="1">
      <c r="L1337" s="31"/>
      <c r="M1337" s="31"/>
      <c r="N1337" s="31"/>
      <c r="X1337" s="35"/>
      <c r="Y1337" s="102"/>
    </row>
    <row r="1338" spans="12:25" ht="25" customHeight="1">
      <c r="L1338" s="31"/>
      <c r="M1338" s="31"/>
      <c r="N1338" s="31"/>
      <c r="X1338" s="35"/>
      <c r="Y1338" s="102"/>
    </row>
    <row r="1339" spans="12:25" ht="25" customHeight="1">
      <c r="L1339" s="31"/>
      <c r="M1339" s="31"/>
      <c r="N1339" s="31"/>
      <c r="X1339" s="35"/>
      <c r="Y1339" s="102"/>
    </row>
    <row r="1340" spans="12:25" ht="25" customHeight="1">
      <c r="L1340" s="31"/>
      <c r="M1340" s="31"/>
      <c r="N1340" s="31"/>
      <c r="X1340" s="35"/>
      <c r="Y1340" s="102"/>
    </row>
    <row r="1341" spans="12:25" ht="25" customHeight="1">
      <c r="L1341" s="31"/>
      <c r="M1341" s="31"/>
      <c r="N1341" s="31"/>
      <c r="X1341" s="35"/>
      <c r="Y1341" s="102"/>
    </row>
    <row r="1342" spans="12:25" ht="25" customHeight="1">
      <c r="L1342" s="31"/>
      <c r="M1342" s="31"/>
      <c r="N1342" s="31"/>
      <c r="X1342" s="35"/>
      <c r="Y1342" s="102"/>
    </row>
    <row r="1343" spans="12:25" ht="25" customHeight="1">
      <c r="L1343" s="31"/>
      <c r="M1343" s="31"/>
      <c r="N1343" s="31"/>
      <c r="X1343" s="35"/>
      <c r="Y1343" s="102"/>
    </row>
    <row r="1344" spans="12:25" ht="25" customHeight="1">
      <c r="L1344" s="31"/>
      <c r="M1344" s="31"/>
      <c r="N1344" s="31"/>
      <c r="X1344" s="35"/>
      <c r="Y1344" s="102"/>
    </row>
    <row r="1345" spans="12:25" ht="25" customHeight="1">
      <c r="L1345" s="31"/>
      <c r="M1345" s="31"/>
      <c r="N1345" s="31"/>
      <c r="X1345" s="35"/>
      <c r="Y1345" s="102"/>
    </row>
    <row r="1346" spans="12:25" ht="25" customHeight="1">
      <c r="L1346" s="31"/>
      <c r="M1346" s="31"/>
      <c r="N1346" s="31"/>
      <c r="X1346" s="35"/>
      <c r="Y1346" s="102"/>
    </row>
    <row r="1347" spans="12:25" ht="25" customHeight="1">
      <c r="L1347" s="31"/>
      <c r="M1347" s="31"/>
      <c r="N1347" s="31"/>
      <c r="X1347" s="35"/>
      <c r="Y1347" s="102"/>
    </row>
    <row r="1348" spans="12:25" ht="25" customHeight="1">
      <c r="L1348" s="31"/>
      <c r="M1348" s="31"/>
      <c r="N1348" s="31"/>
      <c r="X1348" s="35"/>
      <c r="Y1348" s="102"/>
    </row>
    <row r="1349" spans="12:25" ht="25" customHeight="1">
      <c r="L1349" s="31"/>
      <c r="M1349" s="31"/>
      <c r="N1349" s="31"/>
      <c r="X1349" s="35"/>
      <c r="Y1349" s="102"/>
    </row>
    <row r="1350" spans="12:25" ht="25" customHeight="1">
      <c r="L1350" s="31"/>
      <c r="M1350" s="31"/>
      <c r="N1350" s="31"/>
      <c r="X1350" s="35"/>
      <c r="Y1350" s="102"/>
    </row>
    <row r="1351" spans="12:25" ht="25" customHeight="1">
      <c r="L1351" s="31"/>
      <c r="M1351" s="31"/>
      <c r="N1351" s="31"/>
      <c r="X1351" s="35"/>
      <c r="Y1351" s="102"/>
    </row>
    <row r="1352" spans="12:25" ht="25" customHeight="1">
      <c r="L1352" s="31"/>
      <c r="M1352" s="31"/>
      <c r="N1352" s="31"/>
      <c r="X1352" s="35"/>
      <c r="Y1352" s="102"/>
    </row>
    <row r="1353" spans="12:25" ht="25" customHeight="1">
      <c r="L1353" s="31"/>
      <c r="M1353" s="31"/>
      <c r="N1353" s="31"/>
      <c r="X1353" s="35"/>
      <c r="Y1353" s="102"/>
    </row>
    <row r="1354" spans="12:25" ht="25" customHeight="1">
      <c r="L1354" s="31"/>
      <c r="M1354" s="31"/>
      <c r="N1354" s="31"/>
      <c r="X1354" s="35"/>
      <c r="Y1354" s="102"/>
    </row>
    <row r="1355" spans="12:25" ht="25" customHeight="1">
      <c r="L1355" s="31"/>
      <c r="M1355" s="31"/>
      <c r="N1355" s="31"/>
      <c r="X1355" s="35"/>
      <c r="Y1355" s="102"/>
    </row>
    <row r="1356" spans="12:25" ht="25" customHeight="1">
      <c r="L1356" s="31"/>
      <c r="M1356" s="31"/>
      <c r="N1356" s="31"/>
      <c r="X1356" s="35"/>
      <c r="Y1356" s="102"/>
    </row>
    <row r="1357" spans="12:25" ht="25" customHeight="1">
      <c r="L1357" s="31"/>
      <c r="M1357" s="31"/>
      <c r="N1357" s="31"/>
      <c r="X1357" s="35"/>
      <c r="Y1357" s="102"/>
    </row>
    <row r="1358" spans="12:25" ht="25" customHeight="1">
      <c r="L1358" s="31"/>
      <c r="M1358" s="31"/>
      <c r="N1358" s="31"/>
      <c r="X1358" s="35"/>
      <c r="Y1358" s="102"/>
    </row>
    <row r="1359" spans="12:25" ht="25" customHeight="1">
      <c r="L1359" s="31"/>
      <c r="M1359" s="31"/>
      <c r="N1359" s="31"/>
      <c r="X1359" s="35"/>
      <c r="Y1359" s="102"/>
    </row>
    <row r="1360" spans="12:25" ht="25" customHeight="1">
      <c r="L1360" s="31"/>
      <c r="M1360" s="31"/>
      <c r="N1360" s="31"/>
      <c r="X1360" s="35"/>
      <c r="Y1360" s="102"/>
    </row>
    <row r="1361" spans="12:25" ht="25" customHeight="1">
      <c r="L1361" s="31"/>
      <c r="M1361" s="31"/>
      <c r="N1361" s="31"/>
      <c r="X1361" s="35"/>
      <c r="Y1361" s="102"/>
    </row>
    <row r="1362" spans="12:25" ht="25" customHeight="1">
      <c r="L1362" s="31"/>
      <c r="M1362" s="31"/>
      <c r="N1362" s="31"/>
      <c r="X1362" s="35"/>
      <c r="Y1362" s="102"/>
    </row>
    <row r="1363" spans="12:25" ht="25" customHeight="1">
      <c r="L1363" s="31"/>
      <c r="M1363" s="31"/>
      <c r="N1363" s="31"/>
      <c r="X1363" s="35"/>
      <c r="Y1363" s="102"/>
    </row>
    <row r="1364" spans="12:25" ht="25" customHeight="1">
      <c r="L1364" s="31"/>
      <c r="M1364" s="31"/>
      <c r="N1364" s="31"/>
      <c r="X1364" s="35"/>
      <c r="Y1364" s="102"/>
    </row>
    <row r="1365" spans="12:25" ht="25" customHeight="1">
      <c r="L1365" s="31"/>
      <c r="M1365" s="31"/>
      <c r="N1365" s="31"/>
      <c r="X1365" s="35"/>
      <c r="Y1365" s="102"/>
    </row>
    <row r="1366" spans="12:25" ht="25" customHeight="1">
      <c r="L1366" s="31"/>
      <c r="M1366" s="31"/>
      <c r="N1366" s="31"/>
      <c r="X1366" s="35"/>
      <c r="Y1366" s="102"/>
    </row>
    <row r="1367" spans="12:25" ht="25" customHeight="1">
      <c r="L1367" s="31"/>
      <c r="M1367" s="31"/>
      <c r="N1367" s="31"/>
      <c r="X1367" s="35"/>
      <c r="Y1367" s="102"/>
    </row>
    <row r="1368" spans="12:25" ht="25" customHeight="1">
      <c r="L1368" s="31"/>
      <c r="M1368" s="31"/>
      <c r="N1368" s="31"/>
      <c r="X1368" s="35"/>
      <c r="Y1368" s="102"/>
    </row>
    <row r="1369" spans="12:25" ht="25" customHeight="1">
      <c r="L1369" s="31"/>
      <c r="M1369" s="31"/>
      <c r="N1369" s="31"/>
      <c r="X1369" s="35"/>
      <c r="Y1369" s="102"/>
    </row>
    <row r="1370" spans="12:25" ht="25" customHeight="1">
      <c r="L1370" s="31"/>
      <c r="M1370" s="31"/>
      <c r="N1370" s="31"/>
      <c r="X1370" s="35"/>
      <c r="Y1370" s="102"/>
    </row>
    <row r="1371" spans="12:25" ht="25" customHeight="1">
      <c r="L1371" s="31"/>
      <c r="M1371" s="31"/>
      <c r="N1371" s="31"/>
      <c r="X1371" s="35"/>
      <c r="Y1371" s="102"/>
    </row>
    <row r="1372" spans="12:25" ht="25" customHeight="1">
      <c r="L1372" s="31"/>
      <c r="M1372" s="31"/>
      <c r="N1372" s="31"/>
      <c r="X1372" s="35"/>
      <c r="Y1372" s="102"/>
    </row>
    <row r="1373" spans="12:25" ht="25" customHeight="1">
      <c r="L1373" s="31"/>
      <c r="M1373" s="31"/>
      <c r="N1373" s="31"/>
      <c r="X1373" s="35"/>
      <c r="Y1373" s="102"/>
    </row>
    <row r="1374" spans="12:25" ht="25" customHeight="1">
      <c r="L1374" s="31"/>
      <c r="M1374" s="31"/>
      <c r="N1374" s="31"/>
      <c r="X1374" s="35"/>
      <c r="Y1374" s="102"/>
    </row>
    <row r="1375" spans="12:25" ht="25" customHeight="1">
      <c r="L1375" s="31"/>
      <c r="M1375" s="31"/>
      <c r="N1375" s="31"/>
      <c r="X1375" s="35"/>
      <c r="Y1375" s="102"/>
    </row>
    <row r="1376" spans="12:25" ht="25" customHeight="1">
      <c r="L1376" s="31"/>
      <c r="M1376" s="31"/>
      <c r="N1376" s="31"/>
      <c r="X1376" s="35"/>
      <c r="Y1376" s="102"/>
    </row>
    <row r="1377" spans="12:25" ht="25" customHeight="1">
      <c r="L1377" s="31"/>
      <c r="M1377" s="31"/>
      <c r="N1377" s="31"/>
      <c r="X1377" s="35"/>
      <c r="Y1377" s="102"/>
    </row>
    <row r="1378" spans="12:25" ht="25" customHeight="1">
      <c r="L1378" s="31"/>
      <c r="M1378" s="31"/>
      <c r="N1378" s="31"/>
      <c r="X1378" s="35"/>
      <c r="Y1378" s="102"/>
    </row>
    <row r="1379" spans="12:25" ht="25" customHeight="1">
      <c r="L1379" s="31"/>
      <c r="M1379" s="31"/>
      <c r="N1379" s="31"/>
      <c r="X1379" s="35"/>
      <c r="Y1379" s="102"/>
    </row>
    <row r="1380" spans="12:25" ht="25" customHeight="1">
      <c r="L1380" s="31"/>
      <c r="M1380" s="31"/>
      <c r="N1380" s="31"/>
      <c r="X1380" s="35"/>
      <c r="Y1380" s="102"/>
    </row>
    <row r="1381" spans="12:25" ht="25" customHeight="1">
      <c r="L1381" s="31"/>
      <c r="M1381" s="31"/>
      <c r="N1381" s="31"/>
      <c r="X1381" s="35"/>
      <c r="Y1381" s="102"/>
    </row>
    <row r="1382" spans="12:25" ht="25" customHeight="1">
      <c r="L1382" s="31"/>
      <c r="M1382" s="31"/>
      <c r="N1382" s="31"/>
      <c r="X1382" s="35"/>
      <c r="Y1382" s="102"/>
    </row>
    <row r="1383" spans="12:25" ht="25" customHeight="1">
      <c r="L1383" s="31"/>
      <c r="M1383" s="31"/>
      <c r="N1383" s="31"/>
      <c r="X1383" s="35"/>
      <c r="Y1383" s="102"/>
    </row>
    <row r="1384" spans="12:25" ht="25" customHeight="1">
      <c r="L1384" s="31"/>
      <c r="M1384" s="31"/>
      <c r="N1384" s="31"/>
      <c r="X1384" s="35"/>
      <c r="Y1384" s="102"/>
    </row>
    <row r="1385" spans="12:25" ht="25" customHeight="1">
      <c r="L1385" s="31"/>
      <c r="M1385" s="31"/>
      <c r="N1385" s="31"/>
      <c r="X1385" s="35"/>
      <c r="Y1385" s="102"/>
    </row>
    <row r="1386" spans="12:25" ht="25" customHeight="1">
      <c r="L1386" s="31"/>
      <c r="M1386" s="31"/>
      <c r="N1386" s="31"/>
      <c r="X1386" s="35"/>
      <c r="Y1386" s="102"/>
    </row>
    <row r="1387" spans="12:25" ht="25" customHeight="1">
      <c r="L1387" s="31"/>
      <c r="M1387" s="31"/>
      <c r="N1387" s="31"/>
      <c r="X1387" s="35"/>
      <c r="Y1387" s="102"/>
    </row>
    <row r="1388" spans="12:25" ht="25" customHeight="1">
      <c r="L1388" s="31"/>
      <c r="M1388" s="31"/>
      <c r="N1388" s="31"/>
      <c r="X1388" s="35"/>
      <c r="Y1388" s="102"/>
    </row>
    <row r="1389" spans="12:25" ht="25" customHeight="1">
      <c r="L1389" s="31"/>
      <c r="M1389" s="31"/>
      <c r="N1389" s="31"/>
      <c r="X1389" s="35"/>
      <c r="Y1389" s="102"/>
    </row>
    <row r="1390" spans="12:25" ht="25" customHeight="1">
      <c r="L1390" s="31"/>
      <c r="M1390" s="31"/>
      <c r="N1390" s="31"/>
      <c r="X1390" s="35"/>
      <c r="Y1390" s="102"/>
    </row>
    <row r="1391" spans="12:25" ht="25" customHeight="1">
      <c r="L1391" s="31"/>
      <c r="M1391" s="31"/>
      <c r="N1391" s="31"/>
      <c r="X1391" s="35"/>
      <c r="Y1391" s="102"/>
    </row>
    <row r="1392" spans="12:25" ht="25" customHeight="1">
      <c r="L1392" s="31"/>
      <c r="M1392" s="31"/>
      <c r="N1392" s="31"/>
      <c r="X1392" s="35"/>
      <c r="Y1392" s="102"/>
    </row>
    <row r="1393" spans="12:25" ht="25" customHeight="1">
      <c r="L1393" s="31"/>
      <c r="M1393" s="31"/>
      <c r="N1393" s="31"/>
      <c r="X1393" s="35"/>
      <c r="Y1393" s="102"/>
    </row>
    <row r="1394" spans="12:25" ht="25" customHeight="1">
      <c r="L1394" s="31"/>
      <c r="M1394" s="31"/>
      <c r="N1394" s="31"/>
      <c r="X1394" s="35"/>
      <c r="Y1394" s="102"/>
    </row>
    <row r="1395" spans="12:25" ht="25" customHeight="1">
      <c r="L1395" s="31"/>
      <c r="M1395" s="31"/>
      <c r="N1395" s="31"/>
      <c r="X1395" s="35"/>
      <c r="Y1395" s="102"/>
    </row>
    <row r="1396" spans="12:25" ht="25" customHeight="1">
      <c r="L1396" s="31"/>
      <c r="M1396" s="31"/>
      <c r="N1396" s="31"/>
      <c r="X1396" s="35"/>
      <c r="Y1396" s="102"/>
    </row>
    <row r="1397" spans="12:25" ht="25" customHeight="1">
      <c r="L1397" s="31"/>
      <c r="M1397" s="31"/>
      <c r="N1397" s="31"/>
      <c r="X1397" s="35"/>
      <c r="Y1397" s="102"/>
    </row>
    <row r="1398" spans="12:25" ht="25" customHeight="1">
      <c r="L1398" s="31"/>
      <c r="M1398" s="31"/>
      <c r="N1398" s="31"/>
      <c r="X1398" s="35"/>
      <c r="Y1398" s="102"/>
    </row>
    <row r="1399" spans="12:25" ht="25" customHeight="1">
      <c r="L1399" s="31"/>
      <c r="M1399" s="31"/>
      <c r="N1399" s="31"/>
      <c r="X1399" s="35"/>
      <c r="Y1399" s="102"/>
    </row>
    <row r="1400" spans="12:25" ht="25" customHeight="1">
      <c r="L1400" s="31"/>
      <c r="M1400" s="31"/>
      <c r="N1400" s="31"/>
      <c r="X1400" s="35"/>
      <c r="Y1400" s="102"/>
    </row>
    <row r="1401" spans="12:25" ht="25" customHeight="1">
      <c r="L1401" s="31"/>
      <c r="M1401" s="31"/>
      <c r="N1401" s="31"/>
      <c r="X1401" s="35"/>
      <c r="Y1401" s="102"/>
    </row>
    <row r="1402" spans="12:25" ht="25" customHeight="1">
      <c r="L1402" s="31"/>
      <c r="M1402" s="31"/>
      <c r="N1402" s="31"/>
      <c r="X1402" s="35"/>
      <c r="Y1402" s="102"/>
    </row>
    <row r="1403" spans="12:25" ht="25" customHeight="1">
      <c r="L1403" s="31"/>
      <c r="M1403" s="31"/>
      <c r="N1403" s="31"/>
      <c r="X1403" s="35"/>
      <c r="Y1403" s="102"/>
    </row>
    <row r="1404" spans="12:25" ht="25" customHeight="1">
      <c r="L1404" s="31"/>
      <c r="M1404" s="31"/>
      <c r="N1404" s="31"/>
      <c r="X1404" s="35"/>
      <c r="Y1404" s="102"/>
    </row>
    <row r="1405" spans="12:25" ht="25" customHeight="1">
      <c r="L1405" s="31"/>
      <c r="M1405" s="31"/>
      <c r="N1405" s="31"/>
      <c r="X1405" s="35"/>
      <c r="Y1405" s="102"/>
    </row>
    <row r="1406" spans="12:25" ht="25" customHeight="1">
      <c r="L1406" s="31"/>
      <c r="M1406" s="31"/>
      <c r="N1406" s="31"/>
      <c r="X1406" s="35"/>
      <c r="Y1406" s="102"/>
    </row>
    <row r="1407" spans="12:25" ht="25" customHeight="1">
      <c r="L1407" s="31"/>
      <c r="M1407" s="31"/>
      <c r="N1407" s="31"/>
      <c r="X1407" s="35"/>
      <c r="Y1407" s="102"/>
    </row>
    <row r="1408" spans="12:25" ht="25" customHeight="1">
      <c r="L1408" s="31"/>
      <c r="M1408" s="31"/>
      <c r="N1408" s="31"/>
      <c r="X1408" s="35"/>
      <c r="Y1408" s="102"/>
    </row>
    <row r="1409" spans="12:25" ht="25" customHeight="1">
      <c r="L1409" s="31"/>
      <c r="M1409" s="31"/>
      <c r="N1409" s="31"/>
      <c r="X1409" s="35"/>
      <c r="Y1409" s="102"/>
    </row>
    <row r="1410" spans="12:25" ht="25" customHeight="1">
      <c r="L1410" s="31"/>
      <c r="M1410" s="31"/>
      <c r="N1410" s="31"/>
      <c r="X1410" s="35"/>
      <c r="Y1410" s="102"/>
    </row>
    <row r="1411" spans="12:25" ht="25" customHeight="1">
      <c r="L1411" s="31"/>
      <c r="M1411" s="31"/>
      <c r="N1411" s="31"/>
      <c r="X1411" s="35"/>
      <c r="Y1411" s="102"/>
    </row>
    <row r="1412" spans="12:25" ht="25" customHeight="1">
      <c r="L1412" s="31"/>
      <c r="M1412" s="31"/>
      <c r="N1412" s="31"/>
      <c r="X1412" s="35"/>
      <c r="Y1412" s="102"/>
    </row>
    <row r="1413" spans="12:25" ht="25" customHeight="1">
      <c r="L1413" s="31"/>
      <c r="M1413" s="31"/>
      <c r="N1413" s="31"/>
      <c r="X1413" s="35"/>
      <c r="Y1413" s="102"/>
    </row>
    <row r="1414" spans="12:25" ht="25" customHeight="1">
      <c r="L1414" s="31"/>
      <c r="M1414" s="31"/>
      <c r="N1414" s="31"/>
      <c r="X1414" s="35"/>
      <c r="Y1414" s="102"/>
    </row>
    <row r="1415" spans="12:25" ht="25" customHeight="1">
      <c r="L1415" s="31"/>
      <c r="M1415" s="31"/>
      <c r="N1415" s="31"/>
      <c r="X1415" s="35"/>
      <c r="Y1415" s="102"/>
    </row>
    <row r="1416" spans="12:25" ht="25" customHeight="1">
      <c r="L1416" s="31"/>
      <c r="M1416" s="31"/>
      <c r="N1416" s="31"/>
      <c r="X1416" s="35"/>
      <c r="Y1416" s="102"/>
    </row>
    <row r="1417" spans="12:25" ht="25" customHeight="1">
      <c r="L1417" s="31"/>
      <c r="M1417" s="31"/>
      <c r="N1417" s="31"/>
      <c r="X1417" s="35"/>
      <c r="Y1417" s="102"/>
    </row>
    <row r="1418" spans="12:25" ht="25" customHeight="1">
      <c r="L1418" s="31"/>
      <c r="M1418" s="31"/>
      <c r="N1418" s="31"/>
      <c r="X1418" s="35"/>
      <c r="Y1418" s="102"/>
    </row>
    <row r="1419" spans="12:25" ht="25" customHeight="1">
      <c r="L1419" s="31"/>
      <c r="M1419" s="31"/>
      <c r="N1419" s="31"/>
      <c r="X1419" s="35"/>
      <c r="Y1419" s="102"/>
    </row>
    <row r="1420" spans="12:25" ht="25" customHeight="1">
      <c r="L1420" s="31"/>
      <c r="M1420" s="31"/>
      <c r="N1420" s="31"/>
      <c r="X1420" s="35"/>
      <c r="Y1420" s="102"/>
    </row>
    <row r="1421" spans="12:25" ht="25" customHeight="1">
      <c r="L1421" s="31"/>
      <c r="M1421" s="31"/>
      <c r="N1421" s="31"/>
      <c r="X1421" s="35"/>
      <c r="Y1421" s="102"/>
    </row>
    <row r="1422" spans="12:25" ht="25" customHeight="1">
      <c r="L1422" s="31"/>
      <c r="M1422" s="31"/>
      <c r="N1422" s="31"/>
      <c r="X1422" s="35"/>
      <c r="Y1422" s="102"/>
    </row>
    <row r="1423" spans="12:25" ht="25" customHeight="1">
      <c r="L1423" s="31"/>
      <c r="M1423" s="31"/>
      <c r="N1423" s="31"/>
      <c r="X1423" s="35"/>
      <c r="Y1423" s="102"/>
    </row>
    <row r="1424" spans="12:25" ht="25" customHeight="1">
      <c r="L1424" s="31"/>
      <c r="M1424" s="31"/>
      <c r="N1424" s="31"/>
      <c r="X1424" s="35"/>
      <c r="Y1424" s="102"/>
    </row>
    <row r="1425" spans="12:25" ht="25" customHeight="1">
      <c r="L1425" s="31"/>
      <c r="M1425" s="31"/>
      <c r="N1425" s="31"/>
      <c r="X1425" s="35"/>
      <c r="Y1425" s="102"/>
    </row>
    <row r="1426" spans="12:25" ht="25" customHeight="1">
      <c r="L1426" s="31"/>
      <c r="M1426" s="31"/>
      <c r="N1426" s="31"/>
      <c r="X1426" s="35"/>
      <c r="Y1426" s="102"/>
    </row>
    <row r="1427" spans="12:25" ht="25" customHeight="1">
      <c r="L1427" s="31"/>
      <c r="M1427" s="31"/>
      <c r="N1427" s="31"/>
      <c r="X1427" s="35"/>
      <c r="Y1427" s="102"/>
    </row>
    <row r="1428" spans="12:25" ht="25" customHeight="1">
      <c r="L1428" s="31"/>
      <c r="M1428" s="31"/>
      <c r="N1428" s="31"/>
      <c r="X1428" s="35"/>
      <c r="Y1428" s="102"/>
    </row>
    <row r="1429" spans="12:25" ht="25" customHeight="1">
      <c r="L1429" s="31"/>
      <c r="M1429" s="31"/>
      <c r="N1429" s="31"/>
      <c r="X1429" s="35"/>
      <c r="Y1429" s="102"/>
    </row>
    <row r="1430" spans="12:25" ht="25" customHeight="1">
      <c r="L1430" s="31"/>
      <c r="M1430" s="31"/>
      <c r="N1430" s="31"/>
      <c r="X1430" s="35"/>
      <c r="Y1430" s="102"/>
    </row>
    <row r="1431" spans="12:25" ht="25" customHeight="1">
      <c r="L1431" s="31"/>
      <c r="M1431" s="31"/>
      <c r="N1431" s="31"/>
      <c r="X1431" s="35"/>
      <c r="Y1431" s="102"/>
    </row>
    <row r="1432" spans="12:25" ht="25" customHeight="1">
      <c r="L1432" s="31"/>
      <c r="M1432" s="31"/>
      <c r="N1432" s="31"/>
      <c r="X1432" s="35"/>
      <c r="Y1432" s="102"/>
    </row>
    <row r="1433" spans="12:25" ht="25" customHeight="1">
      <c r="L1433" s="31"/>
      <c r="M1433" s="31"/>
      <c r="N1433" s="31"/>
      <c r="X1433" s="35"/>
      <c r="Y1433" s="102"/>
    </row>
    <row r="1434" spans="12:25" ht="25" customHeight="1">
      <c r="L1434" s="31"/>
      <c r="M1434" s="31"/>
      <c r="N1434" s="31"/>
      <c r="X1434" s="35"/>
      <c r="Y1434" s="102"/>
    </row>
    <row r="1435" spans="12:25" ht="25" customHeight="1">
      <c r="L1435" s="31"/>
      <c r="M1435" s="31"/>
      <c r="N1435" s="31"/>
      <c r="X1435" s="35"/>
      <c r="Y1435" s="102"/>
    </row>
    <row r="1436" spans="12:25" ht="25" customHeight="1">
      <c r="L1436" s="31"/>
      <c r="M1436" s="31"/>
      <c r="N1436" s="31"/>
      <c r="X1436" s="35"/>
      <c r="Y1436" s="102"/>
    </row>
    <row r="1437" spans="12:25" ht="25" customHeight="1">
      <c r="L1437" s="31"/>
      <c r="M1437" s="31"/>
      <c r="N1437" s="31"/>
      <c r="X1437" s="35"/>
      <c r="Y1437" s="102"/>
    </row>
    <row r="1438" spans="12:25" ht="25" customHeight="1">
      <c r="L1438" s="31"/>
      <c r="M1438" s="31"/>
      <c r="N1438" s="31"/>
      <c r="X1438" s="35"/>
      <c r="Y1438" s="102"/>
    </row>
    <row r="1439" spans="12:25" ht="25" customHeight="1">
      <c r="L1439" s="31"/>
      <c r="M1439" s="31"/>
      <c r="N1439" s="31"/>
      <c r="X1439" s="35"/>
      <c r="Y1439" s="102"/>
    </row>
    <row r="1440" spans="12:25" ht="25" customHeight="1">
      <c r="L1440" s="31"/>
      <c r="M1440" s="31"/>
      <c r="N1440" s="31"/>
      <c r="X1440" s="35"/>
      <c r="Y1440" s="102"/>
    </row>
    <row r="1441" spans="12:25" ht="25" customHeight="1">
      <c r="L1441" s="31"/>
      <c r="M1441" s="31"/>
      <c r="N1441" s="31"/>
      <c r="X1441" s="35"/>
      <c r="Y1441" s="102"/>
    </row>
    <row r="1442" spans="12:25" ht="25" customHeight="1">
      <c r="L1442" s="31"/>
      <c r="M1442" s="31"/>
      <c r="N1442" s="31"/>
      <c r="X1442" s="35"/>
      <c r="Y1442" s="102"/>
    </row>
    <row r="1443" spans="12:25" ht="25" customHeight="1">
      <c r="L1443" s="31"/>
      <c r="M1443" s="31"/>
      <c r="N1443" s="31"/>
      <c r="X1443" s="35"/>
      <c r="Y1443" s="102"/>
    </row>
    <row r="1444" spans="12:25" ht="25" customHeight="1">
      <c r="L1444" s="31"/>
      <c r="M1444" s="31"/>
      <c r="N1444" s="31"/>
      <c r="X1444" s="35"/>
      <c r="Y1444" s="102"/>
    </row>
    <row r="1445" spans="12:25" ht="25" customHeight="1">
      <c r="L1445" s="31"/>
      <c r="M1445" s="31"/>
      <c r="N1445" s="31"/>
      <c r="X1445" s="35"/>
      <c r="Y1445" s="102"/>
    </row>
    <row r="1446" spans="12:25" ht="25" customHeight="1">
      <c r="L1446" s="31"/>
      <c r="M1446" s="31"/>
      <c r="N1446" s="31"/>
      <c r="X1446" s="35"/>
      <c r="Y1446" s="102"/>
    </row>
    <row r="1447" spans="12:25" ht="25" customHeight="1">
      <c r="L1447" s="31"/>
      <c r="M1447" s="31"/>
      <c r="N1447" s="31"/>
      <c r="X1447" s="35"/>
      <c r="Y1447" s="102"/>
    </row>
    <row r="1448" spans="12:25" ht="25" customHeight="1">
      <c r="L1448" s="31"/>
      <c r="M1448" s="31"/>
      <c r="N1448" s="31"/>
      <c r="X1448" s="35"/>
      <c r="Y1448" s="102"/>
    </row>
    <row r="1449" spans="12:25" ht="25" customHeight="1">
      <c r="L1449" s="31"/>
      <c r="M1449" s="31"/>
      <c r="N1449" s="31"/>
      <c r="X1449" s="35"/>
      <c r="Y1449" s="102"/>
    </row>
    <row r="1450" spans="12:25" ht="25" customHeight="1">
      <c r="L1450" s="31"/>
      <c r="M1450" s="31"/>
      <c r="N1450" s="31"/>
      <c r="X1450" s="35"/>
      <c r="Y1450" s="102"/>
    </row>
    <row r="1451" spans="12:25" ht="25" customHeight="1">
      <c r="L1451" s="31"/>
      <c r="M1451" s="31"/>
      <c r="N1451" s="31"/>
      <c r="X1451" s="35"/>
      <c r="Y1451" s="102"/>
    </row>
    <row r="1452" spans="12:25" ht="25" customHeight="1">
      <c r="L1452" s="31"/>
      <c r="M1452" s="31"/>
      <c r="N1452" s="31"/>
      <c r="X1452" s="35"/>
      <c r="Y1452" s="102"/>
    </row>
    <row r="1453" spans="12:25" ht="25" customHeight="1">
      <c r="L1453" s="31"/>
      <c r="M1453" s="31"/>
      <c r="N1453" s="31"/>
      <c r="X1453" s="35"/>
      <c r="Y1453" s="102"/>
    </row>
    <row r="1454" spans="12:25" ht="25" customHeight="1">
      <c r="L1454" s="31"/>
      <c r="M1454" s="31"/>
      <c r="N1454" s="31"/>
      <c r="X1454" s="35"/>
      <c r="Y1454" s="102"/>
    </row>
    <row r="1455" spans="12:25" ht="25" customHeight="1">
      <c r="L1455" s="31"/>
      <c r="M1455" s="31"/>
      <c r="N1455" s="31"/>
      <c r="X1455" s="35"/>
      <c r="Y1455" s="102"/>
    </row>
    <row r="1456" spans="12:25" ht="25" customHeight="1">
      <c r="L1456" s="31"/>
      <c r="M1456" s="31"/>
      <c r="N1456" s="31"/>
      <c r="X1456" s="35"/>
      <c r="Y1456" s="102"/>
    </row>
    <row r="1457" spans="12:25" ht="25" customHeight="1">
      <c r="L1457" s="31"/>
      <c r="M1457" s="31"/>
      <c r="N1457" s="31"/>
      <c r="X1457" s="35"/>
      <c r="Y1457" s="102"/>
    </row>
    <row r="1458" spans="12:25" ht="25" customHeight="1">
      <c r="L1458" s="31"/>
      <c r="M1458" s="31"/>
      <c r="N1458" s="31"/>
      <c r="X1458" s="35"/>
      <c r="Y1458" s="102"/>
    </row>
    <row r="1459" spans="12:25" ht="25" customHeight="1">
      <c r="L1459" s="31"/>
      <c r="M1459" s="31"/>
      <c r="N1459" s="31"/>
      <c r="X1459" s="35"/>
      <c r="Y1459" s="102"/>
    </row>
    <row r="1460" spans="12:25" ht="25" customHeight="1">
      <c r="L1460" s="31"/>
      <c r="M1460" s="31"/>
      <c r="N1460" s="31"/>
      <c r="X1460" s="35"/>
      <c r="Y1460" s="102"/>
    </row>
    <row r="1461" spans="12:25" ht="25" customHeight="1">
      <c r="L1461" s="31"/>
      <c r="M1461" s="31"/>
      <c r="N1461" s="31"/>
      <c r="X1461" s="35"/>
      <c r="Y1461" s="102"/>
    </row>
    <row r="1462" spans="12:25" ht="25" customHeight="1">
      <c r="L1462" s="31"/>
      <c r="M1462" s="31"/>
      <c r="N1462" s="31"/>
      <c r="X1462" s="35"/>
      <c r="Y1462" s="102"/>
    </row>
    <row r="1463" spans="12:25" ht="25" customHeight="1">
      <c r="L1463" s="31"/>
      <c r="M1463" s="31"/>
      <c r="N1463" s="31"/>
      <c r="X1463" s="35"/>
      <c r="Y1463" s="102"/>
    </row>
    <row r="1464" spans="12:25" ht="25" customHeight="1">
      <c r="L1464" s="31"/>
      <c r="M1464" s="31"/>
      <c r="N1464" s="31"/>
      <c r="X1464" s="35"/>
      <c r="Y1464" s="102"/>
    </row>
    <row r="1465" spans="12:25" ht="25" customHeight="1">
      <c r="L1465" s="31"/>
      <c r="M1465" s="31"/>
      <c r="N1465" s="31"/>
      <c r="X1465" s="35"/>
      <c r="Y1465" s="102"/>
    </row>
    <row r="1466" spans="12:25" ht="25" customHeight="1">
      <c r="L1466" s="31"/>
      <c r="M1466" s="31"/>
      <c r="N1466" s="31"/>
      <c r="X1466" s="35"/>
      <c r="Y1466" s="102"/>
    </row>
    <row r="1467" spans="12:25" ht="25" customHeight="1">
      <c r="L1467" s="31"/>
      <c r="M1467" s="31"/>
      <c r="N1467" s="31"/>
      <c r="X1467" s="35"/>
      <c r="Y1467" s="102"/>
    </row>
    <row r="1468" spans="12:25" ht="25" customHeight="1">
      <c r="L1468" s="31"/>
      <c r="M1468" s="31"/>
      <c r="N1468" s="31"/>
      <c r="X1468" s="35"/>
      <c r="Y1468" s="102"/>
    </row>
    <row r="1469" spans="12:25" ht="25" customHeight="1">
      <c r="L1469" s="31"/>
      <c r="M1469" s="31"/>
      <c r="N1469" s="31"/>
      <c r="X1469" s="35"/>
      <c r="Y1469" s="102"/>
    </row>
    <row r="1470" spans="12:25" ht="25" customHeight="1">
      <c r="L1470" s="31"/>
      <c r="M1470" s="31"/>
      <c r="N1470" s="31"/>
      <c r="X1470" s="35"/>
      <c r="Y1470" s="102"/>
    </row>
    <row r="1471" spans="12:25" ht="25" customHeight="1">
      <c r="L1471" s="31"/>
      <c r="M1471" s="31"/>
      <c r="N1471" s="31"/>
      <c r="X1471" s="35"/>
      <c r="Y1471" s="102"/>
    </row>
    <row r="1472" spans="12:25" ht="25" customHeight="1">
      <c r="L1472" s="31"/>
      <c r="M1472" s="31"/>
      <c r="N1472" s="31"/>
      <c r="X1472" s="35"/>
      <c r="Y1472" s="102"/>
    </row>
    <row r="1473" spans="12:25" ht="25" customHeight="1">
      <c r="L1473" s="31"/>
      <c r="M1473" s="31"/>
      <c r="N1473" s="31"/>
      <c r="X1473" s="35"/>
      <c r="Y1473" s="102"/>
    </row>
    <row r="1474" spans="12:25" ht="25" customHeight="1">
      <c r="L1474" s="31"/>
      <c r="M1474" s="31"/>
      <c r="N1474" s="31"/>
      <c r="X1474" s="35"/>
      <c r="Y1474" s="102"/>
    </row>
    <row r="1475" spans="12:25" ht="25" customHeight="1">
      <c r="L1475" s="31"/>
      <c r="M1475" s="31"/>
      <c r="N1475" s="31"/>
      <c r="X1475" s="35"/>
      <c r="Y1475" s="102"/>
    </row>
    <row r="1476" spans="12:25" ht="25" customHeight="1">
      <c r="L1476" s="31"/>
      <c r="M1476" s="31"/>
      <c r="N1476" s="31"/>
      <c r="X1476" s="35"/>
      <c r="Y1476" s="102"/>
    </row>
    <row r="1477" spans="12:25" ht="25" customHeight="1">
      <c r="L1477" s="31"/>
      <c r="M1477" s="31"/>
      <c r="N1477" s="31"/>
      <c r="X1477" s="35"/>
      <c r="Y1477" s="102"/>
    </row>
    <row r="1478" spans="12:25" ht="25" customHeight="1">
      <c r="L1478" s="31"/>
      <c r="M1478" s="31"/>
      <c r="N1478" s="31"/>
      <c r="X1478" s="35"/>
      <c r="Y1478" s="102"/>
    </row>
    <row r="1479" spans="12:25" ht="25" customHeight="1">
      <c r="L1479" s="31"/>
      <c r="M1479" s="31"/>
      <c r="N1479" s="31"/>
      <c r="X1479" s="35"/>
      <c r="Y1479" s="102"/>
    </row>
    <row r="1480" spans="12:25" ht="25" customHeight="1">
      <c r="L1480" s="31"/>
      <c r="M1480" s="31"/>
      <c r="N1480" s="31"/>
      <c r="X1480" s="35"/>
      <c r="Y1480" s="102"/>
    </row>
    <row r="1481" spans="12:25" ht="25" customHeight="1">
      <c r="L1481" s="31"/>
      <c r="M1481" s="31"/>
      <c r="N1481" s="31"/>
      <c r="X1481" s="35"/>
      <c r="Y1481" s="102"/>
    </row>
    <row r="1482" spans="12:25" ht="25" customHeight="1">
      <c r="L1482" s="31"/>
      <c r="M1482" s="31"/>
      <c r="N1482" s="31"/>
      <c r="X1482" s="35"/>
      <c r="Y1482" s="102"/>
    </row>
    <row r="1483" spans="12:25" ht="25" customHeight="1">
      <c r="L1483" s="31"/>
      <c r="M1483" s="31"/>
      <c r="N1483" s="31"/>
      <c r="X1483" s="35"/>
      <c r="Y1483" s="102"/>
    </row>
    <row r="1484" spans="12:25" ht="25" customHeight="1">
      <c r="L1484" s="31"/>
      <c r="M1484" s="31"/>
      <c r="N1484" s="31"/>
      <c r="X1484" s="35"/>
      <c r="Y1484" s="102"/>
    </row>
    <row r="1485" spans="12:25" ht="25" customHeight="1">
      <c r="L1485" s="31"/>
      <c r="M1485" s="31"/>
      <c r="N1485" s="31"/>
      <c r="X1485" s="35"/>
      <c r="Y1485" s="102"/>
    </row>
    <row r="1486" spans="12:25" ht="25" customHeight="1">
      <c r="L1486" s="31"/>
      <c r="M1486" s="31"/>
      <c r="N1486" s="31"/>
      <c r="X1486" s="35"/>
      <c r="Y1486" s="102"/>
    </row>
    <row r="1487" spans="12:25" ht="25" customHeight="1">
      <c r="L1487" s="31"/>
      <c r="M1487" s="31"/>
      <c r="N1487" s="31"/>
      <c r="X1487" s="35"/>
      <c r="Y1487" s="102"/>
    </row>
    <row r="1488" spans="12:25" ht="25" customHeight="1">
      <c r="L1488" s="31"/>
      <c r="M1488" s="31"/>
      <c r="N1488" s="31"/>
      <c r="X1488" s="35"/>
      <c r="Y1488" s="102"/>
    </row>
    <row r="1489" spans="12:25" ht="25" customHeight="1">
      <c r="L1489" s="31"/>
      <c r="M1489" s="31"/>
      <c r="N1489" s="31"/>
      <c r="X1489" s="35"/>
      <c r="Y1489" s="102"/>
    </row>
    <row r="1490" spans="12:25" ht="25" customHeight="1">
      <c r="L1490" s="31"/>
      <c r="M1490" s="31"/>
      <c r="N1490" s="31"/>
      <c r="X1490" s="35"/>
      <c r="Y1490" s="102"/>
    </row>
    <row r="1491" spans="12:25" ht="25" customHeight="1">
      <c r="L1491" s="31"/>
      <c r="M1491" s="31"/>
      <c r="N1491" s="31"/>
      <c r="X1491" s="35"/>
      <c r="Y1491" s="102"/>
    </row>
    <row r="1492" spans="12:25" ht="25" customHeight="1">
      <c r="L1492" s="31"/>
      <c r="M1492" s="31"/>
      <c r="N1492" s="31"/>
      <c r="X1492" s="35"/>
      <c r="Y1492" s="102"/>
    </row>
    <row r="1493" spans="12:25" ht="25" customHeight="1">
      <c r="L1493" s="31"/>
      <c r="M1493" s="31"/>
      <c r="N1493" s="31"/>
      <c r="X1493" s="35"/>
      <c r="Y1493" s="102"/>
    </row>
    <row r="1494" spans="12:25" ht="25" customHeight="1">
      <c r="L1494" s="31"/>
      <c r="M1494" s="31"/>
      <c r="N1494" s="31"/>
      <c r="X1494" s="35"/>
      <c r="Y1494" s="102"/>
    </row>
    <row r="1495" spans="12:25" ht="25" customHeight="1">
      <c r="L1495" s="31"/>
      <c r="M1495" s="31"/>
      <c r="N1495" s="31"/>
      <c r="X1495" s="35"/>
      <c r="Y1495" s="102"/>
    </row>
    <row r="1496" spans="12:25" ht="25" customHeight="1">
      <c r="L1496" s="31"/>
      <c r="M1496" s="31"/>
      <c r="N1496" s="31"/>
      <c r="X1496" s="35"/>
      <c r="Y1496" s="102"/>
    </row>
    <row r="1497" spans="12:25" ht="25" customHeight="1">
      <c r="L1497" s="31"/>
      <c r="M1497" s="31"/>
      <c r="N1497" s="31"/>
      <c r="X1497" s="35"/>
      <c r="Y1497" s="102"/>
    </row>
    <row r="1498" spans="12:25" ht="25" customHeight="1">
      <c r="L1498" s="31"/>
      <c r="M1498" s="31"/>
      <c r="N1498" s="31"/>
      <c r="X1498" s="35"/>
      <c r="Y1498" s="102"/>
    </row>
    <row r="1499" spans="12:25" ht="25" customHeight="1">
      <c r="L1499" s="31"/>
      <c r="M1499" s="31"/>
      <c r="N1499" s="31"/>
      <c r="X1499" s="35"/>
      <c r="Y1499" s="102"/>
    </row>
    <row r="1500" spans="12:25" ht="25" customHeight="1">
      <c r="L1500" s="31"/>
      <c r="M1500" s="31"/>
      <c r="N1500" s="31"/>
      <c r="X1500" s="35"/>
      <c r="Y1500" s="102"/>
    </row>
    <row r="1501" spans="12:25" ht="25" customHeight="1">
      <c r="L1501" s="31"/>
      <c r="M1501" s="31"/>
      <c r="N1501" s="31"/>
      <c r="X1501" s="35"/>
      <c r="Y1501" s="102"/>
    </row>
    <row r="1502" spans="12:25" ht="25" customHeight="1">
      <c r="L1502" s="31"/>
      <c r="M1502" s="31"/>
      <c r="N1502" s="31"/>
      <c r="X1502" s="35"/>
      <c r="Y1502" s="102"/>
    </row>
    <row r="1503" spans="12:25" ht="25" customHeight="1">
      <c r="L1503" s="31"/>
      <c r="M1503" s="31"/>
      <c r="N1503" s="31"/>
      <c r="X1503" s="35"/>
      <c r="Y1503" s="102"/>
    </row>
    <row r="1504" spans="12:25" ht="25" customHeight="1">
      <c r="L1504" s="31"/>
      <c r="M1504" s="31"/>
      <c r="N1504" s="31"/>
      <c r="X1504" s="35"/>
      <c r="Y1504" s="102"/>
    </row>
    <row r="1505" spans="12:25" ht="25" customHeight="1">
      <c r="L1505" s="31"/>
      <c r="M1505" s="31"/>
      <c r="N1505" s="31"/>
      <c r="X1505" s="35"/>
      <c r="Y1505" s="102"/>
    </row>
    <row r="1506" spans="12:25" ht="25" customHeight="1">
      <c r="L1506" s="31"/>
      <c r="M1506" s="31"/>
      <c r="N1506" s="31"/>
      <c r="X1506" s="35"/>
      <c r="Y1506" s="102"/>
    </row>
    <row r="1507" spans="12:25" ht="25" customHeight="1">
      <c r="L1507" s="31"/>
      <c r="M1507" s="31"/>
      <c r="N1507" s="31"/>
      <c r="X1507" s="35"/>
      <c r="Y1507" s="102"/>
    </row>
    <row r="1508" spans="12:25" ht="25" customHeight="1">
      <c r="L1508" s="31"/>
      <c r="M1508" s="31"/>
      <c r="N1508" s="31"/>
      <c r="X1508" s="35"/>
      <c r="Y1508" s="102"/>
    </row>
    <row r="1509" spans="12:25" ht="25" customHeight="1">
      <c r="L1509" s="31"/>
      <c r="M1509" s="31"/>
      <c r="N1509" s="31"/>
      <c r="X1509" s="35"/>
      <c r="Y1509" s="102"/>
    </row>
    <row r="1510" spans="12:25" ht="25" customHeight="1">
      <c r="L1510" s="31"/>
      <c r="M1510" s="31"/>
      <c r="N1510" s="31"/>
      <c r="X1510" s="35"/>
      <c r="Y1510" s="102"/>
    </row>
    <row r="1511" spans="12:25" ht="25" customHeight="1">
      <c r="L1511" s="31"/>
      <c r="M1511" s="31"/>
      <c r="N1511" s="31"/>
      <c r="X1511" s="35"/>
      <c r="Y1511" s="102"/>
    </row>
    <row r="1512" spans="12:25" ht="25" customHeight="1">
      <c r="L1512" s="31"/>
      <c r="M1512" s="31"/>
      <c r="N1512" s="31"/>
      <c r="X1512" s="35"/>
      <c r="Y1512" s="102"/>
    </row>
    <row r="1513" spans="12:25" ht="25" customHeight="1">
      <c r="L1513" s="31"/>
      <c r="M1513" s="31"/>
      <c r="N1513" s="31"/>
      <c r="X1513" s="35"/>
      <c r="Y1513" s="102"/>
    </row>
    <row r="1514" spans="12:25" ht="25" customHeight="1">
      <c r="L1514" s="31"/>
      <c r="M1514" s="31"/>
      <c r="N1514" s="31"/>
      <c r="X1514" s="35"/>
      <c r="Y1514" s="102"/>
    </row>
    <row r="1515" spans="12:25" ht="25" customHeight="1">
      <c r="L1515" s="31"/>
      <c r="M1515" s="31"/>
      <c r="N1515" s="31"/>
      <c r="X1515" s="35"/>
      <c r="Y1515" s="102"/>
    </row>
    <row r="1516" spans="12:25" ht="25" customHeight="1">
      <c r="L1516" s="31"/>
      <c r="M1516" s="31"/>
      <c r="N1516" s="31"/>
      <c r="X1516" s="35"/>
      <c r="Y1516" s="102"/>
    </row>
    <row r="1517" spans="12:25" ht="25" customHeight="1">
      <c r="L1517" s="31"/>
      <c r="M1517" s="31"/>
      <c r="N1517" s="31"/>
      <c r="X1517" s="35"/>
      <c r="Y1517" s="102"/>
    </row>
    <row r="1518" spans="12:25" ht="25" customHeight="1">
      <c r="L1518" s="31"/>
      <c r="M1518" s="31"/>
      <c r="N1518" s="31"/>
      <c r="X1518" s="35"/>
      <c r="Y1518" s="102"/>
    </row>
    <row r="1519" spans="12:25" ht="25" customHeight="1">
      <c r="L1519" s="31"/>
      <c r="M1519" s="31"/>
      <c r="N1519" s="31"/>
      <c r="X1519" s="35"/>
      <c r="Y1519" s="102"/>
    </row>
    <row r="1520" spans="12:25" ht="25" customHeight="1">
      <c r="L1520" s="31"/>
      <c r="M1520" s="31"/>
      <c r="N1520" s="31"/>
      <c r="X1520" s="35"/>
      <c r="Y1520" s="102"/>
    </row>
    <row r="1521" spans="12:25" ht="25" customHeight="1">
      <c r="L1521" s="31"/>
      <c r="M1521" s="31"/>
      <c r="N1521" s="31"/>
      <c r="X1521" s="35"/>
      <c r="Y1521" s="102"/>
    </row>
    <row r="1522" spans="12:25" ht="25" customHeight="1">
      <c r="L1522" s="31"/>
      <c r="M1522" s="31"/>
      <c r="N1522" s="31"/>
      <c r="X1522" s="35"/>
      <c r="Y1522" s="102"/>
    </row>
    <row r="1523" spans="12:25" ht="25" customHeight="1">
      <c r="L1523" s="31"/>
      <c r="M1523" s="31"/>
      <c r="N1523" s="31"/>
      <c r="X1523" s="35"/>
      <c r="Y1523" s="102"/>
    </row>
    <row r="1524" spans="12:25" ht="25" customHeight="1">
      <c r="L1524" s="31"/>
      <c r="M1524" s="31"/>
      <c r="N1524" s="31"/>
      <c r="X1524" s="35"/>
      <c r="Y1524" s="102"/>
    </row>
    <row r="1525" spans="12:25" ht="25" customHeight="1">
      <c r="L1525" s="31"/>
      <c r="M1525" s="31"/>
      <c r="N1525" s="31"/>
      <c r="X1525" s="35"/>
      <c r="Y1525" s="102"/>
    </row>
    <row r="1526" spans="12:25" ht="25" customHeight="1">
      <c r="L1526" s="31"/>
      <c r="M1526" s="31"/>
      <c r="N1526" s="31"/>
      <c r="X1526" s="35"/>
      <c r="Y1526" s="102"/>
    </row>
    <row r="1527" spans="12:25" ht="25" customHeight="1">
      <c r="L1527" s="31"/>
      <c r="M1527" s="31"/>
      <c r="N1527" s="31"/>
      <c r="X1527" s="35"/>
      <c r="Y1527" s="102"/>
    </row>
    <row r="1528" spans="12:25" ht="25" customHeight="1">
      <c r="L1528" s="31"/>
      <c r="M1528" s="31"/>
      <c r="N1528" s="31"/>
      <c r="X1528" s="35"/>
      <c r="Y1528" s="102"/>
    </row>
    <row r="1529" spans="12:25" ht="25" customHeight="1">
      <c r="L1529" s="31"/>
      <c r="M1529" s="31"/>
      <c r="N1529" s="31"/>
      <c r="X1529" s="35"/>
      <c r="Y1529" s="102"/>
    </row>
    <row r="1530" spans="12:25" ht="25" customHeight="1">
      <c r="L1530" s="31"/>
      <c r="M1530" s="31"/>
      <c r="N1530" s="31"/>
      <c r="X1530" s="35"/>
      <c r="Y1530" s="102"/>
    </row>
    <row r="1531" spans="12:25" ht="25" customHeight="1">
      <c r="L1531" s="31"/>
      <c r="M1531" s="31"/>
      <c r="N1531" s="31"/>
      <c r="X1531" s="35"/>
      <c r="Y1531" s="102"/>
    </row>
    <row r="1532" spans="12:25" ht="25" customHeight="1">
      <c r="L1532" s="31"/>
      <c r="M1532" s="31"/>
      <c r="N1532" s="31"/>
      <c r="X1532" s="35"/>
      <c r="Y1532" s="102"/>
    </row>
    <row r="1533" spans="12:25" ht="25" customHeight="1">
      <c r="L1533" s="31"/>
      <c r="M1533" s="31"/>
      <c r="N1533" s="31"/>
      <c r="X1533" s="35"/>
      <c r="Y1533" s="102"/>
    </row>
    <row r="1534" spans="12:25" ht="25" customHeight="1">
      <c r="L1534" s="31"/>
      <c r="M1534" s="31"/>
      <c r="N1534" s="31"/>
      <c r="X1534" s="35"/>
      <c r="Y1534" s="102"/>
    </row>
    <row r="1535" spans="12:25" ht="25" customHeight="1">
      <c r="L1535" s="31"/>
      <c r="M1535" s="31"/>
      <c r="N1535" s="31"/>
      <c r="X1535" s="35"/>
      <c r="Y1535" s="102"/>
    </row>
    <row r="1536" spans="12:25" ht="25" customHeight="1">
      <c r="L1536" s="31"/>
      <c r="M1536" s="31"/>
      <c r="N1536" s="31"/>
      <c r="X1536" s="35"/>
      <c r="Y1536" s="102"/>
    </row>
    <row r="1537" spans="12:25" ht="25" customHeight="1">
      <c r="L1537" s="31"/>
      <c r="M1537" s="31"/>
      <c r="N1537" s="31"/>
      <c r="X1537" s="35"/>
      <c r="Y1537" s="102"/>
    </row>
    <row r="1538" spans="12:25" ht="25" customHeight="1">
      <c r="L1538" s="31"/>
      <c r="M1538" s="31"/>
      <c r="N1538" s="31"/>
      <c r="X1538" s="35"/>
      <c r="Y1538" s="102"/>
    </row>
    <row r="1539" spans="12:25" ht="25" customHeight="1">
      <c r="L1539" s="31"/>
      <c r="M1539" s="31"/>
      <c r="N1539" s="31"/>
      <c r="X1539" s="35"/>
      <c r="Y1539" s="102"/>
    </row>
    <row r="1540" spans="12:25" ht="25" customHeight="1">
      <c r="L1540" s="31"/>
      <c r="M1540" s="31"/>
      <c r="N1540" s="31"/>
      <c r="X1540" s="35"/>
      <c r="Y1540" s="102"/>
    </row>
    <row r="1541" spans="12:25" ht="25" customHeight="1">
      <c r="L1541" s="31"/>
      <c r="M1541" s="31"/>
      <c r="N1541" s="31"/>
      <c r="X1541" s="35"/>
      <c r="Y1541" s="102"/>
    </row>
    <row r="1542" spans="12:25" ht="25" customHeight="1">
      <c r="L1542" s="31"/>
      <c r="M1542" s="31"/>
      <c r="N1542" s="31"/>
      <c r="X1542" s="35"/>
      <c r="Y1542" s="102"/>
    </row>
    <row r="1543" spans="12:25" ht="25" customHeight="1">
      <c r="L1543" s="31"/>
      <c r="M1543" s="31"/>
      <c r="N1543" s="31"/>
      <c r="X1543" s="35"/>
      <c r="Y1543" s="102"/>
    </row>
    <row r="1544" spans="12:25" ht="25" customHeight="1">
      <c r="L1544" s="31"/>
      <c r="M1544" s="31"/>
      <c r="N1544" s="31"/>
      <c r="X1544" s="35"/>
      <c r="Y1544" s="102"/>
    </row>
    <row r="1545" spans="12:25" ht="25" customHeight="1">
      <c r="L1545" s="31"/>
      <c r="M1545" s="31"/>
      <c r="N1545" s="31"/>
      <c r="X1545" s="35"/>
      <c r="Y1545" s="102"/>
    </row>
    <row r="1546" spans="12:25" ht="25" customHeight="1">
      <c r="L1546" s="31"/>
      <c r="M1546" s="31"/>
      <c r="N1546" s="31"/>
      <c r="X1546" s="35"/>
      <c r="Y1546" s="102"/>
    </row>
    <row r="1547" spans="12:25" ht="25" customHeight="1">
      <c r="L1547" s="31"/>
      <c r="M1547" s="31"/>
      <c r="N1547" s="31"/>
      <c r="X1547" s="35"/>
      <c r="Y1547" s="102"/>
    </row>
    <row r="1548" spans="12:25" ht="25" customHeight="1">
      <c r="L1548" s="31"/>
      <c r="M1548" s="31"/>
      <c r="N1548" s="31"/>
      <c r="X1548" s="35"/>
      <c r="Y1548" s="102"/>
    </row>
    <row r="1549" spans="12:25" ht="25" customHeight="1">
      <c r="L1549" s="31"/>
      <c r="M1549" s="31"/>
      <c r="N1549" s="31"/>
      <c r="X1549" s="35"/>
      <c r="Y1549" s="102"/>
    </row>
    <row r="1550" spans="12:25" ht="25" customHeight="1">
      <c r="L1550" s="31"/>
      <c r="M1550" s="31"/>
      <c r="N1550" s="31"/>
      <c r="X1550" s="35"/>
      <c r="Y1550" s="102"/>
    </row>
    <row r="1551" spans="12:25" ht="25" customHeight="1">
      <c r="L1551" s="31"/>
      <c r="M1551" s="31"/>
      <c r="N1551" s="31"/>
      <c r="X1551" s="35"/>
      <c r="Y1551" s="102"/>
    </row>
    <row r="1552" spans="12:25" ht="25" customHeight="1">
      <c r="L1552" s="31"/>
      <c r="M1552" s="31"/>
      <c r="N1552" s="31"/>
      <c r="X1552" s="35"/>
      <c r="Y1552" s="102"/>
    </row>
    <row r="1553" spans="12:25" ht="25" customHeight="1">
      <c r="L1553" s="31"/>
      <c r="M1553" s="31"/>
      <c r="N1553" s="31"/>
      <c r="X1553" s="35"/>
      <c r="Y1553" s="102"/>
    </row>
    <row r="1554" spans="12:25" ht="25" customHeight="1">
      <c r="L1554" s="31"/>
      <c r="M1554" s="31"/>
      <c r="N1554" s="31"/>
      <c r="X1554" s="35"/>
      <c r="Y1554" s="102"/>
    </row>
    <row r="1555" spans="12:25" ht="25" customHeight="1">
      <c r="L1555" s="31"/>
      <c r="M1555" s="31"/>
      <c r="N1555" s="31"/>
      <c r="X1555" s="35"/>
      <c r="Y1555" s="102"/>
    </row>
    <row r="1556" spans="12:25" ht="25" customHeight="1">
      <c r="L1556" s="31"/>
      <c r="M1556" s="31"/>
      <c r="N1556" s="31"/>
      <c r="X1556" s="35"/>
      <c r="Y1556" s="102"/>
    </row>
    <row r="1557" spans="12:25" ht="25" customHeight="1">
      <c r="L1557" s="31"/>
      <c r="M1557" s="31"/>
      <c r="N1557" s="31"/>
      <c r="X1557" s="35"/>
      <c r="Y1557" s="102"/>
    </row>
    <row r="1558" spans="12:25" ht="25" customHeight="1">
      <c r="L1558" s="31"/>
      <c r="M1558" s="31"/>
      <c r="N1558" s="31"/>
      <c r="X1558" s="35"/>
      <c r="Y1558" s="102"/>
    </row>
    <row r="1559" spans="12:25" ht="25" customHeight="1">
      <c r="L1559" s="31"/>
      <c r="M1559" s="31"/>
      <c r="N1559" s="31"/>
      <c r="X1559" s="35"/>
      <c r="Y1559" s="102"/>
    </row>
    <row r="1560" spans="12:25" ht="25" customHeight="1">
      <c r="L1560" s="31"/>
      <c r="M1560" s="31"/>
      <c r="N1560" s="31"/>
      <c r="X1560" s="35"/>
      <c r="Y1560" s="102"/>
    </row>
    <row r="1561" spans="12:25" ht="25" customHeight="1">
      <c r="L1561" s="31"/>
      <c r="M1561" s="31"/>
      <c r="N1561" s="31"/>
      <c r="X1561" s="35"/>
      <c r="Y1561" s="102"/>
    </row>
    <row r="1562" spans="12:25" ht="25" customHeight="1">
      <c r="L1562" s="31"/>
      <c r="M1562" s="31"/>
      <c r="N1562" s="31"/>
      <c r="X1562" s="35"/>
      <c r="Y1562" s="102"/>
    </row>
    <row r="1563" spans="12:25" ht="25" customHeight="1">
      <c r="L1563" s="31"/>
      <c r="M1563" s="31"/>
      <c r="N1563" s="31"/>
      <c r="X1563" s="35"/>
      <c r="Y1563" s="102"/>
    </row>
    <row r="1564" spans="12:25" ht="25" customHeight="1">
      <c r="L1564" s="31"/>
      <c r="M1564" s="31"/>
      <c r="N1564" s="31"/>
      <c r="X1564" s="35"/>
      <c r="Y1564" s="102"/>
    </row>
    <row r="1565" spans="12:25" ht="25" customHeight="1">
      <c r="L1565" s="31"/>
      <c r="M1565" s="31"/>
      <c r="N1565" s="31"/>
      <c r="X1565" s="35"/>
      <c r="Y1565" s="102"/>
    </row>
    <row r="1566" spans="12:25" ht="25" customHeight="1">
      <c r="L1566" s="31"/>
      <c r="M1566" s="31"/>
      <c r="N1566" s="31"/>
      <c r="X1566" s="35"/>
      <c r="Y1566" s="102"/>
    </row>
    <row r="1567" spans="12:25" ht="25" customHeight="1">
      <c r="L1567" s="31"/>
      <c r="M1567" s="31"/>
      <c r="N1567" s="31"/>
      <c r="X1567" s="35"/>
      <c r="Y1567" s="102"/>
    </row>
    <row r="1568" spans="12:25" ht="25" customHeight="1">
      <c r="L1568" s="31"/>
      <c r="M1568" s="31"/>
      <c r="N1568" s="31"/>
      <c r="X1568" s="35"/>
      <c r="Y1568" s="102"/>
    </row>
    <row r="1569" spans="12:25" ht="25" customHeight="1">
      <c r="L1569" s="31"/>
      <c r="M1569" s="31"/>
      <c r="N1569" s="31"/>
      <c r="X1569" s="35"/>
      <c r="Y1569" s="102"/>
    </row>
    <row r="1570" spans="12:25" ht="25" customHeight="1">
      <c r="L1570" s="31"/>
      <c r="M1570" s="31"/>
      <c r="N1570" s="31"/>
      <c r="X1570" s="35"/>
      <c r="Y1570" s="102"/>
    </row>
    <row r="1571" spans="12:25" ht="25" customHeight="1">
      <c r="L1571" s="31"/>
      <c r="M1571" s="31"/>
      <c r="N1571" s="31"/>
      <c r="X1571" s="35"/>
      <c r="Y1571" s="102"/>
    </row>
    <row r="1572" spans="12:25" ht="25" customHeight="1">
      <c r="L1572" s="31"/>
      <c r="M1572" s="31"/>
      <c r="N1572" s="31"/>
      <c r="X1572" s="35"/>
      <c r="Y1572" s="102"/>
    </row>
    <row r="1573" spans="12:25" ht="25" customHeight="1">
      <c r="L1573" s="31"/>
      <c r="M1573" s="31"/>
      <c r="N1573" s="31"/>
      <c r="X1573" s="35"/>
      <c r="Y1573" s="102"/>
    </row>
    <row r="1574" spans="12:25" ht="25" customHeight="1">
      <c r="L1574" s="31"/>
      <c r="M1574" s="31"/>
      <c r="N1574" s="31"/>
      <c r="X1574" s="35"/>
      <c r="Y1574" s="102"/>
    </row>
    <row r="1575" spans="12:25" ht="25" customHeight="1">
      <c r="L1575" s="31"/>
      <c r="M1575" s="31"/>
      <c r="N1575" s="31"/>
      <c r="X1575" s="35"/>
      <c r="Y1575" s="102"/>
    </row>
    <row r="1576" spans="12:25" ht="25" customHeight="1">
      <c r="L1576" s="31"/>
      <c r="M1576" s="31"/>
      <c r="N1576" s="31"/>
      <c r="X1576" s="35"/>
      <c r="Y1576" s="102"/>
    </row>
    <row r="1577" spans="12:25" ht="25" customHeight="1">
      <c r="L1577" s="31"/>
      <c r="M1577" s="31"/>
      <c r="N1577" s="31"/>
      <c r="X1577" s="35"/>
      <c r="Y1577" s="102"/>
    </row>
    <row r="1578" spans="12:25" ht="25" customHeight="1">
      <c r="L1578" s="31"/>
      <c r="M1578" s="31"/>
      <c r="N1578" s="31"/>
      <c r="X1578" s="35"/>
      <c r="Y1578" s="102"/>
    </row>
    <row r="1579" spans="12:25" ht="25" customHeight="1">
      <c r="L1579" s="31"/>
      <c r="M1579" s="31"/>
      <c r="N1579" s="31"/>
      <c r="X1579" s="35"/>
      <c r="Y1579" s="102"/>
    </row>
    <row r="1580" spans="12:25" ht="25" customHeight="1">
      <c r="L1580" s="31"/>
      <c r="M1580" s="31"/>
      <c r="N1580" s="31"/>
      <c r="X1580" s="35"/>
      <c r="Y1580" s="102"/>
    </row>
    <row r="1581" spans="12:25" ht="25" customHeight="1">
      <c r="L1581" s="31"/>
      <c r="M1581" s="31"/>
      <c r="N1581" s="31"/>
      <c r="X1581" s="35"/>
      <c r="Y1581" s="102"/>
    </row>
    <row r="1582" spans="12:25" ht="25" customHeight="1">
      <c r="L1582" s="31"/>
      <c r="M1582" s="31"/>
      <c r="N1582" s="31"/>
      <c r="X1582" s="35"/>
      <c r="Y1582" s="102"/>
    </row>
    <row r="1583" spans="12:25" ht="25" customHeight="1">
      <c r="L1583" s="31"/>
      <c r="M1583" s="31"/>
      <c r="N1583" s="31"/>
      <c r="X1583" s="35"/>
      <c r="Y1583" s="102"/>
    </row>
    <row r="1584" spans="12:25" ht="25" customHeight="1">
      <c r="L1584" s="31"/>
      <c r="M1584" s="31"/>
      <c r="N1584" s="31"/>
      <c r="X1584" s="35"/>
      <c r="Y1584" s="102"/>
    </row>
    <row r="1585" spans="12:25" ht="25" customHeight="1">
      <c r="L1585" s="31"/>
      <c r="M1585" s="31"/>
      <c r="N1585" s="31"/>
      <c r="X1585" s="35"/>
      <c r="Y1585" s="102"/>
    </row>
    <row r="1586" spans="12:25" ht="25" customHeight="1">
      <c r="L1586" s="31"/>
      <c r="M1586" s="31"/>
      <c r="N1586" s="31"/>
      <c r="X1586" s="35"/>
      <c r="Y1586" s="102"/>
    </row>
    <row r="1587" spans="12:25" ht="25" customHeight="1">
      <c r="L1587" s="31"/>
      <c r="M1587" s="31"/>
      <c r="N1587" s="31"/>
      <c r="X1587" s="35"/>
      <c r="Y1587" s="102"/>
    </row>
    <row r="1588" spans="12:25" ht="25" customHeight="1">
      <c r="L1588" s="31"/>
      <c r="M1588" s="31"/>
      <c r="N1588" s="31"/>
      <c r="X1588" s="35"/>
      <c r="Y1588" s="102"/>
    </row>
    <row r="1589" spans="12:25" ht="25" customHeight="1">
      <c r="L1589" s="31"/>
      <c r="M1589" s="31"/>
      <c r="N1589" s="31"/>
      <c r="X1589" s="35"/>
      <c r="Y1589" s="102"/>
    </row>
    <row r="1590" spans="12:25" ht="25" customHeight="1">
      <c r="L1590" s="31"/>
      <c r="M1590" s="31"/>
      <c r="N1590" s="31"/>
      <c r="X1590" s="35"/>
      <c r="Y1590" s="102"/>
    </row>
    <row r="1591" spans="12:25" ht="25" customHeight="1">
      <c r="L1591" s="31"/>
      <c r="M1591" s="31"/>
      <c r="N1591" s="31"/>
      <c r="X1591" s="35"/>
      <c r="Y1591" s="102"/>
    </row>
    <row r="1592" spans="12:25" ht="25" customHeight="1">
      <c r="L1592" s="31"/>
      <c r="M1592" s="31"/>
      <c r="N1592" s="31"/>
      <c r="X1592" s="35"/>
      <c r="Y1592" s="102"/>
    </row>
    <row r="1593" spans="12:25" ht="25" customHeight="1">
      <c r="L1593" s="31"/>
      <c r="M1593" s="31"/>
      <c r="N1593" s="31"/>
      <c r="X1593" s="35"/>
      <c r="Y1593" s="102"/>
    </row>
    <row r="1594" spans="12:25" ht="25" customHeight="1">
      <c r="L1594" s="31"/>
      <c r="M1594" s="31"/>
      <c r="N1594" s="31"/>
      <c r="X1594" s="35"/>
      <c r="Y1594" s="102"/>
    </row>
    <row r="1595" spans="12:25" ht="25" customHeight="1">
      <c r="L1595" s="31"/>
      <c r="M1595" s="31"/>
      <c r="N1595" s="31"/>
      <c r="X1595" s="35"/>
      <c r="Y1595" s="102"/>
    </row>
    <row r="1596" spans="12:25" ht="25" customHeight="1">
      <c r="L1596" s="31"/>
      <c r="M1596" s="31"/>
      <c r="N1596" s="31"/>
      <c r="X1596" s="35"/>
      <c r="Y1596" s="102"/>
    </row>
    <row r="1597" spans="12:25" ht="25" customHeight="1">
      <c r="L1597" s="31"/>
      <c r="M1597" s="31"/>
      <c r="N1597" s="31"/>
      <c r="X1597" s="35"/>
      <c r="Y1597" s="102"/>
    </row>
    <row r="1598" spans="12:25" ht="25" customHeight="1">
      <c r="L1598" s="31"/>
      <c r="M1598" s="31"/>
      <c r="N1598" s="31"/>
      <c r="X1598" s="35"/>
      <c r="Y1598" s="102"/>
    </row>
    <row r="1599" spans="12:25" ht="25" customHeight="1">
      <c r="L1599" s="31"/>
      <c r="M1599" s="31"/>
      <c r="N1599" s="31"/>
      <c r="X1599" s="35"/>
      <c r="Y1599" s="102"/>
    </row>
    <row r="1600" spans="12:25" ht="25" customHeight="1">
      <c r="L1600" s="31"/>
      <c r="M1600" s="31"/>
      <c r="N1600" s="31"/>
      <c r="X1600" s="35"/>
      <c r="Y1600" s="102"/>
    </row>
    <row r="1601" spans="12:25" ht="25" customHeight="1">
      <c r="L1601" s="31"/>
      <c r="M1601" s="31"/>
      <c r="N1601" s="31"/>
      <c r="X1601" s="35"/>
      <c r="Y1601" s="102"/>
    </row>
    <row r="1602" spans="12:25" ht="25" customHeight="1">
      <c r="L1602" s="31"/>
      <c r="M1602" s="31"/>
      <c r="N1602" s="31"/>
      <c r="X1602" s="35"/>
      <c r="Y1602" s="102"/>
    </row>
    <row r="1603" spans="12:25" ht="25" customHeight="1">
      <c r="L1603" s="31"/>
      <c r="M1603" s="31"/>
      <c r="N1603" s="31"/>
      <c r="X1603" s="35"/>
      <c r="Y1603" s="102"/>
    </row>
    <row r="1604" spans="12:25" ht="25" customHeight="1">
      <c r="L1604" s="31"/>
      <c r="M1604" s="31"/>
      <c r="N1604" s="31"/>
      <c r="X1604" s="35"/>
      <c r="Y1604" s="102"/>
    </row>
    <row r="1605" spans="12:25" ht="25" customHeight="1">
      <c r="L1605" s="31"/>
      <c r="M1605" s="31"/>
      <c r="N1605" s="31"/>
      <c r="X1605" s="35"/>
      <c r="Y1605" s="102"/>
    </row>
    <row r="1606" spans="12:25" ht="25" customHeight="1">
      <c r="L1606" s="31"/>
      <c r="M1606" s="31"/>
      <c r="N1606" s="31"/>
      <c r="X1606" s="35"/>
      <c r="Y1606" s="102"/>
    </row>
    <row r="1607" spans="12:25" ht="25" customHeight="1">
      <c r="L1607" s="31"/>
      <c r="M1607" s="31"/>
      <c r="N1607" s="31"/>
      <c r="X1607" s="35"/>
      <c r="Y1607" s="102"/>
    </row>
    <row r="1608" spans="12:25" ht="25" customHeight="1">
      <c r="L1608" s="31"/>
      <c r="M1608" s="31"/>
      <c r="N1608" s="31"/>
      <c r="X1608" s="35"/>
      <c r="Y1608" s="102"/>
    </row>
    <row r="1609" spans="12:25" ht="25" customHeight="1">
      <c r="L1609" s="31"/>
      <c r="M1609" s="31"/>
      <c r="N1609" s="31"/>
      <c r="X1609" s="35"/>
      <c r="Y1609" s="102"/>
    </row>
    <row r="1610" spans="12:25" ht="25" customHeight="1">
      <c r="L1610" s="31"/>
      <c r="M1610" s="31"/>
      <c r="N1610" s="31"/>
      <c r="X1610" s="35"/>
      <c r="Y1610" s="102"/>
    </row>
    <row r="1611" spans="12:25" ht="25" customHeight="1">
      <c r="L1611" s="31"/>
      <c r="M1611" s="31"/>
      <c r="N1611" s="31"/>
      <c r="X1611" s="35"/>
      <c r="Y1611" s="102"/>
    </row>
    <row r="1612" spans="12:25" ht="25" customHeight="1">
      <c r="L1612" s="31"/>
      <c r="M1612" s="31"/>
      <c r="N1612" s="31"/>
      <c r="X1612" s="35"/>
      <c r="Y1612" s="102"/>
    </row>
    <row r="1613" spans="12:25" ht="25" customHeight="1">
      <c r="L1613" s="31"/>
      <c r="M1613" s="31"/>
      <c r="N1613" s="31"/>
      <c r="X1613" s="35"/>
      <c r="Y1613" s="102"/>
    </row>
    <row r="1614" spans="12:25" ht="25" customHeight="1">
      <c r="L1614" s="31"/>
      <c r="M1614" s="31"/>
      <c r="N1614" s="31"/>
      <c r="X1614" s="35"/>
      <c r="Y1614" s="102"/>
    </row>
    <row r="1615" spans="12:25" ht="25" customHeight="1">
      <c r="L1615" s="31"/>
      <c r="M1615" s="31"/>
      <c r="N1615" s="31"/>
      <c r="X1615" s="35"/>
      <c r="Y1615" s="102"/>
    </row>
    <row r="1616" spans="12:25" ht="25" customHeight="1">
      <c r="L1616" s="31"/>
      <c r="M1616" s="31"/>
      <c r="N1616" s="31"/>
      <c r="X1616" s="35"/>
      <c r="Y1616" s="102"/>
    </row>
    <row r="1617" spans="12:25" ht="25" customHeight="1">
      <c r="L1617" s="31"/>
      <c r="M1617" s="31"/>
      <c r="N1617" s="31"/>
      <c r="X1617" s="35"/>
      <c r="Y1617" s="102"/>
    </row>
    <row r="1618" spans="12:25" ht="25" customHeight="1">
      <c r="L1618" s="31"/>
      <c r="M1618" s="31"/>
      <c r="N1618" s="31"/>
      <c r="X1618" s="35"/>
      <c r="Y1618" s="102"/>
    </row>
    <row r="1619" spans="12:25" ht="25" customHeight="1">
      <c r="L1619" s="31"/>
      <c r="M1619" s="31"/>
      <c r="N1619" s="31"/>
      <c r="X1619" s="35"/>
      <c r="Y1619" s="102"/>
    </row>
    <row r="1620" spans="12:25" ht="25" customHeight="1">
      <c r="L1620" s="31"/>
      <c r="M1620" s="31"/>
      <c r="N1620" s="31"/>
      <c r="X1620" s="35"/>
      <c r="Y1620" s="102"/>
    </row>
    <row r="1621" spans="12:25" ht="25" customHeight="1">
      <c r="L1621" s="31"/>
      <c r="M1621" s="31"/>
      <c r="N1621" s="31"/>
      <c r="X1621" s="35"/>
      <c r="Y1621" s="102"/>
    </row>
    <row r="1622" spans="12:25" ht="25" customHeight="1">
      <c r="L1622" s="31"/>
      <c r="M1622" s="31"/>
      <c r="N1622" s="31"/>
      <c r="X1622" s="35"/>
      <c r="Y1622" s="102"/>
    </row>
    <row r="1623" spans="12:25" ht="25" customHeight="1">
      <c r="L1623" s="31"/>
      <c r="M1623" s="31"/>
      <c r="N1623" s="31"/>
      <c r="X1623" s="35"/>
      <c r="Y1623" s="102"/>
    </row>
    <row r="1624" spans="12:25" ht="25" customHeight="1">
      <c r="L1624" s="31"/>
      <c r="M1624" s="31"/>
      <c r="N1624" s="31"/>
      <c r="X1624" s="35"/>
      <c r="Y1624" s="102"/>
    </row>
    <row r="1625" spans="12:25" ht="25" customHeight="1">
      <c r="L1625" s="31"/>
      <c r="M1625" s="31"/>
      <c r="N1625" s="31"/>
      <c r="X1625" s="35"/>
      <c r="Y1625" s="102"/>
    </row>
    <row r="1626" spans="12:25" ht="25" customHeight="1">
      <c r="L1626" s="31"/>
      <c r="M1626" s="31"/>
      <c r="N1626" s="31"/>
      <c r="X1626" s="35"/>
      <c r="Y1626" s="102"/>
    </row>
    <row r="1627" spans="12:25" ht="25" customHeight="1">
      <c r="L1627" s="31"/>
      <c r="M1627" s="31"/>
      <c r="N1627" s="31"/>
      <c r="X1627" s="35"/>
      <c r="Y1627" s="102"/>
    </row>
    <row r="1628" spans="12:25" ht="25" customHeight="1">
      <c r="L1628" s="31"/>
      <c r="M1628" s="31"/>
      <c r="N1628" s="31"/>
      <c r="X1628" s="35"/>
      <c r="Y1628" s="102"/>
    </row>
    <row r="1629" spans="12:25" ht="25" customHeight="1">
      <c r="L1629" s="31"/>
      <c r="M1629" s="31"/>
      <c r="N1629" s="31"/>
      <c r="X1629" s="35"/>
      <c r="Y1629" s="102"/>
    </row>
    <row r="1630" spans="12:25" ht="25" customHeight="1">
      <c r="L1630" s="31"/>
      <c r="M1630" s="31"/>
      <c r="N1630" s="31"/>
      <c r="X1630" s="35"/>
      <c r="Y1630" s="102"/>
    </row>
    <row r="1631" spans="12:25" ht="25" customHeight="1">
      <c r="L1631" s="31"/>
      <c r="M1631" s="31"/>
      <c r="N1631" s="31"/>
      <c r="X1631" s="35"/>
      <c r="Y1631" s="102"/>
    </row>
    <row r="1632" spans="12:25" ht="25" customHeight="1">
      <c r="L1632" s="31"/>
      <c r="M1632" s="31"/>
      <c r="N1632" s="31"/>
      <c r="X1632" s="35"/>
      <c r="Y1632" s="102"/>
    </row>
    <row r="1633" spans="12:25" ht="25" customHeight="1">
      <c r="L1633" s="31"/>
      <c r="M1633" s="31"/>
      <c r="N1633" s="31"/>
      <c r="X1633" s="35"/>
      <c r="Y1633" s="102"/>
    </row>
    <row r="1634" spans="12:25" ht="25" customHeight="1">
      <c r="L1634" s="31"/>
      <c r="M1634" s="31"/>
      <c r="N1634" s="31"/>
      <c r="X1634" s="35"/>
      <c r="Y1634" s="102"/>
    </row>
    <row r="1635" spans="12:25" ht="25" customHeight="1">
      <c r="L1635" s="31"/>
      <c r="M1635" s="31"/>
      <c r="N1635" s="31"/>
      <c r="X1635" s="35"/>
      <c r="Y1635" s="102"/>
    </row>
    <row r="1636" spans="12:25" ht="25" customHeight="1">
      <c r="L1636" s="31"/>
      <c r="M1636" s="31"/>
      <c r="N1636" s="31"/>
      <c r="X1636" s="35"/>
      <c r="Y1636" s="102"/>
    </row>
    <row r="1637" spans="12:25" ht="25" customHeight="1">
      <c r="L1637" s="31"/>
      <c r="M1637" s="31"/>
      <c r="N1637" s="31"/>
      <c r="X1637" s="35"/>
      <c r="Y1637" s="102"/>
    </row>
    <row r="1638" spans="12:25" ht="25" customHeight="1">
      <c r="L1638" s="31"/>
      <c r="M1638" s="31"/>
      <c r="N1638" s="31"/>
      <c r="X1638" s="35"/>
      <c r="Y1638" s="102"/>
    </row>
    <row r="1639" spans="12:25" ht="25" customHeight="1">
      <c r="L1639" s="31"/>
      <c r="M1639" s="31"/>
      <c r="N1639" s="31"/>
      <c r="X1639" s="35"/>
      <c r="Y1639" s="102"/>
    </row>
    <row r="1640" spans="12:25" ht="25" customHeight="1">
      <c r="L1640" s="31"/>
      <c r="M1640" s="31"/>
      <c r="N1640" s="31"/>
      <c r="X1640" s="35"/>
      <c r="Y1640" s="102"/>
    </row>
    <row r="1641" spans="12:25" ht="25" customHeight="1">
      <c r="L1641" s="31"/>
      <c r="M1641" s="31"/>
      <c r="N1641" s="31"/>
      <c r="X1641" s="35"/>
      <c r="Y1641" s="102"/>
    </row>
    <row r="1642" spans="12:25" ht="25" customHeight="1">
      <c r="L1642" s="31"/>
      <c r="M1642" s="31"/>
      <c r="N1642" s="31"/>
      <c r="X1642" s="35"/>
      <c r="Y1642" s="102"/>
    </row>
    <row r="1643" spans="12:25" ht="25" customHeight="1">
      <c r="L1643" s="31"/>
      <c r="M1643" s="31"/>
      <c r="N1643" s="31"/>
      <c r="X1643" s="35"/>
      <c r="Y1643" s="102"/>
    </row>
    <row r="1644" spans="12:25" ht="25" customHeight="1">
      <c r="L1644" s="31"/>
      <c r="M1644" s="31"/>
      <c r="N1644" s="31"/>
      <c r="X1644" s="35"/>
      <c r="Y1644" s="102"/>
    </row>
    <row r="1645" spans="12:25" ht="25" customHeight="1">
      <c r="L1645" s="31"/>
      <c r="M1645" s="31"/>
      <c r="N1645" s="31"/>
      <c r="X1645" s="35"/>
      <c r="Y1645" s="102"/>
    </row>
    <row r="1646" spans="12:25" ht="25" customHeight="1">
      <c r="L1646" s="31"/>
      <c r="M1646" s="31"/>
      <c r="N1646" s="31"/>
      <c r="X1646" s="35"/>
      <c r="Y1646" s="102"/>
    </row>
    <row r="1647" spans="12:25" ht="25" customHeight="1">
      <c r="L1647" s="31"/>
      <c r="M1647" s="31"/>
      <c r="N1647" s="31"/>
      <c r="X1647" s="35"/>
      <c r="Y1647" s="102"/>
    </row>
    <row r="1648" spans="12:25" ht="25" customHeight="1">
      <c r="L1648" s="31"/>
      <c r="M1648" s="31"/>
      <c r="N1648" s="31"/>
      <c r="X1648" s="35"/>
      <c r="Y1648" s="102"/>
    </row>
    <row r="1649" spans="12:25" ht="25" customHeight="1">
      <c r="L1649" s="31"/>
      <c r="M1649" s="31"/>
      <c r="N1649" s="31"/>
      <c r="X1649" s="35"/>
      <c r="Y1649" s="102"/>
    </row>
    <row r="1650" spans="12:25" ht="25" customHeight="1">
      <c r="L1650" s="31"/>
      <c r="M1650" s="31"/>
      <c r="N1650" s="31"/>
      <c r="X1650" s="35"/>
      <c r="Y1650" s="102"/>
    </row>
    <row r="1651" spans="12:25" ht="25" customHeight="1">
      <c r="L1651" s="31"/>
      <c r="M1651" s="31"/>
      <c r="N1651" s="31"/>
      <c r="X1651" s="35"/>
      <c r="Y1651" s="102"/>
    </row>
    <row r="1652" spans="12:25" ht="25" customHeight="1">
      <c r="L1652" s="31"/>
      <c r="M1652" s="31"/>
      <c r="N1652" s="31"/>
      <c r="X1652" s="35"/>
      <c r="Y1652" s="102"/>
    </row>
    <row r="1653" spans="12:25" ht="25" customHeight="1">
      <c r="L1653" s="31"/>
      <c r="M1653" s="31"/>
      <c r="N1653" s="31"/>
      <c r="X1653" s="35"/>
      <c r="Y1653" s="102"/>
    </row>
    <row r="1654" spans="12:25" ht="25" customHeight="1">
      <c r="L1654" s="31"/>
      <c r="M1654" s="31"/>
      <c r="N1654" s="31"/>
      <c r="X1654" s="35"/>
      <c r="Y1654" s="102"/>
    </row>
    <row r="1655" spans="12:25" ht="25" customHeight="1">
      <c r="L1655" s="31"/>
      <c r="M1655" s="31"/>
      <c r="N1655" s="31"/>
      <c r="X1655" s="35"/>
      <c r="Y1655" s="102"/>
    </row>
    <row r="1656" spans="12:25" ht="25" customHeight="1">
      <c r="L1656" s="31"/>
      <c r="M1656" s="31"/>
      <c r="N1656" s="31"/>
      <c r="X1656" s="35"/>
      <c r="Y1656" s="102"/>
    </row>
    <row r="1657" spans="12:25" ht="25" customHeight="1">
      <c r="L1657" s="31"/>
      <c r="M1657" s="31"/>
      <c r="N1657" s="31"/>
      <c r="X1657" s="35"/>
      <c r="Y1657" s="102"/>
    </row>
    <row r="1658" spans="12:25" ht="25" customHeight="1">
      <c r="L1658" s="31"/>
      <c r="M1658" s="31"/>
      <c r="N1658" s="31"/>
      <c r="X1658" s="35"/>
      <c r="Y1658" s="102"/>
    </row>
    <row r="1659" spans="12:25" ht="25" customHeight="1">
      <c r="L1659" s="31"/>
      <c r="M1659" s="31"/>
      <c r="N1659" s="31"/>
      <c r="X1659" s="35"/>
      <c r="Y1659" s="102"/>
    </row>
    <row r="1660" spans="12:25" ht="25" customHeight="1">
      <c r="L1660" s="31"/>
      <c r="M1660" s="31"/>
      <c r="N1660" s="31"/>
      <c r="X1660" s="35"/>
      <c r="Y1660" s="102"/>
    </row>
    <row r="1661" spans="12:25" ht="25" customHeight="1">
      <c r="L1661" s="31"/>
      <c r="M1661" s="31"/>
      <c r="N1661" s="31"/>
      <c r="X1661" s="35"/>
      <c r="Y1661" s="102"/>
    </row>
    <row r="1662" spans="12:25" ht="25" customHeight="1">
      <c r="L1662" s="31"/>
      <c r="M1662" s="31"/>
      <c r="N1662" s="31"/>
      <c r="X1662" s="35"/>
      <c r="Y1662" s="102"/>
    </row>
    <row r="1663" spans="12:25" ht="25" customHeight="1">
      <c r="L1663" s="31"/>
      <c r="M1663" s="31"/>
      <c r="N1663" s="31"/>
      <c r="X1663" s="35"/>
      <c r="Y1663" s="102"/>
    </row>
    <row r="1664" spans="12:25" ht="25" customHeight="1">
      <c r="L1664" s="31"/>
      <c r="M1664" s="31"/>
      <c r="N1664" s="31"/>
      <c r="X1664" s="35"/>
      <c r="Y1664" s="102"/>
    </row>
    <row r="1665" spans="12:25" ht="25" customHeight="1">
      <c r="L1665" s="31"/>
      <c r="M1665" s="31"/>
      <c r="N1665" s="31"/>
      <c r="X1665" s="35"/>
      <c r="Y1665" s="102"/>
    </row>
    <row r="1666" spans="12:25" ht="25" customHeight="1">
      <c r="L1666" s="31"/>
      <c r="M1666" s="31"/>
      <c r="N1666" s="31"/>
      <c r="X1666" s="35"/>
      <c r="Y1666" s="102"/>
    </row>
    <row r="1667" spans="12:25" ht="25" customHeight="1">
      <c r="L1667" s="31"/>
      <c r="M1667" s="31"/>
      <c r="N1667" s="31"/>
      <c r="X1667" s="35"/>
      <c r="Y1667" s="102"/>
    </row>
    <row r="1668" spans="12:25" ht="25" customHeight="1">
      <c r="L1668" s="31"/>
      <c r="M1668" s="31"/>
      <c r="N1668" s="31"/>
      <c r="X1668" s="35"/>
      <c r="Y1668" s="102"/>
    </row>
    <row r="1669" spans="12:25" ht="25" customHeight="1">
      <c r="L1669" s="31"/>
      <c r="M1669" s="31"/>
      <c r="N1669" s="31"/>
      <c r="X1669" s="35"/>
      <c r="Y1669" s="102"/>
    </row>
    <row r="1670" spans="12:25" ht="25" customHeight="1">
      <c r="L1670" s="31"/>
      <c r="M1670" s="31"/>
      <c r="N1670" s="31"/>
      <c r="X1670" s="35"/>
      <c r="Y1670" s="102"/>
    </row>
    <row r="1671" spans="12:25" ht="25" customHeight="1">
      <c r="L1671" s="31"/>
      <c r="M1671" s="31"/>
      <c r="N1671" s="31"/>
      <c r="X1671" s="35"/>
      <c r="Y1671" s="102"/>
    </row>
    <row r="1672" spans="12:25" ht="25" customHeight="1">
      <c r="L1672" s="31"/>
      <c r="M1672" s="31"/>
      <c r="N1672" s="31"/>
      <c r="X1672" s="35"/>
      <c r="Y1672" s="102"/>
    </row>
    <row r="1673" spans="12:25" ht="25" customHeight="1">
      <c r="L1673" s="31"/>
      <c r="M1673" s="31"/>
      <c r="N1673" s="31"/>
      <c r="X1673" s="35"/>
      <c r="Y1673" s="102"/>
    </row>
    <row r="1674" spans="12:25" ht="25" customHeight="1">
      <c r="L1674" s="31"/>
      <c r="M1674" s="31"/>
      <c r="N1674" s="31"/>
      <c r="X1674" s="35"/>
      <c r="Y1674" s="102"/>
    </row>
    <row r="1675" spans="12:25" ht="25" customHeight="1">
      <c r="L1675" s="31"/>
      <c r="M1675" s="31"/>
      <c r="N1675" s="31"/>
      <c r="X1675" s="35"/>
      <c r="Y1675" s="102"/>
    </row>
    <row r="1676" spans="12:25" ht="25" customHeight="1">
      <c r="L1676" s="31"/>
      <c r="M1676" s="31"/>
      <c r="N1676" s="31"/>
      <c r="X1676" s="35"/>
      <c r="Y1676" s="102"/>
    </row>
    <row r="1677" spans="12:25" ht="25" customHeight="1">
      <c r="L1677" s="31"/>
      <c r="M1677" s="31"/>
      <c r="N1677" s="31"/>
      <c r="X1677" s="35"/>
      <c r="Y1677" s="102"/>
    </row>
    <row r="1678" spans="12:25" ht="25" customHeight="1">
      <c r="L1678" s="31"/>
      <c r="M1678" s="31"/>
      <c r="N1678" s="31"/>
      <c r="X1678" s="35"/>
      <c r="Y1678" s="102"/>
    </row>
    <row r="1679" spans="12:25" ht="25" customHeight="1">
      <c r="L1679" s="31"/>
      <c r="M1679" s="31"/>
      <c r="N1679" s="31"/>
      <c r="X1679" s="35"/>
      <c r="Y1679" s="102"/>
    </row>
    <row r="1680" spans="12:25" ht="25" customHeight="1">
      <c r="L1680" s="31"/>
      <c r="M1680" s="31"/>
      <c r="N1680" s="31"/>
      <c r="X1680" s="35"/>
      <c r="Y1680" s="102"/>
    </row>
    <row r="1681" spans="12:25" ht="25" customHeight="1">
      <c r="L1681" s="31"/>
      <c r="M1681" s="31"/>
      <c r="N1681" s="31"/>
      <c r="X1681" s="35"/>
      <c r="Y1681" s="102"/>
    </row>
    <row r="1682" spans="12:25" ht="25" customHeight="1">
      <c r="L1682" s="31"/>
      <c r="M1682" s="31"/>
      <c r="N1682" s="31"/>
      <c r="X1682" s="35"/>
      <c r="Y1682" s="102"/>
    </row>
    <row r="1683" spans="12:25" ht="25" customHeight="1">
      <c r="L1683" s="31"/>
      <c r="M1683" s="31"/>
      <c r="N1683" s="31"/>
      <c r="X1683" s="35"/>
      <c r="Y1683" s="102"/>
    </row>
    <row r="1684" spans="12:25" ht="25" customHeight="1">
      <c r="L1684" s="31"/>
      <c r="M1684" s="31"/>
      <c r="N1684" s="31"/>
      <c r="X1684" s="35"/>
      <c r="Y1684" s="102"/>
    </row>
    <row r="1685" spans="12:25" ht="25" customHeight="1">
      <c r="L1685" s="31"/>
      <c r="M1685" s="31"/>
      <c r="N1685" s="31"/>
      <c r="X1685" s="35"/>
      <c r="Y1685" s="102"/>
    </row>
    <row r="1686" spans="12:25" ht="25" customHeight="1">
      <c r="L1686" s="31"/>
      <c r="M1686" s="31"/>
      <c r="N1686" s="31"/>
      <c r="X1686" s="35"/>
      <c r="Y1686" s="102"/>
    </row>
    <row r="1687" spans="12:25" ht="25" customHeight="1">
      <c r="L1687" s="31"/>
      <c r="M1687" s="31"/>
      <c r="N1687" s="31"/>
      <c r="X1687" s="35"/>
      <c r="Y1687" s="102"/>
    </row>
    <row r="1688" spans="12:25" ht="25" customHeight="1">
      <c r="L1688" s="31"/>
      <c r="M1688" s="31"/>
      <c r="N1688" s="31"/>
      <c r="X1688" s="35"/>
      <c r="Y1688" s="102"/>
    </row>
    <row r="1689" spans="12:25" ht="25" customHeight="1">
      <c r="L1689" s="31"/>
      <c r="M1689" s="31"/>
      <c r="N1689" s="31"/>
      <c r="X1689" s="35"/>
      <c r="Y1689" s="102"/>
    </row>
    <row r="1690" spans="12:25" ht="25" customHeight="1">
      <c r="L1690" s="31"/>
      <c r="M1690" s="31"/>
      <c r="N1690" s="31"/>
      <c r="X1690" s="35"/>
      <c r="Y1690" s="102"/>
    </row>
    <row r="1691" spans="12:25" ht="25" customHeight="1">
      <c r="L1691" s="31"/>
      <c r="M1691" s="31"/>
      <c r="N1691" s="31"/>
      <c r="X1691" s="35"/>
      <c r="Y1691" s="102"/>
    </row>
    <row r="1692" spans="12:25" ht="25" customHeight="1">
      <c r="L1692" s="31"/>
      <c r="M1692" s="31"/>
      <c r="N1692" s="31"/>
      <c r="X1692" s="35"/>
      <c r="Y1692" s="102"/>
    </row>
    <row r="1693" spans="12:25" ht="25" customHeight="1">
      <c r="L1693" s="31"/>
      <c r="M1693" s="31"/>
      <c r="N1693" s="31"/>
      <c r="X1693" s="35"/>
      <c r="Y1693" s="102"/>
    </row>
    <row r="1694" spans="12:25" ht="25" customHeight="1">
      <c r="L1694" s="31"/>
      <c r="M1694" s="31"/>
      <c r="N1694" s="31"/>
      <c r="X1694" s="35"/>
      <c r="Y1694" s="102"/>
    </row>
    <row r="1695" spans="12:25" ht="25" customHeight="1">
      <c r="L1695" s="31"/>
      <c r="M1695" s="31"/>
      <c r="N1695" s="31"/>
      <c r="X1695" s="35"/>
      <c r="Y1695" s="102"/>
    </row>
    <row r="1696" spans="12:25" ht="25" customHeight="1">
      <c r="L1696" s="31"/>
      <c r="M1696" s="31"/>
      <c r="N1696" s="31"/>
      <c r="X1696" s="35"/>
      <c r="Y1696" s="102"/>
    </row>
    <row r="1697" spans="12:25" ht="25" customHeight="1">
      <c r="L1697" s="31"/>
      <c r="M1697" s="31"/>
      <c r="N1697" s="31"/>
      <c r="X1697" s="35"/>
      <c r="Y1697" s="102"/>
    </row>
    <row r="1698" spans="12:25" ht="25" customHeight="1">
      <c r="L1698" s="31"/>
      <c r="M1698" s="31"/>
      <c r="N1698" s="31"/>
      <c r="X1698" s="35"/>
      <c r="Y1698" s="102"/>
    </row>
    <row r="1699" spans="12:25" ht="25" customHeight="1">
      <c r="L1699" s="31"/>
      <c r="M1699" s="31"/>
      <c r="N1699" s="31"/>
      <c r="X1699" s="35"/>
      <c r="Y1699" s="102"/>
    </row>
    <row r="1700" spans="12:25" ht="25" customHeight="1">
      <c r="L1700" s="31"/>
      <c r="M1700" s="31"/>
      <c r="N1700" s="31"/>
      <c r="X1700" s="35"/>
      <c r="Y1700" s="102"/>
    </row>
    <row r="1701" spans="12:25" ht="25" customHeight="1">
      <c r="L1701" s="31"/>
      <c r="M1701" s="31"/>
      <c r="N1701" s="31"/>
      <c r="X1701" s="35"/>
      <c r="Y1701" s="102"/>
    </row>
    <row r="1702" spans="12:25" ht="25" customHeight="1">
      <c r="L1702" s="31"/>
      <c r="M1702" s="31"/>
      <c r="N1702" s="31"/>
      <c r="X1702" s="35"/>
      <c r="Y1702" s="102"/>
    </row>
    <row r="1703" spans="12:25" ht="25" customHeight="1">
      <c r="L1703" s="31"/>
      <c r="M1703" s="31"/>
      <c r="N1703" s="31"/>
      <c r="X1703" s="35"/>
      <c r="Y1703" s="102"/>
    </row>
    <row r="1704" spans="12:25" ht="25" customHeight="1">
      <c r="L1704" s="31"/>
      <c r="M1704" s="31"/>
      <c r="N1704" s="31"/>
      <c r="X1704" s="35"/>
      <c r="Y1704" s="102"/>
    </row>
    <row r="1705" spans="12:25" ht="25" customHeight="1">
      <c r="L1705" s="31"/>
      <c r="M1705" s="31"/>
      <c r="N1705" s="31"/>
      <c r="X1705" s="35"/>
      <c r="Y1705" s="102"/>
    </row>
    <row r="1706" spans="12:25" ht="25" customHeight="1">
      <c r="L1706" s="31"/>
      <c r="M1706" s="31"/>
      <c r="N1706" s="31"/>
      <c r="X1706" s="35"/>
      <c r="Y1706" s="102"/>
    </row>
    <row r="1707" spans="12:25" ht="25" customHeight="1">
      <c r="L1707" s="31"/>
      <c r="M1707" s="31"/>
      <c r="N1707" s="31"/>
      <c r="X1707" s="35"/>
      <c r="Y1707" s="102"/>
    </row>
    <row r="1708" spans="12:25" ht="25" customHeight="1">
      <c r="L1708" s="31"/>
      <c r="M1708" s="31"/>
      <c r="N1708" s="31"/>
      <c r="X1708" s="35"/>
      <c r="Y1708" s="102"/>
    </row>
    <row r="1709" spans="12:25" ht="25" customHeight="1">
      <c r="L1709" s="31"/>
      <c r="M1709" s="31"/>
      <c r="N1709" s="31"/>
      <c r="X1709" s="35"/>
      <c r="Y1709" s="102"/>
    </row>
    <row r="1710" spans="12:25" ht="25" customHeight="1">
      <c r="L1710" s="31"/>
      <c r="M1710" s="31"/>
      <c r="N1710" s="31"/>
      <c r="X1710" s="35"/>
      <c r="Y1710" s="102"/>
    </row>
    <row r="1711" spans="12:25" ht="25" customHeight="1">
      <c r="L1711" s="31"/>
      <c r="M1711" s="31"/>
      <c r="N1711" s="31"/>
      <c r="X1711" s="35"/>
      <c r="Y1711" s="102"/>
    </row>
    <row r="1712" spans="12:25" ht="25" customHeight="1">
      <c r="L1712" s="31"/>
      <c r="M1712" s="31"/>
      <c r="N1712" s="31"/>
      <c r="X1712" s="35"/>
      <c r="Y1712" s="102"/>
    </row>
    <row r="1713" spans="12:25" ht="25" customHeight="1">
      <c r="L1713" s="31"/>
      <c r="M1713" s="31"/>
      <c r="N1713" s="31"/>
      <c r="X1713" s="35"/>
      <c r="Y1713" s="102"/>
    </row>
    <row r="1714" spans="12:25" ht="25" customHeight="1">
      <c r="L1714" s="31"/>
      <c r="M1714" s="31"/>
      <c r="N1714" s="31"/>
      <c r="X1714" s="35"/>
      <c r="Y1714" s="102"/>
    </row>
    <row r="1715" spans="12:25" ht="25" customHeight="1">
      <c r="L1715" s="31"/>
      <c r="M1715" s="31"/>
      <c r="N1715" s="31"/>
      <c r="X1715" s="35"/>
      <c r="Y1715" s="102"/>
    </row>
    <row r="1716" spans="12:25" ht="25" customHeight="1">
      <c r="L1716" s="31"/>
      <c r="M1716" s="31"/>
      <c r="N1716" s="31"/>
      <c r="X1716" s="35"/>
      <c r="Y1716" s="102"/>
    </row>
    <row r="1717" spans="12:25" ht="25" customHeight="1">
      <c r="L1717" s="31"/>
      <c r="M1717" s="31"/>
      <c r="N1717" s="31"/>
      <c r="X1717" s="35"/>
      <c r="Y1717" s="102"/>
    </row>
    <row r="1718" spans="12:25" ht="25" customHeight="1">
      <c r="L1718" s="31"/>
      <c r="M1718" s="31"/>
      <c r="N1718" s="31"/>
      <c r="X1718" s="35"/>
      <c r="Y1718" s="102"/>
    </row>
    <row r="1719" spans="12:25" ht="25" customHeight="1">
      <c r="L1719" s="31"/>
      <c r="M1719" s="31"/>
      <c r="N1719" s="31"/>
      <c r="X1719" s="35"/>
      <c r="Y1719" s="102"/>
    </row>
    <row r="1720" spans="12:25" ht="25" customHeight="1">
      <c r="L1720" s="31"/>
      <c r="M1720" s="31"/>
      <c r="N1720" s="31"/>
      <c r="X1720" s="35"/>
      <c r="Y1720" s="102"/>
    </row>
    <row r="1721" spans="12:25" ht="25" customHeight="1">
      <c r="L1721" s="31"/>
      <c r="M1721" s="31"/>
      <c r="N1721" s="31"/>
      <c r="X1721" s="35"/>
      <c r="Y1721" s="102"/>
    </row>
    <row r="1722" spans="12:25" ht="25" customHeight="1">
      <c r="L1722" s="31"/>
      <c r="M1722" s="31"/>
      <c r="N1722" s="31"/>
      <c r="X1722" s="35"/>
      <c r="Y1722" s="102"/>
    </row>
    <row r="1723" spans="12:25" ht="25" customHeight="1">
      <c r="L1723" s="31"/>
      <c r="M1723" s="31"/>
      <c r="N1723" s="31"/>
      <c r="X1723" s="35"/>
      <c r="Y1723" s="102"/>
    </row>
    <row r="1724" spans="12:25" ht="25" customHeight="1">
      <c r="L1724" s="31"/>
      <c r="M1724" s="31"/>
      <c r="N1724" s="31"/>
      <c r="X1724" s="35"/>
      <c r="Y1724" s="102"/>
    </row>
    <row r="1725" spans="12:25" ht="25" customHeight="1">
      <c r="L1725" s="31"/>
      <c r="M1725" s="31"/>
      <c r="N1725" s="31"/>
      <c r="X1725" s="35"/>
      <c r="Y1725" s="102"/>
    </row>
    <row r="1726" spans="12:25" ht="25" customHeight="1">
      <c r="L1726" s="31"/>
      <c r="M1726" s="31"/>
      <c r="N1726" s="31"/>
      <c r="X1726" s="35"/>
      <c r="Y1726" s="102"/>
    </row>
    <row r="1727" spans="12:25" ht="25" customHeight="1">
      <c r="L1727" s="31"/>
      <c r="M1727" s="31"/>
      <c r="N1727" s="31"/>
      <c r="X1727" s="35"/>
      <c r="Y1727" s="102"/>
    </row>
    <row r="1728" spans="12:25" ht="25" customHeight="1">
      <c r="L1728" s="31"/>
      <c r="M1728" s="31"/>
      <c r="N1728" s="31"/>
      <c r="X1728" s="35"/>
      <c r="Y1728" s="102"/>
    </row>
    <row r="1729" spans="12:25" ht="25" customHeight="1">
      <c r="L1729" s="31"/>
      <c r="M1729" s="31"/>
      <c r="N1729" s="31"/>
      <c r="X1729" s="35"/>
      <c r="Y1729" s="102"/>
    </row>
    <row r="1730" spans="12:25" ht="25" customHeight="1">
      <c r="L1730" s="31"/>
      <c r="M1730" s="31"/>
      <c r="N1730" s="31"/>
      <c r="X1730" s="35"/>
      <c r="Y1730" s="102"/>
    </row>
    <row r="1731" spans="12:25" ht="25" customHeight="1">
      <c r="L1731" s="31"/>
      <c r="M1731" s="31"/>
      <c r="N1731" s="31"/>
      <c r="X1731" s="35"/>
      <c r="Y1731" s="102"/>
    </row>
    <row r="1732" spans="12:25" ht="25" customHeight="1">
      <c r="L1732" s="31"/>
      <c r="M1732" s="31"/>
      <c r="N1732" s="31"/>
      <c r="X1732" s="35"/>
      <c r="Y1732" s="102"/>
    </row>
    <row r="1733" spans="12:25" ht="25" customHeight="1">
      <c r="L1733" s="31"/>
      <c r="M1733" s="31"/>
      <c r="N1733" s="31"/>
      <c r="X1733" s="35"/>
      <c r="Y1733" s="102"/>
    </row>
    <row r="1734" spans="12:25" ht="25" customHeight="1">
      <c r="L1734" s="31"/>
      <c r="M1734" s="31"/>
      <c r="N1734" s="31"/>
      <c r="X1734" s="35"/>
      <c r="Y1734" s="102"/>
    </row>
    <row r="1735" spans="12:25" ht="25" customHeight="1">
      <c r="L1735" s="31"/>
      <c r="M1735" s="31"/>
      <c r="N1735" s="31"/>
      <c r="X1735" s="35"/>
      <c r="Y1735" s="102"/>
    </row>
    <row r="1736" spans="12:25" ht="25" customHeight="1">
      <c r="L1736" s="31"/>
      <c r="M1736" s="31"/>
      <c r="N1736" s="31"/>
      <c r="X1736" s="35"/>
      <c r="Y1736" s="102"/>
    </row>
    <row r="1737" spans="12:25" ht="25" customHeight="1">
      <c r="L1737" s="31"/>
      <c r="M1737" s="31"/>
      <c r="N1737" s="31"/>
      <c r="X1737" s="35"/>
      <c r="Y1737" s="102"/>
    </row>
    <row r="1738" spans="12:25" ht="25" customHeight="1">
      <c r="L1738" s="31"/>
      <c r="M1738" s="31"/>
      <c r="N1738" s="31"/>
      <c r="X1738" s="35"/>
      <c r="Y1738" s="102"/>
    </row>
    <row r="1739" spans="12:25" ht="25" customHeight="1">
      <c r="L1739" s="31"/>
      <c r="M1739" s="31"/>
      <c r="N1739" s="31"/>
      <c r="X1739" s="35"/>
      <c r="Y1739" s="102"/>
    </row>
    <row r="1740" spans="12:25" ht="25" customHeight="1">
      <c r="L1740" s="31"/>
      <c r="M1740" s="31"/>
      <c r="N1740" s="31"/>
      <c r="X1740" s="35"/>
      <c r="Y1740" s="102"/>
    </row>
    <row r="1741" spans="12:25" ht="25" customHeight="1">
      <c r="L1741" s="31"/>
      <c r="M1741" s="31"/>
      <c r="N1741" s="31"/>
      <c r="X1741" s="35"/>
      <c r="Y1741" s="102"/>
    </row>
    <row r="1742" spans="12:25" ht="25" customHeight="1">
      <c r="L1742" s="31"/>
      <c r="M1742" s="31"/>
      <c r="N1742" s="31"/>
      <c r="X1742" s="35"/>
      <c r="Y1742" s="102"/>
    </row>
    <row r="1743" spans="12:25" ht="25" customHeight="1">
      <c r="L1743" s="31"/>
      <c r="M1743" s="31"/>
      <c r="N1743" s="31"/>
      <c r="X1743" s="35"/>
      <c r="Y1743" s="102"/>
    </row>
    <row r="1744" spans="12:25" ht="25" customHeight="1">
      <c r="L1744" s="31"/>
      <c r="M1744" s="31"/>
      <c r="N1744" s="31"/>
      <c r="X1744" s="35"/>
      <c r="Y1744" s="102"/>
    </row>
    <row r="1745" spans="12:25" ht="25" customHeight="1">
      <c r="L1745" s="31"/>
      <c r="M1745" s="31"/>
      <c r="N1745" s="31"/>
      <c r="X1745" s="35"/>
      <c r="Y1745" s="102"/>
    </row>
    <row r="1746" spans="12:25" ht="25" customHeight="1">
      <c r="L1746" s="31"/>
      <c r="M1746" s="31"/>
      <c r="N1746" s="31"/>
      <c r="X1746" s="35"/>
      <c r="Y1746" s="102"/>
    </row>
    <row r="1747" spans="12:25" ht="25" customHeight="1">
      <c r="L1747" s="31"/>
      <c r="M1747" s="31"/>
      <c r="N1747" s="31"/>
      <c r="X1747" s="35"/>
      <c r="Y1747" s="102"/>
    </row>
    <row r="1748" spans="12:25" ht="25" customHeight="1">
      <c r="L1748" s="31"/>
      <c r="M1748" s="31"/>
      <c r="N1748" s="31"/>
      <c r="X1748" s="35"/>
      <c r="Y1748" s="102"/>
    </row>
    <row r="1749" spans="12:25" ht="25" customHeight="1">
      <c r="L1749" s="31"/>
      <c r="M1749" s="31"/>
      <c r="N1749" s="31"/>
      <c r="X1749" s="35"/>
      <c r="Y1749" s="102"/>
    </row>
    <row r="1750" spans="12:25" ht="25" customHeight="1">
      <c r="L1750" s="31"/>
      <c r="M1750" s="31"/>
      <c r="N1750" s="31"/>
      <c r="X1750" s="35"/>
      <c r="Y1750" s="102"/>
    </row>
    <row r="1751" spans="12:25" ht="25" customHeight="1">
      <c r="L1751" s="31"/>
      <c r="M1751" s="31"/>
      <c r="N1751" s="31"/>
      <c r="X1751" s="35"/>
      <c r="Y1751" s="102"/>
    </row>
    <row r="1752" spans="12:25" ht="25" customHeight="1">
      <c r="L1752" s="31"/>
      <c r="M1752" s="31"/>
      <c r="N1752" s="31"/>
      <c r="X1752" s="35"/>
      <c r="Y1752" s="102"/>
    </row>
    <row r="1753" spans="12:25" ht="25" customHeight="1">
      <c r="L1753" s="31"/>
      <c r="M1753" s="31"/>
      <c r="N1753" s="31"/>
      <c r="X1753" s="35"/>
      <c r="Y1753" s="102"/>
    </row>
    <row r="1754" spans="12:25" ht="25" customHeight="1">
      <c r="L1754" s="31"/>
      <c r="M1754" s="31"/>
      <c r="N1754" s="31"/>
      <c r="X1754" s="35"/>
      <c r="Y1754" s="102"/>
    </row>
    <row r="1755" spans="12:25" ht="25" customHeight="1">
      <c r="L1755" s="31"/>
      <c r="M1755" s="31"/>
      <c r="N1755" s="31"/>
      <c r="X1755" s="35"/>
      <c r="Y1755" s="102"/>
    </row>
    <row r="1756" spans="12:25" ht="25" customHeight="1">
      <c r="L1756" s="31"/>
      <c r="M1756" s="31"/>
      <c r="N1756" s="31"/>
      <c r="X1756" s="35"/>
      <c r="Y1756" s="102"/>
    </row>
    <row r="1757" spans="12:25" ht="25" customHeight="1">
      <c r="L1757" s="31"/>
      <c r="M1757" s="31"/>
      <c r="N1757" s="31"/>
      <c r="X1757" s="35"/>
      <c r="Y1757" s="102"/>
    </row>
    <row r="1758" spans="12:25" ht="25" customHeight="1">
      <c r="L1758" s="31"/>
      <c r="M1758" s="31"/>
      <c r="N1758" s="31"/>
      <c r="X1758" s="35"/>
      <c r="Y1758" s="102"/>
    </row>
    <row r="1759" spans="12:25" ht="25" customHeight="1">
      <c r="L1759" s="31"/>
      <c r="M1759" s="31"/>
      <c r="N1759" s="31"/>
      <c r="X1759" s="35"/>
      <c r="Y1759" s="102"/>
    </row>
    <row r="1760" spans="12:25" ht="25" customHeight="1">
      <c r="L1760" s="31"/>
      <c r="M1760" s="31"/>
      <c r="N1760" s="31"/>
      <c r="X1760" s="35"/>
      <c r="Y1760" s="102"/>
    </row>
    <row r="1761" spans="12:25" ht="25" customHeight="1">
      <c r="L1761" s="31"/>
      <c r="M1761" s="31"/>
      <c r="N1761" s="31"/>
      <c r="X1761" s="35"/>
      <c r="Y1761" s="102"/>
    </row>
    <row r="1762" spans="12:25" ht="25" customHeight="1">
      <c r="L1762" s="31"/>
      <c r="M1762" s="31"/>
      <c r="N1762" s="31"/>
      <c r="X1762" s="35"/>
      <c r="Y1762" s="102"/>
    </row>
    <row r="1763" spans="12:25" ht="25" customHeight="1">
      <c r="L1763" s="31"/>
      <c r="M1763" s="31"/>
      <c r="N1763" s="31"/>
      <c r="X1763" s="35"/>
      <c r="Y1763" s="102"/>
    </row>
    <row r="1764" spans="12:25" ht="25" customHeight="1">
      <c r="L1764" s="31"/>
      <c r="M1764" s="31"/>
      <c r="N1764" s="31"/>
      <c r="X1764" s="35"/>
      <c r="Y1764" s="102"/>
    </row>
    <row r="1765" spans="12:25" ht="25" customHeight="1">
      <c r="L1765" s="31"/>
      <c r="M1765" s="31"/>
      <c r="N1765" s="31"/>
      <c r="X1765" s="35"/>
      <c r="Y1765" s="102"/>
    </row>
    <row r="1766" spans="12:25" ht="25" customHeight="1">
      <c r="L1766" s="31"/>
      <c r="M1766" s="31"/>
      <c r="N1766" s="31"/>
      <c r="X1766" s="35"/>
      <c r="Y1766" s="102"/>
    </row>
    <row r="1767" spans="12:25" ht="25" customHeight="1">
      <c r="L1767" s="31"/>
      <c r="M1767" s="31"/>
      <c r="N1767" s="31"/>
      <c r="X1767" s="35"/>
      <c r="Y1767" s="102"/>
    </row>
    <row r="1768" spans="12:25" ht="25" customHeight="1">
      <c r="L1768" s="31"/>
      <c r="M1768" s="31"/>
      <c r="N1768" s="31"/>
      <c r="X1768" s="35"/>
      <c r="Y1768" s="102"/>
    </row>
    <row r="1769" spans="12:25" ht="25" customHeight="1">
      <c r="L1769" s="31"/>
      <c r="M1769" s="31"/>
      <c r="N1769" s="31"/>
      <c r="X1769" s="35"/>
      <c r="Y1769" s="102"/>
    </row>
    <row r="1770" spans="12:25" ht="25" customHeight="1">
      <c r="L1770" s="31"/>
      <c r="M1770" s="31"/>
      <c r="N1770" s="31"/>
      <c r="X1770" s="35"/>
      <c r="Y1770" s="102"/>
    </row>
    <row r="1771" spans="12:25" ht="25" customHeight="1">
      <c r="L1771" s="31"/>
      <c r="M1771" s="31"/>
      <c r="N1771" s="31"/>
      <c r="X1771" s="35"/>
      <c r="Y1771" s="102"/>
    </row>
    <row r="1772" spans="12:25" ht="25" customHeight="1">
      <c r="L1772" s="31"/>
      <c r="M1772" s="31"/>
      <c r="N1772" s="31"/>
      <c r="X1772" s="35"/>
      <c r="Y1772" s="102"/>
    </row>
    <row r="1773" spans="12:25" ht="25" customHeight="1">
      <c r="L1773" s="31"/>
      <c r="M1773" s="31"/>
      <c r="N1773" s="31"/>
      <c r="X1773" s="35"/>
      <c r="Y1773" s="102"/>
    </row>
    <row r="1774" spans="12:25" ht="25" customHeight="1">
      <c r="L1774" s="31"/>
      <c r="M1774" s="31"/>
      <c r="N1774" s="31"/>
      <c r="X1774" s="35"/>
      <c r="Y1774" s="102"/>
    </row>
    <row r="1775" spans="12:25" ht="25" customHeight="1">
      <c r="L1775" s="31"/>
      <c r="M1775" s="31"/>
      <c r="N1775" s="31"/>
      <c r="X1775" s="35"/>
      <c r="Y1775" s="102"/>
    </row>
    <row r="1776" spans="12:25" ht="25" customHeight="1">
      <c r="L1776" s="31"/>
      <c r="M1776" s="31"/>
      <c r="N1776" s="31"/>
      <c r="X1776" s="35"/>
      <c r="Y1776" s="102"/>
    </row>
    <row r="1777" spans="12:25" ht="25" customHeight="1">
      <c r="L1777" s="31"/>
      <c r="M1777" s="31"/>
      <c r="N1777" s="31"/>
      <c r="X1777" s="35"/>
      <c r="Y1777" s="102"/>
    </row>
    <row r="1778" spans="12:25" ht="25" customHeight="1">
      <c r="L1778" s="31"/>
      <c r="M1778" s="31"/>
      <c r="N1778" s="31"/>
      <c r="X1778" s="35"/>
      <c r="Y1778" s="102"/>
    </row>
    <row r="1779" spans="12:25" ht="25" customHeight="1">
      <c r="L1779" s="31"/>
      <c r="M1779" s="31"/>
      <c r="N1779" s="31"/>
      <c r="X1779" s="35"/>
      <c r="Y1779" s="102"/>
    </row>
    <row r="1780" spans="12:25" ht="25" customHeight="1">
      <c r="L1780" s="31"/>
      <c r="M1780" s="31"/>
      <c r="N1780" s="31"/>
      <c r="X1780" s="35"/>
      <c r="Y1780" s="102"/>
    </row>
    <row r="1781" spans="12:25" ht="25" customHeight="1">
      <c r="L1781" s="31"/>
      <c r="M1781" s="31"/>
      <c r="N1781" s="31"/>
      <c r="X1781" s="35"/>
      <c r="Y1781" s="102"/>
    </row>
    <row r="1782" spans="12:25" ht="25" customHeight="1">
      <c r="L1782" s="31"/>
      <c r="M1782" s="31"/>
      <c r="N1782" s="31"/>
      <c r="X1782" s="35"/>
      <c r="Y1782" s="102"/>
    </row>
    <row r="1783" spans="12:25" ht="25" customHeight="1">
      <c r="L1783" s="31"/>
      <c r="M1783" s="31"/>
      <c r="N1783" s="31"/>
      <c r="X1783" s="35"/>
      <c r="Y1783" s="102"/>
    </row>
    <row r="1784" spans="12:25" ht="25" customHeight="1">
      <c r="L1784" s="31"/>
      <c r="M1784" s="31"/>
      <c r="N1784" s="31"/>
      <c r="X1784" s="35"/>
      <c r="Y1784" s="102"/>
    </row>
    <row r="1785" spans="12:25" ht="25" customHeight="1">
      <c r="L1785" s="31"/>
      <c r="M1785" s="31"/>
      <c r="N1785" s="31"/>
      <c r="X1785" s="35"/>
      <c r="Y1785" s="102"/>
    </row>
    <row r="1786" spans="12:25" ht="25" customHeight="1">
      <c r="L1786" s="31"/>
      <c r="M1786" s="31"/>
      <c r="N1786" s="31"/>
      <c r="X1786" s="35"/>
      <c r="Y1786" s="102"/>
    </row>
    <row r="1787" spans="12:25" ht="25" customHeight="1">
      <c r="L1787" s="31"/>
      <c r="M1787" s="31"/>
      <c r="N1787" s="31"/>
      <c r="X1787" s="35"/>
      <c r="Y1787" s="102"/>
    </row>
    <row r="1788" spans="12:25" ht="25" customHeight="1">
      <c r="L1788" s="31"/>
      <c r="M1788" s="31"/>
      <c r="N1788" s="31"/>
      <c r="X1788" s="35"/>
      <c r="Y1788" s="102"/>
    </row>
    <row r="1789" spans="12:25" ht="25" customHeight="1">
      <c r="L1789" s="31"/>
      <c r="M1789" s="31"/>
      <c r="N1789" s="31"/>
      <c r="X1789" s="35"/>
      <c r="Y1789" s="102"/>
    </row>
    <row r="1790" spans="12:25" ht="25" customHeight="1">
      <c r="L1790" s="31"/>
      <c r="M1790" s="31"/>
      <c r="N1790" s="31"/>
      <c r="X1790" s="35"/>
      <c r="Y1790" s="102"/>
    </row>
    <row r="1791" spans="12:25" ht="25" customHeight="1">
      <c r="L1791" s="31"/>
      <c r="M1791" s="31"/>
      <c r="N1791" s="31"/>
      <c r="X1791" s="35"/>
      <c r="Y1791" s="102"/>
    </row>
    <row r="1792" spans="12:25" ht="25" customHeight="1">
      <c r="L1792" s="31"/>
      <c r="M1792" s="31"/>
      <c r="N1792" s="31"/>
      <c r="X1792" s="35"/>
      <c r="Y1792" s="102"/>
    </row>
    <row r="1793" spans="12:25" ht="25" customHeight="1">
      <c r="L1793" s="31"/>
      <c r="M1793" s="31"/>
      <c r="N1793" s="31"/>
      <c r="X1793" s="35"/>
      <c r="Y1793" s="102"/>
    </row>
    <row r="1794" spans="12:25" ht="25" customHeight="1">
      <c r="L1794" s="31"/>
      <c r="M1794" s="31"/>
      <c r="N1794" s="31"/>
      <c r="X1794" s="35"/>
      <c r="Y1794" s="102"/>
    </row>
    <row r="1795" spans="12:25" ht="25" customHeight="1">
      <c r="L1795" s="31"/>
      <c r="M1795" s="31"/>
      <c r="N1795" s="31"/>
      <c r="X1795" s="35"/>
      <c r="Y1795" s="102"/>
    </row>
    <row r="1796" spans="12:25" ht="25" customHeight="1">
      <c r="L1796" s="31"/>
      <c r="M1796" s="31"/>
      <c r="N1796" s="31"/>
      <c r="X1796" s="35"/>
      <c r="Y1796" s="102"/>
    </row>
    <row r="1797" spans="12:25" ht="25" customHeight="1">
      <c r="L1797" s="31"/>
      <c r="M1797" s="31"/>
      <c r="N1797" s="31"/>
      <c r="X1797" s="35"/>
      <c r="Y1797" s="102"/>
    </row>
    <row r="1798" spans="12:25" ht="25" customHeight="1">
      <c r="L1798" s="31"/>
      <c r="M1798" s="31"/>
      <c r="N1798" s="31"/>
      <c r="X1798" s="35"/>
      <c r="Y1798" s="102"/>
    </row>
    <row r="1799" spans="12:25" ht="25" customHeight="1">
      <c r="L1799" s="31"/>
      <c r="M1799" s="31"/>
      <c r="N1799" s="31"/>
      <c r="X1799" s="35"/>
      <c r="Y1799" s="102"/>
    </row>
    <row r="1800" spans="12:25" ht="25" customHeight="1">
      <c r="L1800" s="31"/>
      <c r="M1800" s="31"/>
      <c r="N1800" s="31"/>
      <c r="X1800" s="35"/>
      <c r="Y1800" s="102"/>
    </row>
    <row r="1801" spans="12:25" ht="25" customHeight="1">
      <c r="L1801" s="31"/>
      <c r="M1801" s="31"/>
      <c r="N1801" s="31"/>
      <c r="X1801" s="35"/>
      <c r="Y1801" s="102"/>
    </row>
    <row r="1802" spans="12:25" ht="25" customHeight="1">
      <c r="L1802" s="31"/>
      <c r="M1802" s="31"/>
      <c r="N1802" s="31"/>
      <c r="X1802" s="35"/>
      <c r="Y1802" s="102"/>
    </row>
    <row r="1803" spans="12:25" ht="25" customHeight="1">
      <c r="L1803" s="31"/>
      <c r="M1803" s="31"/>
      <c r="N1803" s="31"/>
      <c r="X1803" s="35"/>
      <c r="Y1803" s="102"/>
    </row>
    <row r="1804" spans="12:25" ht="25" customHeight="1">
      <c r="L1804" s="31"/>
      <c r="M1804" s="31"/>
      <c r="N1804" s="31"/>
      <c r="X1804" s="35"/>
      <c r="Y1804" s="102"/>
    </row>
    <row r="1805" spans="12:25" ht="25" customHeight="1">
      <c r="L1805" s="31"/>
      <c r="M1805" s="31"/>
      <c r="N1805" s="31"/>
      <c r="X1805" s="35"/>
      <c r="Y1805" s="102"/>
    </row>
    <row r="1806" spans="12:25" ht="25" customHeight="1">
      <c r="L1806" s="31"/>
      <c r="M1806" s="31"/>
      <c r="N1806" s="31"/>
      <c r="X1806" s="35"/>
      <c r="Y1806" s="102"/>
    </row>
    <row r="1807" spans="12:25" ht="25" customHeight="1">
      <c r="L1807" s="31"/>
      <c r="M1807" s="31"/>
      <c r="N1807" s="31"/>
      <c r="X1807" s="35"/>
      <c r="Y1807" s="102"/>
    </row>
    <row r="1808" spans="12:25" ht="25" customHeight="1">
      <c r="L1808" s="31"/>
      <c r="M1808" s="31"/>
      <c r="N1808" s="31"/>
      <c r="X1808" s="35"/>
      <c r="Y1808" s="102"/>
    </row>
    <row r="1809" spans="12:25" ht="25" customHeight="1">
      <c r="L1809" s="31"/>
      <c r="M1809" s="31"/>
      <c r="N1809" s="31"/>
      <c r="X1809" s="35"/>
      <c r="Y1809" s="102"/>
    </row>
    <row r="1810" spans="12:25" ht="25" customHeight="1">
      <c r="L1810" s="31"/>
      <c r="M1810" s="31"/>
      <c r="N1810" s="31"/>
      <c r="X1810" s="35"/>
      <c r="Y1810" s="102"/>
    </row>
    <row r="1811" spans="12:25" ht="25" customHeight="1">
      <c r="L1811" s="31"/>
      <c r="M1811" s="31"/>
      <c r="N1811" s="31"/>
      <c r="X1811" s="35"/>
      <c r="Y1811" s="102"/>
    </row>
    <row r="1812" spans="12:25" ht="25" customHeight="1">
      <c r="L1812" s="31"/>
      <c r="M1812" s="31"/>
      <c r="N1812" s="31"/>
      <c r="X1812" s="35"/>
      <c r="Y1812" s="102"/>
    </row>
    <row r="1813" spans="12:25" ht="25" customHeight="1">
      <c r="L1813" s="31"/>
      <c r="M1813" s="31"/>
      <c r="N1813" s="31"/>
      <c r="X1813" s="35"/>
      <c r="Y1813" s="102"/>
    </row>
    <row r="1814" spans="12:25" ht="25" customHeight="1">
      <c r="L1814" s="31"/>
      <c r="M1814" s="31"/>
      <c r="N1814" s="31"/>
      <c r="X1814" s="35"/>
      <c r="Y1814" s="102"/>
    </row>
    <row r="1815" spans="12:25" ht="25" customHeight="1">
      <c r="L1815" s="31"/>
      <c r="M1815" s="31"/>
      <c r="N1815" s="31"/>
      <c r="X1815" s="35"/>
      <c r="Y1815" s="102"/>
    </row>
    <row r="1816" spans="12:25" ht="25" customHeight="1">
      <c r="L1816" s="31"/>
      <c r="M1816" s="31"/>
      <c r="N1816" s="31"/>
      <c r="X1816" s="35"/>
      <c r="Y1816" s="102"/>
    </row>
    <row r="1817" spans="12:25" ht="25" customHeight="1">
      <c r="L1817" s="31"/>
      <c r="M1817" s="31"/>
      <c r="N1817" s="31"/>
      <c r="X1817" s="35"/>
      <c r="Y1817" s="102"/>
    </row>
    <row r="1818" spans="12:25" ht="25" customHeight="1">
      <c r="L1818" s="31"/>
      <c r="M1818" s="31"/>
      <c r="N1818" s="31"/>
      <c r="X1818" s="35"/>
      <c r="Y1818" s="102"/>
    </row>
    <row r="1819" spans="12:25" ht="25" customHeight="1">
      <c r="L1819" s="31"/>
      <c r="M1819" s="31"/>
      <c r="N1819" s="31"/>
      <c r="X1819" s="35"/>
      <c r="Y1819" s="102"/>
    </row>
    <row r="1820" spans="12:25" ht="25" customHeight="1">
      <c r="L1820" s="31"/>
      <c r="M1820" s="31"/>
      <c r="N1820" s="31"/>
      <c r="X1820" s="35"/>
      <c r="Y1820" s="102"/>
    </row>
    <row r="1821" spans="12:25" ht="25" customHeight="1">
      <c r="L1821" s="31"/>
      <c r="M1821" s="31"/>
      <c r="N1821" s="31"/>
      <c r="X1821" s="35"/>
      <c r="Y1821" s="102"/>
    </row>
    <row r="1822" spans="12:25" ht="25" customHeight="1">
      <c r="L1822" s="31"/>
      <c r="M1822" s="31"/>
      <c r="N1822" s="31"/>
      <c r="X1822" s="35"/>
      <c r="Y1822" s="102"/>
    </row>
    <row r="1823" spans="12:25" ht="25" customHeight="1">
      <c r="L1823" s="31"/>
      <c r="M1823" s="31"/>
      <c r="N1823" s="31"/>
      <c r="X1823" s="35"/>
      <c r="Y1823" s="102"/>
    </row>
    <row r="1824" spans="12:25" ht="25" customHeight="1">
      <c r="L1824" s="31"/>
      <c r="M1824" s="31"/>
      <c r="N1824" s="31"/>
      <c r="X1824" s="35"/>
      <c r="Y1824" s="102"/>
    </row>
    <row r="1825" spans="12:25" ht="25" customHeight="1">
      <c r="L1825" s="31"/>
      <c r="M1825" s="31"/>
      <c r="N1825" s="31"/>
      <c r="X1825" s="35"/>
      <c r="Y1825" s="102"/>
    </row>
    <row r="1826" spans="12:25" ht="25" customHeight="1">
      <c r="L1826" s="31"/>
      <c r="M1826" s="31"/>
      <c r="N1826" s="31"/>
      <c r="X1826" s="35"/>
      <c r="Y1826" s="102"/>
    </row>
    <row r="1827" spans="12:25" ht="25" customHeight="1">
      <c r="L1827" s="31"/>
      <c r="M1827" s="31"/>
      <c r="N1827" s="31"/>
      <c r="X1827" s="35"/>
      <c r="Y1827" s="102"/>
    </row>
    <row r="1828" spans="12:25" ht="25" customHeight="1">
      <c r="L1828" s="31"/>
      <c r="M1828" s="31"/>
      <c r="N1828" s="31"/>
      <c r="X1828" s="35"/>
      <c r="Y1828" s="102"/>
    </row>
    <row r="1829" spans="12:25" ht="25" customHeight="1">
      <c r="L1829" s="31"/>
      <c r="M1829" s="31"/>
      <c r="N1829" s="31"/>
      <c r="X1829" s="35"/>
      <c r="Y1829" s="102"/>
    </row>
    <row r="1830" spans="12:25" ht="25" customHeight="1">
      <c r="L1830" s="31"/>
      <c r="M1830" s="31"/>
      <c r="N1830" s="31"/>
      <c r="X1830" s="35"/>
      <c r="Y1830" s="102"/>
    </row>
    <row r="1831" spans="12:25" ht="25" customHeight="1">
      <c r="L1831" s="31"/>
      <c r="M1831" s="31"/>
      <c r="N1831" s="31"/>
      <c r="X1831" s="35"/>
      <c r="Y1831" s="102"/>
    </row>
    <row r="1832" spans="12:25" ht="25" customHeight="1">
      <c r="L1832" s="31"/>
      <c r="M1832" s="31"/>
      <c r="N1832" s="31"/>
      <c r="X1832" s="35"/>
      <c r="Y1832" s="102"/>
    </row>
    <row r="1833" spans="12:25" ht="25" customHeight="1">
      <c r="L1833" s="31"/>
      <c r="M1833" s="31"/>
      <c r="N1833" s="31"/>
      <c r="X1833" s="35"/>
      <c r="Y1833" s="102"/>
    </row>
    <row r="1834" spans="12:25" ht="25" customHeight="1">
      <c r="L1834" s="31"/>
      <c r="M1834" s="31"/>
      <c r="N1834" s="31"/>
      <c r="X1834" s="35"/>
      <c r="Y1834" s="102"/>
    </row>
    <row r="1835" spans="12:25" ht="25" customHeight="1">
      <c r="L1835" s="31"/>
      <c r="M1835" s="31"/>
      <c r="N1835" s="31"/>
      <c r="X1835" s="35"/>
      <c r="Y1835" s="102"/>
    </row>
    <row r="1836" spans="12:25" ht="25" customHeight="1">
      <c r="L1836" s="31"/>
      <c r="M1836" s="31"/>
      <c r="N1836" s="31"/>
      <c r="X1836" s="35"/>
      <c r="Y1836" s="102"/>
    </row>
    <row r="1837" spans="12:25" ht="25" customHeight="1">
      <c r="L1837" s="31"/>
      <c r="M1837" s="31"/>
      <c r="N1837" s="31"/>
      <c r="X1837" s="35"/>
      <c r="Y1837" s="102"/>
    </row>
    <row r="1838" spans="12:25" ht="25" customHeight="1">
      <c r="L1838" s="31"/>
      <c r="M1838" s="31"/>
      <c r="N1838" s="31"/>
      <c r="X1838" s="35"/>
      <c r="Y1838" s="102"/>
    </row>
    <row r="1839" spans="12:25" ht="25" customHeight="1">
      <c r="L1839" s="31"/>
      <c r="M1839" s="31"/>
      <c r="N1839" s="31"/>
      <c r="X1839" s="35"/>
      <c r="Y1839" s="102"/>
    </row>
    <row r="1840" spans="12:25" ht="25" customHeight="1">
      <c r="L1840" s="31"/>
      <c r="M1840" s="31"/>
      <c r="N1840" s="31"/>
      <c r="X1840" s="35"/>
      <c r="Y1840" s="102"/>
    </row>
    <row r="1841" spans="12:25" ht="25" customHeight="1">
      <c r="L1841" s="31"/>
      <c r="M1841" s="31"/>
      <c r="N1841" s="31"/>
      <c r="X1841" s="35"/>
      <c r="Y1841" s="102"/>
    </row>
    <row r="1842" spans="12:25" ht="25" customHeight="1">
      <c r="L1842" s="31"/>
      <c r="M1842" s="31"/>
      <c r="N1842" s="31"/>
      <c r="X1842" s="35"/>
      <c r="Y1842" s="102"/>
    </row>
    <row r="1843" spans="12:25" ht="25" customHeight="1">
      <c r="L1843" s="31"/>
      <c r="M1843" s="31"/>
      <c r="N1843" s="31"/>
      <c r="X1843" s="35"/>
      <c r="Y1843" s="102"/>
    </row>
    <row r="1844" spans="12:25" ht="25" customHeight="1">
      <c r="L1844" s="31"/>
      <c r="M1844" s="31"/>
      <c r="N1844" s="31"/>
      <c r="X1844" s="35"/>
      <c r="Y1844" s="102"/>
    </row>
    <row r="1845" spans="12:25" ht="25" customHeight="1">
      <c r="L1845" s="31"/>
      <c r="M1845" s="31"/>
      <c r="N1845" s="31"/>
      <c r="X1845" s="35"/>
      <c r="Y1845" s="102"/>
    </row>
    <row r="1846" spans="12:25" ht="25" customHeight="1">
      <c r="L1846" s="31"/>
      <c r="M1846" s="31"/>
      <c r="N1846" s="31"/>
      <c r="X1846" s="35"/>
      <c r="Y1846" s="102"/>
    </row>
    <row r="1847" spans="12:25" ht="25" customHeight="1">
      <c r="L1847" s="31"/>
      <c r="M1847" s="31"/>
      <c r="N1847" s="31"/>
      <c r="X1847" s="35"/>
      <c r="Y1847" s="102"/>
    </row>
    <row r="1848" spans="12:25" ht="25" customHeight="1">
      <c r="L1848" s="31"/>
      <c r="M1848" s="31"/>
      <c r="N1848" s="31"/>
      <c r="X1848" s="35"/>
      <c r="Y1848" s="102"/>
    </row>
    <row r="1849" spans="12:25" ht="25" customHeight="1">
      <c r="L1849" s="31"/>
      <c r="M1849" s="31"/>
      <c r="N1849" s="31"/>
      <c r="X1849" s="35"/>
      <c r="Y1849" s="102"/>
    </row>
    <row r="1850" spans="12:25" ht="25" customHeight="1">
      <c r="L1850" s="31"/>
      <c r="M1850" s="31"/>
      <c r="N1850" s="31"/>
      <c r="X1850" s="35"/>
      <c r="Y1850" s="102"/>
    </row>
    <row r="1851" spans="12:25" ht="25" customHeight="1">
      <c r="L1851" s="31"/>
      <c r="M1851" s="31"/>
      <c r="N1851" s="31"/>
      <c r="X1851" s="35"/>
      <c r="Y1851" s="102"/>
    </row>
    <row r="1852" spans="12:25" ht="25" customHeight="1">
      <c r="L1852" s="31"/>
      <c r="M1852" s="31"/>
      <c r="N1852" s="31"/>
      <c r="X1852" s="35"/>
      <c r="Y1852" s="102"/>
    </row>
    <row r="1853" spans="12:25" ht="25" customHeight="1">
      <c r="L1853" s="31"/>
      <c r="M1853" s="31"/>
      <c r="N1853" s="31"/>
      <c r="X1853" s="35"/>
      <c r="Y1853" s="102"/>
    </row>
    <row r="1854" spans="12:25" ht="25" customHeight="1">
      <c r="L1854" s="31"/>
      <c r="M1854" s="31"/>
      <c r="N1854" s="31"/>
      <c r="X1854" s="35"/>
      <c r="Y1854" s="102"/>
    </row>
    <row r="1855" spans="12:25" ht="25" customHeight="1">
      <c r="L1855" s="31"/>
      <c r="M1855" s="31"/>
      <c r="N1855" s="31"/>
      <c r="X1855" s="35"/>
      <c r="Y1855" s="102"/>
    </row>
    <row r="1856" spans="12:25" ht="25" customHeight="1">
      <c r="L1856" s="31"/>
      <c r="M1856" s="31"/>
      <c r="N1856" s="31"/>
      <c r="X1856" s="35"/>
      <c r="Y1856" s="102"/>
    </row>
    <row r="1857" spans="12:25" ht="25" customHeight="1">
      <c r="L1857" s="31"/>
      <c r="M1857" s="31"/>
      <c r="N1857" s="31"/>
      <c r="X1857" s="35"/>
      <c r="Y1857" s="102"/>
    </row>
    <row r="1858" spans="12:25" ht="25" customHeight="1">
      <c r="L1858" s="31"/>
      <c r="M1858" s="31"/>
      <c r="N1858" s="31"/>
      <c r="X1858" s="35"/>
      <c r="Y1858" s="102"/>
    </row>
    <row r="1859" spans="12:25" ht="25" customHeight="1">
      <c r="L1859" s="31"/>
      <c r="M1859" s="31"/>
      <c r="N1859" s="31"/>
      <c r="X1859" s="35"/>
      <c r="Y1859" s="102"/>
    </row>
    <row r="1860" spans="12:25" ht="25" customHeight="1">
      <c r="L1860" s="31"/>
      <c r="M1860" s="31"/>
      <c r="N1860" s="31"/>
      <c r="X1860" s="35"/>
      <c r="Y1860" s="102"/>
    </row>
    <row r="1861" spans="12:25" ht="25" customHeight="1">
      <c r="L1861" s="31"/>
      <c r="M1861" s="31"/>
      <c r="N1861" s="31"/>
      <c r="X1861" s="35"/>
      <c r="Y1861" s="102"/>
    </row>
    <row r="1862" spans="12:25" ht="25" customHeight="1">
      <c r="L1862" s="31"/>
      <c r="M1862" s="31"/>
      <c r="N1862" s="31"/>
      <c r="X1862" s="35"/>
      <c r="Y1862" s="102"/>
    </row>
    <row r="1863" spans="12:25" ht="25" customHeight="1">
      <c r="L1863" s="31"/>
      <c r="M1863" s="31"/>
      <c r="N1863" s="31"/>
      <c r="X1863" s="35"/>
      <c r="Y1863" s="102"/>
    </row>
    <row r="1864" spans="12:25" ht="25" customHeight="1">
      <c r="L1864" s="31"/>
      <c r="M1864" s="31"/>
      <c r="N1864" s="31"/>
      <c r="X1864" s="35"/>
      <c r="Y1864" s="102"/>
    </row>
    <row r="1865" spans="12:25" ht="25" customHeight="1">
      <c r="L1865" s="31"/>
      <c r="M1865" s="31"/>
      <c r="N1865" s="31"/>
      <c r="X1865" s="35"/>
      <c r="Y1865" s="102"/>
    </row>
    <row r="1866" spans="12:25" ht="25" customHeight="1">
      <c r="L1866" s="31"/>
      <c r="M1866" s="31"/>
      <c r="N1866" s="31"/>
      <c r="X1866" s="35"/>
      <c r="Y1866" s="102"/>
    </row>
    <row r="1867" spans="12:25" ht="25" customHeight="1">
      <c r="L1867" s="31"/>
      <c r="M1867" s="31"/>
      <c r="N1867" s="31"/>
      <c r="X1867" s="35"/>
      <c r="Y1867" s="102"/>
    </row>
    <row r="1868" spans="12:25" ht="25" customHeight="1">
      <c r="L1868" s="31"/>
      <c r="M1868" s="31"/>
      <c r="N1868" s="31"/>
      <c r="X1868" s="35"/>
      <c r="Y1868" s="102"/>
    </row>
    <row r="1869" spans="12:25" ht="25" customHeight="1">
      <c r="L1869" s="31"/>
      <c r="M1869" s="31"/>
      <c r="N1869" s="31"/>
      <c r="X1869" s="35"/>
      <c r="Y1869" s="102"/>
    </row>
    <row r="1870" spans="12:25" ht="25" customHeight="1">
      <c r="L1870" s="31"/>
      <c r="M1870" s="31"/>
      <c r="N1870" s="31"/>
      <c r="X1870" s="35"/>
      <c r="Y1870" s="102"/>
    </row>
    <row r="1871" spans="12:25" ht="25" customHeight="1">
      <c r="L1871" s="31"/>
      <c r="M1871" s="31"/>
      <c r="N1871" s="31"/>
      <c r="X1871" s="35"/>
      <c r="Y1871" s="102"/>
    </row>
    <row r="1872" spans="12:25" ht="25" customHeight="1">
      <c r="L1872" s="31"/>
      <c r="M1872" s="31"/>
      <c r="N1872" s="31"/>
      <c r="X1872" s="35"/>
      <c r="Y1872" s="102"/>
    </row>
    <row r="1873" spans="12:25" ht="25" customHeight="1">
      <c r="L1873" s="31"/>
      <c r="M1873" s="31"/>
      <c r="N1873" s="31"/>
      <c r="X1873" s="35"/>
      <c r="Y1873" s="102"/>
    </row>
    <row r="1874" spans="12:25" ht="25" customHeight="1">
      <c r="L1874" s="31"/>
      <c r="M1874" s="31"/>
      <c r="N1874" s="31"/>
      <c r="X1874" s="35"/>
      <c r="Y1874" s="102"/>
    </row>
    <row r="1875" spans="12:25" ht="25" customHeight="1">
      <c r="L1875" s="31"/>
      <c r="M1875" s="31"/>
      <c r="N1875" s="31"/>
      <c r="X1875" s="35"/>
      <c r="Y1875" s="102"/>
    </row>
    <row r="1876" spans="12:25" ht="25" customHeight="1">
      <c r="L1876" s="31"/>
      <c r="M1876" s="31"/>
      <c r="N1876" s="31"/>
      <c r="X1876" s="35"/>
      <c r="Y1876" s="102"/>
    </row>
    <row r="1877" spans="12:25" ht="25" customHeight="1">
      <c r="L1877" s="31"/>
      <c r="M1877" s="31"/>
      <c r="N1877" s="31"/>
      <c r="X1877" s="35"/>
      <c r="Y1877" s="102"/>
    </row>
    <row r="1878" spans="12:25" ht="25" customHeight="1">
      <c r="L1878" s="31"/>
      <c r="M1878" s="31"/>
      <c r="N1878" s="31"/>
      <c r="X1878" s="35"/>
      <c r="Y1878" s="102"/>
    </row>
    <row r="1879" spans="12:25" ht="25" customHeight="1">
      <c r="L1879" s="31"/>
      <c r="M1879" s="31"/>
      <c r="N1879" s="31"/>
      <c r="X1879" s="35"/>
      <c r="Y1879" s="102"/>
    </row>
    <row r="1880" spans="12:25" ht="25" customHeight="1">
      <c r="L1880" s="31"/>
      <c r="M1880" s="31"/>
      <c r="N1880" s="31"/>
      <c r="X1880" s="35"/>
      <c r="Y1880" s="102"/>
    </row>
    <row r="1881" spans="12:25" ht="25" customHeight="1">
      <c r="L1881" s="31"/>
      <c r="M1881" s="31"/>
      <c r="N1881" s="31"/>
      <c r="X1881" s="35"/>
      <c r="Y1881" s="102"/>
    </row>
    <row r="1882" spans="12:25" ht="25" customHeight="1">
      <c r="L1882" s="31"/>
      <c r="M1882" s="31"/>
      <c r="N1882" s="31"/>
      <c r="X1882" s="35"/>
      <c r="Y1882" s="102"/>
    </row>
    <row r="1883" spans="12:25" ht="25" customHeight="1">
      <c r="L1883" s="31"/>
      <c r="M1883" s="31"/>
      <c r="N1883" s="31"/>
      <c r="X1883" s="35"/>
      <c r="Y1883" s="102"/>
    </row>
    <row r="1884" spans="12:25" ht="25" customHeight="1">
      <c r="L1884" s="31"/>
      <c r="M1884" s="31"/>
      <c r="N1884" s="31"/>
      <c r="X1884" s="35"/>
      <c r="Y1884" s="102"/>
    </row>
    <row r="1885" spans="12:25" ht="25" customHeight="1">
      <c r="L1885" s="31"/>
      <c r="M1885" s="31"/>
      <c r="N1885" s="31"/>
      <c r="X1885" s="35"/>
      <c r="Y1885" s="102"/>
    </row>
    <row r="1886" spans="12:25" ht="25" customHeight="1">
      <c r="L1886" s="31"/>
      <c r="M1886" s="31"/>
      <c r="N1886" s="31"/>
      <c r="X1886" s="35"/>
      <c r="Y1886" s="102"/>
    </row>
    <row r="1887" spans="12:25" ht="25" customHeight="1">
      <c r="L1887" s="31"/>
      <c r="M1887" s="31"/>
      <c r="N1887" s="31"/>
      <c r="X1887" s="35"/>
      <c r="Y1887" s="102"/>
    </row>
    <row r="1888" spans="12:25" ht="25" customHeight="1">
      <c r="L1888" s="31"/>
      <c r="M1888" s="31"/>
      <c r="N1888" s="31"/>
      <c r="X1888" s="35"/>
      <c r="Y1888" s="102"/>
    </row>
    <row r="1889" spans="12:25" ht="25" customHeight="1">
      <c r="L1889" s="31"/>
      <c r="M1889" s="31"/>
      <c r="N1889" s="31"/>
      <c r="X1889" s="35"/>
      <c r="Y1889" s="102"/>
    </row>
    <row r="1890" spans="12:25" ht="25" customHeight="1">
      <c r="L1890" s="31"/>
      <c r="M1890" s="31"/>
      <c r="N1890" s="31"/>
      <c r="X1890" s="35"/>
      <c r="Y1890" s="102"/>
    </row>
    <row r="1891" spans="12:25" ht="25" customHeight="1">
      <c r="L1891" s="31"/>
      <c r="M1891" s="31"/>
      <c r="N1891" s="31"/>
      <c r="X1891" s="35"/>
      <c r="Y1891" s="102"/>
    </row>
    <row r="1892" spans="12:25" ht="25" customHeight="1">
      <c r="L1892" s="31"/>
      <c r="M1892" s="31"/>
      <c r="N1892" s="31"/>
      <c r="X1892" s="35"/>
      <c r="Y1892" s="102"/>
    </row>
    <row r="1893" spans="12:25" ht="25" customHeight="1">
      <c r="L1893" s="31"/>
      <c r="M1893" s="31"/>
      <c r="N1893" s="31"/>
      <c r="X1893" s="35"/>
      <c r="Y1893" s="102"/>
    </row>
    <row r="1894" spans="12:25" ht="25" customHeight="1">
      <c r="L1894" s="31"/>
      <c r="M1894" s="31"/>
      <c r="N1894" s="31"/>
      <c r="X1894" s="35"/>
      <c r="Y1894" s="102"/>
    </row>
    <row r="1895" spans="12:25" ht="25" customHeight="1">
      <c r="L1895" s="31"/>
      <c r="M1895" s="31"/>
      <c r="N1895" s="31"/>
      <c r="X1895" s="35"/>
      <c r="Y1895" s="102"/>
    </row>
    <row r="1896" spans="12:25" ht="25" customHeight="1">
      <c r="L1896" s="31"/>
      <c r="M1896" s="31"/>
      <c r="N1896" s="31"/>
      <c r="X1896" s="35"/>
      <c r="Y1896" s="102"/>
    </row>
    <row r="1897" spans="12:25" ht="25" customHeight="1">
      <c r="L1897" s="31"/>
      <c r="M1897" s="31"/>
      <c r="N1897" s="31"/>
      <c r="X1897" s="35"/>
      <c r="Y1897" s="102"/>
    </row>
    <row r="1898" spans="12:25" ht="25" customHeight="1">
      <c r="L1898" s="31"/>
      <c r="M1898" s="31"/>
      <c r="N1898" s="31"/>
      <c r="X1898" s="35"/>
      <c r="Y1898" s="102"/>
    </row>
    <row r="1899" spans="12:25" ht="25" customHeight="1">
      <c r="L1899" s="31"/>
      <c r="M1899" s="31"/>
      <c r="N1899" s="31"/>
      <c r="X1899" s="35"/>
      <c r="Y1899" s="102"/>
    </row>
    <row r="1900" spans="12:25" ht="25" customHeight="1">
      <c r="L1900" s="31"/>
      <c r="M1900" s="31"/>
      <c r="N1900" s="31"/>
      <c r="X1900" s="35"/>
      <c r="Y1900" s="102"/>
    </row>
    <row r="1901" spans="12:25" ht="25" customHeight="1">
      <c r="L1901" s="31"/>
      <c r="M1901" s="31"/>
      <c r="N1901" s="31"/>
      <c r="X1901" s="35"/>
      <c r="Y1901" s="102"/>
    </row>
    <row r="1902" spans="12:25" ht="25" customHeight="1">
      <c r="L1902" s="31"/>
      <c r="M1902" s="31"/>
      <c r="N1902" s="31"/>
      <c r="X1902" s="35"/>
      <c r="Y1902" s="102"/>
    </row>
    <row r="1903" spans="12:25" ht="25" customHeight="1">
      <c r="L1903" s="31"/>
      <c r="M1903" s="31"/>
      <c r="N1903" s="31"/>
      <c r="X1903" s="35"/>
      <c r="Y1903" s="102"/>
    </row>
    <row r="1904" spans="12:25" ht="25" customHeight="1">
      <c r="L1904" s="31"/>
      <c r="M1904" s="31"/>
      <c r="N1904" s="31"/>
      <c r="X1904" s="35"/>
      <c r="Y1904" s="102"/>
    </row>
    <row r="1905" spans="12:25" ht="25" customHeight="1">
      <c r="L1905" s="31"/>
      <c r="M1905" s="31"/>
      <c r="N1905" s="31"/>
      <c r="X1905" s="35"/>
      <c r="Y1905" s="102"/>
    </row>
    <row r="1906" spans="12:25" ht="25" customHeight="1">
      <c r="L1906" s="31"/>
      <c r="M1906" s="31"/>
      <c r="N1906" s="31"/>
      <c r="X1906" s="35"/>
      <c r="Y1906" s="102"/>
    </row>
    <row r="1907" spans="12:25" ht="25" customHeight="1">
      <c r="L1907" s="31"/>
      <c r="M1907" s="31"/>
      <c r="N1907" s="31"/>
      <c r="X1907" s="35"/>
      <c r="Y1907" s="102"/>
    </row>
    <row r="1908" spans="12:25" ht="25" customHeight="1">
      <c r="L1908" s="31"/>
      <c r="M1908" s="31"/>
      <c r="N1908" s="31"/>
      <c r="X1908" s="35"/>
      <c r="Y1908" s="102"/>
    </row>
    <row r="1909" spans="12:25" ht="25" customHeight="1">
      <c r="L1909" s="31"/>
      <c r="M1909" s="31"/>
      <c r="N1909" s="31"/>
      <c r="X1909" s="35"/>
      <c r="Y1909" s="102"/>
    </row>
    <row r="1910" spans="12:25" ht="25" customHeight="1">
      <c r="L1910" s="31"/>
      <c r="M1910" s="31"/>
      <c r="N1910" s="31"/>
      <c r="X1910" s="35"/>
      <c r="Y1910" s="102"/>
    </row>
    <row r="1911" spans="12:25" ht="25" customHeight="1">
      <c r="L1911" s="31"/>
      <c r="M1911" s="31"/>
      <c r="N1911" s="31"/>
      <c r="X1911" s="35"/>
      <c r="Y1911" s="102"/>
    </row>
    <row r="1912" spans="12:25" ht="25" customHeight="1">
      <c r="L1912" s="31"/>
      <c r="M1912" s="31"/>
      <c r="N1912" s="31"/>
      <c r="X1912" s="35"/>
      <c r="Y1912" s="102"/>
    </row>
    <row r="1913" spans="12:25" ht="25" customHeight="1">
      <c r="L1913" s="31"/>
      <c r="M1913" s="31"/>
      <c r="N1913" s="31"/>
      <c r="X1913" s="35"/>
      <c r="Y1913" s="102"/>
    </row>
    <row r="1914" spans="12:25" ht="25" customHeight="1">
      <c r="L1914" s="31"/>
      <c r="M1914" s="31"/>
      <c r="N1914" s="31"/>
      <c r="X1914" s="35"/>
      <c r="Y1914" s="102"/>
    </row>
    <row r="1915" spans="12:25" ht="25" customHeight="1">
      <c r="L1915" s="31"/>
      <c r="M1915" s="31"/>
      <c r="N1915" s="31"/>
      <c r="X1915" s="35"/>
      <c r="Y1915" s="102"/>
    </row>
    <row r="1916" spans="12:25" ht="25" customHeight="1">
      <c r="L1916" s="31"/>
      <c r="M1916" s="31"/>
      <c r="N1916" s="31"/>
      <c r="X1916" s="35"/>
      <c r="Y1916" s="102"/>
    </row>
    <row r="1917" spans="12:25" ht="25" customHeight="1">
      <c r="L1917" s="31"/>
      <c r="M1917" s="31"/>
      <c r="N1917" s="31"/>
      <c r="X1917" s="35"/>
      <c r="Y1917" s="102"/>
    </row>
    <row r="1918" spans="12:25" ht="25" customHeight="1">
      <c r="L1918" s="31"/>
      <c r="M1918" s="31"/>
      <c r="N1918" s="31"/>
      <c r="X1918" s="35"/>
      <c r="Y1918" s="102"/>
    </row>
    <row r="1919" spans="12:25" ht="25" customHeight="1">
      <c r="L1919" s="31"/>
      <c r="M1919" s="31"/>
      <c r="N1919" s="31"/>
      <c r="X1919" s="35"/>
      <c r="Y1919" s="102"/>
    </row>
    <row r="1920" spans="12:25" ht="25" customHeight="1">
      <c r="L1920" s="31"/>
      <c r="M1920" s="31"/>
      <c r="N1920" s="31"/>
      <c r="X1920" s="35"/>
      <c r="Y1920" s="102"/>
    </row>
    <row r="1921" spans="12:25" ht="25" customHeight="1">
      <c r="L1921" s="31"/>
      <c r="M1921" s="31"/>
      <c r="N1921" s="31"/>
      <c r="X1921" s="35"/>
      <c r="Y1921" s="102"/>
    </row>
    <row r="1922" spans="12:25" ht="25" customHeight="1">
      <c r="L1922" s="31"/>
      <c r="M1922" s="31"/>
      <c r="N1922" s="31"/>
      <c r="X1922" s="35"/>
      <c r="Y1922" s="102"/>
    </row>
    <row r="1923" spans="12:25" ht="25" customHeight="1">
      <c r="L1923" s="31"/>
      <c r="M1923" s="31"/>
      <c r="N1923" s="31"/>
      <c r="X1923" s="35"/>
      <c r="Y1923" s="102"/>
    </row>
    <row r="1924" spans="12:25" ht="25" customHeight="1">
      <c r="L1924" s="31"/>
      <c r="M1924" s="31"/>
      <c r="N1924" s="31"/>
      <c r="X1924" s="35"/>
      <c r="Y1924" s="102"/>
    </row>
    <row r="1925" spans="12:25" ht="25" customHeight="1">
      <c r="L1925" s="31"/>
      <c r="M1925" s="31"/>
      <c r="N1925" s="31"/>
      <c r="X1925" s="35"/>
      <c r="Y1925" s="102"/>
    </row>
    <row r="1926" spans="12:25" ht="25" customHeight="1">
      <c r="L1926" s="31"/>
      <c r="M1926" s="31"/>
      <c r="N1926" s="31"/>
      <c r="X1926" s="35"/>
      <c r="Y1926" s="102"/>
    </row>
    <row r="1927" spans="12:25" ht="25" customHeight="1">
      <c r="L1927" s="31"/>
      <c r="M1927" s="31"/>
      <c r="N1927" s="31"/>
      <c r="X1927" s="35"/>
      <c r="Y1927" s="102"/>
    </row>
    <row r="1928" spans="12:25" ht="25" customHeight="1">
      <c r="L1928" s="31"/>
      <c r="M1928" s="31"/>
      <c r="N1928" s="31"/>
      <c r="X1928" s="35"/>
      <c r="Y1928" s="102"/>
    </row>
    <row r="1929" spans="12:25" ht="25" customHeight="1">
      <c r="L1929" s="31"/>
      <c r="M1929" s="31"/>
      <c r="N1929" s="31"/>
      <c r="X1929" s="35"/>
      <c r="Y1929" s="102"/>
    </row>
    <row r="1930" spans="12:25" ht="25" customHeight="1">
      <c r="L1930" s="31"/>
      <c r="M1930" s="31"/>
      <c r="N1930" s="31"/>
      <c r="X1930" s="35"/>
      <c r="Y1930" s="102"/>
    </row>
    <row r="1931" spans="12:25" ht="25" customHeight="1">
      <c r="L1931" s="31"/>
      <c r="M1931" s="31"/>
      <c r="N1931" s="31"/>
      <c r="X1931" s="35"/>
      <c r="Y1931" s="102"/>
    </row>
    <row r="1932" spans="12:25" ht="25" customHeight="1">
      <c r="L1932" s="31"/>
      <c r="M1932" s="31"/>
      <c r="N1932" s="31"/>
      <c r="X1932" s="35"/>
      <c r="Y1932" s="102"/>
    </row>
    <row r="1933" spans="12:25" ht="25" customHeight="1">
      <c r="L1933" s="31"/>
      <c r="M1933" s="31"/>
      <c r="N1933" s="31"/>
      <c r="X1933" s="35"/>
      <c r="Y1933" s="102"/>
    </row>
    <row r="1934" spans="12:25" ht="25" customHeight="1">
      <c r="L1934" s="31"/>
      <c r="M1934" s="31"/>
      <c r="N1934" s="31"/>
      <c r="X1934" s="35"/>
      <c r="Y1934" s="102"/>
    </row>
    <row r="1935" spans="12:25" ht="25" customHeight="1">
      <c r="L1935" s="31"/>
      <c r="M1935" s="31"/>
      <c r="N1935" s="31"/>
      <c r="X1935" s="35"/>
      <c r="Y1935" s="102"/>
    </row>
    <row r="1936" spans="12:25" ht="25" customHeight="1">
      <c r="L1936" s="31"/>
      <c r="M1936" s="31"/>
      <c r="N1936" s="31"/>
      <c r="X1936" s="35"/>
      <c r="Y1936" s="102"/>
    </row>
    <row r="1937" spans="12:25" ht="25" customHeight="1">
      <c r="L1937" s="31"/>
      <c r="M1937" s="31"/>
      <c r="N1937" s="31"/>
      <c r="X1937" s="35"/>
      <c r="Y1937" s="102"/>
    </row>
    <row r="1938" spans="12:25" ht="25" customHeight="1">
      <c r="L1938" s="31"/>
      <c r="M1938" s="31"/>
      <c r="N1938" s="31"/>
      <c r="X1938" s="35"/>
      <c r="Y1938" s="102"/>
    </row>
    <row r="1939" spans="12:25" ht="25" customHeight="1">
      <c r="L1939" s="31"/>
      <c r="M1939" s="31"/>
      <c r="N1939" s="31"/>
      <c r="X1939" s="35"/>
      <c r="Y1939" s="102"/>
    </row>
    <row r="1940" spans="12:25" ht="25" customHeight="1">
      <c r="L1940" s="31"/>
      <c r="M1940" s="31"/>
      <c r="N1940" s="31"/>
      <c r="X1940" s="35"/>
      <c r="Y1940" s="102"/>
    </row>
    <row r="1941" spans="12:25" ht="25" customHeight="1">
      <c r="L1941" s="31"/>
      <c r="M1941" s="31"/>
      <c r="N1941" s="31"/>
      <c r="X1941" s="35"/>
      <c r="Y1941" s="102"/>
    </row>
    <row r="1942" spans="12:25" ht="25" customHeight="1">
      <c r="L1942" s="31"/>
      <c r="M1942" s="31"/>
      <c r="N1942" s="31"/>
      <c r="X1942" s="35"/>
      <c r="Y1942" s="102"/>
    </row>
    <row r="1943" spans="12:25" ht="25" customHeight="1">
      <c r="L1943" s="31"/>
      <c r="M1943" s="31"/>
      <c r="N1943" s="31"/>
      <c r="X1943" s="35"/>
      <c r="Y1943" s="102"/>
    </row>
    <row r="1944" spans="12:25" ht="25" customHeight="1">
      <c r="L1944" s="31"/>
      <c r="M1944" s="31"/>
      <c r="N1944" s="31"/>
      <c r="X1944" s="35"/>
      <c r="Y1944" s="102"/>
    </row>
    <row r="1945" spans="12:25" ht="25" customHeight="1">
      <c r="L1945" s="31"/>
      <c r="M1945" s="31"/>
      <c r="N1945" s="31"/>
      <c r="X1945" s="35"/>
      <c r="Y1945" s="102"/>
    </row>
    <row r="1946" spans="12:25" ht="25" customHeight="1">
      <c r="L1946" s="31"/>
      <c r="M1946" s="31"/>
      <c r="N1946" s="31"/>
      <c r="X1946" s="35"/>
      <c r="Y1946" s="102"/>
    </row>
    <row r="1947" spans="12:25" ht="25" customHeight="1">
      <c r="L1947" s="31"/>
      <c r="M1947" s="31"/>
      <c r="N1947" s="31"/>
      <c r="X1947" s="35"/>
      <c r="Y1947" s="102"/>
    </row>
    <row r="1948" spans="12:25" ht="25" customHeight="1">
      <c r="L1948" s="31"/>
      <c r="M1948" s="31"/>
      <c r="N1948" s="31"/>
      <c r="X1948" s="35"/>
      <c r="Y1948" s="102"/>
    </row>
    <row r="1949" spans="12:25" ht="25" customHeight="1">
      <c r="L1949" s="31"/>
      <c r="M1949" s="31"/>
      <c r="N1949" s="31"/>
      <c r="X1949" s="35"/>
      <c r="Y1949" s="102"/>
    </row>
    <row r="1950" spans="12:25" ht="25" customHeight="1">
      <c r="L1950" s="31"/>
      <c r="M1950" s="31"/>
      <c r="N1950" s="31"/>
      <c r="X1950" s="35"/>
      <c r="Y1950" s="102"/>
    </row>
    <row r="1951" spans="12:25" ht="25" customHeight="1">
      <c r="L1951" s="31"/>
      <c r="M1951" s="31"/>
      <c r="N1951" s="31"/>
      <c r="X1951" s="35"/>
      <c r="Y1951" s="102"/>
    </row>
    <row r="1952" spans="12:25" ht="25" customHeight="1">
      <c r="L1952" s="31"/>
      <c r="M1952" s="31"/>
      <c r="N1952" s="31"/>
      <c r="X1952" s="35"/>
      <c r="Y1952" s="102"/>
    </row>
    <row r="1953" spans="12:25" ht="25" customHeight="1">
      <c r="L1953" s="31"/>
      <c r="M1953" s="31"/>
      <c r="N1953" s="31"/>
      <c r="X1953" s="35"/>
      <c r="Y1953" s="102"/>
    </row>
    <row r="1954" spans="12:25" ht="25" customHeight="1">
      <c r="L1954" s="31"/>
      <c r="M1954" s="31"/>
      <c r="N1954" s="31"/>
      <c r="X1954" s="35"/>
      <c r="Y1954" s="102"/>
    </row>
    <row r="1955" spans="12:25" ht="25" customHeight="1">
      <c r="L1955" s="31"/>
      <c r="M1955" s="31"/>
      <c r="N1955" s="31"/>
      <c r="X1955" s="35"/>
      <c r="Y1955" s="102"/>
    </row>
    <row r="1956" spans="12:25" ht="25" customHeight="1">
      <c r="L1956" s="31"/>
      <c r="M1956" s="31"/>
      <c r="N1956" s="31"/>
      <c r="X1956" s="35"/>
      <c r="Y1956" s="102"/>
    </row>
    <row r="1957" spans="12:25" ht="25" customHeight="1">
      <c r="L1957" s="31"/>
      <c r="M1957" s="31"/>
      <c r="N1957" s="31"/>
      <c r="X1957" s="35"/>
      <c r="Y1957" s="102"/>
    </row>
    <row r="1958" spans="12:25" ht="25" customHeight="1">
      <c r="L1958" s="31"/>
      <c r="M1958" s="31"/>
      <c r="N1958" s="31"/>
      <c r="X1958" s="35"/>
      <c r="Y1958" s="102"/>
    </row>
    <row r="1959" spans="12:25" ht="25" customHeight="1">
      <c r="L1959" s="31"/>
      <c r="M1959" s="31"/>
      <c r="N1959" s="31"/>
      <c r="X1959" s="35"/>
      <c r="Y1959" s="102"/>
    </row>
    <row r="1960" spans="12:25" ht="25" customHeight="1">
      <c r="L1960" s="31"/>
      <c r="M1960" s="31"/>
      <c r="N1960" s="31"/>
      <c r="X1960" s="35"/>
      <c r="Y1960" s="102"/>
    </row>
    <row r="1961" spans="12:25" ht="25" customHeight="1">
      <c r="L1961" s="31"/>
      <c r="M1961" s="31"/>
      <c r="N1961" s="31"/>
      <c r="X1961" s="35"/>
      <c r="Y1961" s="102"/>
    </row>
    <row r="1962" spans="12:25" ht="25" customHeight="1">
      <c r="L1962" s="31"/>
      <c r="M1962" s="31"/>
      <c r="N1962" s="31"/>
      <c r="X1962" s="35"/>
      <c r="Y1962" s="102"/>
    </row>
    <row r="1963" spans="12:25" ht="25" customHeight="1">
      <c r="L1963" s="31"/>
      <c r="M1963" s="31"/>
      <c r="N1963" s="31"/>
      <c r="X1963" s="35"/>
      <c r="Y1963" s="102"/>
    </row>
    <row r="1964" spans="12:25" ht="25" customHeight="1">
      <c r="L1964" s="31"/>
      <c r="M1964" s="31"/>
      <c r="N1964" s="31"/>
      <c r="X1964" s="35"/>
      <c r="Y1964" s="102"/>
    </row>
    <row r="1965" spans="12:25" ht="25" customHeight="1">
      <c r="L1965" s="31"/>
      <c r="M1965" s="31"/>
      <c r="N1965" s="31"/>
      <c r="X1965" s="35"/>
      <c r="Y1965" s="102"/>
    </row>
    <row r="1966" spans="12:25" ht="25" customHeight="1">
      <c r="L1966" s="31"/>
      <c r="M1966" s="31"/>
      <c r="N1966" s="31"/>
      <c r="X1966" s="35"/>
      <c r="Y1966" s="102"/>
    </row>
    <row r="1967" spans="12:25" ht="25" customHeight="1">
      <c r="L1967" s="31"/>
      <c r="M1967" s="31"/>
      <c r="N1967" s="31"/>
      <c r="X1967" s="35"/>
      <c r="Y1967" s="102"/>
    </row>
    <row r="1968" spans="12:25" ht="25" customHeight="1">
      <c r="L1968" s="31"/>
      <c r="M1968" s="31"/>
      <c r="N1968" s="31"/>
      <c r="X1968" s="35"/>
      <c r="Y1968" s="102"/>
    </row>
    <row r="1969" spans="12:25" ht="25" customHeight="1">
      <c r="L1969" s="31"/>
      <c r="M1969" s="31"/>
      <c r="N1969" s="31"/>
      <c r="X1969" s="35"/>
      <c r="Y1969" s="102"/>
    </row>
    <row r="1970" spans="12:25" ht="25" customHeight="1">
      <c r="L1970" s="31"/>
      <c r="M1970" s="31"/>
      <c r="N1970" s="31"/>
      <c r="X1970" s="35"/>
      <c r="Y1970" s="102"/>
    </row>
    <row r="1971" spans="12:25" ht="25" customHeight="1">
      <c r="L1971" s="31"/>
      <c r="M1971" s="31"/>
      <c r="N1971" s="31"/>
      <c r="X1971" s="35"/>
      <c r="Y1971" s="102"/>
    </row>
    <row r="1972" spans="12:25" ht="25" customHeight="1">
      <c r="L1972" s="31"/>
      <c r="M1972" s="31"/>
      <c r="N1972" s="31"/>
      <c r="X1972" s="35"/>
      <c r="Y1972" s="102"/>
    </row>
    <row r="1973" spans="12:25" ht="25" customHeight="1">
      <c r="L1973" s="31"/>
      <c r="M1973" s="31"/>
      <c r="N1973" s="31"/>
      <c r="X1973" s="35"/>
      <c r="Y1973" s="102"/>
    </row>
    <row r="1974" spans="12:25" ht="25" customHeight="1">
      <c r="L1974" s="31"/>
      <c r="M1974" s="31"/>
      <c r="N1974" s="31"/>
      <c r="X1974" s="35"/>
      <c r="Y1974" s="102"/>
    </row>
    <row r="1975" spans="12:25" ht="25" customHeight="1">
      <c r="L1975" s="31"/>
      <c r="M1975" s="31"/>
      <c r="N1975" s="31"/>
      <c r="X1975" s="35"/>
      <c r="Y1975" s="102"/>
    </row>
    <row r="1976" spans="12:25" ht="25" customHeight="1">
      <c r="L1976" s="31"/>
      <c r="M1976" s="31"/>
      <c r="N1976" s="31"/>
      <c r="X1976" s="35"/>
      <c r="Y1976" s="102"/>
    </row>
    <row r="1977" spans="12:25" ht="25" customHeight="1">
      <c r="L1977" s="31"/>
      <c r="M1977" s="31"/>
      <c r="N1977" s="31"/>
      <c r="X1977" s="35"/>
      <c r="Y1977" s="102"/>
    </row>
    <row r="1978" spans="12:25" ht="25" customHeight="1">
      <c r="L1978" s="31"/>
      <c r="M1978" s="31"/>
      <c r="N1978" s="31"/>
      <c r="X1978" s="35"/>
      <c r="Y1978" s="102"/>
    </row>
    <row r="1979" spans="12:25" ht="25" customHeight="1">
      <c r="L1979" s="31"/>
      <c r="M1979" s="31"/>
      <c r="N1979" s="31"/>
      <c r="X1979" s="35"/>
      <c r="Y1979" s="102"/>
    </row>
    <row r="1980" spans="12:25" ht="25" customHeight="1">
      <c r="L1980" s="31"/>
      <c r="M1980" s="31"/>
      <c r="N1980" s="31"/>
      <c r="X1980" s="35"/>
      <c r="Y1980" s="102"/>
    </row>
    <row r="1981" spans="12:25" ht="25" customHeight="1">
      <c r="L1981" s="31"/>
      <c r="M1981" s="31"/>
      <c r="N1981" s="31"/>
      <c r="X1981" s="35"/>
      <c r="Y1981" s="102"/>
    </row>
    <row r="1982" spans="12:25" ht="25" customHeight="1">
      <c r="L1982" s="31"/>
      <c r="M1982" s="31"/>
      <c r="N1982" s="31"/>
      <c r="X1982" s="35"/>
      <c r="Y1982" s="102"/>
    </row>
    <row r="1983" spans="12:25" ht="25" customHeight="1">
      <c r="L1983" s="31"/>
      <c r="M1983" s="31"/>
      <c r="N1983" s="31"/>
      <c r="X1983" s="35"/>
      <c r="Y1983" s="102"/>
    </row>
    <row r="1984" spans="12:25" ht="25" customHeight="1">
      <c r="L1984" s="31"/>
      <c r="M1984" s="31"/>
      <c r="N1984" s="31"/>
      <c r="X1984" s="35"/>
      <c r="Y1984" s="102"/>
    </row>
    <row r="1985" spans="12:25" ht="25" customHeight="1">
      <c r="L1985" s="31"/>
      <c r="M1985" s="31"/>
      <c r="N1985" s="31"/>
      <c r="X1985" s="35"/>
      <c r="Y1985" s="102"/>
    </row>
    <row r="1986" spans="12:25" ht="25" customHeight="1">
      <c r="L1986" s="31"/>
      <c r="M1986" s="31"/>
      <c r="N1986" s="31"/>
      <c r="X1986" s="35"/>
      <c r="Y1986" s="102"/>
    </row>
    <row r="1987" spans="12:25" ht="25" customHeight="1">
      <c r="L1987" s="31"/>
      <c r="M1987" s="31"/>
      <c r="N1987" s="31"/>
      <c r="X1987" s="35"/>
      <c r="Y1987" s="102"/>
    </row>
    <row r="1988" spans="12:25" ht="25" customHeight="1">
      <c r="L1988" s="31"/>
      <c r="M1988" s="31"/>
      <c r="N1988" s="31"/>
      <c r="X1988" s="35"/>
      <c r="Y1988" s="102"/>
    </row>
    <row r="1989" spans="12:25" ht="25" customHeight="1">
      <c r="L1989" s="31"/>
      <c r="M1989" s="31"/>
      <c r="N1989" s="31"/>
      <c r="X1989" s="35"/>
      <c r="Y1989" s="102"/>
    </row>
    <row r="1990" spans="12:25" ht="25" customHeight="1">
      <c r="L1990" s="31"/>
      <c r="M1990" s="31"/>
      <c r="N1990" s="31"/>
      <c r="X1990" s="35"/>
      <c r="Y1990" s="102"/>
    </row>
    <row r="1991" spans="12:25" ht="25" customHeight="1">
      <c r="L1991" s="31"/>
      <c r="M1991" s="31"/>
      <c r="N1991" s="31"/>
      <c r="X1991" s="35"/>
      <c r="Y1991" s="102"/>
    </row>
    <row r="1992" spans="12:25" ht="25" customHeight="1">
      <c r="L1992" s="31"/>
      <c r="M1992" s="31"/>
      <c r="N1992" s="31"/>
      <c r="X1992" s="35"/>
      <c r="Y1992" s="102"/>
    </row>
    <row r="1993" spans="12:25" ht="25" customHeight="1">
      <c r="L1993" s="31"/>
      <c r="M1993" s="31"/>
      <c r="N1993" s="31"/>
      <c r="X1993" s="35"/>
      <c r="Y1993" s="102"/>
    </row>
    <row r="1994" spans="12:25" ht="25" customHeight="1">
      <c r="L1994" s="31"/>
      <c r="M1994" s="31"/>
      <c r="N1994" s="31"/>
      <c r="X1994" s="35"/>
      <c r="Y1994" s="102"/>
    </row>
    <row r="1995" spans="12:25" ht="25" customHeight="1">
      <c r="L1995" s="31"/>
      <c r="M1995" s="31"/>
      <c r="N1995" s="31"/>
      <c r="X1995" s="35"/>
      <c r="Y1995" s="102"/>
    </row>
    <row r="1996" spans="12:25" ht="25" customHeight="1">
      <c r="L1996" s="31"/>
      <c r="M1996" s="31"/>
      <c r="N1996" s="31"/>
      <c r="X1996" s="35"/>
      <c r="Y1996" s="102"/>
    </row>
    <row r="1997" spans="12:25" ht="25" customHeight="1">
      <c r="L1997" s="31"/>
      <c r="M1997" s="31"/>
      <c r="N1997" s="31"/>
      <c r="X1997" s="35"/>
      <c r="Y1997" s="102"/>
    </row>
    <row r="1998" spans="12:25" ht="25" customHeight="1">
      <c r="L1998" s="31"/>
      <c r="M1998" s="31"/>
      <c r="N1998" s="31"/>
      <c r="X1998" s="35"/>
      <c r="Y1998" s="102"/>
    </row>
    <row r="1999" spans="12:25" ht="25" customHeight="1">
      <c r="L1999" s="31"/>
      <c r="M1999" s="31"/>
      <c r="N1999" s="31"/>
      <c r="X1999" s="35"/>
      <c r="Y1999" s="102"/>
    </row>
    <row r="2000" spans="12:25" ht="25" customHeight="1">
      <c r="L2000" s="31"/>
      <c r="M2000" s="31"/>
      <c r="N2000" s="31"/>
      <c r="X2000" s="35"/>
      <c r="Y2000" s="102"/>
    </row>
    <row r="2001" spans="12:25" ht="25" customHeight="1">
      <c r="L2001" s="31"/>
      <c r="M2001" s="31"/>
      <c r="N2001" s="31"/>
      <c r="X2001" s="35"/>
      <c r="Y2001" s="102"/>
    </row>
    <row r="2002" spans="12:25" ht="25" customHeight="1">
      <c r="L2002" s="31"/>
      <c r="M2002" s="31"/>
      <c r="N2002" s="31"/>
      <c r="X2002" s="35"/>
      <c r="Y2002" s="102"/>
    </row>
    <row r="2003" spans="12:25" ht="25" customHeight="1">
      <c r="L2003" s="31"/>
      <c r="M2003" s="31"/>
      <c r="N2003" s="31"/>
      <c r="X2003" s="35"/>
      <c r="Y2003" s="102"/>
    </row>
    <row r="2004" spans="12:25" ht="25" customHeight="1">
      <c r="L2004" s="31"/>
      <c r="M2004" s="31"/>
      <c r="N2004" s="31"/>
      <c r="X2004" s="35"/>
      <c r="Y2004" s="102"/>
    </row>
    <row r="2005" spans="12:25" ht="25" customHeight="1">
      <c r="L2005" s="31"/>
      <c r="M2005" s="31"/>
      <c r="N2005" s="31"/>
      <c r="X2005" s="35"/>
      <c r="Y2005" s="102"/>
    </row>
    <row r="2006" spans="12:25" ht="25" customHeight="1">
      <c r="L2006" s="31"/>
      <c r="M2006" s="31"/>
      <c r="N2006" s="31"/>
      <c r="X2006" s="35"/>
      <c r="Y2006" s="102"/>
    </row>
    <row r="2007" spans="12:25" ht="25" customHeight="1">
      <c r="L2007" s="31"/>
      <c r="M2007" s="31"/>
      <c r="N2007" s="31"/>
      <c r="X2007" s="35"/>
      <c r="Y2007" s="102"/>
    </row>
    <row r="2008" spans="12:25" ht="25" customHeight="1">
      <c r="L2008" s="31"/>
      <c r="M2008" s="31"/>
      <c r="N2008" s="31"/>
      <c r="X2008" s="35"/>
      <c r="Y2008" s="102"/>
    </row>
    <row r="2009" spans="12:25" ht="25" customHeight="1">
      <c r="L2009" s="31"/>
      <c r="M2009" s="31"/>
      <c r="N2009" s="31"/>
      <c r="X2009" s="35"/>
      <c r="Y2009" s="102"/>
    </row>
    <row r="2010" spans="12:25" ht="25" customHeight="1">
      <c r="L2010" s="31"/>
      <c r="M2010" s="31"/>
      <c r="N2010" s="31"/>
      <c r="X2010" s="35"/>
      <c r="Y2010" s="102"/>
    </row>
    <row r="2011" spans="12:25" ht="25" customHeight="1">
      <c r="L2011" s="31"/>
      <c r="M2011" s="31"/>
      <c r="N2011" s="31"/>
      <c r="X2011" s="35"/>
      <c r="Y2011" s="102"/>
    </row>
    <row r="2012" spans="12:25" ht="25" customHeight="1">
      <c r="L2012" s="31"/>
      <c r="M2012" s="31"/>
      <c r="N2012" s="31"/>
      <c r="X2012" s="35"/>
      <c r="Y2012" s="102"/>
    </row>
    <row r="2013" spans="12:25" ht="25" customHeight="1">
      <c r="L2013" s="31"/>
      <c r="M2013" s="31"/>
      <c r="N2013" s="31"/>
      <c r="X2013" s="35"/>
      <c r="Y2013" s="102"/>
    </row>
    <row r="2014" spans="12:25" ht="25" customHeight="1">
      <c r="L2014" s="31"/>
      <c r="M2014" s="31"/>
      <c r="N2014" s="31"/>
      <c r="X2014" s="35"/>
      <c r="Y2014" s="102"/>
    </row>
    <row r="2015" spans="12:25" ht="25" customHeight="1">
      <c r="L2015" s="31"/>
      <c r="M2015" s="31"/>
      <c r="N2015" s="31"/>
      <c r="X2015" s="35"/>
      <c r="Y2015" s="102"/>
    </row>
    <row r="2016" spans="12:25" ht="25" customHeight="1">
      <c r="L2016" s="31"/>
      <c r="M2016" s="31"/>
      <c r="N2016" s="31"/>
      <c r="X2016" s="35"/>
      <c r="Y2016" s="102"/>
    </row>
    <row r="2017" spans="12:25" ht="25" customHeight="1">
      <c r="L2017" s="31"/>
      <c r="M2017" s="31"/>
      <c r="N2017" s="31"/>
      <c r="X2017" s="35"/>
      <c r="Y2017" s="102"/>
    </row>
    <row r="2018" spans="12:25" ht="25" customHeight="1">
      <c r="L2018" s="31"/>
      <c r="M2018" s="31"/>
      <c r="N2018" s="31"/>
      <c r="X2018" s="35"/>
      <c r="Y2018" s="102"/>
    </row>
    <row r="2019" spans="12:25" ht="25" customHeight="1">
      <c r="L2019" s="31"/>
      <c r="M2019" s="31"/>
      <c r="N2019" s="31"/>
      <c r="X2019" s="35"/>
      <c r="Y2019" s="102"/>
    </row>
    <row r="2020" spans="12:25" ht="25" customHeight="1">
      <c r="L2020" s="31"/>
      <c r="M2020" s="31"/>
      <c r="N2020" s="31"/>
      <c r="X2020" s="35"/>
      <c r="Y2020" s="102"/>
    </row>
    <row r="2021" spans="12:25" ht="25" customHeight="1">
      <c r="L2021" s="31"/>
      <c r="M2021" s="31"/>
      <c r="N2021" s="31"/>
      <c r="X2021" s="35"/>
      <c r="Y2021" s="102"/>
    </row>
    <row r="2022" spans="12:25" ht="25" customHeight="1">
      <c r="L2022" s="31"/>
      <c r="M2022" s="31"/>
      <c r="N2022" s="31"/>
      <c r="X2022" s="35"/>
      <c r="Y2022" s="102"/>
    </row>
    <row r="2023" spans="12:25" ht="25" customHeight="1">
      <c r="L2023" s="31"/>
      <c r="M2023" s="31"/>
      <c r="N2023" s="31"/>
      <c r="X2023" s="35"/>
      <c r="Y2023" s="102"/>
    </row>
    <row r="2024" spans="12:25" ht="25" customHeight="1">
      <c r="L2024" s="31"/>
      <c r="M2024" s="31"/>
      <c r="N2024" s="31"/>
      <c r="X2024" s="35"/>
      <c r="Y2024" s="102"/>
    </row>
    <row r="2025" spans="12:25" ht="25" customHeight="1">
      <c r="L2025" s="31"/>
      <c r="M2025" s="31"/>
      <c r="N2025" s="31"/>
      <c r="X2025" s="35"/>
      <c r="Y2025" s="102"/>
    </row>
    <row r="2026" spans="12:25" ht="25" customHeight="1">
      <c r="L2026" s="31"/>
      <c r="M2026" s="31"/>
      <c r="N2026" s="31"/>
      <c r="X2026" s="35"/>
      <c r="Y2026" s="102"/>
    </row>
    <row r="2027" spans="12:25" ht="25" customHeight="1">
      <c r="L2027" s="31"/>
      <c r="M2027" s="31"/>
      <c r="N2027" s="31"/>
      <c r="X2027" s="35"/>
      <c r="Y2027" s="102"/>
    </row>
    <row r="2028" spans="12:25" ht="25" customHeight="1">
      <c r="L2028" s="31"/>
      <c r="M2028" s="31"/>
      <c r="N2028" s="31"/>
      <c r="X2028" s="35"/>
      <c r="Y2028" s="102"/>
    </row>
    <row r="2029" spans="12:25" ht="25" customHeight="1">
      <c r="L2029" s="31"/>
      <c r="M2029" s="31"/>
      <c r="N2029" s="31"/>
      <c r="X2029" s="35"/>
      <c r="Y2029" s="102"/>
    </row>
    <row r="2030" spans="12:25" ht="25" customHeight="1">
      <c r="L2030" s="31"/>
      <c r="M2030" s="31"/>
      <c r="N2030" s="31"/>
      <c r="X2030" s="35"/>
      <c r="Y2030" s="102"/>
    </row>
    <row r="2031" spans="12:25" ht="25" customHeight="1">
      <c r="L2031" s="31"/>
      <c r="M2031" s="31"/>
      <c r="N2031" s="31"/>
      <c r="X2031" s="35"/>
      <c r="Y2031" s="102"/>
    </row>
    <row r="2032" spans="12:25" ht="25" customHeight="1">
      <c r="L2032" s="31"/>
      <c r="M2032" s="31"/>
      <c r="N2032" s="31"/>
      <c r="X2032" s="35"/>
      <c r="Y2032" s="102"/>
    </row>
    <row r="2033" spans="12:25" ht="25" customHeight="1">
      <c r="L2033" s="31"/>
      <c r="M2033" s="31"/>
      <c r="N2033" s="31"/>
      <c r="X2033" s="35"/>
      <c r="Y2033" s="102"/>
    </row>
    <row r="2034" spans="12:25" ht="25" customHeight="1">
      <c r="L2034" s="31"/>
      <c r="M2034" s="31"/>
      <c r="N2034" s="31"/>
      <c r="X2034" s="35"/>
      <c r="Y2034" s="102"/>
    </row>
    <row r="2035" spans="12:25" ht="25" customHeight="1">
      <c r="L2035" s="31"/>
      <c r="M2035" s="31"/>
      <c r="N2035" s="31"/>
      <c r="X2035" s="35"/>
      <c r="Y2035" s="102"/>
    </row>
    <row r="2036" spans="12:25" ht="25" customHeight="1">
      <c r="L2036" s="31"/>
      <c r="M2036" s="31"/>
      <c r="N2036" s="31"/>
      <c r="X2036" s="35"/>
      <c r="Y2036" s="102"/>
    </row>
    <row r="2037" spans="12:25" ht="25" customHeight="1">
      <c r="L2037" s="31"/>
      <c r="M2037" s="31"/>
      <c r="N2037" s="31"/>
      <c r="X2037" s="35"/>
      <c r="Y2037" s="102"/>
    </row>
    <row r="2038" spans="12:25" ht="25" customHeight="1">
      <c r="L2038" s="31"/>
      <c r="M2038" s="31"/>
      <c r="N2038" s="31"/>
      <c r="X2038" s="35"/>
      <c r="Y2038" s="102"/>
    </row>
    <row r="2039" spans="12:25" ht="25" customHeight="1">
      <c r="L2039" s="31"/>
      <c r="M2039" s="31"/>
      <c r="N2039" s="31"/>
      <c r="X2039" s="35"/>
      <c r="Y2039" s="102"/>
    </row>
    <row r="2040" spans="12:25" ht="25" customHeight="1">
      <c r="L2040" s="31"/>
      <c r="M2040" s="31"/>
      <c r="N2040" s="31"/>
      <c r="X2040" s="35"/>
      <c r="Y2040" s="102"/>
    </row>
    <row r="2041" spans="12:25" ht="25" customHeight="1">
      <c r="L2041" s="31"/>
      <c r="M2041" s="31"/>
      <c r="N2041" s="31"/>
      <c r="X2041" s="35"/>
      <c r="Y2041" s="102"/>
    </row>
    <row r="2042" spans="12:25" ht="25" customHeight="1">
      <c r="L2042" s="31"/>
      <c r="M2042" s="31"/>
      <c r="N2042" s="31"/>
      <c r="X2042" s="35"/>
      <c r="Y2042" s="102"/>
    </row>
    <row r="2043" spans="12:25" ht="25" customHeight="1">
      <c r="L2043" s="31"/>
      <c r="M2043" s="31"/>
      <c r="N2043" s="31"/>
      <c r="X2043" s="35"/>
      <c r="Y2043" s="102"/>
    </row>
    <row r="2044" spans="12:25" ht="25" customHeight="1">
      <c r="L2044" s="31"/>
      <c r="M2044" s="31"/>
      <c r="N2044" s="31"/>
      <c r="X2044" s="35"/>
      <c r="Y2044" s="102"/>
    </row>
    <row r="2045" spans="12:25" ht="25" customHeight="1">
      <c r="L2045" s="31"/>
      <c r="M2045" s="31"/>
      <c r="N2045" s="31"/>
      <c r="X2045" s="35"/>
      <c r="Y2045" s="102"/>
    </row>
    <row r="2046" spans="12:25" ht="25" customHeight="1">
      <c r="L2046" s="31"/>
      <c r="M2046" s="31"/>
      <c r="N2046" s="31"/>
      <c r="X2046" s="35"/>
      <c r="Y2046" s="102"/>
    </row>
    <row r="2047" spans="12:25" ht="25" customHeight="1">
      <c r="L2047" s="31"/>
      <c r="M2047" s="31"/>
      <c r="N2047" s="31"/>
      <c r="X2047" s="35"/>
      <c r="Y2047" s="102"/>
    </row>
    <row r="2048" spans="12:25" ht="25" customHeight="1">
      <c r="L2048" s="31"/>
      <c r="M2048" s="31"/>
      <c r="N2048" s="31"/>
      <c r="X2048" s="35"/>
      <c r="Y2048" s="102"/>
    </row>
    <row r="2049" spans="12:25" ht="25" customHeight="1">
      <c r="L2049" s="31"/>
      <c r="M2049" s="31"/>
      <c r="N2049" s="31"/>
      <c r="X2049" s="35"/>
      <c r="Y2049" s="102"/>
    </row>
    <row r="2050" spans="12:25" ht="25" customHeight="1">
      <c r="L2050" s="31"/>
      <c r="M2050" s="31"/>
      <c r="N2050" s="31"/>
      <c r="X2050" s="35"/>
      <c r="Y2050" s="102"/>
    </row>
    <row r="2051" spans="12:25" ht="25" customHeight="1">
      <c r="L2051" s="31"/>
      <c r="M2051" s="31"/>
      <c r="N2051" s="31"/>
      <c r="X2051" s="35"/>
      <c r="Y2051" s="102"/>
    </row>
    <row r="2052" spans="12:25" ht="25" customHeight="1">
      <c r="L2052" s="31"/>
      <c r="M2052" s="31"/>
      <c r="N2052" s="31"/>
      <c r="X2052" s="35"/>
      <c r="Y2052" s="102"/>
    </row>
    <row r="2053" spans="12:25" ht="25" customHeight="1">
      <c r="L2053" s="31"/>
      <c r="M2053" s="31"/>
      <c r="N2053" s="31"/>
      <c r="X2053" s="35"/>
      <c r="Y2053" s="102"/>
    </row>
    <row r="2054" spans="12:25" ht="25" customHeight="1">
      <c r="L2054" s="31"/>
      <c r="M2054" s="31"/>
      <c r="N2054" s="31"/>
      <c r="X2054" s="35"/>
      <c r="Y2054" s="102"/>
    </row>
    <row r="2055" spans="12:25" ht="25" customHeight="1">
      <c r="L2055" s="31"/>
      <c r="M2055" s="31"/>
      <c r="N2055" s="31"/>
      <c r="X2055" s="35"/>
      <c r="Y2055" s="102"/>
    </row>
    <row r="2056" spans="12:25" ht="25" customHeight="1">
      <c r="L2056" s="31"/>
      <c r="M2056" s="31"/>
      <c r="N2056" s="31"/>
      <c r="X2056" s="35"/>
      <c r="Y2056" s="102"/>
    </row>
    <row r="2057" spans="12:25" ht="25" customHeight="1">
      <c r="L2057" s="31"/>
      <c r="M2057" s="31"/>
      <c r="N2057" s="31"/>
      <c r="X2057" s="35"/>
      <c r="Y2057" s="102"/>
    </row>
    <row r="2058" spans="12:25" ht="25" customHeight="1">
      <c r="L2058" s="31"/>
      <c r="M2058" s="31"/>
      <c r="N2058" s="31"/>
      <c r="X2058" s="35"/>
      <c r="Y2058" s="102"/>
    </row>
    <row r="2059" spans="12:25" ht="25" customHeight="1">
      <c r="L2059" s="31"/>
      <c r="M2059" s="31"/>
      <c r="N2059" s="31"/>
      <c r="X2059" s="35"/>
      <c r="Y2059" s="102"/>
    </row>
    <row r="2060" spans="12:25" ht="25" customHeight="1">
      <c r="L2060" s="31"/>
      <c r="M2060" s="31"/>
      <c r="N2060" s="31"/>
      <c r="X2060" s="35"/>
      <c r="Y2060" s="102"/>
    </row>
    <row r="2061" spans="12:25" ht="25" customHeight="1">
      <c r="L2061" s="31"/>
      <c r="M2061" s="31"/>
      <c r="N2061" s="31"/>
      <c r="X2061" s="35"/>
      <c r="Y2061" s="102"/>
    </row>
    <row r="2062" spans="12:25" ht="25" customHeight="1">
      <c r="L2062" s="31"/>
      <c r="M2062" s="31"/>
      <c r="N2062" s="31"/>
      <c r="X2062" s="35"/>
      <c r="Y2062" s="102"/>
    </row>
    <row r="2063" spans="12:25" ht="25" customHeight="1">
      <c r="L2063" s="31"/>
      <c r="M2063" s="31"/>
      <c r="N2063" s="31"/>
      <c r="X2063" s="35"/>
      <c r="Y2063" s="102"/>
    </row>
    <row r="2064" spans="12:25" ht="25" customHeight="1">
      <c r="L2064" s="31"/>
      <c r="M2064" s="31"/>
      <c r="N2064" s="31"/>
      <c r="X2064" s="35"/>
      <c r="Y2064" s="102"/>
    </row>
    <row r="2065" spans="12:25" ht="25" customHeight="1">
      <c r="L2065" s="31"/>
      <c r="M2065" s="31"/>
      <c r="N2065" s="31"/>
      <c r="X2065" s="35"/>
      <c r="Y2065" s="102"/>
    </row>
    <row r="2066" spans="12:25" ht="25" customHeight="1">
      <c r="L2066" s="31"/>
      <c r="M2066" s="31"/>
      <c r="N2066" s="31"/>
      <c r="X2066" s="35"/>
      <c r="Y2066" s="102"/>
    </row>
    <row r="2067" spans="12:25" ht="25" customHeight="1">
      <c r="L2067" s="31"/>
      <c r="M2067" s="31"/>
      <c r="N2067" s="31"/>
      <c r="X2067" s="35"/>
      <c r="Y2067" s="102"/>
    </row>
    <row r="2068" spans="12:25" ht="25" customHeight="1">
      <c r="L2068" s="31"/>
      <c r="M2068" s="31"/>
      <c r="N2068" s="31"/>
      <c r="X2068" s="35"/>
      <c r="Y2068" s="102"/>
    </row>
    <row r="2069" spans="12:25" ht="25" customHeight="1">
      <c r="L2069" s="31"/>
      <c r="M2069" s="31"/>
      <c r="N2069" s="31"/>
      <c r="X2069" s="35"/>
      <c r="Y2069" s="102"/>
    </row>
    <row r="2070" spans="12:25" ht="25" customHeight="1">
      <c r="L2070" s="31"/>
      <c r="M2070" s="31"/>
      <c r="N2070" s="31"/>
      <c r="X2070" s="35"/>
      <c r="Y2070" s="102"/>
    </row>
    <row r="2071" spans="12:25" ht="25" customHeight="1">
      <c r="L2071" s="31"/>
      <c r="M2071" s="31"/>
      <c r="N2071" s="31"/>
      <c r="X2071" s="35"/>
      <c r="Y2071" s="102"/>
    </row>
    <row r="2072" spans="12:25" ht="25" customHeight="1">
      <c r="L2072" s="31"/>
      <c r="M2072" s="31"/>
      <c r="N2072" s="31"/>
      <c r="X2072" s="35"/>
      <c r="Y2072" s="102"/>
    </row>
    <row r="2073" spans="12:25" ht="25" customHeight="1">
      <c r="L2073" s="31"/>
      <c r="M2073" s="31"/>
      <c r="N2073" s="31"/>
      <c r="X2073" s="35"/>
      <c r="Y2073" s="102"/>
    </row>
    <row r="2074" spans="12:25" ht="25" customHeight="1">
      <c r="L2074" s="31"/>
      <c r="M2074" s="31"/>
      <c r="N2074" s="31"/>
      <c r="X2074" s="35"/>
      <c r="Y2074" s="102"/>
    </row>
    <row r="2075" spans="12:25" ht="25" customHeight="1">
      <c r="L2075" s="31"/>
      <c r="M2075" s="31"/>
      <c r="N2075" s="31"/>
      <c r="X2075" s="35"/>
      <c r="Y2075" s="102"/>
    </row>
    <row r="2076" spans="12:25" ht="25" customHeight="1">
      <c r="L2076" s="31"/>
      <c r="M2076" s="31"/>
      <c r="N2076" s="31"/>
      <c r="X2076" s="35"/>
      <c r="Y2076" s="102"/>
    </row>
    <row r="2077" spans="12:25" ht="25" customHeight="1">
      <c r="L2077" s="31"/>
      <c r="M2077" s="31"/>
      <c r="N2077" s="31"/>
      <c r="X2077" s="35"/>
      <c r="Y2077" s="102"/>
    </row>
    <row r="2078" spans="12:25" ht="25" customHeight="1">
      <c r="L2078" s="31"/>
      <c r="M2078" s="31"/>
      <c r="N2078" s="31"/>
      <c r="X2078" s="35"/>
      <c r="Y2078" s="102"/>
    </row>
    <row r="2079" spans="12:25" ht="25" customHeight="1">
      <c r="L2079" s="31"/>
      <c r="M2079" s="31"/>
      <c r="N2079" s="31"/>
      <c r="X2079" s="35"/>
      <c r="Y2079" s="102"/>
    </row>
    <row r="2080" spans="12:25" ht="25" customHeight="1">
      <c r="L2080" s="31"/>
      <c r="M2080" s="31"/>
      <c r="N2080" s="31"/>
      <c r="X2080" s="35"/>
      <c r="Y2080" s="102"/>
    </row>
    <row r="2081" spans="12:25" ht="25" customHeight="1">
      <c r="L2081" s="31"/>
      <c r="M2081" s="31"/>
      <c r="N2081" s="31"/>
      <c r="X2081" s="35"/>
      <c r="Y2081" s="102"/>
    </row>
    <row r="2082" spans="12:25" ht="25" customHeight="1">
      <c r="L2082" s="31"/>
      <c r="M2082" s="31"/>
      <c r="N2082" s="31"/>
      <c r="X2082" s="35"/>
      <c r="Y2082" s="102"/>
    </row>
    <row r="2083" spans="12:25" ht="25" customHeight="1">
      <c r="L2083" s="31"/>
      <c r="M2083" s="31"/>
      <c r="N2083" s="31"/>
      <c r="X2083" s="35"/>
      <c r="Y2083" s="102"/>
    </row>
    <row r="2084" spans="12:25" ht="25" customHeight="1">
      <c r="L2084" s="31"/>
      <c r="M2084" s="31"/>
      <c r="N2084" s="31"/>
      <c r="X2084" s="35"/>
      <c r="Y2084" s="102"/>
    </row>
    <row r="2085" spans="12:25" ht="25" customHeight="1">
      <c r="L2085" s="31"/>
      <c r="M2085" s="31"/>
      <c r="N2085" s="31"/>
      <c r="X2085" s="35"/>
      <c r="Y2085" s="102"/>
    </row>
    <row r="2086" spans="12:25" ht="25" customHeight="1">
      <c r="L2086" s="31"/>
      <c r="M2086" s="31"/>
      <c r="N2086" s="31"/>
      <c r="X2086" s="35"/>
      <c r="Y2086" s="102"/>
    </row>
    <row r="2087" spans="12:25" ht="25" customHeight="1">
      <c r="L2087" s="31"/>
      <c r="M2087" s="31"/>
      <c r="N2087" s="31"/>
      <c r="X2087" s="35"/>
      <c r="Y2087" s="102"/>
    </row>
    <row r="2088" spans="12:25" ht="25" customHeight="1">
      <c r="L2088" s="31"/>
      <c r="M2088" s="31"/>
      <c r="N2088" s="31"/>
      <c r="X2088" s="35"/>
      <c r="Y2088" s="102"/>
    </row>
    <row r="2089" spans="12:25" ht="25" customHeight="1">
      <c r="L2089" s="31"/>
      <c r="M2089" s="31"/>
      <c r="N2089" s="31"/>
      <c r="X2089" s="35"/>
      <c r="Y2089" s="102"/>
    </row>
    <row r="2090" spans="12:25" ht="25" customHeight="1">
      <c r="L2090" s="31"/>
      <c r="M2090" s="31"/>
      <c r="N2090" s="31"/>
      <c r="X2090" s="35"/>
      <c r="Y2090" s="102"/>
    </row>
    <row r="2091" spans="12:25" ht="25" customHeight="1">
      <c r="L2091" s="31"/>
      <c r="M2091" s="31"/>
      <c r="N2091" s="31"/>
      <c r="X2091" s="35"/>
      <c r="Y2091" s="102"/>
    </row>
    <row r="2092" spans="12:25" ht="25" customHeight="1">
      <c r="L2092" s="31"/>
      <c r="M2092" s="31"/>
      <c r="N2092" s="31"/>
      <c r="X2092" s="35"/>
      <c r="Y2092" s="102"/>
    </row>
    <row r="2093" spans="12:25" ht="25" customHeight="1">
      <c r="L2093" s="31"/>
      <c r="M2093" s="31"/>
      <c r="N2093" s="31"/>
      <c r="X2093" s="35"/>
      <c r="Y2093" s="102"/>
    </row>
    <row r="2094" spans="12:25" ht="25" customHeight="1">
      <c r="L2094" s="31"/>
      <c r="M2094" s="31"/>
      <c r="N2094" s="31"/>
      <c r="X2094" s="35"/>
      <c r="Y2094" s="102"/>
    </row>
    <row r="2095" spans="12:25" ht="25" customHeight="1">
      <c r="L2095" s="31"/>
      <c r="M2095" s="31"/>
      <c r="N2095" s="31"/>
      <c r="X2095" s="35"/>
      <c r="Y2095" s="102"/>
    </row>
    <row r="2096" spans="12:25" ht="25" customHeight="1">
      <c r="L2096" s="31"/>
      <c r="M2096" s="31"/>
      <c r="N2096" s="31"/>
      <c r="X2096" s="35"/>
      <c r="Y2096" s="102"/>
    </row>
    <row r="2097" spans="12:25" ht="25" customHeight="1">
      <c r="L2097" s="31"/>
      <c r="M2097" s="31"/>
      <c r="N2097" s="31"/>
      <c r="X2097" s="35"/>
      <c r="Y2097" s="102"/>
    </row>
    <row r="2098" spans="12:25" ht="25" customHeight="1">
      <c r="L2098" s="31"/>
      <c r="M2098" s="31"/>
      <c r="N2098" s="31"/>
      <c r="X2098" s="35"/>
      <c r="Y2098" s="102"/>
    </row>
    <row r="2099" spans="12:25" ht="25" customHeight="1">
      <c r="L2099" s="31"/>
      <c r="M2099" s="31"/>
      <c r="N2099" s="31"/>
      <c r="X2099" s="35"/>
      <c r="Y2099" s="102"/>
    </row>
    <row r="2100" spans="12:25" ht="25" customHeight="1">
      <c r="L2100" s="31"/>
      <c r="M2100" s="31"/>
      <c r="N2100" s="31"/>
      <c r="X2100" s="35"/>
      <c r="Y2100" s="102"/>
    </row>
    <row r="2101" spans="12:25" ht="25" customHeight="1">
      <c r="L2101" s="31"/>
      <c r="M2101" s="31"/>
      <c r="N2101" s="31"/>
      <c r="X2101" s="35"/>
      <c r="Y2101" s="102"/>
    </row>
    <row r="2102" spans="12:25" ht="25" customHeight="1">
      <c r="L2102" s="31"/>
      <c r="M2102" s="31"/>
      <c r="N2102" s="31"/>
      <c r="X2102" s="35"/>
      <c r="Y2102" s="102"/>
    </row>
    <row r="2103" spans="12:25" ht="25" customHeight="1">
      <c r="L2103" s="31"/>
      <c r="M2103" s="31"/>
      <c r="N2103" s="31"/>
      <c r="X2103" s="35"/>
      <c r="Y2103" s="102"/>
    </row>
    <row r="2104" spans="12:25" ht="25" customHeight="1">
      <c r="L2104" s="31"/>
      <c r="M2104" s="31"/>
      <c r="N2104" s="31"/>
      <c r="X2104" s="35"/>
      <c r="Y2104" s="102"/>
    </row>
    <row r="2105" spans="12:25" ht="25" customHeight="1">
      <c r="L2105" s="31"/>
      <c r="M2105" s="31"/>
      <c r="N2105" s="31"/>
      <c r="X2105" s="35"/>
      <c r="Y2105" s="102"/>
    </row>
    <row r="2106" spans="12:25" ht="25" customHeight="1">
      <c r="L2106" s="31"/>
      <c r="M2106" s="31"/>
      <c r="N2106" s="31"/>
      <c r="X2106" s="35"/>
      <c r="Y2106" s="102"/>
    </row>
    <row r="2107" spans="12:25" ht="25" customHeight="1">
      <c r="L2107" s="31"/>
      <c r="M2107" s="31"/>
      <c r="N2107" s="31"/>
      <c r="X2107" s="35"/>
      <c r="Y2107" s="102"/>
    </row>
    <row r="2108" spans="12:25" ht="25" customHeight="1">
      <c r="L2108" s="31"/>
      <c r="M2108" s="31"/>
      <c r="N2108" s="31"/>
      <c r="X2108" s="35"/>
      <c r="Y2108" s="102"/>
    </row>
    <row r="2109" spans="12:25" ht="25" customHeight="1">
      <c r="L2109" s="31"/>
      <c r="M2109" s="31"/>
      <c r="N2109" s="31"/>
      <c r="X2109" s="35"/>
      <c r="Y2109" s="102"/>
    </row>
    <row r="2110" spans="12:25" ht="25" customHeight="1">
      <c r="L2110" s="31"/>
      <c r="M2110" s="31"/>
      <c r="N2110" s="31"/>
      <c r="X2110" s="35"/>
      <c r="Y2110" s="102"/>
    </row>
    <row r="2111" spans="12:25" ht="25" customHeight="1">
      <c r="L2111" s="31"/>
      <c r="M2111" s="31"/>
      <c r="N2111" s="31"/>
      <c r="X2111" s="35"/>
      <c r="Y2111" s="102"/>
    </row>
    <row r="2112" spans="12:25" ht="25" customHeight="1">
      <c r="L2112" s="31"/>
      <c r="M2112" s="31"/>
      <c r="N2112" s="31"/>
      <c r="X2112" s="35"/>
      <c r="Y2112" s="102"/>
    </row>
    <row r="2113" spans="12:25" ht="25" customHeight="1">
      <c r="L2113" s="31"/>
      <c r="M2113" s="31"/>
      <c r="N2113" s="31"/>
      <c r="X2113" s="35"/>
      <c r="Y2113" s="102"/>
    </row>
    <row r="2114" spans="12:25" ht="25" customHeight="1">
      <c r="L2114" s="31"/>
      <c r="M2114" s="31"/>
      <c r="N2114" s="31"/>
      <c r="X2114" s="35"/>
      <c r="Y2114" s="102"/>
    </row>
    <row r="2115" spans="12:25" ht="25" customHeight="1">
      <c r="L2115" s="31"/>
      <c r="M2115" s="31"/>
      <c r="N2115" s="31"/>
      <c r="X2115" s="35"/>
      <c r="Y2115" s="102"/>
    </row>
    <row r="2116" spans="12:25" ht="25" customHeight="1">
      <c r="L2116" s="31"/>
      <c r="M2116" s="31"/>
      <c r="N2116" s="31"/>
      <c r="X2116" s="35"/>
      <c r="Y2116" s="102"/>
    </row>
    <row r="2117" spans="12:25" ht="25" customHeight="1">
      <c r="L2117" s="31"/>
      <c r="M2117" s="31"/>
      <c r="N2117" s="31"/>
      <c r="X2117" s="35"/>
      <c r="Y2117" s="102"/>
    </row>
    <row r="2118" spans="12:25" ht="25" customHeight="1">
      <c r="L2118" s="31"/>
      <c r="M2118" s="31"/>
      <c r="N2118" s="31"/>
      <c r="X2118" s="35"/>
      <c r="Y2118" s="102"/>
    </row>
    <row r="2119" spans="12:25" ht="25" customHeight="1">
      <c r="L2119" s="31"/>
      <c r="M2119" s="31"/>
      <c r="N2119" s="31"/>
      <c r="X2119" s="35"/>
      <c r="Y2119" s="102"/>
    </row>
    <row r="2120" spans="12:25" ht="25" customHeight="1">
      <c r="L2120" s="31"/>
      <c r="M2120" s="31"/>
      <c r="N2120" s="31"/>
      <c r="X2120" s="35"/>
      <c r="Y2120" s="102"/>
    </row>
    <row r="2121" spans="12:25" ht="25" customHeight="1">
      <c r="L2121" s="31"/>
      <c r="M2121" s="31"/>
      <c r="N2121" s="31"/>
      <c r="X2121" s="35"/>
      <c r="Y2121" s="102"/>
    </row>
    <row r="2122" spans="12:25" ht="25" customHeight="1">
      <c r="L2122" s="31"/>
      <c r="M2122" s="31"/>
      <c r="N2122" s="31"/>
      <c r="X2122" s="35"/>
      <c r="Y2122" s="102"/>
    </row>
    <row r="2123" spans="12:25" ht="25" customHeight="1">
      <c r="L2123" s="31"/>
      <c r="M2123" s="31"/>
      <c r="N2123" s="31"/>
      <c r="X2123" s="35"/>
      <c r="Y2123" s="102"/>
    </row>
    <row r="2124" spans="12:25" ht="25" customHeight="1">
      <c r="L2124" s="31"/>
      <c r="M2124" s="31"/>
      <c r="N2124" s="31"/>
      <c r="X2124" s="35"/>
      <c r="Y2124" s="102"/>
    </row>
    <row r="2125" spans="12:25" ht="25" customHeight="1">
      <c r="L2125" s="31"/>
      <c r="M2125" s="31"/>
      <c r="N2125" s="31"/>
      <c r="X2125" s="35"/>
      <c r="Y2125" s="102"/>
    </row>
    <row r="2126" spans="12:25" ht="25" customHeight="1">
      <c r="L2126" s="31"/>
      <c r="M2126" s="31"/>
      <c r="N2126" s="31"/>
      <c r="X2126" s="35"/>
      <c r="Y2126" s="102"/>
    </row>
    <row r="2127" spans="12:25" ht="25" customHeight="1">
      <c r="L2127" s="31"/>
      <c r="M2127" s="31"/>
      <c r="N2127" s="31"/>
      <c r="X2127" s="35"/>
      <c r="Y2127" s="102"/>
    </row>
    <row r="2128" spans="12:25" ht="25" customHeight="1">
      <c r="L2128" s="31"/>
      <c r="M2128" s="31"/>
      <c r="N2128" s="31"/>
      <c r="X2128" s="35"/>
      <c r="Y2128" s="102"/>
    </row>
    <row r="2129" spans="12:25" ht="25" customHeight="1">
      <c r="L2129" s="31"/>
      <c r="M2129" s="31"/>
      <c r="N2129" s="31"/>
      <c r="X2129" s="35"/>
      <c r="Y2129" s="102"/>
    </row>
    <row r="2130" spans="12:25" ht="25" customHeight="1">
      <c r="L2130" s="31"/>
      <c r="M2130" s="31"/>
      <c r="N2130" s="31"/>
      <c r="X2130" s="35"/>
      <c r="Y2130" s="102"/>
    </row>
    <row r="2131" spans="12:25" ht="25" customHeight="1">
      <c r="L2131" s="31"/>
      <c r="M2131" s="31"/>
      <c r="N2131" s="31"/>
      <c r="X2131" s="35"/>
      <c r="Y2131" s="102"/>
    </row>
    <row r="2132" spans="12:25" ht="25" customHeight="1">
      <c r="L2132" s="31"/>
      <c r="M2132" s="31"/>
      <c r="N2132" s="31"/>
      <c r="X2132" s="35"/>
      <c r="Y2132" s="102"/>
    </row>
    <row r="2133" spans="12:25" ht="25" customHeight="1">
      <c r="L2133" s="31"/>
      <c r="M2133" s="31"/>
      <c r="N2133" s="31"/>
      <c r="X2133" s="35"/>
      <c r="Y2133" s="102"/>
    </row>
    <row r="2134" spans="12:25" ht="25" customHeight="1">
      <c r="L2134" s="31"/>
      <c r="M2134" s="31"/>
      <c r="N2134" s="31"/>
      <c r="X2134" s="35"/>
      <c r="Y2134" s="102"/>
    </row>
    <row r="2135" spans="12:25" ht="25" customHeight="1">
      <c r="L2135" s="31"/>
      <c r="M2135" s="31"/>
      <c r="N2135" s="31"/>
      <c r="X2135" s="35"/>
      <c r="Y2135" s="102"/>
    </row>
    <row r="2136" spans="12:25" ht="25" customHeight="1">
      <c r="L2136" s="31"/>
      <c r="M2136" s="31"/>
      <c r="N2136" s="31"/>
      <c r="X2136" s="35"/>
      <c r="Y2136" s="102"/>
    </row>
    <row r="2137" spans="12:25" ht="25" customHeight="1">
      <c r="L2137" s="31"/>
      <c r="M2137" s="31"/>
      <c r="N2137" s="31"/>
      <c r="X2137" s="35"/>
      <c r="Y2137" s="102"/>
    </row>
    <row r="2138" spans="12:25" ht="25" customHeight="1">
      <c r="L2138" s="31"/>
      <c r="M2138" s="31"/>
      <c r="N2138" s="31"/>
      <c r="X2138" s="35"/>
      <c r="Y2138" s="102"/>
    </row>
    <row r="2139" spans="12:25" ht="25" customHeight="1">
      <c r="L2139" s="31"/>
      <c r="M2139" s="31"/>
      <c r="N2139" s="31"/>
      <c r="X2139" s="35"/>
      <c r="Y2139" s="102"/>
    </row>
    <row r="2140" spans="12:25" ht="25" customHeight="1">
      <c r="L2140" s="31"/>
      <c r="M2140" s="31"/>
      <c r="N2140" s="31"/>
      <c r="X2140" s="35"/>
      <c r="Y2140" s="102"/>
    </row>
    <row r="2141" spans="12:25" ht="25" customHeight="1">
      <c r="L2141" s="31"/>
      <c r="M2141" s="31"/>
      <c r="N2141" s="31"/>
      <c r="X2141" s="35"/>
      <c r="Y2141" s="102"/>
    </row>
    <row r="2142" spans="12:25" ht="25" customHeight="1">
      <c r="L2142" s="31"/>
      <c r="M2142" s="31"/>
      <c r="N2142" s="31"/>
      <c r="X2142" s="35"/>
      <c r="Y2142" s="102"/>
    </row>
    <row r="2143" spans="12:25" ht="25" customHeight="1">
      <c r="L2143" s="31"/>
      <c r="M2143" s="31"/>
      <c r="N2143" s="31"/>
      <c r="X2143" s="35"/>
      <c r="Y2143" s="102"/>
    </row>
    <row r="2144" spans="12:25" ht="25" customHeight="1">
      <c r="L2144" s="31"/>
      <c r="M2144" s="31"/>
      <c r="N2144" s="31"/>
      <c r="X2144" s="35"/>
      <c r="Y2144" s="102"/>
    </row>
    <row r="2145" spans="12:25" ht="25" customHeight="1">
      <c r="L2145" s="31"/>
      <c r="M2145" s="31"/>
      <c r="N2145" s="31"/>
      <c r="X2145" s="35"/>
      <c r="Y2145" s="102"/>
    </row>
    <row r="2146" spans="12:25" ht="25" customHeight="1">
      <c r="L2146" s="31"/>
      <c r="M2146" s="31"/>
      <c r="N2146" s="31"/>
      <c r="X2146" s="35"/>
      <c r="Y2146" s="102"/>
    </row>
    <row r="2147" spans="12:25" ht="25" customHeight="1">
      <c r="L2147" s="31"/>
      <c r="M2147" s="31"/>
      <c r="N2147" s="31"/>
      <c r="X2147" s="35"/>
      <c r="Y2147" s="102"/>
    </row>
    <row r="2148" spans="12:25" ht="25" customHeight="1">
      <c r="L2148" s="31"/>
      <c r="M2148" s="31"/>
      <c r="N2148" s="31"/>
      <c r="X2148" s="35"/>
      <c r="Y2148" s="102"/>
    </row>
    <row r="2149" spans="12:25" ht="25" customHeight="1">
      <c r="L2149" s="31"/>
      <c r="M2149" s="31"/>
      <c r="N2149" s="31"/>
      <c r="X2149" s="35"/>
      <c r="Y2149" s="102"/>
    </row>
    <row r="2150" spans="12:25" ht="25" customHeight="1">
      <c r="L2150" s="31"/>
      <c r="M2150" s="31"/>
      <c r="N2150" s="31"/>
      <c r="X2150" s="35"/>
      <c r="Y2150" s="102"/>
    </row>
    <row r="2151" spans="12:25" ht="25" customHeight="1">
      <c r="L2151" s="31"/>
      <c r="M2151" s="31"/>
      <c r="N2151" s="31"/>
      <c r="X2151" s="35"/>
      <c r="Y2151" s="102"/>
    </row>
    <row r="2152" spans="12:25" ht="25" customHeight="1">
      <c r="L2152" s="31"/>
      <c r="M2152" s="31"/>
      <c r="N2152" s="31"/>
      <c r="X2152" s="35"/>
      <c r="Y2152" s="102"/>
    </row>
    <row r="2153" spans="12:25" ht="25" customHeight="1">
      <c r="L2153" s="31"/>
      <c r="M2153" s="31"/>
      <c r="N2153" s="31"/>
      <c r="X2153" s="35"/>
      <c r="Y2153" s="102"/>
    </row>
    <row r="2154" spans="12:25" ht="25" customHeight="1">
      <c r="L2154" s="31"/>
      <c r="M2154" s="31"/>
      <c r="N2154" s="31"/>
      <c r="X2154" s="35"/>
      <c r="Y2154" s="102"/>
    </row>
    <row r="2155" spans="12:25" ht="25" customHeight="1">
      <c r="L2155" s="31"/>
      <c r="M2155" s="31"/>
      <c r="N2155" s="31"/>
      <c r="X2155" s="35"/>
      <c r="Y2155" s="102"/>
    </row>
    <row r="2156" spans="12:25" ht="25" customHeight="1">
      <c r="L2156" s="31"/>
      <c r="M2156" s="31"/>
      <c r="N2156" s="31"/>
      <c r="X2156" s="35"/>
      <c r="Y2156" s="102"/>
    </row>
    <row r="2157" spans="12:25" ht="25" customHeight="1">
      <c r="L2157" s="31"/>
      <c r="M2157" s="31"/>
      <c r="N2157" s="31"/>
      <c r="X2157" s="35"/>
      <c r="Y2157" s="102"/>
    </row>
    <row r="2158" spans="12:25" ht="25" customHeight="1">
      <c r="L2158" s="31"/>
      <c r="M2158" s="31"/>
      <c r="N2158" s="31"/>
      <c r="X2158" s="35"/>
      <c r="Y2158" s="102"/>
    </row>
    <row r="2159" spans="12:25" ht="25" customHeight="1">
      <c r="L2159" s="31"/>
      <c r="M2159" s="31"/>
      <c r="N2159" s="31"/>
      <c r="X2159" s="35"/>
      <c r="Y2159" s="102"/>
    </row>
    <row r="2160" spans="12:25" ht="25" customHeight="1">
      <c r="L2160" s="31"/>
      <c r="M2160" s="31"/>
      <c r="N2160" s="31"/>
      <c r="X2160" s="35"/>
      <c r="Y2160" s="102"/>
    </row>
    <row r="2161" spans="12:25" ht="25" customHeight="1">
      <c r="L2161" s="31"/>
      <c r="M2161" s="31"/>
      <c r="N2161" s="31"/>
      <c r="X2161" s="35"/>
      <c r="Y2161" s="102"/>
    </row>
    <row r="2162" spans="12:25" ht="25" customHeight="1">
      <c r="L2162" s="31"/>
      <c r="M2162" s="31"/>
      <c r="N2162" s="31"/>
      <c r="X2162" s="35"/>
      <c r="Y2162" s="102"/>
    </row>
    <row r="2163" spans="12:25" ht="25" customHeight="1">
      <c r="L2163" s="31"/>
      <c r="M2163" s="31"/>
      <c r="N2163" s="31"/>
      <c r="X2163" s="35"/>
      <c r="Y2163" s="102"/>
    </row>
    <row r="2164" spans="12:25" ht="25" customHeight="1">
      <c r="L2164" s="31"/>
      <c r="M2164" s="31"/>
      <c r="N2164" s="31"/>
      <c r="X2164" s="35"/>
      <c r="Y2164" s="102"/>
    </row>
    <row r="2165" spans="12:25" ht="25" customHeight="1">
      <c r="L2165" s="31"/>
      <c r="M2165" s="31"/>
      <c r="N2165" s="31"/>
      <c r="X2165" s="35"/>
      <c r="Y2165" s="102"/>
    </row>
    <row r="2166" spans="12:25" ht="25" customHeight="1">
      <c r="L2166" s="31"/>
      <c r="M2166" s="31"/>
      <c r="N2166" s="31"/>
      <c r="X2166" s="35"/>
      <c r="Y2166" s="102"/>
    </row>
    <row r="2167" spans="12:25" ht="25" customHeight="1">
      <c r="L2167" s="31"/>
      <c r="M2167" s="31"/>
      <c r="N2167" s="31"/>
      <c r="X2167" s="35"/>
      <c r="Y2167" s="102"/>
    </row>
    <row r="2168" spans="12:25" ht="25" customHeight="1">
      <c r="L2168" s="31"/>
      <c r="M2168" s="31"/>
      <c r="N2168" s="31"/>
      <c r="X2168" s="35"/>
      <c r="Y2168" s="102"/>
    </row>
    <row r="2169" spans="12:25" ht="25" customHeight="1">
      <c r="L2169" s="31"/>
      <c r="M2169" s="31"/>
      <c r="N2169" s="31"/>
      <c r="X2169" s="35"/>
      <c r="Y2169" s="102"/>
    </row>
    <row r="2170" spans="12:25" ht="25" customHeight="1">
      <c r="L2170" s="31"/>
      <c r="M2170" s="31"/>
      <c r="N2170" s="31"/>
      <c r="X2170" s="35"/>
      <c r="Y2170" s="102"/>
    </row>
    <row r="2171" spans="12:25" ht="25" customHeight="1">
      <c r="L2171" s="31"/>
      <c r="M2171" s="31"/>
      <c r="N2171" s="31"/>
      <c r="X2171" s="35"/>
      <c r="Y2171" s="102"/>
    </row>
    <row r="2172" spans="12:25" ht="25" customHeight="1">
      <c r="L2172" s="31"/>
      <c r="M2172" s="31"/>
      <c r="N2172" s="31"/>
      <c r="X2172" s="35"/>
      <c r="Y2172" s="102"/>
    </row>
    <row r="2173" spans="12:25" ht="25" customHeight="1">
      <c r="L2173" s="31"/>
      <c r="M2173" s="31"/>
      <c r="N2173" s="31"/>
      <c r="X2173" s="35"/>
      <c r="Y2173" s="102"/>
    </row>
    <row r="2174" spans="12:25" ht="25" customHeight="1">
      <c r="L2174" s="31"/>
      <c r="M2174" s="31"/>
      <c r="N2174" s="31"/>
      <c r="X2174" s="35"/>
      <c r="Y2174" s="102"/>
    </row>
    <row r="2175" spans="12:25" ht="25" customHeight="1">
      <c r="L2175" s="31"/>
      <c r="M2175" s="31"/>
      <c r="N2175" s="31"/>
      <c r="X2175" s="35"/>
      <c r="Y2175" s="102"/>
    </row>
    <row r="2176" spans="12:25" ht="25" customHeight="1">
      <c r="L2176" s="31"/>
      <c r="M2176" s="31"/>
      <c r="N2176" s="31"/>
      <c r="X2176" s="35"/>
      <c r="Y2176" s="102"/>
    </row>
    <row r="2177" spans="12:25" ht="25" customHeight="1">
      <c r="L2177" s="31"/>
      <c r="M2177" s="31"/>
      <c r="N2177" s="31"/>
      <c r="X2177" s="35"/>
      <c r="Y2177" s="102"/>
    </row>
    <row r="2178" spans="12:25" ht="25" customHeight="1">
      <c r="L2178" s="31"/>
      <c r="M2178" s="31"/>
      <c r="N2178" s="31"/>
      <c r="X2178" s="35"/>
      <c r="Y2178" s="102"/>
    </row>
    <row r="2179" spans="12:25" ht="25" customHeight="1">
      <c r="L2179" s="31"/>
      <c r="M2179" s="31"/>
      <c r="N2179" s="31"/>
      <c r="X2179" s="35"/>
      <c r="Y2179" s="102"/>
    </row>
    <row r="2180" spans="12:25" ht="25" customHeight="1">
      <c r="L2180" s="31"/>
      <c r="M2180" s="31"/>
      <c r="N2180" s="31"/>
      <c r="X2180" s="35"/>
      <c r="Y2180" s="102"/>
    </row>
    <row r="2181" spans="12:25" ht="25" customHeight="1">
      <c r="L2181" s="31"/>
      <c r="M2181" s="31"/>
      <c r="N2181" s="31"/>
      <c r="X2181" s="35"/>
      <c r="Y2181" s="102"/>
    </row>
    <row r="2182" spans="12:25" ht="25" customHeight="1">
      <c r="L2182" s="31"/>
      <c r="M2182" s="31"/>
      <c r="N2182" s="31"/>
      <c r="X2182" s="35"/>
      <c r="Y2182" s="102"/>
    </row>
    <row r="2183" spans="12:25" ht="25" customHeight="1">
      <c r="L2183" s="31"/>
      <c r="M2183" s="31"/>
      <c r="N2183" s="31"/>
      <c r="X2183" s="35"/>
      <c r="Y2183" s="102"/>
    </row>
    <row r="2184" spans="12:25" ht="25" customHeight="1">
      <c r="L2184" s="31"/>
      <c r="M2184" s="31"/>
      <c r="N2184" s="31"/>
      <c r="X2184" s="35"/>
      <c r="Y2184" s="102"/>
    </row>
    <row r="2185" spans="12:25" ht="25" customHeight="1">
      <c r="L2185" s="31"/>
      <c r="M2185" s="31"/>
      <c r="N2185" s="31"/>
      <c r="X2185" s="35"/>
      <c r="Y2185" s="102"/>
    </row>
    <row r="2186" spans="12:25" ht="25" customHeight="1">
      <c r="L2186" s="31"/>
      <c r="M2186" s="31"/>
      <c r="N2186" s="31"/>
      <c r="X2186" s="35"/>
      <c r="Y2186" s="102"/>
    </row>
    <row r="2187" spans="12:25" ht="25" customHeight="1">
      <c r="L2187" s="31"/>
      <c r="M2187" s="31"/>
      <c r="N2187" s="31"/>
      <c r="X2187" s="35"/>
      <c r="Y2187" s="102"/>
    </row>
    <row r="2188" spans="12:25" ht="25" customHeight="1">
      <c r="L2188" s="31"/>
      <c r="M2188" s="31"/>
      <c r="N2188" s="31"/>
      <c r="X2188" s="35"/>
      <c r="Y2188" s="102"/>
    </row>
    <row r="2189" spans="12:25" ht="25" customHeight="1">
      <c r="L2189" s="31"/>
      <c r="M2189" s="31"/>
      <c r="N2189" s="31"/>
      <c r="X2189" s="35"/>
      <c r="Y2189" s="102"/>
    </row>
    <row r="2190" spans="12:25" ht="25" customHeight="1">
      <c r="L2190" s="31"/>
      <c r="M2190" s="31"/>
      <c r="N2190" s="31"/>
      <c r="X2190" s="35"/>
      <c r="Y2190" s="102"/>
    </row>
    <row r="2191" spans="12:25" ht="25" customHeight="1">
      <c r="L2191" s="31"/>
      <c r="M2191" s="31"/>
      <c r="N2191" s="31"/>
      <c r="X2191" s="35"/>
      <c r="Y2191" s="102"/>
    </row>
    <row r="2192" spans="12:25" ht="25" customHeight="1">
      <c r="L2192" s="31"/>
      <c r="M2192" s="31"/>
      <c r="N2192" s="31"/>
      <c r="X2192" s="35"/>
      <c r="Y2192" s="102"/>
    </row>
    <row r="2193" spans="12:25" ht="25" customHeight="1">
      <c r="L2193" s="31"/>
      <c r="M2193" s="31"/>
      <c r="N2193" s="31"/>
      <c r="X2193" s="35"/>
      <c r="Y2193" s="102"/>
    </row>
    <row r="2194" spans="12:25" ht="25" customHeight="1">
      <c r="L2194" s="31"/>
      <c r="M2194" s="31"/>
      <c r="N2194" s="31"/>
      <c r="X2194" s="35"/>
      <c r="Y2194" s="102"/>
    </row>
    <row r="2195" spans="12:25" ht="25" customHeight="1">
      <c r="L2195" s="31"/>
      <c r="M2195" s="31"/>
      <c r="N2195" s="31"/>
      <c r="X2195" s="35"/>
      <c r="Y2195" s="102"/>
    </row>
    <row r="2196" spans="12:25" ht="25" customHeight="1">
      <c r="L2196" s="31"/>
      <c r="M2196" s="31"/>
      <c r="N2196" s="31"/>
      <c r="X2196" s="35"/>
      <c r="Y2196" s="102"/>
    </row>
    <row r="2197" spans="12:25" ht="25" customHeight="1">
      <c r="L2197" s="31"/>
      <c r="M2197" s="31"/>
      <c r="N2197" s="31"/>
      <c r="X2197" s="35"/>
      <c r="Y2197" s="102"/>
    </row>
    <row r="2198" spans="12:25" ht="25" customHeight="1">
      <c r="L2198" s="31"/>
      <c r="M2198" s="31"/>
      <c r="N2198" s="31"/>
      <c r="X2198" s="35"/>
      <c r="Y2198" s="102"/>
    </row>
    <row r="2199" spans="12:25" ht="25" customHeight="1">
      <c r="L2199" s="31"/>
      <c r="M2199" s="31"/>
      <c r="N2199" s="31"/>
      <c r="X2199" s="35"/>
      <c r="Y2199" s="102"/>
    </row>
    <row r="2200" spans="12:25" ht="25" customHeight="1">
      <c r="L2200" s="31"/>
      <c r="M2200" s="31"/>
      <c r="N2200" s="31"/>
      <c r="X2200" s="35"/>
      <c r="Y2200" s="102"/>
    </row>
    <row r="2201" spans="12:25" ht="25" customHeight="1">
      <c r="L2201" s="31"/>
      <c r="M2201" s="31"/>
      <c r="N2201" s="31"/>
      <c r="X2201" s="35"/>
      <c r="Y2201" s="102"/>
    </row>
    <row r="2202" spans="12:25" ht="25" customHeight="1">
      <c r="L2202" s="31"/>
      <c r="M2202" s="31"/>
      <c r="N2202" s="31"/>
      <c r="X2202" s="35"/>
      <c r="Y2202" s="102"/>
    </row>
    <row r="2203" spans="12:25" ht="25" customHeight="1">
      <c r="L2203" s="31"/>
      <c r="M2203" s="31"/>
      <c r="N2203" s="31"/>
      <c r="X2203" s="35"/>
      <c r="Y2203" s="102"/>
    </row>
    <row r="2204" spans="12:25" ht="25" customHeight="1">
      <c r="L2204" s="31"/>
      <c r="M2204" s="31"/>
      <c r="N2204" s="31"/>
      <c r="X2204" s="35"/>
      <c r="Y2204" s="102"/>
    </row>
    <row r="2205" spans="12:25" ht="25" customHeight="1">
      <c r="L2205" s="31"/>
      <c r="M2205" s="31"/>
      <c r="N2205" s="31"/>
      <c r="X2205" s="35"/>
      <c r="Y2205" s="102"/>
    </row>
    <row r="2206" spans="12:25" ht="25" customHeight="1">
      <c r="L2206" s="31"/>
      <c r="M2206" s="31"/>
      <c r="N2206" s="31"/>
      <c r="X2206" s="35"/>
      <c r="Y2206" s="102"/>
    </row>
    <row r="2207" spans="12:25" ht="25" customHeight="1">
      <c r="L2207" s="31"/>
      <c r="M2207" s="31"/>
      <c r="N2207" s="31"/>
      <c r="X2207" s="35"/>
      <c r="Y2207" s="102"/>
    </row>
    <row r="2208" spans="12:25" ht="25" customHeight="1">
      <c r="L2208" s="31"/>
      <c r="M2208" s="31"/>
      <c r="N2208" s="31"/>
      <c r="X2208" s="35"/>
      <c r="Y2208" s="102"/>
    </row>
    <row r="2209" spans="12:25" ht="25" customHeight="1">
      <c r="L2209" s="31"/>
      <c r="M2209" s="31"/>
      <c r="N2209" s="31"/>
      <c r="X2209" s="35"/>
      <c r="Y2209" s="102"/>
    </row>
    <row r="2210" spans="12:25" ht="25" customHeight="1">
      <c r="L2210" s="31"/>
      <c r="M2210" s="31"/>
      <c r="N2210" s="31"/>
      <c r="X2210" s="35"/>
      <c r="Y2210" s="102"/>
    </row>
    <row r="2211" spans="12:25" ht="25" customHeight="1">
      <c r="L2211" s="31"/>
      <c r="M2211" s="31"/>
      <c r="N2211" s="31"/>
      <c r="X2211" s="35"/>
      <c r="Y2211" s="102"/>
    </row>
    <row r="2212" spans="12:25" ht="25" customHeight="1">
      <c r="L2212" s="31"/>
      <c r="M2212" s="31"/>
      <c r="N2212" s="31"/>
      <c r="X2212" s="35"/>
      <c r="Y2212" s="102"/>
    </row>
    <row r="2213" spans="12:25" ht="25" customHeight="1">
      <c r="L2213" s="31"/>
      <c r="M2213" s="31"/>
      <c r="N2213" s="31"/>
      <c r="X2213" s="35"/>
      <c r="Y2213" s="102"/>
    </row>
    <row r="2214" spans="12:25" ht="25" customHeight="1">
      <c r="L2214" s="31"/>
      <c r="M2214" s="31"/>
      <c r="N2214" s="31"/>
      <c r="X2214" s="35"/>
      <c r="Y2214" s="102"/>
    </row>
    <row r="2215" spans="12:25" ht="25" customHeight="1">
      <c r="L2215" s="31"/>
      <c r="M2215" s="31"/>
      <c r="N2215" s="31"/>
      <c r="X2215" s="35"/>
      <c r="Y2215" s="102"/>
    </row>
    <row r="2216" spans="12:25" ht="25" customHeight="1">
      <c r="L2216" s="31"/>
      <c r="M2216" s="31"/>
      <c r="N2216" s="31"/>
      <c r="X2216" s="35"/>
      <c r="Y2216" s="102"/>
    </row>
    <row r="2217" spans="12:25" ht="25" customHeight="1">
      <c r="L2217" s="31"/>
      <c r="M2217" s="31"/>
      <c r="N2217" s="31"/>
      <c r="X2217" s="35"/>
      <c r="Y2217" s="102"/>
    </row>
    <row r="2218" spans="12:25" ht="25" customHeight="1">
      <c r="L2218" s="31"/>
      <c r="M2218" s="31"/>
      <c r="N2218" s="31"/>
      <c r="X2218" s="35"/>
      <c r="Y2218" s="102"/>
    </row>
    <row r="2219" spans="12:25" ht="25" customHeight="1">
      <c r="L2219" s="31"/>
      <c r="M2219" s="31"/>
      <c r="N2219" s="31"/>
      <c r="X2219" s="35"/>
      <c r="Y2219" s="102"/>
    </row>
    <row r="2220" spans="12:25" ht="25" customHeight="1">
      <c r="L2220" s="31"/>
      <c r="M2220" s="31"/>
      <c r="N2220" s="31"/>
      <c r="X2220" s="35"/>
      <c r="Y2220" s="102"/>
    </row>
    <row r="2221" spans="12:25" ht="25" customHeight="1">
      <c r="L2221" s="31"/>
      <c r="M2221" s="31"/>
      <c r="N2221" s="31"/>
      <c r="X2221" s="35"/>
      <c r="Y2221" s="102"/>
    </row>
    <row r="2222" spans="12:25" ht="25" customHeight="1">
      <c r="L2222" s="31"/>
      <c r="M2222" s="31"/>
      <c r="N2222" s="31"/>
      <c r="X2222" s="35"/>
      <c r="Y2222" s="102"/>
    </row>
    <row r="2223" spans="12:25" ht="25" customHeight="1">
      <c r="L2223" s="31"/>
      <c r="M2223" s="31"/>
      <c r="N2223" s="31"/>
      <c r="X2223" s="35"/>
      <c r="Y2223" s="102"/>
    </row>
    <row r="2224" spans="12:25" ht="25" customHeight="1">
      <c r="L2224" s="31"/>
      <c r="M2224" s="31"/>
      <c r="N2224" s="31"/>
      <c r="X2224" s="35"/>
      <c r="Y2224" s="102"/>
    </row>
    <row r="2225" spans="12:25" ht="25" customHeight="1">
      <c r="L2225" s="31"/>
      <c r="M2225" s="31"/>
      <c r="N2225" s="31"/>
      <c r="X2225" s="35"/>
      <c r="Y2225" s="102"/>
    </row>
    <row r="2226" spans="12:25" ht="25" customHeight="1">
      <c r="L2226" s="31"/>
      <c r="M2226" s="31"/>
      <c r="N2226" s="31"/>
      <c r="X2226" s="35"/>
      <c r="Y2226" s="102"/>
    </row>
    <row r="2227" spans="12:25" ht="25" customHeight="1">
      <c r="L2227" s="31"/>
      <c r="M2227" s="31"/>
      <c r="N2227" s="31"/>
      <c r="X2227" s="35"/>
      <c r="Y2227" s="102"/>
    </row>
    <row r="2228" spans="12:25" ht="25" customHeight="1">
      <c r="L2228" s="31"/>
      <c r="M2228" s="31"/>
      <c r="N2228" s="31"/>
      <c r="X2228" s="35"/>
      <c r="Y2228" s="102"/>
    </row>
    <row r="2229" spans="12:25" ht="25" customHeight="1">
      <c r="L2229" s="31"/>
      <c r="M2229" s="31"/>
      <c r="N2229" s="31"/>
      <c r="X2229" s="35"/>
      <c r="Y2229" s="102"/>
    </row>
    <row r="2230" spans="12:25" ht="25" customHeight="1">
      <c r="L2230" s="31"/>
      <c r="M2230" s="31"/>
      <c r="N2230" s="31"/>
      <c r="X2230" s="35"/>
      <c r="Y2230" s="102"/>
    </row>
    <row r="2231" spans="12:25" ht="25" customHeight="1">
      <c r="L2231" s="31"/>
      <c r="M2231" s="31"/>
      <c r="N2231" s="31"/>
      <c r="X2231" s="35"/>
      <c r="Y2231" s="102"/>
    </row>
    <row r="2232" spans="12:25" ht="25" customHeight="1">
      <c r="L2232" s="31"/>
      <c r="M2232" s="31"/>
      <c r="N2232" s="31"/>
      <c r="X2232" s="35"/>
      <c r="Y2232" s="102"/>
    </row>
    <row r="2233" spans="12:25" ht="25" customHeight="1">
      <c r="L2233" s="31"/>
      <c r="M2233" s="31"/>
      <c r="N2233" s="31"/>
      <c r="X2233" s="35"/>
      <c r="Y2233" s="102"/>
    </row>
    <row r="2234" spans="12:25" ht="25" customHeight="1">
      <c r="L2234" s="31"/>
      <c r="M2234" s="31"/>
      <c r="N2234" s="31"/>
      <c r="X2234" s="35"/>
      <c r="Y2234" s="102"/>
    </row>
    <row r="2235" spans="12:25" ht="25" customHeight="1">
      <c r="L2235" s="31"/>
      <c r="M2235" s="31"/>
      <c r="N2235" s="31"/>
      <c r="X2235" s="35"/>
      <c r="Y2235" s="102"/>
    </row>
    <row r="2236" spans="12:25" ht="25" customHeight="1">
      <c r="L2236" s="31"/>
      <c r="M2236" s="31"/>
      <c r="N2236" s="31"/>
      <c r="X2236" s="35"/>
      <c r="Y2236" s="102"/>
    </row>
    <row r="2237" spans="12:25" ht="25" customHeight="1">
      <c r="L2237" s="31"/>
      <c r="M2237" s="31"/>
      <c r="N2237" s="31"/>
      <c r="X2237" s="35"/>
      <c r="Y2237" s="102"/>
    </row>
    <row r="2238" spans="12:25" ht="25" customHeight="1">
      <c r="L2238" s="31"/>
      <c r="M2238" s="31"/>
      <c r="N2238" s="31"/>
      <c r="X2238" s="35"/>
      <c r="Y2238" s="102"/>
    </row>
    <row r="2239" spans="12:25" ht="25" customHeight="1">
      <c r="L2239" s="31"/>
      <c r="M2239" s="31"/>
      <c r="N2239" s="31"/>
      <c r="X2239" s="35"/>
      <c r="Y2239" s="102"/>
    </row>
    <row r="2240" spans="12:25" ht="25" customHeight="1">
      <c r="L2240" s="31"/>
      <c r="M2240" s="31"/>
      <c r="N2240" s="31"/>
      <c r="X2240" s="35"/>
      <c r="Y2240" s="102"/>
    </row>
    <row r="2241" spans="12:25" ht="25" customHeight="1">
      <c r="L2241" s="31"/>
      <c r="M2241" s="31"/>
      <c r="N2241" s="31"/>
      <c r="X2241" s="35"/>
      <c r="Y2241" s="102"/>
    </row>
    <row r="2242" spans="12:25" ht="25" customHeight="1">
      <c r="L2242" s="31"/>
      <c r="M2242" s="31"/>
      <c r="N2242" s="31"/>
      <c r="X2242" s="35"/>
      <c r="Y2242" s="102"/>
    </row>
    <row r="2243" spans="12:25" ht="25" customHeight="1">
      <c r="L2243" s="31"/>
      <c r="M2243" s="31"/>
      <c r="N2243" s="31"/>
      <c r="X2243" s="35"/>
      <c r="Y2243" s="102"/>
    </row>
    <row r="2244" spans="12:25" ht="25" customHeight="1">
      <c r="L2244" s="31"/>
      <c r="M2244" s="31"/>
      <c r="N2244" s="31"/>
      <c r="X2244" s="35"/>
      <c r="Y2244" s="102"/>
    </row>
    <row r="2245" spans="12:25" ht="25" customHeight="1">
      <c r="L2245" s="31"/>
      <c r="M2245" s="31"/>
      <c r="N2245" s="31"/>
      <c r="X2245" s="35"/>
      <c r="Y2245" s="102"/>
    </row>
    <row r="2246" spans="12:25" ht="25" customHeight="1">
      <c r="L2246" s="31"/>
      <c r="M2246" s="31"/>
      <c r="N2246" s="31"/>
      <c r="X2246" s="35"/>
      <c r="Y2246" s="102"/>
    </row>
    <row r="2247" spans="12:25" ht="25" customHeight="1">
      <c r="L2247" s="31"/>
      <c r="M2247" s="31"/>
      <c r="N2247" s="31"/>
      <c r="X2247" s="35"/>
      <c r="Y2247" s="102"/>
    </row>
    <row r="2248" spans="12:25" ht="25" customHeight="1">
      <c r="L2248" s="31"/>
      <c r="M2248" s="31"/>
      <c r="N2248" s="31"/>
      <c r="X2248" s="35"/>
      <c r="Y2248" s="102"/>
    </row>
    <row r="2249" spans="12:25" ht="25" customHeight="1">
      <c r="L2249" s="31"/>
      <c r="M2249" s="31"/>
      <c r="N2249" s="31"/>
      <c r="X2249" s="35"/>
      <c r="Y2249" s="102"/>
    </row>
    <row r="2250" spans="12:25" ht="25" customHeight="1">
      <c r="L2250" s="31"/>
      <c r="M2250" s="31"/>
      <c r="N2250" s="31"/>
      <c r="X2250" s="35"/>
      <c r="Y2250" s="102"/>
    </row>
    <row r="2251" spans="12:25" ht="25" customHeight="1">
      <c r="L2251" s="31"/>
      <c r="M2251" s="31"/>
      <c r="N2251" s="31"/>
      <c r="X2251" s="35"/>
      <c r="Y2251" s="102"/>
    </row>
    <row r="2252" spans="12:25" ht="25" customHeight="1">
      <c r="L2252" s="31"/>
      <c r="M2252" s="31"/>
      <c r="N2252" s="31"/>
      <c r="X2252" s="35"/>
      <c r="Y2252" s="102"/>
    </row>
    <row r="2253" spans="12:25" ht="25" customHeight="1">
      <c r="L2253" s="31"/>
      <c r="M2253" s="31"/>
      <c r="N2253" s="31"/>
      <c r="X2253" s="35"/>
      <c r="Y2253" s="102"/>
    </row>
    <row r="2254" spans="12:25" ht="25" customHeight="1">
      <c r="L2254" s="31"/>
      <c r="M2254" s="31"/>
      <c r="N2254" s="31"/>
      <c r="X2254" s="35"/>
      <c r="Y2254" s="102"/>
    </row>
    <row r="2255" spans="12:25" ht="25" customHeight="1">
      <c r="L2255" s="31"/>
      <c r="M2255" s="31"/>
      <c r="N2255" s="31"/>
      <c r="X2255" s="35"/>
      <c r="Y2255" s="102"/>
    </row>
    <row r="2256" spans="12:25" ht="25" customHeight="1">
      <c r="L2256" s="31"/>
      <c r="M2256" s="31"/>
      <c r="N2256" s="31"/>
      <c r="X2256" s="35"/>
      <c r="Y2256" s="102"/>
    </row>
    <row r="2257" spans="12:25" ht="25" customHeight="1">
      <c r="L2257" s="31"/>
      <c r="M2257" s="31"/>
      <c r="N2257" s="31"/>
      <c r="X2257" s="35"/>
      <c r="Y2257" s="102"/>
    </row>
    <row r="2258" spans="12:25" ht="25" customHeight="1">
      <c r="L2258" s="31"/>
      <c r="M2258" s="31"/>
      <c r="N2258" s="31"/>
      <c r="X2258" s="35"/>
      <c r="Y2258" s="102"/>
    </row>
    <row r="2259" spans="12:25" ht="25" customHeight="1">
      <c r="L2259" s="31"/>
      <c r="M2259" s="31"/>
      <c r="N2259" s="31"/>
      <c r="X2259" s="35"/>
      <c r="Y2259" s="102"/>
    </row>
    <row r="2260" spans="12:25" ht="25" customHeight="1">
      <c r="L2260" s="31"/>
      <c r="M2260" s="31"/>
      <c r="N2260" s="31"/>
      <c r="X2260" s="35"/>
      <c r="Y2260" s="102"/>
    </row>
    <row r="2261" spans="12:25" ht="25" customHeight="1">
      <c r="L2261" s="31"/>
      <c r="M2261" s="31"/>
      <c r="N2261" s="31"/>
      <c r="X2261" s="35"/>
      <c r="Y2261" s="102"/>
    </row>
    <row r="2262" spans="12:25" ht="25" customHeight="1">
      <c r="L2262" s="31"/>
      <c r="M2262" s="31"/>
      <c r="N2262" s="31"/>
      <c r="X2262" s="35"/>
      <c r="Y2262" s="102"/>
    </row>
    <row r="2263" spans="12:25" ht="25" customHeight="1">
      <c r="L2263" s="31"/>
      <c r="M2263" s="31"/>
      <c r="N2263" s="31"/>
      <c r="X2263" s="35"/>
      <c r="Y2263" s="102"/>
    </row>
    <row r="2264" spans="12:25" ht="25" customHeight="1">
      <c r="L2264" s="31"/>
      <c r="M2264" s="31"/>
      <c r="N2264" s="31"/>
      <c r="X2264" s="35"/>
      <c r="Y2264" s="102"/>
    </row>
    <row r="2265" spans="12:25" ht="25" customHeight="1">
      <c r="L2265" s="31"/>
      <c r="M2265" s="31"/>
      <c r="N2265" s="31"/>
      <c r="X2265" s="35"/>
      <c r="Y2265" s="102"/>
    </row>
    <row r="2266" spans="12:25" ht="25" customHeight="1">
      <c r="L2266" s="31"/>
      <c r="M2266" s="31"/>
      <c r="N2266" s="31"/>
      <c r="X2266" s="35"/>
      <c r="Y2266" s="102"/>
    </row>
    <row r="2267" spans="12:25" ht="25" customHeight="1">
      <c r="L2267" s="31"/>
      <c r="M2267" s="31"/>
      <c r="N2267" s="31"/>
      <c r="X2267" s="35"/>
      <c r="Y2267" s="102"/>
    </row>
    <row r="2268" spans="12:25" ht="25" customHeight="1">
      <c r="L2268" s="31"/>
      <c r="M2268" s="31"/>
      <c r="N2268" s="31"/>
      <c r="X2268" s="35"/>
      <c r="Y2268" s="102"/>
    </row>
    <row r="2269" spans="12:25" ht="25" customHeight="1">
      <c r="L2269" s="31"/>
      <c r="M2269" s="31"/>
      <c r="N2269" s="31"/>
      <c r="X2269" s="35"/>
      <c r="Y2269" s="102"/>
    </row>
    <row r="2270" spans="12:25" ht="25" customHeight="1">
      <c r="L2270" s="31"/>
      <c r="M2270" s="31"/>
      <c r="N2270" s="31"/>
      <c r="X2270" s="35"/>
      <c r="Y2270" s="102"/>
    </row>
    <row r="2271" spans="12:25" ht="25" customHeight="1">
      <c r="L2271" s="31"/>
      <c r="M2271" s="31"/>
      <c r="N2271" s="31"/>
      <c r="X2271" s="35"/>
      <c r="Y2271" s="102"/>
    </row>
    <row r="2272" spans="12:25" ht="25" customHeight="1">
      <c r="L2272" s="31"/>
      <c r="M2272" s="31"/>
      <c r="N2272" s="31"/>
      <c r="X2272" s="35"/>
      <c r="Y2272" s="102"/>
    </row>
    <row r="2273" spans="12:25" ht="25" customHeight="1">
      <c r="L2273" s="31"/>
      <c r="M2273" s="31"/>
      <c r="N2273" s="31"/>
      <c r="X2273" s="35"/>
      <c r="Y2273" s="102"/>
    </row>
    <row r="2274" spans="12:25" ht="25" customHeight="1">
      <c r="L2274" s="31"/>
      <c r="M2274" s="31"/>
      <c r="N2274" s="31"/>
      <c r="X2274" s="35"/>
      <c r="Y2274" s="102"/>
    </row>
    <row r="2275" spans="12:25" ht="25" customHeight="1">
      <c r="L2275" s="31"/>
      <c r="M2275" s="31"/>
      <c r="N2275" s="31"/>
      <c r="X2275" s="35"/>
      <c r="Y2275" s="102"/>
    </row>
    <row r="2276" spans="12:25" ht="25" customHeight="1">
      <c r="L2276" s="31"/>
      <c r="M2276" s="31"/>
      <c r="N2276" s="31"/>
      <c r="X2276" s="35"/>
      <c r="Y2276" s="102"/>
    </row>
    <row r="2277" spans="12:25" ht="25" customHeight="1">
      <c r="L2277" s="31"/>
      <c r="M2277" s="31"/>
      <c r="N2277" s="31"/>
      <c r="X2277" s="35"/>
      <c r="Y2277" s="102"/>
    </row>
    <row r="2278" spans="12:25" ht="25" customHeight="1">
      <c r="L2278" s="31"/>
      <c r="M2278" s="31"/>
      <c r="N2278" s="31"/>
      <c r="X2278" s="35"/>
      <c r="Y2278" s="102"/>
    </row>
    <row r="2279" spans="12:25" ht="25" customHeight="1">
      <c r="L2279" s="31"/>
      <c r="M2279" s="31"/>
      <c r="N2279" s="31"/>
      <c r="X2279" s="35"/>
      <c r="Y2279" s="102"/>
    </row>
    <row r="2280" spans="12:25" ht="25" customHeight="1">
      <c r="L2280" s="31"/>
      <c r="M2280" s="31"/>
      <c r="N2280" s="31"/>
      <c r="X2280" s="35"/>
      <c r="Y2280" s="102"/>
    </row>
    <row r="2281" spans="12:25" ht="25" customHeight="1">
      <c r="L2281" s="31"/>
      <c r="M2281" s="31"/>
      <c r="N2281" s="31"/>
      <c r="X2281" s="35"/>
      <c r="Y2281" s="102"/>
    </row>
    <row r="2282" spans="12:25" ht="25" customHeight="1">
      <c r="L2282" s="31"/>
      <c r="M2282" s="31"/>
      <c r="N2282" s="31"/>
      <c r="X2282" s="35"/>
      <c r="Y2282" s="102"/>
    </row>
    <row r="2283" spans="12:25" ht="25" customHeight="1">
      <c r="L2283" s="31"/>
      <c r="M2283" s="31"/>
      <c r="N2283" s="31"/>
      <c r="X2283" s="35"/>
      <c r="Y2283" s="102"/>
    </row>
    <row r="2284" spans="12:25" ht="25" customHeight="1">
      <c r="L2284" s="31"/>
      <c r="M2284" s="31"/>
      <c r="N2284" s="31"/>
      <c r="X2284" s="35"/>
      <c r="Y2284" s="102"/>
    </row>
    <row r="2285" spans="12:25" ht="25" customHeight="1">
      <c r="L2285" s="31"/>
      <c r="M2285" s="31"/>
      <c r="N2285" s="31"/>
      <c r="X2285" s="35"/>
      <c r="Y2285" s="102"/>
    </row>
    <row r="2286" spans="12:25" ht="25" customHeight="1">
      <c r="L2286" s="31"/>
      <c r="M2286" s="31"/>
      <c r="N2286" s="31"/>
      <c r="X2286" s="35"/>
      <c r="Y2286" s="102"/>
    </row>
    <row r="2287" spans="12:25" ht="25" customHeight="1">
      <c r="L2287" s="31"/>
      <c r="M2287" s="31"/>
      <c r="N2287" s="31"/>
      <c r="X2287" s="35"/>
      <c r="Y2287" s="102"/>
    </row>
    <row r="2288" spans="12:25" ht="25" customHeight="1">
      <c r="L2288" s="31"/>
      <c r="M2288" s="31"/>
      <c r="N2288" s="31"/>
      <c r="X2288" s="35"/>
      <c r="Y2288" s="102"/>
    </row>
    <row r="2289" spans="12:25" ht="25" customHeight="1">
      <c r="L2289" s="31"/>
      <c r="M2289" s="31"/>
      <c r="N2289" s="31"/>
      <c r="X2289" s="35"/>
      <c r="Y2289" s="102"/>
    </row>
    <row r="2290" spans="12:25" ht="25" customHeight="1">
      <c r="L2290" s="31"/>
      <c r="M2290" s="31"/>
      <c r="N2290" s="31"/>
      <c r="X2290" s="35"/>
      <c r="Y2290" s="102"/>
    </row>
    <row r="2291" spans="12:25" ht="25" customHeight="1">
      <c r="L2291" s="31"/>
      <c r="M2291" s="31"/>
      <c r="N2291" s="31"/>
      <c r="X2291" s="35"/>
      <c r="Y2291" s="102"/>
    </row>
    <row r="2292" spans="12:25" ht="25" customHeight="1">
      <c r="L2292" s="31"/>
      <c r="M2292" s="31"/>
      <c r="N2292" s="31"/>
      <c r="X2292" s="35"/>
      <c r="Y2292" s="102"/>
    </row>
    <row r="2293" spans="12:25" ht="25" customHeight="1">
      <c r="L2293" s="31"/>
      <c r="M2293" s="31"/>
      <c r="N2293" s="31"/>
      <c r="X2293" s="35"/>
      <c r="Y2293" s="102"/>
    </row>
    <row r="2294" spans="12:25" ht="25" customHeight="1">
      <c r="L2294" s="31"/>
      <c r="M2294" s="31"/>
      <c r="N2294" s="31"/>
      <c r="X2294" s="35"/>
      <c r="Y2294" s="102"/>
    </row>
    <row r="2295" spans="12:25" ht="25" customHeight="1">
      <c r="L2295" s="31"/>
      <c r="M2295" s="31"/>
      <c r="N2295" s="31"/>
      <c r="X2295" s="35"/>
      <c r="Y2295" s="102"/>
    </row>
    <row r="2296" spans="12:25" ht="25" customHeight="1">
      <c r="L2296" s="31"/>
      <c r="M2296" s="31"/>
      <c r="N2296" s="31"/>
      <c r="X2296" s="35"/>
      <c r="Y2296" s="102"/>
    </row>
    <row r="2297" spans="12:25" ht="25" customHeight="1">
      <c r="L2297" s="31"/>
      <c r="M2297" s="31"/>
      <c r="N2297" s="31"/>
      <c r="X2297" s="35"/>
      <c r="Y2297" s="102"/>
    </row>
    <row r="2298" spans="12:25" ht="25" customHeight="1">
      <c r="L2298" s="31"/>
      <c r="M2298" s="31"/>
      <c r="N2298" s="31"/>
      <c r="X2298" s="35"/>
      <c r="Y2298" s="102"/>
    </row>
    <row r="2299" spans="12:25" ht="25" customHeight="1">
      <c r="L2299" s="31"/>
      <c r="M2299" s="31"/>
      <c r="N2299" s="31"/>
      <c r="X2299" s="35"/>
      <c r="Y2299" s="102"/>
    </row>
    <row r="2300" spans="12:25" ht="25" customHeight="1">
      <c r="L2300" s="31"/>
      <c r="M2300" s="31"/>
      <c r="N2300" s="31"/>
      <c r="X2300" s="35"/>
      <c r="Y2300" s="102"/>
    </row>
    <row r="2301" spans="12:25" ht="25" customHeight="1">
      <c r="L2301" s="31"/>
      <c r="M2301" s="31"/>
      <c r="N2301" s="31"/>
      <c r="X2301" s="35"/>
      <c r="Y2301" s="102"/>
    </row>
    <row r="2302" spans="12:25" ht="25" customHeight="1">
      <c r="L2302" s="31"/>
      <c r="M2302" s="31"/>
      <c r="N2302" s="31"/>
      <c r="X2302" s="35"/>
      <c r="Y2302" s="102"/>
    </row>
    <row r="2303" spans="12:25" ht="25" customHeight="1">
      <c r="L2303" s="31"/>
      <c r="M2303" s="31"/>
      <c r="N2303" s="31"/>
      <c r="X2303" s="35"/>
      <c r="Y2303" s="102"/>
    </row>
    <row r="2304" spans="12:25" ht="25" customHeight="1">
      <c r="L2304" s="31"/>
      <c r="M2304" s="31"/>
      <c r="N2304" s="31"/>
      <c r="X2304" s="35"/>
      <c r="Y2304" s="102"/>
    </row>
    <row r="2305" spans="12:25" ht="25" customHeight="1">
      <c r="L2305" s="31"/>
      <c r="M2305" s="31"/>
      <c r="N2305" s="31"/>
      <c r="X2305" s="35"/>
      <c r="Y2305" s="102"/>
    </row>
    <row r="2306" spans="12:25" ht="25" customHeight="1">
      <c r="L2306" s="31"/>
      <c r="M2306" s="31"/>
      <c r="N2306" s="31"/>
      <c r="X2306" s="35"/>
      <c r="Y2306" s="102"/>
    </row>
    <row r="2307" spans="12:25" ht="25" customHeight="1">
      <c r="L2307" s="31"/>
      <c r="M2307" s="31"/>
      <c r="N2307" s="31"/>
      <c r="X2307" s="35"/>
      <c r="Y2307" s="102"/>
    </row>
    <row r="2308" spans="12:25" ht="25" customHeight="1">
      <c r="L2308" s="31"/>
      <c r="M2308" s="31"/>
      <c r="N2308" s="31"/>
      <c r="X2308" s="35"/>
      <c r="Y2308" s="102"/>
    </row>
    <row r="2309" spans="12:25" ht="25" customHeight="1">
      <c r="L2309" s="31"/>
      <c r="M2309" s="31"/>
      <c r="N2309" s="31"/>
      <c r="X2309" s="35"/>
      <c r="Y2309" s="102"/>
    </row>
    <row r="2310" spans="12:25" ht="25" customHeight="1">
      <c r="L2310" s="31"/>
      <c r="M2310" s="31"/>
      <c r="N2310" s="31"/>
      <c r="X2310" s="35"/>
      <c r="Y2310" s="102"/>
    </row>
    <row r="2311" spans="12:25" ht="25" customHeight="1">
      <c r="L2311" s="31"/>
      <c r="M2311" s="31"/>
      <c r="N2311" s="31"/>
      <c r="X2311" s="35"/>
      <c r="Y2311" s="102"/>
    </row>
    <row r="2312" spans="12:25" ht="25" customHeight="1">
      <c r="L2312" s="31"/>
      <c r="M2312" s="31"/>
      <c r="N2312" s="31"/>
      <c r="X2312" s="35"/>
      <c r="Y2312" s="102"/>
    </row>
    <row r="2313" spans="12:25" ht="25" customHeight="1">
      <c r="L2313" s="31"/>
      <c r="M2313" s="31"/>
      <c r="N2313" s="31"/>
      <c r="X2313" s="35"/>
      <c r="Y2313" s="102"/>
    </row>
    <row r="2314" spans="12:25" ht="25" customHeight="1">
      <c r="L2314" s="31"/>
      <c r="M2314" s="31"/>
      <c r="N2314" s="31"/>
      <c r="X2314" s="35"/>
      <c r="Y2314" s="102"/>
    </row>
    <row r="2315" spans="12:25" ht="25" customHeight="1">
      <c r="L2315" s="31"/>
      <c r="M2315" s="31"/>
      <c r="N2315" s="31"/>
      <c r="X2315" s="35"/>
      <c r="Y2315" s="102"/>
    </row>
    <row r="2316" spans="12:25" ht="25" customHeight="1">
      <c r="L2316" s="31"/>
      <c r="M2316" s="31"/>
      <c r="N2316" s="31"/>
      <c r="X2316" s="35"/>
      <c r="Y2316" s="102"/>
    </row>
    <row r="2317" spans="12:25" ht="25" customHeight="1">
      <c r="L2317" s="31"/>
      <c r="M2317" s="31"/>
      <c r="N2317" s="31"/>
      <c r="X2317" s="35"/>
      <c r="Y2317" s="102"/>
    </row>
    <row r="2318" spans="12:25" ht="25" customHeight="1">
      <c r="L2318" s="31"/>
      <c r="M2318" s="31"/>
      <c r="N2318" s="31"/>
      <c r="X2318" s="35"/>
      <c r="Y2318" s="102"/>
    </row>
    <row r="2319" spans="12:25" ht="25" customHeight="1">
      <c r="L2319" s="31"/>
      <c r="M2319" s="31"/>
      <c r="N2319" s="31"/>
      <c r="X2319" s="35"/>
      <c r="Y2319" s="102"/>
    </row>
    <row r="2320" spans="12:25" ht="25" customHeight="1">
      <c r="L2320" s="31"/>
      <c r="M2320" s="31"/>
      <c r="N2320" s="31"/>
      <c r="X2320" s="35"/>
      <c r="Y2320" s="102"/>
    </row>
    <row r="2321" spans="12:25" ht="25" customHeight="1">
      <c r="L2321" s="31"/>
      <c r="M2321" s="31"/>
      <c r="N2321" s="31"/>
      <c r="X2321" s="35"/>
      <c r="Y2321" s="102"/>
    </row>
    <row r="2322" spans="12:25" ht="25" customHeight="1">
      <c r="L2322" s="31"/>
      <c r="M2322" s="31"/>
      <c r="N2322" s="31"/>
      <c r="X2322" s="35"/>
      <c r="Y2322" s="102"/>
    </row>
    <row r="2323" spans="12:25" ht="25" customHeight="1">
      <c r="L2323" s="31"/>
      <c r="M2323" s="31"/>
      <c r="N2323" s="31"/>
      <c r="X2323" s="35"/>
      <c r="Y2323" s="102"/>
    </row>
    <row r="2324" spans="12:25" ht="25" customHeight="1">
      <c r="L2324" s="31"/>
      <c r="M2324" s="31"/>
      <c r="N2324" s="31"/>
      <c r="X2324" s="35"/>
      <c r="Y2324" s="102"/>
    </row>
    <row r="2325" spans="12:25" ht="25" customHeight="1">
      <c r="L2325" s="31"/>
      <c r="M2325" s="31"/>
      <c r="N2325" s="31"/>
      <c r="X2325" s="35"/>
      <c r="Y2325" s="102"/>
    </row>
    <row r="2326" spans="12:25" ht="25" customHeight="1">
      <c r="L2326" s="31"/>
      <c r="M2326" s="31"/>
      <c r="N2326" s="31"/>
      <c r="X2326" s="35"/>
      <c r="Y2326" s="102"/>
    </row>
    <row r="2327" spans="12:25" ht="25" customHeight="1">
      <c r="L2327" s="31"/>
      <c r="M2327" s="31"/>
      <c r="N2327" s="31"/>
      <c r="X2327" s="35"/>
      <c r="Y2327" s="102"/>
    </row>
    <row r="2328" spans="12:25" ht="25" customHeight="1">
      <c r="L2328" s="31"/>
      <c r="M2328" s="31"/>
      <c r="N2328" s="31"/>
      <c r="X2328" s="35"/>
      <c r="Y2328" s="102"/>
    </row>
    <row r="2329" spans="12:25" ht="25" customHeight="1">
      <c r="L2329" s="31"/>
      <c r="M2329" s="31"/>
      <c r="N2329" s="31"/>
      <c r="X2329" s="35"/>
      <c r="Y2329" s="102"/>
    </row>
    <row r="2330" spans="12:25" ht="25" customHeight="1">
      <c r="L2330" s="31"/>
      <c r="M2330" s="31"/>
      <c r="N2330" s="31"/>
      <c r="X2330" s="35"/>
      <c r="Y2330" s="102"/>
    </row>
    <row r="2331" spans="12:25" ht="25" customHeight="1">
      <c r="L2331" s="31"/>
      <c r="M2331" s="31"/>
      <c r="N2331" s="31"/>
      <c r="X2331" s="35"/>
      <c r="Y2331" s="102"/>
    </row>
    <row r="2332" spans="12:25" ht="25" customHeight="1">
      <c r="L2332" s="31"/>
      <c r="M2332" s="31"/>
      <c r="N2332" s="31"/>
      <c r="X2332" s="35"/>
      <c r="Y2332" s="102"/>
    </row>
    <row r="2333" spans="12:25" ht="25" customHeight="1">
      <c r="L2333" s="31"/>
      <c r="M2333" s="31"/>
      <c r="N2333" s="31"/>
      <c r="X2333" s="35"/>
      <c r="Y2333" s="102"/>
    </row>
    <row r="2334" spans="12:25" ht="25" customHeight="1">
      <c r="L2334" s="31"/>
      <c r="M2334" s="31"/>
      <c r="N2334" s="31"/>
      <c r="X2334" s="35"/>
      <c r="Y2334" s="102"/>
    </row>
    <row r="2335" spans="12:25" ht="25" customHeight="1">
      <c r="L2335" s="31"/>
      <c r="M2335" s="31"/>
      <c r="N2335" s="31"/>
      <c r="X2335" s="35"/>
      <c r="Y2335" s="102"/>
    </row>
    <row r="2336" spans="12:25" ht="25" customHeight="1">
      <c r="L2336" s="31"/>
      <c r="M2336" s="31"/>
      <c r="N2336" s="31"/>
      <c r="X2336" s="35"/>
      <c r="Y2336" s="102"/>
    </row>
    <row r="2337" spans="12:25" ht="25" customHeight="1">
      <c r="L2337" s="31"/>
      <c r="M2337" s="31"/>
      <c r="N2337" s="31"/>
      <c r="X2337" s="35"/>
      <c r="Y2337" s="102"/>
    </row>
    <row r="2338" spans="12:25" ht="25" customHeight="1">
      <c r="L2338" s="31"/>
      <c r="M2338" s="31"/>
      <c r="N2338" s="31"/>
      <c r="X2338" s="35"/>
      <c r="Y2338" s="102"/>
    </row>
    <row r="2339" spans="12:25" ht="25" customHeight="1">
      <c r="L2339" s="31"/>
      <c r="M2339" s="31"/>
      <c r="N2339" s="31"/>
      <c r="X2339" s="35"/>
      <c r="Y2339" s="102"/>
    </row>
    <row r="2340" spans="12:25" ht="25" customHeight="1">
      <c r="L2340" s="31"/>
      <c r="M2340" s="31"/>
      <c r="N2340" s="31"/>
      <c r="X2340" s="35"/>
      <c r="Y2340" s="102"/>
    </row>
    <row r="2341" spans="12:25" ht="25" customHeight="1">
      <c r="L2341" s="31"/>
      <c r="M2341" s="31"/>
      <c r="N2341" s="31"/>
      <c r="X2341" s="35"/>
      <c r="Y2341" s="102"/>
    </row>
    <row r="2342" spans="12:25" ht="25" customHeight="1">
      <c r="L2342" s="31"/>
      <c r="M2342" s="31"/>
      <c r="N2342" s="31"/>
      <c r="X2342" s="35"/>
      <c r="Y2342" s="102"/>
    </row>
    <row r="2343" spans="12:25" ht="25" customHeight="1">
      <c r="L2343" s="31"/>
      <c r="M2343" s="31"/>
      <c r="N2343" s="31"/>
      <c r="X2343" s="35"/>
      <c r="Y2343" s="102"/>
    </row>
    <row r="2344" spans="12:25" ht="25" customHeight="1">
      <c r="L2344" s="31"/>
      <c r="M2344" s="31"/>
      <c r="N2344" s="31"/>
      <c r="X2344" s="35"/>
      <c r="Y2344" s="102"/>
    </row>
    <row r="2345" spans="12:25" ht="25" customHeight="1">
      <c r="L2345" s="31"/>
      <c r="M2345" s="31"/>
      <c r="N2345" s="31"/>
      <c r="X2345" s="35"/>
      <c r="Y2345" s="102"/>
    </row>
    <row r="2346" spans="12:25" ht="25" customHeight="1">
      <c r="L2346" s="31"/>
      <c r="M2346" s="31"/>
      <c r="N2346" s="31"/>
      <c r="X2346" s="35"/>
      <c r="Y2346" s="102"/>
    </row>
    <row r="2347" spans="12:25" ht="25" customHeight="1">
      <c r="L2347" s="31"/>
      <c r="M2347" s="31"/>
      <c r="N2347" s="31"/>
      <c r="X2347" s="35"/>
      <c r="Y2347" s="102"/>
    </row>
    <row r="2348" spans="12:25" ht="25" customHeight="1">
      <c r="L2348" s="31"/>
      <c r="M2348" s="31"/>
      <c r="N2348" s="31"/>
      <c r="X2348" s="35"/>
      <c r="Y2348" s="102"/>
    </row>
    <row r="2349" spans="12:25" ht="25" customHeight="1">
      <c r="L2349" s="31"/>
      <c r="M2349" s="31"/>
      <c r="N2349" s="31"/>
      <c r="X2349" s="35"/>
      <c r="Y2349" s="102"/>
    </row>
    <row r="2350" spans="12:25" ht="25" customHeight="1">
      <c r="L2350" s="31"/>
      <c r="M2350" s="31"/>
      <c r="N2350" s="31"/>
      <c r="X2350" s="35"/>
      <c r="Y2350" s="102"/>
    </row>
    <row r="2351" spans="12:25" ht="25" customHeight="1">
      <c r="L2351" s="31"/>
      <c r="M2351" s="31"/>
      <c r="N2351" s="31"/>
      <c r="X2351" s="35"/>
      <c r="Y2351" s="102"/>
    </row>
    <row r="2352" spans="12:25" ht="25" customHeight="1">
      <c r="L2352" s="31"/>
      <c r="M2352" s="31"/>
      <c r="N2352" s="31"/>
      <c r="X2352" s="35"/>
      <c r="Y2352" s="102"/>
    </row>
    <row r="2353" spans="12:25" ht="25" customHeight="1">
      <c r="L2353" s="31"/>
      <c r="M2353" s="31"/>
      <c r="N2353" s="31"/>
      <c r="X2353" s="35"/>
      <c r="Y2353" s="102"/>
    </row>
    <row r="2354" spans="12:25" ht="25" customHeight="1">
      <c r="L2354" s="31"/>
      <c r="M2354" s="31"/>
      <c r="N2354" s="31"/>
      <c r="X2354" s="35"/>
      <c r="Y2354" s="102"/>
    </row>
    <row r="2355" spans="12:25" ht="25" customHeight="1">
      <c r="L2355" s="31"/>
      <c r="M2355" s="31"/>
      <c r="N2355" s="31"/>
      <c r="X2355" s="35"/>
      <c r="Y2355" s="102"/>
    </row>
    <row r="2356" spans="12:25" ht="25" customHeight="1">
      <c r="L2356" s="31"/>
      <c r="M2356" s="31"/>
      <c r="N2356" s="31"/>
      <c r="X2356" s="35"/>
      <c r="Y2356" s="102"/>
    </row>
    <row r="2357" spans="12:25" ht="25" customHeight="1">
      <c r="L2357" s="31"/>
      <c r="M2357" s="31"/>
      <c r="N2357" s="31"/>
      <c r="X2357" s="35"/>
      <c r="Y2357" s="102"/>
    </row>
    <row r="2358" spans="12:25" ht="25" customHeight="1">
      <c r="L2358" s="31"/>
      <c r="M2358" s="31"/>
      <c r="N2358" s="31"/>
      <c r="X2358" s="35"/>
      <c r="Y2358" s="102"/>
    </row>
    <row r="2359" spans="12:25" ht="25" customHeight="1">
      <c r="L2359" s="31"/>
      <c r="M2359" s="31"/>
      <c r="N2359" s="31"/>
      <c r="X2359" s="35"/>
      <c r="Y2359" s="102"/>
    </row>
    <row r="2360" spans="12:25" ht="25" customHeight="1">
      <c r="L2360" s="31"/>
      <c r="M2360" s="31"/>
      <c r="N2360" s="31"/>
      <c r="X2360" s="35"/>
      <c r="Y2360" s="102"/>
    </row>
    <row r="2361" spans="12:25" ht="25" customHeight="1">
      <c r="L2361" s="31"/>
      <c r="M2361" s="31"/>
      <c r="N2361" s="31"/>
      <c r="X2361" s="35"/>
      <c r="Y2361" s="102"/>
    </row>
    <row r="2362" spans="12:25" ht="25" customHeight="1">
      <c r="L2362" s="31"/>
      <c r="M2362" s="31"/>
      <c r="N2362" s="31"/>
      <c r="X2362" s="35"/>
      <c r="Y2362" s="102"/>
    </row>
    <row r="2363" spans="12:25" ht="25" customHeight="1">
      <c r="L2363" s="31"/>
      <c r="M2363" s="31"/>
      <c r="N2363" s="31"/>
      <c r="X2363" s="35"/>
      <c r="Y2363" s="102"/>
    </row>
    <row r="2364" spans="12:25" ht="25" customHeight="1">
      <c r="L2364" s="31"/>
      <c r="M2364" s="31"/>
      <c r="N2364" s="31"/>
      <c r="X2364" s="35"/>
      <c r="Y2364" s="102"/>
    </row>
    <row r="2365" spans="12:25" ht="25" customHeight="1">
      <c r="L2365" s="31"/>
      <c r="M2365" s="31"/>
      <c r="N2365" s="31"/>
      <c r="X2365" s="35"/>
      <c r="Y2365" s="102"/>
    </row>
    <row r="2366" spans="12:25" ht="25" customHeight="1">
      <c r="L2366" s="31"/>
      <c r="M2366" s="31"/>
      <c r="N2366" s="31"/>
      <c r="X2366" s="35"/>
      <c r="Y2366" s="102"/>
    </row>
    <row r="2367" spans="12:25" ht="25" customHeight="1">
      <c r="L2367" s="31"/>
      <c r="M2367" s="31"/>
      <c r="N2367" s="31"/>
      <c r="X2367" s="35"/>
      <c r="Y2367" s="102"/>
    </row>
    <row r="2368" spans="12:25" ht="25" customHeight="1">
      <c r="L2368" s="31"/>
      <c r="M2368" s="31"/>
      <c r="N2368" s="31"/>
      <c r="X2368" s="35"/>
      <c r="Y2368" s="102"/>
    </row>
    <row r="2369" spans="12:25" ht="25" customHeight="1">
      <c r="L2369" s="31"/>
      <c r="M2369" s="31"/>
      <c r="N2369" s="31"/>
      <c r="X2369" s="35"/>
      <c r="Y2369" s="102"/>
    </row>
    <row r="2370" spans="12:25" ht="25" customHeight="1">
      <c r="L2370" s="31"/>
      <c r="M2370" s="31"/>
      <c r="N2370" s="31"/>
      <c r="X2370" s="35"/>
      <c r="Y2370" s="102"/>
    </row>
    <row r="2371" spans="12:25" ht="25" customHeight="1">
      <c r="L2371" s="31"/>
      <c r="M2371" s="31"/>
      <c r="N2371" s="31"/>
      <c r="X2371" s="35"/>
      <c r="Y2371" s="102"/>
    </row>
    <row r="2372" spans="12:25" ht="25" customHeight="1">
      <c r="L2372" s="31"/>
      <c r="M2372" s="31"/>
      <c r="N2372" s="31"/>
      <c r="X2372" s="35"/>
      <c r="Y2372" s="102"/>
    </row>
    <row r="2373" spans="12:25" ht="25" customHeight="1">
      <c r="L2373" s="31"/>
      <c r="M2373" s="31"/>
      <c r="N2373" s="31"/>
      <c r="X2373" s="35"/>
      <c r="Y2373" s="102"/>
    </row>
    <row r="2374" spans="12:25" ht="25" customHeight="1">
      <c r="L2374" s="31"/>
      <c r="M2374" s="31"/>
      <c r="N2374" s="31"/>
      <c r="X2374" s="35"/>
      <c r="Y2374" s="102"/>
    </row>
    <row r="2375" spans="12:25" ht="25" customHeight="1">
      <c r="L2375" s="31"/>
      <c r="M2375" s="31"/>
      <c r="N2375" s="31"/>
      <c r="X2375" s="35"/>
      <c r="Y2375" s="102"/>
    </row>
    <row r="2376" spans="12:25" ht="25" customHeight="1">
      <c r="L2376" s="31"/>
      <c r="M2376" s="31"/>
      <c r="N2376" s="31"/>
      <c r="X2376" s="35"/>
      <c r="Y2376" s="102"/>
    </row>
    <row r="2377" spans="12:25" ht="25" customHeight="1">
      <c r="L2377" s="31"/>
      <c r="M2377" s="31"/>
      <c r="N2377" s="31"/>
      <c r="X2377" s="35"/>
      <c r="Y2377" s="102"/>
    </row>
    <row r="2378" spans="12:25" ht="25" customHeight="1">
      <c r="L2378" s="31"/>
      <c r="M2378" s="31"/>
      <c r="N2378" s="31"/>
      <c r="X2378" s="35"/>
      <c r="Y2378" s="102"/>
    </row>
    <row r="2379" spans="12:25" ht="25" customHeight="1">
      <c r="L2379" s="31"/>
      <c r="M2379" s="31"/>
      <c r="N2379" s="31"/>
      <c r="X2379" s="35"/>
      <c r="Y2379" s="102"/>
    </row>
    <row r="2380" spans="12:25" ht="25" customHeight="1">
      <c r="L2380" s="31"/>
      <c r="M2380" s="31"/>
      <c r="N2380" s="31"/>
      <c r="X2380" s="35"/>
      <c r="Y2380" s="102"/>
    </row>
    <row r="2381" spans="12:25" ht="25" customHeight="1">
      <c r="L2381" s="31"/>
      <c r="M2381" s="31"/>
      <c r="N2381" s="31"/>
      <c r="X2381" s="35"/>
      <c r="Y2381" s="102"/>
    </row>
    <row r="2382" spans="12:25" ht="25" customHeight="1">
      <c r="L2382" s="31"/>
      <c r="M2382" s="31"/>
      <c r="N2382" s="31"/>
      <c r="X2382" s="35"/>
      <c r="Y2382" s="102"/>
    </row>
    <row r="2383" spans="12:25" ht="25" customHeight="1">
      <c r="L2383" s="31"/>
      <c r="M2383" s="31"/>
      <c r="N2383" s="31"/>
      <c r="X2383" s="35"/>
      <c r="Y2383" s="102"/>
    </row>
    <row r="2384" spans="12:25" ht="25" customHeight="1">
      <c r="L2384" s="31"/>
      <c r="M2384" s="31"/>
      <c r="N2384" s="31"/>
      <c r="X2384" s="35"/>
      <c r="Y2384" s="102"/>
    </row>
    <row r="2385" spans="12:25" ht="25" customHeight="1">
      <c r="L2385" s="31"/>
      <c r="M2385" s="31"/>
      <c r="N2385" s="31"/>
      <c r="X2385" s="35"/>
      <c r="Y2385" s="102"/>
    </row>
    <row r="2386" spans="12:25" ht="25" customHeight="1">
      <c r="L2386" s="31"/>
      <c r="M2386" s="31"/>
      <c r="N2386" s="31"/>
      <c r="X2386" s="35"/>
      <c r="Y2386" s="102"/>
    </row>
    <row r="2387" spans="12:25" ht="25" customHeight="1">
      <c r="L2387" s="31"/>
      <c r="M2387" s="31"/>
      <c r="N2387" s="31"/>
      <c r="X2387" s="35"/>
      <c r="Y2387" s="102"/>
    </row>
    <row r="2388" spans="12:25" ht="25" customHeight="1">
      <c r="L2388" s="31"/>
      <c r="M2388" s="31"/>
      <c r="N2388" s="31"/>
      <c r="X2388" s="35"/>
      <c r="Y2388" s="102"/>
    </row>
    <row r="2389" spans="12:25" ht="25" customHeight="1">
      <c r="L2389" s="31"/>
      <c r="M2389" s="31"/>
      <c r="N2389" s="31"/>
      <c r="X2389" s="35"/>
      <c r="Y2389" s="102"/>
    </row>
    <row r="2390" spans="12:25" ht="25" customHeight="1">
      <c r="L2390" s="31"/>
      <c r="M2390" s="31"/>
      <c r="N2390" s="31"/>
      <c r="X2390" s="35"/>
      <c r="Y2390" s="102"/>
    </row>
    <row r="2391" spans="12:25" ht="25" customHeight="1">
      <c r="L2391" s="31"/>
      <c r="M2391" s="31"/>
      <c r="N2391" s="31"/>
      <c r="X2391" s="35"/>
      <c r="Y2391" s="102"/>
    </row>
    <row r="2392" spans="12:25" ht="25" customHeight="1">
      <c r="L2392" s="31"/>
      <c r="M2392" s="31"/>
      <c r="N2392" s="31"/>
      <c r="X2392" s="35"/>
      <c r="Y2392" s="102"/>
    </row>
    <row r="2393" spans="12:25" ht="25" customHeight="1">
      <c r="L2393" s="31"/>
      <c r="M2393" s="31"/>
      <c r="N2393" s="31"/>
      <c r="X2393" s="35"/>
      <c r="Y2393" s="102"/>
    </row>
    <row r="2394" spans="12:25" ht="25" customHeight="1">
      <c r="L2394" s="31"/>
      <c r="M2394" s="31"/>
      <c r="N2394" s="31"/>
      <c r="X2394" s="35"/>
      <c r="Y2394" s="102"/>
    </row>
    <row r="2395" spans="12:25" ht="25" customHeight="1">
      <c r="L2395" s="31"/>
      <c r="M2395" s="31"/>
      <c r="N2395" s="31"/>
      <c r="X2395" s="35"/>
      <c r="Y2395" s="102"/>
    </row>
    <row r="2396" spans="12:25" ht="25" customHeight="1">
      <c r="L2396" s="31"/>
      <c r="M2396" s="31"/>
      <c r="N2396" s="31"/>
      <c r="X2396" s="35"/>
      <c r="Y2396" s="102"/>
    </row>
    <row r="2397" spans="12:25" ht="25" customHeight="1">
      <c r="L2397" s="31"/>
      <c r="M2397" s="31"/>
      <c r="N2397" s="31"/>
      <c r="X2397" s="35"/>
      <c r="Y2397" s="102"/>
    </row>
    <row r="2398" spans="12:25" ht="25" customHeight="1">
      <c r="L2398" s="31"/>
      <c r="M2398" s="31"/>
      <c r="N2398" s="31"/>
      <c r="X2398" s="35"/>
      <c r="Y2398" s="102"/>
    </row>
    <row r="2399" spans="12:25" ht="25" customHeight="1">
      <c r="L2399" s="31"/>
      <c r="M2399" s="31"/>
      <c r="N2399" s="31"/>
      <c r="X2399" s="35"/>
      <c r="Y2399" s="102"/>
    </row>
    <row r="2400" spans="12:25" ht="25" customHeight="1">
      <c r="L2400" s="31"/>
      <c r="M2400" s="31"/>
      <c r="N2400" s="31"/>
      <c r="X2400" s="35"/>
      <c r="Y2400" s="102"/>
    </row>
    <row r="2401" spans="12:25" ht="25" customHeight="1">
      <c r="L2401" s="31"/>
      <c r="M2401" s="31"/>
      <c r="N2401" s="31"/>
      <c r="X2401" s="35"/>
      <c r="Y2401" s="102"/>
    </row>
    <row r="2402" spans="12:25" ht="25" customHeight="1">
      <c r="L2402" s="31"/>
      <c r="M2402" s="31"/>
      <c r="N2402" s="31"/>
      <c r="X2402" s="35"/>
      <c r="Y2402" s="102"/>
    </row>
    <row r="2403" spans="12:25" ht="25" customHeight="1">
      <c r="L2403" s="31"/>
      <c r="M2403" s="31"/>
      <c r="N2403" s="31"/>
      <c r="X2403" s="35"/>
      <c r="Y2403" s="102"/>
    </row>
    <row r="2404" spans="12:25" ht="25" customHeight="1">
      <c r="L2404" s="31"/>
      <c r="M2404" s="31"/>
      <c r="N2404" s="31"/>
      <c r="X2404" s="35"/>
      <c r="Y2404" s="102"/>
    </row>
    <row r="2405" spans="12:25" ht="25" customHeight="1">
      <c r="L2405" s="31"/>
      <c r="M2405" s="31"/>
      <c r="N2405" s="31"/>
      <c r="X2405" s="35"/>
      <c r="Y2405" s="102"/>
    </row>
    <row r="2406" spans="12:25" ht="25" customHeight="1">
      <c r="L2406" s="31"/>
      <c r="M2406" s="31"/>
      <c r="N2406" s="31"/>
      <c r="X2406" s="35"/>
      <c r="Y2406" s="102"/>
    </row>
    <row r="2407" spans="12:25" ht="25" customHeight="1">
      <c r="L2407" s="31"/>
      <c r="M2407" s="31"/>
      <c r="N2407" s="31"/>
      <c r="X2407" s="35"/>
      <c r="Y2407" s="102"/>
    </row>
    <row r="2408" spans="12:25" ht="25" customHeight="1">
      <c r="L2408" s="31"/>
      <c r="M2408" s="31"/>
      <c r="N2408" s="31"/>
      <c r="X2408" s="35"/>
      <c r="Y2408" s="102"/>
    </row>
    <row r="2409" spans="12:25" ht="25" customHeight="1">
      <c r="L2409" s="31"/>
      <c r="M2409" s="31"/>
      <c r="N2409" s="31"/>
      <c r="X2409" s="35"/>
      <c r="Y2409" s="102"/>
    </row>
    <row r="2410" spans="12:25" ht="25" customHeight="1">
      <c r="L2410" s="31"/>
      <c r="M2410" s="31"/>
      <c r="N2410" s="31"/>
      <c r="X2410" s="35"/>
      <c r="Y2410" s="102"/>
    </row>
    <row r="2411" spans="12:25" ht="25" customHeight="1">
      <c r="L2411" s="31"/>
      <c r="M2411" s="31"/>
      <c r="N2411" s="31"/>
      <c r="X2411" s="35"/>
      <c r="Y2411" s="102"/>
    </row>
    <row r="2412" spans="12:25" ht="25" customHeight="1">
      <c r="L2412" s="31"/>
      <c r="M2412" s="31"/>
      <c r="N2412" s="31"/>
      <c r="X2412" s="35"/>
      <c r="Y2412" s="102"/>
    </row>
    <row r="2413" spans="12:25" ht="25" customHeight="1">
      <c r="L2413" s="31"/>
      <c r="M2413" s="31"/>
      <c r="N2413" s="31"/>
      <c r="X2413" s="35"/>
      <c r="Y2413" s="102"/>
    </row>
    <row r="2414" spans="12:25" ht="25" customHeight="1">
      <c r="L2414" s="31"/>
      <c r="M2414" s="31"/>
      <c r="N2414" s="31"/>
      <c r="X2414" s="35"/>
      <c r="Y2414" s="102"/>
    </row>
    <row r="2415" spans="12:25" ht="25" customHeight="1">
      <c r="L2415" s="31"/>
      <c r="M2415" s="31"/>
      <c r="N2415" s="31"/>
      <c r="X2415" s="35"/>
      <c r="Y2415" s="102"/>
    </row>
    <row r="2416" spans="12:25" ht="25" customHeight="1">
      <c r="L2416" s="31"/>
      <c r="M2416" s="31"/>
      <c r="N2416" s="31"/>
      <c r="X2416" s="35"/>
      <c r="Y2416" s="102"/>
    </row>
    <row r="2417" spans="12:25" ht="25" customHeight="1">
      <c r="L2417" s="31"/>
      <c r="M2417" s="31"/>
      <c r="N2417" s="31"/>
      <c r="X2417" s="35"/>
      <c r="Y2417" s="102"/>
    </row>
    <row r="2418" spans="12:25" ht="25" customHeight="1">
      <c r="L2418" s="31"/>
      <c r="M2418" s="31"/>
      <c r="N2418" s="31"/>
      <c r="X2418" s="35"/>
      <c r="Y2418" s="102"/>
    </row>
    <row r="2419" spans="12:25" ht="25" customHeight="1">
      <c r="L2419" s="31"/>
      <c r="M2419" s="31"/>
      <c r="N2419" s="31"/>
      <c r="X2419" s="35"/>
      <c r="Y2419" s="102"/>
    </row>
    <row r="2420" spans="12:25" ht="25" customHeight="1">
      <c r="L2420" s="31"/>
      <c r="M2420" s="31"/>
      <c r="N2420" s="31"/>
      <c r="X2420" s="35"/>
      <c r="Y2420" s="102"/>
    </row>
    <row r="2421" spans="12:25" ht="25" customHeight="1">
      <c r="L2421" s="31"/>
      <c r="M2421" s="31"/>
      <c r="N2421" s="31"/>
      <c r="X2421" s="35"/>
      <c r="Y2421" s="102"/>
    </row>
    <row r="2422" spans="12:25" ht="25" customHeight="1">
      <c r="L2422" s="31"/>
      <c r="M2422" s="31"/>
      <c r="N2422" s="31"/>
      <c r="X2422" s="35"/>
      <c r="Y2422" s="102"/>
    </row>
    <row r="2423" spans="12:25" ht="25" customHeight="1">
      <c r="L2423" s="31"/>
      <c r="M2423" s="31"/>
      <c r="N2423" s="31"/>
      <c r="X2423" s="35"/>
      <c r="Y2423" s="102"/>
    </row>
    <row r="2424" spans="12:25" ht="25" customHeight="1">
      <c r="L2424" s="31"/>
      <c r="M2424" s="31"/>
      <c r="N2424" s="31"/>
      <c r="X2424" s="35"/>
      <c r="Y2424" s="102"/>
    </row>
    <row r="2425" spans="12:25" ht="25" customHeight="1">
      <c r="L2425" s="31"/>
      <c r="M2425" s="31"/>
      <c r="N2425" s="31"/>
      <c r="X2425" s="35"/>
      <c r="Y2425" s="102"/>
    </row>
    <row r="2426" spans="12:25" ht="25" customHeight="1">
      <c r="L2426" s="31"/>
      <c r="M2426" s="31"/>
      <c r="N2426" s="31"/>
      <c r="X2426" s="35"/>
      <c r="Y2426" s="102"/>
    </row>
    <row r="2427" spans="12:25" ht="25" customHeight="1">
      <c r="L2427" s="31"/>
      <c r="M2427" s="31"/>
      <c r="N2427" s="31"/>
      <c r="X2427" s="35"/>
      <c r="Y2427" s="102"/>
    </row>
    <row r="2428" spans="12:25" ht="25" customHeight="1">
      <c r="L2428" s="31"/>
      <c r="M2428" s="31"/>
      <c r="N2428" s="31"/>
      <c r="X2428" s="35"/>
      <c r="Y2428" s="102"/>
    </row>
    <row r="2429" spans="12:25" ht="25" customHeight="1">
      <c r="L2429" s="31"/>
      <c r="M2429" s="31"/>
      <c r="N2429" s="31"/>
      <c r="X2429" s="35"/>
      <c r="Y2429" s="102"/>
    </row>
    <row r="2430" spans="12:25" ht="25" customHeight="1">
      <c r="L2430" s="31"/>
      <c r="M2430" s="31"/>
      <c r="N2430" s="31"/>
      <c r="X2430" s="35"/>
      <c r="Y2430" s="102"/>
    </row>
    <row r="2431" spans="12:25" ht="25" customHeight="1">
      <c r="L2431" s="31"/>
      <c r="M2431" s="31"/>
      <c r="N2431" s="31"/>
      <c r="X2431" s="35"/>
      <c r="Y2431" s="102"/>
    </row>
    <row r="2432" spans="12:25" ht="25" customHeight="1">
      <c r="L2432" s="31"/>
      <c r="M2432" s="31"/>
      <c r="N2432" s="31"/>
      <c r="X2432" s="35"/>
      <c r="Y2432" s="102"/>
    </row>
    <row r="2433" spans="12:25" ht="25" customHeight="1">
      <c r="L2433" s="31"/>
      <c r="M2433" s="31"/>
      <c r="N2433" s="31"/>
      <c r="X2433" s="35"/>
      <c r="Y2433" s="102"/>
    </row>
    <row r="2434" spans="12:25" ht="25" customHeight="1">
      <c r="L2434" s="31"/>
      <c r="M2434" s="31"/>
      <c r="N2434" s="31"/>
      <c r="X2434" s="35"/>
      <c r="Y2434" s="102"/>
    </row>
    <row r="2435" spans="12:25" ht="25" customHeight="1">
      <c r="L2435" s="31"/>
      <c r="M2435" s="31"/>
      <c r="N2435" s="31"/>
      <c r="X2435" s="35"/>
      <c r="Y2435" s="102"/>
    </row>
    <row r="2436" spans="12:25" ht="25" customHeight="1">
      <c r="L2436" s="31"/>
      <c r="M2436" s="31"/>
      <c r="N2436" s="31"/>
      <c r="X2436" s="35"/>
      <c r="Y2436" s="102"/>
    </row>
    <row r="2437" spans="12:25" ht="25" customHeight="1">
      <c r="L2437" s="31"/>
      <c r="M2437" s="31"/>
      <c r="N2437" s="31"/>
      <c r="X2437" s="35"/>
      <c r="Y2437" s="102"/>
    </row>
    <row r="2438" spans="12:25" ht="25" customHeight="1">
      <c r="L2438" s="31"/>
      <c r="M2438" s="31"/>
      <c r="N2438" s="31"/>
      <c r="X2438" s="35"/>
      <c r="Y2438" s="102"/>
    </row>
    <row r="2439" spans="12:25" ht="25" customHeight="1">
      <c r="L2439" s="31"/>
      <c r="M2439" s="31"/>
      <c r="N2439" s="31"/>
      <c r="X2439" s="35"/>
      <c r="Y2439" s="102"/>
    </row>
    <row r="2440" spans="12:25" ht="25" customHeight="1">
      <c r="L2440" s="31"/>
      <c r="M2440" s="31"/>
      <c r="N2440" s="31"/>
      <c r="X2440" s="35"/>
      <c r="Y2440" s="102"/>
    </row>
    <row r="2441" spans="12:25" ht="25" customHeight="1">
      <c r="L2441" s="31"/>
      <c r="M2441" s="31"/>
      <c r="N2441" s="31"/>
      <c r="X2441" s="35"/>
      <c r="Y2441" s="102"/>
    </row>
    <row r="2442" spans="12:25" ht="25" customHeight="1">
      <c r="L2442" s="31"/>
      <c r="M2442" s="31"/>
      <c r="N2442" s="31"/>
      <c r="X2442" s="35"/>
      <c r="Y2442" s="102"/>
    </row>
    <row r="2443" spans="12:25" ht="25" customHeight="1">
      <c r="L2443" s="31"/>
      <c r="M2443" s="31"/>
      <c r="N2443" s="31"/>
      <c r="X2443" s="35"/>
      <c r="Y2443" s="102"/>
    </row>
    <row r="2444" spans="12:25" ht="25" customHeight="1">
      <c r="L2444" s="31"/>
      <c r="M2444" s="31"/>
      <c r="N2444" s="31"/>
      <c r="X2444" s="35"/>
      <c r="Y2444" s="102"/>
    </row>
    <row r="2445" spans="12:25" ht="25" customHeight="1">
      <c r="L2445" s="31"/>
      <c r="M2445" s="31"/>
      <c r="N2445" s="31"/>
      <c r="X2445" s="35"/>
      <c r="Y2445" s="102"/>
    </row>
    <row r="2446" spans="12:25" ht="25" customHeight="1">
      <c r="L2446" s="31"/>
      <c r="M2446" s="31"/>
      <c r="N2446" s="31"/>
      <c r="X2446" s="35"/>
      <c r="Y2446" s="102"/>
    </row>
    <row r="2447" spans="12:25" ht="25" customHeight="1">
      <c r="L2447" s="31"/>
      <c r="M2447" s="31"/>
      <c r="N2447" s="31"/>
      <c r="X2447" s="35"/>
      <c r="Y2447" s="102"/>
    </row>
    <row r="2448" spans="12:25" ht="25" customHeight="1">
      <c r="L2448" s="31"/>
      <c r="M2448" s="31"/>
      <c r="N2448" s="31"/>
      <c r="X2448" s="35"/>
      <c r="Y2448" s="102"/>
    </row>
    <row r="2449" spans="12:25" ht="25" customHeight="1">
      <c r="L2449" s="31"/>
      <c r="M2449" s="31"/>
      <c r="N2449" s="31"/>
      <c r="X2449" s="35"/>
      <c r="Y2449" s="102"/>
    </row>
    <row r="2450" spans="12:25" ht="25" customHeight="1">
      <c r="L2450" s="31"/>
      <c r="M2450" s="31"/>
      <c r="N2450" s="31"/>
      <c r="X2450" s="35"/>
      <c r="Y2450" s="102"/>
    </row>
    <row r="2451" spans="12:25" ht="25" customHeight="1">
      <c r="L2451" s="31"/>
      <c r="M2451" s="31"/>
      <c r="N2451" s="31"/>
      <c r="X2451" s="35"/>
      <c r="Y2451" s="102"/>
    </row>
    <row r="2452" spans="12:25" ht="25" customHeight="1">
      <c r="L2452" s="31"/>
      <c r="M2452" s="31"/>
      <c r="N2452" s="31"/>
      <c r="X2452" s="35"/>
      <c r="Y2452" s="102"/>
    </row>
    <row r="2453" spans="12:25" ht="25" customHeight="1">
      <c r="L2453" s="31"/>
      <c r="M2453" s="31"/>
      <c r="N2453" s="31"/>
      <c r="X2453" s="35"/>
      <c r="Y2453" s="102"/>
    </row>
    <row r="2454" spans="12:25" ht="25" customHeight="1">
      <c r="L2454" s="31"/>
      <c r="M2454" s="31"/>
      <c r="N2454" s="31"/>
      <c r="X2454" s="35"/>
      <c r="Y2454" s="102"/>
    </row>
    <row r="2455" spans="12:25" ht="25" customHeight="1">
      <c r="L2455" s="31"/>
      <c r="M2455" s="31"/>
      <c r="N2455" s="31"/>
      <c r="X2455" s="35"/>
      <c r="Y2455" s="102"/>
    </row>
    <row r="2456" spans="12:25" ht="25" customHeight="1">
      <c r="L2456" s="31"/>
      <c r="M2456" s="31"/>
      <c r="N2456" s="31"/>
      <c r="X2456" s="35"/>
      <c r="Y2456" s="102"/>
    </row>
    <row r="2457" spans="12:25" ht="25" customHeight="1">
      <c r="L2457" s="31"/>
      <c r="M2457" s="31"/>
      <c r="N2457" s="31"/>
      <c r="X2457" s="35"/>
      <c r="Y2457" s="102"/>
    </row>
    <row r="2458" spans="12:25" ht="25" customHeight="1">
      <c r="L2458" s="31"/>
      <c r="M2458" s="31"/>
      <c r="N2458" s="31"/>
      <c r="X2458" s="35"/>
      <c r="Y2458" s="102"/>
    </row>
    <row r="2459" spans="12:25" ht="25" customHeight="1">
      <c r="L2459" s="31"/>
      <c r="M2459" s="31"/>
      <c r="N2459" s="31"/>
      <c r="X2459" s="35"/>
      <c r="Y2459" s="102"/>
    </row>
    <row r="2460" spans="12:25" ht="25" customHeight="1">
      <c r="L2460" s="31"/>
      <c r="M2460" s="31"/>
      <c r="N2460" s="31"/>
      <c r="X2460" s="35"/>
      <c r="Y2460" s="102"/>
    </row>
    <row r="2461" spans="12:25" ht="25" customHeight="1">
      <c r="L2461" s="31"/>
      <c r="M2461" s="31"/>
      <c r="N2461" s="31"/>
      <c r="X2461" s="35"/>
      <c r="Y2461" s="102"/>
    </row>
    <row r="2462" spans="12:25" ht="25" customHeight="1">
      <c r="L2462" s="31"/>
      <c r="M2462" s="31"/>
      <c r="N2462" s="31"/>
      <c r="X2462" s="35"/>
      <c r="Y2462" s="102"/>
    </row>
    <row r="2463" spans="12:25" ht="25" customHeight="1">
      <c r="L2463" s="31"/>
      <c r="M2463" s="31"/>
      <c r="N2463" s="31"/>
      <c r="X2463" s="35"/>
      <c r="Y2463" s="102"/>
    </row>
    <row r="2464" spans="12:25" ht="25" customHeight="1">
      <c r="L2464" s="31"/>
      <c r="M2464" s="31"/>
      <c r="N2464" s="31"/>
      <c r="X2464" s="35"/>
      <c r="Y2464" s="102"/>
    </row>
    <row r="2465" spans="12:25" ht="25" customHeight="1">
      <c r="L2465" s="31"/>
      <c r="M2465" s="31"/>
      <c r="N2465" s="31"/>
      <c r="X2465" s="35"/>
      <c r="Y2465" s="102"/>
    </row>
    <row r="2466" spans="12:25" ht="25" customHeight="1">
      <c r="L2466" s="31"/>
      <c r="M2466" s="31"/>
      <c r="N2466" s="31"/>
      <c r="X2466" s="35"/>
      <c r="Y2466" s="102"/>
    </row>
    <row r="2467" spans="12:25" ht="25" customHeight="1">
      <c r="L2467" s="31"/>
      <c r="M2467" s="31"/>
      <c r="N2467" s="31"/>
      <c r="X2467" s="35"/>
      <c r="Y2467" s="102"/>
    </row>
    <row r="2468" spans="12:25" ht="25" customHeight="1">
      <c r="L2468" s="31"/>
      <c r="M2468" s="31"/>
      <c r="N2468" s="31"/>
      <c r="X2468" s="35"/>
      <c r="Y2468" s="102"/>
    </row>
    <row r="2469" spans="12:25" ht="25" customHeight="1">
      <c r="L2469" s="31"/>
      <c r="M2469" s="31"/>
      <c r="N2469" s="31"/>
      <c r="X2469" s="35"/>
      <c r="Y2469" s="102"/>
    </row>
    <row r="2470" spans="12:25" ht="25" customHeight="1">
      <c r="L2470" s="31"/>
      <c r="M2470" s="31"/>
      <c r="N2470" s="31"/>
      <c r="X2470" s="35"/>
      <c r="Y2470" s="102"/>
    </row>
    <row r="2471" spans="12:25" ht="25" customHeight="1">
      <c r="L2471" s="31"/>
      <c r="M2471" s="31"/>
      <c r="N2471" s="31"/>
      <c r="X2471" s="35"/>
      <c r="Y2471" s="102"/>
    </row>
    <row r="2472" spans="12:25" ht="25" customHeight="1">
      <c r="L2472" s="31"/>
      <c r="M2472" s="31"/>
      <c r="N2472" s="31"/>
      <c r="X2472" s="35"/>
      <c r="Y2472" s="102"/>
    </row>
    <row r="2473" spans="12:25" ht="25" customHeight="1">
      <c r="L2473" s="31"/>
      <c r="M2473" s="31"/>
      <c r="N2473" s="31"/>
      <c r="X2473" s="35"/>
      <c r="Y2473" s="102"/>
    </row>
    <row r="2474" spans="12:25" ht="25" customHeight="1">
      <c r="L2474" s="31"/>
      <c r="M2474" s="31"/>
      <c r="N2474" s="31"/>
      <c r="X2474" s="35"/>
      <c r="Y2474" s="102"/>
    </row>
    <row r="2475" spans="12:25" ht="25" customHeight="1">
      <c r="L2475" s="31"/>
      <c r="M2475" s="31"/>
      <c r="N2475" s="31"/>
      <c r="X2475" s="35"/>
      <c r="Y2475" s="102"/>
    </row>
    <row r="2476" spans="12:25" ht="25" customHeight="1">
      <c r="L2476" s="31"/>
      <c r="M2476" s="31"/>
      <c r="N2476" s="31"/>
      <c r="X2476" s="35"/>
      <c r="Y2476" s="102"/>
    </row>
    <row r="2477" spans="12:25" ht="25" customHeight="1">
      <c r="L2477" s="31"/>
      <c r="M2477" s="31"/>
      <c r="N2477" s="31"/>
      <c r="X2477" s="35"/>
      <c r="Y2477" s="102"/>
    </row>
    <row r="2478" spans="12:25" ht="25" customHeight="1">
      <c r="L2478" s="31"/>
      <c r="M2478" s="31"/>
      <c r="N2478" s="31"/>
      <c r="X2478" s="35"/>
      <c r="Y2478" s="102"/>
    </row>
    <row r="2479" spans="12:25" ht="25" customHeight="1">
      <c r="L2479" s="31"/>
      <c r="M2479" s="31"/>
      <c r="N2479" s="31"/>
      <c r="X2479" s="35"/>
      <c r="Y2479" s="102"/>
    </row>
    <row r="2480" spans="12:25" ht="25" customHeight="1">
      <c r="L2480" s="31"/>
      <c r="M2480" s="31"/>
      <c r="N2480" s="31"/>
      <c r="X2480" s="35"/>
      <c r="Y2480" s="102"/>
    </row>
    <row r="2481" spans="12:25" ht="25" customHeight="1">
      <c r="L2481" s="31"/>
      <c r="M2481" s="31"/>
      <c r="N2481" s="31"/>
      <c r="X2481" s="35"/>
      <c r="Y2481" s="102"/>
    </row>
    <row r="2482" spans="12:25" ht="25" customHeight="1">
      <c r="L2482" s="31"/>
      <c r="M2482" s="31"/>
      <c r="N2482" s="31"/>
      <c r="X2482" s="35"/>
      <c r="Y2482" s="102"/>
    </row>
    <row r="2483" spans="12:25" ht="25" customHeight="1">
      <c r="L2483" s="31"/>
      <c r="M2483" s="31"/>
      <c r="N2483" s="31"/>
      <c r="X2483" s="35"/>
      <c r="Y2483" s="102"/>
    </row>
    <row r="2484" spans="12:25" ht="25" customHeight="1">
      <c r="L2484" s="31"/>
      <c r="M2484" s="31"/>
      <c r="N2484" s="31"/>
      <c r="X2484" s="35"/>
      <c r="Y2484" s="102"/>
    </row>
    <row r="2485" spans="12:25" ht="25" customHeight="1">
      <c r="L2485" s="31"/>
      <c r="M2485" s="31"/>
      <c r="N2485" s="31"/>
      <c r="X2485" s="35"/>
      <c r="Y2485" s="102"/>
    </row>
    <row r="2486" spans="12:25" ht="25" customHeight="1">
      <c r="L2486" s="31"/>
      <c r="M2486" s="31"/>
      <c r="N2486" s="31"/>
      <c r="X2486" s="35"/>
      <c r="Y2486" s="102"/>
    </row>
    <row r="2487" spans="12:25" ht="25" customHeight="1">
      <c r="L2487" s="31"/>
      <c r="M2487" s="31"/>
      <c r="N2487" s="31"/>
      <c r="X2487" s="35"/>
      <c r="Y2487" s="102"/>
    </row>
    <row r="2488" spans="12:25" ht="25" customHeight="1">
      <c r="L2488" s="31"/>
      <c r="M2488" s="31"/>
      <c r="N2488" s="31"/>
      <c r="X2488" s="35"/>
      <c r="Y2488" s="102"/>
    </row>
    <row r="2489" spans="12:25" ht="25" customHeight="1">
      <c r="L2489" s="31"/>
      <c r="M2489" s="31"/>
      <c r="N2489" s="31"/>
      <c r="X2489" s="35"/>
      <c r="Y2489" s="102"/>
    </row>
    <row r="2490" spans="12:25" ht="25" customHeight="1">
      <c r="L2490" s="31"/>
      <c r="M2490" s="31"/>
      <c r="N2490" s="31"/>
      <c r="X2490" s="35"/>
      <c r="Y2490" s="102"/>
    </row>
    <row r="2491" spans="12:25" ht="25" customHeight="1">
      <c r="L2491" s="31"/>
      <c r="M2491" s="31"/>
      <c r="N2491" s="31"/>
      <c r="X2491" s="35"/>
      <c r="Y2491" s="102"/>
    </row>
    <row r="2492" spans="12:25" ht="25" customHeight="1">
      <c r="L2492" s="31"/>
      <c r="M2492" s="31"/>
      <c r="N2492" s="31"/>
      <c r="X2492" s="35"/>
      <c r="Y2492" s="102"/>
    </row>
    <row r="2493" spans="12:25" ht="25" customHeight="1">
      <c r="L2493" s="31"/>
      <c r="M2493" s="31"/>
      <c r="N2493" s="31"/>
      <c r="X2493" s="35"/>
      <c r="Y2493" s="102"/>
    </row>
    <row r="2494" spans="12:25" ht="25" customHeight="1">
      <c r="L2494" s="31"/>
      <c r="M2494" s="31"/>
      <c r="N2494" s="31"/>
      <c r="X2494" s="35"/>
      <c r="Y2494" s="102"/>
    </row>
    <row r="2495" spans="12:25" ht="25" customHeight="1">
      <c r="L2495" s="31"/>
      <c r="M2495" s="31"/>
      <c r="N2495" s="31"/>
      <c r="X2495" s="35"/>
      <c r="Y2495" s="102"/>
    </row>
    <row r="2496" spans="12:25" ht="25" customHeight="1">
      <c r="L2496" s="31"/>
      <c r="M2496" s="31"/>
      <c r="N2496" s="31"/>
      <c r="X2496" s="35"/>
      <c r="Y2496" s="102"/>
    </row>
    <row r="2497" spans="12:25" ht="25" customHeight="1">
      <c r="L2497" s="31"/>
      <c r="M2497" s="31"/>
      <c r="N2497" s="31"/>
      <c r="X2497" s="35"/>
      <c r="Y2497" s="102"/>
    </row>
    <row r="2498" spans="12:25" ht="25" customHeight="1">
      <c r="L2498" s="31"/>
      <c r="M2498" s="31"/>
      <c r="N2498" s="31"/>
      <c r="X2498" s="35"/>
      <c r="Y2498" s="102"/>
    </row>
    <row r="2499" spans="12:25" ht="25" customHeight="1">
      <c r="L2499" s="31"/>
      <c r="M2499" s="31"/>
      <c r="N2499" s="31"/>
      <c r="X2499" s="35"/>
      <c r="Y2499" s="102"/>
    </row>
    <row r="2500" spans="12:25" ht="25" customHeight="1">
      <c r="L2500" s="31"/>
      <c r="M2500" s="31"/>
      <c r="N2500" s="31"/>
      <c r="X2500" s="35"/>
      <c r="Y2500" s="102"/>
    </row>
    <row r="2501" spans="12:25" ht="25" customHeight="1">
      <c r="L2501" s="31"/>
      <c r="M2501" s="31"/>
      <c r="N2501" s="31"/>
      <c r="X2501" s="35"/>
      <c r="Y2501" s="102"/>
    </row>
    <row r="2502" spans="12:25" ht="25" customHeight="1">
      <c r="L2502" s="31"/>
      <c r="M2502" s="31"/>
      <c r="N2502" s="31"/>
      <c r="X2502" s="35"/>
      <c r="Y2502" s="102"/>
    </row>
    <row r="2503" spans="12:25" ht="25" customHeight="1">
      <c r="L2503" s="31"/>
      <c r="M2503" s="31"/>
      <c r="N2503" s="31"/>
      <c r="X2503" s="35"/>
      <c r="Y2503" s="102"/>
    </row>
    <row r="2504" spans="12:25" ht="25" customHeight="1">
      <c r="L2504" s="31"/>
      <c r="M2504" s="31"/>
      <c r="N2504" s="31"/>
      <c r="X2504" s="35"/>
      <c r="Y2504" s="102"/>
    </row>
    <row r="2505" spans="12:25" ht="25" customHeight="1">
      <c r="L2505" s="31"/>
      <c r="M2505" s="31"/>
      <c r="N2505" s="31"/>
      <c r="X2505" s="35"/>
      <c r="Y2505" s="102"/>
    </row>
    <row r="2506" spans="12:25" ht="25" customHeight="1">
      <c r="L2506" s="31"/>
      <c r="M2506" s="31"/>
      <c r="N2506" s="31"/>
      <c r="X2506" s="35"/>
      <c r="Y2506" s="102"/>
    </row>
    <row r="2507" spans="12:25" ht="25" customHeight="1">
      <c r="L2507" s="31"/>
      <c r="M2507" s="31"/>
      <c r="N2507" s="31"/>
      <c r="X2507" s="35"/>
      <c r="Y2507" s="102"/>
    </row>
    <row r="2508" spans="12:25" ht="25" customHeight="1">
      <c r="L2508" s="31"/>
      <c r="M2508" s="31"/>
      <c r="N2508" s="31"/>
      <c r="X2508" s="35"/>
      <c r="Y2508" s="102"/>
    </row>
    <row r="2509" spans="12:25" ht="25" customHeight="1">
      <c r="L2509" s="31"/>
      <c r="M2509" s="31"/>
      <c r="N2509" s="31"/>
      <c r="X2509" s="35"/>
      <c r="Y2509" s="102"/>
    </row>
    <row r="2510" spans="12:25" ht="25" customHeight="1">
      <c r="L2510" s="31"/>
      <c r="M2510" s="31"/>
      <c r="N2510" s="31"/>
      <c r="X2510" s="35"/>
      <c r="Y2510" s="102"/>
    </row>
    <row r="2511" spans="12:25" ht="25" customHeight="1">
      <c r="L2511" s="31"/>
      <c r="M2511" s="31"/>
      <c r="N2511" s="31"/>
      <c r="X2511" s="35"/>
      <c r="Y2511" s="102"/>
    </row>
    <row r="2512" spans="12:25" ht="25" customHeight="1">
      <c r="L2512" s="31"/>
      <c r="M2512" s="31"/>
      <c r="N2512" s="31"/>
      <c r="X2512" s="35"/>
      <c r="Y2512" s="102"/>
    </row>
    <row r="2513" spans="12:25" ht="25" customHeight="1">
      <c r="L2513" s="31"/>
      <c r="M2513" s="31"/>
      <c r="N2513" s="31"/>
      <c r="X2513" s="35"/>
      <c r="Y2513" s="102"/>
    </row>
    <row r="2514" spans="12:25" ht="25" customHeight="1">
      <c r="L2514" s="31"/>
      <c r="M2514" s="31"/>
      <c r="N2514" s="31"/>
      <c r="X2514" s="35"/>
      <c r="Y2514" s="102"/>
    </row>
    <row r="2515" spans="12:25" ht="25" customHeight="1">
      <c r="L2515" s="31"/>
      <c r="M2515" s="31"/>
      <c r="N2515" s="31"/>
      <c r="X2515" s="35"/>
      <c r="Y2515" s="102"/>
    </row>
    <row r="2516" spans="12:25" ht="25" customHeight="1">
      <c r="L2516" s="31"/>
      <c r="M2516" s="31"/>
      <c r="N2516" s="31"/>
      <c r="X2516" s="35"/>
      <c r="Y2516" s="102"/>
    </row>
    <row r="2517" spans="12:25" ht="25" customHeight="1">
      <c r="L2517" s="31"/>
      <c r="M2517" s="31"/>
      <c r="N2517" s="31"/>
      <c r="X2517" s="35"/>
      <c r="Y2517" s="102"/>
    </row>
    <row r="2518" spans="12:25" ht="25" customHeight="1">
      <c r="L2518" s="31"/>
      <c r="M2518" s="31"/>
      <c r="N2518" s="31"/>
      <c r="X2518" s="35"/>
      <c r="Y2518" s="102"/>
    </row>
    <row r="2519" spans="12:25" ht="25" customHeight="1">
      <c r="L2519" s="31"/>
      <c r="M2519" s="31"/>
      <c r="N2519" s="31"/>
      <c r="X2519" s="35"/>
      <c r="Y2519" s="102"/>
    </row>
    <row r="2520" spans="12:25" ht="25" customHeight="1">
      <c r="L2520" s="31"/>
      <c r="M2520" s="31"/>
      <c r="N2520" s="31"/>
      <c r="X2520" s="35"/>
      <c r="Y2520" s="102"/>
    </row>
    <row r="2521" spans="12:25" ht="25" customHeight="1">
      <c r="L2521" s="31"/>
      <c r="M2521" s="31"/>
      <c r="N2521" s="31"/>
      <c r="X2521" s="35"/>
      <c r="Y2521" s="102"/>
    </row>
    <row r="2522" spans="12:25" ht="25" customHeight="1">
      <c r="L2522" s="31"/>
      <c r="M2522" s="31"/>
      <c r="N2522" s="31"/>
      <c r="X2522" s="35"/>
      <c r="Y2522" s="102"/>
    </row>
    <row r="2523" spans="12:25" ht="25" customHeight="1">
      <c r="L2523" s="31"/>
      <c r="M2523" s="31"/>
      <c r="N2523" s="31"/>
      <c r="X2523" s="35"/>
      <c r="Y2523" s="102"/>
    </row>
    <row r="2524" spans="12:25" ht="25" customHeight="1">
      <c r="L2524" s="31"/>
      <c r="M2524" s="31"/>
      <c r="N2524" s="31"/>
      <c r="X2524" s="35"/>
      <c r="Y2524" s="102"/>
    </row>
    <row r="2525" spans="12:25" ht="25" customHeight="1">
      <c r="L2525" s="31"/>
      <c r="M2525" s="31"/>
      <c r="N2525" s="31"/>
      <c r="X2525" s="35"/>
      <c r="Y2525" s="102"/>
    </row>
    <row r="2526" spans="12:25" ht="25" customHeight="1">
      <c r="L2526" s="31"/>
      <c r="M2526" s="31"/>
      <c r="N2526" s="31"/>
      <c r="X2526" s="35"/>
      <c r="Y2526" s="102"/>
    </row>
    <row r="2527" spans="12:25" ht="25" customHeight="1">
      <c r="L2527" s="31"/>
      <c r="M2527" s="31"/>
      <c r="N2527" s="31"/>
      <c r="X2527" s="35"/>
      <c r="Y2527" s="102"/>
    </row>
    <row r="2528" spans="12:25" ht="25" customHeight="1">
      <c r="L2528" s="31"/>
      <c r="M2528" s="31"/>
      <c r="N2528" s="31"/>
      <c r="X2528" s="35"/>
      <c r="Y2528" s="102"/>
    </row>
    <row r="2529" spans="12:25" ht="25" customHeight="1">
      <c r="L2529" s="31"/>
      <c r="M2529" s="31"/>
      <c r="N2529" s="31"/>
      <c r="X2529" s="35"/>
      <c r="Y2529" s="102"/>
    </row>
    <row r="2530" spans="12:25" ht="25" customHeight="1">
      <c r="L2530" s="31"/>
      <c r="M2530" s="31"/>
      <c r="N2530" s="31"/>
      <c r="X2530" s="35"/>
      <c r="Y2530" s="102"/>
    </row>
    <row r="2531" spans="12:25" ht="25" customHeight="1">
      <c r="L2531" s="31"/>
      <c r="M2531" s="31"/>
      <c r="N2531" s="31"/>
      <c r="X2531" s="35"/>
      <c r="Y2531" s="102"/>
    </row>
    <row r="2532" spans="12:25" ht="25" customHeight="1">
      <c r="L2532" s="31"/>
      <c r="M2532" s="31"/>
      <c r="N2532" s="31"/>
      <c r="X2532" s="35"/>
      <c r="Y2532" s="102"/>
    </row>
    <row r="2533" spans="12:25" ht="25" customHeight="1">
      <c r="L2533" s="31"/>
      <c r="M2533" s="31"/>
      <c r="N2533" s="31"/>
      <c r="X2533" s="35"/>
      <c r="Y2533" s="102"/>
    </row>
    <row r="2534" spans="12:25" ht="25" customHeight="1">
      <c r="L2534" s="31"/>
      <c r="M2534" s="31"/>
      <c r="N2534" s="31"/>
      <c r="X2534" s="35"/>
      <c r="Y2534" s="102"/>
    </row>
    <row r="2535" spans="12:25" ht="25" customHeight="1">
      <c r="L2535" s="31"/>
      <c r="M2535" s="31"/>
      <c r="N2535" s="31"/>
      <c r="X2535" s="35"/>
      <c r="Y2535" s="102"/>
    </row>
    <row r="2536" spans="12:25" ht="25" customHeight="1">
      <c r="L2536" s="31"/>
      <c r="M2536" s="31"/>
      <c r="N2536" s="31"/>
      <c r="X2536" s="35"/>
      <c r="Y2536" s="102"/>
    </row>
    <row r="2537" spans="12:25" ht="25" customHeight="1">
      <c r="L2537" s="31"/>
      <c r="M2537" s="31"/>
      <c r="N2537" s="31"/>
      <c r="X2537" s="35"/>
      <c r="Y2537" s="102"/>
    </row>
    <row r="2538" spans="12:25" ht="16">
      <c r="L2538" s="31"/>
      <c r="M2538" s="31"/>
      <c r="N2538" s="31"/>
      <c r="X2538" s="35"/>
      <c r="Y2538" s="102"/>
    </row>
    <row r="2539" spans="12:25" ht="16">
      <c r="L2539" s="31"/>
      <c r="M2539" s="31"/>
      <c r="N2539" s="31"/>
      <c r="X2539" s="35"/>
      <c r="Y2539" s="102"/>
    </row>
    <row r="2540" spans="12:25" ht="16">
      <c r="L2540" s="31"/>
      <c r="M2540" s="31"/>
      <c r="N2540" s="31"/>
      <c r="X2540" s="35"/>
      <c r="Y2540" s="102"/>
    </row>
    <row r="2541" spans="12:25" ht="16">
      <c r="L2541" s="31"/>
      <c r="M2541" s="31"/>
      <c r="N2541" s="31"/>
      <c r="X2541" s="35"/>
      <c r="Y2541" s="102"/>
    </row>
    <row r="2542" spans="12:25" ht="16">
      <c r="L2542" s="31"/>
      <c r="M2542" s="31"/>
      <c r="N2542" s="31"/>
      <c r="X2542" s="35"/>
      <c r="Y2542" s="102"/>
    </row>
    <row r="2543" spans="12:25" ht="16">
      <c r="L2543" s="31"/>
      <c r="M2543" s="31"/>
      <c r="N2543" s="31"/>
      <c r="X2543" s="35"/>
      <c r="Y2543" s="102"/>
    </row>
    <row r="2544" spans="12:25" ht="16">
      <c r="L2544" s="31"/>
      <c r="M2544" s="31"/>
      <c r="N2544" s="31"/>
      <c r="X2544" s="35"/>
      <c r="Y2544" s="102"/>
    </row>
    <row r="2545" spans="12:25" ht="16">
      <c r="L2545" s="31"/>
      <c r="M2545" s="31"/>
      <c r="N2545" s="31"/>
      <c r="X2545" s="35"/>
      <c r="Y2545" s="102"/>
    </row>
    <row r="2546" spans="12:25" ht="16">
      <c r="L2546" s="31"/>
      <c r="M2546" s="31"/>
      <c r="N2546" s="31"/>
      <c r="X2546" s="35"/>
      <c r="Y2546" s="102"/>
    </row>
    <row r="2547" spans="12:25" ht="16">
      <c r="L2547" s="31"/>
      <c r="M2547" s="31"/>
      <c r="N2547" s="31"/>
      <c r="X2547" s="35"/>
      <c r="Y2547" s="102"/>
    </row>
    <row r="2548" spans="12:25" ht="16">
      <c r="L2548" s="31"/>
      <c r="M2548" s="31"/>
      <c r="N2548" s="31"/>
      <c r="X2548" s="35"/>
      <c r="Y2548" s="102"/>
    </row>
    <row r="2549" spans="12:25" ht="16">
      <c r="L2549" s="31"/>
      <c r="M2549" s="31"/>
      <c r="N2549" s="31"/>
      <c r="X2549" s="35"/>
      <c r="Y2549" s="102"/>
    </row>
    <row r="2550" spans="12:25" ht="16">
      <c r="L2550" s="31"/>
      <c r="M2550" s="31"/>
      <c r="N2550" s="31"/>
      <c r="X2550" s="35"/>
      <c r="Y2550" s="102"/>
    </row>
    <row r="2551" spans="12:25" ht="16">
      <c r="L2551" s="31"/>
      <c r="M2551" s="31"/>
      <c r="N2551" s="31"/>
      <c r="X2551" s="35"/>
      <c r="Y2551" s="102"/>
    </row>
    <row r="2552" spans="12:25" ht="16">
      <c r="L2552" s="31"/>
      <c r="M2552" s="31"/>
      <c r="N2552" s="31"/>
      <c r="X2552" s="35"/>
      <c r="Y2552" s="102"/>
    </row>
    <row r="2553" spans="12:25" ht="16">
      <c r="L2553" s="31"/>
      <c r="M2553" s="31"/>
      <c r="N2553" s="31"/>
      <c r="X2553" s="35"/>
      <c r="Y2553" s="102"/>
    </row>
    <row r="2554" spans="12:25" ht="16">
      <c r="L2554" s="31"/>
      <c r="M2554" s="31"/>
      <c r="N2554" s="31"/>
      <c r="X2554" s="35"/>
      <c r="Y2554" s="102"/>
    </row>
    <row r="2555" spans="12:25" ht="16">
      <c r="L2555" s="31"/>
      <c r="M2555" s="31"/>
      <c r="N2555" s="31"/>
      <c r="X2555" s="35"/>
      <c r="Y2555" s="102"/>
    </row>
    <row r="2556" spans="12:25" ht="16">
      <c r="L2556" s="31"/>
      <c r="M2556" s="31"/>
      <c r="N2556" s="31"/>
      <c r="X2556" s="35"/>
      <c r="Y2556" s="102"/>
    </row>
    <row r="2557" spans="12:25" ht="16">
      <c r="L2557" s="31"/>
      <c r="M2557" s="31"/>
      <c r="N2557" s="31"/>
      <c r="X2557" s="35"/>
      <c r="Y2557" s="102"/>
    </row>
    <row r="2558" spans="12:25" ht="16">
      <c r="L2558" s="31"/>
      <c r="M2558" s="31"/>
      <c r="N2558" s="31"/>
      <c r="X2558" s="35"/>
      <c r="Y2558" s="102"/>
    </row>
    <row r="2559" spans="12:25" ht="16">
      <c r="L2559" s="31"/>
      <c r="M2559" s="31"/>
      <c r="N2559" s="31"/>
      <c r="X2559" s="35"/>
      <c r="Y2559" s="102"/>
    </row>
    <row r="2560" spans="12:25" ht="16">
      <c r="L2560" s="31"/>
      <c r="M2560" s="31"/>
      <c r="N2560" s="31"/>
      <c r="X2560" s="35"/>
      <c r="Y2560" s="102"/>
    </row>
    <row r="2561" spans="12:25" ht="16">
      <c r="L2561" s="31"/>
      <c r="M2561" s="31"/>
      <c r="N2561" s="31"/>
      <c r="X2561" s="35"/>
      <c r="Y2561" s="102"/>
    </row>
    <row r="2562" spans="12:25" ht="16">
      <c r="L2562" s="31"/>
      <c r="M2562" s="31"/>
      <c r="N2562" s="31"/>
      <c r="X2562" s="35"/>
      <c r="Y2562" s="102"/>
    </row>
    <row r="2563" spans="12:25" ht="16">
      <c r="L2563" s="31"/>
      <c r="M2563" s="31"/>
      <c r="N2563" s="31"/>
      <c r="X2563" s="35"/>
      <c r="Y2563" s="102"/>
    </row>
    <row r="2564" spans="12:25" ht="16">
      <c r="L2564" s="31"/>
      <c r="M2564" s="31"/>
      <c r="N2564" s="31"/>
      <c r="X2564" s="35"/>
      <c r="Y2564" s="102"/>
    </row>
    <row r="2565" spans="12:25" ht="16">
      <c r="L2565" s="31"/>
      <c r="M2565" s="31"/>
      <c r="N2565" s="31"/>
      <c r="X2565" s="35"/>
      <c r="Y2565" s="102"/>
    </row>
    <row r="2566" spans="12:25" ht="16">
      <c r="L2566" s="31"/>
      <c r="M2566" s="31"/>
      <c r="N2566" s="31"/>
      <c r="X2566" s="35"/>
      <c r="Y2566" s="102"/>
    </row>
    <row r="2567" spans="12:25" ht="16">
      <c r="L2567" s="31"/>
      <c r="M2567" s="31"/>
      <c r="N2567" s="31"/>
      <c r="X2567" s="35"/>
      <c r="Y2567" s="102"/>
    </row>
    <row r="2568" spans="12:25" ht="16">
      <c r="L2568" s="31"/>
      <c r="M2568" s="31"/>
      <c r="N2568" s="31"/>
      <c r="X2568" s="35"/>
      <c r="Y2568" s="102"/>
    </row>
    <row r="2569" spans="12:25" ht="16">
      <c r="L2569" s="31"/>
      <c r="M2569" s="31"/>
      <c r="N2569" s="31"/>
      <c r="X2569" s="35"/>
      <c r="Y2569" s="102"/>
    </row>
    <row r="2570" spans="12:25" ht="16">
      <c r="L2570" s="31"/>
      <c r="M2570" s="31"/>
      <c r="N2570" s="31"/>
      <c r="X2570" s="35"/>
      <c r="Y2570" s="102"/>
    </row>
    <row r="2571" spans="12:25" ht="16">
      <c r="L2571" s="31"/>
      <c r="M2571" s="31"/>
      <c r="N2571" s="31"/>
      <c r="X2571" s="35"/>
      <c r="Y2571" s="102"/>
    </row>
    <row r="2572" spans="12:25" ht="16">
      <c r="L2572" s="31"/>
      <c r="M2572" s="31"/>
      <c r="N2572" s="31"/>
      <c r="X2572" s="35"/>
      <c r="Y2572" s="102"/>
    </row>
    <row r="2573" spans="12:25" ht="16">
      <c r="L2573" s="31"/>
      <c r="M2573" s="31"/>
      <c r="N2573" s="31"/>
      <c r="X2573" s="35"/>
      <c r="Y2573" s="102"/>
    </row>
    <row r="2574" spans="12:25" ht="16">
      <c r="L2574" s="31"/>
      <c r="M2574" s="31"/>
      <c r="N2574" s="31"/>
      <c r="X2574" s="35"/>
      <c r="Y2574" s="102"/>
    </row>
    <row r="2575" spans="12:25" ht="16">
      <c r="L2575" s="31"/>
      <c r="M2575" s="31"/>
      <c r="N2575" s="31"/>
      <c r="X2575" s="35"/>
      <c r="Y2575" s="102"/>
    </row>
    <row r="2576" spans="12:25" ht="16">
      <c r="L2576" s="31"/>
      <c r="M2576" s="31"/>
      <c r="N2576" s="31"/>
      <c r="X2576" s="35"/>
      <c r="Y2576" s="102"/>
    </row>
    <row r="2577" spans="12:25" ht="16">
      <c r="L2577" s="31"/>
      <c r="M2577" s="31"/>
      <c r="N2577" s="31"/>
      <c r="X2577" s="35"/>
      <c r="Y2577" s="102"/>
    </row>
    <row r="2578" spans="12:25" ht="16">
      <c r="L2578" s="31"/>
      <c r="M2578" s="31"/>
      <c r="N2578" s="31"/>
      <c r="X2578" s="35"/>
      <c r="Y2578" s="102"/>
    </row>
    <row r="2579" spans="12:25" ht="16">
      <c r="L2579" s="31"/>
      <c r="M2579" s="31"/>
      <c r="N2579" s="31"/>
      <c r="X2579" s="35"/>
      <c r="Y2579" s="102"/>
    </row>
    <row r="2580" spans="12:25" ht="16">
      <c r="L2580" s="31"/>
      <c r="M2580" s="31"/>
      <c r="N2580" s="31"/>
      <c r="X2580" s="35"/>
      <c r="Y2580" s="102"/>
    </row>
    <row r="2581" spans="12:25" ht="16">
      <c r="L2581" s="31"/>
      <c r="M2581" s="31"/>
      <c r="N2581" s="31"/>
      <c r="X2581" s="35"/>
      <c r="Y2581" s="102"/>
    </row>
    <row r="2582" spans="12:25" ht="16">
      <c r="L2582" s="31"/>
      <c r="M2582" s="31"/>
      <c r="N2582" s="31"/>
      <c r="X2582" s="35"/>
      <c r="Y2582" s="102"/>
    </row>
    <row r="2583" spans="12:25" ht="16">
      <c r="L2583" s="31"/>
      <c r="M2583" s="31"/>
      <c r="N2583" s="31"/>
      <c r="X2583" s="35"/>
      <c r="Y2583" s="102"/>
    </row>
    <row r="2584" spans="12:25" ht="16">
      <c r="L2584" s="31"/>
      <c r="M2584" s="31"/>
      <c r="N2584" s="31"/>
      <c r="X2584" s="35"/>
      <c r="Y2584" s="102"/>
    </row>
    <row r="2585" spans="12:25" ht="16">
      <c r="L2585" s="31"/>
      <c r="M2585" s="31"/>
      <c r="N2585" s="31"/>
      <c r="X2585" s="35"/>
      <c r="Y2585" s="102"/>
    </row>
    <row r="2586" spans="12:25" ht="16">
      <c r="L2586" s="31"/>
      <c r="M2586" s="31"/>
      <c r="N2586" s="31"/>
      <c r="X2586" s="35"/>
      <c r="Y2586" s="102"/>
    </row>
    <row r="2587" spans="12:25" ht="16">
      <c r="L2587" s="31"/>
      <c r="M2587" s="31"/>
      <c r="N2587" s="31"/>
      <c r="X2587" s="35"/>
      <c r="Y2587" s="102"/>
    </row>
    <row r="2588" spans="12:25" ht="16">
      <c r="L2588" s="31"/>
      <c r="M2588" s="31"/>
      <c r="N2588" s="31"/>
      <c r="X2588" s="35"/>
      <c r="Y2588" s="102"/>
    </row>
    <row r="2589" spans="12:25" ht="16">
      <c r="L2589" s="31"/>
      <c r="M2589" s="31"/>
      <c r="N2589" s="31"/>
      <c r="X2589" s="35"/>
      <c r="Y2589" s="102"/>
    </row>
    <row r="2590" spans="12:25" ht="16">
      <c r="L2590" s="31"/>
      <c r="M2590" s="31"/>
      <c r="N2590" s="31"/>
      <c r="X2590" s="35"/>
      <c r="Y2590" s="102"/>
    </row>
    <row r="2591" spans="12:25" ht="16">
      <c r="L2591" s="31"/>
      <c r="M2591" s="31"/>
      <c r="N2591" s="31"/>
      <c r="X2591" s="35"/>
      <c r="Y2591" s="102"/>
    </row>
    <row r="2592" spans="12:25" ht="16">
      <c r="L2592" s="31"/>
      <c r="M2592" s="31"/>
      <c r="N2592" s="31"/>
      <c r="X2592" s="35"/>
      <c r="Y2592" s="102"/>
    </row>
    <row r="2593" spans="12:25" ht="16">
      <c r="L2593" s="31"/>
      <c r="M2593" s="31"/>
      <c r="N2593" s="31"/>
      <c r="X2593" s="35"/>
      <c r="Y2593" s="102"/>
    </row>
    <row r="2594" spans="12:25" ht="16">
      <c r="L2594" s="31"/>
      <c r="M2594" s="31"/>
      <c r="N2594" s="31"/>
      <c r="X2594" s="35"/>
      <c r="Y2594" s="102"/>
    </row>
    <row r="2595" spans="12:25" ht="16">
      <c r="L2595" s="31"/>
      <c r="M2595" s="31"/>
      <c r="N2595" s="31"/>
      <c r="X2595" s="35"/>
      <c r="Y2595" s="102"/>
    </row>
    <row r="2596" spans="12:25" ht="16">
      <c r="L2596" s="31"/>
      <c r="M2596" s="31"/>
      <c r="N2596" s="31"/>
      <c r="X2596" s="35"/>
      <c r="Y2596" s="102"/>
    </row>
    <row r="2597" spans="12:25" ht="16">
      <c r="L2597" s="31"/>
      <c r="M2597" s="31"/>
      <c r="N2597" s="31"/>
      <c r="X2597" s="35"/>
      <c r="Y2597" s="102"/>
    </row>
    <row r="2598" spans="12:25" ht="16">
      <c r="L2598" s="31"/>
      <c r="M2598" s="31"/>
      <c r="N2598" s="31"/>
      <c r="X2598" s="35"/>
      <c r="Y2598" s="102"/>
    </row>
    <row r="2599" spans="12:25" ht="16">
      <c r="L2599" s="31"/>
      <c r="M2599" s="31"/>
      <c r="N2599" s="31"/>
      <c r="X2599" s="35"/>
      <c r="Y2599" s="102"/>
    </row>
    <row r="2600" spans="12:25" ht="16">
      <c r="L2600" s="31"/>
      <c r="M2600" s="31"/>
      <c r="N2600" s="31"/>
      <c r="X2600" s="35"/>
      <c r="Y2600" s="102"/>
    </row>
    <row r="2601" spans="12:25" ht="16">
      <c r="L2601" s="31"/>
      <c r="M2601" s="31"/>
      <c r="N2601" s="31"/>
      <c r="X2601" s="35"/>
      <c r="Y2601" s="102"/>
    </row>
    <row r="2602" spans="12:25" ht="16">
      <c r="L2602" s="31"/>
      <c r="M2602" s="31"/>
      <c r="N2602" s="31"/>
      <c r="X2602" s="35"/>
      <c r="Y2602" s="102"/>
    </row>
    <row r="2603" spans="12:25" ht="16">
      <c r="L2603" s="31"/>
      <c r="M2603" s="31"/>
      <c r="N2603" s="31"/>
      <c r="X2603" s="35"/>
      <c r="Y2603" s="102"/>
    </row>
    <row r="2604" spans="12:25" ht="16">
      <c r="L2604" s="31"/>
      <c r="M2604" s="31"/>
      <c r="N2604" s="31"/>
      <c r="X2604" s="35"/>
      <c r="Y2604" s="102"/>
    </row>
    <row r="2605" spans="12:25" ht="16">
      <c r="L2605" s="31"/>
      <c r="M2605" s="31"/>
      <c r="N2605" s="31"/>
      <c r="X2605" s="35"/>
      <c r="Y2605" s="102"/>
    </row>
    <row r="2606" spans="12:25" ht="16">
      <c r="L2606" s="31"/>
      <c r="M2606" s="31"/>
      <c r="N2606" s="31"/>
      <c r="X2606" s="35"/>
      <c r="Y2606" s="102"/>
    </row>
    <row r="2607" spans="12:25" ht="16">
      <c r="L2607" s="31"/>
      <c r="M2607" s="31"/>
      <c r="N2607" s="31"/>
      <c r="X2607" s="35"/>
      <c r="Y2607" s="102"/>
    </row>
    <row r="2608" spans="12:25" ht="16">
      <c r="L2608" s="31"/>
      <c r="M2608" s="31"/>
      <c r="N2608" s="31"/>
      <c r="X2608" s="35"/>
      <c r="Y2608" s="102"/>
    </row>
    <row r="2609" spans="12:25" ht="16">
      <c r="L2609" s="31"/>
      <c r="M2609" s="31"/>
      <c r="N2609" s="31"/>
      <c r="X2609" s="35"/>
      <c r="Y2609" s="102"/>
    </row>
    <row r="2610" spans="12:25" ht="16">
      <c r="L2610" s="31"/>
      <c r="M2610" s="31"/>
      <c r="N2610" s="31"/>
      <c r="X2610" s="35"/>
      <c r="Y2610" s="102"/>
    </row>
    <row r="2611" spans="12:25" ht="16">
      <c r="L2611" s="31"/>
      <c r="M2611" s="31"/>
      <c r="N2611" s="31"/>
      <c r="X2611" s="35"/>
      <c r="Y2611" s="102"/>
    </row>
    <row r="2612" spans="12:25" ht="16">
      <c r="L2612" s="31"/>
      <c r="M2612" s="31"/>
      <c r="N2612" s="31"/>
      <c r="X2612" s="35"/>
      <c r="Y2612" s="102"/>
    </row>
    <row r="2613" spans="12:25" ht="16">
      <c r="L2613" s="31"/>
      <c r="M2613" s="31"/>
      <c r="N2613" s="31"/>
      <c r="X2613" s="35"/>
      <c r="Y2613" s="102"/>
    </row>
    <row r="2614" spans="12:25" ht="16">
      <c r="L2614" s="31"/>
      <c r="M2614" s="31"/>
      <c r="N2614" s="31"/>
      <c r="X2614" s="35"/>
      <c r="Y2614" s="102"/>
    </row>
    <row r="2615" spans="12:25" ht="16">
      <c r="L2615" s="31"/>
      <c r="M2615" s="31"/>
      <c r="N2615" s="31"/>
      <c r="X2615" s="35"/>
      <c r="Y2615" s="102"/>
    </row>
    <row r="2616" spans="12:25" ht="16">
      <c r="L2616" s="31"/>
      <c r="M2616" s="31"/>
      <c r="N2616" s="31"/>
      <c r="X2616" s="35"/>
      <c r="Y2616" s="102"/>
    </row>
    <row r="2617" spans="12:25" ht="16">
      <c r="L2617" s="31"/>
      <c r="M2617" s="31"/>
      <c r="N2617" s="31"/>
      <c r="X2617" s="35"/>
      <c r="Y2617" s="102"/>
    </row>
    <row r="2618" spans="12:25" ht="16">
      <c r="L2618" s="31"/>
      <c r="M2618" s="31"/>
      <c r="N2618" s="31"/>
      <c r="X2618" s="35"/>
      <c r="Y2618" s="102"/>
    </row>
    <row r="2619" spans="12:25" ht="16">
      <c r="L2619" s="31"/>
      <c r="M2619" s="31"/>
      <c r="N2619" s="31"/>
      <c r="X2619" s="35"/>
      <c r="Y2619" s="102"/>
    </row>
    <row r="2620" spans="12:25" ht="16">
      <c r="L2620" s="31"/>
      <c r="M2620" s="31"/>
      <c r="N2620" s="31"/>
      <c r="X2620" s="35"/>
      <c r="Y2620" s="102"/>
    </row>
    <row r="2621" spans="12:25" ht="16">
      <c r="L2621" s="31"/>
      <c r="M2621" s="31"/>
      <c r="N2621" s="31"/>
      <c r="X2621" s="35"/>
      <c r="Y2621" s="102"/>
    </row>
    <row r="2622" spans="12:25" ht="16">
      <c r="L2622" s="31"/>
      <c r="M2622" s="31"/>
      <c r="N2622" s="31"/>
      <c r="X2622" s="35"/>
      <c r="Y2622" s="102"/>
    </row>
    <row r="2623" spans="12:25" ht="16">
      <c r="L2623" s="31"/>
      <c r="M2623" s="31"/>
      <c r="N2623" s="31"/>
      <c r="X2623" s="35"/>
      <c r="Y2623" s="102"/>
    </row>
    <row r="2624" spans="12:25" ht="16">
      <c r="L2624" s="31"/>
      <c r="M2624" s="31"/>
      <c r="N2624" s="31"/>
      <c r="X2624" s="35"/>
      <c r="Y2624" s="102"/>
    </row>
    <row r="2625" spans="12:25" ht="16">
      <c r="L2625" s="31"/>
      <c r="M2625" s="31"/>
      <c r="N2625" s="31"/>
      <c r="X2625" s="35"/>
      <c r="Y2625" s="102"/>
    </row>
    <row r="2626" spans="12:25" ht="16">
      <c r="L2626" s="31"/>
      <c r="M2626" s="31"/>
      <c r="N2626" s="31"/>
      <c r="X2626" s="35"/>
      <c r="Y2626" s="102"/>
    </row>
    <row r="2627" spans="12:25" ht="16">
      <c r="L2627" s="31"/>
      <c r="M2627" s="31"/>
      <c r="N2627" s="31"/>
      <c r="X2627" s="35"/>
      <c r="Y2627" s="102"/>
    </row>
    <row r="2628" spans="12:25" ht="16">
      <c r="L2628" s="31"/>
      <c r="M2628" s="31"/>
      <c r="N2628" s="31"/>
      <c r="X2628" s="35"/>
      <c r="Y2628" s="102"/>
    </row>
    <row r="2629" spans="12:25" ht="16">
      <c r="L2629" s="31"/>
      <c r="M2629" s="31"/>
      <c r="N2629" s="31"/>
      <c r="X2629" s="35"/>
      <c r="Y2629" s="102"/>
    </row>
    <row r="2630" spans="12:25" ht="16">
      <c r="L2630" s="31"/>
      <c r="M2630" s="31"/>
      <c r="N2630" s="31"/>
      <c r="X2630" s="35"/>
      <c r="Y2630" s="102"/>
    </row>
    <row r="2631" spans="12:25" ht="16">
      <c r="L2631" s="31"/>
      <c r="M2631" s="31"/>
      <c r="N2631" s="31"/>
      <c r="X2631" s="35"/>
      <c r="Y2631" s="102"/>
    </row>
    <row r="2632" spans="12:25" ht="16">
      <c r="L2632" s="31"/>
      <c r="M2632" s="31"/>
      <c r="N2632" s="31"/>
      <c r="X2632" s="35"/>
      <c r="Y2632" s="102"/>
    </row>
    <row r="2633" spans="12:25" ht="16">
      <c r="L2633" s="31"/>
      <c r="M2633" s="31"/>
      <c r="N2633" s="31"/>
      <c r="X2633" s="35"/>
      <c r="Y2633" s="102"/>
    </row>
    <row r="2634" spans="12:25" ht="16">
      <c r="L2634" s="31"/>
      <c r="M2634" s="31"/>
      <c r="N2634" s="31"/>
      <c r="X2634" s="35"/>
      <c r="Y2634" s="102"/>
    </row>
    <row r="2635" spans="12:25" ht="16">
      <c r="L2635" s="31"/>
      <c r="M2635" s="31"/>
      <c r="N2635" s="31"/>
      <c r="X2635" s="35"/>
      <c r="Y2635" s="102"/>
    </row>
    <row r="2636" spans="12:25" ht="16">
      <c r="L2636" s="31"/>
      <c r="M2636" s="31"/>
      <c r="N2636" s="31"/>
      <c r="X2636" s="35"/>
      <c r="Y2636" s="102"/>
    </row>
    <row r="2637" spans="12:25" ht="16">
      <c r="L2637" s="31"/>
      <c r="M2637" s="31"/>
      <c r="N2637" s="31"/>
      <c r="X2637" s="35"/>
      <c r="Y2637" s="102"/>
    </row>
    <row r="2638" spans="12:25" ht="16">
      <c r="L2638" s="31"/>
      <c r="M2638" s="31"/>
      <c r="N2638" s="31"/>
      <c r="X2638" s="35"/>
      <c r="Y2638" s="102"/>
    </row>
    <row r="2639" spans="12:25" ht="16">
      <c r="L2639" s="31"/>
      <c r="M2639" s="31"/>
      <c r="N2639" s="31"/>
      <c r="X2639" s="35"/>
      <c r="Y2639" s="102"/>
    </row>
    <row r="2640" spans="12:25" ht="16">
      <c r="L2640" s="31"/>
      <c r="M2640" s="31"/>
      <c r="N2640" s="31"/>
      <c r="X2640" s="35"/>
      <c r="Y2640" s="102"/>
    </row>
    <row r="2641" spans="12:25" ht="16">
      <c r="L2641" s="31"/>
      <c r="M2641" s="31"/>
      <c r="N2641" s="31"/>
      <c r="X2641" s="35"/>
      <c r="Y2641" s="102"/>
    </row>
    <row r="2642" spans="12:25" ht="16">
      <c r="L2642" s="31"/>
      <c r="M2642" s="31"/>
      <c r="N2642" s="31"/>
      <c r="X2642" s="35"/>
      <c r="Y2642" s="102"/>
    </row>
    <row r="2643" spans="12:25" ht="16">
      <c r="L2643" s="31"/>
      <c r="M2643" s="31"/>
      <c r="N2643" s="31"/>
      <c r="X2643" s="35"/>
      <c r="Y2643" s="102"/>
    </row>
    <row r="2644" spans="12:25" ht="16">
      <c r="L2644" s="31"/>
      <c r="M2644" s="31"/>
      <c r="N2644" s="31"/>
      <c r="X2644" s="35"/>
      <c r="Y2644" s="102"/>
    </row>
    <row r="2645" spans="12:25" ht="16">
      <c r="L2645" s="31"/>
      <c r="M2645" s="31"/>
      <c r="N2645" s="31"/>
      <c r="X2645" s="35"/>
      <c r="Y2645" s="102"/>
    </row>
    <row r="2646" spans="12:25" ht="16">
      <c r="L2646" s="31"/>
      <c r="M2646" s="31"/>
      <c r="N2646" s="31"/>
      <c r="X2646" s="35"/>
      <c r="Y2646" s="102"/>
    </row>
    <row r="2647" spans="12:25" ht="16">
      <c r="L2647" s="31"/>
      <c r="M2647" s="31"/>
      <c r="N2647" s="31"/>
      <c r="X2647" s="35"/>
      <c r="Y2647" s="102"/>
    </row>
    <row r="2648" spans="12:25" ht="16">
      <c r="L2648" s="31"/>
      <c r="M2648" s="31"/>
      <c r="N2648" s="31"/>
      <c r="X2648" s="35"/>
      <c r="Y2648" s="102"/>
    </row>
    <row r="2649" spans="12:25" ht="16">
      <c r="L2649" s="31"/>
      <c r="M2649" s="31"/>
      <c r="N2649" s="31"/>
      <c r="X2649" s="35"/>
      <c r="Y2649" s="102"/>
    </row>
    <row r="2650" spans="12:25" ht="16">
      <c r="L2650" s="31"/>
      <c r="M2650" s="31"/>
      <c r="N2650" s="31"/>
      <c r="X2650" s="35"/>
      <c r="Y2650" s="102"/>
    </row>
    <row r="2651" spans="12:25" ht="16">
      <c r="L2651" s="31"/>
      <c r="M2651" s="31"/>
      <c r="N2651" s="31"/>
      <c r="X2651" s="35"/>
      <c r="Y2651" s="102"/>
    </row>
    <row r="2652" spans="12:25" ht="16">
      <c r="L2652" s="31"/>
      <c r="M2652" s="31"/>
      <c r="N2652" s="31"/>
      <c r="X2652" s="35"/>
      <c r="Y2652" s="102"/>
    </row>
    <row r="2653" spans="12:25" ht="16">
      <c r="L2653" s="31"/>
      <c r="M2653" s="31"/>
      <c r="N2653" s="31"/>
      <c r="X2653" s="35"/>
      <c r="Y2653" s="102"/>
    </row>
    <row r="2654" spans="12:25" ht="16">
      <c r="L2654" s="31"/>
      <c r="M2654" s="31"/>
      <c r="N2654" s="31"/>
      <c r="X2654" s="35"/>
      <c r="Y2654" s="102"/>
    </row>
    <row r="2655" spans="12:25" ht="16">
      <c r="L2655" s="31"/>
      <c r="M2655" s="31"/>
      <c r="N2655" s="31"/>
      <c r="X2655" s="35"/>
      <c r="Y2655" s="102"/>
    </row>
    <row r="2656" spans="12:25" ht="16">
      <c r="L2656" s="31"/>
      <c r="M2656" s="31"/>
      <c r="N2656" s="31"/>
      <c r="X2656" s="35"/>
      <c r="Y2656" s="102"/>
    </row>
    <row r="2657" spans="12:25" ht="16">
      <c r="L2657" s="31"/>
      <c r="M2657" s="31"/>
      <c r="N2657" s="31"/>
      <c r="X2657" s="35"/>
      <c r="Y2657" s="102"/>
    </row>
    <row r="2658" spans="12:25" ht="16">
      <c r="L2658" s="31"/>
      <c r="M2658" s="31"/>
      <c r="N2658" s="31"/>
      <c r="X2658" s="35"/>
      <c r="Y2658" s="102"/>
    </row>
    <row r="2659" spans="12:25" ht="16">
      <c r="L2659" s="31"/>
      <c r="M2659" s="31"/>
      <c r="N2659" s="31"/>
      <c r="X2659" s="35"/>
      <c r="Y2659" s="102"/>
    </row>
    <row r="2660" spans="12:25" ht="16">
      <c r="L2660" s="31"/>
      <c r="M2660" s="31"/>
      <c r="N2660" s="31"/>
      <c r="X2660" s="35"/>
      <c r="Y2660" s="102"/>
    </row>
    <row r="2661" spans="12:25" ht="16">
      <c r="L2661" s="31"/>
      <c r="M2661" s="31"/>
      <c r="N2661" s="31"/>
      <c r="X2661" s="35"/>
      <c r="Y2661" s="102"/>
    </row>
    <row r="2662" spans="12:25" ht="16">
      <c r="L2662" s="31"/>
      <c r="M2662" s="31"/>
      <c r="N2662" s="31"/>
      <c r="X2662" s="35"/>
      <c r="Y2662" s="102"/>
    </row>
    <row r="2663" spans="12:25" ht="16">
      <c r="L2663" s="31"/>
      <c r="M2663" s="31"/>
      <c r="N2663" s="31"/>
      <c r="X2663" s="35"/>
      <c r="Y2663" s="102"/>
    </row>
    <row r="2664" spans="12:25" ht="16">
      <c r="L2664" s="31"/>
      <c r="M2664" s="31"/>
      <c r="N2664" s="31"/>
      <c r="X2664" s="35"/>
      <c r="Y2664" s="102"/>
    </row>
    <row r="2665" spans="12:25" ht="16">
      <c r="L2665" s="31"/>
      <c r="M2665" s="31"/>
      <c r="N2665" s="31"/>
      <c r="X2665" s="35"/>
      <c r="Y2665" s="102"/>
    </row>
    <row r="2666" spans="12:25" ht="16">
      <c r="L2666" s="31"/>
      <c r="M2666" s="31"/>
      <c r="N2666" s="31"/>
      <c r="X2666" s="35"/>
      <c r="Y2666" s="102"/>
    </row>
    <row r="2667" spans="12:25" ht="16">
      <c r="L2667" s="31"/>
      <c r="M2667" s="31"/>
      <c r="N2667" s="31"/>
      <c r="X2667" s="35"/>
      <c r="Y2667" s="102"/>
    </row>
    <row r="2668" spans="12:25" ht="16">
      <c r="L2668" s="31"/>
      <c r="M2668" s="31"/>
      <c r="N2668" s="31"/>
      <c r="X2668" s="35"/>
      <c r="Y2668" s="102"/>
    </row>
    <row r="2669" spans="12:25" ht="16">
      <c r="L2669" s="31"/>
      <c r="M2669" s="31"/>
      <c r="N2669" s="31"/>
      <c r="X2669" s="35"/>
      <c r="Y2669" s="102"/>
    </row>
    <row r="2670" spans="12:25" ht="16">
      <c r="L2670" s="31"/>
      <c r="M2670" s="31"/>
      <c r="N2670" s="31"/>
      <c r="X2670" s="35"/>
      <c r="Y2670" s="102"/>
    </row>
    <row r="2671" spans="12:25" ht="16">
      <c r="L2671" s="31"/>
      <c r="M2671" s="31"/>
      <c r="N2671" s="31"/>
      <c r="X2671" s="35"/>
      <c r="Y2671" s="102"/>
    </row>
    <row r="2672" spans="12:25" ht="16">
      <c r="L2672" s="31"/>
      <c r="M2672" s="31"/>
      <c r="N2672" s="31"/>
      <c r="X2672" s="35"/>
      <c r="Y2672" s="102"/>
    </row>
    <row r="2673" spans="12:25" ht="16">
      <c r="L2673" s="31"/>
      <c r="M2673" s="31"/>
      <c r="N2673" s="31"/>
      <c r="X2673" s="35"/>
      <c r="Y2673" s="102"/>
    </row>
    <row r="2674" spans="12:25" ht="16">
      <c r="L2674" s="31"/>
      <c r="M2674" s="31"/>
      <c r="N2674" s="31"/>
      <c r="X2674" s="35"/>
      <c r="Y2674" s="102"/>
    </row>
    <row r="2675" spans="12:25" ht="16">
      <c r="L2675" s="31"/>
      <c r="M2675" s="31"/>
      <c r="N2675" s="31"/>
      <c r="X2675" s="35"/>
      <c r="Y2675" s="102"/>
    </row>
    <row r="2676" spans="12:25" ht="16">
      <c r="L2676" s="31"/>
      <c r="M2676" s="31"/>
      <c r="N2676" s="31"/>
      <c r="X2676" s="35"/>
      <c r="Y2676" s="102"/>
    </row>
    <row r="2677" spans="12:25" ht="16">
      <c r="L2677" s="31"/>
      <c r="M2677" s="31"/>
      <c r="N2677" s="31"/>
      <c r="X2677" s="35"/>
      <c r="Y2677" s="102"/>
    </row>
    <row r="2678" spans="12:25" ht="16">
      <c r="L2678" s="31"/>
      <c r="M2678" s="31"/>
      <c r="N2678" s="31"/>
      <c r="X2678" s="35"/>
      <c r="Y2678" s="102"/>
    </row>
    <row r="2679" spans="12:25" ht="16">
      <c r="L2679" s="31"/>
      <c r="M2679" s="31"/>
      <c r="N2679" s="31"/>
      <c r="X2679" s="35"/>
      <c r="Y2679" s="102"/>
    </row>
    <row r="2680" spans="12:25" ht="16">
      <c r="L2680" s="31"/>
      <c r="M2680" s="31"/>
      <c r="N2680" s="31"/>
      <c r="X2680" s="35"/>
      <c r="Y2680" s="102"/>
    </row>
    <row r="2681" spans="12:25" ht="16">
      <c r="L2681" s="31"/>
      <c r="M2681" s="31"/>
      <c r="N2681" s="31"/>
      <c r="X2681" s="35"/>
      <c r="Y2681" s="102"/>
    </row>
    <row r="2682" spans="12:25" ht="16">
      <c r="L2682" s="31"/>
      <c r="M2682" s="31"/>
      <c r="N2682" s="31"/>
      <c r="X2682" s="35"/>
      <c r="Y2682" s="102"/>
    </row>
    <row r="2683" spans="12:25" ht="16">
      <c r="L2683" s="31"/>
      <c r="M2683" s="31"/>
      <c r="N2683" s="31"/>
      <c r="X2683" s="35"/>
      <c r="Y2683" s="102"/>
    </row>
    <row r="2684" spans="12:25" ht="16">
      <c r="L2684" s="31"/>
      <c r="M2684" s="31"/>
      <c r="N2684" s="31"/>
      <c r="X2684" s="35"/>
      <c r="Y2684" s="102"/>
    </row>
    <row r="2685" spans="12:25" ht="16">
      <c r="L2685" s="31"/>
      <c r="M2685" s="31"/>
      <c r="N2685" s="31"/>
      <c r="X2685" s="35"/>
      <c r="Y2685" s="102"/>
    </row>
    <row r="2686" spans="12:25" ht="16">
      <c r="L2686" s="31"/>
      <c r="M2686" s="31"/>
      <c r="N2686" s="31"/>
      <c r="X2686" s="35"/>
      <c r="Y2686" s="102"/>
    </row>
    <row r="2687" spans="12:25" ht="16">
      <c r="L2687" s="31"/>
      <c r="M2687" s="31"/>
      <c r="N2687" s="31"/>
      <c r="X2687" s="35"/>
      <c r="Y2687" s="102"/>
    </row>
    <row r="2688" spans="12:25" ht="16">
      <c r="L2688" s="31"/>
      <c r="M2688" s="31"/>
      <c r="N2688" s="31"/>
      <c r="X2688" s="35"/>
      <c r="Y2688" s="102"/>
    </row>
    <row r="2689" spans="12:25" ht="16">
      <c r="L2689" s="31"/>
      <c r="M2689" s="31"/>
      <c r="N2689" s="31"/>
      <c r="X2689" s="35"/>
      <c r="Y2689" s="102"/>
    </row>
    <row r="2690" spans="12:25" ht="16">
      <c r="L2690" s="31"/>
      <c r="M2690" s="31"/>
      <c r="N2690" s="31"/>
      <c r="X2690" s="35"/>
      <c r="Y2690" s="102"/>
    </row>
    <row r="2691" spans="12:25" ht="16">
      <c r="L2691" s="31"/>
      <c r="M2691" s="31"/>
      <c r="N2691" s="31"/>
      <c r="X2691" s="35"/>
      <c r="Y2691" s="102"/>
    </row>
    <row r="2692" spans="12:25" ht="16">
      <c r="L2692" s="31"/>
      <c r="M2692" s="31"/>
      <c r="N2692" s="31"/>
      <c r="X2692" s="35"/>
      <c r="Y2692" s="102"/>
    </row>
    <row r="2693" spans="12:25" ht="16">
      <c r="L2693" s="31"/>
      <c r="M2693" s="31"/>
      <c r="N2693" s="31"/>
      <c r="X2693" s="35"/>
      <c r="Y2693" s="102"/>
    </row>
    <row r="2694" spans="12:25" ht="16">
      <c r="L2694" s="31"/>
      <c r="M2694" s="31"/>
      <c r="N2694" s="31"/>
      <c r="X2694" s="35"/>
      <c r="Y2694" s="102"/>
    </row>
    <row r="2695" spans="12:25" ht="16">
      <c r="L2695" s="31"/>
      <c r="M2695" s="31"/>
      <c r="N2695" s="31"/>
      <c r="X2695" s="35"/>
      <c r="Y2695" s="102"/>
    </row>
    <row r="2696" spans="12:25" ht="16">
      <c r="L2696" s="31"/>
      <c r="M2696" s="31"/>
      <c r="N2696" s="31"/>
      <c r="X2696" s="35"/>
      <c r="Y2696" s="102"/>
    </row>
    <row r="2697" spans="12:25" ht="16">
      <c r="L2697" s="31"/>
      <c r="M2697" s="31"/>
      <c r="N2697" s="31"/>
      <c r="X2697" s="35"/>
      <c r="Y2697" s="102"/>
    </row>
    <row r="2698" spans="12:25" ht="16">
      <c r="L2698" s="31"/>
      <c r="M2698" s="31"/>
      <c r="N2698" s="31"/>
      <c r="X2698" s="35"/>
      <c r="Y2698" s="102"/>
    </row>
    <row r="2699" spans="12:25" ht="16">
      <c r="L2699" s="31"/>
      <c r="M2699" s="31"/>
      <c r="N2699" s="31"/>
      <c r="X2699" s="35"/>
      <c r="Y2699" s="102"/>
    </row>
    <row r="2700" spans="12:25" ht="16">
      <c r="L2700" s="31"/>
      <c r="M2700" s="31"/>
      <c r="N2700" s="31"/>
      <c r="X2700" s="35"/>
      <c r="Y2700" s="102"/>
    </row>
    <row r="2701" spans="12:25" ht="16">
      <c r="L2701" s="31"/>
      <c r="M2701" s="31"/>
      <c r="N2701" s="31"/>
      <c r="X2701" s="35"/>
      <c r="Y2701" s="102"/>
    </row>
    <row r="2702" spans="12:25" ht="16">
      <c r="L2702" s="31"/>
      <c r="M2702" s="31"/>
      <c r="N2702" s="31"/>
      <c r="X2702" s="35"/>
      <c r="Y2702" s="102"/>
    </row>
    <row r="2703" spans="12:25" ht="16">
      <c r="L2703" s="31"/>
      <c r="M2703" s="31"/>
      <c r="N2703" s="31"/>
      <c r="X2703" s="35"/>
      <c r="Y2703" s="102"/>
    </row>
    <row r="2704" spans="12:25" ht="16">
      <c r="L2704" s="31"/>
      <c r="M2704" s="31"/>
      <c r="N2704" s="31"/>
      <c r="X2704" s="35"/>
      <c r="Y2704" s="102"/>
    </row>
    <row r="2705" spans="12:25" ht="16">
      <c r="L2705" s="31"/>
      <c r="M2705" s="31"/>
      <c r="N2705" s="31"/>
      <c r="X2705" s="35"/>
      <c r="Y2705" s="102"/>
    </row>
    <row r="2706" spans="12:25" ht="16">
      <c r="L2706" s="31"/>
      <c r="M2706" s="31"/>
      <c r="N2706" s="31"/>
      <c r="X2706" s="35"/>
      <c r="Y2706" s="102"/>
    </row>
    <row r="2707" spans="12:25" ht="16">
      <c r="L2707" s="31"/>
      <c r="M2707" s="31"/>
      <c r="N2707" s="31"/>
      <c r="X2707" s="35"/>
      <c r="Y2707" s="102"/>
    </row>
    <row r="2708" spans="12:25" ht="16">
      <c r="L2708" s="31"/>
      <c r="M2708" s="31"/>
      <c r="N2708" s="31"/>
      <c r="X2708" s="35"/>
      <c r="Y2708" s="102"/>
    </row>
    <row r="2709" spans="12:25" ht="16">
      <c r="L2709" s="31"/>
      <c r="M2709" s="31"/>
      <c r="N2709" s="31"/>
      <c r="X2709" s="35"/>
      <c r="Y2709" s="102"/>
    </row>
    <row r="2710" spans="12:25" ht="16">
      <c r="L2710" s="31"/>
      <c r="M2710" s="31"/>
      <c r="N2710" s="31"/>
      <c r="X2710" s="35"/>
      <c r="Y2710" s="102"/>
    </row>
    <row r="2711" spans="12:25" ht="16">
      <c r="L2711" s="31"/>
      <c r="M2711" s="31"/>
      <c r="N2711" s="31"/>
      <c r="X2711" s="35"/>
      <c r="Y2711" s="102"/>
    </row>
    <row r="2712" spans="12:25" ht="16">
      <c r="L2712" s="31"/>
      <c r="M2712" s="31"/>
      <c r="N2712" s="31"/>
      <c r="X2712" s="35"/>
      <c r="Y2712" s="102"/>
    </row>
    <row r="2713" spans="12:25" ht="16">
      <c r="L2713" s="31"/>
      <c r="M2713" s="31"/>
      <c r="N2713" s="31"/>
      <c r="X2713" s="35"/>
      <c r="Y2713" s="102"/>
    </row>
    <row r="2714" spans="12:25" ht="16">
      <c r="L2714" s="31"/>
      <c r="M2714" s="31"/>
      <c r="N2714" s="31"/>
      <c r="X2714" s="35"/>
      <c r="Y2714" s="102"/>
    </row>
    <row r="2715" spans="12:25" ht="16">
      <c r="L2715" s="31"/>
      <c r="M2715" s="31"/>
      <c r="N2715" s="31"/>
      <c r="X2715" s="35"/>
      <c r="Y2715" s="102"/>
    </row>
    <row r="2716" spans="12:25" ht="16">
      <c r="L2716" s="31"/>
      <c r="M2716" s="31"/>
      <c r="N2716" s="31"/>
      <c r="X2716" s="35"/>
      <c r="Y2716" s="102"/>
    </row>
    <row r="2717" spans="12:25" ht="16">
      <c r="L2717" s="31"/>
      <c r="M2717" s="31"/>
      <c r="N2717" s="31"/>
      <c r="X2717" s="35"/>
      <c r="Y2717" s="102"/>
    </row>
    <row r="2718" spans="12:25" ht="16">
      <c r="L2718" s="31"/>
      <c r="M2718" s="31"/>
      <c r="N2718" s="31"/>
      <c r="X2718" s="35"/>
      <c r="Y2718" s="102"/>
    </row>
    <row r="2719" spans="12:25" ht="16">
      <c r="L2719" s="31"/>
      <c r="M2719" s="31"/>
      <c r="N2719" s="31"/>
      <c r="X2719" s="35"/>
      <c r="Y2719" s="102"/>
    </row>
    <row r="2720" spans="12:25" ht="16">
      <c r="L2720" s="31"/>
      <c r="M2720" s="31"/>
      <c r="N2720" s="31"/>
      <c r="X2720" s="35"/>
      <c r="Y2720" s="102"/>
    </row>
    <row r="2721" spans="12:25" ht="16">
      <c r="L2721" s="31"/>
      <c r="M2721" s="31"/>
      <c r="N2721" s="31"/>
      <c r="X2721" s="35"/>
      <c r="Y2721" s="102"/>
    </row>
    <row r="2722" spans="12:25" ht="16">
      <c r="L2722" s="31"/>
      <c r="M2722" s="31"/>
      <c r="N2722" s="31"/>
      <c r="X2722" s="35"/>
      <c r="Y2722" s="102"/>
    </row>
    <row r="2723" spans="12:25" ht="16">
      <c r="L2723" s="31"/>
      <c r="M2723" s="31"/>
      <c r="N2723" s="31"/>
      <c r="X2723" s="35"/>
      <c r="Y2723" s="102"/>
    </row>
    <row r="2724" spans="12:25" ht="16">
      <c r="L2724" s="31"/>
      <c r="M2724" s="31"/>
      <c r="N2724" s="31"/>
      <c r="X2724" s="35"/>
      <c r="Y2724" s="102"/>
    </row>
    <row r="2725" spans="12:25" ht="16">
      <c r="L2725" s="31"/>
      <c r="M2725" s="31"/>
      <c r="N2725" s="31"/>
      <c r="X2725" s="35"/>
      <c r="Y2725" s="102"/>
    </row>
    <row r="2726" spans="12:25" ht="16">
      <c r="L2726" s="31"/>
      <c r="M2726" s="31"/>
      <c r="N2726" s="31"/>
      <c r="X2726" s="35"/>
      <c r="Y2726" s="102"/>
    </row>
    <row r="2727" spans="12:25" ht="16">
      <c r="L2727" s="31"/>
      <c r="M2727" s="31"/>
      <c r="N2727" s="31"/>
      <c r="X2727" s="35"/>
      <c r="Y2727" s="102"/>
    </row>
    <row r="2728" spans="12:25" ht="16">
      <c r="L2728" s="31"/>
      <c r="M2728" s="31"/>
      <c r="N2728" s="31"/>
      <c r="X2728" s="35"/>
      <c r="Y2728" s="102"/>
    </row>
    <row r="2729" spans="12:25" ht="16">
      <c r="L2729" s="31"/>
      <c r="M2729" s="31"/>
      <c r="N2729" s="31"/>
      <c r="X2729" s="35"/>
      <c r="Y2729" s="102"/>
    </row>
    <row r="2730" spans="12:25" ht="16">
      <c r="L2730" s="31"/>
      <c r="M2730" s="31"/>
      <c r="N2730" s="31"/>
      <c r="X2730" s="35"/>
      <c r="Y2730" s="102"/>
    </row>
    <row r="2731" spans="12:25" ht="16">
      <c r="L2731" s="31"/>
      <c r="M2731" s="31"/>
      <c r="N2731" s="31"/>
      <c r="X2731" s="35"/>
      <c r="Y2731" s="102"/>
    </row>
    <row r="2732" spans="12:25" ht="16">
      <c r="L2732" s="31"/>
      <c r="M2732" s="31"/>
      <c r="N2732" s="31"/>
      <c r="X2732" s="35"/>
      <c r="Y2732" s="102"/>
    </row>
    <row r="2733" spans="12:25" ht="16">
      <c r="L2733" s="31"/>
      <c r="M2733" s="31"/>
      <c r="N2733" s="31"/>
      <c r="X2733" s="35"/>
      <c r="Y2733" s="102"/>
    </row>
    <row r="2734" spans="12:25" ht="16">
      <c r="L2734" s="31"/>
      <c r="M2734" s="31"/>
      <c r="N2734" s="31"/>
      <c r="X2734" s="35"/>
      <c r="Y2734" s="102"/>
    </row>
    <row r="2735" spans="12:25" ht="16">
      <c r="L2735" s="31"/>
      <c r="M2735" s="31"/>
      <c r="N2735" s="31"/>
      <c r="X2735" s="35"/>
      <c r="Y2735" s="102"/>
    </row>
    <row r="2736" spans="12:25" ht="16">
      <c r="L2736" s="31"/>
      <c r="M2736" s="31"/>
      <c r="N2736" s="31"/>
      <c r="X2736" s="35"/>
      <c r="Y2736" s="102"/>
    </row>
    <row r="2737" spans="12:25" ht="16">
      <c r="L2737" s="31"/>
      <c r="M2737" s="31"/>
      <c r="N2737" s="31"/>
      <c r="X2737" s="35"/>
      <c r="Y2737" s="102"/>
    </row>
    <row r="2738" spans="12:25" ht="16">
      <c r="L2738" s="31"/>
      <c r="M2738" s="31"/>
      <c r="N2738" s="31"/>
      <c r="X2738" s="35"/>
      <c r="Y2738" s="102"/>
    </row>
    <row r="2739" spans="12:25" ht="16">
      <c r="L2739" s="31"/>
      <c r="M2739" s="31"/>
      <c r="N2739" s="31"/>
      <c r="X2739" s="35"/>
      <c r="Y2739" s="102"/>
    </row>
    <row r="2740" spans="12:25" ht="16">
      <c r="L2740" s="31"/>
      <c r="M2740" s="31"/>
      <c r="N2740" s="31"/>
      <c r="X2740" s="35"/>
      <c r="Y2740" s="102"/>
    </row>
    <row r="2741" spans="12:25" ht="16">
      <c r="L2741" s="31"/>
      <c r="M2741" s="31"/>
      <c r="N2741" s="31"/>
      <c r="X2741" s="35"/>
      <c r="Y2741" s="102"/>
    </row>
    <row r="2742" spans="12:25" ht="16">
      <c r="L2742" s="31"/>
      <c r="M2742" s="31"/>
      <c r="N2742" s="31"/>
      <c r="X2742" s="35"/>
      <c r="Y2742" s="102"/>
    </row>
    <row r="2743" spans="12:25" ht="16">
      <c r="L2743" s="31"/>
      <c r="M2743" s="31"/>
      <c r="N2743" s="31"/>
      <c r="X2743" s="35"/>
      <c r="Y2743" s="102"/>
    </row>
    <row r="2744" spans="12:25" ht="16">
      <c r="L2744" s="31"/>
      <c r="M2744" s="31"/>
      <c r="N2744" s="31"/>
      <c r="X2744" s="35"/>
      <c r="Y2744" s="102"/>
    </row>
    <row r="2745" spans="12:25" ht="16">
      <c r="L2745" s="31"/>
      <c r="M2745" s="31"/>
      <c r="N2745" s="31"/>
      <c r="X2745" s="35"/>
      <c r="Y2745" s="102"/>
    </row>
    <row r="2746" spans="12:25" ht="16">
      <c r="L2746" s="31"/>
      <c r="M2746" s="31"/>
      <c r="N2746" s="31"/>
    </row>
    <row r="2747" spans="12:25" ht="16">
      <c r="L2747" s="31"/>
      <c r="M2747" s="31"/>
      <c r="N2747" s="31"/>
    </row>
    <row r="2748" spans="12:25" ht="16">
      <c r="L2748" s="31"/>
      <c r="M2748" s="31"/>
      <c r="N2748" s="31"/>
    </row>
    <row r="2749" spans="12:25" ht="16">
      <c r="L2749" s="31"/>
      <c r="M2749" s="31"/>
      <c r="N2749" s="31"/>
    </row>
  </sheetData>
  <sheetProtection sheet="1" objects="1" scenarios="1"/>
  <protectedRanges>
    <protectedRange sqref="A1:B1048576 J1:K1048576 N1:O1048576 Q1:Q1048576 S1:S1048576 U1:W1048576 AB1:AF1048576 E54:F56 H54:H56 F1:F36 G1:H53 F38:F53 D1:E53 D57:H1048576" name="Range1"/>
  </protectedRanges>
  <mergeCells count="4">
    <mergeCell ref="J1:Q1"/>
    <mergeCell ref="R1:U1"/>
    <mergeCell ref="V1:W1"/>
    <mergeCell ref="X1:AA1"/>
  </mergeCells>
  <conditionalFormatting sqref="X1 X2:Y1048576">
    <cfRule type="expression" dxfId="48" priority="5">
      <formula>AND(X1&lt;0.7,X1&lt;&gt;"")</formula>
    </cfRule>
  </conditionalFormatting>
  <conditionalFormatting sqref="X2:Y1048576 X1">
    <cfRule type="expression" dxfId="47" priority="4">
      <formula>AND(X1&gt;=0.7,X1&lt;=0.85,X1&lt;&gt;"")</formula>
    </cfRule>
  </conditionalFormatting>
  <conditionalFormatting sqref="X3:Y10000">
    <cfRule type="expression" dxfId="46" priority="3">
      <formula>AND(X3&gt;0.85,X3&lt;&gt;"")</formula>
    </cfRule>
  </conditionalFormatting>
  <conditionalFormatting sqref="Z2:AA1048576">
    <cfRule type="cellIs" dxfId="45" priority="2" operator="lessThan">
      <formula>0</formula>
    </cfRule>
  </conditionalFormatting>
  <conditionalFormatting sqref="Z3:AA10000">
    <cfRule type="cellIs" dxfId="44" priority="1" operator="greaterThan">
      <formula>0</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6CAE5-5FED-4B73-98EA-AB014F7F700A}">
  <dimension ref="A1:AF2749"/>
  <sheetViews>
    <sheetView topLeftCell="N1" workbookViewId="0">
      <pane ySplit="2" topLeftCell="A35" activePane="bottomLeft" state="frozen"/>
      <selection pane="bottomLeft" activeCell="AC41" sqref="AC41"/>
    </sheetView>
  </sheetViews>
  <sheetFormatPr defaultColWidth="9.1796875" defaultRowHeight="15.75" customHeight="1"/>
  <cols>
    <col min="1" max="1" width="11.54296875" style="27" customWidth="1"/>
    <col min="2" max="2" width="15.81640625" style="28" customWidth="1"/>
    <col min="3" max="3" width="13.1796875" style="28" hidden="1" customWidth="1"/>
    <col min="4" max="4" width="14.1796875" style="28" customWidth="1"/>
    <col min="5" max="5" width="15.54296875" style="29" bestFit="1" customWidth="1"/>
    <col min="6" max="6" width="14.7265625" style="29" bestFit="1" customWidth="1"/>
    <col min="7" max="7" width="18.26953125" style="29" bestFit="1" customWidth="1"/>
    <col min="8" max="8" width="19" style="28" bestFit="1" customWidth="1"/>
    <col min="9" max="9" width="19" style="28" hidden="1" customWidth="1"/>
    <col min="10" max="10" width="10.1796875" style="30" bestFit="1" customWidth="1"/>
    <col min="11" max="11" width="14" style="28" bestFit="1" customWidth="1"/>
    <col min="12" max="12" width="16.453125" style="28" bestFit="1" customWidth="1"/>
    <col min="13" max="13" width="20.7265625" style="28" hidden="1" customWidth="1"/>
    <col min="14" max="14" width="16.453125" style="28" customWidth="1"/>
    <col min="15" max="15" width="16" style="28" bestFit="1" customWidth="1"/>
    <col min="16" max="16" width="17.7265625" style="28" hidden="1" customWidth="1"/>
    <col min="17" max="17" width="13.81640625" style="28" bestFit="1" customWidth="1"/>
    <col min="18" max="18" width="13.453125" style="38" bestFit="1" customWidth="1"/>
    <col min="19" max="19" width="17.26953125" style="28" bestFit="1" customWidth="1"/>
    <col min="20" max="20" width="20.453125" style="33" bestFit="1" customWidth="1"/>
    <col min="21" max="21" width="17.7265625" style="34" bestFit="1" customWidth="1"/>
    <col min="22" max="23" width="15.7265625" style="33" bestFit="1" customWidth="1"/>
    <col min="24" max="24" width="15.54296875" style="38" customWidth="1"/>
    <col min="25" max="25" width="12.26953125" style="37" hidden="1" customWidth="1"/>
    <col min="26" max="26" width="21.54296875" style="33" customWidth="1"/>
    <col min="27" max="27" width="21.26953125" style="106" hidden="1" customWidth="1"/>
    <col min="28" max="28" width="58.26953125" style="28" customWidth="1"/>
    <col min="29" max="32" width="16.81640625" style="28" bestFit="1" customWidth="1"/>
    <col min="33" max="16384" width="9.1796875" style="37"/>
  </cols>
  <sheetData>
    <row r="1" spans="1:32" ht="47.25" customHeight="1">
      <c r="A1" s="14"/>
      <c r="B1" s="15"/>
      <c r="C1" s="15"/>
      <c r="D1" s="15"/>
      <c r="E1" s="16"/>
      <c r="F1" s="16"/>
      <c r="G1" s="16"/>
      <c r="H1" s="15"/>
      <c r="I1" s="15"/>
      <c r="J1" s="115" t="s">
        <v>0</v>
      </c>
      <c r="K1" s="116"/>
      <c r="L1" s="116"/>
      <c r="M1" s="116"/>
      <c r="N1" s="116"/>
      <c r="O1" s="116"/>
      <c r="P1" s="116"/>
      <c r="Q1" s="117"/>
      <c r="R1" s="118" t="s">
        <v>1</v>
      </c>
      <c r="S1" s="119"/>
      <c r="T1" s="119"/>
      <c r="U1" s="120"/>
      <c r="V1" s="113" t="s">
        <v>2</v>
      </c>
      <c r="W1" s="114"/>
      <c r="X1" s="124" t="s">
        <v>3</v>
      </c>
      <c r="Y1" s="125"/>
      <c r="Z1" s="125"/>
      <c r="AA1" s="125"/>
    </row>
    <row r="2" spans="1:32" ht="16">
      <c r="A2" s="17" t="s">
        <v>4</v>
      </c>
      <c r="B2" s="18" t="s">
        <v>5</v>
      </c>
      <c r="C2" s="50" t="s">
        <v>6</v>
      </c>
      <c r="D2" s="18" t="s">
        <v>7</v>
      </c>
      <c r="E2" s="19" t="s">
        <v>8</v>
      </c>
      <c r="F2" s="19" t="s">
        <v>9</v>
      </c>
      <c r="G2" s="19" t="s">
        <v>10</v>
      </c>
      <c r="H2" s="18" t="s">
        <v>11</v>
      </c>
      <c r="I2" s="50" t="s">
        <v>12</v>
      </c>
      <c r="J2" s="20" t="s">
        <v>13</v>
      </c>
      <c r="K2" s="18" t="s">
        <v>14</v>
      </c>
      <c r="L2" s="21" t="s">
        <v>15</v>
      </c>
      <c r="M2" s="50" t="s">
        <v>16</v>
      </c>
      <c r="N2" s="18" t="s">
        <v>17</v>
      </c>
      <c r="O2" s="18" t="s">
        <v>18</v>
      </c>
      <c r="P2" s="50" t="s">
        <v>19</v>
      </c>
      <c r="Q2" s="18" t="s">
        <v>20</v>
      </c>
      <c r="R2" s="22" t="s">
        <v>21</v>
      </c>
      <c r="S2" s="18" t="s">
        <v>22</v>
      </c>
      <c r="T2" s="23" t="s">
        <v>23</v>
      </c>
      <c r="U2" s="24" t="s">
        <v>24</v>
      </c>
      <c r="V2" s="25" t="s">
        <v>25</v>
      </c>
      <c r="W2" s="25" t="s">
        <v>26</v>
      </c>
      <c r="X2" s="26" t="s">
        <v>27</v>
      </c>
      <c r="Y2" s="107" t="s">
        <v>28</v>
      </c>
      <c r="Z2" s="103" t="s">
        <v>29</v>
      </c>
      <c r="AA2" s="108" t="s">
        <v>30</v>
      </c>
      <c r="AB2" s="18" t="s">
        <v>31</v>
      </c>
      <c r="AC2" s="18" t="s">
        <v>32</v>
      </c>
      <c r="AD2" s="18" t="s">
        <v>33</v>
      </c>
      <c r="AE2" s="18" t="s">
        <v>34</v>
      </c>
      <c r="AF2" s="18" t="s">
        <v>35</v>
      </c>
    </row>
    <row r="3" spans="1:32" ht="25" customHeight="1">
      <c r="A3" s="27">
        <v>46120</v>
      </c>
      <c r="B3" s="28">
        <v>143197</v>
      </c>
      <c r="C3" s="28" t="str">
        <f>IF(tbl_Punch[[#This Row],[Part'#]]="", "Batch", "Part")</f>
        <v>Part</v>
      </c>
      <c r="D3" s="28" t="s">
        <v>376</v>
      </c>
      <c r="E3" s="29">
        <v>0.68402777777777779</v>
      </c>
      <c r="F3" s="29">
        <v>0.73541666666666672</v>
      </c>
      <c r="G3" s="28">
        <v>14</v>
      </c>
      <c r="H3" s="28">
        <v>14</v>
      </c>
      <c r="I3" s="70">
        <f>tbl_Punch[[#This Row],[Qty Complete]]/tbl_Punch[[#This Row],[Qty Required]]</f>
        <v>1</v>
      </c>
      <c r="J3" s="30">
        <v>22</v>
      </c>
      <c r="K3" s="28">
        <v>1</v>
      </c>
      <c r="L3" s="31">
        <f>IF(tbl_Punch[[#This Row],[Job Type]]="Batch",0,tbl_Punch[[#This Row],[Qty Required]]/tbl_Punch[[#This Row],[PPH]]*tbl_Punch[[#This Row],['# of men]])</f>
        <v>0.63636363636363635</v>
      </c>
      <c r="M3" s="31">
        <f>IF(tbl_Punch[[#This Row],[Job Type]]="Batch",tbl_Punch[[#This Row],[Batch Hours]]*tbl_Punch[[#This Row],[% Complete]],tbl_Punch[[#This Row],[Total hours]]*tbl_Punch[[#This Row],[% Complete]])</f>
        <v>0.63636363636363635</v>
      </c>
      <c r="N3" s="31"/>
      <c r="O3" s="28" t="s">
        <v>377</v>
      </c>
      <c r="P3" s="28">
        <f>tbl_Punch[[#This Row],[Mat. Qty]]*tbl_Punch[[#This Row],[% Complete]]</f>
        <v>7</v>
      </c>
      <c r="Q3" s="28">
        <v>7</v>
      </c>
      <c r="R3" s="32">
        <f>IFERROR(tbl_Punch[[#This Row],[Qty Complete]]/tbl_Punch[[#This Row],[Total Hours Act]]*tbl_Punch[[#This Row],['# of men Act]],"")</f>
        <v>11.351351351351342</v>
      </c>
      <c r="S3" s="28">
        <v>1</v>
      </c>
      <c r="T3"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1.2333333333333343</v>
      </c>
      <c r="U3" s="34">
        <v>7</v>
      </c>
      <c r="V3" s="33">
        <v>0.52</v>
      </c>
      <c r="W3" s="33">
        <v>0.8</v>
      </c>
      <c r="X3" s="35">
        <f>IFERROR((tbl_Punch[[#This Row],[Adj. Total Hours]]+tbl_Punch[[#This Row],[Est. Hours]])/(tbl_Punch[[#This Row],[Total Hours Act]]+tbl_Punch[[#This Row],[Act. Hours]]),"")</f>
        <v>0.56870342771982085</v>
      </c>
      <c r="Y3" s="102">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0.56870342771982085</v>
      </c>
      <c r="Z3" s="104">
        <f>IFERROR(tbl_Punch[[#This Row],[Act. Mat. Qty]]-tbl_Punch[[#This Row],[Adj. Mat. Qty]],"")</f>
        <v>0</v>
      </c>
      <c r="AA3" s="105">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0</v>
      </c>
      <c r="AB3" s="28" t="s">
        <v>378</v>
      </c>
      <c r="AC3" s="31"/>
      <c r="AD3" s="36"/>
    </row>
    <row r="4" spans="1:32" ht="25" customHeight="1">
      <c r="A4" s="27">
        <v>46120</v>
      </c>
      <c r="B4" s="28">
        <v>143198</v>
      </c>
      <c r="C4" s="28" t="str">
        <f>IF(tbl_Punch[[#This Row],[Part'#]]="", "Batch", "Part")</f>
        <v>Part</v>
      </c>
      <c r="D4" s="28" t="s">
        <v>379</v>
      </c>
      <c r="E4" s="29">
        <v>0.73541666666666672</v>
      </c>
      <c r="F4" s="29">
        <v>0.87569444444444444</v>
      </c>
      <c r="G4" s="28">
        <v>32</v>
      </c>
      <c r="H4" s="28">
        <v>32</v>
      </c>
      <c r="I4" s="70">
        <f>tbl_Punch[[#This Row],[Qty Complete]]/tbl_Punch[[#This Row],[Qty Required]]</f>
        <v>1</v>
      </c>
      <c r="J4" s="30">
        <v>22</v>
      </c>
      <c r="K4" s="28">
        <v>1</v>
      </c>
      <c r="L4" s="31">
        <f>IF(tbl_Punch[[#This Row],[Job Type]]="Batch",0,tbl_Punch[[#This Row],[Qty Required]]/tbl_Punch[[#This Row],[PPH]]*tbl_Punch[[#This Row],['# of men]])</f>
        <v>1.4545454545454546</v>
      </c>
      <c r="M4" s="31">
        <f>IF(tbl_Punch[[#This Row],[Job Type]]="Batch",tbl_Punch[[#This Row],[Batch Hours]]*tbl_Punch[[#This Row],[% Complete]],tbl_Punch[[#This Row],[Total hours]]*tbl_Punch[[#This Row],[% Complete]])</f>
        <v>1.4545454545454546</v>
      </c>
      <c r="N4" s="31"/>
      <c r="O4" s="28" t="s">
        <v>377</v>
      </c>
      <c r="P4" s="28">
        <f>tbl_Punch[[#This Row],[Mat. Qty]]*tbl_Punch[[#This Row],[% Complete]]</f>
        <v>16</v>
      </c>
      <c r="Q4" s="28">
        <v>16</v>
      </c>
      <c r="R4" s="32">
        <f>IFERROR(tbl_Punch[[#This Row],[Qty Complete]]/tbl_Punch[[#This Row],[Total Hours Act]]*tbl_Punch[[#This Row],['# of men Act]],"")</f>
        <v>9.5049504950495081</v>
      </c>
      <c r="S4" s="28">
        <v>1</v>
      </c>
      <c r="T4"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3.3666666666666654</v>
      </c>
      <c r="U4" s="34">
        <v>16</v>
      </c>
      <c r="V4" s="33">
        <v>0.52</v>
      </c>
      <c r="W4" s="33">
        <v>0.35</v>
      </c>
      <c r="X4" s="35">
        <f>IFERROR((tbl_Punch[[#This Row],[Adj. Total Hours]]+tbl_Punch[[#This Row],[Est. Hours]])/(tbl_Punch[[#This Row],[Total Hours Act]]+tbl_Punch[[#This Row],[Act. Hours]]),"")</f>
        <v>0.53126783530370991</v>
      </c>
      <c r="Y4" s="102">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0.53126783530370991</v>
      </c>
      <c r="Z4" s="104">
        <f>IFERROR(tbl_Punch[[#This Row],[Act. Mat. Qty]]-tbl_Punch[[#This Row],[Adj. Mat. Qty]],"")</f>
        <v>0</v>
      </c>
      <c r="AA4" s="105">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0</v>
      </c>
      <c r="AB4" s="28" t="s">
        <v>380</v>
      </c>
      <c r="AC4" s="31"/>
      <c r="AD4" s="36"/>
    </row>
    <row r="5" spans="1:32" ht="25" customHeight="1">
      <c r="A5" s="27">
        <v>46121</v>
      </c>
      <c r="B5" s="28" t="s">
        <v>381</v>
      </c>
      <c r="C5" s="28" t="str">
        <f>IF(tbl_Punch[[#This Row],[Part'#]]="", "Batch", "Part")</f>
        <v>Part</v>
      </c>
      <c r="D5" s="28" t="s">
        <v>382</v>
      </c>
      <c r="E5" s="29">
        <v>0.39583333333333331</v>
      </c>
      <c r="F5" s="29">
        <v>0.5625</v>
      </c>
      <c r="G5" s="28">
        <v>225</v>
      </c>
      <c r="H5" s="28">
        <v>60</v>
      </c>
      <c r="I5" s="70">
        <f>tbl_Punch[[#This Row],[Qty Complete]]/tbl_Punch[[#This Row],[Qty Required]]</f>
        <v>0.26666666666666666</v>
      </c>
      <c r="J5" s="30">
        <v>21</v>
      </c>
      <c r="K5" s="28">
        <v>1</v>
      </c>
      <c r="L5" s="31">
        <f>IF(tbl_Punch[[#This Row],[Job Type]]="Batch",0,tbl_Punch[[#This Row],[Qty Required]]/tbl_Punch[[#This Row],[PPH]]*tbl_Punch[[#This Row],['# of men]])</f>
        <v>10.714285714285714</v>
      </c>
      <c r="M5" s="31">
        <f>IF(tbl_Punch[[#This Row],[Job Type]]="Batch",tbl_Punch[[#This Row],[Batch Hours]]*tbl_Punch[[#This Row],[% Complete]],tbl_Punch[[#This Row],[Total hours]]*tbl_Punch[[#This Row],[% Complete]])</f>
        <v>2.8571428571428568</v>
      </c>
      <c r="N5" s="31"/>
      <c r="O5" s="28" t="s">
        <v>383</v>
      </c>
      <c r="P5" s="28">
        <f>tbl_Punch[[#This Row],[Mat. Qty]]*tbl_Punch[[#This Row],[% Complete]]</f>
        <v>20</v>
      </c>
      <c r="Q5" s="28">
        <v>75</v>
      </c>
      <c r="R5" s="32">
        <f>IFERROR(tbl_Punch[[#This Row],[Qty Complete]]/tbl_Punch[[#This Row],[Total Hours Act]]*tbl_Punch[[#This Row],['# of men Act]],"")</f>
        <v>17.142857142857142</v>
      </c>
      <c r="S5" s="28">
        <v>1</v>
      </c>
      <c r="T5"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3.5</v>
      </c>
      <c r="U5" s="34">
        <v>20</v>
      </c>
      <c r="V5" s="33">
        <v>0.5</v>
      </c>
      <c r="W5" s="33">
        <v>0.5</v>
      </c>
      <c r="X5" s="35">
        <f>IFERROR((tbl_Punch[[#This Row],[Adj. Total Hours]]+tbl_Punch[[#This Row],[Est. Hours]])/(tbl_Punch[[#This Row],[Total Hours Act]]+tbl_Punch[[#This Row],[Act. Hours]]),"")</f>
        <v>0.83928571428571419</v>
      </c>
      <c r="Y5"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5" s="104">
        <f>IFERROR(tbl_Punch[[#This Row],[Act. Mat. Qty]]-tbl_Punch[[#This Row],[Adj. Mat. Qty]],"")</f>
        <v>0</v>
      </c>
      <c r="AA5"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5" s="31" t="s">
        <v>384</v>
      </c>
      <c r="AD5" s="36"/>
    </row>
    <row r="6" spans="1:32" ht="25" customHeight="1">
      <c r="A6" s="27">
        <v>46122</v>
      </c>
      <c r="B6" s="28" t="s">
        <v>385</v>
      </c>
      <c r="C6" s="28" t="str">
        <f>IF(tbl_Punch[[#This Row],[Part'#]]="", "Batch", "Part")</f>
        <v>Batch</v>
      </c>
      <c r="E6" s="29">
        <v>0.36805555555555558</v>
      </c>
      <c r="F6" s="29">
        <v>0.5</v>
      </c>
      <c r="G6" s="28">
        <v>179</v>
      </c>
      <c r="H6" s="28">
        <v>179</v>
      </c>
      <c r="I6" s="70">
        <f>tbl_Punch[[#This Row],[Qty Complete]]/tbl_Punch[[#This Row],[Qty Required]]</f>
        <v>1</v>
      </c>
      <c r="K6" s="28">
        <v>1</v>
      </c>
      <c r="L6" s="31">
        <f>IF(tbl_Punch[[#This Row],[Job Type]]="Batch",0,tbl_Punch[[#This Row],[Qty Required]]/tbl_Punch[[#This Row],[PPH]]*tbl_Punch[[#This Row],['# of men]])</f>
        <v>0</v>
      </c>
      <c r="M6" s="31">
        <f>IF(tbl_Punch[[#This Row],[Job Type]]="Batch",tbl_Punch[[#This Row],[Batch Hours]]*tbl_Punch[[#This Row],[% Complete]],tbl_Punch[[#This Row],[Total hours]]*tbl_Punch[[#This Row],[% Complete]])</f>
        <v>3</v>
      </c>
      <c r="N6" s="31">
        <v>3</v>
      </c>
      <c r="O6" s="28" t="s">
        <v>386</v>
      </c>
      <c r="P6" s="28">
        <f>tbl_Punch[[#This Row],[Mat. Qty]]*tbl_Punch[[#This Row],[% Complete]]</f>
        <v>4</v>
      </c>
      <c r="Q6" s="28">
        <v>4</v>
      </c>
      <c r="R6" s="32">
        <f>IFERROR(tbl_Punch[[#This Row],[Qty Complete]]/tbl_Punch[[#This Row],[Total Hours Act]]*tbl_Punch[[#This Row],['# of men Act]],"")</f>
        <v>56.526315789473692</v>
      </c>
      <c r="S6" s="28">
        <v>1</v>
      </c>
      <c r="T6"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3.1666666666666661</v>
      </c>
      <c r="U6" s="34">
        <v>4</v>
      </c>
      <c r="V6" s="33">
        <v>0.5</v>
      </c>
      <c r="W6" s="33">
        <v>0.5</v>
      </c>
      <c r="X6" s="35">
        <f>IFERROR((tbl_Punch[[#This Row],[Adj. Total Hours]]+tbl_Punch[[#This Row],[Est. Hours]])/(tbl_Punch[[#This Row],[Total Hours Act]]+tbl_Punch[[#This Row],[Act. Hours]]),"")</f>
        <v>0.9545454545454547</v>
      </c>
      <c r="Y6" s="102">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0.9545454545454547</v>
      </c>
      <c r="Z6" s="104">
        <f>IFERROR(tbl_Punch[[#This Row],[Act. Mat. Qty]]-tbl_Punch[[#This Row],[Adj. Mat. Qty]],"")</f>
        <v>0</v>
      </c>
      <c r="AA6" s="105">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0</v>
      </c>
      <c r="AC6" s="31" t="s">
        <v>384</v>
      </c>
      <c r="AD6" s="36"/>
    </row>
    <row r="7" spans="1:32" ht="25" customHeight="1">
      <c r="A7" s="27">
        <v>46122</v>
      </c>
      <c r="B7" s="28" t="s">
        <v>381</v>
      </c>
      <c r="C7" s="28" t="str">
        <f>IF(tbl_Punch[[#This Row],[Part'#]]="", "Batch", "Part")</f>
        <v>Part</v>
      </c>
      <c r="D7" s="28" t="s">
        <v>382</v>
      </c>
      <c r="E7" s="29">
        <v>0.58333333333333337</v>
      </c>
      <c r="F7" s="29">
        <v>0.59861111111111109</v>
      </c>
      <c r="G7" s="28">
        <v>225</v>
      </c>
      <c r="H7" s="28">
        <v>12</v>
      </c>
      <c r="I7" s="70">
        <f>tbl_Punch[[#This Row],[Qty Complete]]/tbl_Punch[[#This Row],[Qty Required]]</f>
        <v>5.3333333333333337E-2</v>
      </c>
      <c r="J7" s="30">
        <v>21</v>
      </c>
      <c r="K7" s="28">
        <v>1</v>
      </c>
      <c r="L7" s="31">
        <f>IF(tbl_Punch[[#This Row],[Job Type]]="Batch",0,tbl_Punch[[#This Row],[Qty Required]]/tbl_Punch[[#This Row],[PPH]]*tbl_Punch[[#This Row],['# of men]])</f>
        <v>10.714285714285714</v>
      </c>
      <c r="M7" s="31">
        <f>IF(tbl_Punch[[#This Row],[Job Type]]="Batch",tbl_Punch[[#This Row],[Batch Hours]]*tbl_Punch[[#This Row],[% Complete]],tbl_Punch[[#This Row],[Total hours]]*tbl_Punch[[#This Row],[% Complete]])</f>
        <v>0.5714285714285714</v>
      </c>
      <c r="N7" s="31"/>
      <c r="O7" s="28" t="s">
        <v>387</v>
      </c>
      <c r="P7" s="28">
        <f>tbl_Punch[[#This Row],[Mat. Qty]]*tbl_Punch[[#This Row],[% Complete]]</f>
        <v>4</v>
      </c>
      <c r="Q7" s="28">
        <v>75</v>
      </c>
      <c r="R7" s="32">
        <f>IFERROR(tbl_Punch[[#This Row],[Qty Complete]]/tbl_Punch[[#This Row],[Total Hours Act]]*tbl_Punch[[#This Row],['# of men Act]],"")</f>
        <v>32.72727272727284</v>
      </c>
      <c r="S7" s="28">
        <v>1</v>
      </c>
      <c r="T7"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0.36666666666666536</v>
      </c>
      <c r="U7" s="34">
        <v>4</v>
      </c>
      <c r="V7" s="33">
        <v>0.5</v>
      </c>
      <c r="W7" s="33">
        <v>0.5</v>
      </c>
      <c r="X7" s="35">
        <f>IFERROR((tbl_Punch[[#This Row],[Adj. Total Hours]]+tbl_Punch[[#This Row],[Est. Hours]])/(tbl_Punch[[#This Row],[Total Hours Act]]+tbl_Punch[[#This Row],[Act. Hours]]),"")</f>
        <v>1.2362637362637381</v>
      </c>
      <c r="Y7"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7" s="104">
        <f>IFERROR(tbl_Punch[[#This Row],[Act. Mat. Qty]]-tbl_Punch[[#This Row],[Adj. Mat. Qty]],"")</f>
        <v>0</v>
      </c>
      <c r="AA7"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7" s="31" t="s">
        <v>388</v>
      </c>
      <c r="AD7" s="36"/>
    </row>
    <row r="8" spans="1:32" ht="25" customHeight="1">
      <c r="A8" s="27">
        <v>46123</v>
      </c>
      <c r="B8" s="28" t="s">
        <v>381</v>
      </c>
      <c r="C8" s="28" t="str">
        <f>IF(tbl_Punch[[#This Row],[Part'#]]="", "Batch", "Part")</f>
        <v>Part</v>
      </c>
      <c r="D8" s="28" t="s">
        <v>382</v>
      </c>
      <c r="E8" s="29">
        <v>0.49027777777777776</v>
      </c>
      <c r="F8" s="29">
        <v>0.70833333333333337</v>
      </c>
      <c r="G8" s="28">
        <v>225</v>
      </c>
      <c r="H8" s="28">
        <v>75</v>
      </c>
      <c r="I8" s="70">
        <f>tbl_Punch[[#This Row],[Qty Complete]]/tbl_Punch[[#This Row],[Qty Required]]</f>
        <v>0.33333333333333331</v>
      </c>
      <c r="J8" s="30">
        <v>21</v>
      </c>
      <c r="K8" s="28">
        <v>1</v>
      </c>
      <c r="L8" s="31">
        <f>IF(tbl_Punch[[#This Row],[Job Type]]="Batch",0,tbl_Punch[[#This Row],[Qty Required]]/tbl_Punch[[#This Row],[PPH]]*tbl_Punch[[#This Row],['# of men]])</f>
        <v>10.714285714285714</v>
      </c>
      <c r="M8" s="31">
        <f>IF(tbl_Punch[[#This Row],[Job Type]]="Batch",tbl_Punch[[#This Row],[Batch Hours]]*tbl_Punch[[#This Row],[% Complete]],tbl_Punch[[#This Row],[Total hours]]*tbl_Punch[[#This Row],[% Complete]])</f>
        <v>3.5714285714285712</v>
      </c>
      <c r="N8" s="31"/>
      <c r="O8" s="28" t="s">
        <v>387</v>
      </c>
      <c r="P8" s="28">
        <f>tbl_Punch[[#This Row],[Mat. Qty]]*tbl_Punch[[#This Row],[% Complete]]</f>
        <v>25</v>
      </c>
      <c r="Q8" s="28">
        <v>75</v>
      </c>
      <c r="R8" s="32">
        <f>IFERROR(tbl_Punch[[#This Row],[Qty Complete]]/tbl_Punch[[#This Row],[Total Hours Act]]*tbl_Punch[[#This Row],['# of men Act]],"")</f>
        <v>15.845070422535208</v>
      </c>
      <c r="S8" s="28">
        <v>1</v>
      </c>
      <c r="T8"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4.7333333333333343</v>
      </c>
      <c r="U8" s="34">
        <v>25</v>
      </c>
      <c r="W8" s="33">
        <v>0.1</v>
      </c>
      <c r="X8" s="35">
        <f>IFERROR((tbl_Punch[[#This Row],[Adj. Total Hours]]+tbl_Punch[[#This Row],[Est. Hours]])/(tbl_Punch[[#This Row],[Total Hours Act]]+tbl_Punch[[#This Row],[Act. Hours]]),"")</f>
        <v>0.73891625615763534</v>
      </c>
      <c r="Y8"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8" s="104">
        <f>IFERROR(tbl_Punch[[#This Row],[Act. Mat. Qty]]-tbl_Punch[[#This Row],[Adj. Mat. Qty]],"")</f>
        <v>0</v>
      </c>
      <c r="AA8"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8" s="31" t="s">
        <v>389</v>
      </c>
      <c r="AD8" s="36"/>
    </row>
    <row r="9" spans="1:32" ht="25" customHeight="1">
      <c r="A9" s="27">
        <v>46125</v>
      </c>
      <c r="B9" s="28">
        <v>143185</v>
      </c>
      <c r="C9" s="28" t="str">
        <f>IF(tbl_Punch[[#This Row],[Part'#]]="", "Batch", "Part")</f>
        <v>Part</v>
      </c>
      <c r="D9" s="28" t="s">
        <v>390</v>
      </c>
      <c r="E9" s="29">
        <v>0.25</v>
      </c>
      <c r="F9" s="29">
        <v>0.28125</v>
      </c>
      <c r="G9" s="28">
        <v>9</v>
      </c>
      <c r="H9" s="28">
        <v>5</v>
      </c>
      <c r="I9" s="70">
        <f>tbl_Punch[[#This Row],[Qty Complete]]/tbl_Punch[[#This Row],[Qty Required]]</f>
        <v>0.55555555555555558</v>
      </c>
      <c r="J9" s="30">
        <v>24</v>
      </c>
      <c r="K9" s="28">
        <v>1</v>
      </c>
      <c r="L9" s="31">
        <f>IF(tbl_Punch[[#This Row],[Job Type]]="Batch",0,tbl_Punch[[#This Row],[Qty Required]]/tbl_Punch[[#This Row],[PPH]]*tbl_Punch[[#This Row],['# of men]])</f>
        <v>0.375</v>
      </c>
      <c r="M9" s="31">
        <f>IF(tbl_Punch[[#This Row],[Job Type]]="Batch",tbl_Punch[[#This Row],[Batch Hours]]*tbl_Punch[[#This Row],[% Complete]],tbl_Punch[[#This Row],[Total hours]]*tbl_Punch[[#This Row],[% Complete]])</f>
        <v>0.20833333333333334</v>
      </c>
      <c r="N9" s="31"/>
      <c r="O9" s="28" t="s">
        <v>268</v>
      </c>
      <c r="P9" s="28">
        <f>tbl_Punch[[#This Row],[Mat. Qty]]*tbl_Punch[[#This Row],[% Complete]]</f>
        <v>5</v>
      </c>
      <c r="Q9" s="28">
        <v>9</v>
      </c>
      <c r="R9" s="32">
        <f>IFERROR(tbl_Punch[[#This Row],[Qty Complete]]/tbl_Punch[[#This Row],[Total Hours Act]]*tbl_Punch[[#This Row],['# of men Act]],"")</f>
        <v>6.666666666666667</v>
      </c>
      <c r="S9" s="28">
        <v>1</v>
      </c>
      <c r="T9"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0.75</v>
      </c>
      <c r="U9" s="34">
        <v>5</v>
      </c>
      <c r="V9" s="33">
        <v>0.5</v>
      </c>
      <c r="W9" s="33">
        <v>0.5</v>
      </c>
      <c r="X9" s="35">
        <f>IFERROR((tbl_Punch[[#This Row],[Adj. Total Hours]]+tbl_Punch[[#This Row],[Est. Hours]])/(tbl_Punch[[#This Row],[Total Hours Act]]+tbl_Punch[[#This Row],[Act. Hours]]),"")</f>
        <v>0.56666666666666665</v>
      </c>
      <c r="Y9"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9" s="104">
        <f>IFERROR(tbl_Punch[[#This Row],[Act. Mat. Qty]]-tbl_Punch[[#This Row],[Adj. Mat. Qty]],"")</f>
        <v>0</v>
      </c>
      <c r="AA9"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B9" s="28" t="s">
        <v>391</v>
      </c>
      <c r="AC9" s="31" t="s">
        <v>389</v>
      </c>
      <c r="AD9" s="36"/>
    </row>
    <row r="10" spans="1:32" ht="25" customHeight="1">
      <c r="A10" s="27">
        <v>46122</v>
      </c>
      <c r="B10" s="28">
        <v>143185</v>
      </c>
      <c r="C10" s="28" t="str">
        <f>IF(tbl_Punch[[#This Row],[Part'#]]="", "Batch", "Part")</f>
        <v>Part</v>
      </c>
      <c r="D10" s="28" t="s">
        <v>390</v>
      </c>
      <c r="E10" s="29">
        <v>0.5541666666666667</v>
      </c>
      <c r="F10" s="29">
        <v>0.60416666666666663</v>
      </c>
      <c r="G10" s="28">
        <v>9</v>
      </c>
      <c r="H10" s="28">
        <v>4</v>
      </c>
      <c r="I10" s="70">
        <f>tbl_Punch[[#This Row],[Qty Complete]]/tbl_Punch[[#This Row],[Qty Required]]</f>
        <v>0.44444444444444442</v>
      </c>
      <c r="J10" s="30">
        <v>24</v>
      </c>
      <c r="K10" s="28">
        <v>1</v>
      </c>
      <c r="L10" s="31">
        <f>IF(tbl_Punch[[#This Row],[Job Type]]="Batch",0,tbl_Punch[[#This Row],[Qty Required]]/tbl_Punch[[#This Row],[PPH]]*tbl_Punch[[#This Row],['# of men]])</f>
        <v>0.375</v>
      </c>
      <c r="M10" s="31">
        <f>IF(tbl_Punch[[#This Row],[Job Type]]="Batch",tbl_Punch[[#This Row],[Batch Hours]]*tbl_Punch[[#This Row],[% Complete]],tbl_Punch[[#This Row],[Total hours]]*tbl_Punch[[#This Row],[% Complete]])</f>
        <v>0.16666666666666666</v>
      </c>
      <c r="N10" s="31"/>
      <c r="O10" s="28" t="s">
        <v>268</v>
      </c>
      <c r="P10" s="28">
        <f>tbl_Punch[[#This Row],[Mat. Qty]]*tbl_Punch[[#This Row],[% Complete]]</f>
        <v>4</v>
      </c>
      <c r="Q10" s="28">
        <v>9</v>
      </c>
      <c r="R10" s="32">
        <f>IFERROR(tbl_Punch[[#This Row],[Qty Complete]]/tbl_Punch[[#This Row],[Total Hours Act]]*tbl_Punch[[#This Row],['# of men Act]],"")</f>
        <v>3.3333333333333379</v>
      </c>
      <c r="S10" s="28">
        <v>1</v>
      </c>
      <c r="T10"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1.1999999999999984</v>
      </c>
      <c r="U10" s="34">
        <v>4</v>
      </c>
      <c r="V10" s="33">
        <v>0.5</v>
      </c>
      <c r="W10" s="33">
        <v>0.1</v>
      </c>
      <c r="X10" s="35">
        <f>IFERROR((tbl_Punch[[#This Row],[Adj. Total Hours]]+tbl_Punch[[#This Row],[Est. Hours]])/(tbl_Punch[[#This Row],[Total Hours Act]]+tbl_Punch[[#This Row],[Act. Hours]]),"")</f>
        <v>0.51282051282051344</v>
      </c>
      <c r="Y10" s="102">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0.53921568627451011</v>
      </c>
      <c r="Z10" s="104">
        <f>IFERROR(tbl_Punch[[#This Row],[Act. Mat. Qty]]-tbl_Punch[[#This Row],[Adj. Mat. Qty]],"")</f>
        <v>0</v>
      </c>
      <c r="AA10" s="105">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0</v>
      </c>
      <c r="AB10" s="28" t="s">
        <v>392</v>
      </c>
      <c r="AC10" s="31" t="s">
        <v>389</v>
      </c>
      <c r="AD10" s="36"/>
    </row>
    <row r="11" spans="1:32" ht="25" customHeight="1">
      <c r="A11" s="27">
        <v>46125</v>
      </c>
      <c r="B11" s="28">
        <v>143163</v>
      </c>
      <c r="C11" s="28" t="str">
        <f>IF(tbl_Punch[[#This Row],[Part'#]]="", "Batch", "Part")</f>
        <v>Part</v>
      </c>
      <c r="D11" s="28" t="s">
        <v>393</v>
      </c>
      <c r="E11" s="29">
        <v>0.39930555555555558</v>
      </c>
      <c r="F11" s="29">
        <v>0.4513888888888889</v>
      </c>
      <c r="G11" s="28">
        <v>9</v>
      </c>
      <c r="H11" s="28">
        <v>9</v>
      </c>
      <c r="I11" s="70">
        <f>tbl_Punch[[#This Row],[Qty Complete]]/tbl_Punch[[#This Row],[Qty Required]]</f>
        <v>1</v>
      </c>
      <c r="J11" s="30">
        <v>14</v>
      </c>
      <c r="K11" s="28">
        <v>1</v>
      </c>
      <c r="L11" s="31">
        <f>IF(tbl_Punch[[#This Row],[Job Type]]="Batch",0,tbl_Punch[[#This Row],[Qty Required]]/tbl_Punch[[#This Row],[PPH]]*tbl_Punch[[#This Row],['# of men]])</f>
        <v>0.6428571428571429</v>
      </c>
      <c r="M11" s="31">
        <f>IF(tbl_Punch[[#This Row],[Job Type]]="Batch",tbl_Punch[[#This Row],[Batch Hours]]*tbl_Punch[[#This Row],[% Complete]],tbl_Punch[[#This Row],[Total hours]]*tbl_Punch[[#This Row],[% Complete]])</f>
        <v>0.6428571428571429</v>
      </c>
      <c r="N11" s="31"/>
      <c r="O11" s="28" t="s">
        <v>394</v>
      </c>
      <c r="P11" s="28">
        <f>tbl_Punch[[#This Row],[Mat. Qty]]*tbl_Punch[[#This Row],[% Complete]]</f>
        <v>9</v>
      </c>
      <c r="Q11" s="28">
        <v>9</v>
      </c>
      <c r="R11" s="32">
        <f>IFERROR(tbl_Punch[[#This Row],[Qty Complete]]/tbl_Punch[[#This Row],[Total Hours Act]]*tbl_Punch[[#This Row],['# of men Act]],"")</f>
        <v>7.2000000000000028</v>
      </c>
      <c r="S11" s="28">
        <v>1</v>
      </c>
      <c r="T11"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1.2499999999999996</v>
      </c>
      <c r="U11" s="34">
        <v>10</v>
      </c>
      <c r="V11" s="33">
        <v>0.5</v>
      </c>
      <c r="W11" s="33">
        <v>0.1</v>
      </c>
      <c r="X11" s="35">
        <f>IFERROR((tbl_Punch[[#This Row],[Adj. Total Hours]]+tbl_Punch[[#This Row],[Est. Hours]])/(tbl_Punch[[#This Row],[Total Hours Act]]+tbl_Punch[[#This Row],[Act. Hours]]),"")</f>
        <v>0.84656084656084674</v>
      </c>
      <c r="Y11" s="102">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0.84656084656084674</v>
      </c>
      <c r="Z11" s="104">
        <f>IFERROR(tbl_Punch[[#This Row],[Act. Mat. Qty]]-tbl_Punch[[#This Row],[Adj. Mat. Qty]],"")</f>
        <v>1</v>
      </c>
      <c r="AA11" s="105">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1</v>
      </c>
      <c r="AC11" s="31" t="s">
        <v>389</v>
      </c>
      <c r="AD11" s="36"/>
    </row>
    <row r="12" spans="1:32" ht="25" customHeight="1">
      <c r="A12" s="27">
        <v>46125</v>
      </c>
      <c r="B12" s="28">
        <v>143164</v>
      </c>
      <c r="C12" s="28" t="str">
        <f>IF(tbl_Punch[[#This Row],[Part'#]]="", "Batch", "Part")</f>
        <v>Part</v>
      </c>
      <c r="D12" s="28" t="s">
        <v>393</v>
      </c>
      <c r="E12" s="29">
        <v>0.5</v>
      </c>
      <c r="F12" s="29">
        <v>0.55555555555555558</v>
      </c>
      <c r="G12" s="28">
        <v>9</v>
      </c>
      <c r="H12" s="28">
        <v>9</v>
      </c>
      <c r="I12" s="70">
        <f>tbl_Punch[[#This Row],[Qty Complete]]/tbl_Punch[[#This Row],[Qty Required]]</f>
        <v>1</v>
      </c>
      <c r="J12" s="30">
        <v>17</v>
      </c>
      <c r="K12" s="28">
        <v>1</v>
      </c>
      <c r="L12" s="31">
        <f>IF(tbl_Punch[[#This Row],[Job Type]]="Batch",0,tbl_Punch[[#This Row],[Qty Required]]/tbl_Punch[[#This Row],[PPH]]*tbl_Punch[[#This Row],['# of men]])</f>
        <v>0.52941176470588236</v>
      </c>
      <c r="M12" s="31">
        <f>IF(tbl_Punch[[#This Row],[Job Type]]="Batch",tbl_Punch[[#This Row],[Batch Hours]]*tbl_Punch[[#This Row],[% Complete]],tbl_Punch[[#This Row],[Total hours]]*tbl_Punch[[#This Row],[% Complete]])</f>
        <v>0.52941176470588236</v>
      </c>
      <c r="N12" s="31"/>
      <c r="O12" s="28" t="s">
        <v>394</v>
      </c>
      <c r="P12" s="28">
        <f>tbl_Punch[[#This Row],[Mat. Qty]]*tbl_Punch[[#This Row],[% Complete]]</f>
        <v>9</v>
      </c>
      <c r="Q12" s="28">
        <v>9</v>
      </c>
      <c r="R12" s="32">
        <f>IFERROR(tbl_Punch[[#This Row],[Qty Complete]]/tbl_Punch[[#This Row],[Total Hours Act]]*tbl_Punch[[#This Row],['# of men Act]],"")</f>
        <v>10.799999999999992</v>
      </c>
      <c r="S12" s="28">
        <v>1</v>
      </c>
      <c r="T12"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0.83333333333333393</v>
      </c>
      <c r="U12" s="34">
        <v>9</v>
      </c>
      <c r="V12" s="33">
        <v>0.5</v>
      </c>
      <c r="W12" s="33">
        <v>0.1</v>
      </c>
      <c r="X12" s="35">
        <f>IFERROR((tbl_Punch[[#This Row],[Adj. Total Hours]]+tbl_Punch[[#This Row],[Est. Hours]])/(tbl_Punch[[#This Row],[Total Hours Act]]+tbl_Punch[[#This Row],[Act. Hours]]),"")</f>
        <v>1.1029411764705874</v>
      </c>
      <c r="Y12" s="102">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1.1029411764705874</v>
      </c>
      <c r="Z12" s="104">
        <f>IFERROR(tbl_Punch[[#This Row],[Act. Mat. Qty]]-tbl_Punch[[#This Row],[Adj. Mat. Qty]],"")</f>
        <v>0</v>
      </c>
      <c r="AA12" s="105">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0</v>
      </c>
      <c r="AC12" s="31" t="s">
        <v>389</v>
      </c>
      <c r="AD12" s="36"/>
    </row>
    <row r="13" spans="1:32" ht="25" customHeight="1">
      <c r="A13" s="27">
        <v>46125</v>
      </c>
      <c r="B13" s="28">
        <v>143165</v>
      </c>
      <c r="C13" s="28" t="str">
        <f>IF(tbl_Punch[[#This Row],[Part'#]]="", "Batch", "Part")</f>
        <v>Part</v>
      </c>
      <c r="D13" s="28" t="s">
        <v>395</v>
      </c>
      <c r="E13" s="29">
        <v>0.60069444444444442</v>
      </c>
      <c r="F13" s="29">
        <v>0.60972222222222228</v>
      </c>
      <c r="G13" s="28">
        <v>9</v>
      </c>
      <c r="H13" s="28">
        <v>1</v>
      </c>
      <c r="I13" s="70">
        <f>tbl_Punch[[#This Row],[Qty Complete]]/tbl_Punch[[#This Row],[Qty Required]]</f>
        <v>0.1111111111111111</v>
      </c>
      <c r="J13" s="30">
        <v>15</v>
      </c>
      <c r="K13" s="28">
        <v>1</v>
      </c>
      <c r="L13" s="31">
        <f>IF(tbl_Punch[[#This Row],[Job Type]]="Batch",0,tbl_Punch[[#This Row],[Qty Required]]/tbl_Punch[[#This Row],[PPH]]*tbl_Punch[[#This Row],['# of men]])</f>
        <v>0.6</v>
      </c>
      <c r="M13" s="31">
        <f>IF(tbl_Punch[[#This Row],[Job Type]]="Batch",tbl_Punch[[#This Row],[Batch Hours]]*tbl_Punch[[#This Row],[% Complete]],tbl_Punch[[#This Row],[Total hours]]*tbl_Punch[[#This Row],[% Complete]])</f>
        <v>6.6666666666666666E-2</v>
      </c>
      <c r="N13" s="31"/>
      <c r="O13" s="28" t="s">
        <v>394</v>
      </c>
      <c r="P13" s="28">
        <f>tbl_Punch[[#This Row],[Mat. Qty]]*tbl_Punch[[#This Row],[% Complete]]</f>
        <v>1</v>
      </c>
      <c r="Q13" s="28">
        <v>9</v>
      </c>
      <c r="R13" s="32">
        <f>IFERROR(tbl_Punch[[#This Row],[Qty Complete]]/tbl_Punch[[#This Row],[Total Hours Act]]*tbl_Punch[[#This Row],['# of men Act]],"")</f>
        <v>4.615384615384575</v>
      </c>
      <c r="S13" s="28">
        <v>1</v>
      </c>
      <c r="T13"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0.21666666666666856</v>
      </c>
      <c r="U13" s="34">
        <v>1</v>
      </c>
      <c r="V13" s="33">
        <v>0.5</v>
      </c>
      <c r="W13" s="33">
        <v>0.1</v>
      </c>
      <c r="X13" s="35">
        <f>IFERROR((tbl_Punch[[#This Row],[Adj. Total Hours]]+tbl_Punch[[#This Row],[Est. Hours]])/(tbl_Punch[[#This Row],[Total Hours Act]]+tbl_Punch[[#This Row],[Act. Hours]]),"")</f>
        <v>1.7894736842105157</v>
      </c>
      <c r="Y13"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3" s="104">
        <f>IFERROR(tbl_Punch[[#This Row],[Act. Mat. Qty]]-tbl_Punch[[#This Row],[Adj. Mat. Qty]],"")</f>
        <v>0</v>
      </c>
      <c r="AA13"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3" s="31" t="s">
        <v>389</v>
      </c>
      <c r="AD13" s="36"/>
    </row>
    <row r="14" spans="1:32" ht="25" customHeight="1">
      <c r="A14" s="27">
        <v>46125</v>
      </c>
      <c r="B14" s="28" t="s">
        <v>396</v>
      </c>
      <c r="C14" s="28" t="str">
        <f>IF(tbl_Punch[[#This Row],[Part'#]]="", "Batch", "Part")</f>
        <v>Part</v>
      </c>
      <c r="D14" s="28" t="s">
        <v>397</v>
      </c>
      <c r="E14" s="29">
        <v>0.23958333333333334</v>
      </c>
      <c r="F14" s="29">
        <v>0.41666666666666669</v>
      </c>
      <c r="G14" s="28">
        <v>1485</v>
      </c>
      <c r="H14" s="28">
        <v>266</v>
      </c>
      <c r="I14" s="70">
        <f>tbl_Punch[[#This Row],[Qty Complete]]/tbl_Punch[[#This Row],[Qty Required]]</f>
        <v>0.17912457912457913</v>
      </c>
      <c r="J14" s="30">
        <v>20</v>
      </c>
      <c r="K14" s="28">
        <v>1</v>
      </c>
      <c r="L14" s="31">
        <f>IF(tbl_Punch[[#This Row],[Job Type]]="Batch",0,tbl_Punch[[#This Row],[Qty Required]]/tbl_Punch[[#This Row],[PPH]]*tbl_Punch[[#This Row],['# of men]])</f>
        <v>74.25</v>
      </c>
      <c r="M14" s="31">
        <f>IF(tbl_Punch[[#This Row],[Job Type]]="Batch",tbl_Punch[[#This Row],[Batch Hours]]*tbl_Punch[[#This Row],[% Complete]],tbl_Punch[[#This Row],[Total hours]]*tbl_Punch[[#This Row],[% Complete]])</f>
        <v>13.3</v>
      </c>
      <c r="N14" s="31"/>
      <c r="O14" s="28" t="s">
        <v>398</v>
      </c>
      <c r="P14" s="28">
        <f>tbl_Punch[[#This Row],[Mat. Qty]]*tbl_Punch[[#This Row],[% Complete]]</f>
        <v>31.16767676767677</v>
      </c>
      <c r="Q14" s="28">
        <v>174</v>
      </c>
      <c r="R14" s="32">
        <f>IFERROR(tbl_Punch[[#This Row],[Qty Complete]]/tbl_Punch[[#This Row],[Total Hours Act]]*tbl_Punch[[#This Row],['# of men Act]],"")</f>
        <v>62.588235294117645</v>
      </c>
      <c r="S14" s="28">
        <v>1</v>
      </c>
      <c r="T14"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4.25</v>
      </c>
      <c r="U14" s="34">
        <v>38</v>
      </c>
      <c r="V14" s="33">
        <v>0.5</v>
      </c>
      <c r="W14" s="33">
        <v>0.5</v>
      </c>
      <c r="X14" s="35">
        <f>IFERROR((tbl_Punch[[#This Row],[Adj. Total Hours]]+tbl_Punch[[#This Row],[Est. Hours]])/(tbl_Punch[[#This Row],[Total Hours Act]]+tbl_Punch[[#This Row],[Act. Hours]]),"")</f>
        <v>2.905263157894737</v>
      </c>
      <c r="Y14"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4" s="104">
        <f>IFERROR(tbl_Punch[[#This Row],[Act. Mat. Qty]]-tbl_Punch[[#This Row],[Adj. Mat. Qty]],"")</f>
        <v>6.8323232323232297</v>
      </c>
      <c r="AA14"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4" s="31" t="s">
        <v>384</v>
      </c>
      <c r="AD14" s="36"/>
    </row>
    <row r="15" spans="1:32" ht="25" customHeight="1">
      <c r="A15" s="27">
        <v>46125</v>
      </c>
      <c r="B15" s="28" t="s">
        <v>399</v>
      </c>
      <c r="C15" s="28" t="str">
        <f>IF(tbl_Punch[[#This Row],[Part'#]]="", "Batch", "Part")</f>
        <v>Part</v>
      </c>
      <c r="D15" s="28" t="s">
        <v>397</v>
      </c>
      <c r="E15" s="29">
        <v>0.42708333333333331</v>
      </c>
      <c r="F15" s="29">
        <v>0.45833333333333331</v>
      </c>
      <c r="G15" s="28">
        <v>28</v>
      </c>
      <c r="H15" s="28">
        <v>28</v>
      </c>
      <c r="I15" s="70">
        <f>tbl_Punch[[#This Row],[Qty Complete]]/tbl_Punch[[#This Row],[Qty Required]]</f>
        <v>1</v>
      </c>
      <c r="J15" s="30">
        <v>20</v>
      </c>
      <c r="K15" s="28">
        <v>1</v>
      </c>
      <c r="L15" s="31">
        <f>IF(tbl_Punch[[#This Row],[Job Type]]="Batch",0,tbl_Punch[[#This Row],[Qty Required]]/tbl_Punch[[#This Row],[PPH]]*tbl_Punch[[#This Row],['# of men]])</f>
        <v>1.4</v>
      </c>
      <c r="M15" s="31">
        <f>IF(tbl_Punch[[#This Row],[Job Type]]="Batch",tbl_Punch[[#This Row],[Batch Hours]]*tbl_Punch[[#This Row],[% Complete]],tbl_Punch[[#This Row],[Total hours]]*tbl_Punch[[#This Row],[% Complete]])</f>
        <v>1.4</v>
      </c>
      <c r="N15" s="31"/>
      <c r="O15" s="28" t="s">
        <v>398</v>
      </c>
      <c r="P15" s="28">
        <f>tbl_Punch[[#This Row],[Mat. Qty]]*tbl_Punch[[#This Row],[% Complete]]</f>
        <v>7</v>
      </c>
      <c r="Q15" s="28">
        <v>7</v>
      </c>
      <c r="R15" s="32">
        <f>IFERROR(tbl_Punch[[#This Row],[Qty Complete]]/tbl_Punch[[#This Row],[Total Hours Act]]*tbl_Punch[[#This Row],['# of men Act]],"")</f>
        <v>37.333333333333336</v>
      </c>
      <c r="S15" s="28">
        <v>1</v>
      </c>
      <c r="T15"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0.75</v>
      </c>
      <c r="U15" s="34">
        <v>7</v>
      </c>
      <c r="V15" s="33">
        <v>0.5</v>
      </c>
      <c r="W15" s="33">
        <v>0.1</v>
      </c>
      <c r="X15" s="35">
        <f>IFERROR((tbl_Punch[[#This Row],[Adj. Total Hours]]+tbl_Punch[[#This Row],[Est. Hours]])/(tbl_Punch[[#This Row],[Total Hours Act]]+tbl_Punch[[#This Row],[Act. Hours]]),"")</f>
        <v>2.2352941176470589</v>
      </c>
      <c r="Y15" s="102">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2.2352941176470589</v>
      </c>
      <c r="Z15" s="104">
        <f>IFERROR(tbl_Punch[[#This Row],[Act. Mat. Qty]]-tbl_Punch[[#This Row],[Adj. Mat. Qty]],"")</f>
        <v>0</v>
      </c>
      <c r="AA15" s="105">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0</v>
      </c>
      <c r="AC15" s="31" t="s">
        <v>384</v>
      </c>
      <c r="AD15" s="36"/>
    </row>
    <row r="16" spans="1:32" ht="25" customHeight="1">
      <c r="A16" s="27">
        <v>46125</v>
      </c>
      <c r="B16" s="28" t="s">
        <v>400</v>
      </c>
      <c r="C16" s="28" t="str">
        <f>IF(tbl_Punch[[#This Row],[Part'#]]="", "Batch", "Part")</f>
        <v>Part</v>
      </c>
      <c r="D16" s="28" t="s">
        <v>401</v>
      </c>
      <c r="E16" s="29">
        <v>0.46875</v>
      </c>
      <c r="F16" s="29">
        <v>0.60416666666666663</v>
      </c>
      <c r="G16" s="28">
        <v>196</v>
      </c>
      <c r="H16" s="28">
        <v>71</v>
      </c>
      <c r="I16" s="70">
        <f>tbl_Punch[[#This Row],[Qty Complete]]/tbl_Punch[[#This Row],[Qty Required]]</f>
        <v>0.36224489795918369</v>
      </c>
      <c r="J16" s="30">
        <v>68</v>
      </c>
      <c r="K16" s="28">
        <v>1</v>
      </c>
      <c r="L16" s="31">
        <f>IF(tbl_Punch[[#This Row],[Job Type]]="Batch",0,tbl_Punch[[#This Row],[Qty Required]]/tbl_Punch[[#This Row],[PPH]]*tbl_Punch[[#This Row],['# of men]])</f>
        <v>2.8823529411764706</v>
      </c>
      <c r="M16" s="31">
        <f>IF(tbl_Punch[[#This Row],[Job Type]]="Batch",tbl_Punch[[#This Row],[Batch Hours]]*tbl_Punch[[#This Row],[% Complete]],tbl_Punch[[#This Row],[Total hours]]*tbl_Punch[[#This Row],[% Complete]])</f>
        <v>1.0441176470588236</v>
      </c>
      <c r="N16" s="31"/>
      <c r="O16" s="28">
        <v>1518752</v>
      </c>
      <c r="P16" s="28">
        <f>tbl_Punch[[#This Row],[Mat. Qty]]*tbl_Punch[[#This Row],[% Complete]]</f>
        <v>6.1581632653061229</v>
      </c>
      <c r="Q16" s="28">
        <v>17</v>
      </c>
      <c r="R16" s="32">
        <f>IFERROR(tbl_Punch[[#This Row],[Qty Complete]]/tbl_Punch[[#This Row],[Total Hours Act]]*tbl_Punch[[#This Row],['# of men Act]],"")</f>
        <v>25.818181818181827</v>
      </c>
      <c r="S16" s="28">
        <v>1</v>
      </c>
      <c r="T16"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2.7499999999999991</v>
      </c>
      <c r="U16" s="34">
        <v>6</v>
      </c>
      <c r="V16" s="33">
        <v>0.5</v>
      </c>
      <c r="W16" s="33">
        <v>0.1</v>
      </c>
      <c r="X16" s="35">
        <f>IFERROR((tbl_Punch[[#This Row],[Adj. Total Hours]]+tbl_Punch[[#This Row],[Est. Hours]])/(tbl_Punch[[#This Row],[Total Hours Act]]+tbl_Punch[[#This Row],[Act. Hours]]),"")</f>
        <v>0.54179566563467507</v>
      </c>
      <c r="Y16"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6" s="104">
        <f>IFERROR(tbl_Punch[[#This Row],[Act. Mat. Qty]]-tbl_Punch[[#This Row],[Adj. Mat. Qty]],"")</f>
        <v>-0.1581632653061229</v>
      </c>
      <c r="AA16"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B16" s="28" t="s">
        <v>402</v>
      </c>
      <c r="AC16" s="31" t="s">
        <v>403</v>
      </c>
      <c r="AD16" s="36"/>
    </row>
    <row r="17" spans="1:30" ht="25" customHeight="1">
      <c r="A17" s="27">
        <v>46125</v>
      </c>
      <c r="B17" s="28">
        <v>143165</v>
      </c>
      <c r="C17" s="28" t="str">
        <f>IF(tbl_Punch[[#This Row],[Part'#]]="", "Batch", "Part")</f>
        <v>Part</v>
      </c>
      <c r="D17" s="28" t="s">
        <v>404</v>
      </c>
      <c r="E17" s="29">
        <v>0.68541666666666667</v>
      </c>
      <c r="F17" s="29">
        <v>0.73055555555555551</v>
      </c>
      <c r="G17" s="28">
        <v>9</v>
      </c>
      <c r="H17" s="28">
        <v>8</v>
      </c>
      <c r="I17" s="70">
        <f>tbl_Punch[[#This Row],[Qty Complete]]/tbl_Punch[[#This Row],[Qty Required]]</f>
        <v>0.88888888888888884</v>
      </c>
      <c r="J17" s="30">
        <v>15</v>
      </c>
      <c r="K17" s="28">
        <v>1</v>
      </c>
      <c r="L17" s="31">
        <f>IF(tbl_Punch[[#This Row],[Job Type]]="Batch",0,tbl_Punch[[#This Row],[Qty Required]]/tbl_Punch[[#This Row],[PPH]]*tbl_Punch[[#This Row],['# of men]])</f>
        <v>0.6</v>
      </c>
      <c r="M17" s="31">
        <f>IF(tbl_Punch[[#This Row],[Job Type]]="Batch",tbl_Punch[[#This Row],[Batch Hours]]*tbl_Punch[[#This Row],[% Complete]],tbl_Punch[[#This Row],[Total hours]]*tbl_Punch[[#This Row],[% Complete]])</f>
        <v>0.53333333333333333</v>
      </c>
      <c r="N17" s="31"/>
      <c r="O17" s="28" t="s">
        <v>394</v>
      </c>
      <c r="P17" s="28">
        <f>tbl_Punch[[#This Row],[Mat. Qty]]*tbl_Punch[[#This Row],[% Complete]]</f>
        <v>7.1111111111111107</v>
      </c>
      <c r="Q17" s="28">
        <v>8</v>
      </c>
      <c r="R17" s="32">
        <f>IFERROR(tbl_Punch[[#This Row],[Qty Complete]]/tbl_Punch[[#This Row],[Total Hours Act]]*tbl_Punch[[#This Row],['# of men Act]],"")</f>
        <v>7.384615384615393</v>
      </c>
      <c r="S17" s="28">
        <v>1</v>
      </c>
      <c r="T17"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1.0833333333333321</v>
      </c>
      <c r="U17" s="34">
        <v>8</v>
      </c>
      <c r="V17" s="33">
        <v>0.5</v>
      </c>
      <c r="W17" s="33">
        <v>0.23</v>
      </c>
      <c r="X17" s="35">
        <f>IFERROR((tbl_Punch[[#This Row],[Adj. Total Hours]]+tbl_Punch[[#This Row],[Est. Hours]])/(tbl_Punch[[#This Row],[Total Hours Act]]+tbl_Punch[[#This Row],[Act. Hours]]),"")</f>
        <v>0.78680203045685337</v>
      </c>
      <c r="Y17" s="102">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0.98159509202453943</v>
      </c>
      <c r="Z17" s="104">
        <f>IFERROR(tbl_Punch[[#This Row],[Act. Mat. Qty]]-tbl_Punch[[#This Row],[Adj. Mat. Qty]],"")</f>
        <v>0.88888888888888928</v>
      </c>
      <c r="AA17" s="105">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0.88888888888888928</v>
      </c>
      <c r="AB17" s="28" t="s">
        <v>405</v>
      </c>
      <c r="AC17" s="31" t="s">
        <v>406</v>
      </c>
      <c r="AD17" s="36"/>
    </row>
    <row r="18" spans="1:30" ht="25" customHeight="1">
      <c r="A18" s="27">
        <v>46125</v>
      </c>
      <c r="B18" s="28">
        <v>143166</v>
      </c>
      <c r="C18" s="28" t="str">
        <f>IF(tbl_Punch[[#This Row],[Part'#]]="", "Batch", "Part")</f>
        <v>Part</v>
      </c>
      <c r="D18" s="28" t="s">
        <v>407</v>
      </c>
      <c r="E18" s="29">
        <v>0.73055555555555551</v>
      </c>
      <c r="F18" s="29">
        <v>0.78472222222222221</v>
      </c>
      <c r="G18" s="28">
        <v>9</v>
      </c>
      <c r="H18" s="28">
        <v>9</v>
      </c>
      <c r="I18" s="70">
        <f>tbl_Punch[[#This Row],[Qty Complete]]/tbl_Punch[[#This Row],[Qty Required]]</f>
        <v>1</v>
      </c>
      <c r="J18" s="30">
        <v>17</v>
      </c>
      <c r="K18" s="28">
        <v>1</v>
      </c>
      <c r="L18" s="31">
        <f>IF(tbl_Punch[[#This Row],[Job Type]]="Batch",0,tbl_Punch[[#This Row],[Qty Required]]/tbl_Punch[[#This Row],[PPH]]*tbl_Punch[[#This Row],['# of men]])</f>
        <v>0.52941176470588236</v>
      </c>
      <c r="M18" s="31">
        <f>IF(tbl_Punch[[#This Row],[Job Type]]="Batch",tbl_Punch[[#This Row],[Batch Hours]]*tbl_Punch[[#This Row],[% Complete]],tbl_Punch[[#This Row],[Total hours]]*tbl_Punch[[#This Row],[% Complete]])</f>
        <v>0.52941176470588236</v>
      </c>
      <c r="N18" s="31"/>
      <c r="O18" s="28" t="s">
        <v>394</v>
      </c>
      <c r="P18" s="28">
        <f>tbl_Punch[[#This Row],[Mat. Qty]]*tbl_Punch[[#This Row],[% Complete]]</f>
        <v>9</v>
      </c>
      <c r="Q18" s="28">
        <v>9</v>
      </c>
      <c r="R18" s="32">
        <f>IFERROR(tbl_Punch[[#This Row],[Qty Complete]]/tbl_Punch[[#This Row],[Total Hours Act]]*tbl_Punch[[#This Row],['# of men Act]],"")</f>
        <v>6.9230769230769189</v>
      </c>
      <c r="S18" s="28">
        <v>1</v>
      </c>
      <c r="T18"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1.3000000000000007</v>
      </c>
      <c r="U18" s="34">
        <v>9</v>
      </c>
      <c r="V18" s="33">
        <v>0.5</v>
      </c>
      <c r="W18" s="33">
        <v>0.45</v>
      </c>
      <c r="X18" s="35">
        <f>IFERROR((tbl_Punch[[#This Row],[Adj. Total Hours]]+tbl_Punch[[#This Row],[Est. Hours]])/(tbl_Punch[[#This Row],[Total Hours Act]]+tbl_Punch[[#This Row],[Act. Hours]]),"")</f>
        <v>0.58823529411764675</v>
      </c>
      <c r="Y18" s="102">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0.58823529411764675</v>
      </c>
      <c r="Z18" s="104">
        <f>IFERROR(tbl_Punch[[#This Row],[Act. Mat. Qty]]-tbl_Punch[[#This Row],[Adj. Mat. Qty]],"")</f>
        <v>0</v>
      </c>
      <c r="AA18" s="105">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0</v>
      </c>
      <c r="AC18" s="31" t="s">
        <v>406</v>
      </c>
      <c r="AD18" s="36"/>
    </row>
    <row r="19" spans="1:30" ht="25" customHeight="1">
      <c r="A19" s="27">
        <v>46125</v>
      </c>
      <c r="B19" s="28">
        <v>143176</v>
      </c>
      <c r="C19" s="28" t="str">
        <f>IF(tbl_Punch[[#This Row],[Part'#]]="", "Batch", "Part")</f>
        <v>Part</v>
      </c>
      <c r="D19" s="28" t="s">
        <v>408</v>
      </c>
      <c r="E19" s="29">
        <v>0.78472222222222221</v>
      </c>
      <c r="F19" s="29">
        <v>0.85972222222222228</v>
      </c>
      <c r="G19" s="28">
        <v>9</v>
      </c>
      <c r="H19" s="28">
        <v>9</v>
      </c>
      <c r="I19" s="70">
        <f>tbl_Punch[[#This Row],[Qty Complete]]/tbl_Punch[[#This Row],[Qty Required]]</f>
        <v>1</v>
      </c>
      <c r="J19" s="30">
        <v>14</v>
      </c>
      <c r="K19" s="28">
        <v>1</v>
      </c>
      <c r="L19" s="31">
        <f>IF(tbl_Punch[[#This Row],[Job Type]]="Batch",0,tbl_Punch[[#This Row],[Qty Required]]/tbl_Punch[[#This Row],[PPH]]*tbl_Punch[[#This Row],['# of men]])</f>
        <v>0.6428571428571429</v>
      </c>
      <c r="M19" s="31">
        <f>IF(tbl_Punch[[#This Row],[Job Type]]="Batch",tbl_Punch[[#This Row],[Batch Hours]]*tbl_Punch[[#This Row],[% Complete]],tbl_Punch[[#This Row],[Total hours]]*tbl_Punch[[#This Row],[% Complete]])</f>
        <v>0.6428571428571429</v>
      </c>
      <c r="N19" s="31"/>
      <c r="O19" s="28" t="s">
        <v>394</v>
      </c>
      <c r="P19" s="28">
        <f>tbl_Punch[[#This Row],[Mat. Qty]]*tbl_Punch[[#This Row],[% Complete]]</f>
        <v>9</v>
      </c>
      <c r="Q19" s="28">
        <v>9</v>
      </c>
      <c r="R19" s="32">
        <f>IFERROR(tbl_Punch[[#This Row],[Qty Complete]]/tbl_Punch[[#This Row],[Total Hours Act]]*tbl_Punch[[#This Row],['# of men Act]],"")</f>
        <v>4.9999999999999956</v>
      </c>
      <c r="S19" s="28">
        <v>1</v>
      </c>
      <c r="T19"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1.8000000000000016</v>
      </c>
      <c r="U19" s="34">
        <v>9</v>
      </c>
      <c r="V19" s="33">
        <v>0.5</v>
      </c>
      <c r="W19" s="33">
        <v>0.22</v>
      </c>
      <c r="X19" s="35">
        <f>IFERROR((tbl_Punch[[#This Row],[Adj. Total Hours]]+tbl_Punch[[#This Row],[Est. Hours]])/(tbl_Punch[[#This Row],[Total Hours Act]]+tbl_Punch[[#This Row],[Act. Hours]]),"")</f>
        <v>0.56577086280056521</v>
      </c>
      <c r="Y19" s="102">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0.56577086280056521</v>
      </c>
      <c r="Z19" s="104">
        <f>IFERROR(tbl_Punch[[#This Row],[Act. Mat. Qty]]-tbl_Punch[[#This Row],[Adj. Mat. Qty]],"")</f>
        <v>0</v>
      </c>
      <c r="AA19" s="105">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0</v>
      </c>
      <c r="AB19" s="28" t="s">
        <v>409</v>
      </c>
      <c r="AC19" s="31" t="s">
        <v>406</v>
      </c>
      <c r="AD19" s="36"/>
    </row>
    <row r="20" spans="1:30" ht="25" customHeight="1">
      <c r="A20" s="27">
        <v>46125</v>
      </c>
      <c r="B20" s="28">
        <v>143191</v>
      </c>
      <c r="C20" s="28" t="str">
        <f>IF(tbl_Punch[[#This Row],[Part'#]]="", "Batch", "Part")</f>
        <v>Part</v>
      </c>
      <c r="D20" s="28" t="s">
        <v>410</v>
      </c>
      <c r="E20" s="29">
        <v>0.85972222222222228</v>
      </c>
      <c r="F20" s="29">
        <v>0.90277777777777779</v>
      </c>
      <c r="G20" s="28">
        <v>9</v>
      </c>
      <c r="H20" s="28">
        <v>9</v>
      </c>
      <c r="I20" s="70">
        <f>tbl_Punch[[#This Row],[Qty Complete]]/tbl_Punch[[#This Row],[Qty Required]]</f>
        <v>1</v>
      </c>
      <c r="J20" s="30">
        <v>18</v>
      </c>
      <c r="K20" s="28">
        <v>1</v>
      </c>
      <c r="L20" s="31">
        <f>IF(tbl_Punch[[#This Row],[Job Type]]="Batch",0,tbl_Punch[[#This Row],[Qty Required]]/tbl_Punch[[#This Row],[PPH]]*tbl_Punch[[#This Row],['# of men]])</f>
        <v>0.5</v>
      </c>
      <c r="M20" s="31">
        <f>IF(tbl_Punch[[#This Row],[Job Type]]="Batch",tbl_Punch[[#This Row],[Batch Hours]]*tbl_Punch[[#This Row],[% Complete]],tbl_Punch[[#This Row],[Total hours]]*tbl_Punch[[#This Row],[% Complete]])</f>
        <v>0.5</v>
      </c>
      <c r="N20" s="31"/>
      <c r="O20" s="28" t="s">
        <v>394</v>
      </c>
      <c r="P20" s="28">
        <f>tbl_Punch[[#This Row],[Mat. Qty]]*tbl_Punch[[#This Row],[% Complete]]</f>
        <v>9</v>
      </c>
      <c r="Q20" s="28">
        <v>9</v>
      </c>
      <c r="R20" s="32">
        <f>IFERROR(tbl_Punch[[#This Row],[Qty Complete]]/tbl_Punch[[#This Row],[Total Hours Act]]*tbl_Punch[[#This Row],['# of men Act]],"")</f>
        <v>8.709677419354847</v>
      </c>
      <c r="S20" s="28">
        <v>1</v>
      </c>
      <c r="T20"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1.0333333333333323</v>
      </c>
      <c r="U20" s="34">
        <v>9</v>
      </c>
      <c r="V20" s="33">
        <v>0.5</v>
      </c>
      <c r="W20" s="33">
        <v>0.5</v>
      </c>
      <c r="X20" s="35">
        <f>IFERROR((tbl_Punch[[#This Row],[Adj. Total Hours]]+tbl_Punch[[#This Row],[Est. Hours]])/(tbl_Punch[[#This Row],[Total Hours Act]]+tbl_Punch[[#This Row],[Act. Hours]]),"")</f>
        <v>0.65217391304347871</v>
      </c>
      <c r="Y20" s="102">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0.65217391304347871</v>
      </c>
      <c r="Z20" s="104">
        <f>IFERROR(tbl_Punch[[#This Row],[Act. Mat. Qty]]-tbl_Punch[[#This Row],[Adj. Mat. Qty]],"")</f>
        <v>0</v>
      </c>
      <c r="AA20" s="105">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0</v>
      </c>
      <c r="AC20" s="31" t="s">
        <v>406</v>
      </c>
      <c r="AD20" s="36"/>
    </row>
    <row r="21" spans="1:30" ht="25" customHeight="1">
      <c r="A21" s="27">
        <v>46125</v>
      </c>
      <c r="B21" s="28">
        <v>143177</v>
      </c>
      <c r="C21" s="28" t="str">
        <f>IF(tbl_Punch[[#This Row],[Part'#]]="", "Batch", "Part")</f>
        <v>Part</v>
      </c>
      <c r="D21" s="28" t="s">
        <v>411</v>
      </c>
      <c r="E21" s="29">
        <v>0.90277777777777779</v>
      </c>
      <c r="F21" s="29">
        <v>0.95902777777777781</v>
      </c>
      <c r="G21" s="28">
        <v>9</v>
      </c>
      <c r="H21" s="28">
        <v>9</v>
      </c>
      <c r="I21" s="70">
        <f>tbl_Punch[[#This Row],[Qty Complete]]/tbl_Punch[[#This Row],[Qty Required]]</f>
        <v>1</v>
      </c>
      <c r="J21" s="30">
        <v>14</v>
      </c>
      <c r="K21" s="28">
        <v>1</v>
      </c>
      <c r="L21" s="31">
        <f>IF(tbl_Punch[[#This Row],[Job Type]]="Batch",0,tbl_Punch[[#This Row],[Qty Required]]/tbl_Punch[[#This Row],[PPH]]*tbl_Punch[[#This Row],['# of men]])</f>
        <v>0.6428571428571429</v>
      </c>
      <c r="M21" s="31">
        <f>IF(tbl_Punch[[#This Row],[Job Type]]="Batch",tbl_Punch[[#This Row],[Batch Hours]]*tbl_Punch[[#This Row],[% Complete]],tbl_Punch[[#This Row],[Total hours]]*tbl_Punch[[#This Row],[% Complete]])</f>
        <v>0.6428571428571429</v>
      </c>
      <c r="N21" s="31"/>
      <c r="O21" s="28" t="s">
        <v>394</v>
      </c>
      <c r="P21" s="28">
        <f>tbl_Punch[[#This Row],[Mat. Qty]]*tbl_Punch[[#This Row],[% Complete]]</f>
        <v>9</v>
      </c>
      <c r="Q21" s="28">
        <v>9</v>
      </c>
      <c r="R21" s="32">
        <f>IFERROR(tbl_Punch[[#This Row],[Qty Complete]]/tbl_Punch[[#This Row],[Total Hours Act]]*tbl_Punch[[#This Row],['# of men Act]],"")</f>
        <v>6.6666666666666643</v>
      </c>
      <c r="S21" s="28">
        <v>1</v>
      </c>
      <c r="T21"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1.3500000000000005</v>
      </c>
      <c r="U21" s="34">
        <v>9</v>
      </c>
      <c r="V21" s="33">
        <v>0.5</v>
      </c>
      <c r="W21" s="33">
        <v>0.38</v>
      </c>
      <c r="X21" s="35">
        <f>IFERROR((tbl_Punch[[#This Row],[Adj. Total Hours]]+tbl_Punch[[#This Row],[Est. Hours]])/(tbl_Punch[[#This Row],[Total Hours Act]]+tbl_Punch[[#This Row],[Act. Hours]]),"")</f>
        <v>0.66061106523534252</v>
      </c>
      <c r="Y21" s="102">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0.66061106523534252</v>
      </c>
      <c r="Z21" s="104">
        <f>IFERROR(tbl_Punch[[#This Row],[Act. Mat. Qty]]-tbl_Punch[[#This Row],[Adj. Mat. Qty]],"")</f>
        <v>0</v>
      </c>
      <c r="AA21" s="105">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0</v>
      </c>
      <c r="AB21" s="28" t="s">
        <v>412</v>
      </c>
      <c r="AC21" s="31" t="s">
        <v>406</v>
      </c>
      <c r="AD21" s="36"/>
    </row>
    <row r="22" spans="1:30" ht="25" customHeight="1">
      <c r="A22" s="27">
        <v>46125</v>
      </c>
      <c r="B22" s="28" t="s">
        <v>413</v>
      </c>
      <c r="C22" s="28" t="str">
        <f>IF(tbl_Punch[[#This Row],[Part'#]]="", "Batch", "Part")</f>
        <v>Part</v>
      </c>
      <c r="D22" s="28">
        <v>4788600</v>
      </c>
      <c r="E22" s="29">
        <v>0.95902777777777781</v>
      </c>
      <c r="F22" s="29">
        <v>0.11874999999999999</v>
      </c>
      <c r="G22" s="28">
        <v>75</v>
      </c>
      <c r="H22" s="28">
        <v>75</v>
      </c>
      <c r="I22" s="70">
        <f>tbl_Punch[[#This Row],[Qty Complete]]/tbl_Punch[[#This Row],[Qty Required]]</f>
        <v>1</v>
      </c>
      <c r="J22" s="30">
        <v>26</v>
      </c>
      <c r="K22" s="28">
        <v>1</v>
      </c>
      <c r="L22" s="31">
        <f>IF(tbl_Punch[[#This Row],[Job Type]]="Batch",0,tbl_Punch[[#This Row],[Qty Required]]/tbl_Punch[[#This Row],[PPH]]*tbl_Punch[[#This Row],['# of men]])</f>
        <v>2.8846153846153846</v>
      </c>
      <c r="M22" s="31">
        <f>IF(tbl_Punch[[#This Row],[Job Type]]="Batch",tbl_Punch[[#This Row],[Batch Hours]]*tbl_Punch[[#This Row],[% Complete]],tbl_Punch[[#This Row],[Total hours]]*tbl_Punch[[#This Row],[% Complete]])</f>
        <v>2.8846153846153846</v>
      </c>
      <c r="N22" s="31"/>
      <c r="O22" s="28" t="s">
        <v>414</v>
      </c>
      <c r="P22" s="28">
        <f>tbl_Punch[[#This Row],[Mat. Qty]]*tbl_Punch[[#This Row],[% Complete]]</f>
        <v>6</v>
      </c>
      <c r="Q22" s="28">
        <v>6</v>
      </c>
      <c r="R22" s="32">
        <f>IFERROR(tbl_Punch[[#This Row],[Qty Complete]]/tbl_Punch[[#This Row],[Total Hours Act]]*tbl_Punch[[#This Row],['# of men Act]],"")</f>
        <v>22.500000000000004</v>
      </c>
      <c r="S22" s="28">
        <v>1</v>
      </c>
      <c r="T22"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3.333333333333333</v>
      </c>
      <c r="U22" s="34">
        <v>5</v>
      </c>
      <c r="V22" s="33">
        <v>0.5</v>
      </c>
      <c r="W22" s="33">
        <v>0.62</v>
      </c>
      <c r="X22" s="35">
        <f>IFERROR((tbl_Punch[[#This Row],[Adj. Total Hours]]+tbl_Punch[[#This Row],[Est. Hours]])/(tbl_Punch[[#This Row],[Total Hours Act]]+tbl_Punch[[#This Row],[Act. Hours]]),"")</f>
        <v>0.85614217148787131</v>
      </c>
      <c r="Y22" s="102">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0.85614217148787131</v>
      </c>
      <c r="Z22" s="104">
        <f>IFERROR(tbl_Punch[[#This Row],[Act. Mat. Qty]]-tbl_Punch[[#This Row],[Adj. Mat. Qty]],"")</f>
        <v>-1</v>
      </c>
      <c r="AA22" s="105">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-1</v>
      </c>
      <c r="AB22" s="28" t="s">
        <v>415</v>
      </c>
      <c r="AC22" s="31" t="s">
        <v>406</v>
      </c>
      <c r="AD22" s="36"/>
    </row>
    <row r="23" spans="1:30" ht="25" customHeight="1">
      <c r="A23" s="27">
        <v>46125</v>
      </c>
      <c r="B23" s="28" t="s">
        <v>416</v>
      </c>
      <c r="C23" s="28" t="str">
        <f>IF(tbl_Punch[[#This Row],[Part'#]]="", "Batch", "Part")</f>
        <v>Part</v>
      </c>
      <c r="D23" s="28">
        <v>4788600</v>
      </c>
      <c r="E23" s="29">
        <v>0.11874999999999999</v>
      </c>
      <c r="F23" s="29">
        <v>0.18402777777777779</v>
      </c>
      <c r="G23" s="28">
        <v>75</v>
      </c>
      <c r="H23" s="28">
        <v>37</v>
      </c>
      <c r="I23" s="70">
        <f>tbl_Punch[[#This Row],[Qty Complete]]/tbl_Punch[[#This Row],[Qty Required]]</f>
        <v>0.49333333333333335</v>
      </c>
      <c r="J23" s="30">
        <v>26</v>
      </c>
      <c r="K23" s="28">
        <v>1</v>
      </c>
      <c r="L23" s="31">
        <f>IF(tbl_Punch[[#This Row],[Job Type]]="Batch",0,tbl_Punch[[#This Row],[Qty Required]]/tbl_Punch[[#This Row],[PPH]]*tbl_Punch[[#This Row],['# of men]])</f>
        <v>2.8846153846153846</v>
      </c>
      <c r="M23" s="31">
        <f>IF(tbl_Punch[[#This Row],[Job Type]]="Batch",tbl_Punch[[#This Row],[Batch Hours]]*tbl_Punch[[#This Row],[% Complete]],tbl_Punch[[#This Row],[Total hours]]*tbl_Punch[[#This Row],[% Complete]])</f>
        <v>1.4230769230769231</v>
      </c>
      <c r="N23" s="31"/>
      <c r="O23" s="28" t="s">
        <v>414</v>
      </c>
      <c r="P23" s="28">
        <f>tbl_Punch[[#This Row],[Mat. Qty]]*tbl_Punch[[#This Row],[% Complete]]</f>
        <v>2.96</v>
      </c>
      <c r="Q23" s="28">
        <v>6</v>
      </c>
      <c r="R23" s="32">
        <f>IFERROR(tbl_Punch[[#This Row],[Qty Complete]]/tbl_Punch[[#This Row],[Total Hours Act]]*tbl_Punch[[#This Row],['# of men Act]],"")</f>
        <v>23.617021276595739</v>
      </c>
      <c r="S23" s="28">
        <v>1</v>
      </c>
      <c r="T23"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1.5666666666666671</v>
      </c>
      <c r="U23" s="34">
        <v>3</v>
      </c>
      <c r="V23" s="33">
        <v>0.5</v>
      </c>
      <c r="W23" s="33">
        <v>0.2</v>
      </c>
      <c r="X23" s="35">
        <f>IFERROR((tbl_Punch[[#This Row],[Adj. Total Hours]]+tbl_Punch[[#This Row],[Est. Hours]])/(tbl_Punch[[#This Row],[Total Hours Act]]+tbl_Punch[[#This Row],[Act. Hours]]),"")</f>
        <v>1.0885341074020318</v>
      </c>
      <c r="Y23"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23" s="104">
        <f>IFERROR(tbl_Punch[[#This Row],[Act. Mat. Qty]]-tbl_Punch[[#This Row],[Adj. Mat. Qty]],"")</f>
        <v>4.0000000000000036E-2</v>
      </c>
      <c r="AA23"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23" s="31" t="s">
        <v>406</v>
      </c>
      <c r="AD23" s="36"/>
    </row>
    <row r="24" spans="1:30" ht="25" customHeight="1">
      <c r="A24" s="27">
        <v>46126</v>
      </c>
      <c r="B24" s="28" t="s">
        <v>400</v>
      </c>
      <c r="C24" s="28" t="str">
        <f>IF(tbl_Punch[[#This Row],[Part'#]]="", "Batch", "Part")</f>
        <v>Part</v>
      </c>
      <c r="D24" s="28" t="s">
        <v>401</v>
      </c>
      <c r="E24" s="29">
        <v>0.25</v>
      </c>
      <c r="F24" s="29">
        <v>0.38541666666666669</v>
      </c>
      <c r="G24" s="28">
        <v>196</v>
      </c>
      <c r="H24" s="28">
        <v>125</v>
      </c>
      <c r="I24" s="70">
        <f>tbl_Punch[[#This Row],[Qty Complete]]/tbl_Punch[[#This Row],[Qty Required]]</f>
        <v>0.63775510204081631</v>
      </c>
      <c r="J24" s="30">
        <v>68</v>
      </c>
      <c r="K24" s="28">
        <v>1</v>
      </c>
      <c r="L24" s="31">
        <f>IF(tbl_Punch[[#This Row],[Job Type]]="Batch",0,tbl_Punch[[#This Row],[Qty Required]]/tbl_Punch[[#This Row],[PPH]]*tbl_Punch[[#This Row],['# of men]])</f>
        <v>2.8823529411764706</v>
      </c>
      <c r="M24" s="31">
        <f>IF(tbl_Punch[[#This Row],[Job Type]]="Batch",tbl_Punch[[#This Row],[Batch Hours]]*tbl_Punch[[#This Row],[% Complete]],tbl_Punch[[#This Row],[Total hours]]*tbl_Punch[[#This Row],[% Complete]])</f>
        <v>1.838235294117647</v>
      </c>
      <c r="N24" s="31"/>
      <c r="O24" s="28" t="s">
        <v>398</v>
      </c>
      <c r="P24" s="28">
        <f>tbl_Punch[[#This Row],[Mat. Qty]]*tbl_Punch[[#This Row],[% Complete]]</f>
        <v>10.841836734693878</v>
      </c>
      <c r="Q24" s="28">
        <v>17</v>
      </c>
      <c r="R24" s="32">
        <f>IFERROR(tbl_Punch[[#This Row],[Qty Complete]]/tbl_Punch[[#This Row],[Total Hours Act]]*tbl_Punch[[#This Row],['# of men Act]],"")</f>
        <v>38.461538461538453</v>
      </c>
      <c r="S24" s="28">
        <v>1</v>
      </c>
      <c r="T24"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3.2500000000000004</v>
      </c>
      <c r="U24" s="34">
        <v>11</v>
      </c>
      <c r="V24" s="33">
        <v>0.5</v>
      </c>
      <c r="W24" s="33">
        <v>0.01</v>
      </c>
      <c r="X24" s="35">
        <f>IFERROR((tbl_Punch[[#This Row],[Adj. Total Hours]]+tbl_Punch[[#This Row],[Est. Hours]])/(tbl_Punch[[#This Row],[Total Hours Act]]+tbl_Punch[[#This Row],[Act. Hours]]),"")</f>
        <v>0.71725009022013697</v>
      </c>
      <c r="Y24" s="102">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0.63540964667372679</v>
      </c>
      <c r="Z24" s="104">
        <f>IFERROR(tbl_Punch[[#This Row],[Act. Mat. Qty]]-tbl_Punch[[#This Row],[Adj. Mat. Qty]],"")</f>
        <v>0.15816326530612201</v>
      </c>
      <c r="AA24" s="105">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0</v>
      </c>
      <c r="AB24" s="28" t="s">
        <v>417</v>
      </c>
      <c r="AC24" s="31" t="s">
        <v>384</v>
      </c>
      <c r="AD24" s="36"/>
    </row>
    <row r="25" spans="1:30" ht="25" customHeight="1">
      <c r="A25" s="27">
        <v>46126</v>
      </c>
      <c r="B25" s="28" t="s">
        <v>418</v>
      </c>
      <c r="C25" s="28" t="str">
        <f>IF(tbl_Punch[[#This Row],[Part'#]]="", "Batch", "Part")</f>
        <v>Part</v>
      </c>
      <c r="D25" s="28" t="s">
        <v>419</v>
      </c>
      <c r="E25" s="29">
        <v>0.3888888888888889</v>
      </c>
      <c r="F25" s="29">
        <v>0.52083333333333337</v>
      </c>
      <c r="G25" s="28">
        <v>196</v>
      </c>
      <c r="H25" s="28">
        <v>196</v>
      </c>
      <c r="I25" s="70">
        <f>tbl_Punch[[#This Row],[Qty Complete]]/tbl_Punch[[#This Row],[Qty Required]]</f>
        <v>1</v>
      </c>
      <c r="J25" s="30">
        <v>68</v>
      </c>
      <c r="K25" s="28">
        <v>1</v>
      </c>
      <c r="L25" s="31">
        <f>IF(tbl_Punch[[#This Row],[Job Type]]="Batch",0,tbl_Punch[[#This Row],[Qty Required]]/tbl_Punch[[#This Row],[PPH]]*tbl_Punch[[#This Row],['# of men]])</f>
        <v>2.8823529411764706</v>
      </c>
      <c r="M25" s="31">
        <f>IF(tbl_Punch[[#This Row],[Job Type]]="Batch",tbl_Punch[[#This Row],[Batch Hours]]*tbl_Punch[[#This Row],[% Complete]],tbl_Punch[[#This Row],[Total hours]]*tbl_Punch[[#This Row],[% Complete]])</f>
        <v>2.8823529411764706</v>
      </c>
      <c r="N25" s="31"/>
      <c r="O25" s="28" t="s">
        <v>398</v>
      </c>
      <c r="P25" s="28">
        <f>tbl_Punch[[#This Row],[Mat. Qty]]*tbl_Punch[[#This Row],[% Complete]]</f>
        <v>17</v>
      </c>
      <c r="Q25" s="28">
        <v>17</v>
      </c>
      <c r="R25" s="32">
        <f>IFERROR(tbl_Punch[[#This Row],[Qty Complete]]/tbl_Punch[[#This Row],[Total Hours Act]]*tbl_Punch[[#This Row],['# of men Act]],"")</f>
        <v>73.499999999999986</v>
      </c>
      <c r="S25" s="28">
        <v>1</v>
      </c>
      <c r="T25"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2.6666666666666674</v>
      </c>
      <c r="U25" s="34">
        <v>17</v>
      </c>
      <c r="V25" s="33">
        <v>0.5</v>
      </c>
      <c r="W25" s="33">
        <v>0.1</v>
      </c>
      <c r="X25" s="35">
        <f>IFERROR((tbl_Punch[[#This Row],[Adj. Total Hours]]+tbl_Punch[[#This Row],[Est. Hours]])/(tbl_Punch[[#This Row],[Total Hours Act]]+tbl_Punch[[#This Row],[Act. Hours]]),"")</f>
        <v>1.2225372076541456</v>
      </c>
      <c r="Y25" s="102">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1.2225372076541456</v>
      </c>
      <c r="Z25" s="104">
        <f>IFERROR(tbl_Punch[[#This Row],[Act. Mat. Qty]]-tbl_Punch[[#This Row],[Adj. Mat. Qty]],"")</f>
        <v>0</v>
      </c>
      <c r="AA25" s="105">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0</v>
      </c>
      <c r="AC25" s="31" t="s">
        <v>384</v>
      </c>
      <c r="AD25" s="36"/>
    </row>
    <row r="26" spans="1:30" ht="25" customHeight="1">
      <c r="A26" s="27">
        <v>46126</v>
      </c>
      <c r="B26" s="28" t="s">
        <v>420</v>
      </c>
      <c r="C26" s="28" t="str">
        <f>IF(tbl_Punch[[#This Row],[Part'#]]="", "Batch", "Part")</f>
        <v>Part</v>
      </c>
      <c r="D26" s="28" t="s">
        <v>419</v>
      </c>
      <c r="E26" s="29">
        <v>0.52083333333333337</v>
      </c>
      <c r="F26" s="29">
        <v>0.60416666666666663</v>
      </c>
      <c r="G26" s="28">
        <v>196</v>
      </c>
      <c r="H26" s="28">
        <v>124</v>
      </c>
      <c r="I26" s="70">
        <f>tbl_Punch[[#This Row],[Qty Complete]]/tbl_Punch[[#This Row],[Qty Required]]</f>
        <v>0.63265306122448983</v>
      </c>
      <c r="J26" s="30">
        <v>68</v>
      </c>
      <c r="K26" s="28">
        <v>1</v>
      </c>
      <c r="L26" s="31">
        <f>IF(tbl_Punch[[#This Row],[Job Type]]="Batch",0,tbl_Punch[[#This Row],[Qty Required]]/tbl_Punch[[#This Row],[PPH]]*tbl_Punch[[#This Row],['# of men]])</f>
        <v>2.8823529411764706</v>
      </c>
      <c r="M26" s="31">
        <f>IF(tbl_Punch[[#This Row],[Job Type]]="Batch",tbl_Punch[[#This Row],[Batch Hours]]*tbl_Punch[[#This Row],[% Complete]],tbl_Punch[[#This Row],[Total hours]]*tbl_Punch[[#This Row],[% Complete]])</f>
        <v>1.8235294117647061</v>
      </c>
      <c r="N26" s="31"/>
      <c r="O26" s="28">
        <v>1518752</v>
      </c>
      <c r="P26" s="28">
        <f>tbl_Punch[[#This Row],[Mat. Qty]]*tbl_Punch[[#This Row],[% Complete]]</f>
        <v>10.755102040816327</v>
      </c>
      <c r="Q26" s="28">
        <v>17</v>
      </c>
      <c r="R26" s="32">
        <f>IFERROR(tbl_Punch[[#This Row],[Qty Complete]]/tbl_Punch[[#This Row],[Total Hours Act]]*tbl_Punch[[#This Row],['# of men Act]],"")</f>
        <v>82.666666666666771</v>
      </c>
      <c r="S26" s="28">
        <v>1</v>
      </c>
      <c r="T26"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1.4999999999999982</v>
      </c>
      <c r="U26" s="34">
        <v>10</v>
      </c>
      <c r="V26" s="33">
        <v>0.5</v>
      </c>
      <c r="W26" s="33">
        <v>0.1</v>
      </c>
      <c r="X26" s="35">
        <f>IFERROR((tbl_Punch[[#This Row],[Adj. Total Hours]]+tbl_Punch[[#This Row],[Est. Hours]])/(tbl_Punch[[#This Row],[Total Hours Act]]+tbl_Punch[[#This Row],[Act. Hours]]),"")</f>
        <v>1.4522058823529429</v>
      </c>
      <c r="Y26"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26" s="104">
        <f>IFERROR(tbl_Punch[[#This Row],[Act. Mat. Qty]]-tbl_Punch[[#This Row],[Adj. Mat. Qty]],"")</f>
        <v>-0.75510204081632715</v>
      </c>
      <c r="AA26"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26" s="31" t="s">
        <v>384</v>
      </c>
      <c r="AD26" s="36"/>
    </row>
    <row r="27" spans="1:30" ht="25" customHeight="1">
      <c r="A27" s="27">
        <v>46126</v>
      </c>
      <c r="B27" s="28" t="s">
        <v>416</v>
      </c>
      <c r="C27" s="28" t="str">
        <f>IF(tbl_Punch[[#This Row],[Part'#]]="", "Batch", "Part")</f>
        <v>Part</v>
      </c>
      <c r="D27" s="28">
        <v>4788600</v>
      </c>
      <c r="E27" s="29">
        <v>0.25</v>
      </c>
      <c r="F27" s="29">
        <v>0.31944444444444442</v>
      </c>
      <c r="G27" s="28">
        <v>75</v>
      </c>
      <c r="H27" s="28">
        <v>38</v>
      </c>
      <c r="I27" s="70">
        <f>tbl_Punch[[#This Row],[Qty Complete]]/tbl_Punch[[#This Row],[Qty Required]]</f>
        <v>0.50666666666666671</v>
      </c>
      <c r="J27" s="30">
        <v>26</v>
      </c>
      <c r="K27" s="28">
        <v>1</v>
      </c>
      <c r="L27" s="31">
        <f>IF(tbl_Punch[[#This Row],[Job Type]]="Batch",0,tbl_Punch[[#This Row],[Qty Required]]/tbl_Punch[[#This Row],[PPH]]*tbl_Punch[[#This Row],['# of men]])</f>
        <v>2.8846153846153846</v>
      </c>
      <c r="M27" s="31">
        <f>IF(tbl_Punch[[#This Row],[Job Type]]="Batch",tbl_Punch[[#This Row],[Batch Hours]]*tbl_Punch[[#This Row],[% Complete]],tbl_Punch[[#This Row],[Total hours]]*tbl_Punch[[#This Row],[% Complete]])</f>
        <v>1.4615384615384617</v>
      </c>
      <c r="N27" s="31"/>
      <c r="O27" s="28" t="s">
        <v>414</v>
      </c>
      <c r="P27" s="28">
        <f>tbl_Punch[[#This Row],[Mat. Qty]]*tbl_Punch[[#This Row],[% Complete]]</f>
        <v>3.04</v>
      </c>
      <c r="Q27" s="28">
        <v>6</v>
      </c>
      <c r="R27" s="32">
        <f>IFERROR(tbl_Punch[[#This Row],[Qty Complete]]/tbl_Punch[[#This Row],[Total Hours Act]]*tbl_Punch[[#This Row],['# of men Act]],"")</f>
        <v>22.800000000000008</v>
      </c>
      <c r="S27" s="28">
        <v>1</v>
      </c>
      <c r="T27"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1.6666666666666661</v>
      </c>
      <c r="U27" s="34">
        <v>3</v>
      </c>
      <c r="V27" s="33">
        <v>0.5</v>
      </c>
      <c r="W27" s="33">
        <v>0.1</v>
      </c>
      <c r="X27" s="35">
        <f>IFERROR((tbl_Punch[[#This Row],[Adj. Total Hours]]+tbl_Punch[[#This Row],[Est. Hours]])/(tbl_Punch[[#This Row],[Total Hours Act]]+tbl_Punch[[#This Row],[Act. Hours]]),"")</f>
        <v>1.1103047895500731</v>
      </c>
      <c r="Y27" s="102">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1.0994194484760524</v>
      </c>
      <c r="Z27" s="104">
        <f>IFERROR(tbl_Punch[[#This Row],[Act. Mat. Qty]]-tbl_Punch[[#This Row],[Adj. Mat. Qty]],"")</f>
        <v>-4.0000000000000036E-2</v>
      </c>
      <c r="AA27" s="105">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0</v>
      </c>
      <c r="AC27" s="31" t="s">
        <v>389</v>
      </c>
      <c r="AD27" s="36"/>
    </row>
    <row r="28" spans="1:30" ht="25" customHeight="1">
      <c r="A28" s="27">
        <v>46126</v>
      </c>
      <c r="B28" s="28" t="s">
        <v>421</v>
      </c>
      <c r="C28" s="28" t="str">
        <f>IF(tbl_Punch[[#This Row],[Part'#]]="", "Batch", "Part")</f>
        <v>Part</v>
      </c>
      <c r="D28" s="28">
        <v>30270300</v>
      </c>
      <c r="E28" s="29">
        <v>0.34375</v>
      </c>
      <c r="F28" s="29">
        <v>0.54166666666666663</v>
      </c>
      <c r="G28" s="28">
        <v>80</v>
      </c>
      <c r="H28" s="28">
        <v>80</v>
      </c>
      <c r="I28" s="70">
        <f>tbl_Punch[[#This Row],[Qty Complete]]/tbl_Punch[[#This Row],[Qty Required]]</f>
        <v>1</v>
      </c>
      <c r="J28" s="30">
        <v>22</v>
      </c>
      <c r="K28" s="28">
        <v>1</v>
      </c>
      <c r="L28" s="31">
        <f>IF(tbl_Punch[[#This Row],[Job Type]]="Batch",0,tbl_Punch[[#This Row],[Qty Required]]/tbl_Punch[[#This Row],[PPH]]*tbl_Punch[[#This Row],['# of men]])</f>
        <v>3.6363636363636362</v>
      </c>
      <c r="M28" s="31">
        <f>IF(tbl_Punch[[#This Row],[Job Type]]="Batch",tbl_Punch[[#This Row],[Batch Hours]]*tbl_Punch[[#This Row],[% Complete]],tbl_Punch[[#This Row],[Total hours]]*tbl_Punch[[#This Row],[% Complete]])</f>
        <v>3.6363636363636362</v>
      </c>
      <c r="N28" s="31"/>
      <c r="O28" s="28" t="s">
        <v>414</v>
      </c>
      <c r="P28" s="28">
        <f>tbl_Punch[[#This Row],[Mat. Qty]]*tbl_Punch[[#This Row],[% Complete]]</f>
        <v>4</v>
      </c>
      <c r="Q28" s="28">
        <v>4</v>
      </c>
      <c r="R28" s="32">
        <f>IFERROR(tbl_Punch[[#This Row],[Qty Complete]]/tbl_Punch[[#This Row],[Total Hours Act]]*tbl_Punch[[#This Row],['# of men Act]],"")</f>
        <v>18.82352941176471</v>
      </c>
      <c r="S28" s="28">
        <v>1</v>
      </c>
      <c r="T28"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4.2499999999999991</v>
      </c>
      <c r="U28" s="34">
        <v>4</v>
      </c>
      <c r="V28" s="33">
        <v>0.5</v>
      </c>
      <c r="W28" s="33">
        <v>0.1</v>
      </c>
      <c r="X28" s="35">
        <f>IFERROR((tbl_Punch[[#This Row],[Adj. Total Hours]]+tbl_Punch[[#This Row],[Est. Hours]])/(tbl_Punch[[#This Row],[Total Hours Act]]+tbl_Punch[[#This Row],[Act. Hours]]),"")</f>
        <v>0.95088819226750299</v>
      </c>
      <c r="Y28" s="102">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0.95088819226750299</v>
      </c>
      <c r="Z28" s="104">
        <f>IFERROR(tbl_Punch[[#This Row],[Act. Mat. Qty]]-tbl_Punch[[#This Row],[Adj. Mat. Qty]],"")</f>
        <v>0</v>
      </c>
      <c r="AA28" s="105">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0</v>
      </c>
      <c r="AC28" s="31" t="s">
        <v>389</v>
      </c>
      <c r="AD28" s="36"/>
    </row>
    <row r="29" spans="1:30" ht="25" customHeight="1">
      <c r="A29" s="27">
        <v>46126</v>
      </c>
      <c r="B29" s="28">
        <v>143199</v>
      </c>
      <c r="C29" s="28" t="str">
        <f>IF(tbl_Punch[[#This Row],[Part'#]]="", "Batch", "Part")</f>
        <v>Part</v>
      </c>
      <c r="D29" s="28" t="s">
        <v>422</v>
      </c>
      <c r="E29" s="29">
        <v>0.5625</v>
      </c>
      <c r="F29" s="29">
        <v>0.59375</v>
      </c>
      <c r="G29" s="28">
        <v>10</v>
      </c>
      <c r="H29" s="28">
        <v>4</v>
      </c>
      <c r="I29" s="70">
        <f>tbl_Punch[[#This Row],[Qty Complete]]/tbl_Punch[[#This Row],[Qty Required]]</f>
        <v>0.4</v>
      </c>
      <c r="J29" s="30">
        <v>30</v>
      </c>
      <c r="K29" s="28">
        <v>1</v>
      </c>
      <c r="L29" s="31">
        <f>IF(tbl_Punch[[#This Row],[Job Type]]="Batch",0,tbl_Punch[[#This Row],[Qty Required]]/tbl_Punch[[#This Row],[PPH]]*tbl_Punch[[#This Row],['# of men]])</f>
        <v>0.33333333333333331</v>
      </c>
      <c r="M29" s="31">
        <f>IF(tbl_Punch[[#This Row],[Job Type]]="Batch",tbl_Punch[[#This Row],[Batch Hours]]*tbl_Punch[[#This Row],[% Complete]],tbl_Punch[[#This Row],[Total hours]]*tbl_Punch[[#This Row],[% Complete]])</f>
        <v>0.13333333333333333</v>
      </c>
      <c r="N29" s="31"/>
      <c r="O29" s="28" t="s">
        <v>377</v>
      </c>
      <c r="P29" s="28">
        <f>tbl_Punch[[#This Row],[Mat. Qty]]*tbl_Punch[[#This Row],[% Complete]]</f>
        <v>4</v>
      </c>
      <c r="Q29" s="28">
        <v>10</v>
      </c>
      <c r="R29" s="32">
        <f>IFERROR(tbl_Punch[[#This Row],[Qty Complete]]/tbl_Punch[[#This Row],[Total Hours Act]]*tbl_Punch[[#This Row],['# of men Act]],"")</f>
        <v>5.333333333333333</v>
      </c>
      <c r="S29" s="28">
        <v>1</v>
      </c>
      <c r="T29"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0.75</v>
      </c>
      <c r="U29" s="34">
        <v>4</v>
      </c>
      <c r="V29" s="33">
        <v>0.5</v>
      </c>
      <c r="W29" s="33">
        <v>0.1</v>
      </c>
      <c r="X29" s="35">
        <f>IFERROR((tbl_Punch[[#This Row],[Adj. Total Hours]]+tbl_Punch[[#This Row],[Est. Hours]])/(tbl_Punch[[#This Row],[Total Hours Act]]+tbl_Punch[[#This Row],[Act. Hours]]),"")</f>
        <v>0.74509803921568629</v>
      </c>
      <c r="Y29"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29" s="104">
        <f>IFERROR(tbl_Punch[[#This Row],[Act. Mat. Qty]]-tbl_Punch[[#This Row],[Adj. Mat. Qty]],"")</f>
        <v>0</v>
      </c>
      <c r="AA29"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B29" s="28" t="s">
        <v>423</v>
      </c>
      <c r="AC29" s="31" t="s">
        <v>389</v>
      </c>
      <c r="AD29" s="36"/>
    </row>
    <row r="30" spans="1:30" ht="25" customHeight="1">
      <c r="A30" s="27">
        <v>46126</v>
      </c>
      <c r="B30" s="28">
        <v>143199</v>
      </c>
      <c r="C30" s="28" t="str">
        <f>IF(tbl_Punch[[#This Row],[Part'#]]="", "Batch", "Part")</f>
        <v>Part</v>
      </c>
      <c r="D30" s="28" t="s">
        <v>424</v>
      </c>
      <c r="E30" s="29">
        <v>0.68402777777777779</v>
      </c>
      <c r="F30" s="29">
        <v>0.69652777777777775</v>
      </c>
      <c r="G30" s="28">
        <v>10</v>
      </c>
      <c r="H30" s="28">
        <v>6</v>
      </c>
      <c r="I30" s="70">
        <f>tbl_Punch[[#This Row],[Qty Complete]]/tbl_Punch[[#This Row],[Qty Required]]</f>
        <v>0.6</v>
      </c>
      <c r="J30" s="30">
        <v>30</v>
      </c>
      <c r="K30" s="28">
        <v>1</v>
      </c>
      <c r="L30" s="31">
        <f>IF(tbl_Punch[[#This Row],[Job Type]]="Batch",0,tbl_Punch[[#This Row],[Qty Required]]/tbl_Punch[[#This Row],[PPH]]*tbl_Punch[[#This Row],['# of men]])</f>
        <v>0.33333333333333331</v>
      </c>
      <c r="M30" s="31">
        <f>IF(tbl_Punch[[#This Row],[Job Type]]="Batch",tbl_Punch[[#This Row],[Batch Hours]]*tbl_Punch[[#This Row],[% Complete]],tbl_Punch[[#This Row],[Total hours]]*tbl_Punch[[#This Row],[% Complete]])</f>
        <v>0.19999999999999998</v>
      </c>
      <c r="N30" s="31"/>
      <c r="O30" s="28" t="s">
        <v>425</v>
      </c>
      <c r="P30" s="28">
        <f>tbl_Punch[[#This Row],[Mat. Qty]]*tbl_Punch[[#This Row],[% Complete]]</f>
        <v>3</v>
      </c>
      <c r="Q30" s="28">
        <v>5</v>
      </c>
      <c r="R30" s="32">
        <f>IFERROR(tbl_Punch[[#This Row],[Qty Complete]]/tbl_Punch[[#This Row],[Total Hours Act]]*tbl_Punch[[#This Row],['# of men Act]],"")</f>
        <v>20.000000000000071</v>
      </c>
      <c r="S30" s="28">
        <v>1</v>
      </c>
      <c r="T30"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0.29999999999999893</v>
      </c>
      <c r="U30" s="34">
        <v>3</v>
      </c>
      <c r="V30" s="33">
        <v>0.5</v>
      </c>
      <c r="W30" s="33">
        <v>0.1</v>
      </c>
      <c r="X30" s="35">
        <f>IFERROR((tbl_Punch[[#This Row],[Adj. Total Hours]]+tbl_Punch[[#This Row],[Est. Hours]])/(tbl_Punch[[#This Row],[Total Hours Act]]+tbl_Punch[[#This Row],[Act. Hours]]),"")</f>
        <v>1.7500000000000047</v>
      </c>
      <c r="Y30" s="102">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1.0666666666666675</v>
      </c>
      <c r="Z30" s="104">
        <f>IFERROR(tbl_Punch[[#This Row],[Act. Mat. Qty]]-tbl_Punch[[#This Row],[Adj. Mat. Qty]],"")</f>
        <v>0</v>
      </c>
      <c r="AA30" s="105">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0</v>
      </c>
      <c r="AB30" s="28" t="s">
        <v>426</v>
      </c>
      <c r="AC30" s="31" t="s">
        <v>406</v>
      </c>
      <c r="AD30" s="36"/>
    </row>
    <row r="31" spans="1:30" ht="25" customHeight="1">
      <c r="A31" s="27">
        <v>46126</v>
      </c>
      <c r="B31" s="28" t="s">
        <v>427</v>
      </c>
      <c r="C31" s="28" t="str">
        <f>IF(tbl_Punch[[#This Row],[Part'#]]="", "Batch", "Part")</f>
        <v>Part</v>
      </c>
      <c r="D31" s="28" t="s">
        <v>428</v>
      </c>
      <c r="E31" s="29">
        <v>0.69652777777777775</v>
      </c>
      <c r="F31" s="29">
        <v>0.18680555555555556</v>
      </c>
      <c r="G31" s="28">
        <v>220</v>
      </c>
      <c r="H31" s="28">
        <v>150</v>
      </c>
      <c r="I31" s="70">
        <f>tbl_Punch[[#This Row],[Qty Complete]]/tbl_Punch[[#This Row],[Qty Required]]</f>
        <v>0.68181818181818177</v>
      </c>
      <c r="J31" s="30">
        <v>20</v>
      </c>
      <c r="K31" s="28">
        <v>1</v>
      </c>
      <c r="L31" s="31">
        <f>IF(tbl_Punch[[#This Row],[Job Type]]="Batch",0,tbl_Punch[[#This Row],[Qty Required]]/tbl_Punch[[#This Row],[PPH]]*tbl_Punch[[#This Row],['# of men]])</f>
        <v>11</v>
      </c>
      <c r="M31" s="31">
        <f>IF(tbl_Punch[[#This Row],[Job Type]]="Batch",tbl_Punch[[#This Row],[Batch Hours]]*tbl_Punch[[#This Row],[% Complete]],tbl_Punch[[#This Row],[Total hours]]*tbl_Punch[[#This Row],[% Complete]])</f>
        <v>7.4999999999999991</v>
      </c>
      <c r="N31" s="31"/>
      <c r="O31" s="28" t="s">
        <v>383</v>
      </c>
      <c r="P31" s="28">
        <f>tbl_Punch[[#This Row],[Mat. Qty]]*tbl_Punch[[#This Row],[% Complete]]</f>
        <v>49.772727272727266</v>
      </c>
      <c r="Q31" s="28">
        <v>73</v>
      </c>
      <c r="R31" s="32">
        <f>IFERROR(tbl_Punch[[#This Row],[Qty Complete]]/tbl_Punch[[#This Row],[Total Hours Act]]*tbl_Punch[[#This Row],['# of men Act]],"")</f>
        <v>13.31360946745562</v>
      </c>
      <c r="S31" s="28">
        <v>1</v>
      </c>
      <c r="T31"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11.266666666666667</v>
      </c>
      <c r="U31" s="34">
        <v>50</v>
      </c>
      <c r="V31" s="33">
        <v>0.5</v>
      </c>
      <c r="W31" s="33">
        <v>1.1499999999999999</v>
      </c>
      <c r="X31" s="35">
        <f>IFERROR((tbl_Punch[[#This Row],[Adj. Total Hours]]+tbl_Punch[[#This Row],[Est. Hours]])/(tbl_Punch[[#This Row],[Total Hours Act]]+tbl_Punch[[#This Row],[Act. Hours]]),"")</f>
        <v>0.64429530201342267</v>
      </c>
      <c r="Y31"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31" s="104">
        <f>IFERROR(tbl_Punch[[#This Row],[Act. Mat. Qty]]-tbl_Punch[[#This Row],[Adj. Mat. Qty]],"")</f>
        <v>0.22727272727273373</v>
      </c>
      <c r="AA31"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B31" s="28" t="s">
        <v>429</v>
      </c>
      <c r="AC31" s="31" t="s">
        <v>406</v>
      </c>
      <c r="AD31" s="36"/>
    </row>
    <row r="32" spans="1:30" ht="25" customHeight="1">
      <c r="A32" s="27">
        <v>46127</v>
      </c>
      <c r="B32" s="28" t="s">
        <v>427</v>
      </c>
      <c r="D32" s="28" t="s">
        <v>428</v>
      </c>
      <c r="E32" s="29">
        <v>0.25</v>
      </c>
      <c r="F32" s="29">
        <v>0.45833333333333331</v>
      </c>
      <c r="G32" s="28">
        <v>220</v>
      </c>
      <c r="H32" s="28">
        <v>70</v>
      </c>
      <c r="I32" s="70">
        <f>tbl_Punch[[#This Row],[Qty Complete]]/tbl_Punch[[#This Row],[Qty Required]]</f>
        <v>0.31818181818181818</v>
      </c>
      <c r="J32" s="30">
        <v>20</v>
      </c>
      <c r="K32" s="28">
        <v>1</v>
      </c>
      <c r="L32" s="31">
        <f>IF(tbl_Punch[[#This Row],[Job Type]]="Batch",0,tbl_Punch[[#This Row],[Qty Required]]/tbl_Punch[[#This Row],[PPH]]*tbl_Punch[[#This Row],['# of men]])</f>
        <v>11</v>
      </c>
      <c r="M32" s="31">
        <f>IF(tbl_Punch[[#This Row],[Job Type]]="Batch",tbl_Punch[[#This Row],[Batch Hours]]*tbl_Punch[[#This Row],[% Complete]],tbl_Punch[[#This Row],[Total hours]]*tbl_Punch[[#This Row],[% Complete]])</f>
        <v>3.5</v>
      </c>
      <c r="N32" s="31"/>
      <c r="O32" s="28" t="s">
        <v>383</v>
      </c>
      <c r="Q32" s="28">
        <v>73</v>
      </c>
      <c r="R32" s="32">
        <f>IFERROR(tbl_Punch[[#This Row],[Qty Complete]]/tbl_Punch[[#This Row],[Total Hours Act]]*tbl_Punch[[#This Row],['# of men Act]],"")</f>
        <v>14</v>
      </c>
      <c r="S32" s="28">
        <v>1</v>
      </c>
      <c r="T32"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5</v>
      </c>
      <c r="U32" s="34">
        <v>23</v>
      </c>
      <c r="V32" s="33">
        <v>0.5</v>
      </c>
      <c r="W32" s="33">
        <v>0.1</v>
      </c>
      <c r="X32" s="35">
        <f>IFERROR((tbl_Punch[[#This Row],[Adj. Total Hours]]+tbl_Punch[[#This Row],[Est. Hours]])/(tbl_Punch[[#This Row],[Total Hours Act]]+tbl_Punch[[#This Row],[Act. Hours]]),"")</f>
        <v>0.78431372549019618</v>
      </c>
      <c r="Y32" s="102">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0.68506184586108476</v>
      </c>
      <c r="Z32" s="104">
        <f>IFERROR(tbl_Punch[[#This Row],[Act. Mat. Qty]]-tbl_Punch[[#This Row],[Adj. Mat. Qty]],"")</f>
        <v>23</v>
      </c>
      <c r="AA32" s="105">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23.227272727272734</v>
      </c>
      <c r="AC32" s="31" t="s">
        <v>389</v>
      </c>
      <c r="AD32" s="36"/>
    </row>
    <row r="33" spans="1:30" ht="25" customHeight="1">
      <c r="A33" s="27">
        <v>46127</v>
      </c>
      <c r="B33" s="28" t="s">
        <v>430</v>
      </c>
      <c r="D33" s="28" t="s">
        <v>382</v>
      </c>
      <c r="E33" s="29">
        <v>0.47916666666666669</v>
      </c>
      <c r="F33" s="29">
        <v>0.5625</v>
      </c>
      <c r="G33" s="28">
        <v>220</v>
      </c>
      <c r="H33" s="28">
        <v>28</v>
      </c>
      <c r="I33" s="70">
        <f>tbl_Punch[[#This Row],[Qty Complete]]/tbl_Punch[[#This Row],[Qty Required]]</f>
        <v>0.12727272727272726</v>
      </c>
      <c r="J33" s="30">
        <v>27</v>
      </c>
      <c r="K33" s="28">
        <v>1</v>
      </c>
      <c r="L33" s="31">
        <f>IF(tbl_Punch[[#This Row],[Job Type]]="Batch",0,tbl_Punch[[#This Row],[Qty Required]]/tbl_Punch[[#This Row],[PPH]]*tbl_Punch[[#This Row],['# of men]])</f>
        <v>8.1481481481481488</v>
      </c>
      <c r="M33" s="31">
        <f>IF(tbl_Punch[[#This Row],[Job Type]]="Batch",tbl_Punch[[#This Row],[Batch Hours]]*tbl_Punch[[#This Row],[% Complete]],tbl_Punch[[#This Row],[Total hours]]*tbl_Punch[[#This Row],[% Complete]])</f>
        <v>1.037037037037037</v>
      </c>
      <c r="N33" s="31"/>
      <c r="O33" s="28" t="s">
        <v>383</v>
      </c>
      <c r="Q33" s="28">
        <v>73</v>
      </c>
      <c r="R33" s="32">
        <f>IFERROR(tbl_Punch[[#This Row],[Qty Complete]]/tbl_Punch[[#This Row],[Total Hours Act]]*tbl_Punch[[#This Row],['# of men Act]],"")</f>
        <v>18.666666666666671</v>
      </c>
      <c r="S33" s="28">
        <v>1</v>
      </c>
      <c r="T33"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1.4999999999999996</v>
      </c>
      <c r="U33" s="34">
        <v>9</v>
      </c>
      <c r="V33" s="33">
        <v>0.5</v>
      </c>
      <c r="W33" s="33">
        <v>0.1</v>
      </c>
      <c r="X33" s="35">
        <f>IFERROR((tbl_Punch[[#This Row],[Adj. Total Hours]]+tbl_Punch[[#This Row],[Est. Hours]])/(tbl_Punch[[#This Row],[Total Hours Act]]+tbl_Punch[[#This Row],[Act. Hours]]),"")</f>
        <v>0.96064814814814836</v>
      </c>
      <c r="Y33"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33" s="104">
        <f>IFERROR(tbl_Punch[[#This Row],[Act. Mat. Qty]]-tbl_Punch[[#This Row],[Adj. Mat. Qty]],"")</f>
        <v>9</v>
      </c>
      <c r="AA33"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33" s="31" t="s">
        <v>389</v>
      </c>
      <c r="AD33" s="36"/>
    </row>
    <row r="34" spans="1:30" ht="25" customHeight="1">
      <c r="A34" s="27">
        <v>46127</v>
      </c>
      <c r="B34" s="28" t="s">
        <v>431</v>
      </c>
      <c r="C34" s="28" t="str">
        <f>IF(tbl_Punch[[#This Row],[Part'#]]="", "Batch", "Part")</f>
        <v>Part</v>
      </c>
      <c r="D34" s="28">
        <v>1503308700</v>
      </c>
      <c r="E34" s="29">
        <v>0.57291666666666663</v>
      </c>
      <c r="F34" s="29">
        <v>0.59375</v>
      </c>
      <c r="G34" s="28">
        <v>2</v>
      </c>
      <c r="H34" s="28">
        <v>0</v>
      </c>
      <c r="I34" s="70">
        <f>tbl_Punch[[#This Row],[Qty Complete]]/tbl_Punch[[#This Row],[Qty Required]]</f>
        <v>0</v>
      </c>
      <c r="J34" s="30">
        <v>11</v>
      </c>
      <c r="K34" s="28">
        <v>1</v>
      </c>
      <c r="L34" s="31">
        <f>IF(tbl_Punch[[#This Row],[Job Type]]="Batch",0,tbl_Punch[[#This Row],[Qty Required]]/tbl_Punch[[#This Row],[PPH]]*tbl_Punch[[#This Row],['# of men]])</f>
        <v>0.18181818181818182</v>
      </c>
      <c r="M34" s="31">
        <f>IF(tbl_Punch[[#This Row],[Job Type]]="Batch",tbl_Punch[[#This Row],[Batch Hours]]*tbl_Punch[[#This Row],[% Complete]],tbl_Punch[[#This Row],[Total hours]]*tbl_Punch[[#This Row],[% Complete]])</f>
        <v>0</v>
      </c>
      <c r="N34" s="31"/>
      <c r="O34" s="28" t="s">
        <v>314</v>
      </c>
      <c r="P34" s="28">
        <f>tbl_Punch[[#This Row],[Mat. Qty]]*tbl_Punch[[#This Row],[% Complete]]</f>
        <v>0</v>
      </c>
      <c r="Q34" s="28">
        <v>2</v>
      </c>
      <c r="R34" s="32">
        <f>IFERROR(tbl_Punch[[#This Row],[Qty Complete]]/tbl_Punch[[#This Row],[Total Hours Act]]*tbl_Punch[[#This Row],['# of men Act]],"")</f>
        <v>0</v>
      </c>
      <c r="S34" s="28">
        <v>1</v>
      </c>
      <c r="T34"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0.50000000000000089</v>
      </c>
      <c r="U34" s="34">
        <v>0</v>
      </c>
      <c r="V34" s="33">
        <v>0.5</v>
      </c>
      <c r="W34" s="33">
        <v>0.5</v>
      </c>
      <c r="X34" s="35">
        <f>IFERROR((tbl_Punch[[#This Row],[Adj. Total Hours]]+tbl_Punch[[#This Row],[Est. Hours]])/(tbl_Punch[[#This Row],[Total Hours Act]]+tbl_Punch[[#This Row],[Act. Hours]]),"")</f>
        <v>0.49999999999999956</v>
      </c>
      <c r="Y34"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34" s="104">
        <f>IFERROR(tbl_Punch[[#This Row],[Act. Mat. Qty]]-tbl_Punch[[#This Row],[Adj. Mat. Qty]],"")</f>
        <v>0</v>
      </c>
      <c r="AA34"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B34" s="28" t="s">
        <v>432</v>
      </c>
      <c r="AC34" s="31" t="s">
        <v>389</v>
      </c>
      <c r="AD34" s="36"/>
    </row>
    <row r="35" spans="1:30" ht="25" customHeight="1">
      <c r="A35" s="27">
        <v>46127</v>
      </c>
      <c r="B35" s="28" t="s">
        <v>420</v>
      </c>
      <c r="C35" s="28" t="str">
        <f>IF(tbl_Punch[[#This Row],[Part'#]]="", "Batch", "Part")</f>
        <v>Part</v>
      </c>
      <c r="D35" s="28" t="s">
        <v>401</v>
      </c>
      <c r="E35" s="29">
        <v>0.25</v>
      </c>
      <c r="F35" s="29">
        <v>0.3125</v>
      </c>
      <c r="G35" s="28">
        <v>196</v>
      </c>
      <c r="H35" s="28">
        <v>72</v>
      </c>
      <c r="I35" s="70">
        <f>tbl_Punch[[#This Row],[Qty Complete]]/tbl_Punch[[#This Row],[Qty Required]]</f>
        <v>0.36734693877551022</v>
      </c>
      <c r="J35" s="30">
        <v>68</v>
      </c>
      <c r="K35" s="28">
        <v>1</v>
      </c>
      <c r="L35" s="31">
        <f>IF(tbl_Punch[[#This Row],[Job Type]]="Batch",0,tbl_Punch[[#This Row],[Qty Required]]/tbl_Punch[[#This Row],[PPH]]*tbl_Punch[[#This Row],['# of men]])</f>
        <v>2.8823529411764706</v>
      </c>
      <c r="M35" s="31">
        <f>IF(tbl_Punch[[#This Row],[Job Type]]="Batch",tbl_Punch[[#This Row],[Batch Hours]]*tbl_Punch[[#This Row],[% Complete]],tbl_Punch[[#This Row],[Total hours]]*tbl_Punch[[#This Row],[% Complete]])</f>
        <v>1.0588235294117647</v>
      </c>
      <c r="N35" s="31"/>
      <c r="O35" s="28" t="s">
        <v>398</v>
      </c>
      <c r="P35" s="28">
        <f>tbl_Punch[[#This Row],[Mat. Qty]]*tbl_Punch[[#This Row],[% Complete]]</f>
        <v>6.2448979591836737</v>
      </c>
      <c r="Q35" s="28">
        <v>17</v>
      </c>
      <c r="R35" s="32">
        <f>IFERROR(tbl_Punch[[#This Row],[Qty Complete]]/tbl_Punch[[#This Row],[Total Hours Act]]*tbl_Punch[[#This Row],['# of men Act]],"")</f>
        <v>48</v>
      </c>
      <c r="S35" s="28">
        <v>1</v>
      </c>
      <c r="T35"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1.5</v>
      </c>
      <c r="U35" s="34">
        <v>6</v>
      </c>
      <c r="V35" s="33">
        <v>0.5</v>
      </c>
      <c r="W35" s="33">
        <v>0.1</v>
      </c>
      <c r="X35" s="35">
        <f>IFERROR((tbl_Punch[[#This Row],[Adj. Total Hours]]+tbl_Punch[[#This Row],[Est. Hours]])/(tbl_Punch[[#This Row],[Total Hours Act]]+tbl_Punch[[#This Row],[Act. Hours]]),"")</f>
        <v>0.97426470588235292</v>
      </c>
      <c r="Y35" s="102">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1.2132352941176479</v>
      </c>
      <c r="Z35" s="104">
        <f>IFERROR(tbl_Punch[[#This Row],[Act. Mat. Qty]]-tbl_Punch[[#This Row],[Adj. Mat. Qty]],"")</f>
        <v>-0.24489795918367374</v>
      </c>
      <c r="AA35" s="105">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-1</v>
      </c>
      <c r="AC35" s="31" t="s">
        <v>403</v>
      </c>
      <c r="AD35" s="36"/>
    </row>
    <row r="36" spans="1:30" ht="25" customHeight="1">
      <c r="A36" s="27">
        <v>46127</v>
      </c>
      <c r="B36" s="28" t="s">
        <v>433</v>
      </c>
      <c r="C36" s="28" t="str">
        <f>IF(tbl_Punch[[#This Row],[Part'#]]="", "Batch", "Part")</f>
        <v>Part</v>
      </c>
      <c r="D36" s="28" t="s">
        <v>434</v>
      </c>
      <c r="E36" s="29">
        <v>0.33333333333333331</v>
      </c>
      <c r="F36" s="29">
        <v>0.41666666666666669</v>
      </c>
      <c r="G36" s="28">
        <v>182</v>
      </c>
      <c r="H36" s="28">
        <v>182</v>
      </c>
      <c r="I36" s="70">
        <f>tbl_Punch[[#This Row],[Qty Complete]]/tbl_Punch[[#This Row],[Qty Required]]</f>
        <v>1</v>
      </c>
      <c r="J36" s="30">
        <v>47</v>
      </c>
      <c r="K36" s="28">
        <v>1</v>
      </c>
      <c r="L36" s="31">
        <f>IF(tbl_Punch[[#This Row],[Job Type]]="Batch",0,tbl_Punch[[#This Row],[Qty Required]]/tbl_Punch[[#This Row],[PPH]]*tbl_Punch[[#This Row],['# of men]])</f>
        <v>3.8723404255319149</v>
      </c>
      <c r="M36" s="31">
        <f>IF(tbl_Punch[[#This Row],[Job Type]]="Batch",tbl_Punch[[#This Row],[Batch Hours]]*tbl_Punch[[#This Row],[% Complete]],tbl_Punch[[#This Row],[Total hours]]*tbl_Punch[[#This Row],[% Complete]])</f>
        <v>3.8723404255319149</v>
      </c>
      <c r="N36" s="31"/>
      <c r="O36" s="28" t="s">
        <v>398</v>
      </c>
      <c r="P36" s="28">
        <f>tbl_Punch[[#This Row],[Mat. Qty]]*tbl_Punch[[#This Row],[% Complete]]</f>
        <v>26</v>
      </c>
      <c r="Q36" s="28">
        <v>26</v>
      </c>
      <c r="R36" s="32">
        <f>IFERROR(tbl_Punch[[#This Row],[Qty Complete]]/tbl_Punch[[#This Row],[Total Hours Act]]*tbl_Punch[[#This Row],['# of men Act]],"")</f>
        <v>90.999999999999957</v>
      </c>
      <c r="S36" s="28">
        <v>1</v>
      </c>
      <c r="T36"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2.0000000000000009</v>
      </c>
      <c r="U36" s="34">
        <v>26</v>
      </c>
      <c r="V36" s="33">
        <v>0.5</v>
      </c>
      <c r="W36" s="33">
        <v>0.5</v>
      </c>
      <c r="X36" s="35">
        <f>IFERROR((tbl_Punch[[#This Row],[Adj. Total Hours]]+tbl_Punch[[#This Row],[Est. Hours]])/(tbl_Punch[[#This Row],[Total Hours Act]]+tbl_Punch[[#This Row],[Act. Hours]]),"")</f>
        <v>1.7489361702127653</v>
      </c>
      <c r="Y36" s="102">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1.7489361702127653</v>
      </c>
      <c r="Z36" s="104">
        <f>IFERROR(tbl_Punch[[#This Row],[Act. Mat. Qty]]-tbl_Punch[[#This Row],[Adj. Mat. Qty]],"")</f>
        <v>0</v>
      </c>
      <c r="AA36" s="105">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0</v>
      </c>
      <c r="AC36" s="31" t="s">
        <v>403</v>
      </c>
      <c r="AD36" s="36"/>
    </row>
    <row r="37" spans="1:30" ht="25" customHeight="1">
      <c r="A37" s="27">
        <v>46127</v>
      </c>
      <c r="B37" s="28" t="s">
        <v>435</v>
      </c>
      <c r="C37" s="28" t="str">
        <f>IF(tbl_Punch[[#This Row],[Part'#]]="", "Batch", "Part")</f>
        <v>Part</v>
      </c>
      <c r="D37" s="28" t="s">
        <v>434</v>
      </c>
      <c r="E37" s="29">
        <v>0.42708333333333331</v>
      </c>
      <c r="F37" s="29">
        <v>0.5625</v>
      </c>
      <c r="G37" s="28">
        <v>273</v>
      </c>
      <c r="H37" s="28">
        <v>273</v>
      </c>
      <c r="I37" s="70">
        <f>tbl_Punch[[#This Row],[Qty Complete]]/tbl_Punch[[#This Row],[Qty Required]]</f>
        <v>1</v>
      </c>
      <c r="J37" s="30">
        <v>47</v>
      </c>
      <c r="K37" s="28">
        <v>1</v>
      </c>
      <c r="L37" s="31">
        <f>IF(tbl_Punch[[#This Row],[Job Type]]="Batch",0,tbl_Punch[[#This Row],[Qty Required]]/tbl_Punch[[#This Row],[PPH]]*tbl_Punch[[#This Row],['# of men]])</f>
        <v>5.8085106382978724</v>
      </c>
      <c r="M37" s="31">
        <f>IF(tbl_Punch[[#This Row],[Job Type]]="Batch",tbl_Punch[[#This Row],[Batch Hours]]*tbl_Punch[[#This Row],[% Complete]],tbl_Punch[[#This Row],[Total hours]]*tbl_Punch[[#This Row],[% Complete]])</f>
        <v>5.8085106382978724</v>
      </c>
      <c r="N37" s="31"/>
      <c r="O37" s="28" t="s">
        <v>398</v>
      </c>
      <c r="P37" s="28">
        <f>tbl_Punch[[#This Row],[Mat. Qty]]*tbl_Punch[[#This Row],[% Complete]]</f>
        <v>39</v>
      </c>
      <c r="Q37" s="28">
        <v>39</v>
      </c>
      <c r="R37" s="32">
        <f>IFERROR(tbl_Punch[[#This Row],[Qty Complete]]/tbl_Punch[[#This Row],[Total Hours Act]]*tbl_Punch[[#This Row],['# of men Act]],"")</f>
        <v>99.272727272727252</v>
      </c>
      <c r="S37" s="28">
        <v>1</v>
      </c>
      <c r="T37"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2.7500000000000004</v>
      </c>
      <c r="U37" s="34">
        <v>39</v>
      </c>
      <c r="V37" s="33">
        <v>0.5</v>
      </c>
      <c r="W37" s="33">
        <v>0.5</v>
      </c>
      <c r="X37" s="35">
        <f>IFERROR((tbl_Punch[[#This Row],[Adj. Total Hours]]+tbl_Punch[[#This Row],[Est. Hours]])/(tbl_Punch[[#This Row],[Total Hours Act]]+tbl_Punch[[#This Row],[Act. Hours]]),"")</f>
        <v>1.9410801963993451</v>
      </c>
      <c r="Y37" s="102">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1.9410801963993451</v>
      </c>
      <c r="Z37" s="104">
        <f>IFERROR(tbl_Punch[[#This Row],[Act. Mat. Qty]]-tbl_Punch[[#This Row],[Adj. Mat. Qty]],"")</f>
        <v>0</v>
      </c>
      <c r="AA37" s="105">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0</v>
      </c>
      <c r="AC37" s="31" t="s">
        <v>403</v>
      </c>
      <c r="AD37" s="36"/>
    </row>
    <row r="38" spans="1:30" ht="25" customHeight="1">
      <c r="A38" s="27">
        <v>46127</v>
      </c>
      <c r="B38" s="28" t="s">
        <v>436</v>
      </c>
      <c r="C38" s="28" t="str">
        <f>IF(tbl_Punch[[#This Row],[Part'#]]="", "Batch", "Part")</f>
        <v>Part</v>
      </c>
      <c r="D38" s="28" t="s">
        <v>397</v>
      </c>
      <c r="E38" s="29">
        <v>0.56597222222222221</v>
      </c>
      <c r="F38" s="29">
        <v>0.61875000000000002</v>
      </c>
      <c r="G38" s="28">
        <v>891</v>
      </c>
      <c r="H38" s="28">
        <v>91</v>
      </c>
      <c r="I38" s="70">
        <f>tbl_Punch[[#This Row],[Qty Complete]]/tbl_Punch[[#This Row],[Qty Required]]</f>
        <v>0.10213243546576879</v>
      </c>
      <c r="J38" s="30">
        <v>29</v>
      </c>
      <c r="K38" s="28">
        <v>1</v>
      </c>
      <c r="L38" s="31">
        <f>IF(tbl_Punch[[#This Row],[Job Type]]="Batch",0,tbl_Punch[[#This Row],[Qty Required]]/tbl_Punch[[#This Row],[PPH]]*tbl_Punch[[#This Row],['# of men]])</f>
        <v>30.724137931034484</v>
      </c>
      <c r="M38" s="31">
        <f>IF(tbl_Punch[[#This Row],[Job Type]]="Batch",tbl_Punch[[#This Row],[Batch Hours]]*tbl_Punch[[#This Row],[% Complete]],tbl_Punch[[#This Row],[Total hours]]*tbl_Punch[[#This Row],[% Complete]])</f>
        <v>3.1379310344827585</v>
      </c>
      <c r="N38" s="31"/>
      <c r="O38" s="28" t="s">
        <v>398</v>
      </c>
      <c r="P38" s="28">
        <f>tbl_Punch[[#This Row],[Mat. Qty]]*tbl_Punch[[#This Row],[% Complete]]</f>
        <v>12.970819304152636</v>
      </c>
      <c r="Q38" s="28">
        <v>127</v>
      </c>
      <c r="R38" s="32">
        <f>IFERROR(tbl_Punch[[#This Row],[Qty Complete]]/tbl_Punch[[#This Row],[Total Hours Act]]*tbl_Punch[[#This Row],['# of men Act]],"")</f>
        <v>71.842105263157848</v>
      </c>
      <c r="S38" s="28">
        <v>1</v>
      </c>
      <c r="T38"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1.2666666666666675</v>
      </c>
      <c r="U38" s="34">
        <v>13</v>
      </c>
      <c r="V38" s="33">
        <v>0.5</v>
      </c>
      <c r="W38" s="33">
        <v>0.5</v>
      </c>
      <c r="X38" s="35">
        <f>IFERROR((tbl_Punch[[#This Row],[Adj. Total Hours]]+tbl_Punch[[#This Row],[Est. Hours]])/(tbl_Punch[[#This Row],[Total Hours Act]]+tbl_Punch[[#This Row],[Act. Hours]]),"")</f>
        <v>2.0592062459336358</v>
      </c>
      <c r="Y38"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38" s="104">
        <f>IFERROR(tbl_Punch[[#This Row],[Act. Mat. Qty]]-tbl_Punch[[#This Row],[Adj. Mat. Qty]],"")</f>
        <v>2.9180695847363936E-2</v>
      </c>
      <c r="AA38"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38" s="31"/>
      <c r="AD38" s="36"/>
    </row>
    <row r="39" spans="1:30" ht="25" customHeight="1">
      <c r="A39" s="27">
        <v>46128</v>
      </c>
      <c r="B39" s="28" t="s">
        <v>436</v>
      </c>
      <c r="C39" s="28" t="str">
        <f>IF(tbl_Punch[[#This Row],[Part'#]]="", "Batch", "Part")</f>
        <v>Part</v>
      </c>
      <c r="D39" s="28" t="s">
        <v>397</v>
      </c>
      <c r="E39" s="29">
        <v>0.25</v>
      </c>
      <c r="F39" s="29">
        <v>0.125</v>
      </c>
      <c r="G39" s="28">
        <v>891</v>
      </c>
      <c r="H39" s="28">
        <v>665</v>
      </c>
      <c r="I39" s="70">
        <f>tbl_Punch[[#This Row],[Qty Complete]]/tbl_Punch[[#This Row],[Qty Required]]</f>
        <v>0.74635241301907973</v>
      </c>
      <c r="J39" s="30">
        <v>29</v>
      </c>
      <c r="K39" s="28">
        <v>1</v>
      </c>
      <c r="L39" s="31">
        <f>IF(tbl_Punch[[#This Row],[Job Type]]="Batch",0,tbl_Punch[[#This Row],[Qty Required]]/tbl_Punch[[#This Row],[PPH]]*tbl_Punch[[#This Row],['# of men]])</f>
        <v>30.724137931034484</v>
      </c>
      <c r="M39" s="31">
        <f>IF(tbl_Punch[[#This Row],[Job Type]]="Batch",tbl_Punch[[#This Row],[Batch Hours]]*tbl_Punch[[#This Row],[% Complete]],tbl_Punch[[#This Row],[Total hours]]*tbl_Punch[[#This Row],[% Complete]])</f>
        <v>22.931034482758623</v>
      </c>
      <c r="N39" s="31"/>
      <c r="O39" s="28" t="s">
        <v>398</v>
      </c>
      <c r="P39" s="28">
        <f>tbl_Punch[[#This Row],[Mat. Qty]]*tbl_Punch[[#This Row],[% Complete]]</f>
        <v>94.786756453423124</v>
      </c>
      <c r="Q39" s="28">
        <v>127</v>
      </c>
      <c r="R39" s="32">
        <f>IFERROR(tbl_Punch[[#This Row],[Qty Complete]]/tbl_Punch[[#This Row],[Total Hours Act]]*tbl_Punch[[#This Row],['# of men Act]],"")</f>
        <v>33.25</v>
      </c>
      <c r="S39" s="28">
        <v>1</v>
      </c>
      <c r="T39"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20</v>
      </c>
      <c r="U39" s="34">
        <v>95</v>
      </c>
      <c r="V39" s="33">
        <v>0.5</v>
      </c>
      <c r="W39" s="33">
        <v>0.1</v>
      </c>
      <c r="X39" s="35">
        <f>IFERROR((tbl_Punch[[#This Row],[Adj. Total Hours]]+tbl_Punch[[#This Row],[Est. Hours]])/(tbl_Punch[[#This Row],[Total Hours Act]]+tbl_Punch[[#This Row],[Act. Hours]]),"")</f>
        <v>1.1657231085949562</v>
      </c>
      <c r="Y39"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39" s="104">
        <f>IFERROR(tbl_Punch[[#This Row],[Act. Mat. Qty]]-tbl_Punch[[#This Row],[Adj. Mat. Qty]],"")</f>
        <v>0.2132435465768765</v>
      </c>
      <c r="AA39"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39" s="31"/>
      <c r="AD39" s="36"/>
    </row>
    <row r="40" spans="1:30" ht="25" customHeight="1">
      <c r="A40" s="27">
        <v>46128</v>
      </c>
      <c r="B40" s="28" t="s">
        <v>437</v>
      </c>
      <c r="C40" s="28" t="str">
        <f>IF(tbl_Punch[[#This Row],[Part'#]]="", "Batch", "Part")</f>
        <v>Part</v>
      </c>
      <c r="D40" s="28">
        <v>700336</v>
      </c>
      <c r="E40" s="29">
        <v>0.55208333333333337</v>
      </c>
      <c r="F40" s="29">
        <v>0.60416666666666663</v>
      </c>
      <c r="G40" s="28">
        <v>25</v>
      </c>
      <c r="H40" s="28">
        <v>10</v>
      </c>
      <c r="I40" s="70">
        <f>tbl_Punch[[#This Row],[Qty Complete]]/tbl_Punch[[#This Row],[Qty Required]]</f>
        <v>0.4</v>
      </c>
      <c r="J40" s="30">
        <v>11</v>
      </c>
      <c r="K40" s="28">
        <v>1</v>
      </c>
      <c r="L40" s="31">
        <f>IF(tbl_Punch[[#This Row],[Job Type]]="Batch",0,tbl_Punch[[#This Row],[Qty Required]]/tbl_Punch[[#This Row],[PPH]]*tbl_Punch[[#This Row],['# of men]])</f>
        <v>2.2727272727272729</v>
      </c>
      <c r="M40" s="31">
        <f>IF(tbl_Punch[[#This Row],[Job Type]]="Batch",tbl_Punch[[#This Row],[Batch Hours]]*tbl_Punch[[#This Row],[% Complete]],tbl_Punch[[#This Row],[Total hours]]*tbl_Punch[[#This Row],[% Complete]])</f>
        <v>0.90909090909090917</v>
      </c>
      <c r="N40" s="31"/>
      <c r="O40" s="28" t="s">
        <v>438</v>
      </c>
      <c r="P40" s="28">
        <f>tbl_Punch[[#This Row],[Mat. Qty]]*tbl_Punch[[#This Row],[% Complete]]</f>
        <v>5.2</v>
      </c>
      <c r="Q40" s="28">
        <v>13</v>
      </c>
      <c r="R40" s="32">
        <f>IFERROR(tbl_Punch[[#This Row],[Qty Complete]]/tbl_Punch[[#This Row],[Total Hours Act]]*tbl_Punch[[#This Row],['# of men Act]],"")</f>
        <v>8.0000000000000107</v>
      </c>
      <c r="S40" s="28">
        <v>1</v>
      </c>
      <c r="T40"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1.2499999999999982</v>
      </c>
      <c r="U40" s="34">
        <v>5</v>
      </c>
      <c r="V40" s="33">
        <v>0.5</v>
      </c>
      <c r="W40" s="33">
        <v>0.2</v>
      </c>
      <c r="X40" s="35">
        <f>IFERROR((tbl_Punch[[#This Row],[Adj. Total Hours]]+tbl_Punch[[#This Row],[Est. Hours]])/(tbl_Punch[[#This Row],[Total Hours Act]]+tbl_Punch[[#This Row],[Act. Hours]]),"")</f>
        <v>0.97178683385580067</v>
      </c>
      <c r="Y40"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40" s="104">
        <f>IFERROR(tbl_Punch[[#This Row],[Act. Mat. Qty]]-tbl_Punch[[#This Row],[Adj. Mat. Qty]],"")</f>
        <v>-0.20000000000000018</v>
      </c>
      <c r="AA40"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40" s="31"/>
      <c r="AD40" s="36"/>
    </row>
    <row r="41" spans="1:30" ht="25" customHeight="1">
      <c r="A41" s="27">
        <v>46128</v>
      </c>
      <c r="B41" s="28">
        <v>152806</v>
      </c>
      <c r="C41" s="28" t="str">
        <f>IF(tbl_Punch[[#This Row],[Part'#]]="", "Batch", "Part")</f>
        <v>Part</v>
      </c>
      <c r="D41" s="28">
        <v>700336</v>
      </c>
      <c r="E41" s="29">
        <v>0.71319444444444446</v>
      </c>
      <c r="F41" s="29">
        <v>0.77361111111111114</v>
      </c>
      <c r="G41" s="28">
        <v>25</v>
      </c>
      <c r="H41" s="28">
        <v>4</v>
      </c>
      <c r="I41" s="70">
        <f>tbl_Punch[[#This Row],[Qty Complete]]/tbl_Punch[[#This Row],[Qty Required]]</f>
        <v>0.16</v>
      </c>
      <c r="J41" s="30">
        <v>11</v>
      </c>
      <c r="K41" s="28">
        <v>1</v>
      </c>
      <c r="L41" s="31">
        <f>IF(tbl_Punch[[#This Row],[Job Type]]="Batch",0,tbl_Punch[[#This Row],[Qty Required]]/tbl_Punch[[#This Row],[PPH]]*tbl_Punch[[#This Row],['# of men]])</f>
        <v>2.2727272727272729</v>
      </c>
      <c r="M41" s="31">
        <f>IF(tbl_Punch[[#This Row],[Job Type]]="Batch",tbl_Punch[[#This Row],[Batch Hours]]*tbl_Punch[[#This Row],[% Complete]],tbl_Punch[[#This Row],[Total hours]]*tbl_Punch[[#This Row],[% Complete]])</f>
        <v>0.3636363636363637</v>
      </c>
      <c r="N41" s="31"/>
      <c r="O41" s="28" t="s">
        <v>438</v>
      </c>
      <c r="P41" s="28">
        <f>tbl_Punch[[#This Row],[Mat. Qty]]*tbl_Punch[[#This Row],[% Complete]]</f>
        <v>2.08</v>
      </c>
      <c r="Q41" s="28">
        <v>13</v>
      </c>
      <c r="R41" s="32">
        <f>IFERROR(tbl_Punch[[#This Row],[Qty Complete]]/tbl_Punch[[#This Row],[Total Hours Act]]*tbl_Punch[[#This Row],['# of men Act]],"")</f>
        <v>2.7586206896551722</v>
      </c>
      <c r="S41" s="28">
        <v>1</v>
      </c>
      <c r="T41"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1.4500000000000002</v>
      </c>
      <c r="U41" s="34">
        <v>2</v>
      </c>
      <c r="V41" s="33">
        <v>0.5</v>
      </c>
      <c r="X41" s="35">
        <f>IFERROR((tbl_Punch[[#This Row],[Adj. Total Hours]]+tbl_Punch[[#This Row],[Est. Hours]])/(tbl_Punch[[#This Row],[Total Hours Act]]+tbl_Punch[[#This Row],[Act. Hours]]),"")</f>
        <v>0.59561128526645768</v>
      </c>
      <c r="Y41"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41" s="104">
        <f>IFERROR(tbl_Punch[[#This Row],[Act. Mat. Qty]]-tbl_Punch[[#This Row],[Adj. Mat. Qty]],"")</f>
        <v>-8.0000000000000071E-2</v>
      </c>
      <c r="AA41"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B41" s="28" t="s">
        <v>439</v>
      </c>
      <c r="AC41" s="31" t="s">
        <v>406</v>
      </c>
      <c r="AD41" s="36"/>
    </row>
    <row r="42" spans="1:30" ht="25" customHeight="1">
      <c r="A42" s="27">
        <v>46129</v>
      </c>
      <c r="B42" s="28" t="s">
        <v>767</v>
      </c>
      <c r="C42" s="28" t="str">
        <f>IF(tbl_Punch[[#This Row],[Part'#]]="", "Batch", "Part")</f>
        <v>Part</v>
      </c>
      <c r="D42" s="28" t="s">
        <v>530</v>
      </c>
      <c r="E42" s="29">
        <v>0.40277777777777779</v>
      </c>
      <c r="F42" s="29">
        <v>0.56944444444444442</v>
      </c>
      <c r="G42" s="28">
        <v>485</v>
      </c>
      <c r="H42" s="28">
        <v>485</v>
      </c>
      <c r="I42" s="70">
        <f>tbl_Punch[[#This Row],[Qty Complete]]/tbl_Punch[[#This Row],[Qty Required]]</f>
        <v>1</v>
      </c>
      <c r="J42" s="30">
        <v>340</v>
      </c>
      <c r="K42" s="28">
        <v>1</v>
      </c>
      <c r="L42" s="31">
        <f>IF(tbl_Punch[[#This Row],[Job Type]]="Batch",0,tbl_Punch[[#This Row],[Qty Required]]/tbl_Punch[[#This Row],[PPH]]*tbl_Punch[[#This Row],['# of men]])</f>
        <v>1.4264705882352942</v>
      </c>
      <c r="M42" s="31">
        <f>IF(tbl_Punch[[#This Row],[Job Type]]="Batch",tbl_Punch[[#This Row],[Batch Hours]]*tbl_Punch[[#This Row],[% Complete]],tbl_Punch[[#This Row],[Total hours]]*tbl_Punch[[#This Row],[% Complete]])</f>
        <v>1.4264705882352942</v>
      </c>
      <c r="N42" s="31"/>
      <c r="O42" s="28" t="s">
        <v>768</v>
      </c>
      <c r="P42" s="28">
        <f>tbl_Punch[[#This Row],[Mat. Qty]]*tbl_Punch[[#This Row],[% Complete]]</f>
        <v>5</v>
      </c>
      <c r="Q42" s="28">
        <v>5</v>
      </c>
      <c r="R42" s="32">
        <f>IFERROR(tbl_Punch[[#This Row],[Qty Complete]]/tbl_Punch[[#This Row],[Total Hours Act]]*tbl_Punch[[#This Row],['# of men Act]],"")</f>
        <v>138.57142857142861</v>
      </c>
      <c r="S42" s="28">
        <v>1</v>
      </c>
      <c r="T42"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3.4999999999999991</v>
      </c>
      <c r="U42" s="34">
        <v>5</v>
      </c>
      <c r="V42" s="33">
        <v>0.5</v>
      </c>
      <c r="W42" s="33">
        <v>0.1</v>
      </c>
      <c r="X42" s="35">
        <f>IFERROR((tbl_Punch[[#This Row],[Adj. Total Hours]]+tbl_Punch[[#This Row],[Est. Hours]])/(tbl_Punch[[#This Row],[Total Hours Act]]+tbl_Punch[[#This Row],[Act. Hours]]),"")</f>
        <v>0.53513071895424846</v>
      </c>
      <c r="Y42" s="102">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0.53513071895424846</v>
      </c>
      <c r="Z42" s="104">
        <f>IFERROR(tbl_Punch[[#This Row],[Act. Mat. Qty]]-tbl_Punch[[#This Row],[Adj. Mat. Qty]],"")</f>
        <v>0</v>
      </c>
      <c r="AA42" s="105">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0</v>
      </c>
      <c r="AB42" s="28" t="s">
        <v>769</v>
      </c>
      <c r="AC42" s="31"/>
      <c r="AD42" s="36"/>
    </row>
    <row r="43" spans="1:30" ht="25" customHeight="1">
      <c r="A43" s="27">
        <v>46129</v>
      </c>
      <c r="B43" s="28" t="s">
        <v>436</v>
      </c>
      <c r="C43" s="28" t="str">
        <f>IF(tbl_Punch[[#This Row],[Part'#]]="", "Batch", "Part")</f>
        <v>Part</v>
      </c>
      <c r="D43" s="28" t="s">
        <v>397</v>
      </c>
      <c r="E43" s="29">
        <v>0.25</v>
      </c>
      <c r="F43" s="29">
        <v>0.3125</v>
      </c>
      <c r="G43" s="28">
        <v>891</v>
      </c>
      <c r="H43" s="28">
        <v>140</v>
      </c>
      <c r="I43" s="70">
        <f>tbl_Punch[[#This Row],[Qty Complete]]/tbl_Punch[[#This Row],[Qty Required]]</f>
        <v>0.15712682379349047</v>
      </c>
      <c r="J43" s="30">
        <v>29</v>
      </c>
      <c r="K43" s="28">
        <v>1</v>
      </c>
      <c r="L43" s="31">
        <f>IF(tbl_Punch[[#This Row],[Job Type]]="Batch",0,tbl_Punch[[#This Row],[Qty Required]]/tbl_Punch[[#This Row],[PPH]]*tbl_Punch[[#This Row],['# of men]])</f>
        <v>30.724137931034484</v>
      </c>
      <c r="M43" s="31">
        <f>IF(tbl_Punch[[#This Row],[Job Type]]="Batch",tbl_Punch[[#This Row],[Batch Hours]]*tbl_Punch[[#This Row],[% Complete]],tbl_Punch[[#This Row],[Total hours]]*tbl_Punch[[#This Row],[% Complete]])</f>
        <v>4.8275862068965525</v>
      </c>
      <c r="N43" s="31"/>
      <c r="O43" s="28" t="s">
        <v>398</v>
      </c>
      <c r="P43" s="28">
        <f>tbl_Punch[[#This Row],[Mat. Qty]]*tbl_Punch[[#This Row],[% Complete]]</f>
        <v>19.95510662177329</v>
      </c>
      <c r="Q43" s="28">
        <v>127</v>
      </c>
      <c r="R43" s="32">
        <f>IFERROR(tbl_Punch[[#This Row],[Qty Complete]]/tbl_Punch[[#This Row],[Total Hours Act]]*tbl_Punch[[#This Row],['# of men Act]],"")</f>
        <v>93.333333333333329</v>
      </c>
      <c r="S43" s="28">
        <v>1</v>
      </c>
      <c r="T43"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1.5</v>
      </c>
      <c r="U43" s="34">
        <v>20</v>
      </c>
      <c r="V43" s="33">
        <v>0.5</v>
      </c>
      <c r="W43" s="33">
        <v>0.1</v>
      </c>
      <c r="X43" s="35">
        <f>IFERROR((tbl_Punch[[#This Row],[Adj. Total Hours]]+tbl_Punch[[#This Row],[Est. Hours]])/(tbl_Punch[[#This Row],[Total Hours Act]]+tbl_Punch[[#This Row],[Act. Hours]]),"")</f>
        <v>3.3297413793103452</v>
      </c>
      <c r="Y43" s="102">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1.3805348746081507</v>
      </c>
      <c r="Z43" s="104">
        <f>IFERROR(tbl_Punch[[#This Row],[Act. Mat. Qty]]-tbl_Punch[[#This Row],[Adj. Mat. Qty]],"")</f>
        <v>4.4893378226710468E-2</v>
      </c>
      <c r="AA43" s="105">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0.28731762065095268</v>
      </c>
      <c r="AC43" s="31"/>
      <c r="AD43" s="36"/>
    </row>
    <row r="44" spans="1:30" ht="25" customHeight="1">
      <c r="A44" s="27">
        <v>46129</v>
      </c>
      <c r="B44" s="28" t="s">
        <v>770</v>
      </c>
      <c r="C44" s="28" t="str">
        <f>IF(tbl_Punch[[#This Row],[Part'#]]="", "Batch", "Part")</f>
        <v>Part</v>
      </c>
      <c r="D44" s="28" t="s">
        <v>397</v>
      </c>
      <c r="E44" s="29">
        <v>0.39583333333333331</v>
      </c>
      <c r="F44" s="29">
        <v>0.60416666666666663</v>
      </c>
      <c r="G44" s="28">
        <v>1089</v>
      </c>
      <c r="H44" s="28">
        <v>567</v>
      </c>
      <c r="I44" s="70">
        <f>tbl_Punch[[#This Row],[Qty Complete]]/tbl_Punch[[#This Row],[Qty Required]]</f>
        <v>0.52066115702479343</v>
      </c>
      <c r="J44" s="30">
        <v>29</v>
      </c>
      <c r="L44" s="31">
        <f>IF(tbl_Punch[[#This Row],[Job Type]]="Batch",0,tbl_Punch[[#This Row],[Qty Required]]/tbl_Punch[[#This Row],[PPH]]*tbl_Punch[[#This Row],['# of men]])</f>
        <v>0</v>
      </c>
      <c r="M44" s="31">
        <f>IF(tbl_Punch[[#This Row],[Job Type]]="Batch",tbl_Punch[[#This Row],[Batch Hours]]*tbl_Punch[[#This Row],[% Complete]],tbl_Punch[[#This Row],[Total hours]]*tbl_Punch[[#This Row],[% Complete]])</f>
        <v>0</v>
      </c>
      <c r="N44" s="31"/>
      <c r="O44" s="28">
        <v>1518752</v>
      </c>
      <c r="P44" s="28">
        <f>tbl_Punch[[#This Row],[Mat. Qty]]*tbl_Punch[[#This Row],[% Complete]]</f>
        <v>80.702479338842977</v>
      </c>
      <c r="Q44" s="28">
        <v>155</v>
      </c>
      <c r="R44" s="32">
        <f>IFERROR(tbl_Punch[[#This Row],[Qty Complete]]/tbl_Punch[[#This Row],[Total Hours Act]]*tbl_Punch[[#This Row],['# of men Act]],"")</f>
        <v>126</v>
      </c>
      <c r="S44" s="28">
        <v>1</v>
      </c>
      <c r="T44"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4.5</v>
      </c>
      <c r="U44" s="34">
        <v>81</v>
      </c>
      <c r="V44" s="33">
        <v>0.5</v>
      </c>
      <c r="W44" s="33">
        <v>0.1</v>
      </c>
      <c r="X44" s="35">
        <f>IFERROR((tbl_Punch[[#This Row],[Adj. Total Hours]]+tbl_Punch[[#This Row],[Est. Hours]])/(tbl_Punch[[#This Row],[Total Hours Act]]+tbl_Punch[[#This Row],[Act. Hours]]),"")</f>
        <v>0.10869565217391305</v>
      </c>
      <c r="Y44"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44" s="104">
        <f>IFERROR(tbl_Punch[[#This Row],[Act. Mat. Qty]]-tbl_Punch[[#This Row],[Adj. Mat. Qty]],"")</f>
        <v>0.29752066115702291</v>
      </c>
      <c r="AA44"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B44" s="28" t="s">
        <v>771</v>
      </c>
      <c r="AC44" s="31"/>
      <c r="AD44" s="36"/>
    </row>
    <row r="45" spans="1:30" ht="25" customHeight="1">
      <c r="A45" s="27">
        <v>46129</v>
      </c>
      <c r="B45" s="28" t="s">
        <v>770</v>
      </c>
      <c r="C45" s="28" t="str">
        <f>IF(tbl_Punch[[#This Row],[Part'#]]="", "Batch", "Part")</f>
        <v>Part</v>
      </c>
      <c r="D45" s="28" t="s">
        <v>397</v>
      </c>
      <c r="E45" s="29">
        <v>5.6250000000000001E-2</v>
      </c>
      <c r="F45" s="29">
        <v>0.20972222222222223</v>
      </c>
      <c r="G45" s="112">
        <v>1089</v>
      </c>
      <c r="H45" s="28">
        <v>189</v>
      </c>
      <c r="I45" s="70">
        <f>tbl_Punch[[#This Row],[Qty Complete]]/tbl_Punch[[#This Row],[Qty Required]]</f>
        <v>0.17355371900826447</v>
      </c>
      <c r="J45" s="30">
        <v>29</v>
      </c>
      <c r="K45" s="28">
        <v>1</v>
      </c>
      <c r="L45" s="31">
        <f>IF(tbl_Punch[[#This Row],[Job Type]]="Batch",0,tbl_Punch[[#This Row],[Qty Required]]/tbl_Punch[[#This Row],[PPH]]*tbl_Punch[[#This Row],['# of men]])</f>
        <v>37.551724137931032</v>
      </c>
      <c r="M45" s="31">
        <f>IF(tbl_Punch[[#This Row],[Job Type]]="Batch",tbl_Punch[[#This Row],[Batch Hours]]*tbl_Punch[[#This Row],[% Complete]],tbl_Punch[[#This Row],[Total hours]]*tbl_Punch[[#This Row],[% Complete]])</f>
        <v>6.5172413793103443</v>
      </c>
      <c r="N45" s="31"/>
      <c r="O45" s="28" t="s">
        <v>798</v>
      </c>
      <c r="P45" s="28">
        <f>tbl_Punch[[#This Row],[Mat. Qty]]*tbl_Punch[[#This Row],[% Complete]]</f>
        <v>27.074380165289256</v>
      </c>
      <c r="Q45" s="28">
        <v>156</v>
      </c>
      <c r="R45" s="32">
        <f>IFERROR(tbl_Punch[[#This Row],[Qty Complete]]/tbl_Punch[[#This Row],[Total Hours Act]]*tbl_Punch[[#This Row],['# of men Act]],"")</f>
        <v>51.312217194570131</v>
      </c>
      <c r="S45" s="28">
        <v>1</v>
      </c>
      <c r="T45"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3.6833333333333336</v>
      </c>
      <c r="U45" s="34">
        <v>27</v>
      </c>
      <c r="V45" s="33">
        <v>0.5</v>
      </c>
      <c r="X45" s="35">
        <f>IFERROR((tbl_Punch[[#This Row],[Adj. Total Hours]]+tbl_Punch[[#This Row],[Est. Hours]])/(tbl_Punch[[#This Row],[Total Hours Act]]+tbl_Punch[[#This Row],[Act. Hours]]),"")</f>
        <v>1.9051334061476046</v>
      </c>
      <c r="Y45"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45" s="104">
        <f>IFERROR(tbl_Punch[[#This Row],[Act. Mat. Qty]]-tbl_Punch[[#This Row],[Adj. Mat. Qty]],"")</f>
        <v>-7.4380165289255729E-2</v>
      </c>
      <c r="AA45"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45" s="31" t="s">
        <v>799</v>
      </c>
      <c r="AD45" s="36"/>
    </row>
    <row r="46" spans="1:30" ht="25" customHeight="1">
      <c r="C46" s="28" t="str">
        <f>IF(tbl_Punch[[#This Row],[Part'#]]="", "Batch", "Part")</f>
        <v>Batch</v>
      </c>
      <c r="G46" s="28"/>
      <c r="I46" s="70" t="e">
        <f>tbl_Punch[[#This Row],[Qty Complete]]/tbl_Punch[[#This Row],[Qty Required]]</f>
        <v>#DIV/0!</v>
      </c>
      <c r="L46" s="31">
        <f>IF(tbl_Punch[[#This Row],[Job Type]]="Batch",0,tbl_Punch[[#This Row],[Qty Required]]/tbl_Punch[[#This Row],[PPH]]*tbl_Punch[[#This Row],['# of men]])</f>
        <v>0</v>
      </c>
      <c r="M46" s="31" t="e">
        <f>IF(tbl_Punch[[#This Row],[Job Type]]="Batch",tbl_Punch[[#This Row],[Batch Hours]]*tbl_Punch[[#This Row],[% Complete]],tbl_Punch[[#This Row],[Total hours]]*tbl_Punch[[#This Row],[% Complete]])</f>
        <v>#DIV/0!</v>
      </c>
      <c r="N46" s="31"/>
      <c r="P46" s="28" t="e">
        <f>tbl_Punch[[#This Row],[Mat. Qty]]*tbl_Punch[[#This Row],[% Complete]]</f>
        <v>#DIV/0!</v>
      </c>
      <c r="R46" s="32" t="str">
        <f>IFERROR(tbl_Punch[[#This Row],[Qty Complete]]/tbl_Punch[[#This Row],[Total Hours Act]]*tbl_Punch[[#This Row],['# of men Act]],"")</f>
        <v/>
      </c>
      <c r="T46"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46" s="35" t="str">
        <f>IFERROR((tbl_Punch[[#This Row],[Adj. Total Hours]]+tbl_Punch[[#This Row],[Est. Hours]])/(tbl_Punch[[#This Row],[Total Hours Act]]+tbl_Punch[[#This Row],[Act. Hours]]),"")</f>
        <v/>
      </c>
      <c r="Y46"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46" s="104" t="str">
        <f>IFERROR(tbl_Punch[[#This Row],[Act. Mat. Qty]]-tbl_Punch[[#This Row],[Adj. Mat. Qty]],"")</f>
        <v/>
      </c>
      <c r="AA46"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46" s="31"/>
      <c r="AD46" s="36"/>
    </row>
    <row r="47" spans="1:30" ht="25" customHeight="1">
      <c r="C47" s="28" t="str">
        <f>IF(tbl_Punch[[#This Row],[Part'#]]="", "Batch", "Part")</f>
        <v>Batch</v>
      </c>
      <c r="G47" s="28"/>
      <c r="I47" s="70" t="e">
        <f>tbl_Punch[[#This Row],[Qty Complete]]/tbl_Punch[[#This Row],[Qty Required]]</f>
        <v>#DIV/0!</v>
      </c>
      <c r="L47" s="31">
        <f>IF(tbl_Punch[[#This Row],[Job Type]]="Batch",0,tbl_Punch[[#This Row],[Qty Required]]/tbl_Punch[[#This Row],[PPH]]*tbl_Punch[[#This Row],['# of men]])</f>
        <v>0</v>
      </c>
      <c r="M47" s="31" t="e">
        <f>IF(tbl_Punch[[#This Row],[Job Type]]="Batch",tbl_Punch[[#This Row],[Batch Hours]]*tbl_Punch[[#This Row],[% Complete]],tbl_Punch[[#This Row],[Total hours]]*tbl_Punch[[#This Row],[% Complete]])</f>
        <v>#DIV/0!</v>
      </c>
      <c r="N47" s="31"/>
      <c r="P47" s="28" t="e">
        <f>tbl_Punch[[#This Row],[Mat. Qty]]*tbl_Punch[[#This Row],[% Complete]]</f>
        <v>#DIV/0!</v>
      </c>
      <c r="R47" s="32" t="str">
        <f>IFERROR(tbl_Punch[[#This Row],[Qty Complete]]/tbl_Punch[[#This Row],[Total Hours Act]]*tbl_Punch[[#This Row],['# of men Act]],"")</f>
        <v/>
      </c>
      <c r="T47"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47" s="35" t="str">
        <f>IFERROR((tbl_Punch[[#This Row],[Adj. Total Hours]]+tbl_Punch[[#This Row],[Est. Hours]])/(tbl_Punch[[#This Row],[Total Hours Act]]+tbl_Punch[[#This Row],[Act. Hours]]),"")</f>
        <v/>
      </c>
      <c r="Y47"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47" s="104" t="str">
        <f>IFERROR(tbl_Punch[[#This Row],[Act. Mat. Qty]]-tbl_Punch[[#This Row],[Adj. Mat. Qty]],"")</f>
        <v/>
      </c>
      <c r="AA47"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47" s="31"/>
      <c r="AD47" s="36"/>
    </row>
    <row r="48" spans="1:30" ht="25" customHeight="1">
      <c r="C48" s="28" t="str">
        <f>IF(tbl_Punch[[#This Row],[Part'#]]="", "Batch", "Part")</f>
        <v>Batch</v>
      </c>
      <c r="G48" s="28"/>
      <c r="I48" s="70" t="e">
        <f>tbl_Punch[[#This Row],[Qty Complete]]/tbl_Punch[[#This Row],[Qty Required]]</f>
        <v>#DIV/0!</v>
      </c>
      <c r="L48" s="31">
        <f>IF(tbl_Punch[[#This Row],[Job Type]]="Batch",0,tbl_Punch[[#This Row],[Qty Required]]/tbl_Punch[[#This Row],[PPH]]*tbl_Punch[[#This Row],['# of men]])</f>
        <v>0</v>
      </c>
      <c r="M48" s="31" t="e">
        <f>IF(tbl_Punch[[#This Row],[Job Type]]="Batch",tbl_Punch[[#This Row],[Batch Hours]]*tbl_Punch[[#This Row],[% Complete]],tbl_Punch[[#This Row],[Total hours]]*tbl_Punch[[#This Row],[% Complete]])</f>
        <v>#DIV/0!</v>
      </c>
      <c r="N48" s="31"/>
      <c r="P48" s="28" t="e">
        <f>tbl_Punch[[#This Row],[Mat. Qty]]*tbl_Punch[[#This Row],[% Complete]]</f>
        <v>#DIV/0!</v>
      </c>
      <c r="R48" s="32" t="str">
        <f>IFERROR(tbl_Punch[[#This Row],[Qty Complete]]/tbl_Punch[[#This Row],[Total Hours Act]]*tbl_Punch[[#This Row],['# of men Act]],"")</f>
        <v/>
      </c>
      <c r="T48"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48" s="35" t="str">
        <f>IFERROR((tbl_Punch[[#This Row],[Adj. Total Hours]]+tbl_Punch[[#This Row],[Est. Hours]])/(tbl_Punch[[#This Row],[Total Hours Act]]+tbl_Punch[[#This Row],[Act. Hours]]),"")</f>
        <v/>
      </c>
      <c r="Y48"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48" s="104" t="str">
        <f>IFERROR(tbl_Punch[[#This Row],[Act. Mat. Qty]]-tbl_Punch[[#This Row],[Adj. Mat. Qty]],"")</f>
        <v/>
      </c>
      <c r="AA48"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48" s="31"/>
      <c r="AD48" s="36"/>
    </row>
    <row r="49" spans="3:30" ht="25" customHeight="1">
      <c r="C49" s="28" t="str">
        <f>IF(tbl_Punch[[#This Row],[Part'#]]="", "Batch", "Part")</f>
        <v>Batch</v>
      </c>
      <c r="G49" s="28"/>
      <c r="I49" s="70" t="e">
        <f>tbl_Punch[[#This Row],[Qty Complete]]/tbl_Punch[[#This Row],[Qty Required]]</f>
        <v>#DIV/0!</v>
      </c>
      <c r="L49" s="31">
        <f>IF(tbl_Punch[[#This Row],[Job Type]]="Batch",0,tbl_Punch[[#This Row],[Qty Required]]/tbl_Punch[[#This Row],[PPH]]*tbl_Punch[[#This Row],['# of men]])</f>
        <v>0</v>
      </c>
      <c r="M49" s="31" t="e">
        <f>IF(tbl_Punch[[#This Row],[Job Type]]="Batch",tbl_Punch[[#This Row],[Batch Hours]]*tbl_Punch[[#This Row],[% Complete]],tbl_Punch[[#This Row],[Total hours]]*tbl_Punch[[#This Row],[% Complete]])</f>
        <v>#DIV/0!</v>
      </c>
      <c r="N49" s="31"/>
      <c r="P49" s="28" t="e">
        <f>tbl_Punch[[#This Row],[Mat. Qty]]*tbl_Punch[[#This Row],[% Complete]]</f>
        <v>#DIV/0!</v>
      </c>
      <c r="R49" s="32" t="str">
        <f>IFERROR(tbl_Punch[[#This Row],[Qty Complete]]/tbl_Punch[[#This Row],[Total Hours Act]]*tbl_Punch[[#This Row],['# of men Act]],"")</f>
        <v/>
      </c>
      <c r="T49"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49" s="35" t="str">
        <f>IFERROR((tbl_Punch[[#This Row],[Adj. Total Hours]]+tbl_Punch[[#This Row],[Est. Hours]])/(tbl_Punch[[#This Row],[Total Hours Act]]+tbl_Punch[[#This Row],[Act. Hours]]),"")</f>
        <v/>
      </c>
      <c r="Y49"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49" s="104" t="str">
        <f>IFERROR(tbl_Punch[[#This Row],[Act. Mat. Qty]]-tbl_Punch[[#This Row],[Adj. Mat. Qty]],"")</f>
        <v/>
      </c>
      <c r="AA49"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49" s="31"/>
      <c r="AD49" s="36"/>
    </row>
    <row r="50" spans="3:30" ht="25" customHeight="1">
      <c r="C50" s="28" t="str">
        <f>IF(tbl_Punch[[#This Row],[Part'#]]="", "Batch", "Part")</f>
        <v>Batch</v>
      </c>
      <c r="G50" s="28"/>
      <c r="I50" s="70" t="e">
        <f>tbl_Punch[[#This Row],[Qty Complete]]/tbl_Punch[[#This Row],[Qty Required]]</f>
        <v>#DIV/0!</v>
      </c>
      <c r="L50" s="31">
        <f>IF(tbl_Punch[[#This Row],[Job Type]]="Batch",0,tbl_Punch[[#This Row],[Qty Required]]/tbl_Punch[[#This Row],[PPH]]*tbl_Punch[[#This Row],['# of men]])</f>
        <v>0</v>
      </c>
      <c r="M50" s="31" t="e">
        <f>IF(tbl_Punch[[#This Row],[Job Type]]="Batch",tbl_Punch[[#This Row],[Batch Hours]]*tbl_Punch[[#This Row],[% Complete]],tbl_Punch[[#This Row],[Total hours]]*tbl_Punch[[#This Row],[% Complete]])</f>
        <v>#DIV/0!</v>
      </c>
      <c r="N50" s="31"/>
      <c r="P50" s="28" t="e">
        <f>tbl_Punch[[#This Row],[Mat. Qty]]*tbl_Punch[[#This Row],[% Complete]]</f>
        <v>#DIV/0!</v>
      </c>
      <c r="R50" s="32" t="str">
        <f>IFERROR(tbl_Punch[[#This Row],[Qty Complete]]/tbl_Punch[[#This Row],[Total Hours Act]]*tbl_Punch[[#This Row],['# of men Act]],"")</f>
        <v/>
      </c>
      <c r="T50"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50" s="35" t="str">
        <f>IFERROR((tbl_Punch[[#This Row],[Adj. Total Hours]]+tbl_Punch[[#This Row],[Est. Hours]])/(tbl_Punch[[#This Row],[Total Hours Act]]+tbl_Punch[[#This Row],[Act. Hours]]),"")</f>
        <v/>
      </c>
      <c r="Y50"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50" s="104" t="str">
        <f>IFERROR(tbl_Punch[[#This Row],[Act. Mat. Qty]]-tbl_Punch[[#This Row],[Adj. Mat. Qty]],"")</f>
        <v/>
      </c>
      <c r="AA50"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50" s="31"/>
      <c r="AD50" s="36"/>
    </row>
    <row r="51" spans="3:30" ht="25" customHeight="1">
      <c r="C51" s="28" t="str">
        <f>IF(tbl_Punch[[#This Row],[Part'#]]="", "Batch", "Part")</f>
        <v>Batch</v>
      </c>
      <c r="G51" s="28"/>
      <c r="I51" s="70" t="e">
        <f>tbl_Punch[[#This Row],[Qty Complete]]/tbl_Punch[[#This Row],[Qty Required]]</f>
        <v>#DIV/0!</v>
      </c>
      <c r="L51" s="31">
        <f>IF(tbl_Punch[[#This Row],[Job Type]]="Batch",0,tbl_Punch[[#This Row],[Qty Required]]/tbl_Punch[[#This Row],[PPH]]*tbl_Punch[[#This Row],['# of men]])</f>
        <v>0</v>
      </c>
      <c r="M51" s="31" t="e">
        <f>IF(tbl_Punch[[#This Row],[Job Type]]="Batch",tbl_Punch[[#This Row],[Batch Hours]]*tbl_Punch[[#This Row],[% Complete]],tbl_Punch[[#This Row],[Total hours]]*tbl_Punch[[#This Row],[% Complete]])</f>
        <v>#DIV/0!</v>
      </c>
      <c r="N51" s="31"/>
      <c r="P51" s="28" t="e">
        <f>tbl_Punch[[#This Row],[Mat. Qty]]*tbl_Punch[[#This Row],[% Complete]]</f>
        <v>#DIV/0!</v>
      </c>
      <c r="R51" s="32" t="str">
        <f>IFERROR(tbl_Punch[[#This Row],[Qty Complete]]/tbl_Punch[[#This Row],[Total Hours Act]]*tbl_Punch[[#This Row],['# of men Act]],"")</f>
        <v/>
      </c>
      <c r="T51"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51" s="35" t="str">
        <f>IFERROR((tbl_Punch[[#This Row],[Adj. Total Hours]]+tbl_Punch[[#This Row],[Est. Hours]])/(tbl_Punch[[#This Row],[Total Hours Act]]+tbl_Punch[[#This Row],[Act. Hours]]),"")</f>
        <v/>
      </c>
      <c r="Y51"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51" s="104" t="str">
        <f>IFERROR(tbl_Punch[[#This Row],[Act. Mat. Qty]]-tbl_Punch[[#This Row],[Adj. Mat. Qty]],"")</f>
        <v/>
      </c>
      <c r="AA51"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51" s="31"/>
      <c r="AD51" s="36"/>
    </row>
    <row r="52" spans="3:30" ht="25" customHeight="1">
      <c r="C52" s="28" t="str">
        <f>IF(tbl_Punch[[#This Row],[Part'#]]="", "Batch", "Part")</f>
        <v>Batch</v>
      </c>
      <c r="G52" s="28"/>
      <c r="I52" s="70" t="e">
        <f>tbl_Punch[[#This Row],[Qty Complete]]/tbl_Punch[[#This Row],[Qty Required]]</f>
        <v>#DIV/0!</v>
      </c>
      <c r="L52" s="31">
        <f>IF(tbl_Punch[[#This Row],[Job Type]]="Batch",0,tbl_Punch[[#This Row],[Qty Required]]/tbl_Punch[[#This Row],[PPH]]*tbl_Punch[[#This Row],['# of men]])</f>
        <v>0</v>
      </c>
      <c r="M52" s="31" t="e">
        <f>IF(tbl_Punch[[#This Row],[Job Type]]="Batch",tbl_Punch[[#This Row],[Batch Hours]]*tbl_Punch[[#This Row],[% Complete]],tbl_Punch[[#This Row],[Total hours]]*tbl_Punch[[#This Row],[% Complete]])</f>
        <v>#DIV/0!</v>
      </c>
      <c r="N52" s="31"/>
      <c r="P52" s="28" t="e">
        <f>tbl_Punch[[#This Row],[Mat. Qty]]*tbl_Punch[[#This Row],[% Complete]]</f>
        <v>#DIV/0!</v>
      </c>
      <c r="R52" s="32" t="str">
        <f>IFERROR(tbl_Punch[[#This Row],[Qty Complete]]/tbl_Punch[[#This Row],[Total Hours Act]]*tbl_Punch[[#This Row],['# of men Act]],"")</f>
        <v/>
      </c>
      <c r="T52"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52" s="35" t="str">
        <f>IFERROR((tbl_Punch[[#This Row],[Adj. Total Hours]]+tbl_Punch[[#This Row],[Est. Hours]])/(tbl_Punch[[#This Row],[Total Hours Act]]+tbl_Punch[[#This Row],[Act. Hours]]),"")</f>
        <v/>
      </c>
      <c r="Y52"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52" s="104" t="str">
        <f>IFERROR(tbl_Punch[[#This Row],[Act. Mat. Qty]]-tbl_Punch[[#This Row],[Adj. Mat. Qty]],"")</f>
        <v/>
      </c>
      <c r="AA52"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52" s="31"/>
      <c r="AD52" s="36"/>
    </row>
    <row r="53" spans="3:30" ht="25" customHeight="1">
      <c r="C53" s="28" t="str">
        <f>IF(tbl_Punch[[#This Row],[Part'#]]="", "Batch", "Part")</f>
        <v>Batch</v>
      </c>
      <c r="G53" s="28"/>
      <c r="I53" s="70" t="e">
        <f>tbl_Punch[[#This Row],[Qty Complete]]/tbl_Punch[[#This Row],[Qty Required]]</f>
        <v>#DIV/0!</v>
      </c>
      <c r="L53" s="31">
        <f>IF(tbl_Punch[[#This Row],[Job Type]]="Batch",0,tbl_Punch[[#This Row],[Qty Required]]/tbl_Punch[[#This Row],[PPH]]*tbl_Punch[[#This Row],['# of men]])</f>
        <v>0</v>
      </c>
      <c r="M53" s="31" t="e">
        <f>IF(tbl_Punch[[#This Row],[Job Type]]="Batch",tbl_Punch[[#This Row],[Batch Hours]]*tbl_Punch[[#This Row],[% Complete]],tbl_Punch[[#This Row],[Total hours]]*tbl_Punch[[#This Row],[% Complete]])</f>
        <v>#DIV/0!</v>
      </c>
      <c r="N53" s="31"/>
      <c r="P53" s="28" t="e">
        <f>tbl_Punch[[#This Row],[Mat. Qty]]*tbl_Punch[[#This Row],[% Complete]]</f>
        <v>#DIV/0!</v>
      </c>
      <c r="R53" s="32" t="str">
        <f>IFERROR(tbl_Punch[[#This Row],[Qty Complete]]/tbl_Punch[[#This Row],[Total Hours Act]]*tbl_Punch[[#This Row],['# of men Act]],"")</f>
        <v/>
      </c>
      <c r="T53"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53" s="35" t="str">
        <f>IFERROR((tbl_Punch[[#This Row],[Adj. Total Hours]]+tbl_Punch[[#This Row],[Est. Hours]])/(tbl_Punch[[#This Row],[Total Hours Act]]+tbl_Punch[[#This Row],[Act. Hours]]),"")</f>
        <v/>
      </c>
      <c r="Y53"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53" s="104" t="str">
        <f>IFERROR(tbl_Punch[[#This Row],[Act. Mat. Qty]]-tbl_Punch[[#This Row],[Adj. Mat. Qty]],"")</f>
        <v/>
      </c>
      <c r="AA53"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53" s="31"/>
      <c r="AD53" s="36"/>
    </row>
    <row r="54" spans="3:30" ht="25" customHeight="1">
      <c r="C54" s="28" t="str">
        <f>IF(tbl_Punch[[#This Row],[Part'#]]="", "Batch", "Part")</f>
        <v>Batch</v>
      </c>
      <c r="G54" s="28"/>
      <c r="I54" s="70" t="e">
        <f>tbl_Punch[[#This Row],[Qty Complete]]/tbl_Punch[[#This Row],[Qty Required]]</f>
        <v>#DIV/0!</v>
      </c>
      <c r="L54" s="31">
        <f>IF(tbl_Punch[[#This Row],[Job Type]]="Batch",0,tbl_Punch[[#This Row],[Qty Required]]/tbl_Punch[[#This Row],[PPH]]*tbl_Punch[[#This Row],['# of men]])</f>
        <v>0</v>
      </c>
      <c r="M54" s="31" t="e">
        <f>IF(tbl_Punch[[#This Row],[Job Type]]="Batch",tbl_Punch[[#This Row],[Batch Hours]]*tbl_Punch[[#This Row],[% Complete]],tbl_Punch[[#This Row],[Total hours]]*tbl_Punch[[#This Row],[% Complete]])</f>
        <v>#DIV/0!</v>
      </c>
      <c r="N54" s="31"/>
      <c r="P54" s="28" t="e">
        <f>tbl_Punch[[#This Row],[Mat. Qty]]*tbl_Punch[[#This Row],[% Complete]]</f>
        <v>#DIV/0!</v>
      </c>
      <c r="R54" s="32" t="str">
        <f>IFERROR(tbl_Punch[[#This Row],[Qty Complete]]/tbl_Punch[[#This Row],[Total Hours Act]]*tbl_Punch[[#This Row],['# of men Act]],"")</f>
        <v/>
      </c>
      <c r="T54"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54" s="35" t="str">
        <f>IFERROR((tbl_Punch[[#This Row],[Adj. Total Hours]]+tbl_Punch[[#This Row],[Est. Hours]])/(tbl_Punch[[#This Row],[Total Hours Act]]+tbl_Punch[[#This Row],[Act. Hours]]),"")</f>
        <v/>
      </c>
      <c r="Y54"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54" s="104" t="str">
        <f>IFERROR(tbl_Punch[[#This Row],[Act. Mat. Qty]]-tbl_Punch[[#This Row],[Adj. Mat. Qty]],"")</f>
        <v/>
      </c>
      <c r="AA54"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54" s="31"/>
      <c r="AD54" s="36"/>
    </row>
    <row r="55" spans="3:30" ht="25" customHeight="1">
      <c r="C55" s="28" t="str">
        <f>IF(tbl_Punch[[#This Row],[Part'#]]="", "Batch", "Part")</f>
        <v>Batch</v>
      </c>
      <c r="G55" s="28"/>
      <c r="I55" s="70" t="e">
        <f>tbl_Punch[[#This Row],[Qty Complete]]/tbl_Punch[[#This Row],[Qty Required]]</f>
        <v>#DIV/0!</v>
      </c>
      <c r="L55" s="31">
        <f>IF(tbl_Punch[[#This Row],[Job Type]]="Batch",0,tbl_Punch[[#This Row],[Qty Required]]/tbl_Punch[[#This Row],[PPH]]*tbl_Punch[[#This Row],['# of men]])</f>
        <v>0</v>
      </c>
      <c r="M55" s="31" t="e">
        <f>IF(tbl_Punch[[#This Row],[Job Type]]="Batch",tbl_Punch[[#This Row],[Batch Hours]]*tbl_Punch[[#This Row],[% Complete]],tbl_Punch[[#This Row],[Total hours]]*tbl_Punch[[#This Row],[% Complete]])</f>
        <v>#DIV/0!</v>
      </c>
      <c r="N55" s="31"/>
      <c r="P55" s="28" t="e">
        <f>tbl_Punch[[#This Row],[Mat. Qty]]*tbl_Punch[[#This Row],[% Complete]]</f>
        <v>#DIV/0!</v>
      </c>
      <c r="R55" s="32" t="str">
        <f>IFERROR(tbl_Punch[[#This Row],[Qty Complete]]/tbl_Punch[[#This Row],[Total Hours Act]]*tbl_Punch[[#This Row],['# of men Act]],"")</f>
        <v/>
      </c>
      <c r="T55"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55" s="35" t="str">
        <f>IFERROR((tbl_Punch[[#This Row],[Adj. Total Hours]]+tbl_Punch[[#This Row],[Est. Hours]])/(tbl_Punch[[#This Row],[Total Hours Act]]+tbl_Punch[[#This Row],[Act. Hours]]),"")</f>
        <v/>
      </c>
      <c r="Y55"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55" s="104" t="str">
        <f>IFERROR(tbl_Punch[[#This Row],[Act. Mat. Qty]]-tbl_Punch[[#This Row],[Adj. Mat. Qty]],"")</f>
        <v/>
      </c>
      <c r="AA55"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55" s="31"/>
      <c r="AD55" s="36"/>
    </row>
    <row r="56" spans="3:30" ht="25" customHeight="1">
      <c r="C56" s="28" t="str">
        <f>IF(tbl_Punch[[#This Row],[Part'#]]="", "Batch", "Part")</f>
        <v>Batch</v>
      </c>
      <c r="G56" s="28"/>
      <c r="I56" s="70" t="e">
        <f>tbl_Punch[[#This Row],[Qty Complete]]/tbl_Punch[[#This Row],[Qty Required]]</f>
        <v>#DIV/0!</v>
      </c>
      <c r="L56" s="31">
        <f>IF(tbl_Punch[[#This Row],[Job Type]]="Batch",0,tbl_Punch[[#This Row],[Qty Required]]/tbl_Punch[[#This Row],[PPH]]*tbl_Punch[[#This Row],['# of men]])</f>
        <v>0</v>
      </c>
      <c r="M56" s="31" t="e">
        <f>IF(tbl_Punch[[#This Row],[Job Type]]="Batch",tbl_Punch[[#This Row],[Batch Hours]]*tbl_Punch[[#This Row],[% Complete]],tbl_Punch[[#This Row],[Total hours]]*tbl_Punch[[#This Row],[% Complete]])</f>
        <v>#DIV/0!</v>
      </c>
      <c r="N56" s="31"/>
      <c r="P56" s="28" t="e">
        <f>tbl_Punch[[#This Row],[Mat. Qty]]*tbl_Punch[[#This Row],[% Complete]]</f>
        <v>#DIV/0!</v>
      </c>
      <c r="R56" s="32" t="str">
        <f>IFERROR(tbl_Punch[[#This Row],[Qty Complete]]/tbl_Punch[[#This Row],[Total Hours Act]]*tbl_Punch[[#This Row],['# of men Act]],"")</f>
        <v/>
      </c>
      <c r="T56"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56" s="35" t="str">
        <f>IFERROR((tbl_Punch[[#This Row],[Adj. Total Hours]]+tbl_Punch[[#This Row],[Est. Hours]])/(tbl_Punch[[#This Row],[Total Hours Act]]+tbl_Punch[[#This Row],[Act. Hours]]),"")</f>
        <v/>
      </c>
      <c r="Y56"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56" s="104" t="str">
        <f>IFERROR(tbl_Punch[[#This Row],[Act. Mat. Qty]]-tbl_Punch[[#This Row],[Adj. Mat. Qty]],"")</f>
        <v/>
      </c>
      <c r="AA56"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56" s="31"/>
      <c r="AD56" s="36"/>
    </row>
    <row r="57" spans="3:30" ht="25" customHeight="1">
      <c r="C57" s="28" t="str">
        <f>IF(tbl_Punch[[#This Row],[Part'#]]="", "Batch", "Part")</f>
        <v>Batch</v>
      </c>
      <c r="G57" s="28"/>
      <c r="I57" s="70" t="e">
        <f>tbl_Punch[[#This Row],[Qty Complete]]/tbl_Punch[[#This Row],[Qty Required]]</f>
        <v>#DIV/0!</v>
      </c>
      <c r="L57" s="31">
        <f>IF(tbl_Punch[[#This Row],[Job Type]]="Batch",0,tbl_Punch[[#This Row],[Qty Required]]/tbl_Punch[[#This Row],[PPH]]*tbl_Punch[[#This Row],['# of men]])</f>
        <v>0</v>
      </c>
      <c r="M57" s="31" t="e">
        <f>IF(tbl_Punch[[#This Row],[Job Type]]="Batch",tbl_Punch[[#This Row],[Batch Hours]]*tbl_Punch[[#This Row],[% Complete]],tbl_Punch[[#This Row],[Total hours]]*tbl_Punch[[#This Row],[% Complete]])</f>
        <v>#DIV/0!</v>
      </c>
      <c r="N57" s="31"/>
      <c r="P57" s="28" t="e">
        <f>tbl_Punch[[#This Row],[Mat. Qty]]*tbl_Punch[[#This Row],[% Complete]]</f>
        <v>#DIV/0!</v>
      </c>
      <c r="R57" s="32" t="str">
        <f>IFERROR(tbl_Punch[[#This Row],[Qty Complete]]/tbl_Punch[[#This Row],[Total Hours Act]]*tbl_Punch[[#This Row],['# of men Act]],"")</f>
        <v/>
      </c>
      <c r="T57"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57" s="35" t="str">
        <f>IFERROR((tbl_Punch[[#This Row],[Adj. Total Hours]]+tbl_Punch[[#This Row],[Est. Hours]])/(tbl_Punch[[#This Row],[Total Hours Act]]+tbl_Punch[[#This Row],[Act. Hours]]),"")</f>
        <v/>
      </c>
      <c r="Y57"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57" s="104" t="str">
        <f>IFERROR(tbl_Punch[[#This Row],[Act. Mat. Qty]]-tbl_Punch[[#This Row],[Adj. Mat. Qty]],"")</f>
        <v/>
      </c>
      <c r="AA57"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57" s="31"/>
      <c r="AD57" s="36"/>
    </row>
    <row r="58" spans="3:30" ht="25" customHeight="1">
      <c r="C58" s="28" t="str">
        <f>IF(tbl_Punch[[#This Row],[Part'#]]="", "Batch", "Part")</f>
        <v>Batch</v>
      </c>
      <c r="G58" s="28"/>
      <c r="I58" s="70" t="e">
        <f>tbl_Punch[[#This Row],[Qty Complete]]/tbl_Punch[[#This Row],[Qty Required]]</f>
        <v>#DIV/0!</v>
      </c>
      <c r="L58" s="31">
        <f>IF(tbl_Punch[[#This Row],[Job Type]]="Batch",0,tbl_Punch[[#This Row],[Qty Required]]/tbl_Punch[[#This Row],[PPH]]*tbl_Punch[[#This Row],['# of men]])</f>
        <v>0</v>
      </c>
      <c r="M58" s="31" t="e">
        <f>IF(tbl_Punch[[#This Row],[Job Type]]="Batch",tbl_Punch[[#This Row],[Batch Hours]]*tbl_Punch[[#This Row],[% Complete]],tbl_Punch[[#This Row],[Total hours]]*tbl_Punch[[#This Row],[% Complete]])</f>
        <v>#DIV/0!</v>
      </c>
      <c r="N58" s="31"/>
      <c r="P58" s="28" t="e">
        <f>tbl_Punch[[#This Row],[Mat. Qty]]*tbl_Punch[[#This Row],[% Complete]]</f>
        <v>#DIV/0!</v>
      </c>
      <c r="R58" s="32" t="str">
        <f>IFERROR(tbl_Punch[[#This Row],[Qty Complete]]/tbl_Punch[[#This Row],[Total Hours Act]]*tbl_Punch[[#This Row],['# of men Act]],"")</f>
        <v/>
      </c>
      <c r="T58"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58" s="35" t="str">
        <f>IFERROR((tbl_Punch[[#This Row],[Adj. Total Hours]]+tbl_Punch[[#This Row],[Est. Hours]])/(tbl_Punch[[#This Row],[Total Hours Act]]+tbl_Punch[[#This Row],[Act. Hours]]),"")</f>
        <v/>
      </c>
      <c r="Y58"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58" s="104" t="str">
        <f>IFERROR(tbl_Punch[[#This Row],[Act. Mat. Qty]]-tbl_Punch[[#This Row],[Adj. Mat. Qty]],"")</f>
        <v/>
      </c>
      <c r="AA58"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58" s="31"/>
      <c r="AD58" s="36"/>
    </row>
    <row r="59" spans="3:30" ht="25" customHeight="1">
      <c r="C59" s="28" t="str">
        <f>IF(tbl_Punch[[#This Row],[Part'#]]="", "Batch", "Part")</f>
        <v>Batch</v>
      </c>
      <c r="G59" s="28"/>
      <c r="I59" s="70" t="e">
        <f>tbl_Punch[[#This Row],[Qty Complete]]/tbl_Punch[[#This Row],[Qty Required]]</f>
        <v>#DIV/0!</v>
      </c>
      <c r="L59" s="31">
        <f>IF(tbl_Punch[[#This Row],[Job Type]]="Batch",0,tbl_Punch[[#This Row],[Qty Required]]/tbl_Punch[[#This Row],[PPH]]*tbl_Punch[[#This Row],['# of men]])</f>
        <v>0</v>
      </c>
      <c r="M59" s="31" t="e">
        <f>IF(tbl_Punch[[#This Row],[Job Type]]="Batch",tbl_Punch[[#This Row],[Batch Hours]]*tbl_Punch[[#This Row],[% Complete]],tbl_Punch[[#This Row],[Total hours]]*tbl_Punch[[#This Row],[% Complete]])</f>
        <v>#DIV/0!</v>
      </c>
      <c r="N59" s="31"/>
      <c r="P59" s="28" t="e">
        <f>tbl_Punch[[#This Row],[Mat. Qty]]*tbl_Punch[[#This Row],[% Complete]]</f>
        <v>#DIV/0!</v>
      </c>
      <c r="R59" s="32" t="str">
        <f>IFERROR(tbl_Punch[[#This Row],[Qty Complete]]/tbl_Punch[[#This Row],[Total Hours Act]]*tbl_Punch[[#This Row],['# of men Act]],"")</f>
        <v/>
      </c>
      <c r="T59"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59" s="35" t="str">
        <f>IFERROR((tbl_Punch[[#This Row],[Adj. Total Hours]]+tbl_Punch[[#This Row],[Est. Hours]])/(tbl_Punch[[#This Row],[Total Hours Act]]+tbl_Punch[[#This Row],[Act. Hours]]),"")</f>
        <v/>
      </c>
      <c r="Y59"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59" s="104" t="str">
        <f>IFERROR(tbl_Punch[[#This Row],[Act. Mat. Qty]]-tbl_Punch[[#This Row],[Adj. Mat. Qty]],"")</f>
        <v/>
      </c>
      <c r="AA59"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59" s="31"/>
      <c r="AD59" s="36"/>
    </row>
    <row r="60" spans="3:30" ht="25" customHeight="1">
      <c r="C60" s="28" t="str">
        <f>IF(tbl_Punch[[#This Row],[Part'#]]="", "Batch", "Part")</f>
        <v>Batch</v>
      </c>
      <c r="G60" s="28"/>
      <c r="I60" s="70" t="e">
        <f>tbl_Punch[[#This Row],[Qty Complete]]/tbl_Punch[[#This Row],[Qty Required]]</f>
        <v>#DIV/0!</v>
      </c>
      <c r="L60" s="31">
        <f>IF(tbl_Punch[[#This Row],[Job Type]]="Batch",0,tbl_Punch[[#This Row],[Qty Required]]/tbl_Punch[[#This Row],[PPH]]*tbl_Punch[[#This Row],['# of men]])</f>
        <v>0</v>
      </c>
      <c r="M60" s="31" t="e">
        <f>IF(tbl_Punch[[#This Row],[Job Type]]="Batch",tbl_Punch[[#This Row],[Batch Hours]]*tbl_Punch[[#This Row],[% Complete]],tbl_Punch[[#This Row],[Total hours]]*tbl_Punch[[#This Row],[% Complete]])</f>
        <v>#DIV/0!</v>
      </c>
      <c r="N60" s="31"/>
      <c r="P60" s="28" t="e">
        <f>tbl_Punch[[#This Row],[Mat. Qty]]*tbl_Punch[[#This Row],[% Complete]]</f>
        <v>#DIV/0!</v>
      </c>
      <c r="R60" s="32" t="str">
        <f>IFERROR(tbl_Punch[[#This Row],[Qty Complete]]/tbl_Punch[[#This Row],[Total Hours Act]]*tbl_Punch[[#This Row],['# of men Act]],"")</f>
        <v/>
      </c>
      <c r="T60"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60" s="35" t="str">
        <f>IFERROR((tbl_Punch[[#This Row],[Adj. Total Hours]]+tbl_Punch[[#This Row],[Est. Hours]])/(tbl_Punch[[#This Row],[Total Hours Act]]+tbl_Punch[[#This Row],[Act. Hours]]),"")</f>
        <v/>
      </c>
      <c r="Y60"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60" s="104" t="str">
        <f>IFERROR(tbl_Punch[[#This Row],[Act. Mat. Qty]]-tbl_Punch[[#This Row],[Adj. Mat. Qty]],"")</f>
        <v/>
      </c>
      <c r="AA60"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60" s="31"/>
      <c r="AD60" s="36"/>
    </row>
    <row r="61" spans="3:30" ht="25" customHeight="1">
      <c r="C61" s="28" t="str">
        <f>IF(tbl_Punch[[#This Row],[Part'#]]="", "Batch", "Part")</f>
        <v>Batch</v>
      </c>
      <c r="G61" s="28"/>
      <c r="I61" s="70" t="e">
        <f>tbl_Punch[[#This Row],[Qty Complete]]/tbl_Punch[[#This Row],[Qty Required]]</f>
        <v>#DIV/0!</v>
      </c>
      <c r="L61" s="31">
        <f>IF(tbl_Punch[[#This Row],[Job Type]]="Batch",0,tbl_Punch[[#This Row],[Qty Required]]/tbl_Punch[[#This Row],[PPH]]*tbl_Punch[[#This Row],['# of men]])</f>
        <v>0</v>
      </c>
      <c r="M61" s="31" t="e">
        <f>IF(tbl_Punch[[#This Row],[Job Type]]="Batch",tbl_Punch[[#This Row],[Batch Hours]]*tbl_Punch[[#This Row],[% Complete]],tbl_Punch[[#This Row],[Total hours]]*tbl_Punch[[#This Row],[% Complete]])</f>
        <v>#DIV/0!</v>
      </c>
      <c r="N61" s="31"/>
      <c r="P61" s="28" t="e">
        <f>tbl_Punch[[#This Row],[Mat. Qty]]*tbl_Punch[[#This Row],[% Complete]]</f>
        <v>#DIV/0!</v>
      </c>
      <c r="R61" s="32" t="str">
        <f>IFERROR(tbl_Punch[[#This Row],[Qty Complete]]/tbl_Punch[[#This Row],[Total Hours Act]]*tbl_Punch[[#This Row],['# of men Act]],"")</f>
        <v/>
      </c>
      <c r="T61"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61" s="35" t="str">
        <f>IFERROR((tbl_Punch[[#This Row],[Adj. Total Hours]]+tbl_Punch[[#This Row],[Est. Hours]])/(tbl_Punch[[#This Row],[Total Hours Act]]+tbl_Punch[[#This Row],[Act. Hours]]),"")</f>
        <v/>
      </c>
      <c r="Y61"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61" s="104" t="str">
        <f>IFERROR(tbl_Punch[[#This Row],[Act. Mat. Qty]]-tbl_Punch[[#This Row],[Adj. Mat. Qty]],"")</f>
        <v/>
      </c>
      <c r="AA61"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61" s="31"/>
      <c r="AD61" s="36"/>
    </row>
    <row r="62" spans="3:30" ht="25" customHeight="1">
      <c r="C62" s="28" t="str">
        <f>IF(tbl_Punch[[#This Row],[Part'#]]="", "Batch", "Part")</f>
        <v>Batch</v>
      </c>
      <c r="G62" s="28"/>
      <c r="I62" s="70" t="e">
        <f>tbl_Punch[[#This Row],[Qty Complete]]/tbl_Punch[[#This Row],[Qty Required]]</f>
        <v>#DIV/0!</v>
      </c>
      <c r="L62" s="31">
        <f>IF(tbl_Punch[[#This Row],[Job Type]]="Batch",0,tbl_Punch[[#This Row],[Qty Required]]/tbl_Punch[[#This Row],[PPH]]*tbl_Punch[[#This Row],['# of men]])</f>
        <v>0</v>
      </c>
      <c r="M62" s="31" t="e">
        <f>IF(tbl_Punch[[#This Row],[Job Type]]="Batch",tbl_Punch[[#This Row],[Batch Hours]]*tbl_Punch[[#This Row],[% Complete]],tbl_Punch[[#This Row],[Total hours]]*tbl_Punch[[#This Row],[% Complete]])</f>
        <v>#DIV/0!</v>
      </c>
      <c r="N62" s="31"/>
      <c r="P62" s="28" t="e">
        <f>tbl_Punch[[#This Row],[Mat. Qty]]*tbl_Punch[[#This Row],[% Complete]]</f>
        <v>#DIV/0!</v>
      </c>
      <c r="R62" s="32" t="str">
        <f>IFERROR(tbl_Punch[[#This Row],[Qty Complete]]/tbl_Punch[[#This Row],[Total Hours Act]]*tbl_Punch[[#This Row],['# of men Act]],"")</f>
        <v/>
      </c>
      <c r="T62"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62" s="35" t="str">
        <f>IFERROR((tbl_Punch[[#This Row],[Adj. Total Hours]]+tbl_Punch[[#This Row],[Est. Hours]])/(tbl_Punch[[#This Row],[Total Hours Act]]+tbl_Punch[[#This Row],[Act. Hours]]),"")</f>
        <v/>
      </c>
      <c r="Y62"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62" s="104" t="str">
        <f>IFERROR(tbl_Punch[[#This Row],[Act. Mat. Qty]]-tbl_Punch[[#This Row],[Adj. Mat. Qty]],"")</f>
        <v/>
      </c>
      <c r="AA62"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62" s="31"/>
      <c r="AD62" s="36"/>
    </row>
    <row r="63" spans="3:30" ht="25" customHeight="1">
      <c r="C63" s="28" t="str">
        <f>IF(tbl_Punch[[#This Row],[Part'#]]="", "Batch", "Part")</f>
        <v>Batch</v>
      </c>
      <c r="G63" s="28"/>
      <c r="I63" s="70" t="e">
        <f>tbl_Punch[[#This Row],[Qty Complete]]/tbl_Punch[[#This Row],[Qty Required]]</f>
        <v>#DIV/0!</v>
      </c>
      <c r="L63" s="31">
        <f>IF(tbl_Punch[[#This Row],[Job Type]]="Batch",0,tbl_Punch[[#This Row],[Qty Required]]/tbl_Punch[[#This Row],[PPH]]*tbl_Punch[[#This Row],['# of men]])</f>
        <v>0</v>
      </c>
      <c r="M63" s="31" t="e">
        <f>IF(tbl_Punch[[#This Row],[Job Type]]="Batch",tbl_Punch[[#This Row],[Batch Hours]]*tbl_Punch[[#This Row],[% Complete]],tbl_Punch[[#This Row],[Total hours]]*tbl_Punch[[#This Row],[% Complete]])</f>
        <v>#DIV/0!</v>
      </c>
      <c r="N63" s="31"/>
      <c r="P63" s="28" t="e">
        <f>tbl_Punch[[#This Row],[Mat. Qty]]*tbl_Punch[[#This Row],[% Complete]]</f>
        <v>#DIV/0!</v>
      </c>
      <c r="R63" s="32" t="str">
        <f>IFERROR(tbl_Punch[[#This Row],[Qty Complete]]/tbl_Punch[[#This Row],[Total Hours Act]]*tbl_Punch[[#This Row],['# of men Act]],"")</f>
        <v/>
      </c>
      <c r="T63"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63" s="35" t="str">
        <f>IFERROR((tbl_Punch[[#This Row],[Adj. Total Hours]]+tbl_Punch[[#This Row],[Est. Hours]])/(tbl_Punch[[#This Row],[Total Hours Act]]+tbl_Punch[[#This Row],[Act. Hours]]),"")</f>
        <v/>
      </c>
      <c r="Y63"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63" s="104" t="str">
        <f>IFERROR(tbl_Punch[[#This Row],[Act. Mat. Qty]]-tbl_Punch[[#This Row],[Adj. Mat. Qty]],"")</f>
        <v/>
      </c>
      <c r="AA63"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63" s="31"/>
      <c r="AD63" s="36"/>
    </row>
    <row r="64" spans="3:30" ht="25" customHeight="1">
      <c r="C64" s="28" t="str">
        <f>IF(tbl_Punch[[#This Row],[Part'#]]="", "Batch", "Part")</f>
        <v>Batch</v>
      </c>
      <c r="G64" s="28"/>
      <c r="I64" s="70" t="e">
        <f>tbl_Punch[[#This Row],[Qty Complete]]/tbl_Punch[[#This Row],[Qty Required]]</f>
        <v>#DIV/0!</v>
      </c>
      <c r="L64" s="31">
        <f>IF(tbl_Punch[[#This Row],[Job Type]]="Batch",0,tbl_Punch[[#This Row],[Qty Required]]/tbl_Punch[[#This Row],[PPH]]*tbl_Punch[[#This Row],['# of men]])</f>
        <v>0</v>
      </c>
      <c r="M64" s="31" t="e">
        <f>IF(tbl_Punch[[#This Row],[Job Type]]="Batch",tbl_Punch[[#This Row],[Batch Hours]]*tbl_Punch[[#This Row],[% Complete]],tbl_Punch[[#This Row],[Total hours]]*tbl_Punch[[#This Row],[% Complete]])</f>
        <v>#DIV/0!</v>
      </c>
      <c r="N64" s="31"/>
      <c r="P64" s="28" t="e">
        <f>tbl_Punch[[#This Row],[Mat. Qty]]*tbl_Punch[[#This Row],[% Complete]]</f>
        <v>#DIV/0!</v>
      </c>
      <c r="R64" s="32" t="str">
        <f>IFERROR(tbl_Punch[[#This Row],[Qty Complete]]/tbl_Punch[[#This Row],[Total Hours Act]]*tbl_Punch[[#This Row],['# of men Act]],"")</f>
        <v/>
      </c>
      <c r="T64"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64" s="35" t="str">
        <f>IFERROR((tbl_Punch[[#This Row],[Adj. Total Hours]]+tbl_Punch[[#This Row],[Est. Hours]])/(tbl_Punch[[#This Row],[Total Hours Act]]+tbl_Punch[[#This Row],[Act. Hours]]),"")</f>
        <v/>
      </c>
      <c r="Y64"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64" s="104" t="str">
        <f>IFERROR(tbl_Punch[[#This Row],[Act. Mat. Qty]]-tbl_Punch[[#This Row],[Adj. Mat. Qty]],"")</f>
        <v/>
      </c>
      <c r="AA64"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64" s="31"/>
      <c r="AD64" s="36"/>
    </row>
    <row r="65" spans="3:30" ht="25" customHeight="1">
      <c r="C65" s="28" t="str">
        <f>IF(tbl_Punch[[#This Row],[Part'#]]="", "Batch", "Part")</f>
        <v>Batch</v>
      </c>
      <c r="G65" s="28"/>
      <c r="I65" s="70" t="e">
        <f>tbl_Punch[[#This Row],[Qty Complete]]/tbl_Punch[[#This Row],[Qty Required]]</f>
        <v>#DIV/0!</v>
      </c>
      <c r="L65" s="31">
        <f>IF(tbl_Punch[[#This Row],[Job Type]]="Batch",0,tbl_Punch[[#This Row],[Qty Required]]/tbl_Punch[[#This Row],[PPH]]*tbl_Punch[[#This Row],['# of men]])</f>
        <v>0</v>
      </c>
      <c r="M65" s="31" t="e">
        <f>IF(tbl_Punch[[#This Row],[Job Type]]="Batch",tbl_Punch[[#This Row],[Batch Hours]]*tbl_Punch[[#This Row],[% Complete]],tbl_Punch[[#This Row],[Total hours]]*tbl_Punch[[#This Row],[% Complete]])</f>
        <v>#DIV/0!</v>
      </c>
      <c r="N65" s="31"/>
      <c r="P65" s="28" t="e">
        <f>tbl_Punch[[#This Row],[Mat. Qty]]*tbl_Punch[[#This Row],[% Complete]]</f>
        <v>#DIV/0!</v>
      </c>
      <c r="R65" s="32" t="str">
        <f>IFERROR(tbl_Punch[[#This Row],[Qty Complete]]/tbl_Punch[[#This Row],[Total Hours Act]]*tbl_Punch[[#This Row],['# of men Act]],"")</f>
        <v/>
      </c>
      <c r="T65"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65" s="35" t="str">
        <f>IFERROR((tbl_Punch[[#This Row],[Adj. Total Hours]]+tbl_Punch[[#This Row],[Est. Hours]])/(tbl_Punch[[#This Row],[Total Hours Act]]+tbl_Punch[[#This Row],[Act. Hours]]),"")</f>
        <v/>
      </c>
      <c r="Y65"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65" s="104" t="str">
        <f>IFERROR(tbl_Punch[[#This Row],[Act. Mat. Qty]]-tbl_Punch[[#This Row],[Adj. Mat. Qty]],"")</f>
        <v/>
      </c>
      <c r="AA65"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65" s="31"/>
      <c r="AD65" s="36"/>
    </row>
    <row r="66" spans="3:30" ht="25" customHeight="1">
      <c r="C66" s="28" t="str">
        <f>IF(tbl_Punch[[#This Row],[Part'#]]="", "Batch", "Part")</f>
        <v>Batch</v>
      </c>
      <c r="G66" s="28"/>
      <c r="I66" s="70" t="e">
        <f>tbl_Punch[[#This Row],[Qty Complete]]/tbl_Punch[[#This Row],[Qty Required]]</f>
        <v>#DIV/0!</v>
      </c>
      <c r="L66" s="31">
        <f>IF(tbl_Punch[[#This Row],[Job Type]]="Batch",0,tbl_Punch[[#This Row],[Qty Required]]/tbl_Punch[[#This Row],[PPH]]*tbl_Punch[[#This Row],['# of men]])</f>
        <v>0</v>
      </c>
      <c r="M66" s="31" t="e">
        <f>IF(tbl_Punch[[#This Row],[Job Type]]="Batch",tbl_Punch[[#This Row],[Batch Hours]]*tbl_Punch[[#This Row],[% Complete]],tbl_Punch[[#This Row],[Total hours]]*tbl_Punch[[#This Row],[% Complete]])</f>
        <v>#DIV/0!</v>
      </c>
      <c r="N66" s="31"/>
      <c r="P66" s="28" t="e">
        <f>tbl_Punch[[#This Row],[Mat. Qty]]*tbl_Punch[[#This Row],[% Complete]]</f>
        <v>#DIV/0!</v>
      </c>
      <c r="R66" s="32" t="str">
        <f>IFERROR(tbl_Punch[[#This Row],[Qty Complete]]/tbl_Punch[[#This Row],[Total Hours Act]]*tbl_Punch[[#This Row],['# of men Act]],"")</f>
        <v/>
      </c>
      <c r="T66"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66" s="35" t="str">
        <f>IFERROR((tbl_Punch[[#This Row],[Adj. Total Hours]]+tbl_Punch[[#This Row],[Est. Hours]])/(tbl_Punch[[#This Row],[Total Hours Act]]+tbl_Punch[[#This Row],[Act. Hours]]),"")</f>
        <v/>
      </c>
      <c r="Y66"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66" s="104" t="str">
        <f>IFERROR(tbl_Punch[[#This Row],[Act. Mat. Qty]]-tbl_Punch[[#This Row],[Adj. Mat. Qty]],"")</f>
        <v/>
      </c>
      <c r="AA66"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66" s="31"/>
      <c r="AD66" s="36"/>
    </row>
    <row r="67" spans="3:30" ht="25" customHeight="1">
      <c r="C67" s="28" t="str">
        <f>IF(tbl_Punch[[#This Row],[Part'#]]="", "Batch", "Part")</f>
        <v>Batch</v>
      </c>
      <c r="G67" s="28"/>
      <c r="I67" s="70" t="e">
        <f>tbl_Punch[[#This Row],[Qty Complete]]/tbl_Punch[[#This Row],[Qty Required]]</f>
        <v>#DIV/0!</v>
      </c>
      <c r="L67" s="31">
        <f>IF(tbl_Punch[[#This Row],[Job Type]]="Batch",0,tbl_Punch[[#This Row],[Qty Required]]/tbl_Punch[[#This Row],[PPH]]*tbl_Punch[[#This Row],['# of men]])</f>
        <v>0</v>
      </c>
      <c r="M67" s="31" t="e">
        <f>IF(tbl_Punch[[#This Row],[Job Type]]="Batch",tbl_Punch[[#This Row],[Batch Hours]]*tbl_Punch[[#This Row],[% Complete]],tbl_Punch[[#This Row],[Total hours]]*tbl_Punch[[#This Row],[% Complete]])</f>
        <v>#DIV/0!</v>
      </c>
      <c r="N67" s="31"/>
      <c r="P67" s="28" t="e">
        <f>tbl_Punch[[#This Row],[Mat. Qty]]*tbl_Punch[[#This Row],[% Complete]]</f>
        <v>#DIV/0!</v>
      </c>
      <c r="R67" s="32" t="str">
        <f>IFERROR(tbl_Punch[[#This Row],[Qty Complete]]/tbl_Punch[[#This Row],[Total Hours Act]]*tbl_Punch[[#This Row],['# of men Act]],"")</f>
        <v/>
      </c>
      <c r="T67"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67" s="35" t="str">
        <f>IFERROR((tbl_Punch[[#This Row],[Adj. Total Hours]]+tbl_Punch[[#This Row],[Est. Hours]])/(tbl_Punch[[#This Row],[Total Hours Act]]+tbl_Punch[[#This Row],[Act. Hours]]),"")</f>
        <v/>
      </c>
      <c r="Y67"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67" s="104" t="str">
        <f>IFERROR(tbl_Punch[[#This Row],[Act. Mat. Qty]]-tbl_Punch[[#This Row],[Adj. Mat. Qty]],"")</f>
        <v/>
      </c>
      <c r="AA67"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67" s="31"/>
      <c r="AD67" s="36"/>
    </row>
    <row r="68" spans="3:30" ht="25" customHeight="1">
      <c r="C68" s="28" t="str">
        <f>IF(tbl_Punch[[#This Row],[Part'#]]="", "Batch", "Part")</f>
        <v>Batch</v>
      </c>
      <c r="G68" s="28"/>
      <c r="I68" s="70" t="e">
        <f>tbl_Punch[[#This Row],[Qty Complete]]/tbl_Punch[[#This Row],[Qty Required]]</f>
        <v>#DIV/0!</v>
      </c>
      <c r="L68" s="31">
        <f>IF(tbl_Punch[[#This Row],[Job Type]]="Batch",0,tbl_Punch[[#This Row],[Qty Required]]/tbl_Punch[[#This Row],[PPH]]*tbl_Punch[[#This Row],['# of men]])</f>
        <v>0</v>
      </c>
      <c r="M68" s="31" t="e">
        <f>IF(tbl_Punch[[#This Row],[Job Type]]="Batch",tbl_Punch[[#This Row],[Batch Hours]]*tbl_Punch[[#This Row],[% Complete]],tbl_Punch[[#This Row],[Total hours]]*tbl_Punch[[#This Row],[% Complete]])</f>
        <v>#DIV/0!</v>
      </c>
      <c r="N68" s="31"/>
      <c r="P68" s="28" t="e">
        <f>tbl_Punch[[#This Row],[Mat. Qty]]*tbl_Punch[[#This Row],[% Complete]]</f>
        <v>#DIV/0!</v>
      </c>
      <c r="R68" s="32" t="str">
        <f>IFERROR(tbl_Punch[[#This Row],[Qty Complete]]/tbl_Punch[[#This Row],[Total Hours Act]]*tbl_Punch[[#This Row],['# of men Act]],"")</f>
        <v/>
      </c>
      <c r="T68"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68" s="35" t="str">
        <f>IFERROR((tbl_Punch[[#This Row],[Adj. Total Hours]]+tbl_Punch[[#This Row],[Est. Hours]])/(tbl_Punch[[#This Row],[Total Hours Act]]+tbl_Punch[[#This Row],[Act. Hours]]),"")</f>
        <v/>
      </c>
      <c r="Y68"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68" s="104" t="str">
        <f>IFERROR(tbl_Punch[[#This Row],[Act. Mat. Qty]]-tbl_Punch[[#This Row],[Adj. Mat. Qty]],"")</f>
        <v/>
      </c>
      <c r="AA68"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68" s="31"/>
      <c r="AD68" s="36"/>
    </row>
    <row r="69" spans="3:30" ht="25" customHeight="1">
      <c r="C69" s="28" t="str">
        <f>IF(tbl_Punch[[#This Row],[Part'#]]="", "Batch", "Part")</f>
        <v>Batch</v>
      </c>
      <c r="G69" s="28"/>
      <c r="I69" s="70" t="e">
        <f>tbl_Punch[[#This Row],[Qty Complete]]/tbl_Punch[[#This Row],[Qty Required]]</f>
        <v>#DIV/0!</v>
      </c>
      <c r="L69" s="31">
        <f>IF(tbl_Punch[[#This Row],[Job Type]]="Batch",0,tbl_Punch[[#This Row],[Qty Required]]/tbl_Punch[[#This Row],[PPH]]*tbl_Punch[[#This Row],['# of men]])</f>
        <v>0</v>
      </c>
      <c r="M69" s="31" t="e">
        <f>IF(tbl_Punch[[#This Row],[Job Type]]="Batch",tbl_Punch[[#This Row],[Batch Hours]]*tbl_Punch[[#This Row],[% Complete]],tbl_Punch[[#This Row],[Total hours]]*tbl_Punch[[#This Row],[% Complete]])</f>
        <v>#DIV/0!</v>
      </c>
      <c r="N69" s="31"/>
      <c r="P69" s="28" t="e">
        <f>tbl_Punch[[#This Row],[Mat. Qty]]*tbl_Punch[[#This Row],[% Complete]]</f>
        <v>#DIV/0!</v>
      </c>
      <c r="R69" s="32" t="str">
        <f>IFERROR(tbl_Punch[[#This Row],[Qty Complete]]/tbl_Punch[[#This Row],[Total Hours Act]]*tbl_Punch[[#This Row],['# of men Act]],"")</f>
        <v/>
      </c>
      <c r="T69"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69" s="35" t="str">
        <f>IFERROR((tbl_Punch[[#This Row],[Adj. Total Hours]]+tbl_Punch[[#This Row],[Est. Hours]])/(tbl_Punch[[#This Row],[Total Hours Act]]+tbl_Punch[[#This Row],[Act. Hours]]),"")</f>
        <v/>
      </c>
      <c r="Y69"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69" s="104" t="str">
        <f>IFERROR(tbl_Punch[[#This Row],[Act. Mat. Qty]]-tbl_Punch[[#This Row],[Adj. Mat. Qty]],"")</f>
        <v/>
      </c>
      <c r="AA69"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69" s="31"/>
      <c r="AD69" s="36"/>
    </row>
    <row r="70" spans="3:30" ht="25" customHeight="1">
      <c r="C70" s="28" t="str">
        <f>IF(tbl_Punch[[#This Row],[Part'#]]="", "Batch", "Part")</f>
        <v>Batch</v>
      </c>
      <c r="G70" s="28"/>
      <c r="I70" s="70" t="e">
        <f>tbl_Punch[[#This Row],[Qty Complete]]/tbl_Punch[[#This Row],[Qty Required]]</f>
        <v>#DIV/0!</v>
      </c>
      <c r="L70" s="31">
        <f>IF(tbl_Punch[[#This Row],[Job Type]]="Batch",0,tbl_Punch[[#This Row],[Qty Required]]/tbl_Punch[[#This Row],[PPH]]*tbl_Punch[[#This Row],['# of men]])</f>
        <v>0</v>
      </c>
      <c r="M70" s="31" t="e">
        <f>IF(tbl_Punch[[#This Row],[Job Type]]="Batch",tbl_Punch[[#This Row],[Batch Hours]]*tbl_Punch[[#This Row],[% Complete]],tbl_Punch[[#This Row],[Total hours]]*tbl_Punch[[#This Row],[% Complete]])</f>
        <v>#DIV/0!</v>
      </c>
      <c r="N70" s="31"/>
      <c r="P70" s="28" t="e">
        <f>tbl_Punch[[#This Row],[Mat. Qty]]*tbl_Punch[[#This Row],[% Complete]]</f>
        <v>#DIV/0!</v>
      </c>
      <c r="R70" s="32" t="str">
        <f>IFERROR(tbl_Punch[[#This Row],[Qty Complete]]/tbl_Punch[[#This Row],[Total Hours Act]]*tbl_Punch[[#This Row],['# of men Act]],"")</f>
        <v/>
      </c>
      <c r="T70"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70" s="35" t="str">
        <f>IFERROR((tbl_Punch[[#This Row],[Adj. Total Hours]]+tbl_Punch[[#This Row],[Est. Hours]])/(tbl_Punch[[#This Row],[Total Hours Act]]+tbl_Punch[[#This Row],[Act. Hours]]),"")</f>
        <v/>
      </c>
      <c r="Y70"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70" s="104" t="str">
        <f>IFERROR(tbl_Punch[[#This Row],[Act. Mat. Qty]]-tbl_Punch[[#This Row],[Adj. Mat. Qty]],"")</f>
        <v/>
      </c>
      <c r="AA70"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70" s="31"/>
      <c r="AD70" s="36"/>
    </row>
    <row r="71" spans="3:30" ht="25" customHeight="1">
      <c r="C71" s="28" t="str">
        <f>IF(tbl_Punch[[#This Row],[Part'#]]="", "Batch", "Part")</f>
        <v>Batch</v>
      </c>
      <c r="G71" s="28"/>
      <c r="I71" s="70" t="e">
        <f>tbl_Punch[[#This Row],[Qty Complete]]/tbl_Punch[[#This Row],[Qty Required]]</f>
        <v>#DIV/0!</v>
      </c>
      <c r="L71" s="31">
        <f>IF(tbl_Punch[[#This Row],[Job Type]]="Batch",0,tbl_Punch[[#This Row],[Qty Required]]/tbl_Punch[[#This Row],[PPH]]*tbl_Punch[[#This Row],['# of men]])</f>
        <v>0</v>
      </c>
      <c r="M71" s="31" t="e">
        <f>IF(tbl_Punch[[#This Row],[Job Type]]="Batch",tbl_Punch[[#This Row],[Batch Hours]]*tbl_Punch[[#This Row],[% Complete]],tbl_Punch[[#This Row],[Total hours]]*tbl_Punch[[#This Row],[% Complete]])</f>
        <v>#DIV/0!</v>
      </c>
      <c r="N71" s="31"/>
      <c r="P71" s="28" t="e">
        <f>tbl_Punch[[#This Row],[Mat. Qty]]*tbl_Punch[[#This Row],[% Complete]]</f>
        <v>#DIV/0!</v>
      </c>
      <c r="R71" s="32" t="str">
        <f>IFERROR(tbl_Punch[[#This Row],[Qty Complete]]/tbl_Punch[[#This Row],[Total Hours Act]]*tbl_Punch[[#This Row],['# of men Act]],"")</f>
        <v/>
      </c>
      <c r="T71"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71" s="35" t="str">
        <f>IFERROR((tbl_Punch[[#This Row],[Adj. Total Hours]]+tbl_Punch[[#This Row],[Est. Hours]])/(tbl_Punch[[#This Row],[Total Hours Act]]+tbl_Punch[[#This Row],[Act. Hours]]),"")</f>
        <v/>
      </c>
      <c r="Y71"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71" s="104" t="str">
        <f>IFERROR(tbl_Punch[[#This Row],[Act. Mat. Qty]]-tbl_Punch[[#This Row],[Adj. Mat. Qty]],"")</f>
        <v/>
      </c>
      <c r="AA71"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71" s="31"/>
      <c r="AD71" s="36"/>
    </row>
    <row r="72" spans="3:30" ht="25" customHeight="1">
      <c r="C72" s="28" t="str">
        <f>IF(tbl_Punch[[#This Row],[Part'#]]="", "Batch", "Part")</f>
        <v>Batch</v>
      </c>
      <c r="G72" s="28"/>
      <c r="I72" s="70" t="e">
        <f>tbl_Punch[[#This Row],[Qty Complete]]/tbl_Punch[[#This Row],[Qty Required]]</f>
        <v>#DIV/0!</v>
      </c>
      <c r="L72" s="31">
        <f>IF(tbl_Punch[[#This Row],[Job Type]]="Batch",0,tbl_Punch[[#This Row],[Qty Required]]/tbl_Punch[[#This Row],[PPH]]*tbl_Punch[[#This Row],['# of men]])</f>
        <v>0</v>
      </c>
      <c r="M72" s="31" t="e">
        <f>IF(tbl_Punch[[#This Row],[Job Type]]="Batch",tbl_Punch[[#This Row],[Batch Hours]]*tbl_Punch[[#This Row],[% Complete]],tbl_Punch[[#This Row],[Total hours]]*tbl_Punch[[#This Row],[% Complete]])</f>
        <v>#DIV/0!</v>
      </c>
      <c r="N72" s="31"/>
      <c r="P72" s="28" t="e">
        <f>tbl_Punch[[#This Row],[Mat. Qty]]*tbl_Punch[[#This Row],[% Complete]]</f>
        <v>#DIV/0!</v>
      </c>
      <c r="R72" s="32" t="str">
        <f>IFERROR(tbl_Punch[[#This Row],[Qty Complete]]/tbl_Punch[[#This Row],[Total Hours Act]]*tbl_Punch[[#This Row],['# of men Act]],"")</f>
        <v/>
      </c>
      <c r="T72"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72" s="35" t="str">
        <f>IFERROR((tbl_Punch[[#This Row],[Adj. Total Hours]]+tbl_Punch[[#This Row],[Est. Hours]])/(tbl_Punch[[#This Row],[Total Hours Act]]+tbl_Punch[[#This Row],[Act. Hours]]),"")</f>
        <v/>
      </c>
      <c r="Y72"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72" s="104" t="str">
        <f>IFERROR(tbl_Punch[[#This Row],[Act. Mat. Qty]]-tbl_Punch[[#This Row],[Adj. Mat. Qty]],"")</f>
        <v/>
      </c>
      <c r="AA72"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72" s="31"/>
      <c r="AD72" s="36"/>
    </row>
    <row r="73" spans="3:30" ht="25" customHeight="1">
      <c r="C73" s="28" t="str">
        <f>IF(tbl_Punch[[#This Row],[Part'#]]="", "Batch", "Part")</f>
        <v>Batch</v>
      </c>
      <c r="G73" s="28"/>
      <c r="I73" s="70" t="e">
        <f>tbl_Punch[[#This Row],[Qty Complete]]/tbl_Punch[[#This Row],[Qty Required]]</f>
        <v>#DIV/0!</v>
      </c>
      <c r="L73" s="31">
        <f>IF(tbl_Punch[[#This Row],[Job Type]]="Batch",0,tbl_Punch[[#This Row],[Qty Required]]/tbl_Punch[[#This Row],[PPH]]*tbl_Punch[[#This Row],['# of men]])</f>
        <v>0</v>
      </c>
      <c r="M73" s="31" t="e">
        <f>IF(tbl_Punch[[#This Row],[Job Type]]="Batch",tbl_Punch[[#This Row],[Batch Hours]]*tbl_Punch[[#This Row],[% Complete]],tbl_Punch[[#This Row],[Total hours]]*tbl_Punch[[#This Row],[% Complete]])</f>
        <v>#DIV/0!</v>
      </c>
      <c r="N73" s="31"/>
      <c r="P73" s="28" t="e">
        <f>tbl_Punch[[#This Row],[Mat. Qty]]*tbl_Punch[[#This Row],[% Complete]]</f>
        <v>#DIV/0!</v>
      </c>
      <c r="R73" s="32" t="str">
        <f>IFERROR(tbl_Punch[[#This Row],[Qty Complete]]/tbl_Punch[[#This Row],[Total Hours Act]]*tbl_Punch[[#This Row],['# of men Act]],"")</f>
        <v/>
      </c>
      <c r="T73"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73" s="35" t="str">
        <f>IFERROR((tbl_Punch[[#This Row],[Adj. Total Hours]]+tbl_Punch[[#This Row],[Est. Hours]])/(tbl_Punch[[#This Row],[Total Hours Act]]+tbl_Punch[[#This Row],[Act. Hours]]),"")</f>
        <v/>
      </c>
      <c r="Y73"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73" s="104" t="str">
        <f>IFERROR(tbl_Punch[[#This Row],[Act. Mat. Qty]]-tbl_Punch[[#This Row],[Adj. Mat. Qty]],"")</f>
        <v/>
      </c>
      <c r="AA73"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73" s="31"/>
      <c r="AD73" s="36"/>
    </row>
    <row r="74" spans="3:30" ht="25" customHeight="1">
      <c r="C74" s="28" t="str">
        <f>IF(tbl_Punch[[#This Row],[Part'#]]="", "Batch", "Part")</f>
        <v>Batch</v>
      </c>
      <c r="G74" s="28"/>
      <c r="I74" s="70" t="e">
        <f>tbl_Punch[[#This Row],[Qty Complete]]/tbl_Punch[[#This Row],[Qty Required]]</f>
        <v>#DIV/0!</v>
      </c>
      <c r="L74" s="31">
        <f>IF(tbl_Punch[[#This Row],[Job Type]]="Batch",0,tbl_Punch[[#This Row],[Qty Required]]/tbl_Punch[[#This Row],[PPH]]*tbl_Punch[[#This Row],['# of men]])</f>
        <v>0</v>
      </c>
      <c r="M74" s="31" t="e">
        <f>IF(tbl_Punch[[#This Row],[Job Type]]="Batch",tbl_Punch[[#This Row],[Batch Hours]]*tbl_Punch[[#This Row],[% Complete]],tbl_Punch[[#This Row],[Total hours]]*tbl_Punch[[#This Row],[% Complete]])</f>
        <v>#DIV/0!</v>
      </c>
      <c r="N74" s="31"/>
      <c r="P74" s="28" t="e">
        <f>tbl_Punch[[#This Row],[Mat. Qty]]*tbl_Punch[[#This Row],[% Complete]]</f>
        <v>#DIV/0!</v>
      </c>
      <c r="R74" s="32" t="str">
        <f>IFERROR(tbl_Punch[[#This Row],[Qty Complete]]/tbl_Punch[[#This Row],[Total Hours Act]]*tbl_Punch[[#This Row],['# of men Act]],"")</f>
        <v/>
      </c>
      <c r="T74"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74" s="35" t="str">
        <f>IFERROR((tbl_Punch[[#This Row],[Adj. Total Hours]]+tbl_Punch[[#This Row],[Est. Hours]])/(tbl_Punch[[#This Row],[Total Hours Act]]+tbl_Punch[[#This Row],[Act. Hours]]),"")</f>
        <v/>
      </c>
      <c r="Y74"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74" s="104" t="str">
        <f>IFERROR(tbl_Punch[[#This Row],[Act. Mat. Qty]]-tbl_Punch[[#This Row],[Adj. Mat. Qty]],"")</f>
        <v/>
      </c>
      <c r="AA74"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74" s="31"/>
      <c r="AD74" s="36"/>
    </row>
    <row r="75" spans="3:30" ht="25" customHeight="1">
      <c r="C75" s="28" t="str">
        <f>IF(tbl_Punch[[#This Row],[Part'#]]="", "Batch", "Part")</f>
        <v>Batch</v>
      </c>
      <c r="G75" s="28"/>
      <c r="I75" s="70" t="e">
        <f>tbl_Punch[[#This Row],[Qty Complete]]/tbl_Punch[[#This Row],[Qty Required]]</f>
        <v>#DIV/0!</v>
      </c>
      <c r="L75" s="31">
        <f>IF(tbl_Punch[[#This Row],[Job Type]]="Batch",0,tbl_Punch[[#This Row],[Qty Required]]/tbl_Punch[[#This Row],[PPH]]*tbl_Punch[[#This Row],['# of men]])</f>
        <v>0</v>
      </c>
      <c r="M75" s="31" t="e">
        <f>IF(tbl_Punch[[#This Row],[Job Type]]="Batch",tbl_Punch[[#This Row],[Batch Hours]]*tbl_Punch[[#This Row],[% Complete]],tbl_Punch[[#This Row],[Total hours]]*tbl_Punch[[#This Row],[% Complete]])</f>
        <v>#DIV/0!</v>
      </c>
      <c r="N75" s="31"/>
      <c r="P75" s="28" t="e">
        <f>tbl_Punch[[#This Row],[Mat. Qty]]*tbl_Punch[[#This Row],[% Complete]]</f>
        <v>#DIV/0!</v>
      </c>
      <c r="R75" s="32" t="str">
        <f>IFERROR(tbl_Punch[[#This Row],[Qty Complete]]/tbl_Punch[[#This Row],[Total Hours Act]]*tbl_Punch[[#This Row],['# of men Act]],"")</f>
        <v/>
      </c>
      <c r="T75"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75" s="35" t="str">
        <f>IFERROR((tbl_Punch[[#This Row],[Adj. Total Hours]]+tbl_Punch[[#This Row],[Est. Hours]])/(tbl_Punch[[#This Row],[Total Hours Act]]+tbl_Punch[[#This Row],[Act. Hours]]),"")</f>
        <v/>
      </c>
      <c r="Y75"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75" s="104" t="str">
        <f>IFERROR(tbl_Punch[[#This Row],[Act. Mat. Qty]]-tbl_Punch[[#This Row],[Adj. Mat. Qty]],"")</f>
        <v/>
      </c>
      <c r="AA75"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75" s="31"/>
      <c r="AD75" s="36"/>
    </row>
    <row r="76" spans="3:30" ht="25" customHeight="1">
      <c r="C76" s="28" t="str">
        <f>IF(tbl_Punch[[#This Row],[Part'#]]="", "Batch", "Part")</f>
        <v>Batch</v>
      </c>
      <c r="G76" s="28"/>
      <c r="I76" s="70" t="e">
        <f>tbl_Punch[[#This Row],[Qty Complete]]/tbl_Punch[[#This Row],[Qty Required]]</f>
        <v>#DIV/0!</v>
      </c>
      <c r="L76" s="31">
        <f>IF(tbl_Punch[[#This Row],[Job Type]]="Batch",0,tbl_Punch[[#This Row],[Qty Required]]/tbl_Punch[[#This Row],[PPH]]*tbl_Punch[[#This Row],['# of men]])</f>
        <v>0</v>
      </c>
      <c r="M76" s="31" t="e">
        <f>IF(tbl_Punch[[#This Row],[Job Type]]="Batch",tbl_Punch[[#This Row],[Batch Hours]]*tbl_Punch[[#This Row],[% Complete]],tbl_Punch[[#This Row],[Total hours]]*tbl_Punch[[#This Row],[% Complete]])</f>
        <v>#DIV/0!</v>
      </c>
      <c r="N76" s="31"/>
      <c r="P76" s="28" t="e">
        <f>tbl_Punch[[#This Row],[Mat. Qty]]*tbl_Punch[[#This Row],[% Complete]]</f>
        <v>#DIV/0!</v>
      </c>
      <c r="R76" s="32" t="str">
        <f>IFERROR(tbl_Punch[[#This Row],[Qty Complete]]/tbl_Punch[[#This Row],[Total Hours Act]]*tbl_Punch[[#This Row],['# of men Act]],"")</f>
        <v/>
      </c>
      <c r="T76"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76" s="35" t="str">
        <f>IFERROR((tbl_Punch[[#This Row],[Adj. Total Hours]]+tbl_Punch[[#This Row],[Est. Hours]])/(tbl_Punch[[#This Row],[Total Hours Act]]+tbl_Punch[[#This Row],[Act. Hours]]),"")</f>
        <v/>
      </c>
      <c r="Y76"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76" s="104" t="str">
        <f>IFERROR(tbl_Punch[[#This Row],[Act. Mat. Qty]]-tbl_Punch[[#This Row],[Adj. Mat. Qty]],"")</f>
        <v/>
      </c>
      <c r="AA76"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76" s="31"/>
      <c r="AD76" s="36"/>
    </row>
    <row r="77" spans="3:30" ht="25" customHeight="1">
      <c r="C77" s="28" t="str">
        <f>IF(tbl_Punch[[#This Row],[Part'#]]="", "Batch", "Part")</f>
        <v>Batch</v>
      </c>
      <c r="G77" s="28"/>
      <c r="I77" s="70" t="e">
        <f>tbl_Punch[[#This Row],[Qty Complete]]/tbl_Punch[[#This Row],[Qty Required]]</f>
        <v>#DIV/0!</v>
      </c>
      <c r="L77" s="31">
        <f>IF(tbl_Punch[[#This Row],[Job Type]]="Batch",0,tbl_Punch[[#This Row],[Qty Required]]/tbl_Punch[[#This Row],[PPH]]*tbl_Punch[[#This Row],['# of men]])</f>
        <v>0</v>
      </c>
      <c r="M77" s="31" t="e">
        <f>IF(tbl_Punch[[#This Row],[Job Type]]="Batch",tbl_Punch[[#This Row],[Batch Hours]]*tbl_Punch[[#This Row],[% Complete]],tbl_Punch[[#This Row],[Total hours]]*tbl_Punch[[#This Row],[% Complete]])</f>
        <v>#DIV/0!</v>
      </c>
      <c r="N77" s="31"/>
      <c r="P77" s="28" t="e">
        <f>tbl_Punch[[#This Row],[Mat. Qty]]*tbl_Punch[[#This Row],[% Complete]]</f>
        <v>#DIV/0!</v>
      </c>
      <c r="R77" s="32" t="str">
        <f>IFERROR(tbl_Punch[[#This Row],[Qty Complete]]/tbl_Punch[[#This Row],[Total Hours Act]]*tbl_Punch[[#This Row],['# of men Act]],"")</f>
        <v/>
      </c>
      <c r="T77"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77" s="35" t="str">
        <f>IFERROR((tbl_Punch[[#This Row],[Adj. Total Hours]]+tbl_Punch[[#This Row],[Est. Hours]])/(tbl_Punch[[#This Row],[Total Hours Act]]+tbl_Punch[[#This Row],[Act. Hours]]),"")</f>
        <v/>
      </c>
      <c r="Y77"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77" s="104" t="str">
        <f>IFERROR(tbl_Punch[[#This Row],[Act. Mat. Qty]]-tbl_Punch[[#This Row],[Adj. Mat. Qty]],"")</f>
        <v/>
      </c>
      <c r="AA77"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77" s="31"/>
      <c r="AD77" s="36"/>
    </row>
    <row r="78" spans="3:30" ht="25" customHeight="1">
      <c r="C78" s="28" t="str">
        <f>IF(tbl_Punch[[#This Row],[Part'#]]="", "Batch", "Part")</f>
        <v>Batch</v>
      </c>
      <c r="G78" s="28"/>
      <c r="I78" s="70" t="e">
        <f>tbl_Punch[[#This Row],[Qty Complete]]/tbl_Punch[[#This Row],[Qty Required]]</f>
        <v>#DIV/0!</v>
      </c>
      <c r="L78" s="31">
        <f>IF(tbl_Punch[[#This Row],[Job Type]]="Batch",0,tbl_Punch[[#This Row],[Qty Required]]/tbl_Punch[[#This Row],[PPH]]*tbl_Punch[[#This Row],['# of men]])</f>
        <v>0</v>
      </c>
      <c r="M78" s="31" t="e">
        <f>IF(tbl_Punch[[#This Row],[Job Type]]="Batch",tbl_Punch[[#This Row],[Batch Hours]]*tbl_Punch[[#This Row],[% Complete]],tbl_Punch[[#This Row],[Total hours]]*tbl_Punch[[#This Row],[% Complete]])</f>
        <v>#DIV/0!</v>
      </c>
      <c r="N78" s="31"/>
      <c r="P78" s="28" t="e">
        <f>tbl_Punch[[#This Row],[Mat. Qty]]*tbl_Punch[[#This Row],[% Complete]]</f>
        <v>#DIV/0!</v>
      </c>
      <c r="R78" s="32" t="str">
        <f>IFERROR(tbl_Punch[[#This Row],[Qty Complete]]/tbl_Punch[[#This Row],[Total Hours Act]]*tbl_Punch[[#This Row],['# of men Act]],"")</f>
        <v/>
      </c>
      <c r="T78"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78" s="35" t="str">
        <f>IFERROR((tbl_Punch[[#This Row],[Adj. Total Hours]]+tbl_Punch[[#This Row],[Est. Hours]])/(tbl_Punch[[#This Row],[Total Hours Act]]+tbl_Punch[[#This Row],[Act. Hours]]),"")</f>
        <v/>
      </c>
      <c r="Y78"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78" s="104" t="str">
        <f>IFERROR(tbl_Punch[[#This Row],[Act. Mat. Qty]]-tbl_Punch[[#This Row],[Adj. Mat. Qty]],"")</f>
        <v/>
      </c>
      <c r="AA78"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78" s="31"/>
      <c r="AD78" s="36"/>
    </row>
    <row r="79" spans="3:30" ht="25" customHeight="1">
      <c r="C79" s="28" t="str">
        <f>IF(tbl_Punch[[#This Row],[Part'#]]="", "Batch", "Part")</f>
        <v>Batch</v>
      </c>
      <c r="G79" s="28"/>
      <c r="I79" s="70" t="e">
        <f>tbl_Punch[[#This Row],[Qty Complete]]/tbl_Punch[[#This Row],[Qty Required]]</f>
        <v>#DIV/0!</v>
      </c>
      <c r="L79" s="31">
        <f>IF(tbl_Punch[[#This Row],[Job Type]]="Batch",0,tbl_Punch[[#This Row],[Qty Required]]/tbl_Punch[[#This Row],[PPH]]*tbl_Punch[[#This Row],['# of men]])</f>
        <v>0</v>
      </c>
      <c r="M79" s="31" t="e">
        <f>IF(tbl_Punch[[#This Row],[Job Type]]="Batch",tbl_Punch[[#This Row],[Batch Hours]]*tbl_Punch[[#This Row],[% Complete]],tbl_Punch[[#This Row],[Total hours]]*tbl_Punch[[#This Row],[% Complete]])</f>
        <v>#DIV/0!</v>
      </c>
      <c r="N79" s="31"/>
      <c r="P79" s="28" t="e">
        <f>tbl_Punch[[#This Row],[Mat. Qty]]*tbl_Punch[[#This Row],[% Complete]]</f>
        <v>#DIV/0!</v>
      </c>
      <c r="R79" s="32" t="str">
        <f>IFERROR(tbl_Punch[[#This Row],[Qty Complete]]/tbl_Punch[[#This Row],[Total Hours Act]]*tbl_Punch[[#This Row],['# of men Act]],"")</f>
        <v/>
      </c>
      <c r="T79"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79" s="35" t="str">
        <f>IFERROR((tbl_Punch[[#This Row],[Adj. Total Hours]]+tbl_Punch[[#This Row],[Est. Hours]])/(tbl_Punch[[#This Row],[Total Hours Act]]+tbl_Punch[[#This Row],[Act. Hours]]),"")</f>
        <v/>
      </c>
      <c r="Y79"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79" s="104" t="str">
        <f>IFERROR(tbl_Punch[[#This Row],[Act. Mat. Qty]]-tbl_Punch[[#This Row],[Adj. Mat. Qty]],"")</f>
        <v/>
      </c>
      <c r="AA79"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79" s="31"/>
      <c r="AD79" s="36"/>
    </row>
    <row r="80" spans="3:30" ht="25" customHeight="1">
      <c r="C80" s="28" t="str">
        <f>IF(tbl_Punch[[#This Row],[Part'#]]="", "Batch", "Part")</f>
        <v>Batch</v>
      </c>
      <c r="G80" s="28"/>
      <c r="I80" s="70" t="e">
        <f>tbl_Punch[[#This Row],[Qty Complete]]/tbl_Punch[[#This Row],[Qty Required]]</f>
        <v>#DIV/0!</v>
      </c>
      <c r="L80" s="31">
        <f>IF(tbl_Punch[[#This Row],[Job Type]]="Batch",0,tbl_Punch[[#This Row],[Qty Required]]/tbl_Punch[[#This Row],[PPH]]*tbl_Punch[[#This Row],['# of men]])</f>
        <v>0</v>
      </c>
      <c r="M80" s="31" t="e">
        <f>IF(tbl_Punch[[#This Row],[Job Type]]="Batch",tbl_Punch[[#This Row],[Batch Hours]]*tbl_Punch[[#This Row],[% Complete]],tbl_Punch[[#This Row],[Total hours]]*tbl_Punch[[#This Row],[% Complete]])</f>
        <v>#DIV/0!</v>
      </c>
      <c r="N80" s="31"/>
      <c r="P80" s="28" t="e">
        <f>tbl_Punch[[#This Row],[Mat. Qty]]*tbl_Punch[[#This Row],[% Complete]]</f>
        <v>#DIV/0!</v>
      </c>
      <c r="R80" s="32" t="str">
        <f>IFERROR(tbl_Punch[[#This Row],[Qty Complete]]/tbl_Punch[[#This Row],[Total Hours Act]]*tbl_Punch[[#This Row],['# of men Act]],"")</f>
        <v/>
      </c>
      <c r="T80"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80" s="35" t="str">
        <f>IFERROR((tbl_Punch[[#This Row],[Adj. Total Hours]]+tbl_Punch[[#This Row],[Est. Hours]])/(tbl_Punch[[#This Row],[Total Hours Act]]+tbl_Punch[[#This Row],[Act. Hours]]),"")</f>
        <v/>
      </c>
      <c r="Y80"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80" s="104" t="str">
        <f>IFERROR(tbl_Punch[[#This Row],[Act. Mat. Qty]]-tbl_Punch[[#This Row],[Adj. Mat. Qty]],"")</f>
        <v/>
      </c>
      <c r="AA80"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80" s="31"/>
      <c r="AD80" s="36"/>
    </row>
    <row r="81" spans="3:30" ht="25" customHeight="1">
      <c r="C81" s="28" t="str">
        <f>IF(tbl_Punch[[#This Row],[Part'#]]="", "Batch", "Part")</f>
        <v>Batch</v>
      </c>
      <c r="G81" s="28"/>
      <c r="I81" s="70" t="e">
        <f>tbl_Punch[[#This Row],[Qty Complete]]/tbl_Punch[[#This Row],[Qty Required]]</f>
        <v>#DIV/0!</v>
      </c>
      <c r="L81" s="31">
        <f>IF(tbl_Punch[[#This Row],[Job Type]]="Batch",0,tbl_Punch[[#This Row],[Qty Required]]/tbl_Punch[[#This Row],[PPH]]*tbl_Punch[[#This Row],['# of men]])</f>
        <v>0</v>
      </c>
      <c r="M81" s="31" t="e">
        <f>IF(tbl_Punch[[#This Row],[Job Type]]="Batch",tbl_Punch[[#This Row],[Batch Hours]]*tbl_Punch[[#This Row],[% Complete]],tbl_Punch[[#This Row],[Total hours]]*tbl_Punch[[#This Row],[% Complete]])</f>
        <v>#DIV/0!</v>
      </c>
      <c r="N81" s="31"/>
      <c r="P81" s="28" t="e">
        <f>tbl_Punch[[#This Row],[Mat. Qty]]*tbl_Punch[[#This Row],[% Complete]]</f>
        <v>#DIV/0!</v>
      </c>
      <c r="R81" s="32" t="str">
        <f>IFERROR(tbl_Punch[[#This Row],[Qty Complete]]/tbl_Punch[[#This Row],[Total Hours Act]]*tbl_Punch[[#This Row],['# of men Act]],"")</f>
        <v/>
      </c>
      <c r="T81"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81" s="35" t="str">
        <f>IFERROR((tbl_Punch[[#This Row],[Adj. Total Hours]]+tbl_Punch[[#This Row],[Est. Hours]])/(tbl_Punch[[#This Row],[Total Hours Act]]+tbl_Punch[[#This Row],[Act. Hours]]),"")</f>
        <v/>
      </c>
      <c r="Y81"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81" s="104" t="str">
        <f>IFERROR(tbl_Punch[[#This Row],[Act. Mat. Qty]]-tbl_Punch[[#This Row],[Adj. Mat. Qty]],"")</f>
        <v/>
      </c>
      <c r="AA81"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81" s="31"/>
      <c r="AD81" s="36"/>
    </row>
    <row r="82" spans="3:30" ht="25" customHeight="1">
      <c r="C82" s="28" t="str">
        <f>IF(tbl_Punch[[#This Row],[Part'#]]="", "Batch", "Part")</f>
        <v>Batch</v>
      </c>
      <c r="G82" s="28"/>
      <c r="I82" s="70" t="e">
        <f>tbl_Punch[[#This Row],[Qty Complete]]/tbl_Punch[[#This Row],[Qty Required]]</f>
        <v>#DIV/0!</v>
      </c>
      <c r="L82" s="31">
        <f>IF(tbl_Punch[[#This Row],[Job Type]]="Batch",0,tbl_Punch[[#This Row],[Qty Required]]/tbl_Punch[[#This Row],[PPH]]*tbl_Punch[[#This Row],['# of men]])</f>
        <v>0</v>
      </c>
      <c r="M82" s="31" t="e">
        <f>IF(tbl_Punch[[#This Row],[Job Type]]="Batch",tbl_Punch[[#This Row],[Batch Hours]]*tbl_Punch[[#This Row],[% Complete]],tbl_Punch[[#This Row],[Total hours]]*tbl_Punch[[#This Row],[% Complete]])</f>
        <v>#DIV/0!</v>
      </c>
      <c r="N82" s="31"/>
      <c r="P82" s="28" t="e">
        <f>tbl_Punch[[#This Row],[Mat. Qty]]*tbl_Punch[[#This Row],[% Complete]]</f>
        <v>#DIV/0!</v>
      </c>
      <c r="R82" s="32" t="str">
        <f>IFERROR(tbl_Punch[[#This Row],[Qty Complete]]/tbl_Punch[[#This Row],[Total Hours Act]]*tbl_Punch[[#This Row],['# of men Act]],"")</f>
        <v/>
      </c>
      <c r="T82"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82" s="35" t="str">
        <f>IFERROR((tbl_Punch[[#This Row],[Adj. Total Hours]]+tbl_Punch[[#This Row],[Est. Hours]])/(tbl_Punch[[#This Row],[Total Hours Act]]+tbl_Punch[[#This Row],[Act. Hours]]),"")</f>
        <v/>
      </c>
      <c r="Y82"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82" s="104" t="str">
        <f>IFERROR(tbl_Punch[[#This Row],[Act. Mat. Qty]]-tbl_Punch[[#This Row],[Adj. Mat. Qty]],"")</f>
        <v/>
      </c>
      <c r="AA82"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82" s="31"/>
      <c r="AD82" s="36"/>
    </row>
    <row r="83" spans="3:30" ht="25" customHeight="1">
      <c r="C83" s="28" t="str">
        <f>IF(tbl_Punch[[#This Row],[Part'#]]="", "Batch", "Part")</f>
        <v>Batch</v>
      </c>
      <c r="G83" s="28"/>
      <c r="I83" s="70" t="e">
        <f>tbl_Punch[[#This Row],[Qty Complete]]/tbl_Punch[[#This Row],[Qty Required]]</f>
        <v>#DIV/0!</v>
      </c>
      <c r="L83" s="31">
        <f>IF(tbl_Punch[[#This Row],[Job Type]]="Batch",0,tbl_Punch[[#This Row],[Qty Required]]/tbl_Punch[[#This Row],[PPH]]*tbl_Punch[[#This Row],['# of men]])</f>
        <v>0</v>
      </c>
      <c r="M83" s="31" t="e">
        <f>IF(tbl_Punch[[#This Row],[Job Type]]="Batch",tbl_Punch[[#This Row],[Batch Hours]]*tbl_Punch[[#This Row],[% Complete]],tbl_Punch[[#This Row],[Total hours]]*tbl_Punch[[#This Row],[% Complete]])</f>
        <v>#DIV/0!</v>
      </c>
      <c r="N83" s="31"/>
      <c r="P83" s="28" t="e">
        <f>tbl_Punch[[#This Row],[Mat. Qty]]*tbl_Punch[[#This Row],[% Complete]]</f>
        <v>#DIV/0!</v>
      </c>
      <c r="R83" s="32" t="str">
        <f>IFERROR(tbl_Punch[[#This Row],[Qty Complete]]/tbl_Punch[[#This Row],[Total Hours Act]]*tbl_Punch[[#This Row],['# of men Act]],"")</f>
        <v/>
      </c>
      <c r="T83"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83" s="35" t="str">
        <f>IFERROR((tbl_Punch[[#This Row],[Adj. Total Hours]]+tbl_Punch[[#This Row],[Est. Hours]])/(tbl_Punch[[#This Row],[Total Hours Act]]+tbl_Punch[[#This Row],[Act. Hours]]),"")</f>
        <v/>
      </c>
      <c r="Y83"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83" s="104" t="str">
        <f>IFERROR(tbl_Punch[[#This Row],[Act. Mat. Qty]]-tbl_Punch[[#This Row],[Adj. Mat. Qty]],"")</f>
        <v/>
      </c>
      <c r="AA83"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83" s="31"/>
      <c r="AD83" s="36"/>
    </row>
    <row r="84" spans="3:30" ht="25" customHeight="1">
      <c r="C84" s="28" t="str">
        <f>IF(tbl_Punch[[#This Row],[Part'#]]="", "Batch", "Part")</f>
        <v>Batch</v>
      </c>
      <c r="G84" s="28"/>
      <c r="I84" s="70" t="e">
        <f>tbl_Punch[[#This Row],[Qty Complete]]/tbl_Punch[[#This Row],[Qty Required]]</f>
        <v>#DIV/0!</v>
      </c>
      <c r="L84" s="31">
        <f>IF(tbl_Punch[[#This Row],[Job Type]]="Batch",0,tbl_Punch[[#This Row],[Qty Required]]/tbl_Punch[[#This Row],[PPH]]*tbl_Punch[[#This Row],['# of men]])</f>
        <v>0</v>
      </c>
      <c r="M84" s="31" t="e">
        <f>IF(tbl_Punch[[#This Row],[Job Type]]="Batch",tbl_Punch[[#This Row],[Batch Hours]]*tbl_Punch[[#This Row],[% Complete]],tbl_Punch[[#This Row],[Total hours]]*tbl_Punch[[#This Row],[% Complete]])</f>
        <v>#DIV/0!</v>
      </c>
      <c r="N84" s="31"/>
      <c r="P84" s="28" t="e">
        <f>tbl_Punch[[#This Row],[Mat. Qty]]*tbl_Punch[[#This Row],[% Complete]]</f>
        <v>#DIV/0!</v>
      </c>
      <c r="R84" s="32" t="str">
        <f>IFERROR(tbl_Punch[[#This Row],[Qty Complete]]/tbl_Punch[[#This Row],[Total Hours Act]]*tbl_Punch[[#This Row],['# of men Act]],"")</f>
        <v/>
      </c>
      <c r="T84"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84" s="35" t="str">
        <f>IFERROR((tbl_Punch[[#This Row],[Adj. Total Hours]]+tbl_Punch[[#This Row],[Est. Hours]])/(tbl_Punch[[#This Row],[Total Hours Act]]+tbl_Punch[[#This Row],[Act. Hours]]),"")</f>
        <v/>
      </c>
      <c r="Y84"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84" s="104" t="str">
        <f>IFERROR(tbl_Punch[[#This Row],[Act. Mat. Qty]]-tbl_Punch[[#This Row],[Adj. Mat. Qty]],"")</f>
        <v/>
      </c>
      <c r="AA84"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84" s="31"/>
      <c r="AD84" s="36"/>
    </row>
    <row r="85" spans="3:30" ht="25" customHeight="1">
      <c r="C85" s="28" t="str">
        <f>IF(tbl_Punch[[#This Row],[Part'#]]="", "Batch", "Part")</f>
        <v>Batch</v>
      </c>
      <c r="G85" s="28"/>
      <c r="I85" s="70" t="e">
        <f>tbl_Punch[[#This Row],[Qty Complete]]/tbl_Punch[[#This Row],[Qty Required]]</f>
        <v>#DIV/0!</v>
      </c>
      <c r="L85" s="31">
        <f>IF(tbl_Punch[[#This Row],[Job Type]]="Batch",0,tbl_Punch[[#This Row],[Qty Required]]/tbl_Punch[[#This Row],[PPH]]*tbl_Punch[[#This Row],['# of men]])</f>
        <v>0</v>
      </c>
      <c r="M85" s="31" t="e">
        <f>IF(tbl_Punch[[#This Row],[Job Type]]="Batch",tbl_Punch[[#This Row],[Batch Hours]]*tbl_Punch[[#This Row],[% Complete]],tbl_Punch[[#This Row],[Total hours]]*tbl_Punch[[#This Row],[% Complete]])</f>
        <v>#DIV/0!</v>
      </c>
      <c r="N85" s="31"/>
      <c r="P85" s="28" t="e">
        <f>tbl_Punch[[#This Row],[Mat. Qty]]*tbl_Punch[[#This Row],[% Complete]]</f>
        <v>#DIV/0!</v>
      </c>
      <c r="R85" s="32" t="str">
        <f>IFERROR(tbl_Punch[[#This Row],[Qty Complete]]/tbl_Punch[[#This Row],[Total Hours Act]]*tbl_Punch[[#This Row],['# of men Act]],"")</f>
        <v/>
      </c>
      <c r="T85"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85" s="35" t="str">
        <f>IFERROR((tbl_Punch[[#This Row],[Adj. Total Hours]]+tbl_Punch[[#This Row],[Est. Hours]])/(tbl_Punch[[#This Row],[Total Hours Act]]+tbl_Punch[[#This Row],[Act. Hours]]),"")</f>
        <v/>
      </c>
      <c r="Y85"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85" s="104" t="str">
        <f>IFERROR(tbl_Punch[[#This Row],[Act. Mat. Qty]]-tbl_Punch[[#This Row],[Adj. Mat. Qty]],"")</f>
        <v/>
      </c>
      <c r="AA85"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85" s="31"/>
      <c r="AD85" s="36"/>
    </row>
    <row r="86" spans="3:30" ht="25" customHeight="1">
      <c r="C86" s="28" t="str">
        <f>IF(tbl_Punch[[#This Row],[Part'#]]="", "Batch", "Part")</f>
        <v>Batch</v>
      </c>
      <c r="G86" s="28"/>
      <c r="I86" s="70" t="e">
        <f>tbl_Punch[[#This Row],[Qty Complete]]/tbl_Punch[[#This Row],[Qty Required]]</f>
        <v>#DIV/0!</v>
      </c>
      <c r="L86" s="31">
        <f>IF(tbl_Punch[[#This Row],[Job Type]]="Batch",0,tbl_Punch[[#This Row],[Qty Required]]/tbl_Punch[[#This Row],[PPH]]*tbl_Punch[[#This Row],['# of men]])</f>
        <v>0</v>
      </c>
      <c r="M86" s="31" t="e">
        <f>IF(tbl_Punch[[#This Row],[Job Type]]="Batch",tbl_Punch[[#This Row],[Batch Hours]]*tbl_Punch[[#This Row],[% Complete]],tbl_Punch[[#This Row],[Total hours]]*tbl_Punch[[#This Row],[% Complete]])</f>
        <v>#DIV/0!</v>
      </c>
      <c r="N86" s="31"/>
      <c r="P86" s="28" t="e">
        <f>tbl_Punch[[#This Row],[Mat. Qty]]*tbl_Punch[[#This Row],[% Complete]]</f>
        <v>#DIV/0!</v>
      </c>
      <c r="R86" s="32" t="str">
        <f>IFERROR(tbl_Punch[[#This Row],[Qty Complete]]/tbl_Punch[[#This Row],[Total Hours Act]]*tbl_Punch[[#This Row],['# of men Act]],"")</f>
        <v/>
      </c>
      <c r="T86"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86" s="35" t="str">
        <f>IFERROR((tbl_Punch[[#This Row],[Adj. Total Hours]]+tbl_Punch[[#This Row],[Est. Hours]])/(tbl_Punch[[#This Row],[Total Hours Act]]+tbl_Punch[[#This Row],[Act. Hours]]),"")</f>
        <v/>
      </c>
      <c r="Y86"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86" s="104" t="str">
        <f>IFERROR(tbl_Punch[[#This Row],[Act. Mat. Qty]]-tbl_Punch[[#This Row],[Adj. Mat. Qty]],"")</f>
        <v/>
      </c>
      <c r="AA86"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86" s="31"/>
      <c r="AD86" s="36"/>
    </row>
    <row r="87" spans="3:30" ht="25" customHeight="1">
      <c r="C87" s="28" t="str">
        <f>IF(tbl_Punch[[#This Row],[Part'#]]="", "Batch", "Part")</f>
        <v>Batch</v>
      </c>
      <c r="G87" s="28"/>
      <c r="I87" s="70" t="e">
        <f>tbl_Punch[[#This Row],[Qty Complete]]/tbl_Punch[[#This Row],[Qty Required]]</f>
        <v>#DIV/0!</v>
      </c>
      <c r="L87" s="31">
        <f>IF(tbl_Punch[[#This Row],[Job Type]]="Batch",0,tbl_Punch[[#This Row],[Qty Required]]/tbl_Punch[[#This Row],[PPH]]*tbl_Punch[[#This Row],['# of men]])</f>
        <v>0</v>
      </c>
      <c r="M87" s="31" t="e">
        <f>IF(tbl_Punch[[#This Row],[Job Type]]="Batch",tbl_Punch[[#This Row],[Batch Hours]]*tbl_Punch[[#This Row],[% Complete]],tbl_Punch[[#This Row],[Total hours]]*tbl_Punch[[#This Row],[% Complete]])</f>
        <v>#DIV/0!</v>
      </c>
      <c r="N87" s="31"/>
      <c r="P87" s="28" t="e">
        <f>tbl_Punch[[#This Row],[Mat. Qty]]*tbl_Punch[[#This Row],[% Complete]]</f>
        <v>#DIV/0!</v>
      </c>
      <c r="R87" s="32" t="str">
        <f>IFERROR(tbl_Punch[[#This Row],[Qty Complete]]/tbl_Punch[[#This Row],[Total Hours Act]]*tbl_Punch[[#This Row],['# of men Act]],"")</f>
        <v/>
      </c>
      <c r="T87"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87" s="35" t="str">
        <f>IFERROR((tbl_Punch[[#This Row],[Adj. Total Hours]]+tbl_Punch[[#This Row],[Est. Hours]])/(tbl_Punch[[#This Row],[Total Hours Act]]+tbl_Punch[[#This Row],[Act. Hours]]),"")</f>
        <v/>
      </c>
      <c r="Y87"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87" s="104" t="str">
        <f>IFERROR(tbl_Punch[[#This Row],[Act. Mat. Qty]]-tbl_Punch[[#This Row],[Adj. Mat. Qty]],"")</f>
        <v/>
      </c>
      <c r="AA87"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87" s="31"/>
      <c r="AD87" s="36"/>
    </row>
    <row r="88" spans="3:30" ht="25" customHeight="1">
      <c r="C88" s="28" t="str">
        <f>IF(tbl_Punch[[#This Row],[Part'#]]="", "Batch", "Part")</f>
        <v>Batch</v>
      </c>
      <c r="G88" s="28"/>
      <c r="I88" s="70" t="e">
        <f>tbl_Punch[[#This Row],[Qty Complete]]/tbl_Punch[[#This Row],[Qty Required]]</f>
        <v>#DIV/0!</v>
      </c>
      <c r="L88" s="31">
        <f>IF(tbl_Punch[[#This Row],[Job Type]]="Batch",0,tbl_Punch[[#This Row],[Qty Required]]/tbl_Punch[[#This Row],[PPH]]*tbl_Punch[[#This Row],['# of men]])</f>
        <v>0</v>
      </c>
      <c r="M88" s="31" t="e">
        <f>IF(tbl_Punch[[#This Row],[Job Type]]="Batch",tbl_Punch[[#This Row],[Batch Hours]]*tbl_Punch[[#This Row],[% Complete]],tbl_Punch[[#This Row],[Total hours]]*tbl_Punch[[#This Row],[% Complete]])</f>
        <v>#DIV/0!</v>
      </c>
      <c r="N88" s="31"/>
      <c r="P88" s="28" t="e">
        <f>tbl_Punch[[#This Row],[Mat. Qty]]*tbl_Punch[[#This Row],[% Complete]]</f>
        <v>#DIV/0!</v>
      </c>
      <c r="R88" s="32" t="str">
        <f>IFERROR(tbl_Punch[[#This Row],[Qty Complete]]/tbl_Punch[[#This Row],[Total Hours Act]]*tbl_Punch[[#This Row],['# of men Act]],"")</f>
        <v/>
      </c>
      <c r="T88"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88" s="35" t="str">
        <f>IFERROR((tbl_Punch[[#This Row],[Adj. Total Hours]]+tbl_Punch[[#This Row],[Est. Hours]])/(tbl_Punch[[#This Row],[Total Hours Act]]+tbl_Punch[[#This Row],[Act. Hours]]),"")</f>
        <v/>
      </c>
      <c r="Y88"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88" s="104" t="str">
        <f>IFERROR(tbl_Punch[[#This Row],[Act. Mat. Qty]]-tbl_Punch[[#This Row],[Adj. Mat. Qty]],"")</f>
        <v/>
      </c>
      <c r="AA88"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88" s="31"/>
      <c r="AD88" s="36"/>
    </row>
    <row r="89" spans="3:30" ht="25" customHeight="1">
      <c r="C89" s="28" t="str">
        <f>IF(tbl_Punch[[#This Row],[Part'#]]="", "Batch", "Part")</f>
        <v>Batch</v>
      </c>
      <c r="G89" s="28"/>
      <c r="I89" s="70" t="e">
        <f>tbl_Punch[[#This Row],[Qty Complete]]/tbl_Punch[[#This Row],[Qty Required]]</f>
        <v>#DIV/0!</v>
      </c>
      <c r="L89" s="31">
        <f>IF(tbl_Punch[[#This Row],[Job Type]]="Batch",0,tbl_Punch[[#This Row],[Qty Required]]/tbl_Punch[[#This Row],[PPH]]*tbl_Punch[[#This Row],['# of men]])</f>
        <v>0</v>
      </c>
      <c r="M89" s="31" t="e">
        <f>IF(tbl_Punch[[#This Row],[Job Type]]="Batch",tbl_Punch[[#This Row],[Batch Hours]]*tbl_Punch[[#This Row],[% Complete]],tbl_Punch[[#This Row],[Total hours]]*tbl_Punch[[#This Row],[% Complete]])</f>
        <v>#DIV/0!</v>
      </c>
      <c r="N89" s="31"/>
      <c r="P89" s="28" t="e">
        <f>tbl_Punch[[#This Row],[Mat. Qty]]*tbl_Punch[[#This Row],[% Complete]]</f>
        <v>#DIV/0!</v>
      </c>
      <c r="R89" s="32" t="str">
        <f>IFERROR(tbl_Punch[[#This Row],[Qty Complete]]/tbl_Punch[[#This Row],[Total Hours Act]]*tbl_Punch[[#This Row],['# of men Act]],"")</f>
        <v/>
      </c>
      <c r="T89"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89" s="35" t="str">
        <f>IFERROR((tbl_Punch[[#This Row],[Adj. Total Hours]]+tbl_Punch[[#This Row],[Est. Hours]])/(tbl_Punch[[#This Row],[Total Hours Act]]+tbl_Punch[[#This Row],[Act. Hours]]),"")</f>
        <v/>
      </c>
      <c r="Y89"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89" s="104" t="str">
        <f>IFERROR(tbl_Punch[[#This Row],[Act. Mat. Qty]]-tbl_Punch[[#This Row],[Adj. Mat. Qty]],"")</f>
        <v/>
      </c>
      <c r="AA89"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89" s="31"/>
      <c r="AD89" s="36"/>
    </row>
    <row r="90" spans="3:30" ht="25" customHeight="1">
      <c r="C90" s="28" t="str">
        <f>IF(tbl_Punch[[#This Row],[Part'#]]="", "Batch", "Part")</f>
        <v>Batch</v>
      </c>
      <c r="G90" s="28"/>
      <c r="I90" s="70" t="e">
        <f>tbl_Punch[[#This Row],[Qty Complete]]/tbl_Punch[[#This Row],[Qty Required]]</f>
        <v>#DIV/0!</v>
      </c>
      <c r="L90" s="31">
        <f>IF(tbl_Punch[[#This Row],[Job Type]]="Batch",0,tbl_Punch[[#This Row],[Qty Required]]/tbl_Punch[[#This Row],[PPH]]*tbl_Punch[[#This Row],['# of men]])</f>
        <v>0</v>
      </c>
      <c r="M90" s="31" t="e">
        <f>IF(tbl_Punch[[#This Row],[Job Type]]="Batch",tbl_Punch[[#This Row],[Batch Hours]]*tbl_Punch[[#This Row],[% Complete]],tbl_Punch[[#This Row],[Total hours]]*tbl_Punch[[#This Row],[% Complete]])</f>
        <v>#DIV/0!</v>
      </c>
      <c r="N90" s="31"/>
      <c r="P90" s="28" t="e">
        <f>tbl_Punch[[#This Row],[Mat. Qty]]*tbl_Punch[[#This Row],[% Complete]]</f>
        <v>#DIV/0!</v>
      </c>
      <c r="R90" s="32" t="str">
        <f>IFERROR(tbl_Punch[[#This Row],[Qty Complete]]/tbl_Punch[[#This Row],[Total Hours Act]]*tbl_Punch[[#This Row],['# of men Act]],"")</f>
        <v/>
      </c>
      <c r="T90"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90" s="35" t="str">
        <f>IFERROR((tbl_Punch[[#This Row],[Adj. Total Hours]]+tbl_Punch[[#This Row],[Est. Hours]])/(tbl_Punch[[#This Row],[Total Hours Act]]+tbl_Punch[[#This Row],[Act. Hours]]),"")</f>
        <v/>
      </c>
      <c r="Y90"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90" s="104" t="str">
        <f>IFERROR(tbl_Punch[[#This Row],[Act. Mat. Qty]]-tbl_Punch[[#This Row],[Adj. Mat. Qty]],"")</f>
        <v/>
      </c>
      <c r="AA90"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90" s="31"/>
      <c r="AD90" s="36"/>
    </row>
    <row r="91" spans="3:30" ht="25" customHeight="1">
      <c r="C91" s="28" t="str">
        <f>IF(tbl_Punch[[#This Row],[Part'#]]="", "Batch", "Part")</f>
        <v>Batch</v>
      </c>
      <c r="G91" s="28"/>
      <c r="I91" s="70" t="e">
        <f>tbl_Punch[[#This Row],[Qty Complete]]/tbl_Punch[[#This Row],[Qty Required]]</f>
        <v>#DIV/0!</v>
      </c>
      <c r="L91" s="31">
        <f>IF(tbl_Punch[[#This Row],[Job Type]]="Batch",0,tbl_Punch[[#This Row],[Qty Required]]/tbl_Punch[[#This Row],[PPH]]*tbl_Punch[[#This Row],['# of men]])</f>
        <v>0</v>
      </c>
      <c r="M91" s="31" t="e">
        <f>IF(tbl_Punch[[#This Row],[Job Type]]="Batch",tbl_Punch[[#This Row],[Batch Hours]]*tbl_Punch[[#This Row],[% Complete]],tbl_Punch[[#This Row],[Total hours]]*tbl_Punch[[#This Row],[% Complete]])</f>
        <v>#DIV/0!</v>
      </c>
      <c r="N91" s="31"/>
      <c r="P91" s="28" t="e">
        <f>tbl_Punch[[#This Row],[Mat. Qty]]*tbl_Punch[[#This Row],[% Complete]]</f>
        <v>#DIV/0!</v>
      </c>
      <c r="R91" s="32" t="str">
        <f>IFERROR(tbl_Punch[[#This Row],[Qty Complete]]/tbl_Punch[[#This Row],[Total Hours Act]]*tbl_Punch[[#This Row],['# of men Act]],"")</f>
        <v/>
      </c>
      <c r="T91"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91" s="35" t="str">
        <f>IFERROR((tbl_Punch[[#This Row],[Adj. Total Hours]]+tbl_Punch[[#This Row],[Est. Hours]])/(tbl_Punch[[#This Row],[Total Hours Act]]+tbl_Punch[[#This Row],[Act. Hours]]),"")</f>
        <v/>
      </c>
      <c r="Y91"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91" s="104" t="str">
        <f>IFERROR(tbl_Punch[[#This Row],[Act. Mat. Qty]]-tbl_Punch[[#This Row],[Adj. Mat. Qty]],"")</f>
        <v/>
      </c>
      <c r="AA91"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91" s="31"/>
      <c r="AD91" s="36"/>
    </row>
    <row r="92" spans="3:30" ht="25" customHeight="1">
      <c r="C92" s="28" t="str">
        <f>IF(tbl_Punch[[#This Row],[Part'#]]="", "Batch", "Part")</f>
        <v>Batch</v>
      </c>
      <c r="G92" s="28"/>
      <c r="I92" s="70" t="e">
        <f>tbl_Punch[[#This Row],[Qty Complete]]/tbl_Punch[[#This Row],[Qty Required]]</f>
        <v>#DIV/0!</v>
      </c>
      <c r="L92" s="31">
        <f>IF(tbl_Punch[[#This Row],[Job Type]]="Batch",0,tbl_Punch[[#This Row],[Qty Required]]/tbl_Punch[[#This Row],[PPH]]*tbl_Punch[[#This Row],['# of men]])</f>
        <v>0</v>
      </c>
      <c r="M92" s="31" t="e">
        <f>IF(tbl_Punch[[#This Row],[Job Type]]="Batch",tbl_Punch[[#This Row],[Batch Hours]]*tbl_Punch[[#This Row],[% Complete]],tbl_Punch[[#This Row],[Total hours]]*tbl_Punch[[#This Row],[% Complete]])</f>
        <v>#DIV/0!</v>
      </c>
      <c r="N92" s="31"/>
      <c r="P92" s="28" t="e">
        <f>tbl_Punch[[#This Row],[Mat. Qty]]*tbl_Punch[[#This Row],[% Complete]]</f>
        <v>#DIV/0!</v>
      </c>
      <c r="R92" s="32" t="str">
        <f>IFERROR(tbl_Punch[[#This Row],[Qty Complete]]/tbl_Punch[[#This Row],[Total Hours Act]]*tbl_Punch[[#This Row],['# of men Act]],"")</f>
        <v/>
      </c>
      <c r="T92"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92" s="35" t="str">
        <f>IFERROR((tbl_Punch[[#This Row],[Adj. Total Hours]]+tbl_Punch[[#This Row],[Est. Hours]])/(tbl_Punch[[#This Row],[Total Hours Act]]+tbl_Punch[[#This Row],[Act. Hours]]),"")</f>
        <v/>
      </c>
      <c r="Y92"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92" s="104" t="str">
        <f>IFERROR(tbl_Punch[[#This Row],[Act. Mat. Qty]]-tbl_Punch[[#This Row],[Adj. Mat. Qty]],"")</f>
        <v/>
      </c>
      <c r="AA92"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92" s="31"/>
      <c r="AD92" s="36"/>
    </row>
    <row r="93" spans="3:30" ht="25" customHeight="1">
      <c r="C93" s="28" t="str">
        <f>IF(tbl_Punch[[#This Row],[Part'#]]="", "Batch", "Part")</f>
        <v>Batch</v>
      </c>
      <c r="G93" s="28"/>
      <c r="I93" s="70" t="e">
        <f>tbl_Punch[[#This Row],[Qty Complete]]/tbl_Punch[[#This Row],[Qty Required]]</f>
        <v>#DIV/0!</v>
      </c>
      <c r="L93" s="31">
        <f>IF(tbl_Punch[[#This Row],[Job Type]]="Batch",0,tbl_Punch[[#This Row],[Qty Required]]/tbl_Punch[[#This Row],[PPH]]*tbl_Punch[[#This Row],['# of men]])</f>
        <v>0</v>
      </c>
      <c r="M93" s="31" t="e">
        <f>IF(tbl_Punch[[#This Row],[Job Type]]="Batch",tbl_Punch[[#This Row],[Batch Hours]]*tbl_Punch[[#This Row],[% Complete]],tbl_Punch[[#This Row],[Total hours]]*tbl_Punch[[#This Row],[% Complete]])</f>
        <v>#DIV/0!</v>
      </c>
      <c r="N93" s="31"/>
      <c r="P93" s="28" t="e">
        <f>tbl_Punch[[#This Row],[Mat. Qty]]*tbl_Punch[[#This Row],[% Complete]]</f>
        <v>#DIV/0!</v>
      </c>
      <c r="R93" s="32" t="str">
        <f>IFERROR(tbl_Punch[[#This Row],[Qty Complete]]/tbl_Punch[[#This Row],[Total Hours Act]]*tbl_Punch[[#This Row],['# of men Act]],"")</f>
        <v/>
      </c>
      <c r="T93"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93" s="35" t="str">
        <f>IFERROR((tbl_Punch[[#This Row],[Adj. Total Hours]]+tbl_Punch[[#This Row],[Est. Hours]])/(tbl_Punch[[#This Row],[Total Hours Act]]+tbl_Punch[[#This Row],[Act. Hours]]),"")</f>
        <v/>
      </c>
      <c r="Y93"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93" s="104" t="str">
        <f>IFERROR(tbl_Punch[[#This Row],[Act. Mat. Qty]]-tbl_Punch[[#This Row],[Adj. Mat. Qty]],"")</f>
        <v/>
      </c>
      <c r="AA93"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93" s="31"/>
      <c r="AD93" s="36"/>
    </row>
    <row r="94" spans="3:30" ht="25" customHeight="1">
      <c r="C94" s="28" t="str">
        <f>IF(tbl_Punch[[#This Row],[Part'#]]="", "Batch", "Part")</f>
        <v>Batch</v>
      </c>
      <c r="G94" s="28"/>
      <c r="I94" s="70" t="e">
        <f>tbl_Punch[[#This Row],[Qty Complete]]/tbl_Punch[[#This Row],[Qty Required]]</f>
        <v>#DIV/0!</v>
      </c>
      <c r="L94" s="31">
        <f>IF(tbl_Punch[[#This Row],[Job Type]]="Batch",0,tbl_Punch[[#This Row],[Qty Required]]/tbl_Punch[[#This Row],[PPH]]*tbl_Punch[[#This Row],['# of men]])</f>
        <v>0</v>
      </c>
      <c r="M94" s="31" t="e">
        <f>IF(tbl_Punch[[#This Row],[Job Type]]="Batch",tbl_Punch[[#This Row],[Batch Hours]]*tbl_Punch[[#This Row],[% Complete]],tbl_Punch[[#This Row],[Total hours]]*tbl_Punch[[#This Row],[% Complete]])</f>
        <v>#DIV/0!</v>
      </c>
      <c r="N94" s="31"/>
      <c r="P94" s="28" t="e">
        <f>tbl_Punch[[#This Row],[Mat. Qty]]*tbl_Punch[[#This Row],[% Complete]]</f>
        <v>#DIV/0!</v>
      </c>
      <c r="R94" s="32" t="str">
        <f>IFERROR(tbl_Punch[[#This Row],[Qty Complete]]/tbl_Punch[[#This Row],[Total Hours Act]]*tbl_Punch[[#This Row],['# of men Act]],"")</f>
        <v/>
      </c>
      <c r="T94"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94" s="35" t="str">
        <f>IFERROR((tbl_Punch[[#This Row],[Adj. Total Hours]]+tbl_Punch[[#This Row],[Est. Hours]])/(tbl_Punch[[#This Row],[Total Hours Act]]+tbl_Punch[[#This Row],[Act. Hours]]),"")</f>
        <v/>
      </c>
      <c r="Y94"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94" s="104" t="str">
        <f>IFERROR(tbl_Punch[[#This Row],[Act. Mat. Qty]]-tbl_Punch[[#This Row],[Adj. Mat. Qty]],"")</f>
        <v/>
      </c>
      <c r="AA94"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94" s="31"/>
      <c r="AD94" s="36"/>
    </row>
    <row r="95" spans="3:30" ht="25" customHeight="1">
      <c r="C95" s="28" t="str">
        <f>IF(tbl_Punch[[#This Row],[Part'#]]="", "Batch", "Part")</f>
        <v>Batch</v>
      </c>
      <c r="G95" s="28"/>
      <c r="I95" s="70" t="e">
        <f>tbl_Punch[[#This Row],[Qty Complete]]/tbl_Punch[[#This Row],[Qty Required]]</f>
        <v>#DIV/0!</v>
      </c>
      <c r="L95" s="31">
        <f>IF(tbl_Punch[[#This Row],[Job Type]]="Batch",0,tbl_Punch[[#This Row],[Qty Required]]/tbl_Punch[[#This Row],[PPH]]*tbl_Punch[[#This Row],['# of men]])</f>
        <v>0</v>
      </c>
      <c r="M95" s="31" t="e">
        <f>IF(tbl_Punch[[#This Row],[Job Type]]="Batch",tbl_Punch[[#This Row],[Batch Hours]]*tbl_Punch[[#This Row],[% Complete]],tbl_Punch[[#This Row],[Total hours]]*tbl_Punch[[#This Row],[% Complete]])</f>
        <v>#DIV/0!</v>
      </c>
      <c r="N95" s="31"/>
      <c r="P95" s="28" t="e">
        <f>tbl_Punch[[#This Row],[Mat. Qty]]*tbl_Punch[[#This Row],[% Complete]]</f>
        <v>#DIV/0!</v>
      </c>
      <c r="R95" s="32" t="str">
        <f>IFERROR(tbl_Punch[[#This Row],[Qty Complete]]/tbl_Punch[[#This Row],[Total Hours Act]]*tbl_Punch[[#This Row],['# of men Act]],"")</f>
        <v/>
      </c>
      <c r="T95"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95" s="35" t="str">
        <f>IFERROR((tbl_Punch[[#This Row],[Adj. Total Hours]]+tbl_Punch[[#This Row],[Est. Hours]])/(tbl_Punch[[#This Row],[Total Hours Act]]+tbl_Punch[[#This Row],[Act. Hours]]),"")</f>
        <v/>
      </c>
      <c r="Y95"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95" s="104" t="str">
        <f>IFERROR(tbl_Punch[[#This Row],[Act. Mat. Qty]]-tbl_Punch[[#This Row],[Adj. Mat. Qty]],"")</f>
        <v/>
      </c>
      <c r="AA95"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95" s="31"/>
      <c r="AD95" s="36"/>
    </row>
    <row r="96" spans="3:30" ht="25" customHeight="1">
      <c r="C96" s="28" t="str">
        <f>IF(tbl_Punch[[#This Row],[Part'#]]="", "Batch", "Part")</f>
        <v>Batch</v>
      </c>
      <c r="G96" s="28"/>
      <c r="I96" s="70" t="e">
        <f>tbl_Punch[[#This Row],[Qty Complete]]/tbl_Punch[[#This Row],[Qty Required]]</f>
        <v>#DIV/0!</v>
      </c>
      <c r="L96" s="31">
        <f>IF(tbl_Punch[[#This Row],[Job Type]]="Batch",0,tbl_Punch[[#This Row],[Qty Required]]/tbl_Punch[[#This Row],[PPH]]*tbl_Punch[[#This Row],['# of men]])</f>
        <v>0</v>
      </c>
      <c r="M96" s="31" t="e">
        <f>IF(tbl_Punch[[#This Row],[Job Type]]="Batch",tbl_Punch[[#This Row],[Batch Hours]]*tbl_Punch[[#This Row],[% Complete]],tbl_Punch[[#This Row],[Total hours]]*tbl_Punch[[#This Row],[% Complete]])</f>
        <v>#DIV/0!</v>
      </c>
      <c r="N96" s="31"/>
      <c r="P96" s="28" t="e">
        <f>tbl_Punch[[#This Row],[Mat. Qty]]*tbl_Punch[[#This Row],[% Complete]]</f>
        <v>#DIV/0!</v>
      </c>
      <c r="R96" s="32" t="str">
        <f>IFERROR(tbl_Punch[[#This Row],[Qty Complete]]/tbl_Punch[[#This Row],[Total Hours Act]]*tbl_Punch[[#This Row],['# of men Act]],"")</f>
        <v/>
      </c>
      <c r="T96"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96" s="35" t="str">
        <f>IFERROR((tbl_Punch[[#This Row],[Adj. Total Hours]]+tbl_Punch[[#This Row],[Est. Hours]])/(tbl_Punch[[#This Row],[Total Hours Act]]+tbl_Punch[[#This Row],[Act. Hours]]),"")</f>
        <v/>
      </c>
      <c r="Y96"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96" s="104" t="str">
        <f>IFERROR(tbl_Punch[[#This Row],[Act. Mat. Qty]]-tbl_Punch[[#This Row],[Adj. Mat. Qty]],"")</f>
        <v/>
      </c>
      <c r="AA96"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96" s="31"/>
      <c r="AD96" s="36"/>
    </row>
    <row r="97" spans="3:30" ht="25" customHeight="1">
      <c r="C97" s="28" t="str">
        <f>IF(tbl_Punch[[#This Row],[Part'#]]="", "Batch", "Part")</f>
        <v>Batch</v>
      </c>
      <c r="G97" s="28"/>
      <c r="I97" s="70" t="e">
        <f>tbl_Punch[[#This Row],[Qty Complete]]/tbl_Punch[[#This Row],[Qty Required]]</f>
        <v>#DIV/0!</v>
      </c>
      <c r="L97" s="31">
        <f>IF(tbl_Punch[[#This Row],[Job Type]]="Batch",0,tbl_Punch[[#This Row],[Qty Required]]/tbl_Punch[[#This Row],[PPH]]*tbl_Punch[[#This Row],['# of men]])</f>
        <v>0</v>
      </c>
      <c r="M97" s="31" t="e">
        <f>IF(tbl_Punch[[#This Row],[Job Type]]="Batch",tbl_Punch[[#This Row],[Batch Hours]]*tbl_Punch[[#This Row],[% Complete]],tbl_Punch[[#This Row],[Total hours]]*tbl_Punch[[#This Row],[% Complete]])</f>
        <v>#DIV/0!</v>
      </c>
      <c r="N97" s="31"/>
      <c r="P97" s="28" t="e">
        <f>tbl_Punch[[#This Row],[Mat. Qty]]*tbl_Punch[[#This Row],[% Complete]]</f>
        <v>#DIV/0!</v>
      </c>
      <c r="R97" s="32" t="str">
        <f>IFERROR(tbl_Punch[[#This Row],[Qty Complete]]/tbl_Punch[[#This Row],[Total Hours Act]]*tbl_Punch[[#This Row],['# of men Act]],"")</f>
        <v/>
      </c>
      <c r="T97"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97" s="35" t="str">
        <f>IFERROR((tbl_Punch[[#This Row],[Adj. Total Hours]]+tbl_Punch[[#This Row],[Est. Hours]])/(tbl_Punch[[#This Row],[Total Hours Act]]+tbl_Punch[[#This Row],[Act. Hours]]),"")</f>
        <v/>
      </c>
      <c r="Y97"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97" s="104" t="str">
        <f>IFERROR(tbl_Punch[[#This Row],[Act. Mat. Qty]]-tbl_Punch[[#This Row],[Adj. Mat. Qty]],"")</f>
        <v/>
      </c>
      <c r="AA97"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97" s="31"/>
      <c r="AD97" s="36"/>
    </row>
    <row r="98" spans="3:30" ht="25" customHeight="1">
      <c r="C98" s="28" t="str">
        <f>IF(tbl_Punch[[#This Row],[Part'#]]="", "Batch", "Part")</f>
        <v>Batch</v>
      </c>
      <c r="G98" s="28"/>
      <c r="I98" s="70" t="e">
        <f>tbl_Punch[[#This Row],[Qty Complete]]/tbl_Punch[[#This Row],[Qty Required]]</f>
        <v>#DIV/0!</v>
      </c>
      <c r="L98" s="31">
        <f>IF(tbl_Punch[[#This Row],[Job Type]]="Batch",0,tbl_Punch[[#This Row],[Qty Required]]/tbl_Punch[[#This Row],[PPH]]*tbl_Punch[[#This Row],['# of men]])</f>
        <v>0</v>
      </c>
      <c r="M98" s="31" t="e">
        <f>IF(tbl_Punch[[#This Row],[Job Type]]="Batch",tbl_Punch[[#This Row],[Batch Hours]]*tbl_Punch[[#This Row],[% Complete]],tbl_Punch[[#This Row],[Total hours]]*tbl_Punch[[#This Row],[% Complete]])</f>
        <v>#DIV/0!</v>
      </c>
      <c r="N98" s="31"/>
      <c r="P98" s="28" t="e">
        <f>tbl_Punch[[#This Row],[Mat. Qty]]*tbl_Punch[[#This Row],[% Complete]]</f>
        <v>#DIV/0!</v>
      </c>
      <c r="R98" s="32" t="str">
        <f>IFERROR(tbl_Punch[[#This Row],[Qty Complete]]/tbl_Punch[[#This Row],[Total Hours Act]]*tbl_Punch[[#This Row],['# of men Act]],"")</f>
        <v/>
      </c>
      <c r="T98"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98" s="35" t="str">
        <f>IFERROR((tbl_Punch[[#This Row],[Adj. Total Hours]]+tbl_Punch[[#This Row],[Est. Hours]])/(tbl_Punch[[#This Row],[Total Hours Act]]+tbl_Punch[[#This Row],[Act. Hours]]),"")</f>
        <v/>
      </c>
      <c r="Y98"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98" s="104" t="str">
        <f>IFERROR(tbl_Punch[[#This Row],[Act. Mat. Qty]]-tbl_Punch[[#This Row],[Adj. Mat. Qty]],"")</f>
        <v/>
      </c>
      <c r="AA98"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98" s="31"/>
      <c r="AD98" s="36"/>
    </row>
    <row r="99" spans="3:30" ht="25" customHeight="1">
      <c r="C99" s="28" t="str">
        <f>IF(tbl_Punch[[#This Row],[Part'#]]="", "Batch", "Part")</f>
        <v>Batch</v>
      </c>
      <c r="G99" s="28"/>
      <c r="I99" s="70" t="e">
        <f>tbl_Punch[[#This Row],[Qty Complete]]/tbl_Punch[[#This Row],[Qty Required]]</f>
        <v>#DIV/0!</v>
      </c>
      <c r="L99" s="31">
        <f>IF(tbl_Punch[[#This Row],[Job Type]]="Batch",0,tbl_Punch[[#This Row],[Qty Required]]/tbl_Punch[[#This Row],[PPH]]*tbl_Punch[[#This Row],['# of men]])</f>
        <v>0</v>
      </c>
      <c r="M99" s="31" t="e">
        <f>IF(tbl_Punch[[#This Row],[Job Type]]="Batch",tbl_Punch[[#This Row],[Batch Hours]]*tbl_Punch[[#This Row],[% Complete]],tbl_Punch[[#This Row],[Total hours]]*tbl_Punch[[#This Row],[% Complete]])</f>
        <v>#DIV/0!</v>
      </c>
      <c r="N99" s="31"/>
      <c r="P99" s="28" t="e">
        <f>tbl_Punch[[#This Row],[Mat. Qty]]*tbl_Punch[[#This Row],[% Complete]]</f>
        <v>#DIV/0!</v>
      </c>
      <c r="R99" s="32" t="str">
        <f>IFERROR(tbl_Punch[[#This Row],[Qty Complete]]/tbl_Punch[[#This Row],[Total Hours Act]]*tbl_Punch[[#This Row],['# of men Act]],"")</f>
        <v/>
      </c>
      <c r="T99"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99" s="35" t="str">
        <f>IFERROR((tbl_Punch[[#This Row],[Adj. Total Hours]]+tbl_Punch[[#This Row],[Est. Hours]])/(tbl_Punch[[#This Row],[Total Hours Act]]+tbl_Punch[[#This Row],[Act. Hours]]),"")</f>
        <v/>
      </c>
      <c r="Y99"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99" s="104" t="str">
        <f>IFERROR(tbl_Punch[[#This Row],[Act. Mat. Qty]]-tbl_Punch[[#This Row],[Adj. Mat. Qty]],"")</f>
        <v/>
      </c>
      <c r="AA99"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99" s="31"/>
      <c r="AD99" s="36"/>
    </row>
    <row r="100" spans="3:30" ht="25" customHeight="1">
      <c r="C100" s="28" t="str">
        <f>IF(tbl_Punch[[#This Row],[Part'#]]="", "Batch", "Part")</f>
        <v>Batch</v>
      </c>
      <c r="G100" s="28"/>
      <c r="I100" s="70" t="e">
        <f>tbl_Punch[[#This Row],[Qty Complete]]/tbl_Punch[[#This Row],[Qty Required]]</f>
        <v>#DIV/0!</v>
      </c>
      <c r="L100" s="31">
        <f>IF(tbl_Punch[[#This Row],[Job Type]]="Batch",0,tbl_Punch[[#This Row],[Qty Required]]/tbl_Punch[[#This Row],[PPH]]*tbl_Punch[[#This Row],['# of men]])</f>
        <v>0</v>
      </c>
      <c r="M100" s="31" t="e">
        <f>IF(tbl_Punch[[#This Row],[Job Type]]="Batch",tbl_Punch[[#This Row],[Batch Hours]]*tbl_Punch[[#This Row],[% Complete]],tbl_Punch[[#This Row],[Total hours]]*tbl_Punch[[#This Row],[% Complete]])</f>
        <v>#DIV/0!</v>
      </c>
      <c r="N100" s="31"/>
      <c r="P100" s="28" t="e">
        <f>tbl_Punch[[#This Row],[Mat. Qty]]*tbl_Punch[[#This Row],[% Complete]]</f>
        <v>#DIV/0!</v>
      </c>
      <c r="R100" s="32" t="str">
        <f>IFERROR(tbl_Punch[[#This Row],[Qty Complete]]/tbl_Punch[[#This Row],[Total Hours Act]]*tbl_Punch[[#This Row],['# of men Act]],"")</f>
        <v/>
      </c>
      <c r="T100"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00" s="35" t="str">
        <f>IFERROR((tbl_Punch[[#This Row],[Adj. Total Hours]]+tbl_Punch[[#This Row],[Est. Hours]])/(tbl_Punch[[#This Row],[Total Hours Act]]+tbl_Punch[[#This Row],[Act. Hours]]),"")</f>
        <v/>
      </c>
      <c r="Y100"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00" s="104" t="str">
        <f>IFERROR(tbl_Punch[[#This Row],[Act. Mat. Qty]]-tbl_Punch[[#This Row],[Adj. Mat. Qty]],"")</f>
        <v/>
      </c>
      <c r="AA100"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00" s="31"/>
      <c r="AD100" s="36"/>
    </row>
    <row r="101" spans="3:30" ht="25" customHeight="1">
      <c r="C101" s="28" t="str">
        <f>IF(tbl_Punch[[#This Row],[Part'#]]="", "Batch", "Part")</f>
        <v>Batch</v>
      </c>
      <c r="G101" s="28"/>
      <c r="I101" s="70" t="e">
        <f>tbl_Punch[[#This Row],[Qty Complete]]/tbl_Punch[[#This Row],[Qty Required]]</f>
        <v>#DIV/0!</v>
      </c>
      <c r="L101" s="31">
        <f>IF(tbl_Punch[[#This Row],[Job Type]]="Batch",0,tbl_Punch[[#This Row],[Qty Required]]/tbl_Punch[[#This Row],[PPH]]*tbl_Punch[[#This Row],['# of men]])</f>
        <v>0</v>
      </c>
      <c r="M101" s="31" t="e">
        <f>IF(tbl_Punch[[#This Row],[Job Type]]="Batch",tbl_Punch[[#This Row],[Batch Hours]]*tbl_Punch[[#This Row],[% Complete]],tbl_Punch[[#This Row],[Total hours]]*tbl_Punch[[#This Row],[% Complete]])</f>
        <v>#DIV/0!</v>
      </c>
      <c r="N101" s="31"/>
      <c r="P101" s="28" t="e">
        <f>tbl_Punch[[#This Row],[Mat. Qty]]*tbl_Punch[[#This Row],[% Complete]]</f>
        <v>#DIV/0!</v>
      </c>
      <c r="R101" s="32" t="str">
        <f>IFERROR(tbl_Punch[[#This Row],[Qty Complete]]/tbl_Punch[[#This Row],[Total Hours Act]]*tbl_Punch[[#This Row],['# of men Act]],"")</f>
        <v/>
      </c>
      <c r="T101"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01" s="35" t="str">
        <f>IFERROR((tbl_Punch[[#This Row],[Adj. Total Hours]]+tbl_Punch[[#This Row],[Est. Hours]])/(tbl_Punch[[#This Row],[Total Hours Act]]+tbl_Punch[[#This Row],[Act. Hours]]),"")</f>
        <v/>
      </c>
      <c r="Y101"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01" s="104" t="str">
        <f>IFERROR(tbl_Punch[[#This Row],[Act. Mat. Qty]]-tbl_Punch[[#This Row],[Adj. Mat. Qty]],"")</f>
        <v/>
      </c>
      <c r="AA101"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01" s="31"/>
      <c r="AD101" s="36"/>
    </row>
    <row r="102" spans="3:30" ht="25" customHeight="1">
      <c r="C102" s="28" t="str">
        <f>IF(tbl_Punch[[#This Row],[Part'#]]="", "Batch", "Part")</f>
        <v>Batch</v>
      </c>
      <c r="G102" s="28"/>
      <c r="I102" s="70" t="e">
        <f>tbl_Punch[[#This Row],[Qty Complete]]/tbl_Punch[[#This Row],[Qty Required]]</f>
        <v>#DIV/0!</v>
      </c>
      <c r="L102" s="31">
        <f>IF(tbl_Punch[[#This Row],[Job Type]]="Batch",0,tbl_Punch[[#This Row],[Qty Required]]/tbl_Punch[[#This Row],[PPH]]*tbl_Punch[[#This Row],['# of men]])</f>
        <v>0</v>
      </c>
      <c r="M102" s="31" t="e">
        <f>IF(tbl_Punch[[#This Row],[Job Type]]="Batch",tbl_Punch[[#This Row],[Batch Hours]]*tbl_Punch[[#This Row],[% Complete]],tbl_Punch[[#This Row],[Total hours]]*tbl_Punch[[#This Row],[% Complete]])</f>
        <v>#DIV/0!</v>
      </c>
      <c r="N102" s="31"/>
      <c r="P102" s="28" t="e">
        <f>tbl_Punch[[#This Row],[Mat. Qty]]*tbl_Punch[[#This Row],[% Complete]]</f>
        <v>#DIV/0!</v>
      </c>
      <c r="R102" s="32" t="str">
        <f>IFERROR(tbl_Punch[[#This Row],[Qty Complete]]/tbl_Punch[[#This Row],[Total Hours Act]]*tbl_Punch[[#This Row],['# of men Act]],"")</f>
        <v/>
      </c>
      <c r="T102"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02" s="35" t="str">
        <f>IFERROR((tbl_Punch[[#This Row],[Adj. Total Hours]]+tbl_Punch[[#This Row],[Est. Hours]])/(tbl_Punch[[#This Row],[Total Hours Act]]+tbl_Punch[[#This Row],[Act. Hours]]),"")</f>
        <v/>
      </c>
      <c r="Y102"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02" s="104" t="str">
        <f>IFERROR(tbl_Punch[[#This Row],[Act. Mat. Qty]]-tbl_Punch[[#This Row],[Adj. Mat. Qty]],"")</f>
        <v/>
      </c>
      <c r="AA102"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02" s="31"/>
      <c r="AD102" s="36"/>
    </row>
    <row r="103" spans="3:30" ht="25" customHeight="1">
      <c r="C103" s="28" t="str">
        <f>IF(tbl_Punch[[#This Row],[Part'#]]="", "Batch", "Part")</f>
        <v>Batch</v>
      </c>
      <c r="G103" s="28"/>
      <c r="I103" s="70" t="e">
        <f>tbl_Punch[[#This Row],[Qty Complete]]/tbl_Punch[[#This Row],[Qty Required]]</f>
        <v>#DIV/0!</v>
      </c>
      <c r="L103" s="31">
        <f>IF(tbl_Punch[[#This Row],[Job Type]]="Batch",0,tbl_Punch[[#This Row],[Qty Required]]/tbl_Punch[[#This Row],[PPH]]*tbl_Punch[[#This Row],['# of men]])</f>
        <v>0</v>
      </c>
      <c r="M103" s="31" t="e">
        <f>IF(tbl_Punch[[#This Row],[Job Type]]="Batch",tbl_Punch[[#This Row],[Batch Hours]]*tbl_Punch[[#This Row],[% Complete]],tbl_Punch[[#This Row],[Total hours]]*tbl_Punch[[#This Row],[% Complete]])</f>
        <v>#DIV/0!</v>
      </c>
      <c r="N103" s="31"/>
      <c r="P103" s="28" t="e">
        <f>tbl_Punch[[#This Row],[Mat. Qty]]*tbl_Punch[[#This Row],[% Complete]]</f>
        <v>#DIV/0!</v>
      </c>
      <c r="R103" s="32" t="str">
        <f>IFERROR(tbl_Punch[[#This Row],[Qty Complete]]/tbl_Punch[[#This Row],[Total Hours Act]]*tbl_Punch[[#This Row],['# of men Act]],"")</f>
        <v/>
      </c>
      <c r="T103"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03" s="35" t="str">
        <f>IFERROR((tbl_Punch[[#This Row],[Adj. Total Hours]]+tbl_Punch[[#This Row],[Est. Hours]])/(tbl_Punch[[#This Row],[Total Hours Act]]+tbl_Punch[[#This Row],[Act. Hours]]),"")</f>
        <v/>
      </c>
      <c r="Y103"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03" s="104" t="str">
        <f>IFERROR(tbl_Punch[[#This Row],[Act. Mat. Qty]]-tbl_Punch[[#This Row],[Adj. Mat. Qty]],"")</f>
        <v/>
      </c>
      <c r="AA103"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03" s="31"/>
      <c r="AD103" s="36"/>
    </row>
    <row r="104" spans="3:30" ht="25" customHeight="1">
      <c r="C104" s="28" t="str">
        <f>IF(tbl_Punch[[#This Row],[Part'#]]="", "Batch", "Part")</f>
        <v>Batch</v>
      </c>
      <c r="G104" s="28"/>
      <c r="I104" s="70" t="e">
        <f>tbl_Punch[[#This Row],[Qty Complete]]/tbl_Punch[[#This Row],[Qty Required]]</f>
        <v>#DIV/0!</v>
      </c>
      <c r="L104" s="31">
        <f>IF(tbl_Punch[[#This Row],[Job Type]]="Batch",0,tbl_Punch[[#This Row],[Qty Required]]/tbl_Punch[[#This Row],[PPH]]*tbl_Punch[[#This Row],['# of men]])</f>
        <v>0</v>
      </c>
      <c r="M104" s="31" t="e">
        <f>IF(tbl_Punch[[#This Row],[Job Type]]="Batch",tbl_Punch[[#This Row],[Batch Hours]]*tbl_Punch[[#This Row],[% Complete]],tbl_Punch[[#This Row],[Total hours]]*tbl_Punch[[#This Row],[% Complete]])</f>
        <v>#DIV/0!</v>
      </c>
      <c r="N104" s="31"/>
      <c r="P104" s="28" t="e">
        <f>tbl_Punch[[#This Row],[Mat. Qty]]*tbl_Punch[[#This Row],[% Complete]]</f>
        <v>#DIV/0!</v>
      </c>
      <c r="R104" s="32" t="str">
        <f>IFERROR(tbl_Punch[[#This Row],[Qty Complete]]/tbl_Punch[[#This Row],[Total Hours Act]]*tbl_Punch[[#This Row],['# of men Act]],"")</f>
        <v/>
      </c>
      <c r="T104"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04" s="35" t="str">
        <f>IFERROR((tbl_Punch[[#This Row],[Adj. Total Hours]]+tbl_Punch[[#This Row],[Est. Hours]])/(tbl_Punch[[#This Row],[Total Hours Act]]+tbl_Punch[[#This Row],[Act. Hours]]),"")</f>
        <v/>
      </c>
      <c r="Y104"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04" s="104" t="str">
        <f>IFERROR(tbl_Punch[[#This Row],[Act. Mat. Qty]]-tbl_Punch[[#This Row],[Adj. Mat. Qty]],"")</f>
        <v/>
      </c>
      <c r="AA104"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04" s="31"/>
      <c r="AD104" s="36"/>
    </row>
    <row r="105" spans="3:30" ht="25" customHeight="1">
      <c r="C105" s="28" t="str">
        <f>IF(tbl_Punch[[#This Row],[Part'#]]="", "Batch", "Part")</f>
        <v>Batch</v>
      </c>
      <c r="G105" s="28"/>
      <c r="I105" s="70" t="e">
        <f>tbl_Punch[[#This Row],[Qty Complete]]/tbl_Punch[[#This Row],[Qty Required]]</f>
        <v>#DIV/0!</v>
      </c>
      <c r="L105" s="31">
        <f>IF(tbl_Punch[[#This Row],[Job Type]]="Batch",0,tbl_Punch[[#This Row],[Qty Required]]/tbl_Punch[[#This Row],[PPH]]*tbl_Punch[[#This Row],['# of men]])</f>
        <v>0</v>
      </c>
      <c r="M105" s="31" t="e">
        <f>IF(tbl_Punch[[#This Row],[Job Type]]="Batch",tbl_Punch[[#This Row],[Batch Hours]]*tbl_Punch[[#This Row],[% Complete]],tbl_Punch[[#This Row],[Total hours]]*tbl_Punch[[#This Row],[% Complete]])</f>
        <v>#DIV/0!</v>
      </c>
      <c r="N105" s="31"/>
      <c r="P105" s="28" t="e">
        <f>tbl_Punch[[#This Row],[Mat. Qty]]*tbl_Punch[[#This Row],[% Complete]]</f>
        <v>#DIV/0!</v>
      </c>
      <c r="R105" s="32" t="str">
        <f>IFERROR(tbl_Punch[[#This Row],[Qty Complete]]/tbl_Punch[[#This Row],[Total Hours Act]]*tbl_Punch[[#This Row],['# of men Act]],"")</f>
        <v/>
      </c>
      <c r="T105"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05" s="35" t="str">
        <f>IFERROR((tbl_Punch[[#This Row],[Adj. Total Hours]]+tbl_Punch[[#This Row],[Est. Hours]])/(tbl_Punch[[#This Row],[Total Hours Act]]+tbl_Punch[[#This Row],[Act. Hours]]),"")</f>
        <v/>
      </c>
      <c r="Y105"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05" s="104" t="str">
        <f>IFERROR(tbl_Punch[[#This Row],[Act. Mat. Qty]]-tbl_Punch[[#This Row],[Adj. Mat. Qty]],"")</f>
        <v/>
      </c>
      <c r="AA105"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05" s="31"/>
      <c r="AD105" s="36"/>
    </row>
    <row r="106" spans="3:30" ht="25" customHeight="1">
      <c r="C106" s="28" t="str">
        <f>IF(tbl_Punch[[#This Row],[Part'#]]="", "Batch", "Part")</f>
        <v>Batch</v>
      </c>
      <c r="G106" s="28"/>
      <c r="I106" s="70" t="e">
        <f>tbl_Punch[[#This Row],[Qty Complete]]/tbl_Punch[[#This Row],[Qty Required]]</f>
        <v>#DIV/0!</v>
      </c>
      <c r="L106" s="31">
        <f>IF(tbl_Punch[[#This Row],[Job Type]]="Batch",0,tbl_Punch[[#This Row],[Qty Required]]/tbl_Punch[[#This Row],[PPH]]*tbl_Punch[[#This Row],['# of men]])</f>
        <v>0</v>
      </c>
      <c r="M106" s="31" t="e">
        <f>IF(tbl_Punch[[#This Row],[Job Type]]="Batch",tbl_Punch[[#This Row],[Batch Hours]]*tbl_Punch[[#This Row],[% Complete]],tbl_Punch[[#This Row],[Total hours]]*tbl_Punch[[#This Row],[% Complete]])</f>
        <v>#DIV/0!</v>
      </c>
      <c r="N106" s="31"/>
      <c r="P106" s="28" t="e">
        <f>tbl_Punch[[#This Row],[Mat. Qty]]*tbl_Punch[[#This Row],[% Complete]]</f>
        <v>#DIV/0!</v>
      </c>
      <c r="R106" s="32" t="str">
        <f>IFERROR(tbl_Punch[[#This Row],[Qty Complete]]/tbl_Punch[[#This Row],[Total Hours Act]]*tbl_Punch[[#This Row],['# of men Act]],"")</f>
        <v/>
      </c>
      <c r="T106"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06" s="35" t="str">
        <f>IFERROR((tbl_Punch[[#This Row],[Adj. Total Hours]]+tbl_Punch[[#This Row],[Est. Hours]])/(tbl_Punch[[#This Row],[Total Hours Act]]+tbl_Punch[[#This Row],[Act. Hours]]),"")</f>
        <v/>
      </c>
      <c r="Y106"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06" s="104" t="str">
        <f>IFERROR(tbl_Punch[[#This Row],[Act. Mat. Qty]]-tbl_Punch[[#This Row],[Adj. Mat. Qty]],"")</f>
        <v/>
      </c>
      <c r="AA106"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06" s="31"/>
      <c r="AD106" s="36"/>
    </row>
    <row r="107" spans="3:30" ht="25" customHeight="1">
      <c r="C107" s="28" t="str">
        <f>IF(tbl_Punch[[#This Row],[Part'#]]="", "Batch", "Part")</f>
        <v>Batch</v>
      </c>
      <c r="G107" s="28"/>
      <c r="I107" s="70" t="e">
        <f>tbl_Punch[[#This Row],[Qty Complete]]/tbl_Punch[[#This Row],[Qty Required]]</f>
        <v>#DIV/0!</v>
      </c>
      <c r="L107" s="31">
        <f>IF(tbl_Punch[[#This Row],[Job Type]]="Batch",0,tbl_Punch[[#This Row],[Qty Required]]/tbl_Punch[[#This Row],[PPH]]*tbl_Punch[[#This Row],['# of men]])</f>
        <v>0</v>
      </c>
      <c r="M107" s="31" t="e">
        <f>IF(tbl_Punch[[#This Row],[Job Type]]="Batch",tbl_Punch[[#This Row],[Batch Hours]]*tbl_Punch[[#This Row],[% Complete]],tbl_Punch[[#This Row],[Total hours]]*tbl_Punch[[#This Row],[% Complete]])</f>
        <v>#DIV/0!</v>
      </c>
      <c r="N107" s="31"/>
      <c r="P107" s="28" t="e">
        <f>tbl_Punch[[#This Row],[Mat. Qty]]*tbl_Punch[[#This Row],[% Complete]]</f>
        <v>#DIV/0!</v>
      </c>
      <c r="R107" s="32" t="str">
        <f>IFERROR(tbl_Punch[[#This Row],[Qty Complete]]/tbl_Punch[[#This Row],[Total Hours Act]]*tbl_Punch[[#This Row],['# of men Act]],"")</f>
        <v/>
      </c>
      <c r="T107"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07" s="35" t="str">
        <f>IFERROR((tbl_Punch[[#This Row],[Adj. Total Hours]]+tbl_Punch[[#This Row],[Est. Hours]])/(tbl_Punch[[#This Row],[Total Hours Act]]+tbl_Punch[[#This Row],[Act. Hours]]),"")</f>
        <v/>
      </c>
      <c r="Y107"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07" s="104" t="str">
        <f>IFERROR(tbl_Punch[[#This Row],[Act. Mat. Qty]]-tbl_Punch[[#This Row],[Adj. Mat. Qty]],"")</f>
        <v/>
      </c>
      <c r="AA107"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07" s="31"/>
      <c r="AD107" s="36"/>
    </row>
    <row r="108" spans="3:30" ht="25" customHeight="1">
      <c r="C108" s="28" t="str">
        <f>IF(tbl_Punch[[#This Row],[Part'#]]="", "Batch", "Part")</f>
        <v>Batch</v>
      </c>
      <c r="G108" s="28"/>
      <c r="I108" s="70" t="e">
        <f>tbl_Punch[[#This Row],[Qty Complete]]/tbl_Punch[[#This Row],[Qty Required]]</f>
        <v>#DIV/0!</v>
      </c>
      <c r="L108" s="31">
        <f>IF(tbl_Punch[[#This Row],[Job Type]]="Batch",0,tbl_Punch[[#This Row],[Qty Required]]/tbl_Punch[[#This Row],[PPH]]*tbl_Punch[[#This Row],['# of men]])</f>
        <v>0</v>
      </c>
      <c r="M108" s="31" t="e">
        <f>IF(tbl_Punch[[#This Row],[Job Type]]="Batch",tbl_Punch[[#This Row],[Batch Hours]]*tbl_Punch[[#This Row],[% Complete]],tbl_Punch[[#This Row],[Total hours]]*tbl_Punch[[#This Row],[% Complete]])</f>
        <v>#DIV/0!</v>
      </c>
      <c r="N108" s="31"/>
      <c r="P108" s="28" t="e">
        <f>tbl_Punch[[#This Row],[Mat. Qty]]*tbl_Punch[[#This Row],[% Complete]]</f>
        <v>#DIV/0!</v>
      </c>
      <c r="R108" s="32" t="str">
        <f>IFERROR(tbl_Punch[[#This Row],[Qty Complete]]/tbl_Punch[[#This Row],[Total Hours Act]]*tbl_Punch[[#This Row],['# of men Act]],"")</f>
        <v/>
      </c>
      <c r="T108"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08" s="35" t="str">
        <f>IFERROR((tbl_Punch[[#This Row],[Adj. Total Hours]]+tbl_Punch[[#This Row],[Est. Hours]])/(tbl_Punch[[#This Row],[Total Hours Act]]+tbl_Punch[[#This Row],[Act. Hours]]),"")</f>
        <v/>
      </c>
      <c r="Y108"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08" s="104" t="str">
        <f>IFERROR(tbl_Punch[[#This Row],[Act. Mat. Qty]]-tbl_Punch[[#This Row],[Adj. Mat. Qty]],"")</f>
        <v/>
      </c>
      <c r="AA108"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08" s="31"/>
      <c r="AD108" s="36"/>
    </row>
    <row r="109" spans="3:30" ht="25" customHeight="1">
      <c r="C109" s="28" t="str">
        <f>IF(tbl_Punch[[#This Row],[Part'#]]="", "Batch", "Part")</f>
        <v>Batch</v>
      </c>
      <c r="G109" s="28"/>
      <c r="I109" s="70" t="e">
        <f>tbl_Punch[[#This Row],[Qty Complete]]/tbl_Punch[[#This Row],[Qty Required]]</f>
        <v>#DIV/0!</v>
      </c>
      <c r="L109" s="31">
        <f>IF(tbl_Punch[[#This Row],[Job Type]]="Batch",0,tbl_Punch[[#This Row],[Qty Required]]/tbl_Punch[[#This Row],[PPH]]*tbl_Punch[[#This Row],['# of men]])</f>
        <v>0</v>
      </c>
      <c r="M109" s="31" t="e">
        <f>IF(tbl_Punch[[#This Row],[Job Type]]="Batch",tbl_Punch[[#This Row],[Batch Hours]]*tbl_Punch[[#This Row],[% Complete]],tbl_Punch[[#This Row],[Total hours]]*tbl_Punch[[#This Row],[% Complete]])</f>
        <v>#DIV/0!</v>
      </c>
      <c r="N109" s="31"/>
      <c r="P109" s="28" t="e">
        <f>tbl_Punch[[#This Row],[Mat. Qty]]*tbl_Punch[[#This Row],[% Complete]]</f>
        <v>#DIV/0!</v>
      </c>
      <c r="R109" s="32" t="str">
        <f>IFERROR(tbl_Punch[[#This Row],[Qty Complete]]/tbl_Punch[[#This Row],[Total Hours Act]]*tbl_Punch[[#This Row],['# of men Act]],"")</f>
        <v/>
      </c>
      <c r="T109"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09" s="35" t="str">
        <f>IFERROR((tbl_Punch[[#This Row],[Adj. Total Hours]]+tbl_Punch[[#This Row],[Est. Hours]])/(tbl_Punch[[#This Row],[Total Hours Act]]+tbl_Punch[[#This Row],[Act. Hours]]),"")</f>
        <v/>
      </c>
      <c r="Y109"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09" s="104" t="str">
        <f>IFERROR(tbl_Punch[[#This Row],[Act. Mat. Qty]]-tbl_Punch[[#This Row],[Adj. Mat. Qty]],"")</f>
        <v/>
      </c>
      <c r="AA109"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09" s="31"/>
      <c r="AD109" s="36"/>
    </row>
    <row r="110" spans="3:30" ht="25" customHeight="1">
      <c r="C110" s="28" t="str">
        <f>IF(tbl_Punch[[#This Row],[Part'#]]="", "Batch", "Part")</f>
        <v>Batch</v>
      </c>
      <c r="G110" s="28"/>
      <c r="I110" s="70" t="e">
        <f>tbl_Punch[[#This Row],[Qty Complete]]/tbl_Punch[[#This Row],[Qty Required]]</f>
        <v>#DIV/0!</v>
      </c>
      <c r="L110" s="31">
        <f>IF(tbl_Punch[[#This Row],[Job Type]]="Batch",0,tbl_Punch[[#This Row],[Qty Required]]/tbl_Punch[[#This Row],[PPH]]*tbl_Punch[[#This Row],['# of men]])</f>
        <v>0</v>
      </c>
      <c r="M110" s="31" t="e">
        <f>IF(tbl_Punch[[#This Row],[Job Type]]="Batch",tbl_Punch[[#This Row],[Batch Hours]]*tbl_Punch[[#This Row],[% Complete]],tbl_Punch[[#This Row],[Total hours]]*tbl_Punch[[#This Row],[% Complete]])</f>
        <v>#DIV/0!</v>
      </c>
      <c r="N110" s="31"/>
      <c r="P110" s="28" t="e">
        <f>tbl_Punch[[#This Row],[Mat. Qty]]*tbl_Punch[[#This Row],[% Complete]]</f>
        <v>#DIV/0!</v>
      </c>
      <c r="R110" s="32" t="str">
        <f>IFERROR(tbl_Punch[[#This Row],[Qty Complete]]/tbl_Punch[[#This Row],[Total Hours Act]]*tbl_Punch[[#This Row],['# of men Act]],"")</f>
        <v/>
      </c>
      <c r="T110"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10" s="35" t="str">
        <f>IFERROR((tbl_Punch[[#This Row],[Adj. Total Hours]]+tbl_Punch[[#This Row],[Est. Hours]])/(tbl_Punch[[#This Row],[Total Hours Act]]+tbl_Punch[[#This Row],[Act. Hours]]),"")</f>
        <v/>
      </c>
      <c r="Y110"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10" s="104" t="str">
        <f>IFERROR(tbl_Punch[[#This Row],[Act. Mat. Qty]]-tbl_Punch[[#This Row],[Adj. Mat. Qty]],"")</f>
        <v/>
      </c>
      <c r="AA110"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10" s="31"/>
      <c r="AD110" s="36"/>
    </row>
    <row r="111" spans="3:30" ht="25" customHeight="1">
      <c r="C111" s="28" t="str">
        <f>IF(tbl_Punch[[#This Row],[Part'#]]="", "Batch", "Part")</f>
        <v>Batch</v>
      </c>
      <c r="G111" s="28"/>
      <c r="I111" s="70" t="e">
        <f>tbl_Punch[[#This Row],[Qty Complete]]/tbl_Punch[[#This Row],[Qty Required]]</f>
        <v>#DIV/0!</v>
      </c>
      <c r="L111" s="31">
        <f>IF(tbl_Punch[[#This Row],[Job Type]]="Batch",0,tbl_Punch[[#This Row],[Qty Required]]/tbl_Punch[[#This Row],[PPH]]*tbl_Punch[[#This Row],['# of men]])</f>
        <v>0</v>
      </c>
      <c r="M111" s="31" t="e">
        <f>IF(tbl_Punch[[#This Row],[Job Type]]="Batch",tbl_Punch[[#This Row],[Batch Hours]]*tbl_Punch[[#This Row],[% Complete]],tbl_Punch[[#This Row],[Total hours]]*tbl_Punch[[#This Row],[% Complete]])</f>
        <v>#DIV/0!</v>
      </c>
      <c r="N111" s="31"/>
      <c r="P111" s="28" t="e">
        <f>tbl_Punch[[#This Row],[Mat. Qty]]*tbl_Punch[[#This Row],[% Complete]]</f>
        <v>#DIV/0!</v>
      </c>
      <c r="R111" s="32" t="str">
        <f>IFERROR(tbl_Punch[[#This Row],[Qty Complete]]/tbl_Punch[[#This Row],[Total Hours Act]]*tbl_Punch[[#This Row],['# of men Act]],"")</f>
        <v/>
      </c>
      <c r="T111"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11" s="35" t="str">
        <f>IFERROR((tbl_Punch[[#This Row],[Adj. Total Hours]]+tbl_Punch[[#This Row],[Est. Hours]])/(tbl_Punch[[#This Row],[Total Hours Act]]+tbl_Punch[[#This Row],[Act. Hours]]),"")</f>
        <v/>
      </c>
      <c r="Y111"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11" s="104" t="str">
        <f>IFERROR(tbl_Punch[[#This Row],[Act. Mat. Qty]]-tbl_Punch[[#This Row],[Adj. Mat. Qty]],"")</f>
        <v/>
      </c>
      <c r="AA111"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11" s="31"/>
      <c r="AD111" s="36"/>
    </row>
    <row r="112" spans="3:30" ht="25" customHeight="1">
      <c r="C112" s="28" t="str">
        <f>IF(tbl_Punch[[#This Row],[Part'#]]="", "Batch", "Part")</f>
        <v>Batch</v>
      </c>
      <c r="G112" s="28"/>
      <c r="I112" s="70" t="e">
        <f>tbl_Punch[[#This Row],[Qty Complete]]/tbl_Punch[[#This Row],[Qty Required]]</f>
        <v>#DIV/0!</v>
      </c>
      <c r="L112" s="31">
        <f>IF(tbl_Punch[[#This Row],[Job Type]]="Batch",0,tbl_Punch[[#This Row],[Qty Required]]/tbl_Punch[[#This Row],[PPH]]*tbl_Punch[[#This Row],['# of men]])</f>
        <v>0</v>
      </c>
      <c r="M112" s="31" t="e">
        <f>IF(tbl_Punch[[#This Row],[Job Type]]="Batch",tbl_Punch[[#This Row],[Batch Hours]]*tbl_Punch[[#This Row],[% Complete]],tbl_Punch[[#This Row],[Total hours]]*tbl_Punch[[#This Row],[% Complete]])</f>
        <v>#DIV/0!</v>
      </c>
      <c r="N112" s="31"/>
      <c r="P112" s="28" t="e">
        <f>tbl_Punch[[#This Row],[Mat. Qty]]*tbl_Punch[[#This Row],[% Complete]]</f>
        <v>#DIV/0!</v>
      </c>
      <c r="R112" s="32" t="str">
        <f>IFERROR(tbl_Punch[[#This Row],[Qty Complete]]/tbl_Punch[[#This Row],[Total Hours Act]]*tbl_Punch[[#This Row],['# of men Act]],"")</f>
        <v/>
      </c>
      <c r="T112"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12" s="35" t="str">
        <f>IFERROR((tbl_Punch[[#This Row],[Adj. Total Hours]]+tbl_Punch[[#This Row],[Est. Hours]])/(tbl_Punch[[#This Row],[Total Hours Act]]+tbl_Punch[[#This Row],[Act. Hours]]),"")</f>
        <v/>
      </c>
      <c r="Y112"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12" s="104" t="str">
        <f>IFERROR(tbl_Punch[[#This Row],[Act. Mat. Qty]]-tbl_Punch[[#This Row],[Adj. Mat. Qty]],"")</f>
        <v/>
      </c>
      <c r="AA112"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12" s="31"/>
      <c r="AD112" s="36"/>
    </row>
    <row r="113" spans="3:30" ht="25" customHeight="1">
      <c r="C113" s="28" t="str">
        <f>IF(tbl_Punch[[#This Row],[Part'#]]="", "Batch", "Part")</f>
        <v>Batch</v>
      </c>
      <c r="G113" s="28"/>
      <c r="I113" s="70" t="e">
        <f>tbl_Punch[[#This Row],[Qty Complete]]/tbl_Punch[[#This Row],[Qty Required]]</f>
        <v>#DIV/0!</v>
      </c>
      <c r="L113" s="31">
        <f>IF(tbl_Punch[[#This Row],[Job Type]]="Batch",0,tbl_Punch[[#This Row],[Qty Required]]/tbl_Punch[[#This Row],[PPH]]*tbl_Punch[[#This Row],['# of men]])</f>
        <v>0</v>
      </c>
      <c r="M113" s="31" t="e">
        <f>IF(tbl_Punch[[#This Row],[Job Type]]="Batch",tbl_Punch[[#This Row],[Batch Hours]]*tbl_Punch[[#This Row],[% Complete]],tbl_Punch[[#This Row],[Total hours]]*tbl_Punch[[#This Row],[% Complete]])</f>
        <v>#DIV/0!</v>
      </c>
      <c r="N113" s="31"/>
      <c r="P113" s="28" t="e">
        <f>tbl_Punch[[#This Row],[Mat. Qty]]*tbl_Punch[[#This Row],[% Complete]]</f>
        <v>#DIV/0!</v>
      </c>
      <c r="R113" s="32" t="str">
        <f>IFERROR(tbl_Punch[[#This Row],[Qty Complete]]/tbl_Punch[[#This Row],[Total Hours Act]]*tbl_Punch[[#This Row],['# of men Act]],"")</f>
        <v/>
      </c>
      <c r="T113"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13" s="35" t="str">
        <f>IFERROR((tbl_Punch[[#This Row],[Adj. Total Hours]]+tbl_Punch[[#This Row],[Est. Hours]])/(tbl_Punch[[#This Row],[Total Hours Act]]+tbl_Punch[[#This Row],[Act. Hours]]),"")</f>
        <v/>
      </c>
      <c r="Y113"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13" s="104" t="str">
        <f>IFERROR(tbl_Punch[[#This Row],[Act. Mat. Qty]]-tbl_Punch[[#This Row],[Adj. Mat. Qty]],"")</f>
        <v/>
      </c>
      <c r="AA113"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13" s="31"/>
      <c r="AD113" s="36"/>
    </row>
    <row r="114" spans="3:30" ht="25" customHeight="1">
      <c r="C114" s="28" t="str">
        <f>IF(tbl_Punch[[#This Row],[Part'#]]="", "Batch", "Part")</f>
        <v>Batch</v>
      </c>
      <c r="G114" s="28"/>
      <c r="I114" s="70" t="e">
        <f>tbl_Punch[[#This Row],[Qty Complete]]/tbl_Punch[[#This Row],[Qty Required]]</f>
        <v>#DIV/0!</v>
      </c>
      <c r="L114" s="31">
        <f>IF(tbl_Punch[[#This Row],[Job Type]]="Batch",0,tbl_Punch[[#This Row],[Qty Required]]/tbl_Punch[[#This Row],[PPH]]*tbl_Punch[[#This Row],['# of men]])</f>
        <v>0</v>
      </c>
      <c r="M114" s="31" t="e">
        <f>IF(tbl_Punch[[#This Row],[Job Type]]="Batch",tbl_Punch[[#This Row],[Batch Hours]]*tbl_Punch[[#This Row],[% Complete]],tbl_Punch[[#This Row],[Total hours]]*tbl_Punch[[#This Row],[% Complete]])</f>
        <v>#DIV/0!</v>
      </c>
      <c r="N114" s="31"/>
      <c r="P114" s="28" t="e">
        <f>tbl_Punch[[#This Row],[Mat. Qty]]*tbl_Punch[[#This Row],[% Complete]]</f>
        <v>#DIV/0!</v>
      </c>
      <c r="R114" s="32" t="str">
        <f>IFERROR(tbl_Punch[[#This Row],[Qty Complete]]/tbl_Punch[[#This Row],[Total Hours Act]]*tbl_Punch[[#This Row],['# of men Act]],"")</f>
        <v/>
      </c>
      <c r="T114"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14" s="35" t="str">
        <f>IFERROR((tbl_Punch[[#This Row],[Adj. Total Hours]]+tbl_Punch[[#This Row],[Est. Hours]])/(tbl_Punch[[#This Row],[Total Hours Act]]+tbl_Punch[[#This Row],[Act. Hours]]),"")</f>
        <v/>
      </c>
      <c r="Y114"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14" s="104" t="str">
        <f>IFERROR(tbl_Punch[[#This Row],[Act. Mat. Qty]]-tbl_Punch[[#This Row],[Adj. Mat. Qty]],"")</f>
        <v/>
      </c>
      <c r="AA114"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14" s="31"/>
      <c r="AD114" s="36"/>
    </row>
    <row r="115" spans="3:30" ht="25" customHeight="1">
      <c r="C115" s="28" t="str">
        <f>IF(tbl_Punch[[#This Row],[Part'#]]="", "Batch", "Part")</f>
        <v>Batch</v>
      </c>
      <c r="G115" s="28"/>
      <c r="I115" s="70" t="e">
        <f>tbl_Punch[[#This Row],[Qty Complete]]/tbl_Punch[[#This Row],[Qty Required]]</f>
        <v>#DIV/0!</v>
      </c>
      <c r="L115" s="31">
        <f>IF(tbl_Punch[[#This Row],[Job Type]]="Batch",0,tbl_Punch[[#This Row],[Qty Required]]/tbl_Punch[[#This Row],[PPH]]*tbl_Punch[[#This Row],['# of men]])</f>
        <v>0</v>
      </c>
      <c r="M115" s="31" t="e">
        <f>IF(tbl_Punch[[#This Row],[Job Type]]="Batch",tbl_Punch[[#This Row],[Batch Hours]]*tbl_Punch[[#This Row],[% Complete]],tbl_Punch[[#This Row],[Total hours]]*tbl_Punch[[#This Row],[% Complete]])</f>
        <v>#DIV/0!</v>
      </c>
      <c r="N115" s="31"/>
      <c r="P115" s="28" t="e">
        <f>tbl_Punch[[#This Row],[Mat. Qty]]*tbl_Punch[[#This Row],[% Complete]]</f>
        <v>#DIV/0!</v>
      </c>
      <c r="R115" s="32" t="str">
        <f>IFERROR(tbl_Punch[[#This Row],[Qty Complete]]/tbl_Punch[[#This Row],[Total Hours Act]]*tbl_Punch[[#This Row],['# of men Act]],"")</f>
        <v/>
      </c>
      <c r="T115"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15" s="35" t="str">
        <f>IFERROR((tbl_Punch[[#This Row],[Adj. Total Hours]]+tbl_Punch[[#This Row],[Est. Hours]])/(tbl_Punch[[#This Row],[Total Hours Act]]+tbl_Punch[[#This Row],[Act. Hours]]),"")</f>
        <v/>
      </c>
      <c r="Y115"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15" s="104" t="str">
        <f>IFERROR(tbl_Punch[[#This Row],[Act. Mat. Qty]]-tbl_Punch[[#This Row],[Adj. Mat. Qty]],"")</f>
        <v/>
      </c>
      <c r="AA115"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15" s="31"/>
      <c r="AD115" s="36"/>
    </row>
    <row r="116" spans="3:30" ht="25" customHeight="1">
      <c r="C116" s="28" t="str">
        <f>IF(tbl_Punch[[#This Row],[Part'#]]="", "Batch", "Part")</f>
        <v>Batch</v>
      </c>
      <c r="G116" s="28"/>
      <c r="I116" s="70" t="e">
        <f>tbl_Punch[[#This Row],[Qty Complete]]/tbl_Punch[[#This Row],[Qty Required]]</f>
        <v>#DIV/0!</v>
      </c>
      <c r="L116" s="31">
        <f>IF(tbl_Punch[[#This Row],[Job Type]]="Batch",0,tbl_Punch[[#This Row],[Qty Required]]/tbl_Punch[[#This Row],[PPH]]*tbl_Punch[[#This Row],['# of men]])</f>
        <v>0</v>
      </c>
      <c r="M116" s="31" t="e">
        <f>IF(tbl_Punch[[#This Row],[Job Type]]="Batch",tbl_Punch[[#This Row],[Batch Hours]]*tbl_Punch[[#This Row],[% Complete]],tbl_Punch[[#This Row],[Total hours]]*tbl_Punch[[#This Row],[% Complete]])</f>
        <v>#DIV/0!</v>
      </c>
      <c r="N116" s="31"/>
      <c r="P116" s="28" t="e">
        <f>tbl_Punch[[#This Row],[Mat. Qty]]*tbl_Punch[[#This Row],[% Complete]]</f>
        <v>#DIV/0!</v>
      </c>
      <c r="R116" s="32" t="str">
        <f>IFERROR(tbl_Punch[[#This Row],[Qty Complete]]/tbl_Punch[[#This Row],[Total Hours Act]]*tbl_Punch[[#This Row],['# of men Act]],"")</f>
        <v/>
      </c>
      <c r="T116"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16" s="35" t="str">
        <f>IFERROR((tbl_Punch[[#This Row],[Adj. Total Hours]]+tbl_Punch[[#This Row],[Est. Hours]])/(tbl_Punch[[#This Row],[Total Hours Act]]+tbl_Punch[[#This Row],[Act. Hours]]),"")</f>
        <v/>
      </c>
      <c r="Y116"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16" s="104" t="str">
        <f>IFERROR(tbl_Punch[[#This Row],[Act. Mat. Qty]]-tbl_Punch[[#This Row],[Adj. Mat. Qty]],"")</f>
        <v/>
      </c>
      <c r="AA116"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16" s="31"/>
      <c r="AD116" s="36"/>
    </row>
    <row r="117" spans="3:30" ht="25" customHeight="1">
      <c r="C117" s="28" t="str">
        <f>IF(tbl_Punch[[#This Row],[Part'#]]="", "Batch", "Part")</f>
        <v>Batch</v>
      </c>
      <c r="G117" s="28"/>
      <c r="I117" s="70" t="e">
        <f>tbl_Punch[[#This Row],[Qty Complete]]/tbl_Punch[[#This Row],[Qty Required]]</f>
        <v>#DIV/0!</v>
      </c>
      <c r="L117" s="31">
        <f>IF(tbl_Punch[[#This Row],[Job Type]]="Batch",0,tbl_Punch[[#This Row],[Qty Required]]/tbl_Punch[[#This Row],[PPH]]*tbl_Punch[[#This Row],['# of men]])</f>
        <v>0</v>
      </c>
      <c r="M117" s="31" t="e">
        <f>IF(tbl_Punch[[#This Row],[Job Type]]="Batch",tbl_Punch[[#This Row],[Batch Hours]]*tbl_Punch[[#This Row],[% Complete]],tbl_Punch[[#This Row],[Total hours]]*tbl_Punch[[#This Row],[% Complete]])</f>
        <v>#DIV/0!</v>
      </c>
      <c r="N117" s="31"/>
      <c r="P117" s="28" t="e">
        <f>tbl_Punch[[#This Row],[Mat. Qty]]*tbl_Punch[[#This Row],[% Complete]]</f>
        <v>#DIV/0!</v>
      </c>
      <c r="R117" s="32" t="str">
        <f>IFERROR(tbl_Punch[[#This Row],[Qty Complete]]/tbl_Punch[[#This Row],[Total Hours Act]]*tbl_Punch[[#This Row],['# of men Act]],"")</f>
        <v/>
      </c>
      <c r="T117"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17" s="35" t="str">
        <f>IFERROR((tbl_Punch[[#This Row],[Adj. Total Hours]]+tbl_Punch[[#This Row],[Est. Hours]])/(tbl_Punch[[#This Row],[Total Hours Act]]+tbl_Punch[[#This Row],[Act. Hours]]),"")</f>
        <v/>
      </c>
      <c r="Y117"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17" s="104" t="str">
        <f>IFERROR(tbl_Punch[[#This Row],[Act. Mat. Qty]]-tbl_Punch[[#This Row],[Adj. Mat. Qty]],"")</f>
        <v/>
      </c>
      <c r="AA117"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17" s="31"/>
      <c r="AD117" s="36"/>
    </row>
    <row r="118" spans="3:30" ht="25" customHeight="1">
      <c r="C118" s="28" t="str">
        <f>IF(tbl_Punch[[#This Row],[Part'#]]="", "Batch", "Part")</f>
        <v>Batch</v>
      </c>
      <c r="G118" s="28"/>
      <c r="I118" s="70" t="e">
        <f>tbl_Punch[[#This Row],[Qty Complete]]/tbl_Punch[[#This Row],[Qty Required]]</f>
        <v>#DIV/0!</v>
      </c>
      <c r="L118" s="31">
        <f>IF(tbl_Punch[[#This Row],[Job Type]]="Batch",0,tbl_Punch[[#This Row],[Qty Required]]/tbl_Punch[[#This Row],[PPH]]*tbl_Punch[[#This Row],['# of men]])</f>
        <v>0</v>
      </c>
      <c r="M118" s="31" t="e">
        <f>IF(tbl_Punch[[#This Row],[Job Type]]="Batch",tbl_Punch[[#This Row],[Batch Hours]]*tbl_Punch[[#This Row],[% Complete]],tbl_Punch[[#This Row],[Total hours]]*tbl_Punch[[#This Row],[% Complete]])</f>
        <v>#DIV/0!</v>
      </c>
      <c r="N118" s="31"/>
      <c r="P118" s="28" t="e">
        <f>tbl_Punch[[#This Row],[Mat. Qty]]*tbl_Punch[[#This Row],[% Complete]]</f>
        <v>#DIV/0!</v>
      </c>
      <c r="R118" s="32" t="str">
        <f>IFERROR(tbl_Punch[[#This Row],[Qty Complete]]/tbl_Punch[[#This Row],[Total Hours Act]]*tbl_Punch[[#This Row],['# of men Act]],"")</f>
        <v/>
      </c>
      <c r="T118"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18" s="35" t="str">
        <f>IFERROR((tbl_Punch[[#This Row],[Adj. Total Hours]]+tbl_Punch[[#This Row],[Est. Hours]])/(tbl_Punch[[#This Row],[Total Hours Act]]+tbl_Punch[[#This Row],[Act. Hours]]),"")</f>
        <v/>
      </c>
      <c r="Y118"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18" s="104" t="str">
        <f>IFERROR(tbl_Punch[[#This Row],[Act. Mat. Qty]]-tbl_Punch[[#This Row],[Adj. Mat. Qty]],"")</f>
        <v/>
      </c>
      <c r="AA118"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18" s="31"/>
      <c r="AD118" s="36"/>
    </row>
    <row r="119" spans="3:30" ht="25" customHeight="1">
      <c r="C119" s="28" t="str">
        <f>IF(tbl_Punch[[#This Row],[Part'#]]="", "Batch", "Part")</f>
        <v>Batch</v>
      </c>
      <c r="G119" s="28"/>
      <c r="I119" s="70" t="e">
        <f>tbl_Punch[[#This Row],[Qty Complete]]/tbl_Punch[[#This Row],[Qty Required]]</f>
        <v>#DIV/0!</v>
      </c>
      <c r="L119" s="31">
        <f>IF(tbl_Punch[[#This Row],[Job Type]]="Batch",0,tbl_Punch[[#This Row],[Qty Required]]/tbl_Punch[[#This Row],[PPH]]*tbl_Punch[[#This Row],['# of men]])</f>
        <v>0</v>
      </c>
      <c r="M119" s="31" t="e">
        <f>IF(tbl_Punch[[#This Row],[Job Type]]="Batch",tbl_Punch[[#This Row],[Batch Hours]]*tbl_Punch[[#This Row],[% Complete]],tbl_Punch[[#This Row],[Total hours]]*tbl_Punch[[#This Row],[% Complete]])</f>
        <v>#DIV/0!</v>
      </c>
      <c r="N119" s="31"/>
      <c r="P119" s="28" t="e">
        <f>tbl_Punch[[#This Row],[Mat. Qty]]*tbl_Punch[[#This Row],[% Complete]]</f>
        <v>#DIV/0!</v>
      </c>
      <c r="R119" s="32" t="str">
        <f>IFERROR(tbl_Punch[[#This Row],[Qty Complete]]/tbl_Punch[[#This Row],[Total Hours Act]]*tbl_Punch[[#This Row],['# of men Act]],"")</f>
        <v/>
      </c>
      <c r="T119"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19" s="35" t="str">
        <f>IFERROR((tbl_Punch[[#This Row],[Adj. Total Hours]]+tbl_Punch[[#This Row],[Est. Hours]])/(tbl_Punch[[#This Row],[Total Hours Act]]+tbl_Punch[[#This Row],[Act. Hours]]),"")</f>
        <v/>
      </c>
      <c r="Y119"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19" s="104" t="str">
        <f>IFERROR(tbl_Punch[[#This Row],[Act. Mat. Qty]]-tbl_Punch[[#This Row],[Adj. Mat. Qty]],"")</f>
        <v/>
      </c>
      <c r="AA119"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19" s="31"/>
      <c r="AD119" s="36"/>
    </row>
    <row r="120" spans="3:30" ht="25" customHeight="1">
      <c r="C120" s="28" t="str">
        <f>IF(tbl_Punch[[#This Row],[Part'#]]="", "Batch", "Part")</f>
        <v>Batch</v>
      </c>
      <c r="G120" s="28"/>
      <c r="I120" s="70" t="e">
        <f>tbl_Punch[[#This Row],[Qty Complete]]/tbl_Punch[[#This Row],[Qty Required]]</f>
        <v>#DIV/0!</v>
      </c>
      <c r="L120" s="31">
        <f>IF(tbl_Punch[[#This Row],[Job Type]]="Batch",0,tbl_Punch[[#This Row],[Qty Required]]/tbl_Punch[[#This Row],[PPH]]*tbl_Punch[[#This Row],['# of men]])</f>
        <v>0</v>
      </c>
      <c r="M120" s="31" t="e">
        <f>IF(tbl_Punch[[#This Row],[Job Type]]="Batch",tbl_Punch[[#This Row],[Batch Hours]]*tbl_Punch[[#This Row],[% Complete]],tbl_Punch[[#This Row],[Total hours]]*tbl_Punch[[#This Row],[% Complete]])</f>
        <v>#DIV/0!</v>
      </c>
      <c r="N120" s="31"/>
      <c r="P120" s="28" t="e">
        <f>tbl_Punch[[#This Row],[Mat. Qty]]*tbl_Punch[[#This Row],[% Complete]]</f>
        <v>#DIV/0!</v>
      </c>
      <c r="R120" s="32" t="str">
        <f>IFERROR(tbl_Punch[[#This Row],[Qty Complete]]/tbl_Punch[[#This Row],[Total Hours Act]]*tbl_Punch[[#This Row],['# of men Act]],"")</f>
        <v/>
      </c>
      <c r="T120"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20" s="35" t="str">
        <f>IFERROR((tbl_Punch[[#This Row],[Adj. Total Hours]]+tbl_Punch[[#This Row],[Est. Hours]])/(tbl_Punch[[#This Row],[Total Hours Act]]+tbl_Punch[[#This Row],[Act. Hours]]),"")</f>
        <v/>
      </c>
      <c r="Y120"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20" s="104" t="str">
        <f>IFERROR(tbl_Punch[[#This Row],[Act. Mat. Qty]]-tbl_Punch[[#This Row],[Adj. Mat. Qty]],"")</f>
        <v/>
      </c>
      <c r="AA120"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20" s="31"/>
      <c r="AD120" s="36"/>
    </row>
    <row r="121" spans="3:30" ht="25" customHeight="1">
      <c r="C121" s="28" t="str">
        <f>IF(tbl_Punch[[#This Row],[Part'#]]="", "Batch", "Part")</f>
        <v>Batch</v>
      </c>
      <c r="G121" s="28"/>
      <c r="I121" s="70" t="e">
        <f>tbl_Punch[[#This Row],[Qty Complete]]/tbl_Punch[[#This Row],[Qty Required]]</f>
        <v>#DIV/0!</v>
      </c>
      <c r="L121" s="31">
        <f>IF(tbl_Punch[[#This Row],[Job Type]]="Batch",0,tbl_Punch[[#This Row],[Qty Required]]/tbl_Punch[[#This Row],[PPH]]*tbl_Punch[[#This Row],['# of men]])</f>
        <v>0</v>
      </c>
      <c r="M121" s="31" t="e">
        <f>IF(tbl_Punch[[#This Row],[Job Type]]="Batch",tbl_Punch[[#This Row],[Batch Hours]]*tbl_Punch[[#This Row],[% Complete]],tbl_Punch[[#This Row],[Total hours]]*tbl_Punch[[#This Row],[% Complete]])</f>
        <v>#DIV/0!</v>
      </c>
      <c r="N121" s="31"/>
      <c r="P121" s="28" t="e">
        <f>tbl_Punch[[#This Row],[Mat. Qty]]*tbl_Punch[[#This Row],[% Complete]]</f>
        <v>#DIV/0!</v>
      </c>
      <c r="R121" s="32" t="str">
        <f>IFERROR(tbl_Punch[[#This Row],[Qty Complete]]/tbl_Punch[[#This Row],[Total Hours Act]]*tbl_Punch[[#This Row],['# of men Act]],"")</f>
        <v/>
      </c>
      <c r="T121"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21" s="35" t="str">
        <f>IFERROR((tbl_Punch[[#This Row],[Adj. Total Hours]]+tbl_Punch[[#This Row],[Est. Hours]])/(tbl_Punch[[#This Row],[Total Hours Act]]+tbl_Punch[[#This Row],[Act. Hours]]),"")</f>
        <v/>
      </c>
      <c r="Y121"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21" s="104" t="str">
        <f>IFERROR(tbl_Punch[[#This Row],[Act. Mat. Qty]]-tbl_Punch[[#This Row],[Adj. Mat. Qty]],"")</f>
        <v/>
      </c>
      <c r="AA121"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21" s="31"/>
      <c r="AD121" s="36"/>
    </row>
    <row r="122" spans="3:30" ht="25" customHeight="1">
      <c r="C122" s="28" t="str">
        <f>IF(tbl_Punch[[#This Row],[Part'#]]="", "Batch", "Part")</f>
        <v>Batch</v>
      </c>
      <c r="G122" s="28"/>
      <c r="I122" s="70" t="e">
        <f>tbl_Punch[[#This Row],[Qty Complete]]/tbl_Punch[[#This Row],[Qty Required]]</f>
        <v>#DIV/0!</v>
      </c>
      <c r="L122" s="31">
        <f>IF(tbl_Punch[[#This Row],[Job Type]]="Batch",0,tbl_Punch[[#This Row],[Qty Required]]/tbl_Punch[[#This Row],[PPH]]*tbl_Punch[[#This Row],['# of men]])</f>
        <v>0</v>
      </c>
      <c r="M122" s="31" t="e">
        <f>IF(tbl_Punch[[#This Row],[Job Type]]="Batch",tbl_Punch[[#This Row],[Batch Hours]]*tbl_Punch[[#This Row],[% Complete]],tbl_Punch[[#This Row],[Total hours]]*tbl_Punch[[#This Row],[% Complete]])</f>
        <v>#DIV/0!</v>
      </c>
      <c r="N122" s="31"/>
      <c r="P122" s="28" t="e">
        <f>tbl_Punch[[#This Row],[Mat. Qty]]*tbl_Punch[[#This Row],[% Complete]]</f>
        <v>#DIV/0!</v>
      </c>
      <c r="R122" s="32" t="str">
        <f>IFERROR(tbl_Punch[[#This Row],[Qty Complete]]/tbl_Punch[[#This Row],[Total Hours Act]]*tbl_Punch[[#This Row],['# of men Act]],"")</f>
        <v/>
      </c>
      <c r="T122"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22" s="35" t="str">
        <f>IFERROR((tbl_Punch[[#This Row],[Adj. Total Hours]]+tbl_Punch[[#This Row],[Est. Hours]])/(tbl_Punch[[#This Row],[Total Hours Act]]+tbl_Punch[[#This Row],[Act. Hours]]),"")</f>
        <v/>
      </c>
      <c r="Y122"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22" s="104" t="str">
        <f>IFERROR(tbl_Punch[[#This Row],[Act. Mat. Qty]]-tbl_Punch[[#This Row],[Adj. Mat. Qty]],"")</f>
        <v/>
      </c>
      <c r="AA122"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22" s="31"/>
      <c r="AD122" s="36"/>
    </row>
    <row r="123" spans="3:30" ht="25" customHeight="1">
      <c r="C123" s="28" t="str">
        <f>IF(tbl_Punch[[#This Row],[Part'#]]="", "Batch", "Part")</f>
        <v>Batch</v>
      </c>
      <c r="G123" s="28"/>
      <c r="I123" s="70" t="e">
        <f>tbl_Punch[[#This Row],[Qty Complete]]/tbl_Punch[[#This Row],[Qty Required]]</f>
        <v>#DIV/0!</v>
      </c>
      <c r="L123" s="31">
        <f>IF(tbl_Punch[[#This Row],[Job Type]]="Batch",0,tbl_Punch[[#This Row],[Qty Required]]/tbl_Punch[[#This Row],[PPH]]*tbl_Punch[[#This Row],['# of men]])</f>
        <v>0</v>
      </c>
      <c r="M123" s="31" t="e">
        <f>IF(tbl_Punch[[#This Row],[Job Type]]="Batch",tbl_Punch[[#This Row],[Batch Hours]]*tbl_Punch[[#This Row],[% Complete]],tbl_Punch[[#This Row],[Total hours]]*tbl_Punch[[#This Row],[% Complete]])</f>
        <v>#DIV/0!</v>
      </c>
      <c r="N123" s="31"/>
      <c r="P123" s="28" t="e">
        <f>tbl_Punch[[#This Row],[Mat. Qty]]*tbl_Punch[[#This Row],[% Complete]]</f>
        <v>#DIV/0!</v>
      </c>
      <c r="R123" s="32" t="str">
        <f>IFERROR(tbl_Punch[[#This Row],[Qty Complete]]/tbl_Punch[[#This Row],[Total Hours Act]]*tbl_Punch[[#This Row],['# of men Act]],"")</f>
        <v/>
      </c>
      <c r="T123"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23" s="35" t="str">
        <f>IFERROR((tbl_Punch[[#This Row],[Adj. Total Hours]]+tbl_Punch[[#This Row],[Est. Hours]])/(tbl_Punch[[#This Row],[Total Hours Act]]+tbl_Punch[[#This Row],[Act. Hours]]),"")</f>
        <v/>
      </c>
      <c r="Y123"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23" s="104" t="str">
        <f>IFERROR(tbl_Punch[[#This Row],[Act. Mat. Qty]]-tbl_Punch[[#This Row],[Adj. Mat. Qty]],"")</f>
        <v/>
      </c>
      <c r="AA123"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23" s="31"/>
      <c r="AD123" s="36"/>
    </row>
    <row r="124" spans="3:30" ht="25" customHeight="1">
      <c r="C124" s="28" t="str">
        <f>IF(tbl_Punch[[#This Row],[Part'#]]="", "Batch", "Part")</f>
        <v>Batch</v>
      </c>
      <c r="G124" s="28"/>
      <c r="I124" s="70" t="e">
        <f>tbl_Punch[[#This Row],[Qty Complete]]/tbl_Punch[[#This Row],[Qty Required]]</f>
        <v>#DIV/0!</v>
      </c>
      <c r="L124" s="31">
        <f>IF(tbl_Punch[[#This Row],[Job Type]]="Batch",0,tbl_Punch[[#This Row],[Qty Required]]/tbl_Punch[[#This Row],[PPH]]*tbl_Punch[[#This Row],['# of men]])</f>
        <v>0</v>
      </c>
      <c r="M124" s="31" t="e">
        <f>IF(tbl_Punch[[#This Row],[Job Type]]="Batch",tbl_Punch[[#This Row],[Batch Hours]]*tbl_Punch[[#This Row],[% Complete]],tbl_Punch[[#This Row],[Total hours]]*tbl_Punch[[#This Row],[% Complete]])</f>
        <v>#DIV/0!</v>
      </c>
      <c r="N124" s="31"/>
      <c r="P124" s="28" t="e">
        <f>tbl_Punch[[#This Row],[Mat. Qty]]*tbl_Punch[[#This Row],[% Complete]]</f>
        <v>#DIV/0!</v>
      </c>
      <c r="R124" s="32" t="str">
        <f>IFERROR(tbl_Punch[[#This Row],[Qty Complete]]/tbl_Punch[[#This Row],[Total Hours Act]]*tbl_Punch[[#This Row],['# of men Act]],"")</f>
        <v/>
      </c>
      <c r="T124"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24" s="35" t="str">
        <f>IFERROR((tbl_Punch[[#This Row],[Adj. Total Hours]]+tbl_Punch[[#This Row],[Est. Hours]])/(tbl_Punch[[#This Row],[Total Hours Act]]+tbl_Punch[[#This Row],[Act. Hours]]),"")</f>
        <v/>
      </c>
      <c r="Y124"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24" s="104" t="str">
        <f>IFERROR(tbl_Punch[[#This Row],[Act. Mat. Qty]]-tbl_Punch[[#This Row],[Adj. Mat. Qty]],"")</f>
        <v/>
      </c>
      <c r="AA124"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24" s="31"/>
      <c r="AD124" s="36"/>
    </row>
    <row r="125" spans="3:30" ht="25" customHeight="1">
      <c r="C125" s="28" t="str">
        <f>IF(tbl_Punch[[#This Row],[Part'#]]="", "Batch", "Part")</f>
        <v>Batch</v>
      </c>
      <c r="G125" s="28"/>
      <c r="I125" s="70" t="e">
        <f>tbl_Punch[[#This Row],[Qty Complete]]/tbl_Punch[[#This Row],[Qty Required]]</f>
        <v>#DIV/0!</v>
      </c>
      <c r="L125" s="31">
        <f>IF(tbl_Punch[[#This Row],[Job Type]]="Batch",0,tbl_Punch[[#This Row],[Qty Required]]/tbl_Punch[[#This Row],[PPH]]*tbl_Punch[[#This Row],['# of men]])</f>
        <v>0</v>
      </c>
      <c r="M125" s="31" t="e">
        <f>IF(tbl_Punch[[#This Row],[Job Type]]="Batch",tbl_Punch[[#This Row],[Batch Hours]]*tbl_Punch[[#This Row],[% Complete]],tbl_Punch[[#This Row],[Total hours]]*tbl_Punch[[#This Row],[% Complete]])</f>
        <v>#DIV/0!</v>
      </c>
      <c r="N125" s="31"/>
      <c r="P125" s="28" t="e">
        <f>tbl_Punch[[#This Row],[Mat. Qty]]*tbl_Punch[[#This Row],[% Complete]]</f>
        <v>#DIV/0!</v>
      </c>
      <c r="R125" s="32" t="str">
        <f>IFERROR(tbl_Punch[[#This Row],[Qty Complete]]/tbl_Punch[[#This Row],[Total Hours Act]]*tbl_Punch[[#This Row],['# of men Act]],"")</f>
        <v/>
      </c>
      <c r="T125"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25" s="35" t="str">
        <f>IFERROR((tbl_Punch[[#This Row],[Adj. Total Hours]]+tbl_Punch[[#This Row],[Est. Hours]])/(tbl_Punch[[#This Row],[Total Hours Act]]+tbl_Punch[[#This Row],[Act. Hours]]),"")</f>
        <v/>
      </c>
      <c r="Y125"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25" s="104" t="str">
        <f>IFERROR(tbl_Punch[[#This Row],[Act. Mat. Qty]]-tbl_Punch[[#This Row],[Adj. Mat. Qty]],"")</f>
        <v/>
      </c>
      <c r="AA125"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25" s="31"/>
      <c r="AD125" s="36"/>
    </row>
    <row r="126" spans="3:30" ht="25" customHeight="1">
      <c r="C126" s="28" t="str">
        <f>IF(tbl_Punch[[#This Row],[Part'#]]="", "Batch", "Part")</f>
        <v>Batch</v>
      </c>
      <c r="G126" s="28"/>
      <c r="I126" s="70" t="e">
        <f>tbl_Punch[[#This Row],[Qty Complete]]/tbl_Punch[[#This Row],[Qty Required]]</f>
        <v>#DIV/0!</v>
      </c>
      <c r="L126" s="31">
        <f>IF(tbl_Punch[[#This Row],[Job Type]]="Batch",0,tbl_Punch[[#This Row],[Qty Required]]/tbl_Punch[[#This Row],[PPH]]*tbl_Punch[[#This Row],['# of men]])</f>
        <v>0</v>
      </c>
      <c r="M126" s="31" t="e">
        <f>IF(tbl_Punch[[#This Row],[Job Type]]="Batch",tbl_Punch[[#This Row],[Batch Hours]]*tbl_Punch[[#This Row],[% Complete]],tbl_Punch[[#This Row],[Total hours]]*tbl_Punch[[#This Row],[% Complete]])</f>
        <v>#DIV/0!</v>
      </c>
      <c r="N126" s="31"/>
      <c r="P126" s="28" t="e">
        <f>tbl_Punch[[#This Row],[Mat. Qty]]*tbl_Punch[[#This Row],[% Complete]]</f>
        <v>#DIV/0!</v>
      </c>
      <c r="R126" s="32" t="str">
        <f>IFERROR(tbl_Punch[[#This Row],[Qty Complete]]/tbl_Punch[[#This Row],[Total Hours Act]]*tbl_Punch[[#This Row],['# of men Act]],"")</f>
        <v/>
      </c>
      <c r="T126"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26" s="35" t="str">
        <f>IFERROR((tbl_Punch[[#This Row],[Adj. Total Hours]]+tbl_Punch[[#This Row],[Est. Hours]])/(tbl_Punch[[#This Row],[Total Hours Act]]+tbl_Punch[[#This Row],[Act. Hours]]),"")</f>
        <v/>
      </c>
      <c r="Y126"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26" s="104" t="str">
        <f>IFERROR(tbl_Punch[[#This Row],[Act. Mat. Qty]]-tbl_Punch[[#This Row],[Adj. Mat. Qty]],"")</f>
        <v/>
      </c>
      <c r="AA126"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26" s="31"/>
      <c r="AD126" s="36"/>
    </row>
    <row r="127" spans="3:30" ht="25" customHeight="1">
      <c r="C127" s="28" t="str">
        <f>IF(tbl_Punch[[#This Row],[Part'#]]="", "Batch", "Part")</f>
        <v>Batch</v>
      </c>
      <c r="G127" s="28"/>
      <c r="I127" s="70" t="e">
        <f>tbl_Punch[[#This Row],[Qty Complete]]/tbl_Punch[[#This Row],[Qty Required]]</f>
        <v>#DIV/0!</v>
      </c>
      <c r="L127" s="31">
        <f>IF(tbl_Punch[[#This Row],[Job Type]]="Batch",0,tbl_Punch[[#This Row],[Qty Required]]/tbl_Punch[[#This Row],[PPH]]*tbl_Punch[[#This Row],['# of men]])</f>
        <v>0</v>
      </c>
      <c r="M127" s="31" t="e">
        <f>IF(tbl_Punch[[#This Row],[Job Type]]="Batch",tbl_Punch[[#This Row],[Batch Hours]]*tbl_Punch[[#This Row],[% Complete]],tbl_Punch[[#This Row],[Total hours]]*tbl_Punch[[#This Row],[% Complete]])</f>
        <v>#DIV/0!</v>
      </c>
      <c r="N127" s="31"/>
      <c r="P127" s="28" t="e">
        <f>tbl_Punch[[#This Row],[Mat. Qty]]*tbl_Punch[[#This Row],[% Complete]]</f>
        <v>#DIV/0!</v>
      </c>
      <c r="R127" s="32" t="str">
        <f>IFERROR(tbl_Punch[[#This Row],[Qty Complete]]/tbl_Punch[[#This Row],[Total Hours Act]]*tbl_Punch[[#This Row],['# of men Act]],"")</f>
        <v/>
      </c>
      <c r="T127"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27" s="35" t="str">
        <f>IFERROR((tbl_Punch[[#This Row],[Adj. Total Hours]]+tbl_Punch[[#This Row],[Est. Hours]])/(tbl_Punch[[#This Row],[Total Hours Act]]+tbl_Punch[[#This Row],[Act. Hours]]),"")</f>
        <v/>
      </c>
      <c r="Y127"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27" s="104" t="str">
        <f>IFERROR(tbl_Punch[[#This Row],[Act. Mat. Qty]]-tbl_Punch[[#This Row],[Adj. Mat. Qty]],"")</f>
        <v/>
      </c>
      <c r="AA127"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27" s="31"/>
      <c r="AD127" s="36"/>
    </row>
    <row r="128" spans="3:30" ht="25" customHeight="1">
      <c r="C128" s="28" t="str">
        <f>IF(tbl_Punch[[#This Row],[Part'#]]="", "Batch", "Part")</f>
        <v>Batch</v>
      </c>
      <c r="G128" s="28"/>
      <c r="I128" s="70" t="e">
        <f>tbl_Punch[[#This Row],[Qty Complete]]/tbl_Punch[[#This Row],[Qty Required]]</f>
        <v>#DIV/0!</v>
      </c>
      <c r="L128" s="31">
        <f>IF(tbl_Punch[[#This Row],[Job Type]]="Batch",0,tbl_Punch[[#This Row],[Qty Required]]/tbl_Punch[[#This Row],[PPH]]*tbl_Punch[[#This Row],['# of men]])</f>
        <v>0</v>
      </c>
      <c r="M128" s="31" t="e">
        <f>IF(tbl_Punch[[#This Row],[Job Type]]="Batch",tbl_Punch[[#This Row],[Batch Hours]]*tbl_Punch[[#This Row],[% Complete]],tbl_Punch[[#This Row],[Total hours]]*tbl_Punch[[#This Row],[% Complete]])</f>
        <v>#DIV/0!</v>
      </c>
      <c r="N128" s="31"/>
      <c r="P128" s="28" t="e">
        <f>tbl_Punch[[#This Row],[Mat. Qty]]*tbl_Punch[[#This Row],[% Complete]]</f>
        <v>#DIV/0!</v>
      </c>
      <c r="R128" s="32" t="str">
        <f>IFERROR(tbl_Punch[[#This Row],[Qty Complete]]/tbl_Punch[[#This Row],[Total Hours Act]]*tbl_Punch[[#This Row],['# of men Act]],"")</f>
        <v/>
      </c>
      <c r="T128"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28" s="35" t="str">
        <f>IFERROR((tbl_Punch[[#This Row],[Adj. Total Hours]]+tbl_Punch[[#This Row],[Est. Hours]])/(tbl_Punch[[#This Row],[Total Hours Act]]+tbl_Punch[[#This Row],[Act. Hours]]),"")</f>
        <v/>
      </c>
      <c r="Y128"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28" s="104" t="str">
        <f>IFERROR(tbl_Punch[[#This Row],[Act. Mat. Qty]]-tbl_Punch[[#This Row],[Adj. Mat. Qty]],"")</f>
        <v/>
      </c>
      <c r="AA128"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28" s="31"/>
      <c r="AD128" s="36"/>
    </row>
    <row r="129" spans="3:30" ht="25" customHeight="1">
      <c r="C129" s="28" t="str">
        <f>IF(tbl_Punch[[#This Row],[Part'#]]="", "Batch", "Part")</f>
        <v>Batch</v>
      </c>
      <c r="G129" s="28"/>
      <c r="I129" s="70" t="e">
        <f>tbl_Punch[[#This Row],[Qty Complete]]/tbl_Punch[[#This Row],[Qty Required]]</f>
        <v>#DIV/0!</v>
      </c>
      <c r="L129" s="31">
        <f>IF(tbl_Punch[[#This Row],[Job Type]]="Batch",0,tbl_Punch[[#This Row],[Qty Required]]/tbl_Punch[[#This Row],[PPH]]*tbl_Punch[[#This Row],['# of men]])</f>
        <v>0</v>
      </c>
      <c r="M129" s="31" t="e">
        <f>IF(tbl_Punch[[#This Row],[Job Type]]="Batch",tbl_Punch[[#This Row],[Batch Hours]]*tbl_Punch[[#This Row],[% Complete]],tbl_Punch[[#This Row],[Total hours]]*tbl_Punch[[#This Row],[% Complete]])</f>
        <v>#DIV/0!</v>
      </c>
      <c r="N129" s="31"/>
      <c r="P129" s="28" t="e">
        <f>tbl_Punch[[#This Row],[Mat. Qty]]*tbl_Punch[[#This Row],[% Complete]]</f>
        <v>#DIV/0!</v>
      </c>
      <c r="R129" s="32" t="str">
        <f>IFERROR(tbl_Punch[[#This Row],[Qty Complete]]/tbl_Punch[[#This Row],[Total Hours Act]]*tbl_Punch[[#This Row],['# of men Act]],"")</f>
        <v/>
      </c>
      <c r="T129"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29" s="35" t="str">
        <f>IFERROR((tbl_Punch[[#This Row],[Adj. Total Hours]]+tbl_Punch[[#This Row],[Est. Hours]])/(tbl_Punch[[#This Row],[Total Hours Act]]+tbl_Punch[[#This Row],[Act. Hours]]),"")</f>
        <v/>
      </c>
      <c r="Y129"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29" s="104" t="str">
        <f>IFERROR(tbl_Punch[[#This Row],[Act. Mat. Qty]]-tbl_Punch[[#This Row],[Adj. Mat. Qty]],"")</f>
        <v/>
      </c>
      <c r="AA129"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29" s="31"/>
      <c r="AD129" s="36"/>
    </row>
    <row r="130" spans="3:30" ht="25" customHeight="1">
      <c r="C130" s="28" t="str">
        <f>IF(tbl_Punch[[#This Row],[Part'#]]="", "Batch", "Part")</f>
        <v>Batch</v>
      </c>
      <c r="G130" s="28"/>
      <c r="I130" s="70" t="e">
        <f>tbl_Punch[[#This Row],[Qty Complete]]/tbl_Punch[[#This Row],[Qty Required]]</f>
        <v>#DIV/0!</v>
      </c>
      <c r="L130" s="31">
        <f>IF(tbl_Punch[[#This Row],[Job Type]]="Batch",0,tbl_Punch[[#This Row],[Qty Required]]/tbl_Punch[[#This Row],[PPH]]*tbl_Punch[[#This Row],['# of men]])</f>
        <v>0</v>
      </c>
      <c r="M130" s="31" t="e">
        <f>IF(tbl_Punch[[#This Row],[Job Type]]="Batch",tbl_Punch[[#This Row],[Batch Hours]]*tbl_Punch[[#This Row],[% Complete]],tbl_Punch[[#This Row],[Total hours]]*tbl_Punch[[#This Row],[% Complete]])</f>
        <v>#DIV/0!</v>
      </c>
      <c r="N130" s="31"/>
      <c r="P130" s="28" t="e">
        <f>tbl_Punch[[#This Row],[Mat. Qty]]*tbl_Punch[[#This Row],[% Complete]]</f>
        <v>#DIV/0!</v>
      </c>
      <c r="R130" s="32" t="str">
        <f>IFERROR(tbl_Punch[[#This Row],[Qty Complete]]/tbl_Punch[[#This Row],[Total Hours Act]]*tbl_Punch[[#This Row],['# of men Act]],"")</f>
        <v/>
      </c>
      <c r="T130"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30" s="35" t="str">
        <f>IFERROR((tbl_Punch[[#This Row],[Adj. Total Hours]]+tbl_Punch[[#This Row],[Est. Hours]])/(tbl_Punch[[#This Row],[Total Hours Act]]+tbl_Punch[[#This Row],[Act. Hours]]),"")</f>
        <v/>
      </c>
      <c r="Y130"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30" s="104" t="str">
        <f>IFERROR(tbl_Punch[[#This Row],[Act. Mat. Qty]]-tbl_Punch[[#This Row],[Adj. Mat. Qty]],"")</f>
        <v/>
      </c>
      <c r="AA130"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30" s="31"/>
      <c r="AD130" s="36"/>
    </row>
    <row r="131" spans="3:30" ht="25" customHeight="1">
      <c r="C131" s="28" t="str">
        <f>IF(tbl_Punch[[#This Row],[Part'#]]="", "Batch", "Part")</f>
        <v>Batch</v>
      </c>
      <c r="G131" s="28"/>
      <c r="I131" s="70" t="e">
        <f>tbl_Punch[[#This Row],[Qty Complete]]/tbl_Punch[[#This Row],[Qty Required]]</f>
        <v>#DIV/0!</v>
      </c>
      <c r="L131" s="31">
        <f>IF(tbl_Punch[[#This Row],[Job Type]]="Batch",0,tbl_Punch[[#This Row],[Qty Required]]/tbl_Punch[[#This Row],[PPH]]*tbl_Punch[[#This Row],['# of men]])</f>
        <v>0</v>
      </c>
      <c r="M131" s="31" t="e">
        <f>IF(tbl_Punch[[#This Row],[Job Type]]="Batch",tbl_Punch[[#This Row],[Batch Hours]]*tbl_Punch[[#This Row],[% Complete]],tbl_Punch[[#This Row],[Total hours]]*tbl_Punch[[#This Row],[% Complete]])</f>
        <v>#DIV/0!</v>
      </c>
      <c r="N131" s="31"/>
      <c r="P131" s="28" t="e">
        <f>tbl_Punch[[#This Row],[Mat. Qty]]*tbl_Punch[[#This Row],[% Complete]]</f>
        <v>#DIV/0!</v>
      </c>
      <c r="R131" s="32" t="str">
        <f>IFERROR(tbl_Punch[[#This Row],[Qty Complete]]/tbl_Punch[[#This Row],[Total Hours Act]]*tbl_Punch[[#This Row],['# of men Act]],"")</f>
        <v/>
      </c>
      <c r="T131"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31" s="35" t="str">
        <f>IFERROR((tbl_Punch[[#This Row],[Adj. Total Hours]]+tbl_Punch[[#This Row],[Est. Hours]])/(tbl_Punch[[#This Row],[Total Hours Act]]+tbl_Punch[[#This Row],[Act. Hours]]),"")</f>
        <v/>
      </c>
      <c r="Y131"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31" s="104" t="str">
        <f>IFERROR(tbl_Punch[[#This Row],[Act. Mat. Qty]]-tbl_Punch[[#This Row],[Adj. Mat. Qty]],"")</f>
        <v/>
      </c>
      <c r="AA131"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31" s="31"/>
      <c r="AD131" s="36"/>
    </row>
    <row r="132" spans="3:30" ht="25" customHeight="1">
      <c r="C132" s="28" t="str">
        <f>IF(tbl_Punch[[#This Row],[Part'#]]="", "Batch", "Part")</f>
        <v>Batch</v>
      </c>
      <c r="G132" s="28"/>
      <c r="I132" s="70" t="e">
        <f>tbl_Punch[[#This Row],[Qty Complete]]/tbl_Punch[[#This Row],[Qty Required]]</f>
        <v>#DIV/0!</v>
      </c>
      <c r="L132" s="31">
        <f>IF(tbl_Punch[[#This Row],[Job Type]]="Batch",0,tbl_Punch[[#This Row],[Qty Required]]/tbl_Punch[[#This Row],[PPH]]*tbl_Punch[[#This Row],['# of men]])</f>
        <v>0</v>
      </c>
      <c r="M132" s="31" t="e">
        <f>IF(tbl_Punch[[#This Row],[Job Type]]="Batch",tbl_Punch[[#This Row],[Batch Hours]]*tbl_Punch[[#This Row],[% Complete]],tbl_Punch[[#This Row],[Total hours]]*tbl_Punch[[#This Row],[% Complete]])</f>
        <v>#DIV/0!</v>
      </c>
      <c r="N132" s="31"/>
      <c r="P132" s="28" t="e">
        <f>tbl_Punch[[#This Row],[Mat. Qty]]*tbl_Punch[[#This Row],[% Complete]]</f>
        <v>#DIV/0!</v>
      </c>
      <c r="R132" s="32" t="str">
        <f>IFERROR(tbl_Punch[[#This Row],[Qty Complete]]/tbl_Punch[[#This Row],[Total Hours Act]]*tbl_Punch[[#This Row],['# of men Act]],"")</f>
        <v/>
      </c>
      <c r="T132"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32" s="35" t="str">
        <f>IFERROR((tbl_Punch[[#This Row],[Adj. Total Hours]]+tbl_Punch[[#This Row],[Est. Hours]])/(tbl_Punch[[#This Row],[Total Hours Act]]+tbl_Punch[[#This Row],[Act. Hours]]),"")</f>
        <v/>
      </c>
      <c r="Y132"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32" s="104" t="str">
        <f>IFERROR(tbl_Punch[[#This Row],[Act. Mat. Qty]]-tbl_Punch[[#This Row],[Adj. Mat. Qty]],"")</f>
        <v/>
      </c>
      <c r="AA132"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32" s="31"/>
      <c r="AD132" s="36"/>
    </row>
    <row r="133" spans="3:30" ht="25" customHeight="1">
      <c r="C133" s="28" t="str">
        <f>IF(tbl_Punch[[#This Row],[Part'#]]="", "Batch", "Part")</f>
        <v>Batch</v>
      </c>
      <c r="G133" s="28"/>
      <c r="I133" s="70" t="e">
        <f>tbl_Punch[[#This Row],[Qty Complete]]/tbl_Punch[[#This Row],[Qty Required]]</f>
        <v>#DIV/0!</v>
      </c>
      <c r="L133" s="31">
        <f>IF(tbl_Punch[[#This Row],[Job Type]]="Batch",0,tbl_Punch[[#This Row],[Qty Required]]/tbl_Punch[[#This Row],[PPH]]*tbl_Punch[[#This Row],['# of men]])</f>
        <v>0</v>
      </c>
      <c r="M133" s="31" t="e">
        <f>IF(tbl_Punch[[#This Row],[Job Type]]="Batch",tbl_Punch[[#This Row],[Batch Hours]]*tbl_Punch[[#This Row],[% Complete]],tbl_Punch[[#This Row],[Total hours]]*tbl_Punch[[#This Row],[% Complete]])</f>
        <v>#DIV/0!</v>
      </c>
      <c r="N133" s="31"/>
      <c r="P133" s="28" t="e">
        <f>tbl_Punch[[#This Row],[Mat. Qty]]*tbl_Punch[[#This Row],[% Complete]]</f>
        <v>#DIV/0!</v>
      </c>
      <c r="R133" s="32" t="str">
        <f>IFERROR(tbl_Punch[[#This Row],[Qty Complete]]/tbl_Punch[[#This Row],[Total Hours Act]]*tbl_Punch[[#This Row],['# of men Act]],"")</f>
        <v/>
      </c>
      <c r="T133"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33" s="35" t="str">
        <f>IFERROR((tbl_Punch[[#This Row],[Adj. Total Hours]]+tbl_Punch[[#This Row],[Est. Hours]])/(tbl_Punch[[#This Row],[Total Hours Act]]+tbl_Punch[[#This Row],[Act. Hours]]),"")</f>
        <v/>
      </c>
      <c r="Y133"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33" s="104" t="str">
        <f>IFERROR(tbl_Punch[[#This Row],[Act. Mat. Qty]]-tbl_Punch[[#This Row],[Adj. Mat. Qty]],"")</f>
        <v/>
      </c>
      <c r="AA133"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33" s="31"/>
      <c r="AD133" s="36"/>
    </row>
    <row r="134" spans="3:30" ht="25" customHeight="1">
      <c r="C134" s="28" t="str">
        <f>IF(tbl_Punch[[#This Row],[Part'#]]="", "Batch", "Part")</f>
        <v>Batch</v>
      </c>
      <c r="G134" s="28"/>
      <c r="I134" s="70" t="e">
        <f>tbl_Punch[[#This Row],[Qty Complete]]/tbl_Punch[[#This Row],[Qty Required]]</f>
        <v>#DIV/0!</v>
      </c>
      <c r="L134" s="31">
        <f>IF(tbl_Punch[[#This Row],[Job Type]]="Batch",0,tbl_Punch[[#This Row],[Qty Required]]/tbl_Punch[[#This Row],[PPH]]*tbl_Punch[[#This Row],['# of men]])</f>
        <v>0</v>
      </c>
      <c r="M134" s="31" t="e">
        <f>IF(tbl_Punch[[#This Row],[Job Type]]="Batch",tbl_Punch[[#This Row],[Batch Hours]]*tbl_Punch[[#This Row],[% Complete]],tbl_Punch[[#This Row],[Total hours]]*tbl_Punch[[#This Row],[% Complete]])</f>
        <v>#DIV/0!</v>
      </c>
      <c r="N134" s="31"/>
      <c r="P134" s="28" t="e">
        <f>tbl_Punch[[#This Row],[Mat. Qty]]*tbl_Punch[[#This Row],[% Complete]]</f>
        <v>#DIV/0!</v>
      </c>
      <c r="R134" s="32" t="str">
        <f>IFERROR(tbl_Punch[[#This Row],[Qty Complete]]/tbl_Punch[[#This Row],[Total Hours Act]]*tbl_Punch[[#This Row],['# of men Act]],"")</f>
        <v/>
      </c>
      <c r="T134"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34" s="35" t="str">
        <f>IFERROR((tbl_Punch[[#This Row],[Adj. Total Hours]]+tbl_Punch[[#This Row],[Est. Hours]])/(tbl_Punch[[#This Row],[Total Hours Act]]+tbl_Punch[[#This Row],[Act. Hours]]),"")</f>
        <v/>
      </c>
      <c r="Y134"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34" s="104" t="str">
        <f>IFERROR(tbl_Punch[[#This Row],[Act. Mat. Qty]]-tbl_Punch[[#This Row],[Adj. Mat. Qty]],"")</f>
        <v/>
      </c>
      <c r="AA134"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34" s="31"/>
      <c r="AD134" s="36"/>
    </row>
    <row r="135" spans="3:30" ht="25" customHeight="1">
      <c r="C135" s="28" t="str">
        <f>IF(tbl_Punch[[#This Row],[Part'#]]="", "Batch", "Part")</f>
        <v>Batch</v>
      </c>
      <c r="G135" s="28"/>
      <c r="I135" s="70" t="e">
        <f>tbl_Punch[[#This Row],[Qty Complete]]/tbl_Punch[[#This Row],[Qty Required]]</f>
        <v>#DIV/0!</v>
      </c>
      <c r="L135" s="31">
        <f>IF(tbl_Punch[[#This Row],[Job Type]]="Batch",0,tbl_Punch[[#This Row],[Qty Required]]/tbl_Punch[[#This Row],[PPH]]*tbl_Punch[[#This Row],['# of men]])</f>
        <v>0</v>
      </c>
      <c r="M135" s="31" t="e">
        <f>IF(tbl_Punch[[#This Row],[Job Type]]="Batch",tbl_Punch[[#This Row],[Batch Hours]]*tbl_Punch[[#This Row],[% Complete]],tbl_Punch[[#This Row],[Total hours]]*tbl_Punch[[#This Row],[% Complete]])</f>
        <v>#DIV/0!</v>
      </c>
      <c r="N135" s="31"/>
      <c r="P135" s="28" t="e">
        <f>tbl_Punch[[#This Row],[Mat. Qty]]*tbl_Punch[[#This Row],[% Complete]]</f>
        <v>#DIV/0!</v>
      </c>
      <c r="R135" s="32" t="str">
        <f>IFERROR(tbl_Punch[[#This Row],[Qty Complete]]/tbl_Punch[[#This Row],[Total Hours Act]]*tbl_Punch[[#This Row],['# of men Act]],"")</f>
        <v/>
      </c>
      <c r="T135"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35" s="35" t="str">
        <f>IFERROR((tbl_Punch[[#This Row],[Adj. Total Hours]]+tbl_Punch[[#This Row],[Est. Hours]])/(tbl_Punch[[#This Row],[Total Hours Act]]+tbl_Punch[[#This Row],[Act. Hours]]),"")</f>
        <v/>
      </c>
      <c r="Y135"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35" s="104" t="str">
        <f>IFERROR(tbl_Punch[[#This Row],[Act. Mat. Qty]]-tbl_Punch[[#This Row],[Adj. Mat. Qty]],"")</f>
        <v/>
      </c>
      <c r="AA135"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35" s="31"/>
      <c r="AD135" s="36"/>
    </row>
    <row r="136" spans="3:30" ht="25" customHeight="1">
      <c r="C136" s="28" t="str">
        <f>IF(tbl_Punch[[#This Row],[Part'#]]="", "Batch", "Part")</f>
        <v>Batch</v>
      </c>
      <c r="G136" s="28"/>
      <c r="I136" s="70" t="e">
        <f>tbl_Punch[[#This Row],[Qty Complete]]/tbl_Punch[[#This Row],[Qty Required]]</f>
        <v>#DIV/0!</v>
      </c>
      <c r="L136" s="31">
        <f>IF(tbl_Punch[[#This Row],[Job Type]]="Batch",0,tbl_Punch[[#This Row],[Qty Required]]/tbl_Punch[[#This Row],[PPH]]*tbl_Punch[[#This Row],['# of men]])</f>
        <v>0</v>
      </c>
      <c r="M136" s="31" t="e">
        <f>IF(tbl_Punch[[#This Row],[Job Type]]="Batch",tbl_Punch[[#This Row],[Batch Hours]]*tbl_Punch[[#This Row],[% Complete]],tbl_Punch[[#This Row],[Total hours]]*tbl_Punch[[#This Row],[% Complete]])</f>
        <v>#DIV/0!</v>
      </c>
      <c r="N136" s="31"/>
      <c r="P136" s="28" t="e">
        <f>tbl_Punch[[#This Row],[Mat. Qty]]*tbl_Punch[[#This Row],[% Complete]]</f>
        <v>#DIV/0!</v>
      </c>
      <c r="R136" s="32" t="str">
        <f>IFERROR(tbl_Punch[[#This Row],[Qty Complete]]/tbl_Punch[[#This Row],[Total Hours Act]]*tbl_Punch[[#This Row],['# of men Act]],"")</f>
        <v/>
      </c>
      <c r="T136"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36" s="35" t="str">
        <f>IFERROR((tbl_Punch[[#This Row],[Adj. Total Hours]]+tbl_Punch[[#This Row],[Est. Hours]])/(tbl_Punch[[#This Row],[Total Hours Act]]+tbl_Punch[[#This Row],[Act. Hours]]),"")</f>
        <v/>
      </c>
      <c r="Y136"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36" s="104" t="str">
        <f>IFERROR(tbl_Punch[[#This Row],[Act. Mat. Qty]]-tbl_Punch[[#This Row],[Adj. Mat. Qty]],"")</f>
        <v/>
      </c>
      <c r="AA136"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36" s="31"/>
      <c r="AD136" s="36"/>
    </row>
    <row r="137" spans="3:30" ht="25" customHeight="1">
      <c r="C137" s="28" t="str">
        <f>IF(tbl_Punch[[#This Row],[Part'#]]="", "Batch", "Part")</f>
        <v>Batch</v>
      </c>
      <c r="G137" s="28"/>
      <c r="I137" s="70" t="e">
        <f>tbl_Punch[[#This Row],[Qty Complete]]/tbl_Punch[[#This Row],[Qty Required]]</f>
        <v>#DIV/0!</v>
      </c>
      <c r="L137" s="31">
        <f>IF(tbl_Punch[[#This Row],[Job Type]]="Batch",0,tbl_Punch[[#This Row],[Qty Required]]/tbl_Punch[[#This Row],[PPH]]*tbl_Punch[[#This Row],['# of men]])</f>
        <v>0</v>
      </c>
      <c r="M137" s="31" t="e">
        <f>IF(tbl_Punch[[#This Row],[Job Type]]="Batch",tbl_Punch[[#This Row],[Batch Hours]]*tbl_Punch[[#This Row],[% Complete]],tbl_Punch[[#This Row],[Total hours]]*tbl_Punch[[#This Row],[% Complete]])</f>
        <v>#DIV/0!</v>
      </c>
      <c r="N137" s="31"/>
      <c r="P137" s="28" t="e">
        <f>tbl_Punch[[#This Row],[Mat. Qty]]*tbl_Punch[[#This Row],[% Complete]]</f>
        <v>#DIV/0!</v>
      </c>
      <c r="R137" s="32" t="str">
        <f>IFERROR(tbl_Punch[[#This Row],[Qty Complete]]/tbl_Punch[[#This Row],[Total Hours Act]]*tbl_Punch[[#This Row],['# of men Act]],"")</f>
        <v/>
      </c>
      <c r="T137"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37" s="35" t="str">
        <f>IFERROR((tbl_Punch[[#This Row],[Adj. Total Hours]]+tbl_Punch[[#This Row],[Est. Hours]])/(tbl_Punch[[#This Row],[Total Hours Act]]+tbl_Punch[[#This Row],[Act. Hours]]),"")</f>
        <v/>
      </c>
      <c r="Y137"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37" s="104" t="str">
        <f>IFERROR(tbl_Punch[[#This Row],[Act. Mat. Qty]]-tbl_Punch[[#This Row],[Adj. Mat. Qty]],"")</f>
        <v/>
      </c>
      <c r="AA137"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37" s="31"/>
      <c r="AD137" s="36"/>
    </row>
    <row r="138" spans="3:30" ht="25" customHeight="1">
      <c r="C138" s="28" t="str">
        <f>IF(tbl_Punch[[#This Row],[Part'#]]="", "Batch", "Part")</f>
        <v>Batch</v>
      </c>
      <c r="G138" s="28"/>
      <c r="I138" s="70" t="e">
        <f>tbl_Punch[[#This Row],[Qty Complete]]/tbl_Punch[[#This Row],[Qty Required]]</f>
        <v>#DIV/0!</v>
      </c>
      <c r="L138" s="31">
        <f>IF(tbl_Punch[[#This Row],[Job Type]]="Batch",0,tbl_Punch[[#This Row],[Qty Required]]/tbl_Punch[[#This Row],[PPH]]*tbl_Punch[[#This Row],['# of men]])</f>
        <v>0</v>
      </c>
      <c r="M138" s="31" t="e">
        <f>IF(tbl_Punch[[#This Row],[Job Type]]="Batch",tbl_Punch[[#This Row],[Batch Hours]]*tbl_Punch[[#This Row],[% Complete]],tbl_Punch[[#This Row],[Total hours]]*tbl_Punch[[#This Row],[% Complete]])</f>
        <v>#DIV/0!</v>
      </c>
      <c r="N138" s="31"/>
      <c r="P138" s="28" t="e">
        <f>tbl_Punch[[#This Row],[Mat. Qty]]*tbl_Punch[[#This Row],[% Complete]]</f>
        <v>#DIV/0!</v>
      </c>
      <c r="R138" s="32" t="str">
        <f>IFERROR(tbl_Punch[[#This Row],[Qty Complete]]/tbl_Punch[[#This Row],[Total Hours Act]]*tbl_Punch[[#This Row],['# of men Act]],"")</f>
        <v/>
      </c>
      <c r="T138"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38" s="35" t="str">
        <f>IFERROR((tbl_Punch[[#This Row],[Adj. Total Hours]]+tbl_Punch[[#This Row],[Est. Hours]])/(tbl_Punch[[#This Row],[Total Hours Act]]+tbl_Punch[[#This Row],[Act. Hours]]),"")</f>
        <v/>
      </c>
      <c r="Y138"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38" s="104" t="str">
        <f>IFERROR(tbl_Punch[[#This Row],[Act. Mat. Qty]]-tbl_Punch[[#This Row],[Adj. Mat. Qty]],"")</f>
        <v/>
      </c>
      <c r="AA138"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38" s="31"/>
      <c r="AD138" s="36"/>
    </row>
    <row r="139" spans="3:30" ht="25" customHeight="1">
      <c r="C139" s="28" t="str">
        <f>IF(tbl_Punch[[#This Row],[Part'#]]="", "Batch", "Part")</f>
        <v>Batch</v>
      </c>
      <c r="G139" s="28"/>
      <c r="I139" s="70" t="e">
        <f>tbl_Punch[[#This Row],[Qty Complete]]/tbl_Punch[[#This Row],[Qty Required]]</f>
        <v>#DIV/0!</v>
      </c>
      <c r="L139" s="31">
        <f>IF(tbl_Punch[[#This Row],[Job Type]]="Batch",0,tbl_Punch[[#This Row],[Qty Required]]/tbl_Punch[[#This Row],[PPH]]*tbl_Punch[[#This Row],['# of men]])</f>
        <v>0</v>
      </c>
      <c r="M139" s="31" t="e">
        <f>IF(tbl_Punch[[#This Row],[Job Type]]="Batch",tbl_Punch[[#This Row],[Batch Hours]]*tbl_Punch[[#This Row],[% Complete]],tbl_Punch[[#This Row],[Total hours]]*tbl_Punch[[#This Row],[% Complete]])</f>
        <v>#DIV/0!</v>
      </c>
      <c r="N139" s="31"/>
      <c r="P139" s="28" t="e">
        <f>tbl_Punch[[#This Row],[Mat. Qty]]*tbl_Punch[[#This Row],[% Complete]]</f>
        <v>#DIV/0!</v>
      </c>
      <c r="R139" s="32" t="str">
        <f>IFERROR(tbl_Punch[[#This Row],[Qty Complete]]/tbl_Punch[[#This Row],[Total Hours Act]]*tbl_Punch[[#This Row],['# of men Act]],"")</f>
        <v/>
      </c>
      <c r="T139"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39" s="35" t="str">
        <f>IFERROR((tbl_Punch[[#This Row],[Adj. Total Hours]]+tbl_Punch[[#This Row],[Est. Hours]])/(tbl_Punch[[#This Row],[Total Hours Act]]+tbl_Punch[[#This Row],[Act. Hours]]),"")</f>
        <v/>
      </c>
      <c r="Y139"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39" s="104" t="str">
        <f>IFERROR(tbl_Punch[[#This Row],[Act. Mat. Qty]]-tbl_Punch[[#This Row],[Adj. Mat. Qty]],"")</f>
        <v/>
      </c>
      <c r="AA139"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39" s="31"/>
      <c r="AD139" s="36"/>
    </row>
    <row r="140" spans="3:30" ht="25" customHeight="1">
      <c r="C140" s="28" t="str">
        <f>IF(tbl_Punch[[#This Row],[Part'#]]="", "Batch", "Part")</f>
        <v>Batch</v>
      </c>
      <c r="G140" s="28"/>
      <c r="I140" s="70" t="e">
        <f>tbl_Punch[[#This Row],[Qty Complete]]/tbl_Punch[[#This Row],[Qty Required]]</f>
        <v>#DIV/0!</v>
      </c>
      <c r="L140" s="31">
        <f>IF(tbl_Punch[[#This Row],[Job Type]]="Batch",0,tbl_Punch[[#This Row],[Qty Required]]/tbl_Punch[[#This Row],[PPH]]*tbl_Punch[[#This Row],['# of men]])</f>
        <v>0</v>
      </c>
      <c r="M140" s="31" t="e">
        <f>IF(tbl_Punch[[#This Row],[Job Type]]="Batch",tbl_Punch[[#This Row],[Batch Hours]]*tbl_Punch[[#This Row],[% Complete]],tbl_Punch[[#This Row],[Total hours]]*tbl_Punch[[#This Row],[% Complete]])</f>
        <v>#DIV/0!</v>
      </c>
      <c r="N140" s="31"/>
      <c r="P140" s="28" t="e">
        <f>tbl_Punch[[#This Row],[Mat. Qty]]*tbl_Punch[[#This Row],[% Complete]]</f>
        <v>#DIV/0!</v>
      </c>
      <c r="R140" s="32" t="str">
        <f>IFERROR(tbl_Punch[[#This Row],[Qty Complete]]/tbl_Punch[[#This Row],[Total Hours Act]]*tbl_Punch[[#This Row],['# of men Act]],"")</f>
        <v/>
      </c>
      <c r="T140"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40" s="35" t="str">
        <f>IFERROR((tbl_Punch[[#This Row],[Adj. Total Hours]]+tbl_Punch[[#This Row],[Est. Hours]])/(tbl_Punch[[#This Row],[Total Hours Act]]+tbl_Punch[[#This Row],[Act. Hours]]),"")</f>
        <v/>
      </c>
      <c r="Y140"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40" s="104" t="str">
        <f>IFERROR(tbl_Punch[[#This Row],[Act. Mat. Qty]]-tbl_Punch[[#This Row],[Adj. Mat. Qty]],"")</f>
        <v/>
      </c>
      <c r="AA140"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40" s="31"/>
      <c r="AD140" s="36"/>
    </row>
    <row r="141" spans="3:30" ht="25" customHeight="1">
      <c r="C141" s="28" t="str">
        <f>IF(tbl_Punch[[#This Row],[Part'#]]="", "Batch", "Part")</f>
        <v>Batch</v>
      </c>
      <c r="G141" s="28"/>
      <c r="I141" s="70" t="e">
        <f>tbl_Punch[[#This Row],[Qty Complete]]/tbl_Punch[[#This Row],[Qty Required]]</f>
        <v>#DIV/0!</v>
      </c>
      <c r="L141" s="31">
        <f>IF(tbl_Punch[[#This Row],[Job Type]]="Batch",0,tbl_Punch[[#This Row],[Qty Required]]/tbl_Punch[[#This Row],[PPH]]*tbl_Punch[[#This Row],['# of men]])</f>
        <v>0</v>
      </c>
      <c r="M141" s="31" t="e">
        <f>IF(tbl_Punch[[#This Row],[Job Type]]="Batch",tbl_Punch[[#This Row],[Batch Hours]]*tbl_Punch[[#This Row],[% Complete]],tbl_Punch[[#This Row],[Total hours]]*tbl_Punch[[#This Row],[% Complete]])</f>
        <v>#DIV/0!</v>
      </c>
      <c r="N141" s="31"/>
      <c r="P141" s="28" t="e">
        <f>tbl_Punch[[#This Row],[Mat. Qty]]*tbl_Punch[[#This Row],[% Complete]]</f>
        <v>#DIV/0!</v>
      </c>
      <c r="R141" s="32" t="str">
        <f>IFERROR(tbl_Punch[[#This Row],[Qty Complete]]/tbl_Punch[[#This Row],[Total Hours Act]]*tbl_Punch[[#This Row],['# of men Act]],"")</f>
        <v/>
      </c>
      <c r="T141"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41" s="35" t="str">
        <f>IFERROR((tbl_Punch[[#This Row],[Adj. Total Hours]]+tbl_Punch[[#This Row],[Est. Hours]])/(tbl_Punch[[#This Row],[Total Hours Act]]+tbl_Punch[[#This Row],[Act. Hours]]),"")</f>
        <v/>
      </c>
      <c r="Y141"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41" s="104" t="str">
        <f>IFERROR(tbl_Punch[[#This Row],[Act. Mat. Qty]]-tbl_Punch[[#This Row],[Adj. Mat. Qty]],"")</f>
        <v/>
      </c>
      <c r="AA141"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41" s="31"/>
      <c r="AD141" s="36"/>
    </row>
    <row r="142" spans="3:30" ht="25" customHeight="1">
      <c r="C142" s="28" t="str">
        <f>IF(tbl_Punch[[#This Row],[Part'#]]="", "Batch", "Part")</f>
        <v>Batch</v>
      </c>
      <c r="G142" s="28"/>
      <c r="I142" s="70" t="e">
        <f>tbl_Punch[[#This Row],[Qty Complete]]/tbl_Punch[[#This Row],[Qty Required]]</f>
        <v>#DIV/0!</v>
      </c>
      <c r="L142" s="31">
        <f>IF(tbl_Punch[[#This Row],[Job Type]]="Batch",0,tbl_Punch[[#This Row],[Qty Required]]/tbl_Punch[[#This Row],[PPH]]*tbl_Punch[[#This Row],['# of men]])</f>
        <v>0</v>
      </c>
      <c r="M142" s="31" t="e">
        <f>IF(tbl_Punch[[#This Row],[Job Type]]="Batch",tbl_Punch[[#This Row],[Batch Hours]]*tbl_Punch[[#This Row],[% Complete]],tbl_Punch[[#This Row],[Total hours]]*tbl_Punch[[#This Row],[% Complete]])</f>
        <v>#DIV/0!</v>
      </c>
      <c r="N142" s="31"/>
      <c r="P142" s="28" t="e">
        <f>tbl_Punch[[#This Row],[Mat. Qty]]*tbl_Punch[[#This Row],[% Complete]]</f>
        <v>#DIV/0!</v>
      </c>
      <c r="R142" s="32" t="str">
        <f>IFERROR(tbl_Punch[[#This Row],[Qty Complete]]/tbl_Punch[[#This Row],[Total Hours Act]]*tbl_Punch[[#This Row],['# of men Act]],"")</f>
        <v/>
      </c>
      <c r="T142"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42" s="35" t="str">
        <f>IFERROR((tbl_Punch[[#This Row],[Adj. Total Hours]]+tbl_Punch[[#This Row],[Est. Hours]])/(tbl_Punch[[#This Row],[Total Hours Act]]+tbl_Punch[[#This Row],[Act. Hours]]),"")</f>
        <v/>
      </c>
      <c r="Y142"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42" s="104" t="str">
        <f>IFERROR(tbl_Punch[[#This Row],[Act. Mat. Qty]]-tbl_Punch[[#This Row],[Adj. Mat. Qty]],"")</f>
        <v/>
      </c>
      <c r="AA142"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42" s="31"/>
      <c r="AD142" s="36"/>
    </row>
    <row r="143" spans="3:30" ht="25" customHeight="1">
      <c r="C143" s="28" t="str">
        <f>IF(tbl_Punch[[#This Row],[Part'#]]="", "Batch", "Part")</f>
        <v>Batch</v>
      </c>
      <c r="G143" s="28"/>
      <c r="I143" s="70" t="e">
        <f>tbl_Punch[[#This Row],[Qty Complete]]/tbl_Punch[[#This Row],[Qty Required]]</f>
        <v>#DIV/0!</v>
      </c>
      <c r="L143" s="31">
        <f>IF(tbl_Punch[[#This Row],[Job Type]]="Batch",0,tbl_Punch[[#This Row],[Qty Required]]/tbl_Punch[[#This Row],[PPH]]*tbl_Punch[[#This Row],['# of men]])</f>
        <v>0</v>
      </c>
      <c r="M143" s="31" t="e">
        <f>IF(tbl_Punch[[#This Row],[Job Type]]="Batch",tbl_Punch[[#This Row],[Batch Hours]]*tbl_Punch[[#This Row],[% Complete]],tbl_Punch[[#This Row],[Total hours]]*tbl_Punch[[#This Row],[% Complete]])</f>
        <v>#DIV/0!</v>
      </c>
      <c r="N143" s="31"/>
      <c r="P143" s="28" t="e">
        <f>tbl_Punch[[#This Row],[Mat. Qty]]*tbl_Punch[[#This Row],[% Complete]]</f>
        <v>#DIV/0!</v>
      </c>
      <c r="R143" s="32" t="str">
        <f>IFERROR(tbl_Punch[[#This Row],[Qty Complete]]/tbl_Punch[[#This Row],[Total Hours Act]]*tbl_Punch[[#This Row],['# of men Act]],"")</f>
        <v/>
      </c>
      <c r="T143"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43" s="35" t="str">
        <f>IFERROR((tbl_Punch[[#This Row],[Adj. Total Hours]]+tbl_Punch[[#This Row],[Est. Hours]])/(tbl_Punch[[#This Row],[Total Hours Act]]+tbl_Punch[[#This Row],[Act. Hours]]),"")</f>
        <v/>
      </c>
      <c r="Y143"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43" s="104" t="str">
        <f>IFERROR(tbl_Punch[[#This Row],[Act. Mat. Qty]]-tbl_Punch[[#This Row],[Adj. Mat. Qty]],"")</f>
        <v/>
      </c>
      <c r="AA143"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43" s="31"/>
      <c r="AD143" s="36"/>
    </row>
    <row r="144" spans="3:30" ht="25" customHeight="1">
      <c r="C144" s="28" t="str">
        <f>IF(tbl_Punch[[#This Row],[Part'#]]="", "Batch", "Part")</f>
        <v>Batch</v>
      </c>
      <c r="G144" s="28"/>
      <c r="I144" s="70" t="e">
        <f>tbl_Punch[[#This Row],[Qty Complete]]/tbl_Punch[[#This Row],[Qty Required]]</f>
        <v>#DIV/0!</v>
      </c>
      <c r="L144" s="31">
        <f>IF(tbl_Punch[[#This Row],[Job Type]]="Batch",0,tbl_Punch[[#This Row],[Qty Required]]/tbl_Punch[[#This Row],[PPH]]*tbl_Punch[[#This Row],['# of men]])</f>
        <v>0</v>
      </c>
      <c r="M144" s="31" t="e">
        <f>IF(tbl_Punch[[#This Row],[Job Type]]="Batch",tbl_Punch[[#This Row],[Batch Hours]]*tbl_Punch[[#This Row],[% Complete]],tbl_Punch[[#This Row],[Total hours]]*tbl_Punch[[#This Row],[% Complete]])</f>
        <v>#DIV/0!</v>
      </c>
      <c r="N144" s="31"/>
      <c r="P144" s="28" t="e">
        <f>tbl_Punch[[#This Row],[Mat. Qty]]*tbl_Punch[[#This Row],[% Complete]]</f>
        <v>#DIV/0!</v>
      </c>
      <c r="R144" s="32" t="str">
        <f>IFERROR(tbl_Punch[[#This Row],[Qty Complete]]/tbl_Punch[[#This Row],[Total Hours Act]]*tbl_Punch[[#This Row],['# of men Act]],"")</f>
        <v/>
      </c>
      <c r="T144"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44" s="35" t="str">
        <f>IFERROR((tbl_Punch[[#This Row],[Adj. Total Hours]]+tbl_Punch[[#This Row],[Est. Hours]])/(tbl_Punch[[#This Row],[Total Hours Act]]+tbl_Punch[[#This Row],[Act. Hours]]),"")</f>
        <v/>
      </c>
      <c r="Y144"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44" s="104" t="str">
        <f>IFERROR(tbl_Punch[[#This Row],[Act. Mat. Qty]]-tbl_Punch[[#This Row],[Adj. Mat. Qty]],"")</f>
        <v/>
      </c>
      <c r="AA144"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44" s="31"/>
      <c r="AD144" s="36"/>
    </row>
    <row r="145" spans="3:30" ht="25" customHeight="1">
      <c r="C145" s="28" t="str">
        <f>IF(tbl_Punch[[#This Row],[Part'#]]="", "Batch", "Part")</f>
        <v>Batch</v>
      </c>
      <c r="G145" s="28"/>
      <c r="I145" s="70" t="e">
        <f>tbl_Punch[[#This Row],[Qty Complete]]/tbl_Punch[[#This Row],[Qty Required]]</f>
        <v>#DIV/0!</v>
      </c>
      <c r="L145" s="31">
        <f>IF(tbl_Punch[[#This Row],[Job Type]]="Batch",0,tbl_Punch[[#This Row],[Qty Required]]/tbl_Punch[[#This Row],[PPH]]*tbl_Punch[[#This Row],['# of men]])</f>
        <v>0</v>
      </c>
      <c r="M145" s="31" t="e">
        <f>IF(tbl_Punch[[#This Row],[Job Type]]="Batch",tbl_Punch[[#This Row],[Batch Hours]]*tbl_Punch[[#This Row],[% Complete]],tbl_Punch[[#This Row],[Total hours]]*tbl_Punch[[#This Row],[% Complete]])</f>
        <v>#DIV/0!</v>
      </c>
      <c r="N145" s="31"/>
      <c r="P145" s="28" t="e">
        <f>tbl_Punch[[#This Row],[Mat. Qty]]*tbl_Punch[[#This Row],[% Complete]]</f>
        <v>#DIV/0!</v>
      </c>
      <c r="R145" s="32" t="str">
        <f>IFERROR(tbl_Punch[[#This Row],[Qty Complete]]/tbl_Punch[[#This Row],[Total Hours Act]]*tbl_Punch[[#This Row],['# of men Act]],"")</f>
        <v/>
      </c>
      <c r="T145"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45" s="35" t="str">
        <f>IFERROR((tbl_Punch[[#This Row],[Adj. Total Hours]]+tbl_Punch[[#This Row],[Est. Hours]])/(tbl_Punch[[#This Row],[Total Hours Act]]+tbl_Punch[[#This Row],[Act. Hours]]),"")</f>
        <v/>
      </c>
      <c r="Y145"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45" s="104" t="str">
        <f>IFERROR(tbl_Punch[[#This Row],[Act. Mat. Qty]]-tbl_Punch[[#This Row],[Adj. Mat. Qty]],"")</f>
        <v/>
      </c>
      <c r="AA145"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45" s="31"/>
      <c r="AD145" s="36"/>
    </row>
    <row r="146" spans="3:30" ht="25" customHeight="1">
      <c r="C146" s="28" t="str">
        <f>IF(tbl_Punch[[#This Row],[Part'#]]="", "Batch", "Part")</f>
        <v>Batch</v>
      </c>
      <c r="G146" s="28"/>
      <c r="I146" s="70" t="e">
        <f>tbl_Punch[[#This Row],[Qty Complete]]/tbl_Punch[[#This Row],[Qty Required]]</f>
        <v>#DIV/0!</v>
      </c>
      <c r="L146" s="31">
        <f>IF(tbl_Punch[[#This Row],[Job Type]]="Batch",0,tbl_Punch[[#This Row],[Qty Required]]/tbl_Punch[[#This Row],[PPH]]*tbl_Punch[[#This Row],['# of men]])</f>
        <v>0</v>
      </c>
      <c r="M146" s="31" t="e">
        <f>IF(tbl_Punch[[#This Row],[Job Type]]="Batch",tbl_Punch[[#This Row],[Batch Hours]]*tbl_Punch[[#This Row],[% Complete]],tbl_Punch[[#This Row],[Total hours]]*tbl_Punch[[#This Row],[% Complete]])</f>
        <v>#DIV/0!</v>
      </c>
      <c r="N146" s="31"/>
      <c r="P146" s="28" t="e">
        <f>tbl_Punch[[#This Row],[Mat. Qty]]*tbl_Punch[[#This Row],[% Complete]]</f>
        <v>#DIV/0!</v>
      </c>
      <c r="R146" s="32" t="str">
        <f>IFERROR(tbl_Punch[[#This Row],[Qty Complete]]/tbl_Punch[[#This Row],[Total Hours Act]]*tbl_Punch[[#This Row],['# of men Act]],"")</f>
        <v/>
      </c>
      <c r="T146"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46" s="35" t="str">
        <f>IFERROR((tbl_Punch[[#This Row],[Adj. Total Hours]]+tbl_Punch[[#This Row],[Est. Hours]])/(tbl_Punch[[#This Row],[Total Hours Act]]+tbl_Punch[[#This Row],[Act. Hours]]),"")</f>
        <v/>
      </c>
      <c r="Y146"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46" s="104" t="str">
        <f>IFERROR(tbl_Punch[[#This Row],[Act. Mat. Qty]]-tbl_Punch[[#This Row],[Adj. Mat. Qty]],"")</f>
        <v/>
      </c>
      <c r="AA146"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46" s="31"/>
      <c r="AD146" s="36"/>
    </row>
    <row r="147" spans="3:30" ht="25" customHeight="1">
      <c r="C147" s="28" t="str">
        <f>IF(tbl_Punch[[#This Row],[Part'#]]="", "Batch", "Part")</f>
        <v>Batch</v>
      </c>
      <c r="G147" s="28"/>
      <c r="I147" s="70" t="e">
        <f>tbl_Punch[[#This Row],[Qty Complete]]/tbl_Punch[[#This Row],[Qty Required]]</f>
        <v>#DIV/0!</v>
      </c>
      <c r="L147" s="31">
        <f>IF(tbl_Punch[[#This Row],[Job Type]]="Batch",0,tbl_Punch[[#This Row],[Qty Required]]/tbl_Punch[[#This Row],[PPH]]*tbl_Punch[[#This Row],['# of men]])</f>
        <v>0</v>
      </c>
      <c r="M147" s="31" t="e">
        <f>IF(tbl_Punch[[#This Row],[Job Type]]="Batch",tbl_Punch[[#This Row],[Batch Hours]]*tbl_Punch[[#This Row],[% Complete]],tbl_Punch[[#This Row],[Total hours]]*tbl_Punch[[#This Row],[% Complete]])</f>
        <v>#DIV/0!</v>
      </c>
      <c r="N147" s="31"/>
      <c r="P147" s="28" t="e">
        <f>tbl_Punch[[#This Row],[Mat. Qty]]*tbl_Punch[[#This Row],[% Complete]]</f>
        <v>#DIV/0!</v>
      </c>
      <c r="R147" s="32" t="str">
        <f>IFERROR(tbl_Punch[[#This Row],[Qty Complete]]/tbl_Punch[[#This Row],[Total Hours Act]]*tbl_Punch[[#This Row],['# of men Act]],"")</f>
        <v/>
      </c>
      <c r="T147"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47" s="35" t="str">
        <f>IFERROR((tbl_Punch[[#This Row],[Adj. Total Hours]]+tbl_Punch[[#This Row],[Est. Hours]])/(tbl_Punch[[#This Row],[Total Hours Act]]+tbl_Punch[[#This Row],[Act. Hours]]),"")</f>
        <v/>
      </c>
      <c r="Y147"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47" s="104" t="str">
        <f>IFERROR(tbl_Punch[[#This Row],[Act. Mat. Qty]]-tbl_Punch[[#This Row],[Adj. Mat. Qty]],"")</f>
        <v/>
      </c>
      <c r="AA147"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47" s="31"/>
      <c r="AD147" s="36"/>
    </row>
    <row r="148" spans="3:30" ht="25" customHeight="1">
      <c r="C148" s="28" t="str">
        <f>IF(tbl_Punch[[#This Row],[Part'#]]="", "Batch", "Part")</f>
        <v>Batch</v>
      </c>
      <c r="G148" s="28"/>
      <c r="I148" s="70" t="e">
        <f>tbl_Punch[[#This Row],[Qty Complete]]/tbl_Punch[[#This Row],[Qty Required]]</f>
        <v>#DIV/0!</v>
      </c>
      <c r="L148" s="31">
        <f>IF(tbl_Punch[[#This Row],[Job Type]]="Batch",0,tbl_Punch[[#This Row],[Qty Required]]/tbl_Punch[[#This Row],[PPH]]*tbl_Punch[[#This Row],['# of men]])</f>
        <v>0</v>
      </c>
      <c r="M148" s="31" t="e">
        <f>IF(tbl_Punch[[#This Row],[Job Type]]="Batch",tbl_Punch[[#This Row],[Batch Hours]]*tbl_Punch[[#This Row],[% Complete]],tbl_Punch[[#This Row],[Total hours]]*tbl_Punch[[#This Row],[% Complete]])</f>
        <v>#DIV/0!</v>
      </c>
      <c r="N148" s="31"/>
      <c r="P148" s="28" t="e">
        <f>tbl_Punch[[#This Row],[Mat. Qty]]*tbl_Punch[[#This Row],[% Complete]]</f>
        <v>#DIV/0!</v>
      </c>
      <c r="R148" s="32" t="str">
        <f>IFERROR(tbl_Punch[[#This Row],[Qty Complete]]/tbl_Punch[[#This Row],[Total Hours Act]]*tbl_Punch[[#This Row],['# of men Act]],"")</f>
        <v/>
      </c>
      <c r="T148"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48" s="35" t="str">
        <f>IFERROR((tbl_Punch[[#This Row],[Adj. Total Hours]]+tbl_Punch[[#This Row],[Est. Hours]])/(tbl_Punch[[#This Row],[Total Hours Act]]+tbl_Punch[[#This Row],[Act. Hours]]),"")</f>
        <v/>
      </c>
      <c r="Y148"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48" s="104" t="str">
        <f>IFERROR(tbl_Punch[[#This Row],[Act. Mat. Qty]]-tbl_Punch[[#This Row],[Adj. Mat. Qty]],"")</f>
        <v/>
      </c>
      <c r="AA148"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48" s="31"/>
      <c r="AD148" s="36"/>
    </row>
    <row r="149" spans="3:30" ht="25" customHeight="1">
      <c r="C149" s="28" t="str">
        <f>IF(tbl_Punch[[#This Row],[Part'#]]="", "Batch", "Part")</f>
        <v>Batch</v>
      </c>
      <c r="G149" s="28"/>
      <c r="I149" s="70" t="e">
        <f>tbl_Punch[[#This Row],[Qty Complete]]/tbl_Punch[[#This Row],[Qty Required]]</f>
        <v>#DIV/0!</v>
      </c>
      <c r="L149" s="31">
        <f>IF(tbl_Punch[[#This Row],[Job Type]]="Batch",0,tbl_Punch[[#This Row],[Qty Required]]/tbl_Punch[[#This Row],[PPH]]*tbl_Punch[[#This Row],['# of men]])</f>
        <v>0</v>
      </c>
      <c r="M149" s="31" t="e">
        <f>IF(tbl_Punch[[#This Row],[Job Type]]="Batch",tbl_Punch[[#This Row],[Batch Hours]]*tbl_Punch[[#This Row],[% Complete]],tbl_Punch[[#This Row],[Total hours]]*tbl_Punch[[#This Row],[% Complete]])</f>
        <v>#DIV/0!</v>
      </c>
      <c r="N149" s="31"/>
      <c r="P149" s="28" t="e">
        <f>tbl_Punch[[#This Row],[Mat. Qty]]*tbl_Punch[[#This Row],[% Complete]]</f>
        <v>#DIV/0!</v>
      </c>
      <c r="R149" s="32" t="str">
        <f>IFERROR(tbl_Punch[[#This Row],[Qty Complete]]/tbl_Punch[[#This Row],[Total Hours Act]]*tbl_Punch[[#This Row],['# of men Act]],"")</f>
        <v/>
      </c>
      <c r="T149"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49" s="35" t="str">
        <f>IFERROR((tbl_Punch[[#This Row],[Adj. Total Hours]]+tbl_Punch[[#This Row],[Est. Hours]])/(tbl_Punch[[#This Row],[Total Hours Act]]+tbl_Punch[[#This Row],[Act. Hours]]),"")</f>
        <v/>
      </c>
      <c r="Y149"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49" s="104" t="str">
        <f>IFERROR(tbl_Punch[[#This Row],[Act. Mat. Qty]]-tbl_Punch[[#This Row],[Adj. Mat. Qty]],"")</f>
        <v/>
      </c>
      <c r="AA149"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49" s="31"/>
      <c r="AD149" s="36"/>
    </row>
    <row r="150" spans="3:30" ht="25" customHeight="1">
      <c r="C150" s="28" t="str">
        <f>IF(tbl_Punch[[#This Row],[Part'#]]="", "Batch", "Part")</f>
        <v>Batch</v>
      </c>
      <c r="G150" s="28"/>
      <c r="I150" s="70" t="e">
        <f>tbl_Punch[[#This Row],[Qty Complete]]/tbl_Punch[[#This Row],[Qty Required]]</f>
        <v>#DIV/0!</v>
      </c>
      <c r="L150" s="31">
        <f>IF(tbl_Punch[[#This Row],[Job Type]]="Batch",0,tbl_Punch[[#This Row],[Qty Required]]/tbl_Punch[[#This Row],[PPH]]*tbl_Punch[[#This Row],['# of men]])</f>
        <v>0</v>
      </c>
      <c r="M150" s="31" t="e">
        <f>IF(tbl_Punch[[#This Row],[Job Type]]="Batch",tbl_Punch[[#This Row],[Batch Hours]]*tbl_Punch[[#This Row],[% Complete]],tbl_Punch[[#This Row],[Total hours]]*tbl_Punch[[#This Row],[% Complete]])</f>
        <v>#DIV/0!</v>
      </c>
      <c r="N150" s="31"/>
      <c r="P150" s="28" t="e">
        <f>tbl_Punch[[#This Row],[Mat. Qty]]*tbl_Punch[[#This Row],[% Complete]]</f>
        <v>#DIV/0!</v>
      </c>
      <c r="R150" s="32" t="str">
        <f>IFERROR(tbl_Punch[[#This Row],[Qty Complete]]/tbl_Punch[[#This Row],[Total Hours Act]]*tbl_Punch[[#This Row],['# of men Act]],"")</f>
        <v/>
      </c>
      <c r="T150"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50" s="35" t="str">
        <f>IFERROR((tbl_Punch[[#This Row],[Adj. Total Hours]]+tbl_Punch[[#This Row],[Est. Hours]])/(tbl_Punch[[#This Row],[Total Hours Act]]+tbl_Punch[[#This Row],[Act. Hours]]),"")</f>
        <v/>
      </c>
      <c r="Y150"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50" s="104" t="str">
        <f>IFERROR(tbl_Punch[[#This Row],[Act. Mat. Qty]]-tbl_Punch[[#This Row],[Adj. Mat. Qty]],"")</f>
        <v/>
      </c>
      <c r="AA150"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50" s="31"/>
      <c r="AD150" s="36"/>
    </row>
    <row r="151" spans="3:30" ht="25" customHeight="1">
      <c r="C151" s="28" t="str">
        <f>IF(tbl_Punch[[#This Row],[Part'#]]="", "Batch", "Part")</f>
        <v>Batch</v>
      </c>
      <c r="G151" s="28"/>
      <c r="I151" s="70" t="e">
        <f>tbl_Punch[[#This Row],[Qty Complete]]/tbl_Punch[[#This Row],[Qty Required]]</f>
        <v>#DIV/0!</v>
      </c>
      <c r="L151" s="31">
        <f>IF(tbl_Punch[[#This Row],[Job Type]]="Batch",0,tbl_Punch[[#This Row],[Qty Required]]/tbl_Punch[[#This Row],[PPH]]*tbl_Punch[[#This Row],['# of men]])</f>
        <v>0</v>
      </c>
      <c r="M151" s="31" t="e">
        <f>IF(tbl_Punch[[#This Row],[Job Type]]="Batch",tbl_Punch[[#This Row],[Batch Hours]]*tbl_Punch[[#This Row],[% Complete]],tbl_Punch[[#This Row],[Total hours]]*tbl_Punch[[#This Row],[% Complete]])</f>
        <v>#DIV/0!</v>
      </c>
      <c r="N151" s="31"/>
      <c r="P151" s="28" t="e">
        <f>tbl_Punch[[#This Row],[Mat. Qty]]*tbl_Punch[[#This Row],[% Complete]]</f>
        <v>#DIV/0!</v>
      </c>
      <c r="R151" s="32" t="str">
        <f>IFERROR(tbl_Punch[[#This Row],[Qty Complete]]/tbl_Punch[[#This Row],[Total Hours Act]]*tbl_Punch[[#This Row],['# of men Act]],"")</f>
        <v/>
      </c>
      <c r="T151"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51" s="35" t="str">
        <f>IFERROR((tbl_Punch[[#This Row],[Adj. Total Hours]]+tbl_Punch[[#This Row],[Est. Hours]])/(tbl_Punch[[#This Row],[Total Hours Act]]+tbl_Punch[[#This Row],[Act. Hours]]),"")</f>
        <v/>
      </c>
      <c r="Y151"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51" s="104" t="str">
        <f>IFERROR(tbl_Punch[[#This Row],[Act. Mat. Qty]]-tbl_Punch[[#This Row],[Adj. Mat. Qty]],"")</f>
        <v/>
      </c>
      <c r="AA151"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51" s="31"/>
      <c r="AD151" s="36"/>
    </row>
    <row r="152" spans="3:30" ht="25" customHeight="1">
      <c r="C152" s="28" t="str">
        <f>IF(tbl_Punch[[#This Row],[Part'#]]="", "Batch", "Part")</f>
        <v>Batch</v>
      </c>
      <c r="G152" s="28"/>
      <c r="I152" s="70" t="e">
        <f>tbl_Punch[[#This Row],[Qty Complete]]/tbl_Punch[[#This Row],[Qty Required]]</f>
        <v>#DIV/0!</v>
      </c>
      <c r="L152" s="31">
        <f>IF(tbl_Punch[[#This Row],[Job Type]]="Batch",0,tbl_Punch[[#This Row],[Qty Required]]/tbl_Punch[[#This Row],[PPH]]*tbl_Punch[[#This Row],['# of men]])</f>
        <v>0</v>
      </c>
      <c r="M152" s="31" t="e">
        <f>IF(tbl_Punch[[#This Row],[Job Type]]="Batch",tbl_Punch[[#This Row],[Batch Hours]]*tbl_Punch[[#This Row],[% Complete]],tbl_Punch[[#This Row],[Total hours]]*tbl_Punch[[#This Row],[% Complete]])</f>
        <v>#DIV/0!</v>
      </c>
      <c r="N152" s="31"/>
      <c r="P152" s="28" t="e">
        <f>tbl_Punch[[#This Row],[Mat. Qty]]*tbl_Punch[[#This Row],[% Complete]]</f>
        <v>#DIV/0!</v>
      </c>
      <c r="R152" s="32" t="str">
        <f>IFERROR(tbl_Punch[[#This Row],[Qty Complete]]/tbl_Punch[[#This Row],[Total Hours Act]]*tbl_Punch[[#This Row],['# of men Act]],"")</f>
        <v/>
      </c>
      <c r="T152"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52" s="35" t="str">
        <f>IFERROR((tbl_Punch[[#This Row],[Adj. Total Hours]]+tbl_Punch[[#This Row],[Est. Hours]])/(tbl_Punch[[#This Row],[Total Hours Act]]+tbl_Punch[[#This Row],[Act. Hours]]),"")</f>
        <v/>
      </c>
      <c r="Y152"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52" s="104" t="str">
        <f>IFERROR(tbl_Punch[[#This Row],[Act. Mat. Qty]]-tbl_Punch[[#This Row],[Adj. Mat. Qty]],"")</f>
        <v/>
      </c>
      <c r="AA152"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52" s="31"/>
      <c r="AD152" s="36"/>
    </row>
    <row r="153" spans="3:30" ht="25" customHeight="1">
      <c r="C153" s="28" t="str">
        <f>IF(tbl_Punch[[#This Row],[Part'#]]="", "Batch", "Part")</f>
        <v>Batch</v>
      </c>
      <c r="G153" s="28"/>
      <c r="I153" s="70" t="e">
        <f>tbl_Punch[[#This Row],[Qty Complete]]/tbl_Punch[[#This Row],[Qty Required]]</f>
        <v>#DIV/0!</v>
      </c>
      <c r="L153" s="31">
        <f>IF(tbl_Punch[[#This Row],[Job Type]]="Batch",0,tbl_Punch[[#This Row],[Qty Required]]/tbl_Punch[[#This Row],[PPH]]*tbl_Punch[[#This Row],['# of men]])</f>
        <v>0</v>
      </c>
      <c r="M153" s="31" t="e">
        <f>IF(tbl_Punch[[#This Row],[Job Type]]="Batch",tbl_Punch[[#This Row],[Batch Hours]]*tbl_Punch[[#This Row],[% Complete]],tbl_Punch[[#This Row],[Total hours]]*tbl_Punch[[#This Row],[% Complete]])</f>
        <v>#DIV/0!</v>
      </c>
      <c r="N153" s="31"/>
      <c r="P153" s="28" t="e">
        <f>tbl_Punch[[#This Row],[Mat. Qty]]*tbl_Punch[[#This Row],[% Complete]]</f>
        <v>#DIV/0!</v>
      </c>
      <c r="R153" s="32" t="str">
        <f>IFERROR(tbl_Punch[[#This Row],[Qty Complete]]/tbl_Punch[[#This Row],[Total Hours Act]]*tbl_Punch[[#This Row],['# of men Act]],"")</f>
        <v/>
      </c>
      <c r="T153"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53" s="35" t="str">
        <f>IFERROR((tbl_Punch[[#This Row],[Adj. Total Hours]]+tbl_Punch[[#This Row],[Est. Hours]])/(tbl_Punch[[#This Row],[Total Hours Act]]+tbl_Punch[[#This Row],[Act. Hours]]),"")</f>
        <v/>
      </c>
      <c r="Y153"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53" s="104" t="str">
        <f>IFERROR(tbl_Punch[[#This Row],[Act. Mat. Qty]]-tbl_Punch[[#This Row],[Adj. Mat. Qty]],"")</f>
        <v/>
      </c>
      <c r="AA153"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53" s="31"/>
      <c r="AD153" s="36"/>
    </row>
    <row r="154" spans="3:30" ht="25" customHeight="1">
      <c r="C154" s="28" t="str">
        <f>IF(tbl_Punch[[#This Row],[Part'#]]="", "Batch", "Part")</f>
        <v>Batch</v>
      </c>
      <c r="G154" s="28"/>
      <c r="I154" s="70" t="e">
        <f>tbl_Punch[[#This Row],[Qty Complete]]/tbl_Punch[[#This Row],[Qty Required]]</f>
        <v>#DIV/0!</v>
      </c>
      <c r="L154" s="31">
        <f>IF(tbl_Punch[[#This Row],[Job Type]]="Batch",0,tbl_Punch[[#This Row],[Qty Required]]/tbl_Punch[[#This Row],[PPH]]*tbl_Punch[[#This Row],['# of men]])</f>
        <v>0</v>
      </c>
      <c r="M154" s="31" t="e">
        <f>IF(tbl_Punch[[#This Row],[Job Type]]="Batch",tbl_Punch[[#This Row],[Batch Hours]]*tbl_Punch[[#This Row],[% Complete]],tbl_Punch[[#This Row],[Total hours]]*tbl_Punch[[#This Row],[% Complete]])</f>
        <v>#DIV/0!</v>
      </c>
      <c r="N154" s="31"/>
      <c r="P154" s="28" t="e">
        <f>tbl_Punch[[#This Row],[Mat. Qty]]*tbl_Punch[[#This Row],[% Complete]]</f>
        <v>#DIV/0!</v>
      </c>
      <c r="R154" s="32" t="str">
        <f>IFERROR(tbl_Punch[[#This Row],[Qty Complete]]/tbl_Punch[[#This Row],[Total Hours Act]]*tbl_Punch[[#This Row],['# of men Act]],"")</f>
        <v/>
      </c>
      <c r="T154"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54" s="35" t="str">
        <f>IFERROR((tbl_Punch[[#This Row],[Adj. Total Hours]]+tbl_Punch[[#This Row],[Est. Hours]])/(tbl_Punch[[#This Row],[Total Hours Act]]+tbl_Punch[[#This Row],[Act. Hours]]),"")</f>
        <v/>
      </c>
      <c r="Y154"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54" s="104" t="str">
        <f>IFERROR(tbl_Punch[[#This Row],[Act. Mat. Qty]]-tbl_Punch[[#This Row],[Adj. Mat. Qty]],"")</f>
        <v/>
      </c>
      <c r="AA154"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54" s="31"/>
      <c r="AD154" s="36"/>
    </row>
    <row r="155" spans="3:30" ht="25" customHeight="1">
      <c r="C155" s="28" t="str">
        <f>IF(tbl_Punch[[#This Row],[Part'#]]="", "Batch", "Part")</f>
        <v>Batch</v>
      </c>
      <c r="G155" s="28"/>
      <c r="I155" s="70" t="e">
        <f>tbl_Punch[[#This Row],[Qty Complete]]/tbl_Punch[[#This Row],[Qty Required]]</f>
        <v>#DIV/0!</v>
      </c>
      <c r="L155" s="31">
        <f>IF(tbl_Punch[[#This Row],[Job Type]]="Batch",0,tbl_Punch[[#This Row],[Qty Required]]/tbl_Punch[[#This Row],[PPH]]*tbl_Punch[[#This Row],['# of men]])</f>
        <v>0</v>
      </c>
      <c r="M155" s="31" t="e">
        <f>IF(tbl_Punch[[#This Row],[Job Type]]="Batch",tbl_Punch[[#This Row],[Batch Hours]]*tbl_Punch[[#This Row],[% Complete]],tbl_Punch[[#This Row],[Total hours]]*tbl_Punch[[#This Row],[% Complete]])</f>
        <v>#DIV/0!</v>
      </c>
      <c r="N155" s="31"/>
      <c r="P155" s="28" t="e">
        <f>tbl_Punch[[#This Row],[Mat. Qty]]*tbl_Punch[[#This Row],[% Complete]]</f>
        <v>#DIV/0!</v>
      </c>
      <c r="R155" s="32" t="str">
        <f>IFERROR(tbl_Punch[[#This Row],[Qty Complete]]/tbl_Punch[[#This Row],[Total Hours Act]]*tbl_Punch[[#This Row],['# of men Act]],"")</f>
        <v/>
      </c>
      <c r="T155"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55" s="35" t="str">
        <f>IFERROR((tbl_Punch[[#This Row],[Adj. Total Hours]]+tbl_Punch[[#This Row],[Est. Hours]])/(tbl_Punch[[#This Row],[Total Hours Act]]+tbl_Punch[[#This Row],[Act. Hours]]),"")</f>
        <v/>
      </c>
      <c r="Y155"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55" s="104" t="str">
        <f>IFERROR(tbl_Punch[[#This Row],[Act. Mat. Qty]]-tbl_Punch[[#This Row],[Adj. Mat. Qty]],"")</f>
        <v/>
      </c>
      <c r="AA155"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55" s="31"/>
      <c r="AD155" s="36"/>
    </row>
    <row r="156" spans="3:30" ht="25" customHeight="1">
      <c r="C156" s="28" t="str">
        <f>IF(tbl_Punch[[#This Row],[Part'#]]="", "Batch", "Part")</f>
        <v>Batch</v>
      </c>
      <c r="G156" s="28"/>
      <c r="I156" s="70" t="e">
        <f>tbl_Punch[[#This Row],[Qty Complete]]/tbl_Punch[[#This Row],[Qty Required]]</f>
        <v>#DIV/0!</v>
      </c>
      <c r="L156" s="31">
        <f>IF(tbl_Punch[[#This Row],[Job Type]]="Batch",0,tbl_Punch[[#This Row],[Qty Required]]/tbl_Punch[[#This Row],[PPH]]*tbl_Punch[[#This Row],['# of men]])</f>
        <v>0</v>
      </c>
      <c r="M156" s="31" t="e">
        <f>IF(tbl_Punch[[#This Row],[Job Type]]="Batch",tbl_Punch[[#This Row],[Batch Hours]]*tbl_Punch[[#This Row],[% Complete]],tbl_Punch[[#This Row],[Total hours]]*tbl_Punch[[#This Row],[% Complete]])</f>
        <v>#DIV/0!</v>
      </c>
      <c r="N156" s="31"/>
      <c r="P156" s="28" t="e">
        <f>tbl_Punch[[#This Row],[Mat. Qty]]*tbl_Punch[[#This Row],[% Complete]]</f>
        <v>#DIV/0!</v>
      </c>
      <c r="R156" s="32" t="str">
        <f>IFERROR(tbl_Punch[[#This Row],[Qty Complete]]/tbl_Punch[[#This Row],[Total Hours Act]]*tbl_Punch[[#This Row],['# of men Act]],"")</f>
        <v/>
      </c>
      <c r="T156"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56" s="35" t="str">
        <f>IFERROR((tbl_Punch[[#This Row],[Adj. Total Hours]]+tbl_Punch[[#This Row],[Est. Hours]])/(tbl_Punch[[#This Row],[Total Hours Act]]+tbl_Punch[[#This Row],[Act. Hours]]),"")</f>
        <v/>
      </c>
      <c r="Y156"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56" s="104" t="str">
        <f>IFERROR(tbl_Punch[[#This Row],[Act. Mat. Qty]]-tbl_Punch[[#This Row],[Adj. Mat. Qty]],"")</f>
        <v/>
      </c>
      <c r="AA156"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56" s="31"/>
      <c r="AD156" s="36"/>
    </row>
    <row r="157" spans="3:30" ht="25" customHeight="1">
      <c r="C157" s="28" t="str">
        <f>IF(tbl_Punch[[#This Row],[Part'#]]="", "Batch", "Part")</f>
        <v>Batch</v>
      </c>
      <c r="G157" s="28"/>
      <c r="I157" s="70" t="e">
        <f>tbl_Punch[[#This Row],[Qty Complete]]/tbl_Punch[[#This Row],[Qty Required]]</f>
        <v>#DIV/0!</v>
      </c>
      <c r="L157" s="31">
        <f>IF(tbl_Punch[[#This Row],[Job Type]]="Batch",0,tbl_Punch[[#This Row],[Qty Required]]/tbl_Punch[[#This Row],[PPH]]*tbl_Punch[[#This Row],['# of men]])</f>
        <v>0</v>
      </c>
      <c r="M157" s="31" t="e">
        <f>IF(tbl_Punch[[#This Row],[Job Type]]="Batch",tbl_Punch[[#This Row],[Batch Hours]]*tbl_Punch[[#This Row],[% Complete]],tbl_Punch[[#This Row],[Total hours]]*tbl_Punch[[#This Row],[% Complete]])</f>
        <v>#DIV/0!</v>
      </c>
      <c r="N157" s="31"/>
      <c r="P157" s="28" t="e">
        <f>tbl_Punch[[#This Row],[Mat. Qty]]*tbl_Punch[[#This Row],[% Complete]]</f>
        <v>#DIV/0!</v>
      </c>
      <c r="R157" s="32" t="str">
        <f>IFERROR(tbl_Punch[[#This Row],[Qty Complete]]/tbl_Punch[[#This Row],[Total Hours Act]]*tbl_Punch[[#This Row],['# of men Act]],"")</f>
        <v/>
      </c>
      <c r="T157"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57" s="35" t="str">
        <f>IFERROR((tbl_Punch[[#This Row],[Adj. Total Hours]]+tbl_Punch[[#This Row],[Est. Hours]])/(tbl_Punch[[#This Row],[Total Hours Act]]+tbl_Punch[[#This Row],[Act. Hours]]),"")</f>
        <v/>
      </c>
      <c r="Y157"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57" s="104" t="str">
        <f>IFERROR(tbl_Punch[[#This Row],[Act. Mat. Qty]]-tbl_Punch[[#This Row],[Adj. Mat. Qty]],"")</f>
        <v/>
      </c>
      <c r="AA157"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57" s="31"/>
      <c r="AD157" s="36"/>
    </row>
    <row r="158" spans="3:30" ht="25" customHeight="1">
      <c r="C158" s="28" t="str">
        <f>IF(tbl_Punch[[#This Row],[Part'#]]="", "Batch", "Part")</f>
        <v>Batch</v>
      </c>
      <c r="G158" s="28"/>
      <c r="I158" s="70" t="e">
        <f>tbl_Punch[[#This Row],[Qty Complete]]/tbl_Punch[[#This Row],[Qty Required]]</f>
        <v>#DIV/0!</v>
      </c>
      <c r="L158" s="31">
        <f>IF(tbl_Punch[[#This Row],[Job Type]]="Batch",0,tbl_Punch[[#This Row],[Qty Required]]/tbl_Punch[[#This Row],[PPH]]*tbl_Punch[[#This Row],['# of men]])</f>
        <v>0</v>
      </c>
      <c r="M158" s="31" t="e">
        <f>IF(tbl_Punch[[#This Row],[Job Type]]="Batch",tbl_Punch[[#This Row],[Batch Hours]]*tbl_Punch[[#This Row],[% Complete]],tbl_Punch[[#This Row],[Total hours]]*tbl_Punch[[#This Row],[% Complete]])</f>
        <v>#DIV/0!</v>
      </c>
      <c r="N158" s="31"/>
      <c r="P158" s="28" t="e">
        <f>tbl_Punch[[#This Row],[Mat. Qty]]*tbl_Punch[[#This Row],[% Complete]]</f>
        <v>#DIV/0!</v>
      </c>
      <c r="R158" s="32" t="str">
        <f>IFERROR(tbl_Punch[[#This Row],[Qty Complete]]/tbl_Punch[[#This Row],[Total Hours Act]]*tbl_Punch[[#This Row],['# of men Act]],"")</f>
        <v/>
      </c>
      <c r="T158"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58" s="35" t="str">
        <f>IFERROR((tbl_Punch[[#This Row],[Adj. Total Hours]]+tbl_Punch[[#This Row],[Est. Hours]])/(tbl_Punch[[#This Row],[Total Hours Act]]+tbl_Punch[[#This Row],[Act. Hours]]),"")</f>
        <v/>
      </c>
      <c r="Y158"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58" s="104" t="str">
        <f>IFERROR(tbl_Punch[[#This Row],[Act. Mat. Qty]]-tbl_Punch[[#This Row],[Adj. Mat. Qty]],"")</f>
        <v/>
      </c>
      <c r="AA158"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58" s="31"/>
      <c r="AD158" s="36"/>
    </row>
    <row r="159" spans="3:30" ht="25" customHeight="1">
      <c r="C159" s="28" t="str">
        <f>IF(tbl_Punch[[#This Row],[Part'#]]="", "Batch", "Part")</f>
        <v>Batch</v>
      </c>
      <c r="G159" s="28"/>
      <c r="I159" s="70" t="e">
        <f>tbl_Punch[[#This Row],[Qty Complete]]/tbl_Punch[[#This Row],[Qty Required]]</f>
        <v>#DIV/0!</v>
      </c>
      <c r="L159" s="31">
        <f>IF(tbl_Punch[[#This Row],[Job Type]]="Batch",0,tbl_Punch[[#This Row],[Qty Required]]/tbl_Punch[[#This Row],[PPH]]*tbl_Punch[[#This Row],['# of men]])</f>
        <v>0</v>
      </c>
      <c r="M159" s="31" t="e">
        <f>IF(tbl_Punch[[#This Row],[Job Type]]="Batch",tbl_Punch[[#This Row],[Batch Hours]]*tbl_Punch[[#This Row],[% Complete]],tbl_Punch[[#This Row],[Total hours]]*tbl_Punch[[#This Row],[% Complete]])</f>
        <v>#DIV/0!</v>
      </c>
      <c r="N159" s="31"/>
      <c r="P159" s="28" t="e">
        <f>tbl_Punch[[#This Row],[Mat. Qty]]*tbl_Punch[[#This Row],[% Complete]]</f>
        <v>#DIV/0!</v>
      </c>
      <c r="R159" s="32" t="str">
        <f>IFERROR(tbl_Punch[[#This Row],[Qty Complete]]/tbl_Punch[[#This Row],[Total Hours Act]]*tbl_Punch[[#This Row],['# of men Act]],"")</f>
        <v/>
      </c>
      <c r="T159"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59" s="35" t="str">
        <f>IFERROR((tbl_Punch[[#This Row],[Adj. Total Hours]]+tbl_Punch[[#This Row],[Est. Hours]])/(tbl_Punch[[#This Row],[Total Hours Act]]+tbl_Punch[[#This Row],[Act. Hours]]),"")</f>
        <v/>
      </c>
      <c r="Y159"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59" s="104" t="str">
        <f>IFERROR(tbl_Punch[[#This Row],[Act. Mat. Qty]]-tbl_Punch[[#This Row],[Adj. Mat. Qty]],"")</f>
        <v/>
      </c>
      <c r="AA159"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59" s="31"/>
      <c r="AD159" s="36"/>
    </row>
    <row r="160" spans="3:30" ht="25" customHeight="1">
      <c r="C160" s="28" t="str">
        <f>IF(tbl_Punch[[#This Row],[Part'#]]="", "Batch", "Part")</f>
        <v>Batch</v>
      </c>
      <c r="G160" s="28"/>
      <c r="I160" s="70" t="e">
        <f>tbl_Punch[[#This Row],[Qty Complete]]/tbl_Punch[[#This Row],[Qty Required]]</f>
        <v>#DIV/0!</v>
      </c>
      <c r="L160" s="31">
        <f>IF(tbl_Punch[[#This Row],[Job Type]]="Batch",0,tbl_Punch[[#This Row],[Qty Required]]/tbl_Punch[[#This Row],[PPH]]*tbl_Punch[[#This Row],['# of men]])</f>
        <v>0</v>
      </c>
      <c r="M160" s="31" t="e">
        <f>IF(tbl_Punch[[#This Row],[Job Type]]="Batch",tbl_Punch[[#This Row],[Batch Hours]]*tbl_Punch[[#This Row],[% Complete]],tbl_Punch[[#This Row],[Total hours]]*tbl_Punch[[#This Row],[% Complete]])</f>
        <v>#DIV/0!</v>
      </c>
      <c r="N160" s="31"/>
      <c r="P160" s="28" t="e">
        <f>tbl_Punch[[#This Row],[Mat. Qty]]*tbl_Punch[[#This Row],[% Complete]]</f>
        <v>#DIV/0!</v>
      </c>
      <c r="R160" s="32" t="str">
        <f>IFERROR(tbl_Punch[[#This Row],[Qty Complete]]/tbl_Punch[[#This Row],[Total Hours Act]]*tbl_Punch[[#This Row],['# of men Act]],"")</f>
        <v/>
      </c>
      <c r="T160"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60" s="35" t="str">
        <f>IFERROR((tbl_Punch[[#This Row],[Adj. Total Hours]]+tbl_Punch[[#This Row],[Est. Hours]])/(tbl_Punch[[#This Row],[Total Hours Act]]+tbl_Punch[[#This Row],[Act. Hours]]),"")</f>
        <v/>
      </c>
      <c r="Y160"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60" s="104" t="str">
        <f>IFERROR(tbl_Punch[[#This Row],[Act. Mat. Qty]]-tbl_Punch[[#This Row],[Adj. Mat. Qty]],"")</f>
        <v/>
      </c>
      <c r="AA160"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60" s="31"/>
      <c r="AD160" s="36"/>
    </row>
    <row r="161" spans="3:30" ht="25" customHeight="1">
      <c r="C161" s="28" t="str">
        <f>IF(tbl_Punch[[#This Row],[Part'#]]="", "Batch", "Part")</f>
        <v>Batch</v>
      </c>
      <c r="G161" s="28"/>
      <c r="I161" s="70" t="e">
        <f>tbl_Punch[[#This Row],[Qty Complete]]/tbl_Punch[[#This Row],[Qty Required]]</f>
        <v>#DIV/0!</v>
      </c>
      <c r="L161" s="31">
        <f>IF(tbl_Punch[[#This Row],[Job Type]]="Batch",0,tbl_Punch[[#This Row],[Qty Required]]/tbl_Punch[[#This Row],[PPH]]*tbl_Punch[[#This Row],['# of men]])</f>
        <v>0</v>
      </c>
      <c r="M161" s="31" t="e">
        <f>IF(tbl_Punch[[#This Row],[Job Type]]="Batch",tbl_Punch[[#This Row],[Batch Hours]]*tbl_Punch[[#This Row],[% Complete]],tbl_Punch[[#This Row],[Total hours]]*tbl_Punch[[#This Row],[% Complete]])</f>
        <v>#DIV/0!</v>
      </c>
      <c r="N161" s="31"/>
      <c r="P161" s="28" t="e">
        <f>tbl_Punch[[#This Row],[Mat. Qty]]*tbl_Punch[[#This Row],[% Complete]]</f>
        <v>#DIV/0!</v>
      </c>
      <c r="R161" s="32" t="str">
        <f>IFERROR(tbl_Punch[[#This Row],[Qty Complete]]/tbl_Punch[[#This Row],[Total Hours Act]]*tbl_Punch[[#This Row],['# of men Act]],"")</f>
        <v/>
      </c>
      <c r="T161"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61" s="35" t="str">
        <f>IFERROR((tbl_Punch[[#This Row],[Adj. Total Hours]]+tbl_Punch[[#This Row],[Est. Hours]])/(tbl_Punch[[#This Row],[Total Hours Act]]+tbl_Punch[[#This Row],[Act. Hours]]),"")</f>
        <v/>
      </c>
      <c r="Y161"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61" s="104" t="str">
        <f>IFERROR(tbl_Punch[[#This Row],[Act. Mat. Qty]]-tbl_Punch[[#This Row],[Adj. Mat. Qty]],"")</f>
        <v/>
      </c>
      <c r="AA161"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61" s="31"/>
      <c r="AD161" s="36"/>
    </row>
    <row r="162" spans="3:30" ht="25" customHeight="1">
      <c r="C162" s="28" t="str">
        <f>IF(tbl_Punch[[#This Row],[Part'#]]="", "Batch", "Part")</f>
        <v>Batch</v>
      </c>
      <c r="G162" s="28"/>
      <c r="I162" s="70" t="e">
        <f>tbl_Punch[[#This Row],[Qty Complete]]/tbl_Punch[[#This Row],[Qty Required]]</f>
        <v>#DIV/0!</v>
      </c>
      <c r="L162" s="31">
        <f>IF(tbl_Punch[[#This Row],[Job Type]]="Batch",0,tbl_Punch[[#This Row],[Qty Required]]/tbl_Punch[[#This Row],[PPH]]*tbl_Punch[[#This Row],['# of men]])</f>
        <v>0</v>
      </c>
      <c r="M162" s="31" t="e">
        <f>IF(tbl_Punch[[#This Row],[Job Type]]="Batch",tbl_Punch[[#This Row],[Batch Hours]]*tbl_Punch[[#This Row],[% Complete]],tbl_Punch[[#This Row],[Total hours]]*tbl_Punch[[#This Row],[% Complete]])</f>
        <v>#DIV/0!</v>
      </c>
      <c r="N162" s="31"/>
      <c r="P162" s="28" t="e">
        <f>tbl_Punch[[#This Row],[Mat. Qty]]*tbl_Punch[[#This Row],[% Complete]]</f>
        <v>#DIV/0!</v>
      </c>
      <c r="R162" s="32" t="str">
        <f>IFERROR(tbl_Punch[[#This Row],[Qty Complete]]/tbl_Punch[[#This Row],[Total Hours Act]]*tbl_Punch[[#This Row],['# of men Act]],"")</f>
        <v/>
      </c>
      <c r="T162"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62" s="35" t="str">
        <f>IFERROR((tbl_Punch[[#This Row],[Adj. Total Hours]]+tbl_Punch[[#This Row],[Est. Hours]])/(tbl_Punch[[#This Row],[Total Hours Act]]+tbl_Punch[[#This Row],[Act. Hours]]),"")</f>
        <v/>
      </c>
      <c r="Y162"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62" s="104" t="str">
        <f>IFERROR(tbl_Punch[[#This Row],[Act. Mat. Qty]]-tbl_Punch[[#This Row],[Adj. Mat. Qty]],"")</f>
        <v/>
      </c>
      <c r="AA162"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62" s="31"/>
      <c r="AD162" s="36"/>
    </row>
    <row r="163" spans="3:30" ht="25" customHeight="1">
      <c r="C163" s="28" t="str">
        <f>IF(tbl_Punch[[#This Row],[Part'#]]="", "Batch", "Part")</f>
        <v>Batch</v>
      </c>
      <c r="G163" s="28"/>
      <c r="I163" s="70" t="e">
        <f>tbl_Punch[[#This Row],[Qty Complete]]/tbl_Punch[[#This Row],[Qty Required]]</f>
        <v>#DIV/0!</v>
      </c>
      <c r="L163" s="31">
        <f>IF(tbl_Punch[[#This Row],[Job Type]]="Batch",0,tbl_Punch[[#This Row],[Qty Required]]/tbl_Punch[[#This Row],[PPH]]*tbl_Punch[[#This Row],['# of men]])</f>
        <v>0</v>
      </c>
      <c r="M163" s="31" t="e">
        <f>IF(tbl_Punch[[#This Row],[Job Type]]="Batch",tbl_Punch[[#This Row],[Batch Hours]]*tbl_Punch[[#This Row],[% Complete]],tbl_Punch[[#This Row],[Total hours]]*tbl_Punch[[#This Row],[% Complete]])</f>
        <v>#DIV/0!</v>
      </c>
      <c r="N163" s="31"/>
      <c r="P163" s="28" t="e">
        <f>tbl_Punch[[#This Row],[Mat. Qty]]*tbl_Punch[[#This Row],[% Complete]]</f>
        <v>#DIV/0!</v>
      </c>
      <c r="R163" s="32" t="str">
        <f>IFERROR(tbl_Punch[[#This Row],[Qty Complete]]/tbl_Punch[[#This Row],[Total Hours Act]]*tbl_Punch[[#This Row],['# of men Act]],"")</f>
        <v/>
      </c>
      <c r="T163"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63" s="35" t="str">
        <f>IFERROR((tbl_Punch[[#This Row],[Adj. Total Hours]]+tbl_Punch[[#This Row],[Est. Hours]])/(tbl_Punch[[#This Row],[Total Hours Act]]+tbl_Punch[[#This Row],[Act. Hours]]),"")</f>
        <v/>
      </c>
      <c r="Y163"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63" s="104" t="str">
        <f>IFERROR(tbl_Punch[[#This Row],[Act. Mat. Qty]]-tbl_Punch[[#This Row],[Adj. Mat. Qty]],"")</f>
        <v/>
      </c>
      <c r="AA163"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63" s="31"/>
      <c r="AD163" s="36"/>
    </row>
    <row r="164" spans="3:30" ht="25" customHeight="1">
      <c r="C164" s="28" t="str">
        <f>IF(tbl_Punch[[#This Row],[Part'#]]="", "Batch", "Part")</f>
        <v>Batch</v>
      </c>
      <c r="G164" s="28"/>
      <c r="I164" s="70" t="e">
        <f>tbl_Punch[[#This Row],[Qty Complete]]/tbl_Punch[[#This Row],[Qty Required]]</f>
        <v>#DIV/0!</v>
      </c>
      <c r="L164" s="31">
        <f>IF(tbl_Punch[[#This Row],[Job Type]]="Batch",0,tbl_Punch[[#This Row],[Qty Required]]/tbl_Punch[[#This Row],[PPH]]*tbl_Punch[[#This Row],['# of men]])</f>
        <v>0</v>
      </c>
      <c r="M164" s="31" t="e">
        <f>IF(tbl_Punch[[#This Row],[Job Type]]="Batch",tbl_Punch[[#This Row],[Batch Hours]]*tbl_Punch[[#This Row],[% Complete]],tbl_Punch[[#This Row],[Total hours]]*tbl_Punch[[#This Row],[% Complete]])</f>
        <v>#DIV/0!</v>
      </c>
      <c r="N164" s="31"/>
      <c r="P164" s="28" t="e">
        <f>tbl_Punch[[#This Row],[Mat. Qty]]*tbl_Punch[[#This Row],[% Complete]]</f>
        <v>#DIV/0!</v>
      </c>
      <c r="R164" s="32" t="str">
        <f>IFERROR(tbl_Punch[[#This Row],[Qty Complete]]/tbl_Punch[[#This Row],[Total Hours Act]]*tbl_Punch[[#This Row],['# of men Act]],"")</f>
        <v/>
      </c>
      <c r="T164"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64" s="35" t="str">
        <f>IFERROR((tbl_Punch[[#This Row],[Adj. Total Hours]]+tbl_Punch[[#This Row],[Est. Hours]])/(tbl_Punch[[#This Row],[Total Hours Act]]+tbl_Punch[[#This Row],[Act. Hours]]),"")</f>
        <v/>
      </c>
      <c r="Y164"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64" s="104" t="str">
        <f>IFERROR(tbl_Punch[[#This Row],[Act. Mat. Qty]]-tbl_Punch[[#This Row],[Adj. Mat. Qty]],"")</f>
        <v/>
      </c>
      <c r="AA164"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64" s="31"/>
      <c r="AD164" s="36"/>
    </row>
    <row r="165" spans="3:30" ht="25" customHeight="1">
      <c r="C165" s="28" t="str">
        <f>IF(tbl_Punch[[#This Row],[Part'#]]="", "Batch", "Part")</f>
        <v>Batch</v>
      </c>
      <c r="G165" s="28"/>
      <c r="I165" s="70" t="e">
        <f>tbl_Punch[[#This Row],[Qty Complete]]/tbl_Punch[[#This Row],[Qty Required]]</f>
        <v>#DIV/0!</v>
      </c>
      <c r="L165" s="31">
        <f>IF(tbl_Punch[[#This Row],[Job Type]]="Batch",0,tbl_Punch[[#This Row],[Qty Required]]/tbl_Punch[[#This Row],[PPH]]*tbl_Punch[[#This Row],['# of men]])</f>
        <v>0</v>
      </c>
      <c r="M165" s="31" t="e">
        <f>IF(tbl_Punch[[#This Row],[Job Type]]="Batch",tbl_Punch[[#This Row],[Batch Hours]]*tbl_Punch[[#This Row],[% Complete]],tbl_Punch[[#This Row],[Total hours]]*tbl_Punch[[#This Row],[% Complete]])</f>
        <v>#DIV/0!</v>
      </c>
      <c r="N165" s="31"/>
      <c r="P165" s="28" t="e">
        <f>tbl_Punch[[#This Row],[Mat. Qty]]*tbl_Punch[[#This Row],[% Complete]]</f>
        <v>#DIV/0!</v>
      </c>
      <c r="R165" s="32" t="str">
        <f>IFERROR(tbl_Punch[[#This Row],[Qty Complete]]/tbl_Punch[[#This Row],[Total Hours Act]]*tbl_Punch[[#This Row],['# of men Act]],"")</f>
        <v/>
      </c>
      <c r="T165"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65" s="35" t="str">
        <f>IFERROR((tbl_Punch[[#This Row],[Adj. Total Hours]]+tbl_Punch[[#This Row],[Est. Hours]])/(tbl_Punch[[#This Row],[Total Hours Act]]+tbl_Punch[[#This Row],[Act. Hours]]),"")</f>
        <v/>
      </c>
      <c r="Y165"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65" s="104" t="str">
        <f>IFERROR(tbl_Punch[[#This Row],[Act. Mat. Qty]]-tbl_Punch[[#This Row],[Adj. Mat. Qty]],"")</f>
        <v/>
      </c>
      <c r="AA165"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65" s="31"/>
      <c r="AD165" s="36"/>
    </row>
    <row r="166" spans="3:30" ht="25" customHeight="1">
      <c r="C166" s="28" t="str">
        <f>IF(tbl_Punch[[#This Row],[Part'#]]="", "Batch", "Part")</f>
        <v>Batch</v>
      </c>
      <c r="G166" s="28"/>
      <c r="I166" s="70" t="e">
        <f>tbl_Punch[[#This Row],[Qty Complete]]/tbl_Punch[[#This Row],[Qty Required]]</f>
        <v>#DIV/0!</v>
      </c>
      <c r="L166" s="31">
        <f>IF(tbl_Punch[[#This Row],[Job Type]]="Batch",0,tbl_Punch[[#This Row],[Qty Required]]/tbl_Punch[[#This Row],[PPH]]*tbl_Punch[[#This Row],['# of men]])</f>
        <v>0</v>
      </c>
      <c r="M166" s="31" t="e">
        <f>IF(tbl_Punch[[#This Row],[Job Type]]="Batch",tbl_Punch[[#This Row],[Batch Hours]]*tbl_Punch[[#This Row],[% Complete]],tbl_Punch[[#This Row],[Total hours]]*tbl_Punch[[#This Row],[% Complete]])</f>
        <v>#DIV/0!</v>
      </c>
      <c r="N166" s="31"/>
      <c r="P166" s="28" t="e">
        <f>tbl_Punch[[#This Row],[Mat. Qty]]*tbl_Punch[[#This Row],[% Complete]]</f>
        <v>#DIV/0!</v>
      </c>
      <c r="R166" s="32" t="str">
        <f>IFERROR(tbl_Punch[[#This Row],[Qty Complete]]/tbl_Punch[[#This Row],[Total Hours Act]]*tbl_Punch[[#This Row],['# of men Act]],"")</f>
        <v/>
      </c>
      <c r="T166"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66" s="35" t="str">
        <f>IFERROR((tbl_Punch[[#This Row],[Adj. Total Hours]]+tbl_Punch[[#This Row],[Est. Hours]])/(tbl_Punch[[#This Row],[Total Hours Act]]+tbl_Punch[[#This Row],[Act. Hours]]),"")</f>
        <v/>
      </c>
      <c r="Y166"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66" s="104" t="str">
        <f>IFERROR(tbl_Punch[[#This Row],[Act. Mat. Qty]]-tbl_Punch[[#This Row],[Adj. Mat. Qty]],"")</f>
        <v/>
      </c>
      <c r="AA166"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66" s="31"/>
      <c r="AD166" s="36"/>
    </row>
    <row r="167" spans="3:30" ht="25" customHeight="1">
      <c r="C167" s="28" t="str">
        <f>IF(tbl_Punch[[#This Row],[Part'#]]="", "Batch", "Part")</f>
        <v>Batch</v>
      </c>
      <c r="G167" s="28"/>
      <c r="I167" s="70" t="e">
        <f>tbl_Punch[[#This Row],[Qty Complete]]/tbl_Punch[[#This Row],[Qty Required]]</f>
        <v>#DIV/0!</v>
      </c>
      <c r="L167" s="31">
        <f>IF(tbl_Punch[[#This Row],[Job Type]]="Batch",0,tbl_Punch[[#This Row],[Qty Required]]/tbl_Punch[[#This Row],[PPH]]*tbl_Punch[[#This Row],['# of men]])</f>
        <v>0</v>
      </c>
      <c r="M167" s="31" t="e">
        <f>IF(tbl_Punch[[#This Row],[Job Type]]="Batch",tbl_Punch[[#This Row],[Batch Hours]]*tbl_Punch[[#This Row],[% Complete]],tbl_Punch[[#This Row],[Total hours]]*tbl_Punch[[#This Row],[% Complete]])</f>
        <v>#DIV/0!</v>
      </c>
      <c r="N167" s="31"/>
      <c r="P167" s="28" t="e">
        <f>tbl_Punch[[#This Row],[Mat. Qty]]*tbl_Punch[[#This Row],[% Complete]]</f>
        <v>#DIV/0!</v>
      </c>
      <c r="R167" s="32" t="str">
        <f>IFERROR(tbl_Punch[[#This Row],[Qty Complete]]/tbl_Punch[[#This Row],[Total Hours Act]]*tbl_Punch[[#This Row],['# of men Act]],"")</f>
        <v/>
      </c>
      <c r="T167"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67" s="35" t="str">
        <f>IFERROR((tbl_Punch[[#This Row],[Adj. Total Hours]]+tbl_Punch[[#This Row],[Est. Hours]])/(tbl_Punch[[#This Row],[Total Hours Act]]+tbl_Punch[[#This Row],[Act. Hours]]),"")</f>
        <v/>
      </c>
      <c r="Y167"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67" s="104" t="str">
        <f>IFERROR(tbl_Punch[[#This Row],[Act. Mat. Qty]]-tbl_Punch[[#This Row],[Adj. Mat. Qty]],"")</f>
        <v/>
      </c>
      <c r="AA167"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67" s="31"/>
      <c r="AD167" s="36"/>
    </row>
    <row r="168" spans="3:30" ht="25" customHeight="1">
      <c r="C168" s="28" t="str">
        <f>IF(tbl_Punch[[#This Row],[Part'#]]="", "Batch", "Part")</f>
        <v>Batch</v>
      </c>
      <c r="G168" s="28"/>
      <c r="I168" s="70" t="e">
        <f>tbl_Punch[[#This Row],[Qty Complete]]/tbl_Punch[[#This Row],[Qty Required]]</f>
        <v>#DIV/0!</v>
      </c>
      <c r="L168" s="31">
        <f>IF(tbl_Punch[[#This Row],[Job Type]]="Batch",0,tbl_Punch[[#This Row],[Qty Required]]/tbl_Punch[[#This Row],[PPH]]*tbl_Punch[[#This Row],['# of men]])</f>
        <v>0</v>
      </c>
      <c r="M168" s="31" t="e">
        <f>IF(tbl_Punch[[#This Row],[Job Type]]="Batch",tbl_Punch[[#This Row],[Batch Hours]]*tbl_Punch[[#This Row],[% Complete]],tbl_Punch[[#This Row],[Total hours]]*tbl_Punch[[#This Row],[% Complete]])</f>
        <v>#DIV/0!</v>
      </c>
      <c r="N168" s="31"/>
      <c r="P168" s="28" t="e">
        <f>tbl_Punch[[#This Row],[Mat. Qty]]*tbl_Punch[[#This Row],[% Complete]]</f>
        <v>#DIV/0!</v>
      </c>
      <c r="R168" s="32" t="str">
        <f>IFERROR(tbl_Punch[[#This Row],[Qty Complete]]/tbl_Punch[[#This Row],[Total Hours Act]]*tbl_Punch[[#This Row],['# of men Act]],"")</f>
        <v/>
      </c>
      <c r="T168"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68" s="35" t="str">
        <f>IFERROR((tbl_Punch[[#This Row],[Adj. Total Hours]]+tbl_Punch[[#This Row],[Est. Hours]])/(tbl_Punch[[#This Row],[Total Hours Act]]+tbl_Punch[[#This Row],[Act. Hours]]),"")</f>
        <v/>
      </c>
      <c r="Y168"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68" s="104" t="str">
        <f>IFERROR(tbl_Punch[[#This Row],[Act. Mat. Qty]]-tbl_Punch[[#This Row],[Adj. Mat. Qty]],"")</f>
        <v/>
      </c>
      <c r="AA168"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68" s="31"/>
      <c r="AD168" s="36"/>
    </row>
    <row r="169" spans="3:30" ht="25" customHeight="1">
      <c r="C169" s="28" t="str">
        <f>IF(tbl_Punch[[#This Row],[Part'#]]="", "Batch", "Part")</f>
        <v>Batch</v>
      </c>
      <c r="G169" s="28"/>
      <c r="I169" s="70" t="e">
        <f>tbl_Punch[[#This Row],[Qty Complete]]/tbl_Punch[[#This Row],[Qty Required]]</f>
        <v>#DIV/0!</v>
      </c>
      <c r="L169" s="31">
        <f>IF(tbl_Punch[[#This Row],[Job Type]]="Batch",0,tbl_Punch[[#This Row],[Qty Required]]/tbl_Punch[[#This Row],[PPH]]*tbl_Punch[[#This Row],['# of men]])</f>
        <v>0</v>
      </c>
      <c r="M169" s="31" t="e">
        <f>IF(tbl_Punch[[#This Row],[Job Type]]="Batch",tbl_Punch[[#This Row],[Batch Hours]]*tbl_Punch[[#This Row],[% Complete]],tbl_Punch[[#This Row],[Total hours]]*tbl_Punch[[#This Row],[% Complete]])</f>
        <v>#DIV/0!</v>
      </c>
      <c r="N169" s="31"/>
      <c r="P169" s="28" t="e">
        <f>tbl_Punch[[#This Row],[Mat. Qty]]*tbl_Punch[[#This Row],[% Complete]]</f>
        <v>#DIV/0!</v>
      </c>
      <c r="R169" s="32" t="str">
        <f>IFERROR(tbl_Punch[[#This Row],[Qty Complete]]/tbl_Punch[[#This Row],[Total Hours Act]]*tbl_Punch[[#This Row],['# of men Act]],"")</f>
        <v/>
      </c>
      <c r="T169"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69" s="35" t="str">
        <f>IFERROR((tbl_Punch[[#This Row],[Adj. Total Hours]]+tbl_Punch[[#This Row],[Est. Hours]])/(tbl_Punch[[#This Row],[Total Hours Act]]+tbl_Punch[[#This Row],[Act. Hours]]),"")</f>
        <v/>
      </c>
      <c r="Y169"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69" s="104" t="str">
        <f>IFERROR(tbl_Punch[[#This Row],[Act. Mat. Qty]]-tbl_Punch[[#This Row],[Adj. Mat. Qty]],"")</f>
        <v/>
      </c>
      <c r="AA169"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69" s="31"/>
      <c r="AD169" s="36"/>
    </row>
    <row r="170" spans="3:30" ht="25" customHeight="1">
      <c r="C170" s="28" t="str">
        <f>IF(tbl_Punch[[#This Row],[Part'#]]="", "Batch", "Part")</f>
        <v>Batch</v>
      </c>
      <c r="G170" s="28"/>
      <c r="I170" s="70" t="e">
        <f>tbl_Punch[[#This Row],[Qty Complete]]/tbl_Punch[[#This Row],[Qty Required]]</f>
        <v>#DIV/0!</v>
      </c>
      <c r="L170" s="31">
        <f>IF(tbl_Punch[[#This Row],[Job Type]]="Batch",0,tbl_Punch[[#This Row],[Qty Required]]/tbl_Punch[[#This Row],[PPH]]*tbl_Punch[[#This Row],['# of men]])</f>
        <v>0</v>
      </c>
      <c r="M170" s="31" t="e">
        <f>IF(tbl_Punch[[#This Row],[Job Type]]="Batch",tbl_Punch[[#This Row],[Batch Hours]]*tbl_Punch[[#This Row],[% Complete]],tbl_Punch[[#This Row],[Total hours]]*tbl_Punch[[#This Row],[% Complete]])</f>
        <v>#DIV/0!</v>
      </c>
      <c r="N170" s="31"/>
      <c r="P170" s="28" t="e">
        <f>tbl_Punch[[#This Row],[Mat. Qty]]*tbl_Punch[[#This Row],[% Complete]]</f>
        <v>#DIV/0!</v>
      </c>
      <c r="R170" s="32" t="str">
        <f>IFERROR(tbl_Punch[[#This Row],[Qty Complete]]/tbl_Punch[[#This Row],[Total Hours Act]]*tbl_Punch[[#This Row],['# of men Act]],"")</f>
        <v/>
      </c>
      <c r="T170"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70" s="35" t="str">
        <f>IFERROR((tbl_Punch[[#This Row],[Adj. Total Hours]]+tbl_Punch[[#This Row],[Est. Hours]])/(tbl_Punch[[#This Row],[Total Hours Act]]+tbl_Punch[[#This Row],[Act. Hours]]),"")</f>
        <v/>
      </c>
      <c r="Y170"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70" s="104" t="str">
        <f>IFERROR(tbl_Punch[[#This Row],[Act. Mat. Qty]]-tbl_Punch[[#This Row],[Adj. Mat. Qty]],"")</f>
        <v/>
      </c>
      <c r="AA170"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70" s="31"/>
      <c r="AD170" s="36"/>
    </row>
    <row r="171" spans="3:30" ht="25" customHeight="1">
      <c r="C171" s="28" t="str">
        <f>IF(tbl_Punch[[#This Row],[Part'#]]="", "Batch", "Part")</f>
        <v>Batch</v>
      </c>
      <c r="G171" s="28"/>
      <c r="I171" s="70" t="e">
        <f>tbl_Punch[[#This Row],[Qty Complete]]/tbl_Punch[[#This Row],[Qty Required]]</f>
        <v>#DIV/0!</v>
      </c>
      <c r="L171" s="31">
        <f>IF(tbl_Punch[[#This Row],[Job Type]]="Batch",0,tbl_Punch[[#This Row],[Qty Required]]/tbl_Punch[[#This Row],[PPH]]*tbl_Punch[[#This Row],['# of men]])</f>
        <v>0</v>
      </c>
      <c r="M171" s="31" t="e">
        <f>IF(tbl_Punch[[#This Row],[Job Type]]="Batch",tbl_Punch[[#This Row],[Batch Hours]]*tbl_Punch[[#This Row],[% Complete]],tbl_Punch[[#This Row],[Total hours]]*tbl_Punch[[#This Row],[% Complete]])</f>
        <v>#DIV/0!</v>
      </c>
      <c r="N171" s="31"/>
      <c r="P171" s="28" t="e">
        <f>tbl_Punch[[#This Row],[Mat. Qty]]*tbl_Punch[[#This Row],[% Complete]]</f>
        <v>#DIV/0!</v>
      </c>
      <c r="R171" s="32" t="str">
        <f>IFERROR(tbl_Punch[[#This Row],[Qty Complete]]/tbl_Punch[[#This Row],[Total Hours Act]]*tbl_Punch[[#This Row],['# of men Act]],"")</f>
        <v/>
      </c>
      <c r="T171"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71" s="35" t="str">
        <f>IFERROR((tbl_Punch[[#This Row],[Adj. Total Hours]]+tbl_Punch[[#This Row],[Est. Hours]])/(tbl_Punch[[#This Row],[Total Hours Act]]+tbl_Punch[[#This Row],[Act. Hours]]),"")</f>
        <v/>
      </c>
      <c r="Y171"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71" s="104" t="str">
        <f>IFERROR(tbl_Punch[[#This Row],[Act. Mat. Qty]]-tbl_Punch[[#This Row],[Adj. Mat. Qty]],"")</f>
        <v/>
      </c>
      <c r="AA171"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71" s="31"/>
      <c r="AD171" s="36"/>
    </row>
    <row r="172" spans="3:30" ht="25" customHeight="1">
      <c r="C172" s="28" t="str">
        <f>IF(tbl_Punch[[#This Row],[Part'#]]="", "Batch", "Part")</f>
        <v>Batch</v>
      </c>
      <c r="G172" s="28"/>
      <c r="I172" s="70" t="e">
        <f>tbl_Punch[[#This Row],[Qty Complete]]/tbl_Punch[[#This Row],[Qty Required]]</f>
        <v>#DIV/0!</v>
      </c>
      <c r="L172" s="31">
        <f>IF(tbl_Punch[[#This Row],[Job Type]]="Batch",0,tbl_Punch[[#This Row],[Qty Required]]/tbl_Punch[[#This Row],[PPH]]*tbl_Punch[[#This Row],['# of men]])</f>
        <v>0</v>
      </c>
      <c r="M172" s="31" t="e">
        <f>IF(tbl_Punch[[#This Row],[Job Type]]="Batch",tbl_Punch[[#This Row],[Batch Hours]]*tbl_Punch[[#This Row],[% Complete]],tbl_Punch[[#This Row],[Total hours]]*tbl_Punch[[#This Row],[% Complete]])</f>
        <v>#DIV/0!</v>
      </c>
      <c r="N172" s="31"/>
      <c r="P172" s="28" t="e">
        <f>tbl_Punch[[#This Row],[Mat. Qty]]*tbl_Punch[[#This Row],[% Complete]]</f>
        <v>#DIV/0!</v>
      </c>
      <c r="R172" s="32" t="str">
        <f>IFERROR(tbl_Punch[[#This Row],[Qty Complete]]/tbl_Punch[[#This Row],[Total Hours Act]]*tbl_Punch[[#This Row],['# of men Act]],"")</f>
        <v/>
      </c>
      <c r="T172"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72" s="35" t="str">
        <f>IFERROR((tbl_Punch[[#This Row],[Adj. Total Hours]]+tbl_Punch[[#This Row],[Est. Hours]])/(tbl_Punch[[#This Row],[Total Hours Act]]+tbl_Punch[[#This Row],[Act. Hours]]),"")</f>
        <v/>
      </c>
      <c r="Y172"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72" s="104" t="str">
        <f>IFERROR(tbl_Punch[[#This Row],[Act. Mat. Qty]]-tbl_Punch[[#This Row],[Adj. Mat. Qty]],"")</f>
        <v/>
      </c>
      <c r="AA172"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72" s="31"/>
      <c r="AD172" s="36"/>
    </row>
    <row r="173" spans="3:30" ht="25" customHeight="1">
      <c r="C173" s="28" t="str">
        <f>IF(tbl_Punch[[#This Row],[Part'#]]="", "Batch", "Part")</f>
        <v>Batch</v>
      </c>
      <c r="G173" s="28"/>
      <c r="I173" s="70" t="e">
        <f>tbl_Punch[[#This Row],[Qty Complete]]/tbl_Punch[[#This Row],[Qty Required]]</f>
        <v>#DIV/0!</v>
      </c>
      <c r="L173" s="31">
        <f>IF(tbl_Punch[[#This Row],[Job Type]]="Batch",0,tbl_Punch[[#This Row],[Qty Required]]/tbl_Punch[[#This Row],[PPH]]*tbl_Punch[[#This Row],['# of men]])</f>
        <v>0</v>
      </c>
      <c r="M173" s="31" t="e">
        <f>IF(tbl_Punch[[#This Row],[Job Type]]="Batch",tbl_Punch[[#This Row],[Batch Hours]]*tbl_Punch[[#This Row],[% Complete]],tbl_Punch[[#This Row],[Total hours]]*tbl_Punch[[#This Row],[% Complete]])</f>
        <v>#DIV/0!</v>
      </c>
      <c r="N173" s="31"/>
      <c r="P173" s="28" t="e">
        <f>tbl_Punch[[#This Row],[Mat. Qty]]*tbl_Punch[[#This Row],[% Complete]]</f>
        <v>#DIV/0!</v>
      </c>
      <c r="R173" s="32" t="str">
        <f>IFERROR(tbl_Punch[[#This Row],[Qty Complete]]/tbl_Punch[[#This Row],[Total Hours Act]]*tbl_Punch[[#This Row],['# of men Act]],"")</f>
        <v/>
      </c>
      <c r="T173"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73" s="35" t="str">
        <f>IFERROR((tbl_Punch[[#This Row],[Adj. Total Hours]]+tbl_Punch[[#This Row],[Est. Hours]])/(tbl_Punch[[#This Row],[Total Hours Act]]+tbl_Punch[[#This Row],[Act. Hours]]),"")</f>
        <v/>
      </c>
      <c r="Y173"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73" s="104" t="str">
        <f>IFERROR(tbl_Punch[[#This Row],[Act. Mat. Qty]]-tbl_Punch[[#This Row],[Adj. Mat. Qty]],"")</f>
        <v/>
      </c>
      <c r="AA173"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73" s="31"/>
      <c r="AD173" s="36"/>
    </row>
    <row r="174" spans="3:30" ht="25" customHeight="1">
      <c r="C174" s="28" t="str">
        <f>IF(tbl_Punch[[#This Row],[Part'#]]="", "Batch", "Part")</f>
        <v>Batch</v>
      </c>
      <c r="G174" s="28"/>
      <c r="I174" s="70" t="e">
        <f>tbl_Punch[[#This Row],[Qty Complete]]/tbl_Punch[[#This Row],[Qty Required]]</f>
        <v>#DIV/0!</v>
      </c>
      <c r="L174" s="31">
        <f>IF(tbl_Punch[[#This Row],[Job Type]]="Batch",0,tbl_Punch[[#This Row],[Qty Required]]/tbl_Punch[[#This Row],[PPH]]*tbl_Punch[[#This Row],['# of men]])</f>
        <v>0</v>
      </c>
      <c r="M174" s="31" t="e">
        <f>IF(tbl_Punch[[#This Row],[Job Type]]="Batch",tbl_Punch[[#This Row],[Batch Hours]]*tbl_Punch[[#This Row],[% Complete]],tbl_Punch[[#This Row],[Total hours]]*tbl_Punch[[#This Row],[% Complete]])</f>
        <v>#DIV/0!</v>
      </c>
      <c r="N174" s="31"/>
      <c r="P174" s="28" t="e">
        <f>tbl_Punch[[#This Row],[Mat. Qty]]*tbl_Punch[[#This Row],[% Complete]]</f>
        <v>#DIV/0!</v>
      </c>
      <c r="R174" s="32" t="str">
        <f>IFERROR(tbl_Punch[[#This Row],[Qty Complete]]/tbl_Punch[[#This Row],[Total Hours Act]]*tbl_Punch[[#This Row],['# of men Act]],"")</f>
        <v/>
      </c>
      <c r="T174"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74" s="35" t="str">
        <f>IFERROR((tbl_Punch[[#This Row],[Adj. Total Hours]]+tbl_Punch[[#This Row],[Est. Hours]])/(tbl_Punch[[#This Row],[Total Hours Act]]+tbl_Punch[[#This Row],[Act. Hours]]),"")</f>
        <v/>
      </c>
      <c r="Y174"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74" s="104" t="str">
        <f>IFERROR(tbl_Punch[[#This Row],[Act. Mat. Qty]]-tbl_Punch[[#This Row],[Adj. Mat. Qty]],"")</f>
        <v/>
      </c>
      <c r="AA174"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74" s="31"/>
      <c r="AD174" s="36"/>
    </row>
    <row r="175" spans="3:30" ht="25" customHeight="1">
      <c r="C175" s="28" t="str">
        <f>IF(tbl_Punch[[#This Row],[Part'#]]="", "Batch", "Part")</f>
        <v>Batch</v>
      </c>
      <c r="G175" s="28"/>
      <c r="I175" s="70" t="e">
        <f>tbl_Punch[[#This Row],[Qty Complete]]/tbl_Punch[[#This Row],[Qty Required]]</f>
        <v>#DIV/0!</v>
      </c>
      <c r="L175" s="31">
        <f>IF(tbl_Punch[[#This Row],[Job Type]]="Batch",0,tbl_Punch[[#This Row],[Qty Required]]/tbl_Punch[[#This Row],[PPH]]*tbl_Punch[[#This Row],['# of men]])</f>
        <v>0</v>
      </c>
      <c r="M175" s="31" t="e">
        <f>IF(tbl_Punch[[#This Row],[Job Type]]="Batch",tbl_Punch[[#This Row],[Batch Hours]]*tbl_Punch[[#This Row],[% Complete]],tbl_Punch[[#This Row],[Total hours]]*tbl_Punch[[#This Row],[% Complete]])</f>
        <v>#DIV/0!</v>
      </c>
      <c r="N175" s="31"/>
      <c r="P175" s="28" t="e">
        <f>tbl_Punch[[#This Row],[Mat. Qty]]*tbl_Punch[[#This Row],[% Complete]]</f>
        <v>#DIV/0!</v>
      </c>
      <c r="R175" s="32" t="str">
        <f>IFERROR(tbl_Punch[[#This Row],[Qty Complete]]/tbl_Punch[[#This Row],[Total Hours Act]]*tbl_Punch[[#This Row],['# of men Act]],"")</f>
        <v/>
      </c>
      <c r="T175"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75" s="35" t="str">
        <f>IFERROR((tbl_Punch[[#This Row],[Adj. Total Hours]]+tbl_Punch[[#This Row],[Est. Hours]])/(tbl_Punch[[#This Row],[Total Hours Act]]+tbl_Punch[[#This Row],[Act. Hours]]),"")</f>
        <v/>
      </c>
      <c r="Y175"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75" s="104" t="str">
        <f>IFERROR(tbl_Punch[[#This Row],[Act. Mat. Qty]]-tbl_Punch[[#This Row],[Adj. Mat. Qty]],"")</f>
        <v/>
      </c>
      <c r="AA175"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75" s="31"/>
      <c r="AD175" s="36"/>
    </row>
    <row r="176" spans="3:30" ht="25" customHeight="1">
      <c r="C176" s="28" t="str">
        <f>IF(tbl_Punch[[#This Row],[Part'#]]="", "Batch", "Part")</f>
        <v>Batch</v>
      </c>
      <c r="G176" s="28"/>
      <c r="I176" s="70" t="e">
        <f>tbl_Punch[[#This Row],[Qty Complete]]/tbl_Punch[[#This Row],[Qty Required]]</f>
        <v>#DIV/0!</v>
      </c>
      <c r="L176" s="31">
        <f>IF(tbl_Punch[[#This Row],[Job Type]]="Batch",0,tbl_Punch[[#This Row],[Qty Required]]/tbl_Punch[[#This Row],[PPH]]*tbl_Punch[[#This Row],['# of men]])</f>
        <v>0</v>
      </c>
      <c r="M176" s="31" t="e">
        <f>IF(tbl_Punch[[#This Row],[Job Type]]="Batch",tbl_Punch[[#This Row],[Batch Hours]]*tbl_Punch[[#This Row],[% Complete]],tbl_Punch[[#This Row],[Total hours]]*tbl_Punch[[#This Row],[% Complete]])</f>
        <v>#DIV/0!</v>
      </c>
      <c r="N176" s="31"/>
      <c r="P176" s="28" t="e">
        <f>tbl_Punch[[#This Row],[Mat. Qty]]*tbl_Punch[[#This Row],[% Complete]]</f>
        <v>#DIV/0!</v>
      </c>
      <c r="R176" s="32" t="str">
        <f>IFERROR(tbl_Punch[[#This Row],[Qty Complete]]/tbl_Punch[[#This Row],[Total Hours Act]]*tbl_Punch[[#This Row],['# of men Act]],"")</f>
        <v/>
      </c>
      <c r="T176"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76" s="35" t="str">
        <f>IFERROR((tbl_Punch[[#This Row],[Adj. Total Hours]]+tbl_Punch[[#This Row],[Est. Hours]])/(tbl_Punch[[#This Row],[Total Hours Act]]+tbl_Punch[[#This Row],[Act. Hours]]),"")</f>
        <v/>
      </c>
      <c r="Y176"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76" s="104" t="str">
        <f>IFERROR(tbl_Punch[[#This Row],[Act. Mat. Qty]]-tbl_Punch[[#This Row],[Adj. Mat. Qty]],"")</f>
        <v/>
      </c>
      <c r="AA176"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76" s="31"/>
      <c r="AD176" s="36"/>
    </row>
    <row r="177" spans="3:30" ht="25" customHeight="1">
      <c r="C177" s="28" t="str">
        <f>IF(tbl_Punch[[#This Row],[Part'#]]="", "Batch", "Part")</f>
        <v>Batch</v>
      </c>
      <c r="G177" s="28"/>
      <c r="I177" s="70" t="e">
        <f>tbl_Punch[[#This Row],[Qty Complete]]/tbl_Punch[[#This Row],[Qty Required]]</f>
        <v>#DIV/0!</v>
      </c>
      <c r="L177" s="31">
        <f>IF(tbl_Punch[[#This Row],[Job Type]]="Batch",0,tbl_Punch[[#This Row],[Qty Required]]/tbl_Punch[[#This Row],[PPH]]*tbl_Punch[[#This Row],['# of men]])</f>
        <v>0</v>
      </c>
      <c r="M177" s="31" t="e">
        <f>IF(tbl_Punch[[#This Row],[Job Type]]="Batch",tbl_Punch[[#This Row],[Batch Hours]]*tbl_Punch[[#This Row],[% Complete]],tbl_Punch[[#This Row],[Total hours]]*tbl_Punch[[#This Row],[% Complete]])</f>
        <v>#DIV/0!</v>
      </c>
      <c r="N177" s="31"/>
      <c r="P177" s="28" t="e">
        <f>tbl_Punch[[#This Row],[Mat. Qty]]*tbl_Punch[[#This Row],[% Complete]]</f>
        <v>#DIV/0!</v>
      </c>
      <c r="R177" s="32" t="str">
        <f>IFERROR(tbl_Punch[[#This Row],[Qty Complete]]/tbl_Punch[[#This Row],[Total Hours Act]]*tbl_Punch[[#This Row],['# of men Act]],"")</f>
        <v/>
      </c>
      <c r="T177"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77" s="35" t="str">
        <f>IFERROR((tbl_Punch[[#This Row],[Adj. Total Hours]]+tbl_Punch[[#This Row],[Est. Hours]])/(tbl_Punch[[#This Row],[Total Hours Act]]+tbl_Punch[[#This Row],[Act. Hours]]),"")</f>
        <v/>
      </c>
      <c r="Y177"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77" s="104" t="str">
        <f>IFERROR(tbl_Punch[[#This Row],[Act. Mat. Qty]]-tbl_Punch[[#This Row],[Adj. Mat. Qty]],"")</f>
        <v/>
      </c>
      <c r="AA177"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77" s="31"/>
      <c r="AD177" s="36"/>
    </row>
    <row r="178" spans="3:30" ht="25" customHeight="1">
      <c r="C178" s="28" t="str">
        <f>IF(tbl_Punch[[#This Row],[Part'#]]="", "Batch", "Part")</f>
        <v>Batch</v>
      </c>
      <c r="G178" s="28"/>
      <c r="I178" s="70" t="e">
        <f>tbl_Punch[[#This Row],[Qty Complete]]/tbl_Punch[[#This Row],[Qty Required]]</f>
        <v>#DIV/0!</v>
      </c>
      <c r="L178" s="31">
        <f>IF(tbl_Punch[[#This Row],[Job Type]]="Batch",0,tbl_Punch[[#This Row],[Qty Required]]/tbl_Punch[[#This Row],[PPH]]*tbl_Punch[[#This Row],['# of men]])</f>
        <v>0</v>
      </c>
      <c r="M178" s="31" t="e">
        <f>IF(tbl_Punch[[#This Row],[Job Type]]="Batch",tbl_Punch[[#This Row],[Batch Hours]]*tbl_Punch[[#This Row],[% Complete]],tbl_Punch[[#This Row],[Total hours]]*tbl_Punch[[#This Row],[% Complete]])</f>
        <v>#DIV/0!</v>
      </c>
      <c r="N178" s="31"/>
      <c r="P178" s="28" t="e">
        <f>tbl_Punch[[#This Row],[Mat. Qty]]*tbl_Punch[[#This Row],[% Complete]]</f>
        <v>#DIV/0!</v>
      </c>
      <c r="R178" s="32" t="str">
        <f>IFERROR(tbl_Punch[[#This Row],[Qty Complete]]/tbl_Punch[[#This Row],[Total Hours Act]]*tbl_Punch[[#This Row],['# of men Act]],"")</f>
        <v/>
      </c>
      <c r="T178"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78" s="35" t="str">
        <f>IFERROR((tbl_Punch[[#This Row],[Adj. Total Hours]]+tbl_Punch[[#This Row],[Est. Hours]])/(tbl_Punch[[#This Row],[Total Hours Act]]+tbl_Punch[[#This Row],[Act. Hours]]),"")</f>
        <v/>
      </c>
      <c r="Y178"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78" s="104" t="str">
        <f>IFERROR(tbl_Punch[[#This Row],[Act. Mat. Qty]]-tbl_Punch[[#This Row],[Adj. Mat. Qty]],"")</f>
        <v/>
      </c>
      <c r="AA178"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78" s="31"/>
      <c r="AD178" s="36"/>
    </row>
    <row r="179" spans="3:30" ht="25" customHeight="1">
      <c r="C179" s="28" t="str">
        <f>IF(tbl_Punch[[#This Row],[Part'#]]="", "Batch", "Part")</f>
        <v>Batch</v>
      </c>
      <c r="G179" s="28"/>
      <c r="I179" s="70" t="e">
        <f>tbl_Punch[[#This Row],[Qty Complete]]/tbl_Punch[[#This Row],[Qty Required]]</f>
        <v>#DIV/0!</v>
      </c>
      <c r="L179" s="31">
        <f>IF(tbl_Punch[[#This Row],[Job Type]]="Batch",0,tbl_Punch[[#This Row],[Qty Required]]/tbl_Punch[[#This Row],[PPH]]*tbl_Punch[[#This Row],['# of men]])</f>
        <v>0</v>
      </c>
      <c r="M179" s="31" t="e">
        <f>IF(tbl_Punch[[#This Row],[Job Type]]="Batch",tbl_Punch[[#This Row],[Batch Hours]]*tbl_Punch[[#This Row],[% Complete]],tbl_Punch[[#This Row],[Total hours]]*tbl_Punch[[#This Row],[% Complete]])</f>
        <v>#DIV/0!</v>
      </c>
      <c r="N179" s="31"/>
      <c r="P179" s="28" t="e">
        <f>tbl_Punch[[#This Row],[Mat. Qty]]*tbl_Punch[[#This Row],[% Complete]]</f>
        <v>#DIV/0!</v>
      </c>
      <c r="R179" s="32" t="str">
        <f>IFERROR(tbl_Punch[[#This Row],[Qty Complete]]/tbl_Punch[[#This Row],[Total Hours Act]]*tbl_Punch[[#This Row],['# of men Act]],"")</f>
        <v/>
      </c>
      <c r="T179"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79" s="35" t="str">
        <f>IFERROR((tbl_Punch[[#This Row],[Adj. Total Hours]]+tbl_Punch[[#This Row],[Est. Hours]])/(tbl_Punch[[#This Row],[Total Hours Act]]+tbl_Punch[[#This Row],[Act. Hours]]),"")</f>
        <v/>
      </c>
      <c r="Y179"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79" s="104" t="str">
        <f>IFERROR(tbl_Punch[[#This Row],[Act. Mat. Qty]]-tbl_Punch[[#This Row],[Adj. Mat. Qty]],"")</f>
        <v/>
      </c>
      <c r="AA179"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79" s="31"/>
      <c r="AD179" s="36"/>
    </row>
    <row r="180" spans="3:30" ht="25" customHeight="1">
      <c r="C180" s="28" t="str">
        <f>IF(tbl_Punch[[#This Row],[Part'#]]="", "Batch", "Part")</f>
        <v>Batch</v>
      </c>
      <c r="G180" s="28"/>
      <c r="I180" s="70" t="e">
        <f>tbl_Punch[[#This Row],[Qty Complete]]/tbl_Punch[[#This Row],[Qty Required]]</f>
        <v>#DIV/0!</v>
      </c>
      <c r="L180" s="31">
        <f>IF(tbl_Punch[[#This Row],[Job Type]]="Batch",0,tbl_Punch[[#This Row],[Qty Required]]/tbl_Punch[[#This Row],[PPH]]*tbl_Punch[[#This Row],['# of men]])</f>
        <v>0</v>
      </c>
      <c r="M180" s="31" t="e">
        <f>IF(tbl_Punch[[#This Row],[Job Type]]="Batch",tbl_Punch[[#This Row],[Batch Hours]]*tbl_Punch[[#This Row],[% Complete]],tbl_Punch[[#This Row],[Total hours]]*tbl_Punch[[#This Row],[% Complete]])</f>
        <v>#DIV/0!</v>
      </c>
      <c r="N180" s="31"/>
      <c r="P180" s="28" t="e">
        <f>tbl_Punch[[#This Row],[Mat. Qty]]*tbl_Punch[[#This Row],[% Complete]]</f>
        <v>#DIV/0!</v>
      </c>
      <c r="R180" s="32" t="str">
        <f>IFERROR(tbl_Punch[[#This Row],[Qty Complete]]/tbl_Punch[[#This Row],[Total Hours Act]]*tbl_Punch[[#This Row],['# of men Act]],"")</f>
        <v/>
      </c>
      <c r="T180"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80" s="35" t="str">
        <f>IFERROR((tbl_Punch[[#This Row],[Adj. Total Hours]]+tbl_Punch[[#This Row],[Est. Hours]])/(tbl_Punch[[#This Row],[Total Hours Act]]+tbl_Punch[[#This Row],[Act. Hours]]),"")</f>
        <v/>
      </c>
      <c r="Y180"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80" s="104" t="str">
        <f>IFERROR(tbl_Punch[[#This Row],[Act. Mat. Qty]]-tbl_Punch[[#This Row],[Adj. Mat. Qty]],"")</f>
        <v/>
      </c>
      <c r="AA180"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80" s="31"/>
      <c r="AD180" s="36"/>
    </row>
    <row r="181" spans="3:30" ht="25" customHeight="1">
      <c r="C181" s="28" t="str">
        <f>IF(tbl_Punch[[#This Row],[Part'#]]="", "Batch", "Part")</f>
        <v>Batch</v>
      </c>
      <c r="G181" s="28"/>
      <c r="I181" s="70" t="e">
        <f>tbl_Punch[[#This Row],[Qty Complete]]/tbl_Punch[[#This Row],[Qty Required]]</f>
        <v>#DIV/0!</v>
      </c>
      <c r="L181" s="31">
        <f>IF(tbl_Punch[[#This Row],[Job Type]]="Batch",0,tbl_Punch[[#This Row],[Qty Required]]/tbl_Punch[[#This Row],[PPH]]*tbl_Punch[[#This Row],['# of men]])</f>
        <v>0</v>
      </c>
      <c r="M181" s="31" t="e">
        <f>IF(tbl_Punch[[#This Row],[Job Type]]="Batch",tbl_Punch[[#This Row],[Batch Hours]]*tbl_Punch[[#This Row],[% Complete]],tbl_Punch[[#This Row],[Total hours]]*tbl_Punch[[#This Row],[% Complete]])</f>
        <v>#DIV/0!</v>
      </c>
      <c r="N181" s="31"/>
      <c r="P181" s="28" t="e">
        <f>tbl_Punch[[#This Row],[Mat. Qty]]*tbl_Punch[[#This Row],[% Complete]]</f>
        <v>#DIV/0!</v>
      </c>
      <c r="R181" s="32" t="str">
        <f>IFERROR(tbl_Punch[[#This Row],[Qty Complete]]/tbl_Punch[[#This Row],[Total Hours Act]]*tbl_Punch[[#This Row],['# of men Act]],"")</f>
        <v/>
      </c>
      <c r="T181"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81" s="35" t="str">
        <f>IFERROR((tbl_Punch[[#This Row],[Adj. Total Hours]]+tbl_Punch[[#This Row],[Est. Hours]])/(tbl_Punch[[#This Row],[Total Hours Act]]+tbl_Punch[[#This Row],[Act. Hours]]),"")</f>
        <v/>
      </c>
      <c r="Y181"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81" s="104" t="str">
        <f>IFERROR(tbl_Punch[[#This Row],[Act. Mat. Qty]]-tbl_Punch[[#This Row],[Adj. Mat. Qty]],"")</f>
        <v/>
      </c>
      <c r="AA181"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81" s="31"/>
      <c r="AD181" s="36"/>
    </row>
    <row r="182" spans="3:30" ht="25" customHeight="1">
      <c r="C182" s="28" t="str">
        <f>IF(tbl_Punch[[#This Row],[Part'#]]="", "Batch", "Part")</f>
        <v>Batch</v>
      </c>
      <c r="G182" s="28"/>
      <c r="I182" s="70" t="e">
        <f>tbl_Punch[[#This Row],[Qty Complete]]/tbl_Punch[[#This Row],[Qty Required]]</f>
        <v>#DIV/0!</v>
      </c>
      <c r="L182" s="31">
        <f>IF(tbl_Punch[[#This Row],[Job Type]]="Batch",0,tbl_Punch[[#This Row],[Qty Required]]/tbl_Punch[[#This Row],[PPH]]*tbl_Punch[[#This Row],['# of men]])</f>
        <v>0</v>
      </c>
      <c r="M182" s="31" t="e">
        <f>IF(tbl_Punch[[#This Row],[Job Type]]="Batch",tbl_Punch[[#This Row],[Batch Hours]]*tbl_Punch[[#This Row],[% Complete]],tbl_Punch[[#This Row],[Total hours]]*tbl_Punch[[#This Row],[% Complete]])</f>
        <v>#DIV/0!</v>
      </c>
      <c r="N182" s="31"/>
      <c r="P182" s="28" t="e">
        <f>tbl_Punch[[#This Row],[Mat. Qty]]*tbl_Punch[[#This Row],[% Complete]]</f>
        <v>#DIV/0!</v>
      </c>
      <c r="R182" s="32" t="str">
        <f>IFERROR(tbl_Punch[[#This Row],[Qty Complete]]/tbl_Punch[[#This Row],[Total Hours Act]]*tbl_Punch[[#This Row],['# of men Act]],"")</f>
        <v/>
      </c>
      <c r="T182"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82" s="35" t="str">
        <f>IFERROR((tbl_Punch[[#This Row],[Adj. Total Hours]]+tbl_Punch[[#This Row],[Est. Hours]])/(tbl_Punch[[#This Row],[Total Hours Act]]+tbl_Punch[[#This Row],[Act. Hours]]),"")</f>
        <v/>
      </c>
      <c r="Y182"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82" s="104" t="str">
        <f>IFERROR(tbl_Punch[[#This Row],[Act. Mat. Qty]]-tbl_Punch[[#This Row],[Adj. Mat. Qty]],"")</f>
        <v/>
      </c>
      <c r="AA182"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82" s="31"/>
      <c r="AD182" s="36"/>
    </row>
    <row r="183" spans="3:30" ht="25" customHeight="1">
      <c r="C183" s="28" t="str">
        <f>IF(tbl_Punch[[#This Row],[Part'#]]="", "Batch", "Part")</f>
        <v>Batch</v>
      </c>
      <c r="G183" s="28"/>
      <c r="I183" s="70" t="e">
        <f>tbl_Punch[[#This Row],[Qty Complete]]/tbl_Punch[[#This Row],[Qty Required]]</f>
        <v>#DIV/0!</v>
      </c>
      <c r="L183" s="31">
        <f>IF(tbl_Punch[[#This Row],[Job Type]]="Batch",0,tbl_Punch[[#This Row],[Qty Required]]/tbl_Punch[[#This Row],[PPH]]*tbl_Punch[[#This Row],['# of men]])</f>
        <v>0</v>
      </c>
      <c r="M183" s="31" t="e">
        <f>IF(tbl_Punch[[#This Row],[Job Type]]="Batch",tbl_Punch[[#This Row],[Batch Hours]]*tbl_Punch[[#This Row],[% Complete]],tbl_Punch[[#This Row],[Total hours]]*tbl_Punch[[#This Row],[% Complete]])</f>
        <v>#DIV/0!</v>
      </c>
      <c r="N183" s="31"/>
      <c r="P183" s="28" t="e">
        <f>tbl_Punch[[#This Row],[Mat. Qty]]*tbl_Punch[[#This Row],[% Complete]]</f>
        <v>#DIV/0!</v>
      </c>
      <c r="R183" s="32" t="str">
        <f>IFERROR(tbl_Punch[[#This Row],[Qty Complete]]/tbl_Punch[[#This Row],[Total Hours Act]]*tbl_Punch[[#This Row],['# of men Act]],"")</f>
        <v/>
      </c>
      <c r="T183"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83" s="35" t="str">
        <f>IFERROR((tbl_Punch[[#This Row],[Adj. Total Hours]]+tbl_Punch[[#This Row],[Est. Hours]])/(tbl_Punch[[#This Row],[Total Hours Act]]+tbl_Punch[[#This Row],[Act. Hours]]),"")</f>
        <v/>
      </c>
      <c r="Y183"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83" s="104" t="str">
        <f>IFERROR(tbl_Punch[[#This Row],[Act. Mat. Qty]]-tbl_Punch[[#This Row],[Adj. Mat. Qty]],"")</f>
        <v/>
      </c>
      <c r="AA183"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83" s="31"/>
      <c r="AD183" s="36"/>
    </row>
    <row r="184" spans="3:30" ht="25" customHeight="1">
      <c r="C184" s="28" t="str">
        <f>IF(tbl_Punch[[#This Row],[Part'#]]="", "Batch", "Part")</f>
        <v>Batch</v>
      </c>
      <c r="G184" s="28"/>
      <c r="I184" s="70" t="e">
        <f>tbl_Punch[[#This Row],[Qty Complete]]/tbl_Punch[[#This Row],[Qty Required]]</f>
        <v>#DIV/0!</v>
      </c>
      <c r="L184" s="31">
        <f>IF(tbl_Punch[[#This Row],[Job Type]]="Batch",0,tbl_Punch[[#This Row],[Qty Required]]/tbl_Punch[[#This Row],[PPH]]*tbl_Punch[[#This Row],['# of men]])</f>
        <v>0</v>
      </c>
      <c r="M184" s="31" t="e">
        <f>IF(tbl_Punch[[#This Row],[Job Type]]="Batch",tbl_Punch[[#This Row],[Batch Hours]]*tbl_Punch[[#This Row],[% Complete]],tbl_Punch[[#This Row],[Total hours]]*tbl_Punch[[#This Row],[% Complete]])</f>
        <v>#DIV/0!</v>
      </c>
      <c r="N184" s="31"/>
      <c r="P184" s="28" t="e">
        <f>tbl_Punch[[#This Row],[Mat. Qty]]*tbl_Punch[[#This Row],[% Complete]]</f>
        <v>#DIV/0!</v>
      </c>
      <c r="R184" s="32" t="str">
        <f>IFERROR(tbl_Punch[[#This Row],[Qty Complete]]/tbl_Punch[[#This Row],[Total Hours Act]]*tbl_Punch[[#This Row],['# of men Act]],"")</f>
        <v/>
      </c>
      <c r="T184"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84" s="35" t="str">
        <f>IFERROR((tbl_Punch[[#This Row],[Adj. Total Hours]]+tbl_Punch[[#This Row],[Est. Hours]])/(tbl_Punch[[#This Row],[Total Hours Act]]+tbl_Punch[[#This Row],[Act. Hours]]),"")</f>
        <v/>
      </c>
      <c r="Y184"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84" s="104" t="str">
        <f>IFERROR(tbl_Punch[[#This Row],[Act. Mat. Qty]]-tbl_Punch[[#This Row],[Adj. Mat. Qty]],"")</f>
        <v/>
      </c>
      <c r="AA184"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84" s="31"/>
      <c r="AD184" s="36"/>
    </row>
    <row r="185" spans="3:30" ht="25" customHeight="1">
      <c r="C185" s="28" t="str">
        <f>IF(tbl_Punch[[#This Row],[Part'#]]="", "Batch", "Part")</f>
        <v>Batch</v>
      </c>
      <c r="G185" s="28"/>
      <c r="I185" s="70" t="e">
        <f>tbl_Punch[[#This Row],[Qty Complete]]/tbl_Punch[[#This Row],[Qty Required]]</f>
        <v>#DIV/0!</v>
      </c>
      <c r="L185" s="31">
        <f>IF(tbl_Punch[[#This Row],[Job Type]]="Batch",0,tbl_Punch[[#This Row],[Qty Required]]/tbl_Punch[[#This Row],[PPH]]*tbl_Punch[[#This Row],['# of men]])</f>
        <v>0</v>
      </c>
      <c r="M185" s="31" t="e">
        <f>IF(tbl_Punch[[#This Row],[Job Type]]="Batch",tbl_Punch[[#This Row],[Batch Hours]]*tbl_Punch[[#This Row],[% Complete]],tbl_Punch[[#This Row],[Total hours]]*tbl_Punch[[#This Row],[% Complete]])</f>
        <v>#DIV/0!</v>
      </c>
      <c r="N185" s="31"/>
      <c r="P185" s="28" t="e">
        <f>tbl_Punch[[#This Row],[Mat. Qty]]*tbl_Punch[[#This Row],[% Complete]]</f>
        <v>#DIV/0!</v>
      </c>
      <c r="R185" s="32" t="str">
        <f>IFERROR(tbl_Punch[[#This Row],[Qty Complete]]/tbl_Punch[[#This Row],[Total Hours Act]]*tbl_Punch[[#This Row],['# of men Act]],"")</f>
        <v/>
      </c>
      <c r="T185"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85" s="35" t="str">
        <f>IFERROR((tbl_Punch[[#This Row],[Adj. Total Hours]]+tbl_Punch[[#This Row],[Est. Hours]])/(tbl_Punch[[#This Row],[Total Hours Act]]+tbl_Punch[[#This Row],[Act. Hours]]),"")</f>
        <v/>
      </c>
      <c r="Y185"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85" s="104" t="str">
        <f>IFERROR(tbl_Punch[[#This Row],[Act. Mat. Qty]]-tbl_Punch[[#This Row],[Adj. Mat. Qty]],"")</f>
        <v/>
      </c>
      <c r="AA185"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85" s="31"/>
      <c r="AD185" s="36"/>
    </row>
    <row r="186" spans="3:30" ht="25" customHeight="1">
      <c r="C186" s="28" t="str">
        <f>IF(tbl_Punch[[#This Row],[Part'#]]="", "Batch", "Part")</f>
        <v>Batch</v>
      </c>
      <c r="G186" s="28"/>
      <c r="I186" s="70" t="e">
        <f>tbl_Punch[[#This Row],[Qty Complete]]/tbl_Punch[[#This Row],[Qty Required]]</f>
        <v>#DIV/0!</v>
      </c>
      <c r="L186" s="31">
        <f>IF(tbl_Punch[[#This Row],[Job Type]]="Batch",0,tbl_Punch[[#This Row],[Qty Required]]/tbl_Punch[[#This Row],[PPH]]*tbl_Punch[[#This Row],['# of men]])</f>
        <v>0</v>
      </c>
      <c r="M186" s="31" t="e">
        <f>IF(tbl_Punch[[#This Row],[Job Type]]="Batch",tbl_Punch[[#This Row],[Batch Hours]]*tbl_Punch[[#This Row],[% Complete]],tbl_Punch[[#This Row],[Total hours]]*tbl_Punch[[#This Row],[% Complete]])</f>
        <v>#DIV/0!</v>
      </c>
      <c r="N186" s="31"/>
      <c r="P186" s="28" t="e">
        <f>tbl_Punch[[#This Row],[Mat. Qty]]*tbl_Punch[[#This Row],[% Complete]]</f>
        <v>#DIV/0!</v>
      </c>
      <c r="R186" s="32" t="str">
        <f>IFERROR(tbl_Punch[[#This Row],[Qty Complete]]/tbl_Punch[[#This Row],[Total Hours Act]]*tbl_Punch[[#This Row],['# of men Act]],"")</f>
        <v/>
      </c>
      <c r="T186"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86" s="35" t="str">
        <f>IFERROR((tbl_Punch[[#This Row],[Adj. Total Hours]]+tbl_Punch[[#This Row],[Est. Hours]])/(tbl_Punch[[#This Row],[Total Hours Act]]+tbl_Punch[[#This Row],[Act. Hours]]),"")</f>
        <v/>
      </c>
      <c r="Y186"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86" s="104" t="str">
        <f>IFERROR(tbl_Punch[[#This Row],[Act. Mat. Qty]]-tbl_Punch[[#This Row],[Adj. Mat. Qty]],"")</f>
        <v/>
      </c>
      <c r="AA186"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86" s="31"/>
      <c r="AD186" s="36"/>
    </row>
    <row r="187" spans="3:30" ht="25" customHeight="1">
      <c r="C187" s="28" t="str">
        <f>IF(tbl_Punch[[#This Row],[Part'#]]="", "Batch", "Part")</f>
        <v>Batch</v>
      </c>
      <c r="G187" s="28"/>
      <c r="I187" s="70" t="e">
        <f>tbl_Punch[[#This Row],[Qty Complete]]/tbl_Punch[[#This Row],[Qty Required]]</f>
        <v>#DIV/0!</v>
      </c>
      <c r="L187" s="31">
        <f>IF(tbl_Punch[[#This Row],[Job Type]]="Batch",0,tbl_Punch[[#This Row],[Qty Required]]/tbl_Punch[[#This Row],[PPH]]*tbl_Punch[[#This Row],['# of men]])</f>
        <v>0</v>
      </c>
      <c r="M187" s="31" t="e">
        <f>IF(tbl_Punch[[#This Row],[Job Type]]="Batch",tbl_Punch[[#This Row],[Batch Hours]]*tbl_Punch[[#This Row],[% Complete]],tbl_Punch[[#This Row],[Total hours]]*tbl_Punch[[#This Row],[% Complete]])</f>
        <v>#DIV/0!</v>
      </c>
      <c r="N187" s="31"/>
      <c r="P187" s="28" t="e">
        <f>tbl_Punch[[#This Row],[Mat. Qty]]*tbl_Punch[[#This Row],[% Complete]]</f>
        <v>#DIV/0!</v>
      </c>
      <c r="R187" s="32" t="str">
        <f>IFERROR(tbl_Punch[[#This Row],[Qty Complete]]/tbl_Punch[[#This Row],[Total Hours Act]]*tbl_Punch[[#This Row],['# of men Act]],"")</f>
        <v/>
      </c>
      <c r="T187"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87" s="35" t="str">
        <f>IFERROR((tbl_Punch[[#This Row],[Adj. Total Hours]]+tbl_Punch[[#This Row],[Est. Hours]])/(tbl_Punch[[#This Row],[Total Hours Act]]+tbl_Punch[[#This Row],[Act. Hours]]),"")</f>
        <v/>
      </c>
      <c r="Y187"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87" s="104" t="str">
        <f>IFERROR(tbl_Punch[[#This Row],[Act. Mat. Qty]]-tbl_Punch[[#This Row],[Adj. Mat. Qty]],"")</f>
        <v/>
      </c>
      <c r="AA187"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87" s="31"/>
      <c r="AD187" s="36"/>
    </row>
    <row r="188" spans="3:30" ht="25" customHeight="1">
      <c r="C188" s="28" t="str">
        <f>IF(tbl_Punch[[#This Row],[Part'#]]="", "Batch", "Part")</f>
        <v>Batch</v>
      </c>
      <c r="G188" s="28"/>
      <c r="I188" s="70" t="e">
        <f>tbl_Punch[[#This Row],[Qty Complete]]/tbl_Punch[[#This Row],[Qty Required]]</f>
        <v>#DIV/0!</v>
      </c>
      <c r="L188" s="31">
        <f>IF(tbl_Punch[[#This Row],[Job Type]]="Batch",0,tbl_Punch[[#This Row],[Qty Required]]/tbl_Punch[[#This Row],[PPH]]*tbl_Punch[[#This Row],['# of men]])</f>
        <v>0</v>
      </c>
      <c r="M188" s="31" t="e">
        <f>IF(tbl_Punch[[#This Row],[Job Type]]="Batch",tbl_Punch[[#This Row],[Batch Hours]]*tbl_Punch[[#This Row],[% Complete]],tbl_Punch[[#This Row],[Total hours]]*tbl_Punch[[#This Row],[% Complete]])</f>
        <v>#DIV/0!</v>
      </c>
      <c r="N188" s="31"/>
      <c r="P188" s="28" t="e">
        <f>tbl_Punch[[#This Row],[Mat. Qty]]*tbl_Punch[[#This Row],[% Complete]]</f>
        <v>#DIV/0!</v>
      </c>
      <c r="R188" s="32" t="str">
        <f>IFERROR(tbl_Punch[[#This Row],[Qty Complete]]/tbl_Punch[[#This Row],[Total Hours Act]]*tbl_Punch[[#This Row],['# of men Act]],"")</f>
        <v/>
      </c>
      <c r="T188"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88" s="35" t="str">
        <f>IFERROR((tbl_Punch[[#This Row],[Adj. Total Hours]]+tbl_Punch[[#This Row],[Est. Hours]])/(tbl_Punch[[#This Row],[Total Hours Act]]+tbl_Punch[[#This Row],[Act. Hours]]),"")</f>
        <v/>
      </c>
      <c r="Y188"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88" s="104" t="str">
        <f>IFERROR(tbl_Punch[[#This Row],[Act. Mat. Qty]]-tbl_Punch[[#This Row],[Adj. Mat. Qty]],"")</f>
        <v/>
      </c>
      <c r="AA188"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88" s="31"/>
      <c r="AD188" s="36"/>
    </row>
    <row r="189" spans="3:30" ht="25" customHeight="1">
      <c r="C189" s="28" t="str">
        <f>IF(tbl_Punch[[#This Row],[Part'#]]="", "Batch", "Part")</f>
        <v>Batch</v>
      </c>
      <c r="G189" s="28"/>
      <c r="I189" s="70" t="e">
        <f>tbl_Punch[[#This Row],[Qty Complete]]/tbl_Punch[[#This Row],[Qty Required]]</f>
        <v>#DIV/0!</v>
      </c>
      <c r="L189" s="31">
        <f>IF(tbl_Punch[[#This Row],[Job Type]]="Batch",0,tbl_Punch[[#This Row],[Qty Required]]/tbl_Punch[[#This Row],[PPH]]*tbl_Punch[[#This Row],['# of men]])</f>
        <v>0</v>
      </c>
      <c r="M189" s="31" t="e">
        <f>IF(tbl_Punch[[#This Row],[Job Type]]="Batch",tbl_Punch[[#This Row],[Batch Hours]]*tbl_Punch[[#This Row],[% Complete]],tbl_Punch[[#This Row],[Total hours]]*tbl_Punch[[#This Row],[% Complete]])</f>
        <v>#DIV/0!</v>
      </c>
      <c r="N189" s="31"/>
      <c r="P189" s="28" t="e">
        <f>tbl_Punch[[#This Row],[Mat. Qty]]*tbl_Punch[[#This Row],[% Complete]]</f>
        <v>#DIV/0!</v>
      </c>
      <c r="R189" s="32" t="str">
        <f>IFERROR(tbl_Punch[[#This Row],[Qty Complete]]/tbl_Punch[[#This Row],[Total Hours Act]]*tbl_Punch[[#This Row],['# of men Act]],"")</f>
        <v/>
      </c>
      <c r="T189"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89" s="35" t="str">
        <f>IFERROR((tbl_Punch[[#This Row],[Adj. Total Hours]]+tbl_Punch[[#This Row],[Est. Hours]])/(tbl_Punch[[#This Row],[Total Hours Act]]+tbl_Punch[[#This Row],[Act. Hours]]),"")</f>
        <v/>
      </c>
      <c r="Y189"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89" s="104" t="str">
        <f>IFERROR(tbl_Punch[[#This Row],[Act. Mat. Qty]]-tbl_Punch[[#This Row],[Adj. Mat. Qty]],"")</f>
        <v/>
      </c>
      <c r="AA189"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89" s="31"/>
      <c r="AD189" s="36"/>
    </row>
    <row r="190" spans="3:30" ht="25" customHeight="1">
      <c r="C190" s="28" t="str">
        <f>IF(tbl_Punch[[#This Row],[Part'#]]="", "Batch", "Part")</f>
        <v>Batch</v>
      </c>
      <c r="G190" s="28"/>
      <c r="I190" s="70" t="e">
        <f>tbl_Punch[[#This Row],[Qty Complete]]/tbl_Punch[[#This Row],[Qty Required]]</f>
        <v>#DIV/0!</v>
      </c>
      <c r="L190" s="31">
        <f>IF(tbl_Punch[[#This Row],[Job Type]]="Batch",0,tbl_Punch[[#This Row],[Qty Required]]/tbl_Punch[[#This Row],[PPH]]*tbl_Punch[[#This Row],['# of men]])</f>
        <v>0</v>
      </c>
      <c r="M190" s="31" t="e">
        <f>IF(tbl_Punch[[#This Row],[Job Type]]="Batch",tbl_Punch[[#This Row],[Batch Hours]]*tbl_Punch[[#This Row],[% Complete]],tbl_Punch[[#This Row],[Total hours]]*tbl_Punch[[#This Row],[% Complete]])</f>
        <v>#DIV/0!</v>
      </c>
      <c r="N190" s="31"/>
      <c r="P190" s="28" t="e">
        <f>tbl_Punch[[#This Row],[Mat. Qty]]*tbl_Punch[[#This Row],[% Complete]]</f>
        <v>#DIV/0!</v>
      </c>
      <c r="R190" s="32" t="str">
        <f>IFERROR(tbl_Punch[[#This Row],[Qty Complete]]/tbl_Punch[[#This Row],[Total Hours Act]]*tbl_Punch[[#This Row],['# of men Act]],"")</f>
        <v/>
      </c>
      <c r="T190"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90" s="35" t="str">
        <f>IFERROR((tbl_Punch[[#This Row],[Adj. Total Hours]]+tbl_Punch[[#This Row],[Est. Hours]])/(tbl_Punch[[#This Row],[Total Hours Act]]+tbl_Punch[[#This Row],[Act. Hours]]),"")</f>
        <v/>
      </c>
      <c r="Y190"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90" s="104" t="str">
        <f>IFERROR(tbl_Punch[[#This Row],[Act. Mat. Qty]]-tbl_Punch[[#This Row],[Adj. Mat. Qty]],"")</f>
        <v/>
      </c>
      <c r="AA190"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90" s="31"/>
      <c r="AD190" s="36"/>
    </row>
    <row r="191" spans="3:30" ht="25" customHeight="1">
      <c r="C191" s="28" t="str">
        <f>IF(tbl_Punch[[#This Row],[Part'#]]="", "Batch", "Part")</f>
        <v>Batch</v>
      </c>
      <c r="G191" s="28"/>
      <c r="I191" s="70" t="e">
        <f>tbl_Punch[[#This Row],[Qty Complete]]/tbl_Punch[[#This Row],[Qty Required]]</f>
        <v>#DIV/0!</v>
      </c>
      <c r="L191" s="31">
        <f>IF(tbl_Punch[[#This Row],[Job Type]]="Batch",0,tbl_Punch[[#This Row],[Qty Required]]/tbl_Punch[[#This Row],[PPH]]*tbl_Punch[[#This Row],['# of men]])</f>
        <v>0</v>
      </c>
      <c r="M191" s="31" t="e">
        <f>IF(tbl_Punch[[#This Row],[Job Type]]="Batch",tbl_Punch[[#This Row],[Batch Hours]]*tbl_Punch[[#This Row],[% Complete]],tbl_Punch[[#This Row],[Total hours]]*tbl_Punch[[#This Row],[% Complete]])</f>
        <v>#DIV/0!</v>
      </c>
      <c r="N191" s="31"/>
      <c r="P191" s="28" t="e">
        <f>tbl_Punch[[#This Row],[Mat. Qty]]*tbl_Punch[[#This Row],[% Complete]]</f>
        <v>#DIV/0!</v>
      </c>
      <c r="R191" s="32" t="str">
        <f>IFERROR(tbl_Punch[[#This Row],[Qty Complete]]/tbl_Punch[[#This Row],[Total Hours Act]]*tbl_Punch[[#This Row],['# of men Act]],"")</f>
        <v/>
      </c>
      <c r="T191"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91" s="35" t="str">
        <f>IFERROR((tbl_Punch[[#This Row],[Adj. Total Hours]]+tbl_Punch[[#This Row],[Est. Hours]])/(tbl_Punch[[#This Row],[Total Hours Act]]+tbl_Punch[[#This Row],[Act. Hours]]),"")</f>
        <v/>
      </c>
      <c r="Y191"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91" s="104" t="str">
        <f>IFERROR(tbl_Punch[[#This Row],[Act. Mat. Qty]]-tbl_Punch[[#This Row],[Adj. Mat. Qty]],"")</f>
        <v/>
      </c>
      <c r="AA191"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91" s="31"/>
      <c r="AD191" s="36"/>
    </row>
    <row r="192" spans="3:30" ht="25" customHeight="1">
      <c r="C192" s="28" t="str">
        <f>IF(tbl_Punch[[#This Row],[Part'#]]="", "Batch", "Part")</f>
        <v>Batch</v>
      </c>
      <c r="G192" s="28"/>
      <c r="I192" s="70" t="e">
        <f>tbl_Punch[[#This Row],[Qty Complete]]/tbl_Punch[[#This Row],[Qty Required]]</f>
        <v>#DIV/0!</v>
      </c>
      <c r="L192" s="31">
        <f>IF(tbl_Punch[[#This Row],[Job Type]]="Batch",0,tbl_Punch[[#This Row],[Qty Required]]/tbl_Punch[[#This Row],[PPH]]*tbl_Punch[[#This Row],['# of men]])</f>
        <v>0</v>
      </c>
      <c r="M192" s="31" t="e">
        <f>IF(tbl_Punch[[#This Row],[Job Type]]="Batch",tbl_Punch[[#This Row],[Batch Hours]]*tbl_Punch[[#This Row],[% Complete]],tbl_Punch[[#This Row],[Total hours]]*tbl_Punch[[#This Row],[% Complete]])</f>
        <v>#DIV/0!</v>
      </c>
      <c r="N192" s="31"/>
      <c r="P192" s="28" t="e">
        <f>tbl_Punch[[#This Row],[Mat. Qty]]*tbl_Punch[[#This Row],[% Complete]]</f>
        <v>#DIV/0!</v>
      </c>
      <c r="R192" s="32" t="str">
        <f>IFERROR(tbl_Punch[[#This Row],[Qty Complete]]/tbl_Punch[[#This Row],[Total Hours Act]]*tbl_Punch[[#This Row],['# of men Act]],"")</f>
        <v/>
      </c>
      <c r="T192"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92" s="35" t="str">
        <f>IFERROR((tbl_Punch[[#This Row],[Adj. Total Hours]]+tbl_Punch[[#This Row],[Est. Hours]])/(tbl_Punch[[#This Row],[Total Hours Act]]+tbl_Punch[[#This Row],[Act. Hours]]),"")</f>
        <v/>
      </c>
      <c r="Y192"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92" s="104" t="str">
        <f>IFERROR(tbl_Punch[[#This Row],[Act. Mat. Qty]]-tbl_Punch[[#This Row],[Adj. Mat. Qty]],"")</f>
        <v/>
      </c>
      <c r="AA192"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92" s="31"/>
      <c r="AD192" s="36"/>
    </row>
    <row r="193" spans="3:30" ht="25" customHeight="1">
      <c r="C193" s="28" t="str">
        <f>IF(tbl_Punch[[#This Row],[Part'#]]="", "Batch", "Part")</f>
        <v>Batch</v>
      </c>
      <c r="G193" s="28"/>
      <c r="I193" s="70" t="e">
        <f>tbl_Punch[[#This Row],[Qty Complete]]/tbl_Punch[[#This Row],[Qty Required]]</f>
        <v>#DIV/0!</v>
      </c>
      <c r="L193" s="31">
        <f>IF(tbl_Punch[[#This Row],[Job Type]]="Batch",0,tbl_Punch[[#This Row],[Qty Required]]/tbl_Punch[[#This Row],[PPH]]*tbl_Punch[[#This Row],['# of men]])</f>
        <v>0</v>
      </c>
      <c r="M193" s="31" t="e">
        <f>IF(tbl_Punch[[#This Row],[Job Type]]="Batch",tbl_Punch[[#This Row],[Batch Hours]]*tbl_Punch[[#This Row],[% Complete]],tbl_Punch[[#This Row],[Total hours]]*tbl_Punch[[#This Row],[% Complete]])</f>
        <v>#DIV/0!</v>
      </c>
      <c r="N193" s="31"/>
      <c r="P193" s="28" t="e">
        <f>tbl_Punch[[#This Row],[Mat. Qty]]*tbl_Punch[[#This Row],[% Complete]]</f>
        <v>#DIV/0!</v>
      </c>
      <c r="R193" s="32" t="str">
        <f>IFERROR(tbl_Punch[[#This Row],[Qty Complete]]/tbl_Punch[[#This Row],[Total Hours Act]]*tbl_Punch[[#This Row],['# of men Act]],"")</f>
        <v/>
      </c>
      <c r="T193"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93" s="35" t="str">
        <f>IFERROR((tbl_Punch[[#This Row],[Adj. Total Hours]]+tbl_Punch[[#This Row],[Est. Hours]])/(tbl_Punch[[#This Row],[Total Hours Act]]+tbl_Punch[[#This Row],[Act. Hours]]),"")</f>
        <v/>
      </c>
      <c r="Y193"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93" s="104" t="str">
        <f>IFERROR(tbl_Punch[[#This Row],[Act. Mat. Qty]]-tbl_Punch[[#This Row],[Adj. Mat. Qty]],"")</f>
        <v/>
      </c>
      <c r="AA193"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93" s="31"/>
      <c r="AD193" s="36"/>
    </row>
    <row r="194" spans="3:30" ht="25" customHeight="1">
      <c r="C194" s="28" t="str">
        <f>IF(tbl_Punch[[#This Row],[Part'#]]="", "Batch", "Part")</f>
        <v>Batch</v>
      </c>
      <c r="G194" s="28"/>
      <c r="I194" s="70" t="e">
        <f>tbl_Punch[[#This Row],[Qty Complete]]/tbl_Punch[[#This Row],[Qty Required]]</f>
        <v>#DIV/0!</v>
      </c>
      <c r="L194" s="31">
        <f>IF(tbl_Punch[[#This Row],[Job Type]]="Batch",0,tbl_Punch[[#This Row],[Qty Required]]/tbl_Punch[[#This Row],[PPH]]*tbl_Punch[[#This Row],['# of men]])</f>
        <v>0</v>
      </c>
      <c r="M194" s="31" t="e">
        <f>IF(tbl_Punch[[#This Row],[Job Type]]="Batch",tbl_Punch[[#This Row],[Batch Hours]]*tbl_Punch[[#This Row],[% Complete]],tbl_Punch[[#This Row],[Total hours]]*tbl_Punch[[#This Row],[% Complete]])</f>
        <v>#DIV/0!</v>
      </c>
      <c r="N194" s="31"/>
      <c r="P194" s="28" t="e">
        <f>tbl_Punch[[#This Row],[Mat. Qty]]*tbl_Punch[[#This Row],[% Complete]]</f>
        <v>#DIV/0!</v>
      </c>
      <c r="R194" s="32" t="str">
        <f>IFERROR(tbl_Punch[[#This Row],[Qty Complete]]/tbl_Punch[[#This Row],[Total Hours Act]]*tbl_Punch[[#This Row],['# of men Act]],"")</f>
        <v/>
      </c>
      <c r="T194"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94" s="35" t="str">
        <f>IFERROR((tbl_Punch[[#This Row],[Adj. Total Hours]]+tbl_Punch[[#This Row],[Est. Hours]])/(tbl_Punch[[#This Row],[Total Hours Act]]+tbl_Punch[[#This Row],[Act. Hours]]),"")</f>
        <v/>
      </c>
      <c r="Y194"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94" s="104" t="str">
        <f>IFERROR(tbl_Punch[[#This Row],[Act. Mat. Qty]]-tbl_Punch[[#This Row],[Adj. Mat. Qty]],"")</f>
        <v/>
      </c>
      <c r="AA194"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94" s="31"/>
      <c r="AD194" s="36"/>
    </row>
    <row r="195" spans="3:30" ht="25" customHeight="1">
      <c r="C195" s="28" t="str">
        <f>IF(tbl_Punch[[#This Row],[Part'#]]="", "Batch", "Part")</f>
        <v>Batch</v>
      </c>
      <c r="G195" s="28"/>
      <c r="I195" s="70" t="e">
        <f>tbl_Punch[[#This Row],[Qty Complete]]/tbl_Punch[[#This Row],[Qty Required]]</f>
        <v>#DIV/0!</v>
      </c>
      <c r="L195" s="31">
        <f>IF(tbl_Punch[[#This Row],[Job Type]]="Batch",0,tbl_Punch[[#This Row],[Qty Required]]/tbl_Punch[[#This Row],[PPH]]*tbl_Punch[[#This Row],['# of men]])</f>
        <v>0</v>
      </c>
      <c r="M195" s="31" t="e">
        <f>IF(tbl_Punch[[#This Row],[Job Type]]="Batch",tbl_Punch[[#This Row],[Batch Hours]]*tbl_Punch[[#This Row],[% Complete]],tbl_Punch[[#This Row],[Total hours]]*tbl_Punch[[#This Row],[% Complete]])</f>
        <v>#DIV/0!</v>
      </c>
      <c r="N195" s="31"/>
      <c r="P195" s="28" t="e">
        <f>tbl_Punch[[#This Row],[Mat. Qty]]*tbl_Punch[[#This Row],[% Complete]]</f>
        <v>#DIV/0!</v>
      </c>
      <c r="R195" s="32" t="str">
        <f>IFERROR(tbl_Punch[[#This Row],[Qty Complete]]/tbl_Punch[[#This Row],[Total Hours Act]]*tbl_Punch[[#This Row],['# of men Act]],"")</f>
        <v/>
      </c>
      <c r="T195"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95" s="35" t="str">
        <f>IFERROR((tbl_Punch[[#This Row],[Adj. Total Hours]]+tbl_Punch[[#This Row],[Est. Hours]])/(tbl_Punch[[#This Row],[Total Hours Act]]+tbl_Punch[[#This Row],[Act. Hours]]),"")</f>
        <v/>
      </c>
      <c r="Y195"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95" s="104" t="str">
        <f>IFERROR(tbl_Punch[[#This Row],[Act. Mat. Qty]]-tbl_Punch[[#This Row],[Adj. Mat. Qty]],"")</f>
        <v/>
      </c>
      <c r="AA195"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95" s="31"/>
      <c r="AD195" s="36"/>
    </row>
    <row r="196" spans="3:30" ht="25" customHeight="1">
      <c r="C196" s="28" t="str">
        <f>IF(tbl_Punch[[#This Row],[Part'#]]="", "Batch", "Part")</f>
        <v>Batch</v>
      </c>
      <c r="G196" s="28"/>
      <c r="I196" s="70" t="e">
        <f>tbl_Punch[[#This Row],[Qty Complete]]/tbl_Punch[[#This Row],[Qty Required]]</f>
        <v>#DIV/0!</v>
      </c>
      <c r="L196" s="31">
        <f>IF(tbl_Punch[[#This Row],[Job Type]]="Batch",0,tbl_Punch[[#This Row],[Qty Required]]/tbl_Punch[[#This Row],[PPH]]*tbl_Punch[[#This Row],['# of men]])</f>
        <v>0</v>
      </c>
      <c r="M196" s="31" t="e">
        <f>IF(tbl_Punch[[#This Row],[Job Type]]="Batch",tbl_Punch[[#This Row],[Batch Hours]]*tbl_Punch[[#This Row],[% Complete]],tbl_Punch[[#This Row],[Total hours]]*tbl_Punch[[#This Row],[% Complete]])</f>
        <v>#DIV/0!</v>
      </c>
      <c r="N196" s="31"/>
      <c r="P196" s="28" t="e">
        <f>tbl_Punch[[#This Row],[Mat. Qty]]*tbl_Punch[[#This Row],[% Complete]]</f>
        <v>#DIV/0!</v>
      </c>
      <c r="R196" s="32" t="str">
        <f>IFERROR(tbl_Punch[[#This Row],[Qty Complete]]/tbl_Punch[[#This Row],[Total Hours Act]]*tbl_Punch[[#This Row],['# of men Act]],"")</f>
        <v/>
      </c>
      <c r="T196"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96" s="35" t="str">
        <f>IFERROR((tbl_Punch[[#This Row],[Adj. Total Hours]]+tbl_Punch[[#This Row],[Est. Hours]])/(tbl_Punch[[#This Row],[Total Hours Act]]+tbl_Punch[[#This Row],[Act. Hours]]),"")</f>
        <v/>
      </c>
      <c r="Y196"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96" s="104" t="str">
        <f>IFERROR(tbl_Punch[[#This Row],[Act. Mat. Qty]]-tbl_Punch[[#This Row],[Adj. Mat. Qty]],"")</f>
        <v/>
      </c>
      <c r="AA196"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96" s="31"/>
      <c r="AD196" s="36"/>
    </row>
    <row r="197" spans="3:30" ht="25" customHeight="1">
      <c r="C197" s="28" t="str">
        <f>IF(tbl_Punch[[#This Row],[Part'#]]="", "Batch", "Part")</f>
        <v>Batch</v>
      </c>
      <c r="G197" s="28"/>
      <c r="I197" s="70" t="e">
        <f>tbl_Punch[[#This Row],[Qty Complete]]/tbl_Punch[[#This Row],[Qty Required]]</f>
        <v>#DIV/0!</v>
      </c>
      <c r="L197" s="31">
        <f>IF(tbl_Punch[[#This Row],[Job Type]]="Batch",0,tbl_Punch[[#This Row],[Qty Required]]/tbl_Punch[[#This Row],[PPH]]*tbl_Punch[[#This Row],['# of men]])</f>
        <v>0</v>
      </c>
      <c r="M197" s="31" t="e">
        <f>IF(tbl_Punch[[#This Row],[Job Type]]="Batch",tbl_Punch[[#This Row],[Batch Hours]]*tbl_Punch[[#This Row],[% Complete]],tbl_Punch[[#This Row],[Total hours]]*tbl_Punch[[#This Row],[% Complete]])</f>
        <v>#DIV/0!</v>
      </c>
      <c r="N197" s="31"/>
      <c r="P197" s="28" t="e">
        <f>tbl_Punch[[#This Row],[Mat. Qty]]*tbl_Punch[[#This Row],[% Complete]]</f>
        <v>#DIV/0!</v>
      </c>
      <c r="R197" s="32" t="str">
        <f>IFERROR(tbl_Punch[[#This Row],[Qty Complete]]/tbl_Punch[[#This Row],[Total Hours Act]]*tbl_Punch[[#This Row],['# of men Act]],"")</f>
        <v/>
      </c>
      <c r="T197"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97" s="35" t="str">
        <f>IFERROR((tbl_Punch[[#This Row],[Adj. Total Hours]]+tbl_Punch[[#This Row],[Est. Hours]])/(tbl_Punch[[#This Row],[Total Hours Act]]+tbl_Punch[[#This Row],[Act. Hours]]),"")</f>
        <v/>
      </c>
      <c r="Y197"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97" s="104" t="str">
        <f>IFERROR(tbl_Punch[[#This Row],[Act. Mat. Qty]]-tbl_Punch[[#This Row],[Adj. Mat. Qty]],"")</f>
        <v/>
      </c>
      <c r="AA197"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97" s="31"/>
      <c r="AD197" s="36"/>
    </row>
    <row r="198" spans="3:30" ht="25" customHeight="1">
      <c r="C198" s="28" t="str">
        <f>IF(tbl_Punch[[#This Row],[Part'#]]="", "Batch", "Part")</f>
        <v>Batch</v>
      </c>
      <c r="G198" s="28"/>
      <c r="I198" s="70" t="e">
        <f>tbl_Punch[[#This Row],[Qty Complete]]/tbl_Punch[[#This Row],[Qty Required]]</f>
        <v>#DIV/0!</v>
      </c>
      <c r="L198" s="31">
        <f>IF(tbl_Punch[[#This Row],[Job Type]]="Batch",0,tbl_Punch[[#This Row],[Qty Required]]/tbl_Punch[[#This Row],[PPH]]*tbl_Punch[[#This Row],['# of men]])</f>
        <v>0</v>
      </c>
      <c r="M198" s="31" t="e">
        <f>IF(tbl_Punch[[#This Row],[Job Type]]="Batch",tbl_Punch[[#This Row],[Batch Hours]]*tbl_Punch[[#This Row],[% Complete]],tbl_Punch[[#This Row],[Total hours]]*tbl_Punch[[#This Row],[% Complete]])</f>
        <v>#DIV/0!</v>
      </c>
      <c r="N198" s="31"/>
      <c r="P198" s="28" t="e">
        <f>tbl_Punch[[#This Row],[Mat. Qty]]*tbl_Punch[[#This Row],[% Complete]]</f>
        <v>#DIV/0!</v>
      </c>
      <c r="R198" s="32" t="str">
        <f>IFERROR(tbl_Punch[[#This Row],[Qty Complete]]/tbl_Punch[[#This Row],[Total Hours Act]]*tbl_Punch[[#This Row],['# of men Act]],"")</f>
        <v/>
      </c>
      <c r="T198"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98" s="35" t="str">
        <f>IFERROR((tbl_Punch[[#This Row],[Adj. Total Hours]]+tbl_Punch[[#This Row],[Est. Hours]])/(tbl_Punch[[#This Row],[Total Hours Act]]+tbl_Punch[[#This Row],[Act. Hours]]),"")</f>
        <v/>
      </c>
      <c r="Y198"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98" s="104" t="str">
        <f>IFERROR(tbl_Punch[[#This Row],[Act. Mat. Qty]]-tbl_Punch[[#This Row],[Adj. Mat. Qty]],"")</f>
        <v/>
      </c>
      <c r="AA198"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98" s="31"/>
      <c r="AD198" s="36"/>
    </row>
    <row r="199" spans="3:30" ht="25" customHeight="1">
      <c r="C199" s="28" t="str">
        <f>IF(tbl_Punch[[#This Row],[Part'#]]="", "Batch", "Part")</f>
        <v>Batch</v>
      </c>
      <c r="G199" s="28"/>
      <c r="I199" s="70" t="e">
        <f>tbl_Punch[[#This Row],[Qty Complete]]/tbl_Punch[[#This Row],[Qty Required]]</f>
        <v>#DIV/0!</v>
      </c>
      <c r="L199" s="31">
        <f>IF(tbl_Punch[[#This Row],[Job Type]]="Batch",0,tbl_Punch[[#This Row],[Qty Required]]/tbl_Punch[[#This Row],[PPH]]*tbl_Punch[[#This Row],['# of men]])</f>
        <v>0</v>
      </c>
      <c r="M199" s="31" t="e">
        <f>IF(tbl_Punch[[#This Row],[Job Type]]="Batch",tbl_Punch[[#This Row],[Batch Hours]]*tbl_Punch[[#This Row],[% Complete]],tbl_Punch[[#This Row],[Total hours]]*tbl_Punch[[#This Row],[% Complete]])</f>
        <v>#DIV/0!</v>
      </c>
      <c r="N199" s="31"/>
      <c r="P199" s="28" t="e">
        <f>tbl_Punch[[#This Row],[Mat. Qty]]*tbl_Punch[[#This Row],[% Complete]]</f>
        <v>#DIV/0!</v>
      </c>
      <c r="R199" s="32" t="str">
        <f>IFERROR(tbl_Punch[[#This Row],[Qty Complete]]/tbl_Punch[[#This Row],[Total Hours Act]]*tbl_Punch[[#This Row],['# of men Act]],"")</f>
        <v/>
      </c>
      <c r="T199"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199" s="35" t="str">
        <f>IFERROR((tbl_Punch[[#This Row],[Adj. Total Hours]]+tbl_Punch[[#This Row],[Est. Hours]])/(tbl_Punch[[#This Row],[Total Hours Act]]+tbl_Punch[[#This Row],[Act. Hours]]),"")</f>
        <v/>
      </c>
      <c r="Y199"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199" s="104" t="str">
        <f>IFERROR(tbl_Punch[[#This Row],[Act. Mat. Qty]]-tbl_Punch[[#This Row],[Adj. Mat. Qty]],"")</f>
        <v/>
      </c>
      <c r="AA199"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199" s="31"/>
      <c r="AD199" s="36"/>
    </row>
    <row r="200" spans="3:30" ht="25" customHeight="1">
      <c r="C200" s="28" t="str">
        <f>IF(tbl_Punch[[#This Row],[Part'#]]="", "Batch", "Part")</f>
        <v>Batch</v>
      </c>
      <c r="G200" s="28"/>
      <c r="I200" s="70" t="e">
        <f>tbl_Punch[[#This Row],[Qty Complete]]/tbl_Punch[[#This Row],[Qty Required]]</f>
        <v>#DIV/0!</v>
      </c>
      <c r="L200" s="31">
        <f>IF(tbl_Punch[[#This Row],[Job Type]]="Batch",0,tbl_Punch[[#This Row],[Qty Required]]/tbl_Punch[[#This Row],[PPH]]*tbl_Punch[[#This Row],['# of men]])</f>
        <v>0</v>
      </c>
      <c r="M200" s="31" t="e">
        <f>IF(tbl_Punch[[#This Row],[Job Type]]="Batch",tbl_Punch[[#This Row],[Batch Hours]]*tbl_Punch[[#This Row],[% Complete]],tbl_Punch[[#This Row],[Total hours]]*tbl_Punch[[#This Row],[% Complete]])</f>
        <v>#DIV/0!</v>
      </c>
      <c r="N200" s="31"/>
      <c r="P200" s="28" t="e">
        <f>tbl_Punch[[#This Row],[Mat. Qty]]*tbl_Punch[[#This Row],[% Complete]]</f>
        <v>#DIV/0!</v>
      </c>
      <c r="R200" s="32" t="str">
        <f>IFERROR(tbl_Punch[[#This Row],[Qty Complete]]/tbl_Punch[[#This Row],[Total Hours Act]]*tbl_Punch[[#This Row],['# of men Act]],"")</f>
        <v/>
      </c>
      <c r="T200"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200" s="35" t="str">
        <f>IFERROR((tbl_Punch[[#This Row],[Adj. Total Hours]]+tbl_Punch[[#This Row],[Est. Hours]])/(tbl_Punch[[#This Row],[Total Hours Act]]+tbl_Punch[[#This Row],[Act. Hours]]),"")</f>
        <v/>
      </c>
      <c r="Y200"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200" s="104" t="str">
        <f>IFERROR(tbl_Punch[[#This Row],[Act. Mat. Qty]]-tbl_Punch[[#This Row],[Adj. Mat. Qty]],"")</f>
        <v/>
      </c>
      <c r="AA200"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200" s="31"/>
      <c r="AD200" s="36"/>
    </row>
    <row r="201" spans="3:30" ht="25" customHeight="1">
      <c r="C201" s="28" t="str">
        <f>IF(tbl_Punch[[#This Row],[Part'#]]="", "Batch", "Part")</f>
        <v>Batch</v>
      </c>
      <c r="G201" s="28"/>
      <c r="I201" s="70" t="e">
        <f>tbl_Punch[[#This Row],[Qty Complete]]/tbl_Punch[[#This Row],[Qty Required]]</f>
        <v>#DIV/0!</v>
      </c>
      <c r="L201" s="31">
        <f>IF(tbl_Punch[[#This Row],[Job Type]]="Batch",0,tbl_Punch[[#This Row],[Qty Required]]/tbl_Punch[[#This Row],[PPH]]*tbl_Punch[[#This Row],['# of men]])</f>
        <v>0</v>
      </c>
      <c r="M201" s="31" t="e">
        <f>IF(tbl_Punch[[#This Row],[Job Type]]="Batch",tbl_Punch[[#This Row],[Batch Hours]]*tbl_Punch[[#This Row],[% Complete]],tbl_Punch[[#This Row],[Total hours]]*tbl_Punch[[#This Row],[% Complete]])</f>
        <v>#DIV/0!</v>
      </c>
      <c r="N201" s="31"/>
      <c r="P201" s="28" t="e">
        <f>tbl_Punch[[#This Row],[Mat. Qty]]*tbl_Punch[[#This Row],[% Complete]]</f>
        <v>#DIV/0!</v>
      </c>
      <c r="R201" s="32" t="str">
        <f>IFERROR(tbl_Punch[[#This Row],[Qty Complete]]/tbl_Punch[[#This Row],[Total Hours Act]]*tbl_Punch[[#This Row],['# of men Act]],"")</f>
        <v/>
      </c>
      <c r="T201"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201" s="35" t="str">
        <f>IFERROR((tbl_Punch[[#This Row],[Adj. Total Hours]]+tbl_Punch[[#This Row],[Est. Hours]])/(tbl_Punch[[#This Row],[Total Hours Act]]+tbl_Punch[[#This Row],[Act. Hours]]),"")</f>
        <v/>
      </c>
      <c r="Y201"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201" s="104" t="str">
        <f>IFERROR(tbl_Punch[[#This Row],[Act. Mat. Qty]]-tbl_Punch[[#This Row],[Adj. Mat. Qty]],"")</f>
        <v/>
      </c>
      <c r="AA201"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201" s="31"/>
      <c r="AD201" s="36"/>
    </row>
    <row r="202" spans="3:30" ht="25" customHeight="1">
      <c r="C202" s="28" t="str">
        <f>IF(tbl_Punch[[#This Row],[Part'#]]="", "Batch", "Part")</f>
        <v>Batch</v>
      </c>
      <c r="G202" s="28"/>
      <c r="I202" s="70" t="e">
        <f>tbl_Punch[[#This Row],[Qty Complete]]/tbl_Punch[[#This Row],[Qty Required]]</f>
        <v>#DIV/0!</v>
      </c>
      <c r="L202" s="31">
        <f>IF(tbl_Punch[[#This Row],[Job Type]]="Batch",0,tbl_Punch[[#This Row],[Qty Required]]/tbl_Punch[[#This Row],[PPH]]*tbl_Punch[[#This Row],['# of men]])</f>
        <v>0</v>
      </c>
      <c r="M202" s="31" t="e">
        <f>IF(tbl_Punch[[#This Row],[Job Type]]="Batch",tbl_Punch[[#This Row],[Batch Hours]]*tbl_Punch[[#This Row],[% Complete]],tbl_Punch[[#This Row],[Total hours]]*tbl_Punch[[#This Row],[% Complete]])</f>
        <v>#DIV/0!</v>
      </c>
      <c r="N202" s="31"/>
      <c r="P202" s="28" t="e">
        <f>tbl_Punch[[#This Row],[Mat. Qty]]*tbl_Punch[[#This Row],[% Complete]]</f>
        <v>#DIV/0!</v>
      </c>
      <c r="R202" s="32" t="str">
        <f>IFERROR(tbl_Punch[[#This Row],[Qty Complete]]/tbl_Punch[[#This Row],[Total Hours Act]]*tbl_Punch[[#This Row],['# of men Act]],"")</f>
        <v/>
      </c>
      <c r="T202"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202" s="35" t="str">
        <f>IFERROR((tbl_Punch[[#This Row],[Adj. Total Hours]]+tbl_Punch[[#This Row],[Est. Hours]])/(tbl_Punch[[#This Row],[Total Hours Act]]+tbl_Punch[[#This Row],[Act. Hours]]),"")</f>
        <v/>
      </c>
      <c r="Y202"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202" s="104" t="str">
        <f>IFERROR(tbl_Punch[[#This Row],[Act. Mat. Qty]]-tbl_Punch[[#This Row],[Adj. Mat. Qty]],"")</f>
        <v/>
      </c>
      <c r="AA202"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202" s="31"/>
      <c r="AD202" s="36"/>
    </row>
    <row r="203" spans="3:30" ht="25" customHeight="1">
      <c r="C203" s="28" t="str">
        <f>IF(tbl_Punch[[#This Row],[Part'#]]="", "Batch", "Part")</f>
        <v>Batch</v>
      </c>
      <c r="G203" s="28"/>
      <c r="I203" s="70" t="e">
        <f>tbl_Punch[[#This Row],[Qty Complete]]/tbl_Punch[[#This Row],[Qty Required]]</f>
        <v>#DIV/0!</v>
      </c>
      <c r="L203" s="31">
        <f>IF(tbl_Punch[[#This Row],[Job Type]]="Batch",0,tbl_Punch[[#This Row],[Qty Required]]/tbl_Punch[[#This Row],[PPH]]*tbl_Punch[[#This Row],['# of men]])</f>
        <v>0</v>
      </c>
      <c r="M203" s="31" t="e">
        <f>IF(tbl_Punch[[#This Row],[Job Type]]="Batch",tbl_Punch[[#This Row],[Batch Hours]]*tbl_Punch[[#This Row],[% Complete]],tbl_Punch[[#This Row],[Total hours]]*tbl_Punch[[#This Row],[% Complete]])</f>
        <v>#DIV/0!</v>
      </c>
      <c r="N203" s="31"/>
      <c r="P203" s="28" t="e">
        <f>tbl_Punch[[#This Row],[Mat. Qty]]*tbl_Punch[[#This Row],[% Complete]]</f>
        <v>#DIV/0!</v>
      </c>
      <c r="R203" s="32" t="str">
        <f>IFERROR(tbl_Punch[[#This Row],[Qty Complete]]/tbl_Punch[[#This Row],[Total Hours Act]]*tbl_Punch[[#This Row],['# of men Act]],"")</f>
        <v/>
      </c>
      <c r="T203"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203" s="35" t="str">
        <f>IFERROR((tbl_Punch[[#This Row],[Adj. Total Hours]]+tbl_Punch[[#This Row],[Est. Hours]])/(tbl_Punch[[#This Row],[Total Hours Act]]+tbl_Punch[[#This Row],[Act. Hours]]),"")</f>
        <v/>
      </c>
      <c r="Y203"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203" s="104" t="str">
        <f>IFERROR(tbl_Punch[[#This Row],[Act. Mat. Qty]]-tbl_Punch[[#This Row],[Adj. Mat. Qty]],"")</f>
        <v/>
      </c>
      <c r="AA203"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203" s="31"/>
      <c r="AD203" s="36"/>
    </row>
    <row r="204" spans="3:30" ht="25" customHeight="1">
      <c r="C204" s="28" t="str">
        <f>IF(tbl_Punch[[#This Row],[Part'#]]="", "Batch", "Part")</f>
        <v>Batch</v>
      </c>
      <c r="G204" s="28"/>
      <c r="I204" s="70" t="e">
        <f>tbl_Punch[[#This Row],[Qty Complete]]/tbl_Punch[[#This Row],[Qty Required]]</f>
        <v>#DIV/0!</v>
      </c>
      <c r="L204" s="31">
        <f>IF(tbl_Punch[[#This Row],[Job Type]]="Batch",0,tbl_Punch[[#This Row],[Qty Required]]/tbl_Punch[[#This Row],[PPH]]*tbl_Punch[[#This Row],['# of men]])</f>
        <v>0</v>
      </c>
      <c r="M204" s="31" t="e">
        <f>IF(tbl_Punch[[#This Row],[Job Type]]="Batch",tbl_Punch[[#This Row],[Batch Hours]]*tbl_Punch[[#This Row],[% Complete]],tbl_Punch[[#This Row],[Total hours]]*tbl_Punch[[#This Row],[% Complete]])</f>
        <v>#DIV/0!</v>
      </c>
      <c r="N204" s="31"/>
      <c r="P204" s="28" t="e">
        <f>tbl_Punch[[#This Row],[Mat. Qty]]*tbl_Punch[[#This Row],[% Complete]]</f>
        <v>#DIV/0!</v>
      </c>
      <c r="R204" s="32" t="str">
        <f>IFERROR(tbl_Punch[[#This Row],[Qty Complete]]/tbl_Punch[[#This Row],[Total Hours Act]]*tbl_Punch[[#This Row],['# of men Act]],"")</f>
        <v/>
      </c>
      <c r="T204"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204" s="35" t="str">
        <f>IFERROR((tbl_Punch[[#This Row],[Adj. Total Hours]]+tbl_Punch[[#This Row],[Est. Hours]])/(tbl_Punch[[#This Row],[Total Hours Act]]+tbl_Punch[[#This Row],[Act. Hours]]),"")</f>
        <v/>
      </c>
      <c r="Y204"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204" s="104" t="str">
        <f>IFERROR(tbl_Punch[[#This Row],[Act. Mat. Qty]]-tbl_Punch[[#This Row],[Adj. Mat. Qty]],"")</f>
        <v/>
      </c>
      <c r="AA204"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204" s="31"/>
      <c r="AD204" s="36"/>
    </row>
    <row r="205" spans="3:30" ht="25" customHeight="1">
      <c r="C205" s="28" t="str">
        <f>IF(tbl_Punch[[#This Row],[Part'#]]="", "Batch", "Part")</f>
        <v>Batch</v>
      </c>
      <c r="G205" s="28"/>
      <c r="I205" s="70" t="e">
        <f>tbl_Punch[[#This Row],[Qty Complete]]/tbl_Punch[[#This Row],[Qty Required]]</f>
        <v>#DIV/0!</v>
      </c>
      <c r="L205" s="31">
        <f>IF(tbl_Punch[[#This Row],[Job Type]]="Batch",0,tbl_Punch[[#This Row],[Qty Required]]/tbl_Punch[[#This Row],[PPH]]*tbl_Punch[[#This Row],['# of men]])</f>
        <v>0</v>
      </c>
      <c r="M205" s="31" t="e">
        <f>IF(tbl_Punch[[#This Row],[Job Type]]="Batch",tbl_Punch[[#This Row],[Batch Hours]]*tbl_Punch[[#This Row],[% Complete]],tbl_Punch[[#This Row],[Total hours]]*tbl_Punch[[#This Row],[% Complete]])</f>
        <v>#DIV/0!</v>
      </c>
      <c r="N205" s="31"/>
      <c r="P205" s="28" t="e">
        <f>tbl_Punch[[#This Row],[Mat. Qty]]*tbl_Punch[[#This Row],[% Complete]]</f>
        <v>#DIV/0!</v>
      </c>
      <c r="R205" s="32" t="str">
        <f>IFERROR(tbl_Punch[[#This Row],[Qty Complete]]/tbl_Punch[[#This Row],[Total Hours Act]]*tbl_Punch[[#This Row],['# of men Act]],"")</f>
        <v/>
      </c>
      <c r="T205"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205" s="35" t="str">
        <f>IFERROR((tbl_Punch[[#This Row],[Adj. Total Hours]]+tbl_Punch[[#This Row],[Est. Hours]])/(tbl_Punch[[#This Row],[Total Hours Act]]+tbl_Punch[[#This Row],[Act. Hours]]),"")</f>
        <v/>
      </c>
      <c r="Y205"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205" s="104" t="str">
        <f>IFERROR(tbl_Punch[[#This Row],[Act. Mat. Qty]]-tbl_Punch[[#This Row],[Adj. Mat. Qty]],"")</f>
        <v/>
      </c>
      <c r="AA205"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205" s="31"/>
      <c r="AD205" s="36"/>
    </row>
    <row r="206" spans="3:30" ht="25" customHeight="1">
      <c r="C206" s="28" t="str">
        <f>IF(tbl_Punch[[#This Row],[Part'#]]="", "Batch", "Part")</f>
        <v>Batch</v>
      </c>
      <c r="G206" s="28"/>
      <c r="I206" s="70" t="e">
        <f>tbl_Punch[[#This Row],[Qty Complete]]/tbl_Punch[[#This Row],[Qty Required]]</f>
        <v>#DIV/0!</v>
      </c>
      <c r="L206" s="31">
        <f>IF(tbl_Punch[[#This Row],[Job Type]]="Batch",0,tbl_Punch[[#This Row],[Qty Required]]/tbl_Punch[[#This Row],[PPH]]*tbl_Punch[[#This Row],['# of men]])</f>
        <v>0</v>
      </c>
      <c r="M206" s="31" t="e">
        <f>IF(tbl_Punch[[#This Row],[Job Type]]="Batch",tbl_Punch[[#This Row],[Batch Hours]]*tbl_Punch[[#This Row],[% Complete]],tbl_Punch[[#This Row],[Total hours]]*tbl_Punch[[#This Row],[% Complete]])</f>
        <v>#DIV/0!</v>
      </c>
      <c r="N206" s="31"/>
      <c r="P206" s="28" t="e">
        <f>tbl_Punch[[#This Row],[Mat. Qty]]*tbl_Punch[[#This Row],[% Complete]]</f>
        <v>#DIV/0!</v>
      </c>
      <c r="R206" s="32" t="str">
        <f>IFERROR(tbl_Punch[[#This Row],[Qty Complete]]/tbl_Punch[[#This Row],[Total Hours Act]]*tbl_Punch[[#This Row],['# of men Act]],"")</f>
        <v/>
      </c>
      <c r="T206"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206" s="35" t="str">
        <f>IFERROR((tbl_Punch[[#This Row],[Adj. Total Hours]]+tbl_Punch[[#This Row],[Est. Hours]])/(tbl_Punch[[#This Row],[Total Hours Act]]+tbl_Punch[[#This Row],[Act. Hours]]),"")</f>
        <v/>
      </c>
      <c r="Y206"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206" s="104" t="str">
        <f>IFERROR(tbl_Punch[[#This Row],[Act. Mat. Qty]]-tbl_Punch[[#This Row],[Adj. Mat. Qty]],"")</f>
        <v/>
      </c>
      <c r="AA206"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206" s="31"/>
      <c r="AD206" s="36"/>
    </row>
    <row r="207" spans="3:30" ht="25" customHeight="1">
      <c r="C207" s="28" t="str">
        <f>IF(tbl_Punch[[#This Row],[Part'#]]="", "Batch", "Part")</f>
        <v>Batch</v>
      </c>
      <c r="G207" s="28"/>
      <c r="I207" s="70" t="e">
        <f>tbl_Punch[[#This Row],[Qty Complete]]/tbl_Punch[[#This Row],[Qty Required]]</f>
        <v>#DIV/0!</v>
      </c>
      <c r="L207" s="31">
        <f>IF(tbl_Punch[[#This Row],[Job Type]]="Batch",0,tbl_Punch[[#This Row],[Qty Required]]/tbl_Punch[[#This Row],[PPH]]*tbl_Punch[[#This Row],['# of men]])</f>
        <v>0</v>
      </c>
      <c r="M207" s="31" t="e">
        <f>IF(tbl_Punch[[#This Row],[Job Type]]="Batch",tbl_Punch[[#This Row],[Batch Hours]]*tbl_Punch[[#This Row],[% Complete]],tbl_Punch[[#This Row],[Total hours]]*tbl_Punch[[#This Row],[% Complete]])</f>
        <v>#DIV/0!</v>
      </c>
      <c r="N207" s="31"/>
      <c r="P207" s="28" t="e">
        <f>tbl_Punch[[#This Row],[Mat. Qty]]*tbl_Punch[[#This Row],[% Complete]]</f>
        <v>#DIV/0!</v>
      </c>
      <c r="R207" s="32" t="str">
        <f>IFERROR(tbl_Punch[[#This Row],[Qty Complete]]/tbl_Punch[[#This Row],[Total Hours Act]]*tbl_Punch[[#This Row],['# of men Act]],"")</f>
        <v/>
      </c>
      <c r="T207"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207" s="35" t="str">
        <f>IFERROR((tbl_Punch[[#This Row],[Adj. Total Hours]]+tbl_Punch[[#This Row],[Est. Hours]])/(tbl_Punch[[#This Row],[Total Hours Act]]+tbl_Punch[[#This Row],[Act. Hours]]),"")</f>
        <v/>
      </c>
      <c r="Y207"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207" s="104" t="str">
        <f>IFERROR(tbl_Punch[[#This Row],[Act. Mat. Qty]]-tbl_Punch[[#This Row],[Adj. Mat. Qty]],"")</f>
        <v/>
      </c>
      <c r="AA207"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207" s="31"/>
      <c r="AD207" s="36"/>
    </row>
    <row r="208" spans="3:30" ht="25" customHeight="1">
      <c r="C208" s="28" t="str">
        <f>IF(tbl_Punch[[#This Row],[Part'#]]="", "Batch", "Part")</f>
        <v>Batch</v>
      </c>
      <c r="G208" s="28"/>
      <c r="I208" s="70" t="e">
        <f>tbl_Punch[[#This Row],[Qty Complete]]/tbl_Punch[[#This Row],[Qty Required]]</f>
        <v>#DIV/0!</v>
      </c>
      <c r="L208" s="31">
        <f>IF(tbl_Punch[[#This Row],[Job Type]]="Batch",0,tbl_Punch[[#This Row],[Qty Required]]/tbl_Punch[[#This Row],[PPH]]*tbl_Punch[[#This Row],['# of men]])</f>
        <v>0</v>
      </c>
      <c r="M208" s="31" t="e">
        <f>IF(tbl_Punch[[#This Row],[Job Type]]="Batch",tbl_Punch[[#This Row],[Batch Hours]]*tbl_Punch[[#This Row],[% Complete]],tbl_Punch[[#This Row],[Total hours]]*tbl_Punch[[#This Row],[% Complete]])</f>
        <v>#DIV/0!</v>
      </c>
      <c r="N208" s="31"/>
      <c r="P208" s="28" t="e">
        <f>tbl_Punch[[#This Row],[Mat. Qty]]*tbl_Punch[[#This Row],[% Complete]]</f>
        <v>#DIV/0!</v>
      </c>
      <c r="R208" s="32" t="str">
        <f>IFERROR(tbl_Punch[[#This Row],[Qty Complete]]/tbl_Punch[[#This Row],[Total Hours Act]]*tbl_Punch[[#This Row],['# of men Act]],"")</f>
        <v/>
      </c>
      <c r="T208"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208" s="35" t="str">
        <f>IFERROR((tbl_Punch[[#This Row],[Adj. Total Hours]]+tbl_Punch[[#This Row],[Est. Hours]])/(tbl_Punch[[#This Row],[Total Hours Act]]+tbl_Punch[[#This Row],[Act. Hours]]),"")</f>
        <v/>
      </c>
      <c r="Y208"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208" s="104" t="str">
        <f>IFERROR(tbl_Punch[[#This Row],[Act. Mat. Qty]]-tbl_Punch[[#This Row],[Adj. Mat. Qty]],"")</f>
        <v/>
      </c>
      <c r="AA208"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208" s="31"/>
      <c r="AD208" s="36"/>
    </row>
    <row r="209" spans="3:30" ht="25" customHeight="1">
      <c r="C209" s="28" t="str">
        <f>IF(tbl_Punch[[#This Row],[Part'#]]="", "Batch", "Part")</f>
        <v>Batch</v>
      </c>
      <c r="G209" s="28"/>
      <c r="I209" s="70" t="e">
        <f>tbl_Punch[[#This Row],[Qty Complete]]/tbl_Punch[[#This Row],[Qty Required]]</f>
        <v>#DIV/0!</v>
      </c>
      <c r="L209" s="31">
        <f>IF(tbl_Punch[[#This Row],[Job Type]]="Batch",0,tbl_Punch[[#This Row],[Qty Required]]/tbl_Punch[[#This Row],[PPH]]*tbl_Punch[[#This Row],['# of men]])</f>
        <v>0</v>
      </c>
      <c r="M209" s="31" t="e">
        <f>IF(tbl_Punch[[#This Row],[Job Type]]="Batch",tbl_Punch[[#This Row],[Batch Hours]]*tbl_Punch[[#This Row],[% Complete]],tbl_Punch[[#This Row],[Total hours]]*tbl_Punch[[#This Row],[% Complete]])</f>
        <v>#DIV/0!</v>
      </c>
      <c r="N209" s="31"/>
      <c r="P209" s="28" t="e">
        <f>tbl_Punch[[#This Row],[Mat. Qty]]*tbl_Punch[[#This Row],[% Complete]]</f>
        <v>#DIV/0!</v>
      </c>
      <c r="R209" s="32" t="str">
        <f>IFERROR(tbl_Punch[[#This Row],[Qty Complete]]/tbl_Punch[[#This Row],[Total Hours Act]]*tbl_Punch[[#This Row],['# of men Act]],"")</f>
        <v/>
      </c>
      <c r="T209"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209" s="35" t="str">
        <f>IFERROR((tbl_Punch[[#This Row],[Adj. Total Hours]]+tbl_Punch[[#This Row],[Est. Hours]])/(tbl_Punch[[#This Row],[Total Hours Act]]+tbl_Punch[[#This Row],[Act. Hours]]),"")</f>
        <v/>
      </c>
      <c r="Y209"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209" s="104" t="str">
        <f>IFERROR(tbl_Punch[[#This Row],[Act. Mat. Qty]]-tbl_Punch[[#This Row],[Adj. Mat. Qty]],"")</f>
        <v/>
      </c>
      <c r="AA209"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209" s="31"/>
      <c r="AD209" s="36"/>
    </row>
    <row r="210" spans="3:30" ht="25" customHeight="1">
      <c r="C210" s="28" t="str">
        <f>IF(tbl_Punch[[#This Row],[Part'#]]="", "Batch", "Part")</f>
        <v>Batch</v>
      </c>
      <c r="G210" s="28"/>
      <c r="I210" s="70" t="e">
        <f>tbl_Punch[[#This Row],[Qty Complete]]/tbl_Punch[[#This Row],[Qty Required]]</f>
        <v>#DIV/0!</v>
      </c>
      <c r="L210" s="31">
        <f>IF(tbl_Punch[[#This Row],[Job Type]]="Batch",0,tbl_Punch[[#This Row],[Qty Required]]/tbl_Punch[[#This Row],[PPH]]*tbl_Punch[[#This Row],['# of men]])</f>
        <v>0</v>
      </c>
      <c r="M210" s="31" t="e">
        <f>IF(tbl_Punch[[#This Row],[Job Type]]="Batch",tbl_Punch[[#This Row],[Batch Hours]]*tbl_Punch[[#This Row],[% Complete]],tbl_Punch[[#This Row],[Total hours]]*tbl_Punch[[#This Row],[% Complete]])</f>
        <v>#DIV/0!</v>
      </c>
      <c r="N210" s="31"/>
      <c r="P210" s="28" t="e">
        <f>tbl_Punch[[#This Row],[Mat. Qty]]*tbl_Punch[[#This Row],[% Complete]]</f>
        <v>#DIV/0!</v>
      </c>
      <c r="R210" s="32" t="str">
        <f>IFERROR(tbl_Punch[[#This Row],[Qty Complete]]/tbl_Punch[[#This Row],[Total Hours Act]]*tbl_Punch[[#This Row],['# of men Act]],"")</f>
        <v/>
      </c>
      <c r="T210"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210" s="35" t="str">
        <f>IFERROR((tbl_Punch[[#This Row],[Adj. Total Hours]]+tbl_Punch[[#This Row],[Est. Hours]])/(tbl_Punch[[#This Row],[Total Hours Act]]+tbl_Punch[[#This Row],[Act. Hours]]),"")</f>
        <v/>
      </c>
      <c r="Y210"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210" s="104" t="str">
        <f>IFERROR(tbl_Punch[[#This Row],[Act. Mat. Qty]]-tbl_Punch[[#This Row],[Adj. Mat. Qty]],"")</f>
        <v/>
      </c>
      <c r="AA210"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210" s="31"/>
      <c r="AD210" s="36"/>
    </row>
    <row r="211" spans="3:30" ht="25" customHeight="1">
      <c r="C211" s="28" t="str">
        <f>IF(tbl_Punch[[#This Row],[Part'#]]="", "Batch", "Part")</f>
        <v>Batch</v>
      </c>
      <c r="G211" s="28"/>
      <c r="I211" s="70" t="e">
        <f>tbl_Punch[[#This Row],[Qty Complete]]/tbl_Punch[[#This Row],[Qty Required]]</f>
        <v>#DIV/0!</v>
      </c>
      <c r="L211" s="31">
        <f>IF(tbl_Punch[[#This Row],[Job Type]]="Batch",0,tbl_Punch[[#This Row],[Qty Required]]/tbl_Punch[[#This Row],[PPH]]*tbl_Punch[[#This Row],['# of men]])</f>
        <v>0</v>
      </c>
      <c r="M211" s="31" t="e">
        <f>IF(tbl_Punch[[#This Row],[Job Type]]="Batch",tbl_Punch[[#This Row],[Batch Hours]]*tbl_Punch[[#This Row],[% Complete]],tbl_Punch[[#This Row],[Total hours]]*tbl_Punch[[#This Row],[% Complete]])</f>
        <v>#DIV/0!</v>
      </c>
      <c r="N211" s="31"/>
      <c r="P211" s="28" t="e">
        <f>tbl_Punch[[#This Row],[Mat. Qty]]*tbl_Punch[[#This Row],[% Complete]]</f>
        <v>#DIV/0!</v>
      </c>
      <c r="R211" s="32" t="str">
        <f>IFERROR(tbl_Punch[[#This Row],[Qty Complete]]/tbl_Punch[[#This Row],[Total Hours Act]]*tbl_Punch[[#This Row],['# of men Act]],"")</f>
        <v/>
      </c>
      <c r="T211"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211" s="35" t="str">
        <f>IFERROR((tbl_Punch[[#This Row],[Adj. Total Hours]]+tbl_Punch[[#This Row],[Est. Hours]])/(tbl_Punch[[#This Row],[Total Hours Act]]+tbl_Punch[[#This Row],[Act. Hours]]),"")</f>
        <v/>
      </c>
      <c r="Y211"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211" s="104" t="str">
        <f>IFERROR(tbl_Punch[[#This Row],[Act. Mat. Qty]]-tbl_Punch[[#This Row],[Adj. Mat. Qty]],"")</f>
        <v/>
      </c>
      <c r="AA211"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211" s="31"/>
      <c r="AD211" s="36"/>
    </row>
    <row r="212" spans="3:30" ht="25" customHeight="1">
      <c r="C212" s="28" t="str">
        <f>IF(tbl_Punch[[#This Row],[Part'#]]="", "Batch", "Part")</f>
        <v>Batch</v>
      </c>
      <c r="G212" s="28"/>
      <c r="I212" s="70" t="e">
        <f>tbl_Punch[[#This Row],[Qty Complete]]/tbl_Punch[[#This Row],[Qty Required]]</f>
        <v>#DIV/0!</v>
      </c>
      <c r="L212" s="31">
        <f>IF(tbl_Punch[[#This Row],[Job Type]]="Batch",0,tbl_Punch[[#This Row],[Qty Required]]/tbl_Punch[[#This Row],[PPH]]*tbl_Punch[[#This Row],['# of men]])</f>
        <v>0</v>
      </c>
      <c r="M212" s="31" t="e">
        <f>IF(tbl_Punch[[#This Row],[Job Type]]="Batch",tbl_Punch[[#This Row],[Batch Hours]]*tbl_Punch[[#This Row],[% Complete]],tbl_Punch[[#This Row],[Total hours]]*tbl_Punch[[#This Row],[% Complete]])</f>
        <v>#DIV/0!</v>
      </c>
      <c r="N212" s="31"/>
      <c r="P212" s="28" t="e">
        <f>tbl_Punch[[#This Row],[Mat. Qty]]*tbl_Punch[[#This Row],[% Complete]]</f>
        <v>#DIV/0!</v>
      </c>
      <c r="R212" s="32" t="str">
        <f>IFERROR(tbl_Punch[[#This Row],[Qty Complete]]/tbl_Punch[[#This Row],[Total Hours Act]]*tbl_Punch[[#This Row],['# of men Act]],"")</f>
        <v/>
      </c>
      <c r="T212"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212" s="35" t="str">
        <f>IFERROR((tbl_Punch[[#This Row],[Adj. Total Hours]]+tbl_Punch[[#This Row],[Est. Hours]])/(tbl_Punch[[#This Row],[Total Hours Act]]+tbl_Punch[[#This Row],[Act. Hours]]),"")</f>
        <v/>
      </c>
      <c r="Y212"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212" s="104" t="str">
        <f>IFERROR(tbl_Punch[[#This Row],[Act. Mat. Qty]]-tbl_Punch[[#This Row],[Adj. Mat. Qty]],"")</f>
        <v/>
      </c>
      <c r="AA212"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212" s="31"/>
      <c r="AD212" s="36"/>
    </row>
    <row r="213" spans="3:30" ht="25" customHeight="1">
      <c r="C213" s="28" t="str">
        <f>IF(tbl_Punch[[#This Row],[Part'#]]="", "Batch", "Part")</f>
        <v>Batch</v>
      </c>
      <c r="G213" s="28"/>
      <c r="I213" s="70" t="e">
        <f>tbl_Punch[[#This Row],[Qty Complete]]/tbl_Punch[[#This Row],[Qty Required]]</f>
        <v>#DIV/0!</v>
      </c>
      <c r="L213" s="31">
        <f>IF(tbl_Punch[[#This Row],[Job Type]]="Batch",0,tbl_Punch[[#This Row],[Qty Required]]/tbl_Punch[[#This Row],[PPH]]*tbl_Punch[[#This Row],['# of men]])</f>
        <v>0</v>
      </c>
      <c r="M213" s="31" t="e">
        <f>IF(tbl_Punch[[#This Row],[Job Type]]="Batch",tbl_Punch[[#This Row],[Batch Hours]]*tbl_Punch[[#This Row],[% Complete]],tbl_Punch[[#This Row],[Total hours]]*tbl_Punch[[#This Row],[% Complete]])</f>
        <v>#DIV/0!</v>
      </c>
      <c r="N213" s="31"/>
      <c r="P213" s="28" t="e">
        <f>tbl_Punch[[#This Row],[Mat. Qty]]*tbl_Punch[[#This Row],[% Complete]]</f>
        <v>#DIV/0!</v>
      </c>
      <c r="R213" s="32" t="str">
        <f>IFERROR(tbl_Punch[[#This Row],[Qty Complete]]/tbl_Punch[[#This Row],[Total Hours Act]]*tbl_Punch[[#This Row],['# of men Act]],"")</f>
        <v/>
      </c>
      <c r="T213"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213" s="35" t="str">
        <f>IFERROR((tbl_Punch[[#This Row],[Adj. Total Hours]]+tbl_Punch[[#This Row],[Est. Hours]])/(tbl_Punch[[#This Row],[Total Hours Act]]+tbl_Punch[[#This Row],[Act. Hours]]),"")</f>
        <v/>
      </c>
      <c r="Y213"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213" s="104" t="str">
        <f>IFERROR(tbl_Punch[[#This Row],[Act. Mat. Qty]]-tbl_Punch[[#This Row],[Adj. Mat. Qty]],"")</f>
        <v/>
      </c>
      <c r="AA213"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213" s="31"/>
      <c r="AD213" s="36"/>
    </row>
    <row r="214" spans="3:30" ht="25" customHeight="1">
      <c r="C214" s="28" t="str">
        <f>IF(tbl_Punch[[#This Row],[Part'#]]="", "Batch", "Part")</f>
        <v>Batch</v>
      </c>
      <c r="G214" s="28"/>
      <c r="I214" s="70" t="e">
        <f>tbl_Punch[[#This Row],[Qty Complete]]/tbl_Punch[[#This Row],[Qty Required]]</f>
        <v>#DIV/0!</v>
      </c>
      <c r="L214" s="31">
        <f>IF(tbl_Punch[[#This Row],[Job Type]]="Batch",0,tbl_Punch[[#This Row],[Qty Required]]/tbl_Punch[[#This Row],[PPH]]*tbl_Punch[[#This Row],['# of men]])</f>
        <v>0</v>
      </c>
      <c r="M214" s="31" t="e">
        <f>IF(tbl_Punch[[#This Row],[Job Type]]="Batch",tbl_Punch[[#This Row],[Batch Hours]]*tbl_Punch[[#This Row],[% Complete]],tbl_Punch[[#This Row],[Total hours]]*tbl_Punch[[#This Row],[% Complete]])</f>
        <v>#DIV/0!</v>
      </c>
      <c r="N214" s="31"/>
      <c r="P214" s="28" t="e">
        <f>tbl_Punch[[#This Row],[Mat. Qty]]*tbl_Punch[[#This Row],[% Complete]]</f>
        <v>#DIV/0!</v>
      </c>
      <c r="R214" s="32" t="str">
        <f>IFERROR(tbl_Punch[[#This Row],[Qty Complete]]/tbl_Punch[[#This Row],[Total Hours Act]]*tbl_Punch[[#This Row],['# of men Act]],"")</f>
        <v/>
      </c>
      <c r="T214"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214" s="35" t="str">
        <f>IFERROR((tbl_Punch[[#This Row],[Adj. Total Hours]]+tbl_Punch[[#This Row],[Est. Hours]])/(tbl_Punch[[#This Row],[Total Hours Act]]+tbl_Punch[[#This Row],[Act. Hours]]),"")</f>
        <v/>
      </c>
      <c r="Y214"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214" s="104" t="str">
        <f>IFERROR(tbl_Punch[[#This Row],[Act. Mat. Qty]]-tbl_Punch[[#This Row],[Adj. Mat. Qty]],"")</f>
        <v/>
      </c>
      <c r="AA214"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214" s="31"/>
      <c r="AD214" s="36"/>
    </row>
    <row r="215" spans="3:30" ht="25" customHeight="1">
      <c r="C215" s="28" t="str">
        <f>IF(tbl_Punch[[#This Row],[Part'#]]="", "Batch", "Part")</f>
        <v>Batch</v>
      </c>
      <c r="G215" s="28"/>
      <c r="I215" s="70" t="e">
        <f>tbl_Punch[[#This Row],[Qty Complete]]/tbl_Punch[[#This Row],[Qty Required]]</f>
        <v>#DIV/0!</v>
      </c>
      <c r="L215" s="31">
        <f>IF(tbl_Punch[[#This Row],[Job Type]]="Batch",0,tbl_Punch[[#This Row],[Qty Required]]/tbl_Punch[[#This Row],[PPH]]*tbl_Punch[[#This Row],['# of men]])</f>
        <v>0</v>
      </c>
      <c r="M215" s="31" t="e">
        <f>IF(tbl_Punch[[#This Row],[Job Type]]="Batch",tbl_Punch[[#This Row],[Batch Hours]]*tbl_Punch[[#This Row],[% Complete]],tbl_Punch[[#This Row],[Total hours]]*tbl_Punch[[#This Row],[% Complete]])</f>
        <v>#DIV/0!</v>
      </c>
      <c r="N215" s="31"/>
      <c r="P215" s="28" t="e">
        <f>tbl_Punch[[#This Row],[Mat. Qty]]*tbl_Punch[[#This Row],[% Complete]]</f>
        <v>#DIV/0!</v>
      </c>
      <c r="R215" s="32" t="str">
        <f>IFERROR(tbl_Punch[[#This Row],[Qty Complete]]/tbl_Punch[[#This Row],[Total Hours Act]]*tbl_Punch[[#This Row],['# of men Act]],"")</f>
        <v/>
      </c>
      <c r="T215"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215" s="35" t="str">
        <f>IFERROR((tbl_Punch[[#This Row],[Adj. Total Hours]]+tbl_Punch[[#This Row],[Est. Hours]])/(tbl_Punch[[#This Row],[Total Hours Act]]+tbl_Punch[[#This Row],[Act. Hours]]),"")</f>
        <v/>
      </c>
      <c r="Y215"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215" s="104" t="str">
        <f>IFERROR(tbl_Punch[[#This Row],[Act. Mat. Qty]]-tbl_Punch[[#This Row],[Adj. Mat. Qty]],"")</f>
        <v/>
      </c>
      <c r="AA215"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215" s="31"/>
      <c r="AD215" s="36"/>
    </row>
    <row r="216" spans="3:30" ht="25" customHeight="1">
      <c r="C216" s="28" t="str">
        <f>IF(tbl_Punch[[#This Row],[Part'#]]="", "Batch", "Part")</f>
        <v>Batch</v>
      </c>
      <c r="G216" s="28"/>
      <c r="I216" s="70" t="e">
        <f>tbl_Punch[[#This Row],[Qty Complete]]/tbl_Punch[[#This Row],[Qty Required]]</f>
        <v>#DIV/0!</v>
      </c>
      <c r="L216" s="31">
        <f>IF(tbl_Punch[[#This Row],[Job Type]]="Batch",0,tbl_Punch[[#This Row],[Qty Required]]/tbl_Punch[[#This Row],[PPH]]*tbl_Punch[[#This Row],['# of men]])</f>
        <v>0</v>
      </c>
      <c r="M216" s="31" t="e">
        <f>IF(tbl_Punch[[#This Row],[Job Type]]="Batch",tbl_Punch[[#This Row],[Batch Hours]]*tbl_Punch[[#This Row],[% Complete]],tbl_Punch[[#This Row],[Total hours]]*tbl_Punch[[#This Row],[% Complete]])</f>
        <v>#DIV/0!</v>
      </c>
      <c r="N216" s="31"/>
      <c r="P216" s="28" t="e">
        <f>tbl_Punch[[#This Row],[Mat. Qty]]*tbl_Punch[[#This Row],[% Complete]]</f>
        <v>#DIV/0!</v>
      </c>
      <c r="R216" s="32" t="str">
        <f>IFERROR(tbl_Punch[[#This Row],[Qty Complete]]/tbl_Punch[[#This Row],[Total Hours Act]]*tbl_Punch[[#This Row],['# of men Act]],"")</f>
        <v/>
      </c>
      <c r="T216"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216" s="35" t="str">
        <f>IFERROR((tbl_Punch[[#This Row],[Adj. Total Hours]]+tbl_Punch[[#This Row],[Est. Hours]])/(tbl_Punch[[#This Row],[Total Hours Act]]+tbl_Punch[[#This Row],[Act. Hours]]),"")</f>
        <v/>
      </c>
      <c r="Y216"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216" s="104" t="str">
        <f>IFERROR(tbl_Punch[[#This Row],[Act. Mat. Qty]]-tbl_Punch[[#This Row],[Adj. Mat. Qty]],"")</f>
        <v/>
      </c>
      <c r="AA216"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216" s="31"/>
      <c r="AD216" s="36"/>
    </row>
    <row r="217" spans="3:30" ht="25" customHeight="1">
      <c r="C217" s="28" t="str">
        <f>IF(tbl_Punch[[#This Row],[Part'#]]="", "Batch", "Part")</f>
        <v>Batch</v>
      </c>
      <c r="G217" s="28"/>
      <c r="I217" s="70" t="e">
        <f>tbl_Punch[[#This Row],[Qty Complete]]/tbl_Punch[[#This Row],[Qty Required]]</f>
        <v>#DIV/0!</v>
      </c>
      <c r="L217" s="31">
        <f>IF(tbl_Punch[[#This Row],[Job Type]]="Batch",0,tbl_Punch[[#This Row],[Qty Required]]/tbl_Punch[[#This Row],[PPH]]*tbl_Punch[[#This Row],['# of men]])</f>
        <v>0</v>
      </c>
      <c r="M217" s="31" t="e">
        <f>IF(tbl_Punch[[#This Row],[Job Type]]="Batch",tbl_Punch[[#This Row],[Batch Hours]]*tbl_Punch[[#This Row],[% Complete]],tbl_Punch[[#This Row],[Total hours]]*tbl_Punch[[#This Row],[% Complete]])</f>
        <v>#DIV/0!</v>
      </c>
      <c r="N217" s="31"/>
      <c r="P217" s="28" t="e">
        <f>tbl_Punch[[#This Row],[Mat. Qty]]*tbl_Punch[[#This Row],[% Complete]]</f>
        <v>#DIV/0!</v>
      </c>
      <c r="R217" s="32" t="str">
        <f>IFERROR(tbl_Punch[[#This Row],[Qty Complete]]/tbl_Punch[[#This Row],[Total Hours Act]]*tbl_Punch[[#This Row],['# of men Act]],"")</f>
        <v/>
      </c>
      <c r="T217"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217" s="35" t="str">
        <f>IFERROR((tbl_Punch[[#This Row],[Adj. Total Hours]]+tbl_Punch[[#This Row],[Est. Hours]])/(tbl_Punch[[#This Row],[Total Hours Act]]+tbl_Punch[[#This Row],[Act. Hours]]),"")</f>
        <v/>
      </c>
      <c r="Y217"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217" s="104" t="str">
        <f>IFERROR(tbl_Punch[[#This Row],[Act. Mat. Qty]]-tbl_Punch[[#This Row],[Adj. Mat. Qty]],"")</f>
        <v/>
      </c>
      <c r="AA217"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217" s="31"/>
      <c r="AD217" s="36"/>
    </row>
    <row r="218" spans="3:30" ht="25" customHeight="1">
      <c r="C218" s="28" t="str">
        <f>IF(tbl_Punch[[#This Row],[Part'#]]="", "Batch", "Part")</f>
        <v>Batch</v>
      </c>
      <c r="G218" s="28"/>
      <c r="I218" s="70" t="e">
        <f>tbl_Punch[[#This Row],[Qty Complete]]/tbl_Punch[[#This Row],[Qty Required]]</f>
        <v>#DIV/0!</v>
      </c>
      <c r="L218" s="31">
        <f>IF(tbl_Punch[[#This Row],[Job Type]]="Batch",0,tbl_Punch[[#This Row],[Qty Required]]/tbl_Punch[[#This Row],[PPH]]*tbl_Punch[[#This Row],['# of men]])</f>
        <v>0</v>
      </c>
      <c r="M218" s="31" t="e">
        <f>IF(tbl_Punch[[#This Row],[Job Type]]="Batch",tbl_Punch[[#This Row],[Batch Hours]]*tbl_Punch[[#This Row],[% Complete]],tbl_Punch[[#This Row],[Total hours]]*tbl_Punch[[#This Row],[% Complete]])</f>
        <v>#DIV/0!</v>
      </c>
      <c r="N218" s="31"/>
      <c r="P218" s="28" t="e">
        <f>tbl_Punch[[#This Row],[Mat. Qty]]*tbl_Punch[[#This Row],[% Complete]]</f>
        <v>#DIV/0!</v>
      </c>
      <c r="R218" s="32" t="str">
        <f>IFERROR(tbl_Punch[[#This Row],[Qty Complete]]/tbl_Punch[[#This Row],[Total Hours Act]]*tbl_Punch[[#This Row],['# of men Act]],"")</f>
        <v/>
      </c>
      <c r="T218"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218" s="35" t="str">
        <f>IFERROR((tbl_Punch[[#This Row],[Adj. Total Hours]]+tbl_Punch[[#This Row],[Est. Hours]])/(tbl_Punch[[#This Row],[Total Hours Act]]+tbl_Punch[[#This Row],[Act. Hours]]),"")</f>
        <v/>
      </c>
      <c r="Y218"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218" s="104" t="str">
        <f>IFERROR(tbl_Punch[[#This Row],[Act. Mat. Qty]]-tbl_Punch[[#This Row],[Adj. Mat. Qty]],"")</f>
        <v/>
      </c>
      <c r="AA218"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218" s="31"/>
      <c r="AD218" s="36"/>
    </row>
    <row r="219" spans="3:30" ht="25" customHeight="1">
      <c r="C219" s="28" t="str">
        <f>IF(tbl_Punch[[#This Row],[Part'#]]="", "Batch", "Part")</f>
        <v>Batch</v>
      </c>
      <c r="G219" s="28"/>
      <c r="I219" s="70" t="e">
        <f>tbl_Punch[[#This Row],[Qty Complete]]/tbl_Punch[[#This Row],[Qty Required]]</f>
        <v>#DIV/0!</v>
      </c>
      <c r="L219" s="31">
        <f>IF(tbl_Punch[[#This Row],[Job Type]]="Batch",0,tbl_Punch[[#This Row],[Qty Required]]/tbl_Punch[[#This Row],[PPH]]*tbl_Punch[[#This Row],['# of men]])</f>
        <v>0</v>
      </c>
      <c r="M219" s="31" t="e">
        <f>IF(tbl_Punch[[#This Row],[Job Type]]="Batch",tbl_Punch[[#This Row],[Batch Hours]]*tbl_Punch[[#This Row],[% Complete]],tbl_Punch[[#This Row],[Total hours]]*tbl_Punch[[#This Row],[% Complete]])</f>
        <v>#DIV/0!</v>
      </c>
      <c r="N219" s="31"/>
      <c r="P219" s="28" t="e">
        <f>tbl_Punch[[#This Row],[Mat. Qty]]*tbl_Punch[[#This Row],[% Complete]]</f>
        <v>#DIV/0!</v>
      </c>
      <c r="R219" s="32" t="str">
        <f>IFERROR(tbl_Punch[[#This Row],[Qty Complete]]/tbl_Punch[[#This Row],[Total Hours Act]]*tbl_Punch[[#This Row],['# of men Act]],"")</f>
        <v/>
      </c>
      <c r="T219"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219" s="35" t="str">
        <f>IFERROR((tbl_Punch[[#This Row],[Adj. Total Hours]]+tbl_Punch[[#This Row],[Est. Hours]])/(tbl_Punch[[#This Row],[Total Hours Act]]+tbl_Punch[[#This Row],[Act. Hours]]),"")</f>
        <v/>
      </c>
      <c r="Y219"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219" s="104" t="str">
        <f>IFERROR(tbl_Punch[[#This Row],[Act. Mat. Qty]]-tbl_Punch[[#This Row],[Adj. Mat. Qty]],"")</f>
        <v/>
      </c>
      <c r="AA219"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219" s="31"/>
      <c r="AD219" s="36"/>
    </row>
    <row r="220" spans="3:30" ht="25" customHeight="1">
      <c r="C220" s="28" t="str">
        <f>IF(tbl_Punch[[#This Row],[Part'#]]="", "Batch", "Part")</f>
        <v>Batch</v>
      </c>
      <c r="G220" s="28"/>
      <c r="I220" s="70" t="e">
        <f>tbl_Punch[[#This Row],[Qty Complete]]/tbl_Punch[[#This Row],[Qty Required]]</f>
        <v>#DIV/0!</v>
      </c>
      <c r="L220" s="31">
        <f>IF(tbl_Punch[[#This Row],[Job Type]]="Batch",0,tbl_Punch[[#This Row],[Qty Required]]/tbl_Punch[[#This Row],[PPH]]*tbl_Punch[[#This Row],['# of men]])</f>
        <v>0</v>
      </c>
      <c r="M220" s="31" t="e">
        <f>IF(tbl_Punch[[#This Row],[Job Type]]="Batch",tbl_Punch[[#This Row],[Batch Hours]]*tbl_Punch[[#This Row],[% Complete]],tbl_Punch[[#This Row],[Total hours]]*tbl_Punch[[#This Row],[% Complete]])</f>
        <v>#DIV/0!</v>
      </c>
      <c r="N220" s="31"/>
      <c r="P220" s="28" t="e">
        <f>tbl_Punch[[#This Row],[Mat. Qty]]*tbl_Punch[[#This Row],[% Complete]]</f>
        <v>#DIV/0!</v>
      </c>
      <c r="R220" s="32" t="str">
        <f>IFERROR(tbl_Punch[[#This Row],[Qty Complete]]/tbl_Punch[[#This Row],[Total Hours Act]]*tbl_Punch[[#This Row],['# of men Act]],"")</f>
        <v/>
      </c>
      <c r="T220"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220" s="35" t="str">
        <f>IFERROR((tbl_Punch[[#This Row],[Adj. Total Hours]]+tbl_Punch[[#This Row],[Est. Hours]])/(tbl_Punch[[#This Row],[Total Hours Act]]+tbl_Punch[[#This Row],[Act. Hours]]),"")</f>
        <v/>
      </c>
      <c r="Y220"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220" s="104" t="str">
        <f>IFERROR(tbl_Punch[[#This Row],[Act. Mat. Qty]]-tbl_Punch[[#This Row],[Adj. Mat. Qty]],"")</f>
        <v/>
      </c>
      <c r="AA220"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220" s="31"/>
      <c r="AD220" s="36"/>
    </row>
    <row r="221" spans="3:30" ht="25" customHeight="1">
      <c r="C221" s="28" t="str">
        <f>IF(tbl_Punch[[#This Row],[Part'#]]="", "Batch", "Part")</f>
        <v>Batch</v>
      </c>
      <c r="G221" s="28"/>
      <c r="I221" s="70" t="e">
        <f>tbl_Punch[[#This Row],[Qty Complete]]/tbl_Punch[[#This Row],[Qty Required]]</f>
        <v>#DIV/0!</v>
      </c>
      <c r="L221" s="31">
        <f>IF(tbl_Punch[[#This Row],[Job Type]]="Batch",0,tbl_Punch[[#This Row],[Qty Required]]/tbl_Punch[[#This Row],[PPH]]*tbl_Punch[[#This Row],['# of men]])</f>
        <v>0</v>
      </c>
      <c r="M221" s="31" t="e">
        <f>IF(tbl_Punch[[#This Row],[Job Type]]="Batch",tbl_Punch[[#This Row],[Batch Hours]]*tbl_Punch[[#This Row],[% Complete]],tbl_Punch[[#This Row],[Total hours]]*tbl_Punch[[#This Row],[% Complete]])</f>
        <v>#DIV/0!</v>
      </c>
      <c r="N221" s="31"/>
      <c r="P221" s="28" t="e">
        <f>tbl_Punch[[#This Row],[Mat. Qty]]*tbl_Punch[[#This Row],[% Complete]]</f>
        <v>#DIV/0!</v>
      </c>
      <c r="R221" s="32" t="str">
        <f>IFERROR(tbl_Punch[[#This Row],[Qty Complete]]/tbl_Punch[[#This Row],[Total Hours Act]]*tbl_Punch[[#This Row],['# of men Act]],"")</f>
        <v/>
      </c>
      <c r="T221"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221" s="35" t="str">
        <f>IFERROR((tbl_Punch[[#This Row],[Adj. Total Hours]]+tbl_Punch[[#This Row],[Est. Hours]])/(tbl_Punch[[#This Row],[Total Hours Act]]+tbl_Punch[[#This Row],[Act. Hours]]),"")</f>
        <v/>
      </c>
      <c r="Y221"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221" s="104" t="str">
        <f>IFERROR(tbl_Punch[[#This Row],[Act. Mat. Qty]]-tbl_Punch[[#This Row],[Adj. Mat. Qty]],"")</f>
        <v/>
      </c>
      <c r="AA221"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221" s="31"/>
      <c r="AD221" s="36"/>
    </row>
    <row r="222" spans="3:30" ht="25" customHeight="1">
      <c r="C222" s="28" t="str">
        <f>IF(tbl_Punch[[#This Row],[Part'#]]="", "Batch", "Part")</f>
        <v>Batch</v>
      </c>
      <c r="G222" s="28"/>
      <c r="I222" s="70" t="e">
        <f>tbl_Punch[[#This Row],[Qty Complete]]/tbl_Punch[[#This Row],[Qty Required]]</f>
        <v>#DIV/0!</v>
      </c>
      <c r="L222" s="31">
        <f>IF(tbl_Punch[[#This Row],[Job Type]]="Batch",0,tbl_Punch[[#This Row],[Qty Required]]/tbl_Punch[[#This Row],[PPH]]*tbl_Punch[[#This Row],['# of men]])</f>
        <v>0</v>
      </c>
      <c r="M222" s="31" t="e">
        <f>IF(tbl_Punch[[#This Row],[Job Type]]="Batch",tbl_Punch[[#This Row],[Batch Hours]]*tbl_Punch[[#This Row],[% Complete]],tbl_Punch[[#This Row],[Total hours]]*tbl_Punch[[#This Row],[% Complete]])</f>
        <v>#DIV/0!</v>
      </c>
      <c r="N222" s="31"/>
      <c r="P222" s="28" t="e">
        <f>tbl_Punch[[#This Row],[Mat. Qty]]*tbl_Punch[[#This Row],[% Complete]]</f>
        <v>#DIV/0!</v>
      </c>
      <c r="R222" s="32" t="str">
        <f>IFERROR(tbl_Punch[[#This Row],[Qty Complete]]/tbl_Punch[[#This Row],[Total Hours Act]]*tbl_Punch[[#This Row],['# of men Act]],"")</f>
        <v/>
      </c>
      <c r="T222"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222" s="35" t="str">
        <f>IFERROR((tbl_Punch[[#This Row],[Adj. Total Hours]]+tbl_Punch[[#This Row],[Est. Hours]])/(tbl_Punch[[#This Row],[Total Hours Act]]+tbl_Punch[[#This Row],[Act. Hours]]),"")</f>
        <v/>
      </c>
      <c r="Y222"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222" s="104" t="str">
        <f>IFERROR(tbl_Punch[[#This Row],[Act. Mat. Qty]]-tbl_Punch[[#This Row],[Adj. Mat. Qty]],"")</f>
        <v/>
      </c>
      <c r="AA222"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222" s="31"/>
      <c r="AD222" s="36"/>
    </row>
    <row r="223" spans="3:30" ht="25" customHeight="1">
      <c r="C223" s="28" t="str">
        <f>IF(tbl_Punch[[#This Row],[Part'#]]="", "Batch", "Part")</f>
        <v>Batch</v>
      </c>
      <c r="G223" s="28"/>
      <c r="I223" s="70" t="e">
        <f>tbl_Punch[[#This Row],[Qty Complete]]/tbl_Punch[[#This Row],[Qty Required]]</f>
        <v>#DIV/0!</v>
      </c>
      <c r="L223" s="31">
        <f>IF(tbl_Punch[[#This Row],[Job Type]]="Batch",0,tbl_Punch[[#This Row],[Qty Required]]/tbl_Punch[[#This Row],[PPH]]*tbl_Punch[[#This Row],['# of men]])</f>
        <v>0</v>
      </c>
      <c r="M223" s="31" t="e">
        <f>IF(tbl_Punch[[#This Row],[Job Type]]="Batch",tbl_Punch[[#This Row],[Batch Hours]]*tbl_Punch[[#This Row],[% Complete]],tbl_Punch[[#This Row],[Total hours]]*tbl_Punch[[#This Row],[% Complete]])</f>
        <v>#DIV/0!</v>
      </c>
      <c r="N223" s="31"/>
      <c r="P223" s="28" t="e">
        <f>tbl_Punch[[#This Row],[Mat. Qty]]*tbl_Punch[[#This Row],[% Complete]]</f>
        <v>#DIV/0!</v>
      </c>
      <c r="R223" s="32" t="str">
        <f>IFERROR(tbl_Punch[[#This Row],[Qty Complete]]/tbl_Punch[[#This Row],[Total Hours Act]]*tbl_Punch[[#This Row],['# of men Act]],"")</f>
        <v/>
      </c>
      <c r="T223"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223" s="35" t="str">
        <f>IFERROR((tbl_Punch[[#This Row],[Adj. Total Hours]]+tbl_Punch[[#This Row],[Est. Hours]])/(tbl_Punch[[#This Row],[Total Hours Act]]+tbl_Punch[[#This Row],[Act. Hours]]),"")</f>
        <v/>
      </c>
      <c r="Y223"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223" s="104" t="str">
        <f>IFERROR(tbl_Punch[[#This Row],[Act. Mat. Qty]]-tbl_Punch[[#This Row],[Adj. Mat. Qty]],"")</f>
        <v/>
      </c>
      <c r="AA223"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223" s="31"/>
      <c r="AD223" s="36"/>
    </row>
    <row r="224" spans="3:30" ht="25" customHeight="1">
      <c r="C224" s="28" t="str">
        <f>IF(tbl_Punch[[#This Row],[Part'#]]="", "Batch", "Part")</f>
        <v>Batch</v>
      </c>
      <c r="G224" s="28"/>
      <c r="I224" s="70" t="e">
        <f>tbl_Punch[[#This Row],[Qty Complete]]/tbl_Punch[[#This Row],[Qty Required]]</f>
        <v>#DIV/0!</v>
      </c>
      <c r="L224" s="31">
        <f>IF(tbl_Punch[[#This Row],[Job Type]]="Batch",0,tbl_Punch[[#This Row],[Qty Required]]/tbl_Punch[[#This Row],[PPH]]*tbl_Punch[[#This Row],['# of men]])</f>
        <v>0</v>
      </c>
      <c r="M224" s="31" t="e">
        <f>IF(tbl_Punch[[#This Row],[Job Type]]="Batch",tbl_Punch[[#This Row],[Batch Hours]]*tbl_Punch[[#This Row],[% Complete]],tbl_Punch[[#This Row],[Total hours]]*tbl_Punch[[#This Row],[% Complete]])</f>
        <v>#DIV/0!</v>
      </c>
      <c r="N224" s="31"/>
      <c r="P224" s="28" t="e">
        <f>tbl_Punch[[#This Row],[Mat. Qty]]*tbl_Punch[[#This Row],[% Complete]]</f>
        <v>#DIV/0!</v>
      </c>
      <c r="R224" s="32" t="str">
        <f>IFERROR(tbl_Punch[[#This Row],[Qty Complete]]/tbl_Punch[[#This Row],[Total Hours Act]]*tbl_Punch[[#This Row],['# of men Act]],"")</f>
        <v/>
      </c>
      <c r="T224"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224" s="35" t="str">
        <f>IFERROR((tbl_Punch[[#This Row],[Adj. Total Hours]]+tbl_Punch[[#This Row],[Est. Hours]])/(tbl_Punch[[#This Row],[Total Hours Act]]+tbl_Punch[[#This Row],[Act. Hours]]),"")</f>
        <v/>
      </c>
      <c r="Y224"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224" s="104" t="str">
        <f>IFERROR(tbl_Punch[[#This Row],[Act. Mat. Qty]]-tbl_Punch[[#This Row],[Adj. Mat. Qty]],"")</f>
        <v/>
      </c>
      <c r="AA224"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224" s="31"/>
      <c r="AD224" s="36"/>
    </row>
    <row r="225" spans="3:30" ht="25" customHeight="1">
      <c r="C225" s="28" t="str">
        <f>IF(tbl_Punch[[#This Row],[Part'#]]="", "Batch", "Part")</f>
        <v>Batch</v>
      </c>
      <c r="G225" s="28"/>
      <c r="I225" s="70" t="e">
        <f>tbl_Punch[[#This Row],[Qty Complete]]/tbl_Punch[[#This Row],[Qty Required]]</f>
        <v>#DIV/0!</v>
      </c>
      <c r="L225" s="31">
        <f>IF(tbl_Punch[[#This Row],[Job Type]]="Batch",0,tbl_Punch[[#This Row],[Qty Required]]/tbl_Punch[[#This Row],[PPH]]*tbl_Punch[[#This Row],['# of men]])</f>
        <v>0</v>
      </c>
      <c r="M225" s="31" t="e">
        <f>IF(tbl_Punch[[#This Row],[Job Type]]="Batch",tbl_Punch[[#This Row],[Batch Hours]]*tbl_Punch[[#This Row],[% Complete]],tbl_Punch[[#This Row],[Total hours]]*tbl_Punch[[#This Row],[% Complete]])</f>
        <v>#DIV/0!</v>
      </c>
      <c r="N225" s="31"/>
      <c r="P225" s="28" t="e">
        <f>tbl_Punch[[#This Row],[Mat. Qty]]*tbl_Punch[[#This Row],[% Complete]]</f>
        <v>#DIV/0!</v>
      </c>
      <c r="R225" s="32" t="str">
        <f>IFERROR(tbl_Punch[[#This Row],[Qty Complete]]/tbl_Punch[[#This Row],[Total Hours Act]]*tbl_Punch[[#This Row],['# of men Act]],"")</f>
        <v/>
      </c>
      <c r="T225"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225" s="35" t="str">
        <f>IFERROR((tbl_Punch[[#This Row],[Adj. Total Hours]]+tbl_Punch[[#This Row],[Est. Hours]])/(tbl_Punch[[#This Row],[Total Hours Act]]+tbl_Punch[[#This Row],[Act. Hours]]),"")</f>
        <v/>
      </c>
      <c r="Y225"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225" s="104" t="str">
        <f>IFERROR(tbl_Punch[[#This Row],[Act. Mat. Qty]]-tbl_Punch[[#This Row],[Adj. Mat. Qty]],"")</f>
        <v/>
      </c>
      <c r="AA225"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225" s="31"/>
      <c r="AD225" s="36"/>
    </row>
    <row r="226" spans="3:30" ht="25" customHeight="1">
      <c r="C226" s="28" t="str">
        <f>IF(tbl_Punch[[#This Row],[Part'#]]="", "Batch", "Part")</f>
        <v>Batch</v>
      </c>
      <c r="G226" s="28"/>
      <c r="I226" s="70" t="e">
        <f>tbl_Punch[[#This Row],[Qty Complete]]/tbl_Punch[[#This Row],[Qty Required]]</f>
        <v>#DIV/0!</v>
      </c>
      <c r="L226" s="31">
        <f>IF(tbl_Punch[[#This Row],[Job Type]]="Batch",0,tbl_Punch[[#This Row],[Qty Required]]/tbl_Punch[[#This Row],[PPH]]*tbl_Punch[[#This Row],['# of men]])</f>
        <v>0</v>
      </c>
      <c r="M226" s="31" t="e">
        <f>IF(tbl_Punch[[#This Row],[Job Type]]="Batch",tbl_Punch[[#This Row],[Batch Hours]]*tbl_Punch[[#This Row],[% Complete]],tbl_Punch[[#This Row],[Total hours]]*tbl_Punch[[#This Row],[% Complete]])</f>
        <v>#DIV/0!</v>
      </c>
      <c r="N226" s="31"/>
      <c r="P226" s="28" t="e">
        <f>tbl_Punch[[#This Row],[Mat. Qty]]*tbl_Punch[[#This Row],[% Complete]]</f>
        <v>#DIV/0!</v>
      </c>
      <c r="R226" s="32" t="str">
        <f>IFERROR(tbl_Punch[[#This Row],[Qty Complete]]/tbl_Punch[[#This Row],[Total Hours Act]]*tbl_Punch[[#This Row],['# of men Act]],"")</f>
        <v/>
      </c>
      <c r="T226"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226" s="35" t="str">
        <f>IFERROR((tbl_Punch[[#This Row],[Adj. Total Hours]]+tbl_Punch[[#This Row],[Est. Hours]])/(tbl_Punch[[#This Row],[Total Hours Act]]+tbl_Punch[[#This Row],[Act. Hours]]),"")</f>
        <v/>
      </c>
      <c r="Y226"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226" s="104" t="str">
        <f>IFERROR(tbl_Punch[[#This Row],[Act. Mat. Qty]]-tbl_Punch[[#This Row],[Adj. Mat. Qty]],"")</f>
        <v/>
      </c>
      <c r="AA226"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226" s="31"/>
      <c r="AD226" s="36"/>
    </row>
    <row r="227" spans="3:30" ht="25" customHeight="1">
      <c r="C227" s="28" t="str">
        <f>IF(tbl_Punch[[#This Row],[Part'#]]="", "Batch", "Part")</f>
        <v>Batch</v>
      </c>
      <c r="G227" s="28"/>
      <c r="I227" s="70" t="e">
        <f>tbl_Punch[[#This Row],[Qty Complete]]/tbl_Punch[[#This Row],[Qty Required]]</f>
        <v>#DIV/0!</v>
      </c>
      <c r="L227" s="31">
        <f>IF(tbl_Punch[[#This Row],[Job Type]]="Batch",0,tbl_Punch[[#This Row],[Qty Required]]/tbl_Punch[[#This Row],[PPH]]*tbl_Punch[[#This Row],['# of men]])</f>
        <v>0</v>
      </c>
      <c r="M227" s="31" t="e">
        <f>IF(tbl_Punch[[#This Row],[Job Type]]="Batch",tbl_Punch[[#This Row],[Batch Hours]]*tbl_Punch[[#This Row],[% Complete]],tbl_Punch[[#This Row],[Total hours]]*tbl_Punch[[#This Row],[% Complete]])</f>
        <v>#DIV/0!</v>
      </c>
      <c r="N227" s="31"/>
      <c r="P227" s="28" t="e">
        <f>tbl_Punch[[#This Row],[Mat. Qty]]*tbl_Punch[[#This Row],[% Complete]]</f>
        <v>#DIV/0!</v>
      </c>
      <c r="R227" s="32" t="str">
        <f>IFERROR(tbl_Punch[[#This Row],[Qty Complete]]/tbl_Punch[[#This Row],[Total Hours Act]]*tbl_Punch[[#This Row],['# of men Act]],"")</f>
        <v/>
      </c>
      <c r="T227"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227" s="35" t="str">
        <f>IFERROR((tbl_Punch[[#This Row],[Adj. Total Hours]]+tbl_Punch[[#This Row],[Est. Hours]])/(tbl_Punch[[#This Row],[Total Hours Act]]+tbl_Punch[[#This Row],[Act. Hours]]),"")</f>
        <v/>
      </c>
      <c r="Y227"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227" s="104" t="str">
        <f>IFERROR(tbl_Punch[[#This Row],[Act. Mat. Qty]]-tbl_Punch[[#This Row],[Adj. Mat. Qty]],"")</f>
        <v/>
      </c>
      <c r="AA227"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227" s="31"/>
      <c r="AD227" s="36"/>
    </row>
    <row r="228" spans="3:30" ht="25" customHeight="1">
      <c r="C228" s="28" t="str">
        <f>IF(tbl_Punch[[#This Row],[Part'#]]="", "Batch", "Part")</f>
        <v>Batch</v>
      </c>
      <c r="G228" s="28"/>
      <c r="I228" s="70" t="e">
        <f>tbl_Punch[[#This Row],[Qty Complete]]/tbl_Punch[[#This Row],[Qty Required]]</f>
        <v>#DIV/0!</v>
      </c>
      <c r="L228" s="31">
        <f>IF(tbl_Punch[[#This Row],[Job Type]]="Batch",0,tbl_Punch[[#This Row],[Qty Required]]/tbl_Punch[[#This Row],[PPH]]*tbl_Punch[[#This Row],['# of men]])</f>
        <v>0</v>
      </c>
      <c r="M228" s="31" t="e">
        <f>IF(tbl_Punch[[#This Row],[Job Type]]="Batch",tbl_Punch[[#This Row],[Batch Hours]]*tbl_Punch[[#This Row],[% Complete]],tbl_Punch[[#This Row],[Total hours]]*tbl_Punch[[#This Row],[% Complete]])</f>
        <v>#DIV/0!</v>
      </c>
      <c r="N228" s="31"/>
      <c r="P228" s="28" t="e">
        <f>tbl_Punch[[#This Row],[Mat. Qty]]*tbl_Punch[[#This Row],[% Complete]]</f>
        <v>#DIV/0!</v>
      </c>
      <c r="R228" s="32" t="str">
        <f>IFERROR(tbl_Punch[[#This Row],[Qty Complete]]/tbl_Punch[[#This Row],[Total Hours Act]]*tbl_Punch[[#This Row],['# of men Act]],"")</f>
        <v/>
      </c>
      <c r="T228"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228" s="35" t="str">
        <f>IFERROR((tbl_Punch[[#This Row],[Adj. Total Hours]]+tbl_Punch[[#This Row],[Est. Hours]])/(tbl_Punch[[#This Row],[Total Hours Act]]+tbl_Punch[[#This Row],[Act. Hours]]),"")</f>
        <v/>
      </c>
      <c r="Y228"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228" s="104" t="str">
        <f>IFERROR(tbl_Punch[[#This Row],[Act. Mat. Qty]]-tbl_Punch[[#This Row],[Adj. Mat. Qty]],"")</f>
        <v/>
      </c>
      <c r="AA228"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228" s="31"/>
      <c r="AD228" s="36"/>
    </row>
    <row r="229" spans="3:30" ht="25" customHeight="1">
      <c r="C229" s="28" t="str">
        <f>IF(tbl_Punch[[#This Row],[Part'#]]="", "Batch", "Part")</f>
        <v>Batch</v>
      </c>
      <c r="G229" s="28"/>
      <c r="I229" s="70" t="e">
        <f>tbl_Punch[[#This Row],[Qty Complete]]/tbl_Punch[[#This Row],[Qty Required]]</f>
        <v>#DIV/0!</v>
      </c>
      <c r="L229" s="31">
        <f>IF(tbl_Punch[[#This Row],[Job Type]]="Batch",0,tbl_Punch[[#This Row],[Qty Required]]/tbl_Punch[[#This Row],[PPH]]*tbl_Punch[[#This Row],['# of men]])</f>
        <v>0</v>
      </c>
      <c r="M229" s="31" t="e">
        <f>IF(tbl_Punch[[#This Row],[Job Type]]="Batch",tbl_Punch[[#This Row],[Batch Hours]]*tbl_Punch[[#This Row],[% Complete]],tbl_Punch[[#This Row],[Total hours]]*tbl_Punch[[#This Row],[% Complete]])</f>
        <v>#DIV/0!</v>
      </c>
      <c r="N229" s="31"/>
      <c r="P229" s="28" t="e">
        <f>tbl_Punch[[#This Row],[Mat. Qty]]*tbl_Punch[[#This Row],[% Complete]]</f>
        <v>#DIV/0!</v>
      </c>
      <c r="R229" s="32" t="str">
        <f>IFERROR(tbl_Punch[[#This Row],[Qty Complete]]/tbl_Punch[[#This Row],[Total Hours Act]]*tbl_Punch[[#This Row],['# of men Act]],"")</f>
        <v/>
      </c>
      <c r="T229"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229" s="35" t="str">
        <f>IFERROR((tbl_Punch[[#This Row],[Adj. Total Hours]]+tbl_Punch[[#This Row],[Est. Hours]])/(tbl_Punch[[#This Row],[Total Hours Act]]+tbl_Punch[[#This Row],[Act. Hours]]),"")</f>
        <v/>
      </c>
      <c r="Y229"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229" s="104" t="str">
        <f>IFERROR(tbl_Punch[[#This Row],[Act. Mat. Qty]]-tbl_Punch[[#This Row],[Adj. Mat. Qty]],"")</f>
        <v/>
      </c>
      <c r="AA229"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229" s="31"/>
      <c r="AD229" s="36"/>
    </row>
    <row r="230" spans="3:30" ht="25" customHeight="1">
      <c r="C230" s="28" t="str">
        <f>IF(tbl_Punch[[#This Row],[Part'#]]="", "Batch", "Part")</f>
        <v>Batch</v>
      </c>
      <c r="G230" s="28"/>
      <c r="I230" s="70" t="e">
        <f>tbl_Punch[[#This Row],[Qty Complete]]/tbl_Punch[[#This Row],[Qty Required]]</f>
        <v>#DIV/0!</v>
      </c>
      <c r="L230" s="31">
        <f>IF(tbl_Punch[[#This Row],[Job Type]]="Batch",0,tbl_Punch[[#This Row],[Qty Required]]/tbl_Punch[[#This Row],[PPH]]*tbl_Punch[[#This Row],['# of men]])</f>
        <v>0</v>
      </c>
      <c r="M230" s="31" t="e">
        <f>IF(tbl_Punch[[#This Row],[Job Type]]="Batch",tbl_Punch[[#This Row],[Batch Hours]]*tbl_Punch[[#This Row],[% Complete]],tbl_Punch[[#This Row],[Total hours]]*tbl_Punch[[#This Row],[% Complete]])</f>
        <v>#DIV/0!</v>
      </c>
      <c r="N230" s="31"/>
      <c r="P230" s="28" t="e">
        <f>tbl_Punch[[#This Row],[Mat. Qty]]*tbl_Punch[[#This Row],[% Complete]]</f>
        <v>#DIV/0!</v>
      </c>
      <c r="R230" s="32" t="str">
        <f>IFERROR(tbl_Punch[[#This Row],[Qty Complete]]/tbl_Punch[[#This Row],[Total Hours Act]]*tbl_Punch[[#This Row],['# of men Act]],"")</f>
        <v/>
      </c>
      <c r="T230"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230" s="35" t="str">
        <f>IFERROR((tbl_Punch[[#This Row],[Adj. Total Hours]]+tbl_Punch[[#This Row],[Est. Hours]])/(tbl_Punch[[#This Row],[Total Hours Act]]+tbl_Punch[[#This Row],[Act. Hours]]),"")</f>
        <v/>
      </c>
      <c r="Y230"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230" s="104" t="str">
        <f>IFERROR(tbl_Punch[[#This Row],[Act. Mat. Qty]]-tbl_Punch[[#This Row],[Adj. Mat. Qty]],"")</f>
        <v/>
      </c>
      <c r="AA230"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230" s="31"/>
      <c r="AD230" s="36"/>
    </row>
    <row r="231" spans="3:30" ht="25" customHeight="1">
      <c r="C231" s="28" t="str">
        <f>IF(tbl_Punch[[#This Row],[Part'#]]="", "Batch", "Part")</f>
        <v>Batch</v>
      </c>
      <c r="G231" s="28"/>
      <c r="I231" s="70" t="e">
        <f>tbl_Punch[[#This Row],[Qty Complete]]/tbl_Punch[[#This Row],[Qty Required]]</f>
        <v>#DIV/0!</v>
      </c>
      <c r="L231" s="31">
        <f>IF(tbl_Punch[[#This Row],[Job Type]]="Batch",0,tbl_Punch[[#This Row],[Qty Required]]/tbl_Punch[[#This Row],[PPH]]*tbl_Punch[[#This Row],['# of men]])</f>
        <v>0</v>
      </c>
      <c r="M231" s="31" t="e">
        <f>IF(tbl_Punch[[#This Row],[Job Type]]="Batch",tbl_Punch[[#This Row],[Batch Hours]]*tbl_Punch[[#This Row],[% Complete]],tbl_Punch[[#This Row],[Total hours]]*tbl_Punch[[#This Row],[% Complete]])</f>
        <v>#DIV/0!</v>
      </c>
      <c r="N231" s="31"/>
      <c r="P231" s="28" t="e">
        <f>tbl_Punch[[#This Row],[Mat. Qty]]*tbl_Punch[[#This Row],[% Complete]]</f>
        <v>#DIV/0!</v>
      </c>
      <c r="R231" s="32" t="str">
        <f>IFERROR(tbl_Punch[[#This Row],[Qty Complete]]/tbl_Punch[[#This Row],[Total Hours Act]]*tbl_Punch[[#This Row],['# of men Act]],"")</f>
        <v/>
      </c>
      <c r="T231"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231" s="35" t="str">
        <f>IFERROR((tbl_Punch[[#This Row],[Adj. Total Hours]]+tbl_Punch[[#This Row],[Est. Hours]])/(tbl_Punch[[#This Row],[Total Hours Act]]+tbl_Punch[[#This Row],[Act. Hours]]),"")</f>
        <v/>
      </c>
      <c r="Y231"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231" s="104" t="str">
        <f>IFERROR(tbl_Punch[[#This Row],[Act. Mat. Qty]]-tbl_Punch[[#This Row],[Adj. Mat. Qty]],"")</f>
        <v/>
      </c>
      <c r="AA231"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231" s="31"/>
      <c r="AD231" s="36"/>
    </row>
    <row r="232" spans="3:30" ht="25" customHeight="1">
      <c r="C232" s="28" t="str">
        <f>IF(tbl_Punch[[#This Row],[Part'#]]="", "Batch", "Part")</f>
        <v>Batch</v>
      </c>
      <c r="G232" s="28"/>
      <c r="I232" s="70" t="e">
        <f>tbl_Punch[[#This Row],[Qty Complete]]/tbl_Punch[[#This Row],[Qty Required]]</f>
        <v>#DIV/0!</v>
      </c>
      <c r="L232" s="31">
        <f>IF(tbl_Punch[[#This Row],[Job Type]]="Batch",0,tbl_Punch[[#This Row],[Qty Required]]/tbl_Punch[[#This Row],[PPH]]*tbl_Punch[[#This Row],['# of men]])</f>
        <v>0</v>
      </c>
      <c r="M232" s="31" t="e">
        <f>IF(tbl_Punch[[#This Row],[Job Type]]="Batch",tbl_Punch[[#This Row],[Batch Hours]]*tbl_Punch[[#This Row],[% Complete]],tbl_Punch[[#This Row],[Total hours]]*tbl_Punch[[#This Row],[% Complete]])</f>
        <v>#DIV/0!</v>
      </c>
      <c r="N232" s="31"/>
      <c r="P232" s="28" t="e">
        <f>tbl_Punch[[#This Row],[Mat. Qty]]*tbl_Punch[[#This Row],[% Complete]]</f>
        <v>#DIV/0!</v>
      </c>
      <c r="R232" s="32" t="str">
        <f>IFERROR(tbl_Punch[[#This Row],[Qty Complete]]/tbl_Punch[[#This Row],[Total Hours Act]]*tbl_Punch[[#This Row],['# of men Act]],"")</f>
        <v/>
      </c>
      <c r="T232"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232" s="35" t="str">
        <f>IFERROR((tbl_Punch[[#This Row],[Adj. Total Hours]]+tbl_Punch[[#This Row],[Est. Hours]])/(tbl_Punch[[#This Row],[Total Hours Act]]+tbl_Punch[[#This Row],[Act. Hours]]),"")</f>
        <v/>
      </c>
      <c r="Y232"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232" s="104" t="str">
        <f>IFERROR(tbl_Punch[[#This Row],[Act. Mat. Qty]]-tbl_Punch[[#This Row],[Adj. Mat. Qty]],"")</f>
        <v/>
      </c>
      <c r="AA232"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232" s="31"/>
      <c r="AD232" s="36"/>
    </row>
    <row r="233" spans="3:30" ht="25" customHeight="1">
      <c r="C233" s="28" t="str">
        <f>IF(tbl_Punch[[#This Row],[Part'#]]="", "Batch", "Part")</f>
        <v>Batch</v>
      </c>
      <c r="G233" s="28"/>
      <c r="I233" s="70" t="e">
        <f>tbl_Punch[[#This Row],[Qty Complete]]/tbl_Punch[[#This Row],[Qty Required]]</f>
        <v>#DIV/0!</v>
      </c>
      <c r="L233" s="31">
        <f>IF(tbl_Punch[[#This Row],[Job Type]]="Batch",0,tbl_Punch[[#This Row],[Qty Required]]/tbl_Punch[[#This Row],[PPH]]*tbl_Punch[[#This Row],['# of men]])</f>
        <v>0</v>
      </c>
      <c r="M233" s="31" t="e">
        <f>IF(tbl_Punch[[#This Row],[Job Type]]="Batch",tbl_Punch[[#This Row],[Batch Hours]]*tbl_Punch[[#This Row],[% Complete]],tbl_Punch[[#This Row],[Total hours]]*tbl_Punch[[#This Row],[% Complete]])</f>
        <v>#DIV/0!</v>
      </c>
      <c r="N233" s="31"/>
      <c r="P233" s="28" t="e">
        <f>tbl_Punch[[#This Row],[Mat. Qty]]*tbl_Punch[[#This Row],[% Complete]]</f>
        <v>#DIV/0!</v>
      </c>
      <c r="R233" s="32" t="str">
        <f>IFERROR(tbl_Punch[[#This Row],[Qty Complete]]/tbl_Punch[[#This Row],[Total Hours Act]]*tbl_Punch[[#This Row],['# of men Act]],"")</f>
        <v/>
      </c>
      <c r="T233"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233" s="35" t="str">
        <f>IFERROR((tbl_Punch[[#This Row],[Adj. Total Hours]]+tbl_Punch[[#This Row],[Est. Hours]])/(tbl_Punch[[#This Row],[Total Hours Act]]+tbl_Punch[[#This Row],[Act. Hours]]),"")</f>
        <v/>
      </c>
      <c r="Y233"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233" s="104" t="str">
        <f>IFERROR(tbl_Punch[[#This Row],[Act. Mat. Qty]]-tbl_Punch[[#This Row],[Adj. Mat. Qty]],"")</f>
        <v/>
      </c>
      <c r="AA233"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233" s="31"/>
      <c r="AD233" s="36"/>
    </row>
    <row r="234" spans="3:30" ht="25" customHeight="1">
      <c r="C234" s="28" t="str">
        <f>IF(tbl_Punch[[#This Row],[Part'#]]="", "Batch", "Part")</f>
        <v>Batch</v>
      </c>
      <c r="G234" s="28"/>
      <c r="I234" s="70" t="e">
        <f>tbl_Punch[[#This Row],[Qty Complete]]/tbl_Punch[[#This Row],[Qty Required]]</f>
        <v>#DIV/0!</v>
      </c>
      <c r="L234" s="31">
        <f>IF(tbl_Punch[[#This Row],[Job Type]]="Batch",0,tbl_Punch[[#This Row],[Qty Required]]/tbl_Punch[[#This Row],[PPH]]*tbl_Punch[[#This Row],['# of men]])</f>
        <v>0</v>
      </c>
      <c r="M234" s="31" t="e">
        <f>IF(tbl_Punch[[#This Row],[Job Type]]="Batch",tbl_Punch[[#This Row],[Batch Hours]]*tbl_Punch[[#This Row],[% Complete]],tbl_Punch[[#This Row],[Total hours]]*tbl_Punch[[#This Row],[% Complete]])</f>
        <v>#DIV/0!</v>
      </c>
      <c r="N234" s="31"/>
      <c r="P234" s="28" t="e">
        <f>tbl_Punch[[#This Row],[Mat. Qty]]*tbl_Punch[[#This Row],[% Complete]]</f>
        <v>#DIV/0!</v>
      </c>
      <c r="R234" s="32" t="str">
        <f>IFERROR(tbl_Punch[[#This Row],[Qty Complete]]/tbl_Punch[[#This Row],[Total Hours Act]]*tbl_Punch[[#This Row],['# of men Act]],"")</f>
        <v/>
      </c>
      <c r="T234"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234" s="35" t="str">
        <f>IFERROR((tbl_Punch[[#This Row],[Adj. Total Hours]]+tbl_Punch[[#This Row],[Est. Hours]])/(tbl_Punch[[#This Row],[Total Hours Act]]+tbl_Punch[[#This Row],[Act. Hours]]),"")</f>
        <v/>
      </c>
      <c r="Y234"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234" s="104" t="str">
        <f>IFERROR(tbl_Punch[[#This Row],[Act. Mat. Qty]]-tbl_Punch[[#This Row],[Adj. Mat. Qty]],"")</f>
        <v/>
      </c>
      <c r="AA234"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234" s="31"/>
      <c r="AD234" s="36"/>
    </row>
    <row r="235" spans="3:30" ht="25" customHeight="1">
      <c r="C235" s="28" t="str">
        <f>IF(tbl_Punch[[#This Row],[Part'#]]="", "Batch", "Part")</f>
        <v>Batch</v>
      </c>
      <c r="G235" s="28"/>
      <c r="I235" s="70" t="e">
        <f>tbl_Punch[[#This Row],[Qty Complete]]/tbl_Punch[[#This Row],[Qty Required]]</f>
        <v>#DIV/0!</v>
      </c>
      <c r="L235" s="31">
        <f>IF(tbl_Punch[[#This Row],[Job Type]]="Batch",0,tbl_Punch[[#This Row],[Qty Required]]/tbl_Punch[[#This Row],[PPH]]*tbl_Punch[[#This Row],['# of men]])</f>
        <v>0</v>
      </c>
      <c r="M235" s="31" t="e">
        <f>IF(tbl_Punch[[#This Row],[Job Type]]="Batch",tbl_Punch[[#This Row],[Batch Hours]]*tbl_Punch[[#This Row],[% Complete]],tbl_Punch[[#This Row],[Total hours]]*tbl_Punch[[#This Row],[% Complete]])</f>
        <v>#DIV/0!</v>
      </c>
      <c r="N235" s="31"/>
      <c r="P235" s="28" t="e">
        <f>tbl_Punch[[#This Row],[Mat. Qty]]*tbl_Punch[[#This Row],[% Complete]]</f>
        <v>#DIV/0!</v>
      </c>
      <c r="R235" s="32" t="str">
        <f>IFERROR(tbl_Punch[[#This Row],[Qty Complete]]/tbl_Punch[[#This Row],[Total Hours Act]]*tbl_Punch[[#This Row],['# of men Act]],"")</f>
        <v/>
      </c>
      <c r="T235"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235" s="35" t="str">
        <f>IFERROR((tbl_Punch[[#This Row],[Adj. Total Hours]]+tbl_Punch[[#This Row],[Est. Hours]])/(tbl_Punch[[#This Row],[Total Hours Act]]+tbl_Punch[[#This Row],[Act. Hours]]),"")</f>
        <v/>
      </c>
      <c r="Y235"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235" s="104" t="str">
        <f>IFERROR(tbl_Punch[[#This Row],[Act. Mat. Qty]]-tbl_Punch[[#This Row],[Adj. Mat. Qty]],"")</f>
        <v/>
      </c>
      <c r="AA235"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235" s="31"/>
      <c r="AD235" s="36"/>
    </row>
    <row r="236" spans="3:30" ht="25" customHeight="1">
      <c r="C236" s="28" t="str">
        <f>IF(tbl_Punch[[#This Row],[Part'#]]="", "Batch", "Part")</f>
        <v>Batch</v>
      </c>
      <c r="G236" s="28"/>
      <c r="I236" s="70" t="e">
        <f>tbl_Punch[[#This Row],[Qty Complete]]/tbl_Punch[[#This Row],[Qty Required]]</f>
        <v>#DIV/0!</v>
      </c>
      <c r="L236" s="31">
        <f>IF(tbl_Punch[[#This Row],[Job Type]]="Batch",0,tbl_Punch[[#This Row],[Qty Required]]/tbl_Punch[[#This Row],[PPH]]*tbl_Punch[[#This Row],['# of men]])</f>
        <v>0</v>
      </c>
      <c r="M236" s="31" t="e">
        <f>IF(tbl_Punch[[#This Row],[Job Type]]="Batch",tbl_Punch[[#This Row],[Batch Hours]]*tbl_Punch[[#This Row],[% Complete]],tbl_Punch[[#This Row],[Total hours]]*tbl_Punch[[#This Row],[% Complete]])</f>
        <v>#DIV/0!</v>
      </c>
      <c r="N236" s="31"/>
      <c r="P236" s="28" t="e">
        <f>tbl_Punch[[#This Row],[Mat. Qty]]*tbl_Punch[[#This Row],[% Complete]]</f>
        <v>#DIV/0!</v>
      </c>
      <c r="R236" s="32" t="str">
        <f>IFERROR(tbl_Punch[[#This Row],[Qty Complete]]/tbl_Punch[[#This Row],[Total Hours Act]]*tbl_Punch[[#This Row],['# of men Act]],"")</f>
        <v/>
      </c>
      <c r="T236"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236" s="35" t="str">
        <f>IFERROR((tbl_Punch[[#This Row],[Adj. Total Hours]]+tbl_Punch[[#This Row],[Est. Hours]])/(tbl_Punch[[#This Row],[Total Hours Act]]+tbl_Punch[[#This Row],[Act. Hours]]),"")</f>
        <v/>
      </c>
      <c r="Y236"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236" s="104" t="str">
        <f>IFERROR(tbl_Punch[[#This Row],[Act. Mat. Qty]]-tbl_Punch[[#This Row],[Adj. Mat. Qty]],"")</f>
        <v/>
      </c>
      <c r="AA236"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236" s="31"/>
      <c r="AD236" s="36"/>
    </row>
    <row r="237" spans="3:30" ht="25" customHeight="1">
      <c r="C237" s="28" t="str">
        <f>IF(tbl_Punch[[#This Row],[Part'#]]="", "Batch", "Part")</f>
        <v>Batch</v>
      </c>
      <c r="G237" s="28"/>
      <c r="I237" s="70" t="e">
        <f>tbl_Punch[[#This Row],[Qty Complete]]/tbl_Punch[[#This Row],[Qty Required]]</f>
        <v>#DIV/0!</v>
      </c>
      <c r="L237" s="31">
        <f>IF(tbl_Punch[[#This Row],[Job Type]]="Batch",0,tbl_Punch[[#This Row],[Qty Required]]/tbl_Punch[[#This Row],[PPH]]*tbl_Punch[[#This Row],['# of men]])</f>
        <v>0</v>
      </c>
      <c r="M237" s="31" t="e">
        <f>IF(tbl_Punch[[#This Row],[Job Type]]="Batch",tbl_Punch[[#This Row],[Batch Hours]]*tbl_Punch[[#This Row],[% Complete]],tbl_Punch[[#This Row],[Total hours]]*tbl_Punch[[#This Row],[% Complete]])</f>
        <v>#DIV/0!</v>
      </c>
      <c r="N237" s="31"/>
      <c r="P237" s="28" t="e">
        <f>tbl_Punch[[#This Row],[Mat. Qty]]*tbl_Punch[[#This Row],[% Complete]]</f>
        <v>#DIV/0!</v>
      </c>
      <c r="R237" s="32" t="str">
        <f>IFERROR(tbl_Punch[[#This Row],[Qty Complete]]/tbl_Punch[[#This Row],[Total Hours Act]]*tbl_Punch[[#This Row],['# of men Act]],"")</f>
        <v/>
      </c>
      <c r="T237"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237" s="35" t="str">
        <f>IFERROR((tbl_Punch[[#This Row],[Adj. Total Hours]]+tbl_Punch[[#This Row],[Est. Hours]])/(tbl_Punch[[#This Row],[Total Hours Act]]+tbl_Punch[[#This Row],[Act. Hours]]),"")</f>
        <v/>
      </c>
      <c r="Y237"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237" s="104" t="str">
        <f>IFERROR(tbl_Punch[[#This Row],[Act. Mat. Qty]]-tbl_Punch[[#This Row],[Adj. Mat. Qty]],"")</f>
        <v/>
      </c>
      <c r="AA237"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237" s="31"/>
      <c r="AD237" s="36"/>
    </row>
    <row r="238" spans="3:30" ht="25" customHeight="1">
      <c r="C238" s="28" t="str">
        <f>IF(tbl_Punch[[#This Row],[Part'#]]="", "Batch", "Part")</f>
        <v>Batch</v>
      </c>
      <c r="G238" s="28"/>
      <c r="I238" s="70" t="e">
        <f>tbl_Punch[[#This Row],[Qty Complete]]/tbl_Punch[[#This Row],[Qty Required]]</f>
        <v>#DIV/0!</v>
      </c>
      <c r="L238" s="31">
        <f>IF(tbl_Punch[[#This Row],[Job Type]]="Batch",0,tbl_Punch[[#This Row],[Qty Required]]/tbl_Punch[[#This Row],[PPH]]*tbl_Punch[[#This Row],['# of men]])</f>
        <v>0</v>
      </c>
      <c r="M238" s="31" t="e">
        <f>IF(tbl_Punch[[#This Row],[Job Type]]="Batch",tbl_Punch[[#This Row],[Batch Hours]]*tbl_Punch[[#This Row],[% Complete]],tbl_Punch[[#This Row],[Total hours]]*tbl_Punch[[#This Row],[% Complete]])</f>
        <v>#DIV/0!</v>
      </c>
      <c r="N238" s="31"/>
      <c r="P238" s="28" t="e">
        <f>tbl_Punch[[#This Row],[Mat. Qty]]*tbl_Punch[[#This Row],[% Complete]]</f>
        <v>#DIV/0!</v>
      </c>
      <c r="R238" s="32" t="str">
        <f>IFERROR(tbl_Punch[[#This Row],[Qty Complete]]/tbl_Punch[[#This Row],[Total Hours Act]]*tbl_Punch[[#This Row],['# of men Act]],"")</f>
        <v/>
      </c>
      <c r="T238"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238" s="35" t="str">
        <f>IFERROR((tbl_Punch[[#This Row],[Adj. Total Hours]]+tbl_Punch[[#This Row],[Est. Hours]])/(tbl_Punch[[#This Row],[Total Hours Act]]+tbl_Punch[[#This Row],[Act. Hours]]),"")</f>
        <v/>
      </c>
      <c r="Y238"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238" s="104" t="str">
        <f>IFERROR(tbl_Punch[[#This Row],[Act. Mat. Qty]]-tbl_Punch[[#This Row],[Adj. Mat. Qty]],"")</f>
        <v/>
      </c>
      <c r="AA238"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238" s="31"/>
      <c r="AD238" s="36"/>
    </row>
    <row r="239" spans="3:30" ht="25" customHeight="1">
      <c r="C239" s="28" t="str">
        <f>IF(tbl_Punch[[#This Row],[Part'#]]="", "Batch", "Part")</f>
        <v>Batch</v>
      </c>
      <c r="G239" s="28"/>
      <c r="I239" s="70" t="e">
        <f>tbl_Punch[[#This Row],[Qty Complete]]/tbl_Punch[[#This Row],[Qty Required]]</f>
        <v>#DIV/0!</v>
      </c>
      <c r="L239" s="31">
        <f>IF(tbl_Punch[[#This Row],[Job Type]]="Batch",0,tbl_Punch[[#This Row],[Qty Required]]/tbl_Punch[[#This Row],[PPH]]*tbl_Punch[[#This Row],['# of men]])</f>
        <v>0</v>
      </c>
      <c r="M239" s="31" t="e">
        <f>IF(tbl_Punch[[#This Row],[Job Type]]="Batch",tbl_Punch[[#This Row],[Batch Hours]]*tbl_Punch[[#This Row],[% Complete]],tbl_Punch[[#This Row],[Total hours]]*tbl_Punch[[#This Row],[% Complete]])</f>
        <v>#DIV/0!</v>
      </c>
      <c r="N239" s="31"/>
      <c r="P239" s="28" t="e">
        <f>tbl_Punch[[#This Row],[Mat. Qty]]*tbl_Punch[[#This Row],[% Complete]]</f>
        <v>#DIV/0!</v>
      </c>
      <c r="R239" s="32" t="str">
        <f>IFERROR(tbl_Punch[[#This Row],[Qty Complete]]/tbl_Punch[[#This Row],[Total Hours Act]]*tbl_Punch[[#This Row],['# of men Act]],"")</f>
        <v/>
      </c>
      <c r="T239"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239" s="35" t="str">
        <f>IFERROR((tbl_Punch[[#This Row],[Adj. Total Hours]]+tbl_Punch[[#This Row],[Est. Hours]])/(tbl_Punch[[#This Row],[Total Hours Act]]+tbl_Punch[[#This Row],[Act. Hours]]),"")</f>
        <v/>
      </c>
      <c r="Y239"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239" s="104" t="str">
        <f>IFERROR(tbl_Punch[[#This Row],[Act. Mat. Qty]]-tbl_Punch[[#This Row],[Adj. Mat. Qty]],"")</f>
        <v/>
      </c>
      <c r="AA239"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239" s="31"/>
      <c r="AD239" s="36"/>
    </row>
    <row r="240" spans="3:30" ht="25" customHeight="1">
      <c r="C240" s="28" t="str">
        <f>IF(tbl_Punch[[#This Row],[Part'#]]="", "Batch", "Part")</f>
        <v>Batch</v>
      </c>
      <c r="G240" s="28"/>
      <c r="I240" s="70" t="e">
        <f>tbl_Punch[[#This Row],[Qty Complete]]/tbl_Punch[[#This Row],[Qty Required]]</f>
        <v>#DIV/0!</v>
      </c>
      <c r="L240" s="31">
        <f>IF(tbl_Punch[[#This Row],[Job Type]]="Batch",0,tbl_Punch[[#This Row],[Qty Required]]/tbl_Punch[[#This Row],[PPH]]*tbl_Punch[[#This Row],['# of men]])</f>
        <v>0</v>
      </c>
      <c r="M240" s="31" t="e">
        <f>IF(tbl_Punch[[#This Row],[Job Type]]="Batch",tbl_Punch[[#This Row],[Batch Hours]]*tbl_Punch[[#This Row],[% Complete]],tbl_Punch[[#This Row],[Total hours]]*tbl_Punch[[#This Row],[% Complete]])</f>
        <v>#DIV/0!</v>
      </c>
      <c r="N240" s="31"/>
      <c r="P240" s="28" t="e">
        <f>tbl_Punch[[#This Row],[Mat. Qty]]*tbl_Punch[[#This Row],[% Complete]]</f>
        <v>#DIV/0!</v>
      </c>
      <c r="R240" s="32" t="str">
        <f>IFERROR(tbl_Punch[[#This Row],[Qty Complete]]/tbl_Punch[[#This Row],[Total Hours Act]]*tbl_Punch[[#This Row],['# of men Act]],"")</f>
        <v/>
      </c>
      <c r="T240"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240" s="35" t="str">
        <f>IFERROR((tbl_Punch[[#This Row],[Adj. Total Hours]]+tbl_Punch[[#This Row],[Est. Hours]])/(tbl_Punch[[#This Row],[Total Hours Act]]+tbl_Punch[[#This Row],[Act. Hours]]),"")</f>
        <v/>
      </c>
      <c r="Y240"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240" s="104" t="str">
        <f>IFERROR(tbl_Punch[[#This Row],[Act. Mat. Qty]]-tbl_Punch[[#This Row],[Adj. Mat. Qty]],"")</f>
        <v/>
      </c>
      <c r="AA240"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240" s="31"/>
      <c r="AD240" s="36"/>
    </row>
    <row r="241" spans="3:30" ht="25" customHeight="1">
      <c r="C241" s="28" t="str">
        <f>IF(tbl_Punch[[#This Row],[Part'#]]="", "Batch", "Part")</f>
        <v>Batch</v>
      </c>
      <c r="G241" s="28"/>
      <c r="I241" s="70" t="e">
        <f>tbl_Punch[[#This Row],[Qty Complete]]/tbl_Punch[[#This Row],[Qty Required]]</f>
        <v>#DIV/0!</v>
      </c>
      <c r="L241" s="31">
        <f>IF(tbl_Punch[[#This Row],[Job Type]]="Batch",0,tbl_Punch[[#This Row],[Qty Required]]/tbl_Punch[[#This Row],[PPH]]*tbl_Punch[[#This Row],['# of men]])</f>
        <v>0</v>
      </c>
      <c r="M241" s="31" t="e">
        <f>IF(tbl_Punch[[#This Row],[Job Type]]="Batch",tbl_Punch[[#This Row],[Batch Hours]]*tbl_Punch[[#This Row],[% Complete]],tbl_Punch[[#This Row],[Total hours]]*tbl_Punch[[#This Row],[% Complete]])</f>
        <v>#DIV/0!</v>
      </c>
      <c r="N241" s="31"/>
      <c r="P241" s="28" t="e">
        <f>tbl_Punch[[#This Row],[Mat. Qty]]*tbl_Punch[[#This Row],[% Complete]]</f>
        <v>#DIV/0!</v>
      </c>
      <c r="R241" s="32" t="str">
        <f>IFERROR(tbl_Punch[[#This Row],[Qty Complete]]/tbl_Punch[[#This Row],[Total Hours Act]]*tbl_Punch[[#This Row],['# of men Act]],"")</f>
        <v/>
      </c>
      <c r="T241"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241" s="35" t="str">
        <f>IFERROR((tbl_Punch[[#This Row],[Adj. Total Hours]]+tbl_Punch[[#This Row],[Est. Hours]])/(tbl_Punch[[#This Row],[Total Hours Act]]+tbl_Punch[[#This Row],[Act. Hours]]),"")</f>
        <v/>
      </c>
      <c r="Y241"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241" s="104" t="str">
        <f>IFERROR(tbl_Punch[[#This Row],[Act. Mat. Qty]]-tbl_Punch[[#This Row],[Adj. Mat. Qty]],"")</f>
        <v/>
      </c>
      <c r="AA241"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241" s="31"/>
      <c r="AD241" s="36"/>
    </row>
    <row r="242" spans="3:30" ht="25" customHeight="1">
      <c r="C242" s="28" t="str">
        <f>IF(tbl_Punch[[#This Row],[Part'#]]="", "Batch", "Part")</f>
        <v>Batch</v>
      </c>
      <c r="G242" s="28"/>
      <c r="I242" s="70" t="e">
        <f>tbl_Punch[[#This Row],[Qty Complete]]/tbl_Punch[[#This Row],[Qty Required]]</f>
        <v>#DIV/0!</v>
      </c>
      <c r="L242" s="31">
        <f>IF(tbl_Punch[[#This Row],[Job Type]]="Batch",0,tbl_Punch[[#This Row],[Qty Required]]/tbl_Punch[[#This Row],[PPH]]*tbl_Punch[[#This Row],['# of men]])</f>
        <v>0</v>
      </c>
      <c r="M242" s="31" t="e">
        <f>IF(tbl_Punch[[#This Row],[Job Type]]="Batch",tbl_Punch[[#This Row],[Batch Hours]]*tbl_Punch[[#This Row],[% Complete]],tbl_Punch[[#This Row],[Total hours]]*tbl_Punch[[#This Row],[% Complete]])</f>
        <v>#DIV/0!</v>
      </c>
      <c r="N242" s="31"/>
      <c r="P242" s="28" t="e">
        <f>tbl_Punch[[#This Row],[Mat. Qty]]*tbl_Punch[[#This Row],[% Complete]]</f>
        <v>#DIV/0!</v>
      </c>
      <c r="R242" s="32" t="str">
        <f>IFERROR(tbl_Punch[[#This Row],[Qty Complete]]/tbl_Punch[[#This Row],[Total Hours Act]]*tbl_Punch[[#This Row],['# of men Act]],"")</f>
        <v/>
      </c>
      <c r="T242"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242" s="35" t="str">
        <f>IFERROR((tbl_Punch[[#This Row],[Adj. Total Hours]]+tbl_Punch[[#This Row],[Est. Hours]])/(tbl_Punch[[#This Row],[Total Hours Act]]+tbl_Punch[[#This Row],[Act. Hours]]),"")</f>
        <v/>
      </c>
      <c r="Y242"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242" s="104" t="str">
        <f>IFERROR(tbl_Punch[[#This Row],[Act. Mat. Qty]]-tbl_Punch[[#This Row],[Adj. Mat. Qty]],"")</f>
        <v/>
      </c>
      <c r="AA242"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242" s="31"/>
      <c r="AD242" s="36"/>
    </row>
    <row r="243" spans="3:30" ht="25" customHeight="1">
      <c r="C243" s="28" t="str">
        <f>IF(tbl_Punch[[#This Row],[Part'#]]="", "Batch", "Part")</f>
        <v>Batch</v>
      </c>
      <c r="G243" s="28"/>
      <c r="I243" s="70" t="e">
        <f>tbl_Punch[[#This Row],[Qty Complete]]/tbl_Punch[[#This Row],[Qty Required]]</f>
        <v>#DIV/0!</v>
      </c>
      <c r="L243" s="31">
        <f>IF(tbl_Punch[[#This Row],[Job Type]]="Batch",0,tbl_Punch[[#This Row],[Qty Required]]/tbl_Punch[[#This Row],[PPH]]*tbl_Punch[[#This Row],['# of men]])</f>
        <v>0</v>
      </c>
      <c r="M243" s="31" t="e">
        <f>IF(tbl_Punch[[#This Row],[Job Type]]="Batch",tbl_Punch[[#This Row],[Batch Hours]]*tbl_Punch[[#This Row],[% Complete]],tbl_Punch[[#This Row],[Total hours]]*tbl_Punch[[#This Row],[% Complete]])</f>
        <v>#DIV/0!</v>
      </c>
      <c r="N243" s="31"/>
      <c r="P243" s="28" t="e">
        <f>tbl_Punch[[#This Row],[Mat. Qty]]*tbl_Punch[[#This Row],[% Complete]]</f>
        <v>#DIV/0!</v>
      </c>
      <c r="R243" s="32" t="str">
        <f>IFERROR(tbl_Punch[[#This Row],[Qty Complete]]/tbl_Punch[[#This Row],[Total Hours Act]]*tbl_Punch[[#This Row],['# of men Act]],"")</f>
        <v/>
      </c>
      <c r="T243"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243" s="35" t="str">
        <f>IFERROR((tbl_Punch[[#This Row],[Adj. Total Hours]]+tbl_Punch[[#This Row],[Est. Hours]])/(tbl_Punch[[#This Row],[Total Hours Act]]+tbl_Punch[[#This Row],[Act. Hours]]),"")</f>
        <v/>
      </c>
      <c r="Y243"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243" s="104" t="str">
        <f>IFERROR(tbl_Punch[[#This Row],[Act. Mat. Qty]]-tbl_Punch[[#This Row],[Adj. Mat. Qty]],"")</f>
        <v/>
      </c>
      <c r="AA243"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243" s="31"/>
      <c r="AD243" s="36"/>
    </row>
    <row r="244" spans="3:30" ht="25" customHeight="1">
      <c r="C244" s="28" t="str">
        <f>IF(tbl_Punch[[#This Row],[Part'#]]="", "Batch", "Part")</f>
        <v>Batch</v>
      </c>
      <c r="G244" s="28"/>
      <c r="I244" s="70" t="e">
        <f>tbl_Punch[[#This Row],[Qty Complete]]/tbl_Punch[[#This Row],[Qty Required]]</f>
        <v>#DIV/0!</v>
      </c>
      <c r="L244" s="31">
        <f>IF(tbl_Punch[[#This Row],[Job Type]]="Batch",0,tbl_Punch[[#This Row],[Qty Required]]/tbl_Punch[[#This Row],[PPH]]*tbl_Punch[[#This Row],['# of men]])</f>
        <v>0</v>
      </c>
      <c r="M244" s="31" t="e">
        <f>IF(tbl_Punch[[#This Row],[Job Type]]="Batch",tbl_Punch[[#This Row],[Batch Hours]]*tbl_Punch[[#This Row],[% Complete]],tbl_Punch[[#This Row],[Total hours]]*tbl_Punch[[#This Row],[% Complete]])</f>
        <v>#DIV/0!</v>
      </c>
      <c r="N244" s="31"/>
      <c r="P244" s="28" t="e">
        <f>tbl_Punch[[#This Row],[Mat. Qty]]*tbl_Punch[[#This Row],[% Complete]]</f>
        <v>#DIV/0!</v>
      </c>
      <c r="R244" s="32" t="str">
        <f>IFERROR(tbl_Punch[[#This Row],[Qty Complete]]/tbl_Punch[[#This Row],[Total Hours Act]]*tbl_Punch[[#This Row],['# of men Act]],"")</f>
        <v/>
      </c>
      <c r="T244"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244" s="35" t="str">
        <f>IFERROR((tbl_Punch[[#This Row],[Adj. Total Hours]]+tbl_Punch[[#This Row],[Est. Hours]])/(tbl_Punch[[#This Row],[Total Hours Act]]+tbl_Punch[[#This Row],[Act. Hours]]),"")</f>
        <v/>
      </c>
      <c r="Y244"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244" s="104" t="str">
        <f>IFERROR(tbl_Punch[[#This Row],[Act. Mat. Qty]]-tbl_Punch[[#This Row],[Adj. Mat. Qty]],"")</f>
        <v/>
      </c>
      <c r="AA244"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244" s="31"/>
      <c r="AD244" s="36"/>
    </row>
    <row r="245" spans="3:30" ht="25" customHeight="1">
      <c r="C245" s="28" t="str">
        <f>IF(tbl_Punch[[#This Row],[Part'#]]="", "Batch", "Part")</f>
        <v>Batch</v>
      </c>
      <c r="G245" s="28"/>
      <c r="I245" s="70" t="e">
        <f>tbl_Punch[[#This Row],[Qty Complete]]/tbl_Punch[[#This Row],[Qty Required]]</f>
        <v>#DIV/0!</v>
      </c>
      <c r="L245" s="31">
        <f>IF(tbl_Punch[[#This Row],[Job Type]]="Batch",0,tbl_Punch[[#This Row],[Qty Required]]/tbl_Punch[[#This Row],[PPH]]*tbl_Punch[[#This Row],['# of men]])</f>
        <v>0</v>
      </c>
      <c r="M245" s="31" t="e">
        <f>IF(tbl_Punch[[#This Row],[Job Type]]="Batch",tbl_Punch[[#This Row],[Batch Hours]]*tbl_Punch[[#This Row],[% Complete]],tbl_Punch[[#This Row],[Total hours]]*tbl_Punch[[#This Row],[% Complete]])</f>
        <v>#DIV/0!</v>
      </c>
      <c r="N245" s="31"/>
      <c r="P245" s="28" t="e">
        <f>tbl_Punch[[#This Row],[Mat. Qty]]*tbl_Punch[[#This Row],[% Complete]]</f>
        <v>#DIV/0!</v>
      </c>
      <c r="R245" s="32" t="str">
        <f>IFERROR(tbl_Punch[[#This Row],[Qty Complete]]/tbl_Punch[[#This Row],[Total Hours Act]]*tbl_Punch[[#This Row],['# of men Act]],"")</f>
        <v/>
      </c>
      <c r="T245"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245" s="35" t="str">
        <f>IFERROR((tbl_Punch[[#This Row],[Adj. Total Hours]]+tbl_Punch[[#This Row],[Est. Hours]])/(tbl_Punch[[#This Row],[Total Hours Act]]+tbl_Punch[[#This Row],[Act. Hours]]),"")</f>
        <v/>
      </c>
      <c r="Y245"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245" s="104" t="str">
        <f>IFERROR(tbl_Punch[[#This Row],[Act. Mat. Qty]]-tbl_Punch[[#This Row],[Adj. Mat. Qty]],"")</f>
        <v/>
      </c>
      <c r="AA245"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245" s="31"/>
      <c r="AD245" s="36"/>
    </row>
    <row r="246" spans="3:30" ht="25" customHeight="1">
      <c r="C246" s="28" t="str">
        <f>IF(tbl_Punch[[#This Row],[Part'#]]="", "Batch", "Part")</f>
        <v>Batch</v>
      </c>
      <c r="G246" s="28"/>
      <c r="I246" s="70" t="e">
        <f>tbl_Punch[[#This Row],[Qty Complete]]/tbl_Punch[[#This Row],[Qty Required]]</f>
        <v>#DIV/0!</v>
      </c>
      <c r="L246" s="31">
        <f>IF(tbl_Punch[[#This Row],[Job Type]]="Batch",0,tbl_Punch[[#This Row],[Qty Required]]/tbl_Punch[[#This Row],[PPH]]*tbl_Punch[[#This Row],['# of men]])</f>
        <v>0</v>
      </c>
      <c r="M246" s="31" t="e">
        <f>IF(tbl_Punch[[#This Row],[Job Type]]="Batch",tbl_Punch[[#This Row],[Batch Hours]]*tbl_Punch[[#This Row],[% Complete]],tbl_Punch[[#This Row],[Total hours]]*tbl_Punch[[#This Row],[% Complete]])</f>
        <v>#DIV/0!</v>
      </c>
      <c r="N246" s="31"/>
      <c r="P246" s="28" t="e">
        <f>tbl_Punch[[#This Row],[Mat. Qty]]*tbl_Punch[[#This Row],[% Complete]]</f>
        <v>#DIV/0!</v>
      </c>
      <c r="R246" s="32" t="str">
        <f>IFERROR(tbl_Punch[[#This Row],[Qty Complete]]/tbl_Punch[[#This Row],[Total Hours Act]]*tbl_Punch[[#This Row],['# of men Act]],"")</f>
        <v/>
      </c>
      <c r="T246"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246" s="35" t="str">
        <f>IFERROR((tbl_Punch[[#This Row],[Adj. Total Hours]]+tbl_Punch[[#This Row],[Est. Hours]])/(tbl_Punch[[#This Row],[Total Hours Act]]+tbl_Punch[[#This Row],[Act. Hours]]),"")</f>
        <v/>
      </c>
      <c r="Y246"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246" s="104" t="str">
        <f>IFERROR(tbl_Punch[[#This Row],[Act. Mat. Qty]]-tbl_Punch[[#This Row],[Adj. Mat. Qty]],"")</f>
        <v/>
      </c>
      <c r="AA246"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246" s="31"/>
      <c r="AD246" s="36"/>
    </row>
    <row r="247" spans="3:30" ht="25" customHeight="1">
      <c r="C247" s="28" t="str">
        <f>IF(tbl_Punch[[#This Row],[Part'#]]="", "Batch", "Part")</f>
        <v>Batch</v>
      </c>
      <c r="G247" s="28"/>
      <c r="I247" s="70" t="e">
        <f>tbl_Punch[[#This Row],[Qty Complete]]/tbl_Punch[[#This Row],[Qty Required]]</f>
        <v>#DIV/0!</v>
      </c>
      <c r="L247" s="31">
        <f>IF(tbl_Punch[[#This Row],[Job Type]]="Batch",0,tbl_Punch[[#This Row],[Qty Required]]/tbl_Punch[[#This Row],[PPH]]*tbl_Punch[[#This Row],['# of men]])</f>
        <v>0</v>
      </c>
      <c r="M247" s="31" t="e">
        <f>IF(tbl_Punch[[#This Row],[Job Type]]="Batch",tbl_Punch[[#This Row],[Batch Hours]]*tbl_Punch[[#This Row],[% Complete]],tbl_Punch[[#This Row],[Total hours]]*tbl_Punch[[#This Row],[% Complete]])</f>
        <v>#DIV/0!</v>
      </c>
      <c r="N247" s="31"/>
      <c r="P247" s="28" t="e">
        <f>tbl_Punch[[#This Row],[Mat. Qty]]*tbl_Punch[[#This Row],[% Complete]]</f>
        <v>#DIV/0!</v>
      </c>
      <c r="R247" s="32" t="str">
        <f>IFERROR(tbl_Punch[[#This Row],[Qty Complete]]/tbl_Punch[[#This Row],[Total Hours Act]]*tbl_Punch[[#This Row],['# of men Act]],"")</f>
        <v/>
      </c>
      <c r="T247"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247" s="35" t="str">
        <f>IFERROR((tbl_Punch[[#This Row],[Adj. Total Hours]]+tbl_Punch[[#This Row],[Est. Hours]])/(tbl_Punch[[#This Row],[Total Hours Act]]+tbl_Punch[[#This Row],[Act. Hours]]),"")</f>
        <v/>
      </c>
      <c r="Y247"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247" s="104" t="str">
        <f>IFERROR(tbl_Punch[[#This Row],[Act. Mat. Qty]]-tbl_Punch[[#This Row],[Adj. Mat. Qty]],"")</f>
        <v/>
      </c>
      <c r="AA247"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247" s="31"/>
      <c r="AD247" s="36"/>
    </row>
    <row r="248" spans="3:30" ht="25" customHeight="1">
      <c r="C248" s="28" t="str">
        <f>IF(tbl_Punch[[#This Row],[Part'#]]="", "Batch", "Part")</f>
        <v>Batch</v>
      </c>
      <c r="G248" s="28"/>
      <c r="I248" s="70" t="e">
        <f>tbl_Punch[[#This Row],[Qty Complete]]/tbl_Punch[[#This Row],[Qty Required]]</f>
        <v>#DIV/0!</v>
      </c>
      <c r="L248" s="31">
        <f>IF(tbl_Punch[[#This Row],[Job Type]]="Batch",0,tbl_Punch[[#This Row],[Qty Required]]/tbl_Punch[[#This Row],[PPH]]*tbl_Punch[[#This Row],['# of men]])</f>
        <v>0</v>
      </c>
      <c r="M248" s="31" t="e">
        <f>IF(tbl_Punch[[#This Row],[Job Type]]="Batch",tbl_Punch[[#This Row],[Batch Hours]]*tbl_Punch[[#This Row],[% Complete]],tbl_Punch[[#This Row],[Total hours]]*tbl_Punch[[#This Row],[% Complete]])</f>
        <v>#DIV/0!</v>
      </c>
      <c r="N248" s="31"/>
      <c r="P248" s="28" t="e">
        <f>tbl_Punch[[#This Row],[Mat. Qty]]*tbl_Punch[[#This Row],[% Complete]]</f>
        <v>#DIV/0!</v>
      </c>
      <c r="R248" s="32" t="str">
        <f>IFERROR(tbl_Punch[[#This Row],[Qty Complete]]/tbl_Punch[[#This Row],[Total Hours Act]]*tbl_Punch[[#This Row],['# of men Act]],"")</f>
        <v/>
      </c>
      <c r="T248"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248" s="35" t="str">
        <f>IFERROR((tbl_Punch[[#This Row],[Adj. Total Hours]]+tbl_Punch[[#This Row],[Est. Hours]])/(tbl_Punch[[#This Row],[Total Hours Act]]+tbl_Punch[[#This Row],[Act. Hours]]),"")</f>
        <v/>
      </c>
      <c r="Y248"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248" s="104" t="str">
        <f>IFERROR(tbl_Punch[[#This Row],[Act. Mat. Qty]]-tbl_Punch[[#This Row],[Adj. Mat. Qty]],"")</f>
        <v/>
      </c>
      <c r="AA248"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248" s="31"/>
      <c r="AD248" s="36"/>
    </row>
    <row r="249" spans="3:30" ht="25" customHeight="1">
      <c r="C249" s="28" t="str">
        <f>IF(tbl_Punch[[#This Row],[Part'#]]="", "Batch", "Part")</f>
        <v>Batch</v>
      </c>
      <c r="G249" s="28"/>
      <c r="I249" s="70" t="e">
        <f>tbl_Punch[[#This Row],[Qty Complete]]/tbl_Punch[[#This Row],[Qty Required]]</f>
        <v>#DIV/0!</v>
      </c>
      <c r="L249" s="31">
        <f>IF(tbl_Punch[[#This Row],[Job Type]]="Batch",0,tbl_Punch[[#This Row],[Qty Required]]/tbl_Punch[[#This Row],[PPH]]*tbl_Punch[[#This Row],['# of men]])</f>
        <v>0</v>
      </c>
      <c r="M249" s="31" t="e">
        <f>IF(tbl_Punch[[#This Row],[Job Type]]="Batch",tbl_Punch[[#This Row],[Batch Hours]]*tbl_Punch[[#This Row],[% Complete]],tbl_Punch[[#This Row],[Total hours]]*tbl_Punch[[#This Row],[% Complete]])</f>
        <v>#DIV/0!</v>
      </c>
      <c r="N249" s="31"/>
      <c r="P249" s="28" t="e">
        <f>tbl_Punch[[#This Row],[Mat. Qty]]*tbl_Punch[[#This Row],[% Complete]]</f>
        <v>#DIV/0!</v>
      </c>
      <c r="R249" s="32" t="str">
        <f>IFERROR(tbl_Punch[[#This Row],[Qty Complete]]/tbl_Punch[[#This Row],[Total Hours Act]]*tbl_Punch[[#This Row],['# of men Act]],"")</f>
        <v/>
      </c>
      <c r="T249"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249" s="35" t="str">
        <f>IFERROR((tbl_Punch[[#This Row],[Adj. Total Hours]]+tbl_Punch[[#This Row],[Est. Hours]])/(tbl_Punch[[#This Row],[Total Hours Act]]+tbl_Punch[[#This Row],[Act. Hours]]),"")</f>
        <v/>
      </c>
      <c r="Y249"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249" s="104" t="str">
        <f>IFERROR(tbl_Punch[[#This Row],[Act. Mat. Qty]]-tbl_Punch[[#This Row],[Adj. Mat. Qty]],"")</f>
        <v/>
      </c>
      <c r="AA249"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249" s="31"/>
      <c r="AD249" s="36"/>
    </row>
    <row r="250" spans="3:30" ht="25" customHeight="1">
      <c r="C250" s="28" t="str">
        <f>IF(tbl_Punch[[#This Row],[Part'#]]="", "Batch", "Part")</f>
        <v>Batch</v>
      </c>
      <c r="G250" s="28"/>
      <c r="I250" s="70" t="e">
        <f>tbl_Punch[[#This Row],[Qty Complete]]/tbl_Punch[[#This Row],[Qty Required]]</f>
        <v>#DIV/0!</v>
      </c>
      <c r="L250" s="31">
        <f>IF(tbl_Punch[[#This Row],[Job Type]]="Batch",0,tbl_Punch[[#This Row],[Qty Required]]/tbl_Punch[[#This Row],[PPH]]*tbl_Punch[[#This Row],['# of men]])</f>
        <v>0</v>
      </c>
      <c r="M250" s="31" t="e">
        <f>IF(tbl_Punch[[#This Row],[Job Type]]="Batch",tbl_Punch[[#This Row],[Batch Hours]]*tbl_Punch[[#This Row],[% Complete]],tbl_Punch[[#This Row],[Total hours]]*tbl_Punch[[#This Row],[% Complete]])</f>
        <v>#DIV/0!</v>
      </c>
      <c r="N250" s="31"/>
      <c r="P250" s="28" t="e">
        <f>tbl_Punch[[#This Row],[Mat. Qty]]*tbl_Punch[[#This Row],[% Complete]]</f>
        <v>#DIV/0!</v>
      </c>
      <c r="R250" s="32" t="str">
        <f>IFERROR(tbl_Punch[[#This Row],[Qty Complete]]/tbl_Punch[[#This Row],[Total Hours Act]]*tbl_Punch[[#This Row],['# of men Act]],"")</f>
        <v/>
      </c>
      <c r="T250" s="33">
        <f>(MOD(tbl_Punch[[#This Row],[End Time]]-tbl_Punch[[#This Row],[Start Time]],1)*24*tbl_Punch[[#This Row],['# of men Act]])-
(
IF(AND(tbl_Punch[[#This Row],[Start Time]]&lt;=Data!$B$2+(Data!$B$2&lt;tbl_Punch[[#This Row],[Start Time]]),tbl_Punch[[#This Row],[Start Time]]+MOD(tbl_Punch[[#This Row],[End Time]]-tbl_Punch[[#This Row],[Start Time]],1)&gt;=Data!$C$2+(Data!$C$2&lt;tbl_Punch[[#This Row],[Start Time]])),0.5*tbl_Punch[[#This Row],['# of men Act]],0)
+
IF(AND(tbl_Punch[[#This Row],[Start Time]]&lt;=Data!$B$3+(Data!$B$3&lt;tbl_Punch[[#This Row],[Start Time]]),tbl_Punch[[#This Row],[Start Time]]+MOD(tbl_Punch[[#This Row],[End Time]]-tbl_Punch[[#This Row],[Start Time]],1)&gt;=Data!$C$3+(Data!$C$3&lt;tbl_Punch[[#This Row],[Start Time]])),0.5*tbl_Punch[[#This Row],['# of men Act]],0)
)</f>
        <v>0</v>
      </c>
      <c r="X250" s="35" t="str">
        <f>IFERROR((tbl_Punch[[#This Row],[Adj. Total Hours]]+tbl_Punch[[#This Row],[Est. Hours]])/(tbl_Punch[[#This Row],[Total Hours Act]]+tbl_Punch[[#This Row],[Act. Hours]]),"")</f>
        <v/>
      </c>
      <c r="Y250" s="102" t="str">
        <f>IF(AND(SUMIFS(tbl_Punch[% Complete],tbl_Punch[Job'#],tbl_Punch[[#This Row],[Job'#]])&gt;=1,COUNTIF(INDEX(tbl_Punch[Job'#],1):tbl_Punch[[#This Row],[Job'#]],tbl_Punch[[#This Row],[Job'#]])=COUNTIF(tbl_Punch[Job'#],tbl_Punch[[#This Row],[Job'#]])),IFERROR((SUMIFS(tbl_Punch[Adj. Total Hours],tbl_Punch[Job'#],tbl_Punch[[#This Row],[Job'#]])+SUMIFS(tbl_Punch[Est. Hours],tbl_Punch[Job'#],tbl_Punch[[#This Row],[Job'#]]))/(SUMIFS(tbl_Punch[Total Hours Act],tbl_Punch[Job'#],tbl_Punch[[#This Row],[Job'#]])+SUMIFS(tbl_Punch[Act. Hours],tbl_Punch[Job'#],tbl_Punch[[#This Row],[Job'#]])),""),"")</f>
        <v/>
      </c>
      <c r="Z250" s="104" t="str">
        <f>IFERROR(tbl_Punch[[#This Row],[Act. Mat. Qty]]-tbl_Punch[[#This Row],[Adj. Mat. Qty]],"")</f>
        <v/>
      </c>
      <c r="AA250" s="105" t="str">
        <f>IF(AND(SUMIFS(tbl_Punch[% Complete],tbl_Punch[Job'#],tbl_Punch[[#This Row],[Job'#]])&gt;=1,COUNTIF(INDEX(tbl_Punch[Job'#],1):tbl_Punch[[#This Row],[Job'#]],tbl_Punch[[#This Row],[Job'#]])=COUNTIF(tbl_Punch[Job'#],tbl_Punch[[#This Row],[Job'#]])),(SUMIFS(tbl_Punch[Act. Mat. Qty],tbl_Punch[Job'#],tbl_Punch[[#This Row],[Job'#]]))-(SUMIFS(tbl_Punch[Adj. Mat. Qty],tbl_Punch[Job'#],tbl_Punch[[#This Row],[Job'#]])),"")</f>
        <v/>
      </c>
      <c r="AC250" s="31"/>
      <c r="AD250" s="36"/>
    </row>
    <row r="251" spans="3:30" ht="25" customHeight="1">
      <c r="L251" s="31"/>
      <c r="M251" s="31"/>
      <c r="N251" s="31"/>
      <c r="R251" s="32"/>
      <c r="X251" s="35"/>
      <c r="Y251" s="102"/>
      <c r="Z251" s="104"/>
      <c r="AA251" s="105"/>
    </row>
    <row r="252" spans="3:30" ht="25" customHeight="1">
      <c r="L252" s="31"/>
      <c r="M252" s="31"/>
      <c r="N252" s="31"/>
      <c r="R252" s="32"/>
      <c r="X252" s="35"/>
      <c r="Y252" s="102"/>
      <c r="Z252" s="104"/>
      <c r="AA252" s="105"/>
    </row>
    <row r="253" spans="3:30" ht="25" customHeight="1">
      <c r="L253" s="31"/>
      <c r="M253" s="31"/>
      <c r="N253" s="31"/>
      <c r="R253" s="32"/>
      <c r="X253" s="35"/>
      <c r="Y253" s="102"/>
      <c r="Z253" s="104"/>
      <c r="AA253" s="105"/>
    </row>
    <row r="254" spans="3:30" ht="25" customHeight="1">
      <c r="L254" s="31"/>
      <c r="M254" s="31"/>
      <c r="N254" s="31"/>
      <c r="R254" s="32"/>
      <c r="X254" s="35"/>
      <c r="Y254" s="102"/>
      <c r="Z254" s="104"/>
      <c r="AA254" s="105"/>
    </row>
    <row r="255" spans="3:30" ht="25" customHeight="1">
      <c r="L255" s="31"/>
      <c r="M255" s="31"/>
      <c r="N255" s="31"/>
      <c r="R255" s="32"/>
      <c r="X255" s="35"/>
      <c r="Y255" s="102"/>
      <c r="Z255" s="104"/>
      <c r="AA255" s="105"/>
    </row>
    <row r="256" spans="3:30" ht="25" customHeight="1">
      <c r="L256" s="31"/>
      <c r="M256" s="31"/>
      <c r="N256" s="31"/>
      <c r="R256" s="32"/>
      <c r="X256" s="35"/>
      <c r="Y256" s="102"/>
      <c r="Z256" s="104"/>
      <c r="AA256" s="105"/>
    </row>
    <row r="257" spans="12:27" ht="25" customHeight="1">
      <c r="L257" s="31"/>
      <c r="M257" s="31"/>
      <c r="N257" s="31"/>
      <c r="R257" s="32"/>
      <c r="X257" s="35"/>
      <c r="Y257" s="102"/>
      <c r="Z257" s="104"/>
      <c r="AA257" s="105"/>
    </row>
    <row r="258" spans="12:27" ht="25" customHeight="1">
      <c r="L258" s="31"/>
      <c r="M258" s="31"/>
      <c r="N258" s="31"/>
      <c r="R258" s="32"/>
      <c r="X258" s="35"/>
      <c r="Y258" s="102"/>
      <c r="Z258" s="104"/>
      <c r="AA258" s="105"/>
    </row>
    <row r="259" spans="12:27" ht="25" customHeight="1">
      <c r="L259" s="31"/>
      <c r="M259" s="31"/>
      <c r="N259" s="31"/>
      <c r="R259" s="32"/>
      <c r="X259" s="35"/>
      <c r="Y259" s="102"/>
      <c r="Z259" s="104"/>
      <c r="AA259" s="105"/>
    </row>
    <row r="260" spans="12:27" ht="25" customHeight="1">
      <c r="L260" s="31"/>
      <c r="M260" s="31"/>
      <c r="N260" s="31"/>
      <c r="R260" s="32"/>
      <c r="X260" s="35"/>
      <c r="Y260" s="102"/>
      <c r="Z260" s="104"/>
      <c r="AA260" s="105"/>
    </row>
    <row r="261" spans="12:27" ht="25" customHeight="1">
      <c r="L261" s="31"/>
      <c r="M261" s="31"/>
      <c r="N261" s="31"/>
      <c r="R261" s="32"/>
      <c r="X261" s="35"/>
      <c r="Y261" s="102"/>
      <c r="Z261" s="104"/>
      <c r="AA261" s="105"/>
    </row>
    <row r="262" spans="12:27" ht="25" customHeight="1">
      <c r="L262" s="31"/>
      <c r="M262" s="31"/>
      <c r="N262" s="31"/>
      <c r="R262" s="32"/>
      <c r="X262" s="35"/>
      <c r="Y262" s="102"/>
      <c r="Z262" s="104"/>
      <c r="AA262" s="105"/>
    </row>
    <row r="263" spans="12:27" ht="25" customHeight="1">
      <c r="L263" s="31"/>
      <c r="M263" s="31"/>
      <c r="N263" s="31"/>
      <c r="R263" s="32"/>
      <c r="X263" s="35"/>
      <c r="Y263" s="102"/>
      <c r="Z263" s="104"/>
      <c r="AA263" s="105"/>
    </row>
    <row r="264" spans="12:27" ht="25" customHeight="1">
      <c r="L264" s="31"/>
      <c r="M264" s="31"/>
      <c r="N264" s="31"/>
      <c r="R264" s="32"/>
      <c r="X264" s="35"/>
      <c r="Y264" s="102"/>
      <c r="Z264" s="104"/>
      <c r="AA264" s="105"/>
    </row>
    <row r="265" spans="12:27" ht="25" customHeight="1">
      <c r="L265" s="31"/>
      <c r="M265" s="31"/>
      <c r="N265" s="31"/>
      <c r="R265" s="32"/>
      <c r="X265" s="35"/>
      <c r="Y265" s="102"/>
      <c r="Z265" s="104"/>
      <c r="AA265" s="105"/>
    </row>
    <row r="266" spans="12:27" ht="25" customHeight="1">
      <c r="L266" s="31"/>
      <c r="M266" s="31"/>
      <c r="N266" s="31"/>
      <c r="R266" s="32"/>
      <c r="X266" s="35"/>
      <c r="Y266" s="102"/>
      <c r="Z266" s="104"/>
      <c r="AA266" s="105"/>
    </row>
    <row r="267" spans="12:27" ht="25" customHeight="1">
      <c r="L267" s="31"/>
      <c r="M267" s="31"/>
      <c r="N267" s="31"/>
      <c r="R267" s="32"/>
      <c r="X267" s="35"/>
      <c r="Y267" s="102"/>
      <c r="Z267" s="104"/>
      <c r="AA267" s="105"/>
    </row>
    <row r="268" spans="12:27" ht="25" customHeight="1">
      <c r="L268" s="31"/>
      <c r="M268" s="31"/>
      <c r="N268" s="31"/>
      <c r="R268" s="32"/>
      <c r="X268" s="35"/>
      <c r="Y268" s="102"/>
      <c r="Z268" s="104"/>
      <c r="AA268" s="105"/>
    </row>
    <row r="269" spans="12:27" ht="25" customHeight="1">
      <c r="L269" s="31"/>
      <c r="M269" s="31"/>
      <c r="N269" s="31"/>
      <c r="R269" s="32"/>
      <c r="X269" s="35"/>
      <c r="Y269" s="102"/>
      <c r="Z269" s="104"/>
      <c r="AA269" s="105"/>
    </row>
    <row r="270" spans="12:27" ht="25" customHeight="1">
      <c r="L270" s="31"/>
      <c r="M270" s="31"/>
      <c r="N270" s="31"/>
      <c r="R270" s="32"/>
      <c r="X270" s="35"/>
      <c r="Y270" s="102"/>
      <c r="Z270" s="104"/>
      <c r="AA270" s="105"/>
    </row>
    <row r="271" spans="12:27" ht="25" customHeight="1">
      <c r="L271" s="31"/>
      <c r="M271" s="31"/>
      <c r="N271" s="31"/>
      <c r="R271" s="32"/>
      <c r="X271" s="35"/>
      <c r="Y271" s="102"/>
      <c r="Z271" s="104"/>
      <c r="AA271" s="105"/>
    </row>
    <row r="272" spans="12:27" ht="25" customHeight="1">
      <c r="L272" s="31"/>
      <c r="M272" s="31"/>
      <c r="N272" s="31"/>
      <c r="R272" s="32"/>
      <c r="X272" s="35"/>
      <c r="Y272" s="102"/>
      <c r="Z272" s="104"/>
      <c r="AA272" s="105"/>
    </row>
    <row r="273" spans="12:27" ht="25" customHeight="1">
      <c r="L273" s="31"/>
      <c r="M273" s="31"/>
      <c r="N273" s="31"/>
      <c r="R273" s="32"/>
      <c r="X273" s="35"/>
      <c r="Y273" s="102"/>
      <c r="Z273" s="104"/>
      <c r="AA273" s="105"/>
    </row>
    <row r="274" spans="12:27" ht="25" customHeight="1">
      <c r="L274" s="31"/>
      <c r="M274" s="31"/>
      <c r="N274" s="31"/>
      <c r="R274" s="32"/>
      <c r="X274" s="35"/>
      <c r="Y274" s="102"/>
      <c r="Z274" s="104"/>
      <c r="AA274" s="105"/>
    </row>
    <row r="275" spans="12:27" ht="25" customHeight="1">
      <c r="L275" s="31"/>
      <c r="M275" s="31"/>
      <c r="N275" s="31"/>
      <c r="R275" s="32"/>
      <c r="X275" s="35"/>
      <c r="Y275" s="102"/>
      <c r="Z275" s="104"/>
      <c r="AA275" s="105"/>
    </row>
    <row r="276" spans="12:27" ht="25" customHeight="1">
      <c r="L276" s="31"/>
      <c r="M276" s="31"/>
      <c r="N276" s="31"/>
      <c r="R276" s="32"/>
      <c r="X276" s="35"/>
      <c r="Y276" s="102"/>
      <c r="Z276" s="104"/>
      <c r="AA276" s="105"/>
    </row>
    <row r="277" spans="12:27" ht="25" customHeight="1">
      <c r="L277" s="31"/>
      <c r="M277" s="31"/>
      <c r="N277" s="31"/>
      <c r="R277" s="32"/>
      <c r="X277" s="35"/>
      <c r="Y277" s="102"/>
      <c r="Z277" s="104"/>
      <c r="AA277" s="105"/>
    </row>
    <row r="278" spans="12:27" ht="25" customHeight="1">
      <c r="L278" s="31"/>
      <c r="M278" s="31"/>
      <c r="N278" s="31"/>
      <c r="R278" s="32"/>
      <c r="X278" s="35"/>
      <c r="Y278" s="102"/>
      <c r="Z278" s="104"/>
      <c r="AA278" s="105"/>
    </row>
    <row r="279" spans="12:27" ht="25" customHeight="1">
      <c r="L279" s="31"/>
      <c r="M279" s="31"/>
      <c r="N279" s="31"/>
      <c r="R279" s="32"/>
      <c r="X279" s="35"/>
      <c r="Y279" s="102"/>
      <c r="Z279" s="104"/>
      <c r="AA279" s="105"/>
    </row>
    <row r="280" spans="12:27" ht="25" customHeight="1">
      <c r="L280" s="31"/>
      <c r="M280" s="31"/>
      <c r="N280" s="31"/>
      <c r="R280" s="32"/>
      <c r="X280" s="35"/>
      <c r="Y280" s="102"/>
      <c r="Z280" s="104"/>
      <c r="AA280" s="105"/>
    </row>
    <row r="281" spans="12:27" ht="25" customHeight="1">
      <c r="L281" s="31"/>
      <c r="M281" s="31"/>
      <c r="N281" s="31"/>
      <c r="R281" s="32"/>
      <c r="X281" s="35"/>
      <c r="Y281" s="102"/>
      <c r="Z281" s="104"/>
      <c r="AA281" s="105"/>
    </row>
    <row r="282" spans="12:27" ht="25" customHeight="1">
      <c r="L282" s="31"/>
      <c r="M282" s="31"/>
      <c r="N282" s="31"/>
      <c r="R282" s="32"/>
      <c r="X282" s="35"/>
      <c r="Y282" s="102"/>
      <c r="Z282" s="104"/>
      <c r="AA282" s="105"/>
    </row>
    <row r="283" spans="12:27" ht="25" customHeight="1">
      <c r="L283" s="31"/>
      <c r="M283" s="31"/>
      <c r="N283" s="31"/>
      <c r="R283" s="32"/>
      <c r="X283" s="35"/>
      <c r="Y283" s="102"/>
      <c r="Z283" s="104"/>
      <c r="AA283" s="105"/>
    </row>
    <row r="284" spans="12:27" ht="25" customHeight="1">
      <c r="L284" s="31"/>
      <c r="M284" s="31"/>
      <c r="N284" s="31"/>
      <c r="R284" s="32"/>
      <c r="X284" s="35"/>
      <c r="Y284" s="102"/>
      <c r="Z284" s="104"/>
      <c r="AA284" s="105"/>
    </row>
    <row r="285" spans="12:27" ht="25" customHeight="1">
      <c r="L285" s="31"/>
      <c r="M285" s="31"/>
      <c r="N285" s="31"/>
      <c r="R285" s="32"/>
      <c r="X285" s="35"/>
      <c r="Y285" s="102"/>
      <c r="Z285" s="104"/>
      <c r="AA285" s="105"/>
    </row>
    <row r="286" spans="12:27" ht="25" customHeight="1">
      <c r="L286" s="31"/>
      <c r="M286" s="31"/>
      <c r="N286" s="31"/>
      <c r="R286" s="32"/>
      <c r="X286" s="35"/>
      <c r="Y286" s="102"/>
      <c r="Z286" s="104"/>
      <c r="AA286" s="105"/>
    </row>
    <row r="287" spans="12:27" ht="25" customHeight="1">
      <c r="L287" s="31"/>
      <c r="M287" s="31"/>
      <c r="N287" s="31"/>
      <c r="R287" s="32"/>
      <c r="X287" s="35"/>
      <c r="Y287" s="102"/>
      <c r="Z287" s="104"/>
      <c r="AA287" s="105"/>
    </row>
    <row r="288" spans="12:27" ht="25" customHeight="1">
      <c r="L288" s="31"/>
      <c r="M288" s="31"/>
      <c r="N288" s="31"/>
      <c r="R288" s="32"/>
      <c r="X288" s="35"/>
      <c r="Y288" s="102"/>
      <c r="Z288" s="104"/>
      <c r="AA288" s="105"/>
    </row>
    <row r="289" spans="12:27" ht="25" customHeight="1">
      <c r="L289" s="31"/>
      <c r="M289" s="31"/>
      <c r="N289" s="31"/>
      <c r="R289" s="32"/>
      <c r="X289" s="35"/>
      <c r="Y289" s="102"/>
      <c r="Z289" s="104"/>
      <c r="AA289" s="105"/>
    </row>
    <row r="290" spans="12:27" ht="25" customHeight="1">
      <c r="L290" s="31"/>
      <c r="M290" s="31"/>
      <c r="N290" s="31"/>
      <c r="R290" s="32"/>
      <c r="X290" s="35"/>
      <c r="Y290" s="102"/>
      <c r="Z290" s="104"/>
      <c r="AA290" s="105"/>
    </row>
    <row r="291" spans="12:27" ht="25" customHeight="1">
      <c r="L291" s="31"/>
      <c r="M291" s="31"/>
      <c r="N291" s="31"/>
      <c r="R291" s="32"/>
      <c r="X291" s="35"/>
      <c r="Y291" s="102"/>
      <c r="Z291" s="104"/>
      <c r="AA291" s="105"/>
    </row>
    <row r="292" spans="12:27" ht="25" customHeight="1">
      <c r="L292" s="31"/>
      <c r="M292" s="31"/>
      <c r="N292" s="31"/>
      <c r="R292" s="32"/>
      <c r="X292" s="35"/>
      <c r="Y292" s="102"/>
      <c r="Z292" s="104"/>
      <c r="AA292" s="105"/>
    </row>
    <row r="293" spans="12:27" ht="25" customHeight="1">
      <c r="L293" s="31"/>
      <c r="M293" s="31"/>
      <c r="N293" s="31"/>
      <c r="R293" s="32"/>
      <c r="X293" s="35"/>
      <c r="Y293" s="102"/>
      <c r="Z293" s="104"/>
      <c r="AA293" s="105"/>
    </row>
    <row r="294" spans="12:27" ht="25" customHeight="1">
      <c r="L294" s="31"/>
      <c r="M294" s="31"/>
      <c r="N294" s="31"/>
      <c r="R294" s="32"/>
      <c r="X294" s="35"/>
      <c r="Y294" s="102"/>
      <c r="Z294" s="104"/>
      <c r="AA294" s="105"/>
    </row>
    <row r="295" spans="12:27" ht="25" customHeight="1">
      <c r="L295" s="31"/>
      <c r="M295" s="31"/>
      <c r="N295" s="31"/>
      <c r="R295" s="32"/>
      <c r="X295" s="35"/>
      <c r="Y295" s="102"/>
      <c r="Z295" s="104"/>
      <c r="AA295" s="105"/>
    </row>
    <row r="296" spans="12:27" ht="25" customHeight="1">
      <c r="L296" s="31"/>
      <c r="M296" s="31"/>
      <c r="N296" s="31"/>
      <c r="R296" s="32"/>
      <c r="X296" s="35"/>
      <c r="Y296" s="102"/>
      <c r="Z296" s="104"/>
      <c r="AA296" s="105"/>
    </row>
    <row r="297" spans="12:27" ht="25" customHeight="1">
      <c r="L297" s="31"/>
      <c r="M297" s="31"/>
      <c r="N297" s="31"/>
      <c r="R297" s="32"/>
      <c r="X297" s="35"/>
      <c r="Y297" s="102"/>
      <c r="Z297" s="104"/>
      <c r="AA297" s="105"/>
    </row>
    <row r="298" spans="12:27" ht="25" customHeight="1">
      <c r="L298" s="31"/>
      <c r="M298" s="31"/>
      <c r="N298" s="31"/>
      <c r="R298" s="32"/>
      <c r="X298" s="35"/>
      <c r="Y298" s="102"/>
      <c r="Z298" s="104"/>
      <c r="AA298" s="105"/>
    </row>
    <row r="299" spans="12:27" ht="25" customHeight="1">
      <c r="L299" s="31"/>
      <c r="M299" s="31"/>
      <c r="N299" s="31"/>
      <c r="R299" s="32"/>
      <c r="X299" s="35"/>
      <c r="Y299" s="102"/>
      <c r="Z299" s="104"/>
      <c r="AA299" s="105"/>
    </row>
    <row r="300" spans="12:27" ht="25" customHeight="1">
      <c r="L300" s="31"/>
      <c r="M300" s="31"/>
      <c r="N300" s="31"/>
      <c r="R300" s="32"/>
      <c r="X300" s="35"/>
      <c r="Y300" s="102"/>
      <c r="Z300" s="104"/>
      <c r="AA300" s="105"/>
    </row>
    <row r="301" spans="12:27" ht="25" customHeight="1">
      <c r="L301" s="31"/>
      <c r="M301" s="31"/>
      <c r="N301" s="31"/>
      <c r="R301" s="32"/>
      <c r="X301" s="35"/>
      <c r="Y301" s="102"/>
      <c r="Z301" s="104"/>
      <c r="AA301" s="105"/>
    </row>
    <row r="302" spans="12:27" ht="25" customHeight="1">
      <c r="L302" s="31"/>
      <c r="M302" s="31"/>
      <c r="N302" s="31"/>
      <c r="R302" s="32"/>
      <c r="X302" s="35"/>
      <c r="Y302" s="102"/>
      <c r="Z302" s="104"/>
      <c r="AA302" s="105"/>
    </row>
    <row r="303" spans="12:27" ht="25" customHeight="1">
      <c r="L303" s="31"/>
      <c r="M303" s="31"/>
      <c r="N303" s="31"/>
      <c r="R303" s="32"/>
      <c r="X303" s="35"/>
      <c r="Y303" s="102"/>
      <c r="Z303" s="104"/>
      <c r="AA303" s="105"/>
    </row>
    <row r="304" spans="12:27" ht="25" customHeight="1">
      <c r="L304" s="31"/>
      <c r="M304" s="31"/>
      <c r="N304" s="31"/>
      <c r="R304" s="32"/>
      <c r="X304" s="35"/>
      <c r="Y304" s="102"/>
      <c r="Z304" s="104"/>
      <c r="AA304" s="105"/>
    </row>
    <row r="305" spans="12:27" ht="25" customHeight="1">
      <c r="L305" s="31"/>
      <c r="M305" s="31"/>
      <c r="N305" s="31"/>
      <c r="R305" s="32"/>
      <c r="X305" s="35"/>
      <c r="Y305" s="102"/>
      <c r="Z305" s="104"/>
      <c r="AA305" s="105"/>
    </row>
    <row r="306" spans="12:27" ht="25" customHeight="1">
      <c r="L306" s="31"/>
      <c r="M306" s="31"/>
      <c r="N306" s="31"/>
      <c r="R306" s="32"/>
      <c r="X306" s="35"/>
      <c r="Y306" s="102"/>
      <c r="Z306" s="104"/>
      <c r="AA306" s="105"/>
    </row>
    <row r="307" spans="12:27" ht="25" customHeight="1">
      <c r="L307" s="31"/>
      <c r="M307" s="31"/>
      <c r="N307" s="31"/>
      <c r="R307" s="32"/>
      <c r="X307" s="35"/>
      <c r="Y307" s="102"/>
      <c r="Z307" s="104"/>
      <c r="AA307" s="105"/>
    </row>
    <row r="308" spans="12:27" ht="25" customHeight="1">
      <c r="L308" s="31"/>
      <c r="M308" s="31"/>
      <c r="N308" s="31"/>
      <c r="R308" s="32"/>
      <c r="X308" s="35"/>
      <c r="Y308" s="102"/>
      <c r="Z308" s="104"/>
      <c r="AA308" s="105"/>
    </row>
    <row r="309" spans="12:27" ht="25" customHeight="1">
      <c r="L309" s="31"/>
      <c r="M309" s="31"/>
      <c r="N309" s="31"/>
      <c r="R309" s="32"/>
      <c r="X309" s="35"/>
      <c r="Y309" s="102"/>
      <c r="Z309" s="104"/>
      <c r="AA309" s="105"/>
    </row>
    <row r="310" spans="12:27" ht="25" customHeight="1">
      <c r="L310" s="31"/>
      <c r="M310" s="31"/>
      <c r="N310" s="31"/>
      <c r="R310" s="32"/>
      <c r="X310" s="35"/>
      <c r="Y310" s="102"/>
      <c r="Z310" s="104"/>
      <c r="AA310" s="105"/>
    </row>
    <row r="311" spans="12:27" ht="25" customHeight="1">
      <c r="L311" s="31"/>
      <c r="M311" s="31"/>
      <c r="N311" s="31"/>
      <c r="R311" s="32"/>
      <c r="X311" s="35"/>
      <c r="Y311" s="102"/>
      <c r="Z311" s="104"/>
      <c r="AA311" s="105"/>
    </row>
    <row r="312" spans="12:27" ht="25" customHeight="1">
      <c r="L312" s="31"/>
      <c r="M312" s="31"/>
      <c r="N312" s="31"/>
      <c r="R312" s="32"/>
      <c r="X312" s="35"/>
      <c r="Y312" s="102"/>
      <c r="Z312" s="104"/>
      <c r="AA312" s="105"/>
    </row>
    <row r="313" spans="12:27" ht="25" customHeight="1">
      <c r="L313" s="31"/>
      <c r="M313" s="31"/>
      <c r="N313" s="31"/>
      <c r="R313" s="32"/>
      <c r="X313" s="35"/>
      <c r="Y313" s="102"/>
      <c r="Z313" s="104"/>
      <c r="AA313" s="105"/>
    </row>
    <row r="314" spans="12:27" ht="25" customHeight="1">
      <c r="L314" s="31"/>
      <c r="M314" s="31"/>
      <c r="N314" s="31"/>
      <c r="R314" s="32"/>
      <c r="X314" s="35"/>
      <c r="Y314" s="102"/>
      <c r="Z314" s="104"/>
      <c r="AA314" s="105"/>
    </row>
    <row r="315" spans="12:27" ht="25" customHeight="1">
      <c r="L315" s="31"/>
      <c r="M315" s="31"/>
      <c r="N315" s="31"/>
      <c r="R315" s="32"/>
      <c r="X315" s="35"/>
      <c r="Y315" s="102"/>
      <c r="Z315" s="104"/>
      <c r="AA315" s="105"/>
    </row>
    <row r="316" spans="12:27" ht="25" customHeight="1">
      <c r="L316" s="31"/>
      <c r="M316" s="31"/>
      <c r="N316" s="31"/>
      <c r="R316" s="32"/>
      <c r="X316" s="35"/>
      <c r="Y316" s="102"/>
      <c r="Z316" s="104"/>
      <c r="AA316" s="105"/>
    </row>
    <row r="317" spans="12:27" ht="25" customHeight="1">
      <c r="L317" s="31"/>
      <c r="M317" s="31"/>
      <c r="N317" s="31"/>
      <c r="R317" s="32"/>
      <c r="X317" s="35"/>
      <c r="Y317" s="102"/>
      <c r="Z317" s="104"/>
      <c r="AA317" s="105"/>
    </row>
    <row r="318" spans="12:27" ht="25" customHeight="1">
      <c r="L318" s="31"/>
      <c r="M318" s="31"/>
      <c r="N318" s="31"/>
      <c r="R318" s="32"/>
      <c r="X318" s="35"/>
      <c r="Y318" s="102"/>
      <c r="Z318" s="104"/>
      <c r="AA318" s="105"/>
    </row>
    <row r="319" spans="12:27" ht="25" customHeight="1">
      <c r="L319" s="31"/>
      <c r="M319" s="31"/>
      <c r="N319" s="31"/>
      <c r="R319" s="32"/>
      <c r="X319" s="35"/>
      <c r="Y319" s="102"/>
      <c r="Z319" s="104"/>
      <c r="AA319" s="105"/>
    </row>
    <row r="320" spans="12:27" ht="25" customHeight="1">
      <c r="L320" s="31"/>
      <c r="M320" s="31"/>
      <c r="N320" s="31"/>
      <c r="R320" s="32"/>
      <c r="X320" s="35"/>
      <c r="Y320" s="102"/>
      <c r="Z320" s="104"/>
      <c r="AA320" s="105"/>
    </row>
    <row r="321" spans="12:27" ht="25" customHeight="1">
      <c r="L321" s="31"/>
      <c r="M321" s="31"/>
      <c r="N321" s="31"/>
      <c r="R321" s="32"/>
      <c r="X321" s="35"/>
      <c r="Y321" s="102"/>
      <c r="Z321" s="104"/>
      <c r="AA321" s="105"/>
    </row>
    <row r="322" spans="12:27" ht="25" customHeight="1">
      <c r="L322" s="31"/>
      <c r="M322" s="31"/>
      <c r="N322" s="31"/>
      <c r="R322" s="32"/>
      <c r="X322" s="35"/>
      <c r="Y322" s="102"/>
      <c r="Z322" s="104"/>
      <c r="AA322" s="105"/>
    </row>
    <row r="323" spans="12:27" ht="25" customHeight="1">
      <c r="L323" s="31"/>
      <c r="M323" s="31"/>
      <c r="N323" s="31"/>
      <c r="R323" s="32"/>
      <c r="X323" s="35"/>
      <c r="Y323" s="102"/>
      <c r="Z323" s="104"/>
      <c r="AA323" s="105"/>
    </row>
    <row r="324" spans="12:27" ht="25" customHeight="1">
      <c r="L324" s="31"/>
      <c r="M324" s="31"/>
      <c r="N324" s="31"/>
      <c r="R324" s="32"/>
      <c r="X324" s="35"/>
      <c r="Y324" s="102"/>
      <c r="Z324" s="104"/>
      <c r="AA324" s="105"/>
    </row>
    <row r="325" spans="12:27" ht="25" customHeight="1">
      <c r="L325" s="31"/>
      <c r="M325" s="31"/>
      <c r="N325" s="31"/>
      <c r="R325" s="32"/>
      <c r="X325" s="35"/>
      <c r="Y325" s="102"/>
      <c r="Z325" s="104"/>
      <c r="AA325" s="105"/>
    </row>
    <row r="326" spans="12:27" ht="25" customHeight="1">
      <c r="L326" s="31"/>
      <c r="M326" s="31"/>
      <c r="N326" s="31"/>
      <c r="R326" s="32"/>
      <c r="X326" s="35"/>
      <c r="Y326" s="102"/>
      <c r="Z326" s="104"/>
      <c r="AA326" s="105"/>
    </row>
    <row r="327" spans="12:27" ht="25" customHeight="1">
      <c r="L327" s="31"/>
      <c r="M327" s="31"/>
      <c r="N327" s="31"/>
      <c r="R327" s="32"/>
      <c r="X327" s="35"/>
      <c r="Y327" s="102"/>
      <c r="Z327" s="104"/>
      <c r="AA327" s="105"/>
    </row>
    <row r="328" spans="12:27" ht="25" customHeight="1">
      <c r="L328" s="31"/>
      <c r="M328" s="31"/>
      <c r="N328" s="31"/>
      <c r="R328" s="32"/>
      <c r="X328" s="35"/>
      <c r="Y328" s="102"/>
      <c r="Z328" s="104"/>
      <c r="AA328" s="105"/>
    </row>
    <row r="329" spans="12:27" ht="25" customHeight="1">
      <c r="L329" s="31"/>
      <c r="M329" s="31"/>
      <c r="N329" s="31"/>
      <c r="R329" s="32"/>
      <c r="X329" s="35"/>
      <c r="Y329" s="102"/>
      <c r="Z329" s="104"/>
      <c r="AA329" s="105"/>
    </row>
    <row r="330" spans="12:27" ht="25" customHeight="1">
      <c r="L330" s="31"/>
      <c r="M330" s="31"/>
      <c r="N330" s="31"/>
      <c r="R330" s="32"/>
      <c r="X330" s="35"/>
      <c r="Y330" s="102"/>
      <c r="Z330" s="104"/>
      <c r="AA330" s="105"/>
    </row>
    <row r="331" spans="12:27" ht="25" customHeight="1">
      <c r="L331" s="31"/>
      <c r="M331" s="31"/>
      <c r="N331" s="31"/>
      <c r="R331" s="32"/>
      <c r="X331" s="35"/>
      <c r="Y331" s="102"/>
      <c r="Z331" s="104"/>
      <c r="AA331" s="105"/>
    </row>
    <row r="332" spans="12:27" ht="25" customHeight="1">
      <c r="L332" s="31"/>
      <c r="M332" s="31"/>
      <c r="N332" s="31"/>
      <c r="R332" s="32"/>
      <c r="X332" s="35"/>
      <c r="Y332" s="102"/>
      <c r="Z332" s="104"/>
      <c r="AA332" s="105"/>
    </row>
    <row r="333" spans="12:27" ht="25" customHeight="1">
      <c r="L333" s="31"/>
      <c r="M333" s="31"/>
      <c r="N333" s="31"/>
      <c r="R333" s="32"/>
      <c r="X333" s="35"/>
      <c r="Y333" s="102"/>
      <c r="Z333" s="104"/>
      <c r="AA333" s="105"/>
    </row>
    <row r="334" spans="12:27" ht="25" customHeight="1">
      <c r="L334" s="31"/>
      <c r="M334" s="31"/>
      <c r="N334" s="31"/>
      <c r="R334" s="32"/>
      <c r="X334" s="35"/>
      <c r="Y334" s="102"/>
      <c r="Z334" s="104"/>
      <c r="AA334" s="105"/>
    </row>
    <row r="335" spans="12:27" ht="25" customHeight="1">
      <c r="L335" s="31"/>
      <c r="M335" s="31"/>
      <c r="N335" s="31"/>
      <c r="R335" s="32"/>
      <c r="X335" s="35"/>
      <c r="Y335" s="102"/>
      <c r="Z335" s="104"/>
      <c r="AA335" s="105"/>
    </row>
    <row r="336" spans="12:27" ht="25" customHeight="1">
      <c r="L336" s="31"/>
      <c r="M336" s="31"/>
      <c r="N336" s="31"/>
      <c r="R336" s="32"/>
      <c r="X336" s="35"/>
      <c r="Y336" s="102"/>
      <c r="Z336" s="104"/>
      <c r="AA336" s="105"/>
    </row>
    <row r="337" spans="12:27" ht="25" customHeight="1">
      <c r="L337" s="31"/>
      <c r="M337" s="31"/>
      <c r="N337" s="31"/>
      <c r="R337" s="32"/>
      <c r="X337" s="35"/>
      <c r="Y337" s="102"/>
      <c r="Z337" s="104"/>
      <c r="AA337" s="105"/>
    </row>
    <row r="338" spans="12:27" ht="25" customHeight="1">
      <c r="L338" s="31"/>
      <c r="M338" s="31"/>
      <c r="N338" s="31"/>
      <c r="R338" s="32"/>
      <c r="X338" s="35"/>
      <c r="Y338" s="102"/>
      <c r="Z338" s="104"/>
      <c r="AA338" s="105"/>
    </row>
    <row r="339" spans="12:27" ht="25" customHeight="1">
      <c r="L339" s="31"/>
      <c r="M339" s="31"/>
      <c r="N339" s="31"/>
      <c r="R339" s="32"/>
      <c r="X339" s="35"/>
      <c r="Y339" s="102"/>
      <c r="Z339" s="104"/>
      <c r="AA339" s="105"/>
    </row>
    <row r="340" spans="12:27" ht="25" customHeight="1">
      <c r="L340" s="31"/>
      <c r="M340" s="31"/>
      <c r="N340" s="31"/>
      <c r="R340" s="32"/>
      <c r="X340" s="35"/>
      <c r="Y340" s="102"/>
      <c r="Z340" s="104"/>
      <c r="AA340" s="105"/>
    </row>
    <row r="341" spans="12:27" ht="25" customHeight="1">
      <c r="L341" s="31"/>
      <c r="M341" s="31"/>
      <c r="N341" s="31"/>
      <c r="R341" s="32"/>
      <c r="X341" s="35"/>
      <c r="Y341" s="102"/>
      <c r="Z341" s="104"/>
      <c r="AA341" s="105"/>
    </row>
    <row r="342" spans="12:27" ht="25" customHeight="1">
      <c r="L342" s="31"/>
      <c r="M342" s="31"/>
      <c r="N342" s="31"/>
      <c r="R342" s="32"/>
      <c r="X342" s="35"/>
      <c r="Y342" s="102"/>
      <c r="Z342" s="104"/>
      <c r="AA342" s="105"/>
    </row>
    <row r="343" spans="12:27" ht="25" customHeight="1">
      <c r="L343" s="31"/>
      <c r="M343" s="31"/>
      <c r="N343" s="31"/>
      <c r="R343" s="32"/>
      <c r="X343" s="35"/>
      <c r="Y343" s="102"/>
      <c r="Z343" s="104"/>
      <c r="AA343" s="105"/>
    </row>
    <row r="344" spans="12:27" ht="25" customHeight="1">
      <c r="L344" s="31"/>
      <c r="M344" s="31"/>
      <c r="N344" s="31"/>
      <c r="R344" s="32"/>
      <c r="X344" s="35"/>
      <c r="Y344" s="102"/>
      <c r="Z344" s="104"/>
      <c r="AA344" s="105"/>
    </row>
    <row r="345" spans="12:27" ht="25" customHeight="1">
      <c r="L345" s="31"/>
      <c r="M345" s="31"/>
      <c r="N345" s="31"/>
      <c r="R345" s="32"/>
      <c r="X345" s="35"/>
      <c r="Y345" s="102"/>
      <c r="Z345" s="104"/>
      <c r="AA345" s="105"/>
    </row>
    <row r="346" spans="12:27" ht="25" customHeight="1">
      <c r="L346" s="31"/>
      <c r="M346" s="31"/>
      <c r="N346" s="31"/>
      <c r="R346" s="32"/>
      <c r="X346" s="35"/>
      <c r="Y346" s="102"/>
      <c r="Z346" s="104"/>
      <c r="AA346" s="105"/>
    </row>
    <row r="347" spans="12:27" ht="25" customHeight="1">
      <c r="L347" s="31"/>
      <c r="M347" s="31"/>
      <c r="N347" s="31"/>
      <c r="R347" s="32"/>
      <c r="X347" s="35"/>
      <c r="Y347" s="102"/>
      <c r="Z347" s="104"/>
      <c r="AA347" s="105"/>
    </row>
    <row r="348" spans="12:27" ht="25" customHeight="1">
      <c r="L348" s="31"/>
      <c r="M348" s="31"/>
      <c r="N348" s="31"/>
      <c r="R348" s="32"/>
      <c r="X348" s="35"/>
      <c r="Y348" s="102"/>
      <c r="Z348" s="104"/>
      <c r="AA348" s="105"/>
    </row>
    <row r="349" spans="12:27" ht="25" customHeight="1">
      <c r="L349" s="31"/>
      <c r="M349" s="31"/>
      <c r="N349" s="31"/>
      <c r="R349" s="32"/>
      <c r="X349" s="35"/>
      <c r="Y349" s="102"/>
      <c r="Z349" s="104"/>
      <c r="AA349" s="105"/>
    </row>
    <row r="350" spans="12:27" ht="25" customHeight="1">
      <c r="L350" s="31"/>
      <c r="M350" s="31"/>
      <c r="N350" s="31"/>
      <c r="R350" s="32"/>
      <c r="X350" s="35"/>
      <c r="Y350" s="102"/>
      <c r="Z350" s="104"/>
      <c r="AA350" s="105"/>
    </row>
    <row r="351" spans="12:27" ht="25" customHeight="1">
      <c r="L351" s="31"/>
      <c r="M351" s="31"/>
      <c r="N351" s="31"/>
      <c r="R351" s="32"/>
      <c r="X351" s="35"/>
      <c r="Y351" s="102"/>
      <c r="Z351" s="104"/>
      <c r="AA351" s="105"/>
    </row>
    <row r="352" spans="12:27" ht="25" customHeight="1">
      <c r="L352" s="31"/>
      <c r="M352" s="31"/>
      <c r="N352" s="31"/>
      <c r="R352" s="32"/>
      <c r="X352" s="35"/>
      <c r="Y352" s="102"/>
      <c r="Z352" s="104"/>
      <c r="AA352" s="105"/>
    </row>
    <row r="353" spans="12:27" ht="25" customHeight="1">
      <c r="L353" s="31"/>
      <c r="M353" s="31"/>
      <c r="N353" s="31"/>
      <c r="R353" s="32"/>
      <c r="X353" s="35"/>
      <c r="Y353" s="102"/>
      <c r="Z353" s="104"/>
      <c r="AA353" s="105"/>
    </row>
    <row r="354" spans="12:27" ht="25" customHeight="1">
      <c r="L354" s="31"/>
      <c r="M354" s="31"/>
      <c r="N354" s="31"/>
      <c r="R354" s="32"/>
      <c r="X354" s="35"/>
      <c r="Y354" s="102"/>
      <c r="Z354" s="104"/>
      <c r="AA354" s="105"/>
    </row>
    <row r="355" spans="12:27" ht="25" customHeight="1">
      <c r="L355" s="31"/>
      <c r="M355" s="31"/>
      <c r="N355" s="31"/>
      <c r="R355" s="32"/>
      <c r="X355" s="35"/>
      <c r="Y355" s="102"/>
      <c r="Z355" s="104"/>
      <c r="AA355" s="105"/>
    </row>
    <row r="356" spans="12:27" ht="25" customHeight="1">
      <c r="L356" s="31"/>
      <c r="M356" s="31"/>
      <c r="N356" s="31"/>
      <c r="R356" s="32"/>
      <c r="X356" s="35"/>
      <c r="Y356" s="102"/>
      <c r="Z356" s="104"/>
      <c r="AA356" s="105"/>
    </row>
    <row r="357" spans="12:27" ht="25" customHeight="1">
      <c r="L357" s="31"/>
      <c r="M357" s="31"/>
      <c r="N357" s="31"/>
      <c r="R357" s="32"/>
      <c r="X357" s="35"/>
      <c r="Y357" s="102"/>
      <c r="Z357" s="104"/>
      <c r="AA357" s="105"/>
    </row>
    <row r="358" spans="12:27" ht="25" customHeight="1">
      <c r="L358" s="31"/>
      <c r="M358" s="31"/>
      <c r="N358" s="31"/>
      <c r="R358" s="32"/>
      <c r="X358" s="35"/>
      <c r="Y358" s="102"/>
      <c r="Z358" s="104"/>
      <c r="AA358" s="105"/>
    </row>
    <row r="359" spans="12:27" ht="25" customHeight="1">
      <c r="L359" s="31"/>
      <c r="M359" s="31"/>
      <c r="N359" s="31"/>
      <c r="R359" s="32"/>
      <c r="X359" s="35"/>
      <c r="Y359" s="102"/>
      <c r="Z359" s="104"/>
      <c r="AA359" s="105"/>
    </row>
    <row r="360" spans="12:27" ht="25" customHeight="1">
      <c r="L360" s="31"/>
      <c r="M360" s="31"/>
      <c r="N360" s="31"/>
      <c r="R360" s="32"/>
      <c r="X360" s="35"/>
      <c r="Y360" s="102"/>
      <c r="Z360" s="104"/>
      <c r="AA360" s="105"/>
    </row>
    <row r="361" spans="12:27" ht="25" customHeight="1">
      <c r="L361" s="31"/>
      <c r="M361" s="31"/>
      <c r="N361" s="31"/>
      <c r="R361" s="32"/>
      <c r="X361" s="35"/>
      <c r="Y361" s="102"/>
      <c r="Z361" s="104"/>
      <c r="AA361" s="105"/>
    </row>
    <row r="362" spans="12:27" ht="25" customHeight="1">
      <c r="L362" s="31"/>
      <c r="M362" s="31"/>
      <c r="N362" s="31"/>
      <c r="R362" s="32"/>
      <c r="X362" s="35"/>
      <c r="Y362" s="102"/>
      <c r="Z362" s="104"/>
      <c r="AA362" s="105"/>
    </row>
    <row r="363" spans="12:27" ht="25" customHeight="1">
      <c r="L363" s="31"/>
      <c r="M363" s="31"/>
      <c r="N363" s="31"/>
      <c r="R363" s="32"/>
      <c r="X363" s="35"/>
      <c r="Y363" s="102"/>
      <c r="Z363" s="104"/>
      <c r="AA363" s="105"/>
    </row>
    <row r="364" spans="12:27" ht="25" customHeight="1">
      <c r="L364" s="31"/>
      <c r="M364" s="31"/>
      <c r="N364" s="31"/>
      <c r="R364" s="32"/>
      <c r="X364" s="35"/>
      <c r="Y364" s="102"/>
      <c r="Z364" s="104"/>
      <c r="AA364" s="105"/>
    </row>
    <row r="365" spans="12:27" ht="25" customHeight="1">
      <c r="L365" s="31"/>
      <c r="M365" s="31"/>
      <c r="N365" s="31"/>
      <c r="R365" s="32"/>
      <c r="X365" s="35"/>
      <c r="Y365" s="102"/>
      <c r="Z365" s="104"/>
      <c r="AA365" s="105"/>
    </row>
    <row r="366" spans="12:27" ht="25" customHeight="1">
      <c r="L366" s="31"/>
      <c r="M366" s="31"/>
      <c r="N366" s="31"/>
      <c r="R366" s="32"/>
      <c r="X366" s="35"/>
      <c r="Y366" s="102"/>
      <c r="Z366" s="104"/>
      <c r="AA366" s="105"/>
    </row>
    <row r="367" spans="12:27" ht="25" customHeight="1">
      <c r="L367" s="31"/>
      <c r="M367" s="31"/>
      <c r="N367" s="31"/>
      <c r="R367" s="32"/>
      <c r="X367" s="35"/>
      <c r="Y367" s="102"/>
      <c r="Z367" s="104"/>
      <c r="AA367" s="105"/>
    </row>
    <row r="368" spans="12:27" ht="25" customHeight="1">
      <c r="L368" s="31"/>
      <c r="M368" s="31"/>
      <c r="N368" s="31"/>
      <c r="R368" s="32"/>
      <c r="X368" s="35"/>
      <c r="Y368" s="102"/>
      <c r="Z368" s="104"/>
      <c r="AA368" s="105"/>
    </row>
    <row r="369" spans="12:27" ht="25" customHeight="1">
      <c r="L369" s="31"/>
      <c r="M369" s="31"/>
      <c r="N369" s="31"/>
      <c r="R369" s="32"/>
      <c r="X369" s="35"/>
      <c r="Y369" s="102"/>
      <c r="Z369" s="104"/>
      <c r="AA369" s="105"/>
    </row>
    <row r="370" spans="12:27" ht="25" customHeight="1">
      <c r="L370" s="31"/>
      <c r="M370" s="31"/>
      <c r="N370" s="31"/>
      <c r="R370" s="32"/>
      <c r="X370" s="35"/>
      <c r="Y370" s="102"/>
      <c r="Z370" s="104"/>
      <c r="AA370" s="105"/>
    </row>
    <row r="371" spans="12:27" ht="25" customHeight="1">
      <c r="L371" s="31"/>
      <c r="M371" s="31"/>
      <c r="N371" s="31"/>
      <c r="R371" s="32"/>
      <c r="X371" s="35"/>
      <c r="Y371" s="102"/>
      <c r="Z371" s="104"/>
      <c r="AA371" s="105"/>
    </row>
    <row r="372" spans="12:27" ht="25" customHeight="1">
      <c r="L372" s="31"/>
      <c r="M372" s="31"/>
      <c r="N372" s="31"/>
      <c r="R372" s="32"/>
      <c r="X372" s="35"/>
      <c r="Y372" s="102"/>
      <c r="Z372" s="104"/>
      <c r="AA372" s="105"/>
    </row>
    <row r="373" spans="12:27" ht="25" customHeight="1">
      <c r="L373" s="31"/>
      <c r="M373" s="31"/>
      <c r="N373" s="31"/>
      <c r="R373" s="32"/>
      <c r="X373" s="35"/>
      <c r="Y373" s="102"/>
      <c r="Z373" s="104"/>
      <c r="AA373" s="105"/>
    </row>
    <row r="374" spans="12:27" ht="25" customHeight="1">
      <c r="L374" s="31"/>
      <c r="M374" s="31"/>
      <c r="N374" s="31"/>
      <c r="R374" s="32"/>
      <c r="X374" s="35"/>
      <c r="Y374" s="102"/>
      <c r="Z374" s="104"/>
      <c r="AA374" s="105"/>
    </row>
    <row r="375" spans="12:27" ht="25" customHeight="1">
      <c r="L375" s="31"/>
      <c r="M375" s="31"/>
      <c r="N375" s="31"/>
      <c r="R375" s="32"/>
      <c r="X375" s="35"/>
      <c r="Y375" s="102"/>
      <c r="Z375" s="104"/>
      <c r="AA375" s="105"/>
    </row>
    <row r="376" spans="12:27" ht="25" customHeight="1">
      <c r="L376" s="31"/>
      <c r="M376" s="31"/>
      <c r="N376" s="31"/>
      <c r="R376" s="32"/>
      <c r="X376" s="35"/>
      <c r="Y376" s="102"/>
      <c r="Z376" s="104"/>
      <c r="AA376" s="105"/>
    </row>
    <row r="377" spans="12:27" ht="25" customHeight="1">
      <c r="L377" s="31"/>
      <c r="M377" s="31"/>
      <c r="N377" s="31"/>
      <c r="R377" s="32"/>
      <c r="X377" s="35"/>
      <c r="Y377" s="102"/>
      <c r="Z377" s="104"/>
      <c r="AA377" s="105"/>
    </row>
    <row r="378" spans="12:27" ht="25" customHeight="1">
      <c r="L378" s="31"/>
      <c r="M378" s="31"/>
      <c r="N378" s="31"/>
      <c r="R378" s="32"/>
      <c r="X378" s="35"/>
      <c r="Y378" s="102"/>
      <c r="Z378" s="104"/>
      <c r="AA378" s="105"/>
    </row>
    <row r="379" spans="12:27" ht="25" customHeight="1">
      <c r="L379" s="31"/>
      <c r="M379" s="31"/>
      <c r="N379" s="31"/>
      <c r="R379" s="32"/>
      <c r="X379" s="35"/>
      <c r="Y379" s="102"/>
      <c r="Z379" s="104"/>
      <c r="AA379" s="105"/>
    </row>
    <row r="380" spans="12:27" ht="25" customHeight="1">
      <c r="L380" s="31"/>
      <c r="M380" s="31"/>
      <c r="N380" s="31"/>
      <c r="R380" s="32"/>
      <c r="X380" s="35"/>
      <c r="Y380" s="102"/>
      <c r="Z380" s="104"/>
      <c r="AA380" s="105"/>
    </row>
    <row r="381" spans="12:27" ht="25" customHeight="1">
      <c r="L381" s="31"/>
      <c r="M381" s="31"/>
      <c r="N381" s="31"/>
      <c r="R381" s="32"/>
      <c r="X381" s="35"/>
      <c r="Y381" s="102"/>
      <c r="Z381" s="104"/>
      <c r="AA381" s="105"/>
    </row>
    <row r="382" spans="12:27" ht="25" customHeight="1">
      <c r="L382" s="31"/>
      <c r="M382" s="31"/>
      <c r="N382" s="31"/>
      <c r="R382" s="32"/>
      <c r="X382" s="35"/>
      <c r="Y382" s="102"/>
      <c r="Z382" s="104"/>
      <c r="AA382" s="105"/>
    </row>
    <row r="383" spans="12:27" ht="25" customHeight="1">
      <c r="L383" s="31"/>
      <c r="M383" s="31"/>
      <c r="N383" s="31"/>
      <c r="R383" s="32"/>
      <c r="X383" s="35"/>
      <c r="Y383" s="102"/>
      <c r="Z383" s="104"/>
      <c r="AA383" s="105"/>
    </row>
    <row r="384" spans="12:27" ht="25" customHeight="1">
      <c r="L384" s="31"/>
      <c r="M384" s="31"/>
      <c r="N384" s="31"/>
      <c r="R384" s="32"/>
      <c r="X384" s="35"/>
      <c r="Y384" s="102"/>
      <c r="Z384" s="104"/>
      <c r="AA384" s="105"/>
    </row>
    <row r="385" spans="12:27" ht="25" customHeight="1">
      <c r="L385" s="31"/>
      <c r="M385" s="31"/>
      <c r="N385" s="31"/>
      <c r="R385" s="32"/>
      <c r="X385" s="35"/>
      <c r="Y385" s="102"/>
      <c r="Z385" s="104"/>
      <c r="AA385" s="105"/>
    </row>
    <row r="386" spans="12:27" ht="25" customHeight="1">
      <c r="L386" s="31"/>
      <c r="M386" s="31"/>
      <c r="N386" s="31"/>
      <c r="R386" s="32"/>
      <c r="X386" s="35"/>
      <c r="Y386" s="102"/>
      <c r="Z386" s="104"/>
      <c r="AA386" s="105"/>
    </row>
    <row r="387" spans="12:27" ht="25" customHeight="1">
      <c r="L387" s="31"/>
      <c r="M387" s="31"/>
      <c r="N387" s="31"/>
      <c r="R387" s="32"/>
      <c r="X387" s="35"/>
      <c r="Y387" s="102"/>
      <c r="Z387" s="104"/>
      <c r="AA387" s="105"/>
    </row>
    <row r="388" spans="12:27" ht="25" customHeight="1">
      <c r="L388" s="31"/>
      <c r="M388" s="31"/>
      <c r="N388" s="31"/>
      <c r="R388" s="32"/>
      <c r="X388" s="35"/>
      <c r="Y388" s="102"/>
      <c r="Z388" s="104"/>
      <c r="AA388" s="105"/>
    </row>
    <row r="389" spans="12:27" ht="25" customHeight="1">
      <c r="L389" s="31"/>
      <c r="M389" s="31"/>
      <c r="N389" s="31"/>
      <c r="R389" s="32"/>
      <c r="X389" s="35"/>
      <c r="Y389" s="102"/>
      <c r="Z389" s="104"/>
      <c r="AA389" s="105"/>
    </row>
    <row r="390" spans="12:27" ht="25" customHeight="1">
      <c r="L390" s="31"/>
      <c r="M390" s="31"/>
      <c r="N390" s="31"/>
      <c r="R390" s="32"/>
      <c r="X390" s="35"/>
      <c r="Y390" s="102"/>
      <c r="Z390" s="104"/>
      <c r="AA390" s="105"/>
    </row>
    <row r="391" spans="12:27" ht="25" customHeight="1">
      <c r="L391" s="31"/>
      <c r="M391" s="31"/>
      <c r="N391" s="31"/>
      <c r="R391" s="32"/>
      <c r="X391" s="35"/>
      <c r="Y391" s="102"/>
      <c r="Z391" s="104"/>
      <c r="AA391" s="105"/>
    </row>
    <row r="392" spans="12:27" ht="25" customHeight="1">
      <c r="L392" s="31"/>
      <c r="M392" s="31"/>
      <c r="N392" s="31"/>
      <c r="R392" s="32"/>
      <c r="X392" s="35"/>
      <c r="Y392" s="102"/>
      <c r="Z392" s="104"/>
      <c r="AA392" s="105"/>
    </row>
    <row r="393" spans="12:27" ht="25" customHeight="1">
      <c r="L393" s="31"/>
      <c r="M393" s="31"/>
      <c r="N393" s="31"/>
      <c r="R393" s="32"/>
      <c r="X393" s="35"/>
      <c r="Y393" s="102"/>
      <c r="Z393" s="104"/>
      <c r="AA393" s="105"/>
    </row>
    <row r="394" spans="12:27" ht="25" customHeight="1">
      <c r="L394" s="31"/>
      <c r="M394" s="31"/>
      <c r="N394" s="31"/>
      <c r="R394" s="32"/>
      <c r="X394" s="35"/>
      <c r="Y394" s="102"/>
      <c r="Z394" s="104"/>
      <c r="AA394" s="105"/>
    </row>
    <row r="395" spans="12:27" ht="25" customHeight="1">
      <c r="L395" s="31"/>
      <c r="M395" s="31"/>
      <c r="N395" s="31"/>
      <c r="R395" s="32"/>
      <c r="X395" s="35"/>
      <c r="Y395" s="102"/>
      <c r="Z395" s="104"/>
      <c r="AA395" s="105"/>
    </row>
    <row r="396" spans="12:27" ht="25" customHeight="1">
      <c r="L396" s="31"/>
      <c r="M396" s="31"/>
      <c r="N396" s="31"/>
      <c r="R396" s="32"/>
      <c r="X396" s="35"/>
      <c r="Y396" s="102"/>
      <c r="Z396" s="104"/>
      <c r="AA396" s="105"/>
    </row>
    <row r="397" spans="12:27" ht="25" customHeight="1">
      <c r="L397" s="31"/>
      <c r="M397" s="31"/>
      <c r="N397" s="31"/>
      <c r="R397" s="32"/>
      <c r="X397" s="35"/>
      <c r="Y397" s="102"/>
      <c r="Z397" s="104"/>
      <c r="AA397" s="105"/>
    </row>
    <row r="398" spans="12:27" ht="25" customHeight="1">
      <c r="L398" s="31"/>
      <c r="M398" s="31"/>
      <c r="N398" s="31"/>
      <c r="R398" s="32"/>
      <c r="X398" s="35"/>
      <c r="Y398" s="102"/>
      <c r="Z398" s="104"/>
      <c r="AA398" s="105"/>
    </row>
    <row r="399" spans="12:27" ht="25" customHeight="1">
      <c r="L399" s="31"/>
      <c r="M399" s="31"/>
      <c r="N399" s="31"/>
      <c r="R399" s="32"/>
      <c r="X399" s="35"/>
      <c r="Y399" s="102"/>
      <c r="Z399" s="104"/>
      <c r="AA399" s="105"/>
    </row>
    <row r="400" spans="12:27" ht="25" customHeight="1">
      <c r="L400" s="31"/>
      <c r="M400" s="31"/>
      <c r="N400" s="31"/>
      <c r="R400" s="32"/>
      <c r="X400" s="35"/>
      <c r="Y400" s="102"/>
      <c r="Z400" s="104"/>
      <c r="AA400" s="105"/>
    </row>
    <row r="401" spans="12:27" ht="25" customHeight="1">
      <c r="L401" s="31"/>
      <c r="M401" s="31"/>
      <c r="N401" s="31"/>
      <c r="R401" s="32"/>
      <c r="X401" s="35"/>
      <c r="Y401" s="102"/>
      <c r="Z401" s="104"/>
      <c r="AA401" s="105"/>
    </row>
    <row r="402" spans="12:27" ht="25" customHeight="1">
      <c r="L402" s="31"/>
      <c r="M402" s="31"/>
      <c r="N402" s="31"/>
      <c r="R402" s="32"/>
      <c r="X402" s="35"/>
      <c r="Y402" s="102"/>
      <c r="Z402" s="104"/>
      <c r="AA402" s="105"/>
    </row>
    <row r="403" spans="12:27" ht="25" customHeight="1">
      <c r="L403" s="31"/>
      <c r="M403" s="31"/>
      <c r="N403" s="31"/>
      <c r="R403" s="32"/>
      <c r="X403" s="35"/>
      <c r="Y403" s="102"/>
      <c r="Z403" s="104"/>
      <c r="AA403" s="105"/>
    </row>
    <row r="404" spans="12:27" ht="25" customHeight="1">
      <c r="L404" s="31"/>
      <c r="M404" s="31"/>
      <c r="N404" s="31"/>
      <c r="R404" s="32"/>
      <c r="X404" s="35"/>
      <c r="Y404" s="102"/>
      <c r="Z404" s="104"/>
      <c r="AA404" s="105"/>
    </row>
    <row r="405" spans="12:27" ht="25" customHeight="1">
      <c r="L405" s="31"/>
      <c r="M405" s="31"/>
      <c r="N405" s="31"/>
      <c r="R405" s="32"/>
      <c r="X405" s="35"/>
      <c r="Y405" s="102"/>
      <c r="Z405" s="104"/>
      <c r="AA405" s="105"/>
    </row>
    <row r="406" spans="12:27" ht="25" customHeight="1">
      <c r="L406" s="31"/>
      <c r="M406" s="31"/>
      <c r="N406" s="31"/>
      <c r="R406" s="32"/>
      <c r="X406" s="35"/>
      <c r="Y406" s="102"/>
      <c r="Z406" s="104"/>
      <c r="AA406" s="105"/>
    </row>
    <row r="407" spans="12:27" ht="25" customHeight="1">
      <c r="L407" s="31"/>
      <c r="M407" s="31"/>
      <c r="N407" s="31"/>
      <c r="R407" s="32"/>
      <c r="X407" s="35"/>
      <c r="Y407" s="102"/>
      <c r="Z407" s="104"/>
      <c r="AA407" s="105"/>
    </row>
    <row r="408" spans="12:27" ht="25" customHeight="1">
      <c r="L408" s="31"/>
      <c r="M408" s="31"/>
      <c r="N408" s="31"/>
      <c r="R408" s="32"/>
      <c r="X408" s="35"/>
      <c r="Y408" s="102"/>
      <c r="Z408" s="104"/>
      <c r="AA408" s="105"/>
    </row>
    <row r="409" spans="12:27" ht="25" customHeight="1">
      <c r="L409" s="31"/>
      <c r="M409" s="31"/>
      <c r="N409" s="31"/>
      <c r="R409" s="32"/>
      <c r="X409" s="35"/>
      <c r="Y409" s="102"/>
      <c r="Z409" s="104"/>
      <c r="AA409" s="105"/>
    </row>
    <row r="410" spans="12:27" ht="25" customHeight="1">
      <c r="L410" s="31"/>
      <c r="M410" s="31"/>
      <c r="N410" s="31"/>
      <c r="R410" s="32"/>
      <c r="X410" s="35"/>
      <c r="Y410" s="102"/>
      <c r="Z410" s="104"/>
      <c r="AA410" s="105"/>
    </row>
    <row r="411" spans="12:27" ht="25" customHeight="1">
      <c r="L411" s="31"/>
      <c r="M411" s="31"/>
      <c r="N411" s="31"/>
      <c r="R411" s="32"/>
      <c r="X411" s="35"/>
      <c r="Y411" s="102"/>
      <c r="Z411" s="104"/>
      <c r="AA411" s="105"/>
    </row>
    <row r="412" spans="12:27" ht="25" customHeight="1">
      <c r="L412" s="31"/>
      <c r="M412" s="31"/>
      <c r="N412" s="31"/>
      <c r="R412" s="32"/>
      <c r="X412" s="35"/>
      <c r="Y412" s="102"/>
      <c r="Z412" s="104"/>
      <c r="AA412" s="105"/>
    </row>
    <row r="413" spans="12:27" ht="25" customHeight="1">
      <c r="L413" s="31"/>
      <c r="M413" s="31"/>
      <c r="N413" s="31"/>
      <c r="R413" s="32"/>
      <c r="X413" s="35"/>
      <c r="Y413" s="102"/>
      <c r="Z413" s="104"/>
      <c r="AA413" s="105"/>
    </row>
    <row r="414" spans="12:27" ht="25" customHeight="1">
      <c r="L414" s="31"/>
      <c r="M414" s="31"/>
      <c r="N414" s="31"/>
      <c r="R414" s="32"/>
      <c r="X414" s="35"/>
      <c r="Y414" s="102"/>
      <c r="Z414" s="104"/>
      <c r="AA414" s="105"/>
    </row>
    <row r="415" spans="12:27" ht="25" customHeight="1">
      <c r="L415" s="31"/>
      <c r="M415" s="31"/>
      <c r="N415" s="31"/>
      <c r="R415" s="32"/>
      <c r="X415" s="35"/>
      <c r="Y415" s="102"/>
      <c r="Z415" s="104"/>
      <c r="AA415" s="105"/>
    </row>
    <row r="416" spans="12:27" ht="25" customHeight="1">
      <c r="L416" s="31"/>
      <c r="M416" s="31"/>
      <c r="N416" s="31"/>
      <c r="R416" s="32"/>
      <c r="X416" s="35"/>
      <c r="Y416" s="102"/>
      <c r="Z416" s="104"/>
      <c r="AA416" s="105"/>
    </row>
    <row r="417" spans="12:27" ht="25" customHeight="1">
      <c r="L417" s="31"/>
      <c r="M417" s="31"/>
      <c r="N417" s="31"/>
      <c r="R417" s="32"/>
      <c r="X417" s="35"/>
      <c r="Y417" s="102"/>
      <c r="Z417" s="104"/>
      <c r="AA417" s="105"/>
    </row>
    <row r="418" spans="12:27" ht="25" customHeight="1">
      <c r="L418" s="31"/>
      <c r="M418" s="31"/>
      <c r="N418" s="31"/>
      <c r="R418" s="32"/>
      <c r="X418" s="35"/>
      <c r="Y418" s="102"/>
      <c r="Z418" s="104"/>
      <c r="AA418" s="105"/>
    </row>
    <row r="419" spans="12:27" ht="25" customHeight="1">
      <c r="L419" s="31"/>
      <c r="M419" s="31"/>
      <c r="N419" s="31"/>
      <c r="R419" s="32"/>
      <c r="X419" s="35"/>
      <c r="Y419" s="102"/>
      <c r="Z419" s="104"/>
      <c r="AA419" s="105"/>
    </row>
    <row r="420" spans="12:27" ht="25" customHeight="1">
      <c r="L420" s="31"/>
      <c r="M420" s="31"/>
      <c r="N420" s="31"/>
      <c r="R420" s="32"/>
      <c r="X420" s="35"/>
      <c r="Y420" s="102"/>
      <c r="Z420" s="104"/>
      <c r="AA420" s="105"/>
    </row>
    <row r="421" spans="12:27" ht="25" customHeight="1">
      <c r="L421" s="31"/>
      <c r="M421" s="31"/>
      <c r="N421" s="31"/>
      <c r="R421" s="32"/>
      <c r="X421" s="35"/>
      <c r="Y421" s="102"/>
      <c r="Z421" s="104"/>
      <c r="AA421" s="105"/>
    </row>
    <row r="422" spans="12:27" ht="25" customHeight="1">
      <c r="L422" s="31"/>
      <c r="M422" s="31"/>
      <c r="N422" s="31"/>
      <c r="R422" s="32"/>
      <c r="X422" s="35"/>
      <c r="Y422" s="102"/>
      <c r="Z422" s="104"/>
      <c r="AA422" s="105"/>
    </row>
    <row r="423" spans="12:27" ht="25" customHeight="1">
      <c r="L423" s="31"/>
      <c r="M423" s="31"/>
      <c r="N423" s="31"/>
      <c r="R423" s="32"/>
      <c r="X423" s="35"/>
      <c r="Y423" s="102"/>
      <c r="Z423" s="104"/>
      <c r="AA423" s="105"/>
    </row>
    <row r="424" spans="12:27" ht="25" customHeight="1">
      <c r="L424" s="31"/>
      <c r="M424" s="31"/>
      <c r="N424" s="31"/>
      <c r="R424" s="32"/>
      <c r="X424" s="35"/>
      <c r="Y424" s="102"/>
      <c r="Z424" s="104"/>
      <c r="AA424" s="105"/>
    </row>
    <row r="425" spans="12:27" ht="25" customHeight="1">
      <c r="L425" s="31"/>
      <c r="M425" s="31"/>
      <c r="N425" s="31"/>
      <c r="R425" s="32"/>
      <c r="X425" s="35"/>
      <c r="Y425" s="102"/>
      <c r="Z425" s="104"/>
      <c r="AA425" s="105"/>
    </row>
    <row r="426" spans="12:27" ht="25" customHeight="1">
      <c r="L426" s="31"/>
      <c r="M426" s="31"/>
      <c r="N426" s="31"/>
      <c r="R426" s="32"/>
      <c r="X426" s="35"/>
      <c r="Y426" s="102"/>
      <c r="Z426" s="104"/>
      <c r="AA426" s="105"/>
    </row>
    <row r="427" spans="12:27" ht="25" customHeight="1">
      <c r="L427" s="31"/>
      <c r="M427" s="31"/>
      <c r="N427" s="31"/>
      <c r="R427" s="32"/>
      <c r="X427" s="35"/>
      <c r="Y427" s="102"/>
      <c r="Z427" s="104"/>
      <c r="AA427" s="105"/>
    </row>
    <row r="428" spans="12:27" ht="25" customHeight="1">
      <c r="L428" s="31"/>
      <c r="M428" s="31"/>
      <c r="N428" s="31"/>
      <c r="R428" s="32"/>
      <c r="X428" s="35"/>
      <c r="Y428" s="102"/>
      <c r="Z428" s="104"/>
      <c r="AA428" s="105"/>
    </row>
    <row r="429" spans="12:27" ht="25" customHeight="1">
      <c r="L429" s="31"/>
      <c r="M429" s="31"/>
      <c r="N429" s="31"/>
      <c r="R429" s="32"/>
      <c r="X429" s="35"/>
      <c r="Y429" s="102"/>
      <c r="Z429" s="104"/>
      <c r="AA429" s="105"/>
    </row>
    <row r="430" spans="12:27" ht="25" customHeight="1">
      <c r="L430" s="31"/>
      <c r="M430" s="31"/>
      <c r="N430" s="31"/>
      <c r="R430" s="32"/>
      <c r="X430" s="35"/>
      <c r="Y430" s="102"/>
      <c r="Z430" s="104"/>
      <c r="AA430" s="105"/>
    </row>
    <row r="431" spans="12:27" ht="25" customHeight="1">
      <c r="L431" s="31"/>
      <c r="M431" s="31"/>
      <c r="N431" s="31"/>
      <c r="R431" s="32"/>
      <c r="X431" s="35"/>
      <c r="Y431" s="102"/>
      <c r="Z431" s="104"/>
      <c r="AA431" s="105"/>
    </row>
    <row r="432" spans="12:27" ht="25" customHeight="1">
      <c r="L432" s="31"/>
      <c r="M432" s="31"/>
      <c r="N432" s="31"/>
      <c r="R432" s="32"/>
      <c r="X432" s="35"/>
      <c r="Y432" s="102"/>
      <c r="Z432" s="104"/>
      <c r="AA432" s="105"/>
    </row>
    <row r="433" spans="12:27" ht="25" customHeight="1">
      <c r="L433" s="31"/>
      <c r="M433" s="31"/>
      <c r="N433" s="31"/>
      <c r="R433" s="32"/>
      <c r="X433" s="35"/>
      <c r="Y433" s="102"/>
      <c r="Z433" s="104"/>
      <c r="AA433" s="105"/>
    </row>
    <row r="434" spans="12:27" ht="25" customHeight="1">
      <c r="L434" s="31"/>
      <c r="M434" s="31"/>
      <c r="N434" s="31"/>
      <c r="R434" s="32"/>
      <c r="X434" s="35"/>
      <c r="Y434" s="102"/>
      <c r="Z434" s="104"/>
      <c r="AA434" s="105"/>
    </row>
    <row r="435" spans="12:27" ht="25" customHeight="1">
      <c r="L435" s="31"/>
      <c r="M435" s="31"/>
      <c r="N435" s="31"/>
      <c r="R435" s="32"/>
      <c r="X435" s="35"/>
      <c r="Y435" s="102"/>
      <c r="Z435" s="104"/>
      <c r="AA435" s="105"/>
    </row>
    <row r="436" spans="12:27" ht="25" customHeight="1">
      <c r="L436" s="31"/>
      <c r="M436" s="31"/>
      <c r="N436" s="31"/>
      <c r="R436" s="32"/>
      <c r="X436" s="35"/>
      <c r="Y436" s="102"/>
      <c r="Z436" s="104"/>
      <c r="AA436" s="105"/>
    </row>
    <row r="437" spans="12:27" ht="25" customHeight="1">
      <c r="L437" s="31"/>
      <c r="M437" s="31"/>
      <c r="N437" s="31"/>
      <c r="R437" s="32"/>
      <c r="X437" s="35"/>
      <c r="Y437" s="102"/>
      <c r="Z437" s="104"/>
      <c r="AA437" s="105"/>
    </row>
    <row r="438" spans="12:27" ht="25" customHeight="1">
      <c r="L438" s="31"/>
      <c r="M438" s="31"/>
      <c r="N438" s="31"/>
      <c r="R438" s="32"/>
      <c r="X438" s="35"/>
      <c r="Y438" s="102"/>
      <c r="Z438" s="104"/>
      <c r="AA438" s="105"/>
    </row>
    <row r="439" spans="12:27" ht="25" customHeight="1">
      <c r="L439" s="31"/>
      <c r="M439" s="31"/>
      <c r="N439" s="31"/>
      <c r="R439" s="32"/>
      <c r="X439" s="35"/>
      <c r="Y439" s="102"/>
      <c r="Z439" s="104"/>
      <c r="AA439" s="105"/>
    </row>
    <row r="440" spans="12:27" ht="25" customHeight="1">
      <c r="L440" s="31"/>
      <c r="M440" s="31"/>
      <c r="N440" s="31"/>
      <c r="R440" s="32"/>
      <c r="X440" s="35"/>
      <c r="Y440" s="102"/>
      <c r="Z440" s="104"/>
      <c r="AA440" s="105"/>
    </row>
    <row r="441" spans="12:27" ht="25" customHeight="1">
      <c r="L441" s="31"/>
      <c r="M441" s="31"/>
      <c r="N441" s="31"/>
      <c r="R441" s="32"/>
      <c r="X441" s="35"/>
      <c r="Y441" s="102"/>
      <c r="Z441" s="104"/>
      <c r="AA441" s="105"/>
    </row>
    <row r="442" spans="12:27" ht="25" customHeight="1">
      <c r="L442" s="31"/>
      <c r="M442" s="31"/>
      <c r="N442" s="31"/>
      <c r="R442" s="32"/>
      <c r="X442" s="35"/>
      <c r="Y442" s="102"/>
      <c r="Z442" s="104"/>
      <c r="AA442" s="105"/>
    </row>
    <row r="443" spans="12:27" ht="25" customHeight="1">
      <c r="L443" s="31"/>
      <c r="M443" s="31"/>
      <c r="N443" s="31"/>
      <c r="R443" s="32"/>
      <c r="X443" s="35"/>
      <c r="Y443" s="102"/>
      <c r="Z443" s="104"/>
      <c r="AA443" s="105"/>
    </row>
    <row r="444" spans="12:27" ht="25" customHeight="1">
      <c r="L444" s="31"/>
      <c r="M444" s="31"/>
      <c r="N444" s="31"/>
      <c r="R444" s="32"/>
      <c r="X444" s="35"/>
      <c r="Y444" s="102"/>
      <c r="Z444" s="104"/>
      <c r="AA444" s="105"/>
    </row>
    <row r="445" spans="12:27" ht="25" customHeight="1">
      <c r="L445" s="31"/>
      <c r="M445" s="31"/>
      <c r="N445" s="31"/>
      <c r="R445" s="32"/>
      <c r="X445" s="35"/>
      <c r="Y445" s="102"/>
      <c r="Z445" s="104"/>
      <c r="AA445" s="105"/>
    </row>
    <row r="446" spans="12:27" ht="25" customHeight="1">
      <c r="L446" s="31"/>
      <c r="M446" s="31"/>
      <c r="N446" s="31"/>
      <c r="R446" s="32"/>
      <c r="X446" s="35"/>
      <c r="Y446" s="102"/>
      <c r="Z446" s="104"/>
      <c r="AA446" s="105"/>
    </row>
    <row r="447" spans="12:27" ht="25" customHeight="1">
      <c r="L447" s="31"/>
      <c r="M447" s="31"/>
      <c r="N447" s="31"/>
      <c r="R447" s="32"/>
      <c r="X447" s="35"/>
      <c r="Y447" s="102"/>
      <c r="Z447" s="104"/>
      <c r="AA447" s="105"/>
    </row>
    <row r="448" spans="12:27" ht="25" customHeight="1">
      <c r="L448" s="31"/>
      <c r="M448" s="31"/>
      <c r="N448" s="31"/>
      <c r="R448" s="32"/>
      <c r="X448" s="35"/>
      <c r="Y448" s="102"/>
      <c r="Z448" s="104"/>
      <c r="AA448" s="105"/>
    </row>
    <row r="449" spans="12:27" ht="25" customHeight="1">
      <c r="L449" s="31"/>
      <c r="M449" s="31"/>
      <c r="N449" s="31"/>
      <c r="R449" s="32"/>
      <c r="X449" s="35"/>
      <c r="Y449" s="102"/>
      <c r="Z449" s="104"/>
      <c r="AA449" s="105"/>
    </row>
    <row r="450" spans="12:27" ht="25" customHeight="1">
      <c r="L450" s="31"/>
      <c r="M450" s="31"/>
      <c r="N450" s="31"/>
      <c r="R450" s="32"/>
      <c r="X450" s="35"/>
      <c r="Y450" s="102"/>
      <c r="Z450" s="104"/>
      <c r="AA450" s="105"/>
    </row>
    <row r="451" spans="12:27" ht="25" customHeight="1">
      <c r="L451" s="31"/>
      <c r="M451" s="31"/>
      <c r="N451" s="31"/>
      <c r="R451" s="32"/>
      <c r="X451" s="35"/>
      <c r="Y451" s="102"/>
      <c r="Z451" s="104"/>
      <c r="AA451" s="105"/>
    </row>
    <row r="452" spans="12:27" ht="25" customHeight="1">
      <c r="L452" s="31"/>
      <c r="M452" s="31"/>
      <c r="N452" s="31"/>
      <c r="R452" s="32"/>
      <c r="X452" s="35"/>
      <c r="Y452" s="102"/>
      <c r="Z452" s="104"/>
      <c r="AA452" s="105"/>
    </row>
    <row r="453" spans="12:27" ht="25" customHeight="1">
      <c r="L453" s="31"/>
      <c r="M453" s="31"/>
      <c r="N453" s="31"/>
      <c r="R453" s="32"/>
      <c r="X453" s="35"/>
      <c r="Y453" s="102"/>
      <c r="Z453" s="104"/>
      <c r="AA453" s="105"/>
    </row>
    <row r="454" spans="12:27" ht="25" customHeight="1">
      <c r="L454" s="31"/>
      <c r="M454" s="31"/>
      <c r="N454" s="31"/>
      <c r="R454" s="32"/>
      <c r="X454" s="35"/>
      <c r="Y454" s="102"/>
      <c r="Z454" s="104"/>
      <c r="AA454" s="105"/>
    </row>
    <row r="455" spans="12:27" ht="25" customHeight="1">
      <c r="L455" s="31"/>
      <c r="M455" s="31"/>
      <c r="N455" s="31"/>
      <c r="R455" s="32"/>
      <c r="X455" s="35"/>
      <c r="Y455" s="102"/>
      <c r="Z455" s="104"/>
      <c r="AA455" s="105"/>
    </row>
    <row r="456" spans="12:27" ht="25" customHeight="1">
      <c r="L456" s="31"/>
      <c r="M456" s="31"/>
      <c r="N456" s="31"/>
      <c r="R456" s="32"/>
      <c r="X456" s="35"/>
      <c r="Y456" s="102"/>
      <c r="Z456" s="104"/>
      <c r="AA456" s="105"/>
    </row>
    <row r="457" spans="12:27" ht="25" customHeight="1">
      <c r="L457" s="31"/>
      <c r="M457" s="31"/>
      <c r="N457" s="31"/>
      <c r="R457" s="32"/>
      <c r="X457" s="35"/>
      <c r="Y457" s="102"/>
      <c r="Z457" s="104"/>
      <c r="AA457" s="105"/>
    </row>
    <row r="458" spans="12:27" ht="25" customHeight="1">
      <c r="L458" s="31"/>
      <c r="M458" s="31"/>
      <c r="N458" s="31"/>
      <c r="R458" s="32"/>
      <c r="X458" s="35"/>
      <c r="Y458" s="102"/>
      <c r="Z458" s="104"/>
      <c r="AA458" s="105"/>
    </row>
    <row r="459" spans="12:27" ht="25" customHeight="1">
      <c r="L459" s="31"/>
      <c r="M459" s="31"/>
      <c r="N459" s="31"/>
      <c r="R459" s="32"/>
      <c r="X459" s="35"/>
      <c r="Y459" s="102"/>
      <c r="Z459" s="104"/>
      <c r="AA459" s="105"/>
    </row>
    <row r="460" spans="12:27" ht="25" customHeight="1">
      <c r="L460" s="31"/>
      <c r="M460" s="31"/>
      <c r="N460" s="31"/>
      <c r="R460" s="32"/>
      <c r="X460" s="35"/>
      <c r="Y460" s="102"/>
      <c r="Z460" s="104"/>
      <c r="AA460" s="105"/>
    </row>
    <row r="461" spans="12:27" ht="25" customHeight="1">
      <c r="L461" s="31"/>
      <c r="M461" s="31"/>
      <c r="N461" s="31"/>
      <c r="R461" s="32"/>
      <c r="X461" s="35"/>
      <c r="Y461" s="102"/>
      <c r="Z461" s="104"/>
      <c r="AA461" s="105"/>
    </row>
    <row r="462" spans="12:27" ht="25" customHeight="1">
      <c r="L462" s="31"/>
      <c r="M462" s="31"/>
      <c r="N462" s="31"/>
      <c r="R462" s="32"/>
      <c r="X462" s="35"/>
      <c r="Y462" s="102"/>
      <c r="Z462" s="104"/>
      <c r="AA462" s="105"/>
    </row>
    <row r="463" spans="12:27" ht="25" customHeight="1">
      <c r="L463" s="31"/>
      <c r="M463" s="31"/>
      <c r="N463" s="31"/>
      <c r="R463" s="32"/>
      <c r="X463" s="35"/>
      <c r="Y463" s="102"/>
      <c r="Z463" s="104"/>
      <c r="AA463" s="105"/>
    </row>
    <row r="464" spans="12:27" ht="25" customHeight="1">
      <c r="L464" s="31"/>
      <c r="M464" s="31"/>
      <c r="N464" s="31"/>
      <c r="R464" s="32"/>
      <c r="X464" s="35"/>
      <c r="Y464" s="102"/>
      <c r="Z464" s="104"/>
      <c r="AA464" s="105"/>
    </row>
    <row r="465" spans="12:27" ht="25" customHeight="1">
      <c r="L465" s="31"/>
      <c r="M465" s="31"/>
      <c r="N465" s="31"/>
      <c r="R465" s="32"/>
      <c r="X465" s="35"/>
      <c r="Y465" s="102"/>
      <c r="Z465" s="104"/>
      <c r="AA465" s="105"/>
    </row>
    <row r="466" spans="12:27" ht="25" customHeight="1">
      <c r="L466" s="31"/>
      <c r="M466" s="31"/>
      <c r="N466" s="31"/>
      <c r="R466" s="32"/>
      <c r="X466" s="35"/>
      <c r="Y466" s="102"/>
      <c r="Z466" s="104"/>
      <c r="AA466" s="105"/>
    </row>
    <row r="467" spans="12:27" ht="25" customHeight="1">
      <c r="L467" s="31"/>
      <c r="M467" s="31"/>
      <c r="N467" s="31"/>
      <c r="R467" s="32"/>
      <c r="X467" s="35"/>
      <c r="Y467" s="102"/>
      <c r="Z467" s="104"/>
      <c r="AA467" s="105"/>
    </row>
    <row r="468" spans="12:27" ht="25" customHeight="1">
      <c r="L468" s="31"/>
      <c r="M468" s="31"/>
      <c r="N468" s="31"/>
      <c r="R468" s="32"/>
      <c r="X468" s="35"/>
      <c r="Y468" s="102"/>
      <c r="Z468" s="104"/>
      <c r="AA468" s="105"/>
    </row>
    <row r="469" spans="12:27" ht="25" customHeight="1">
      <c r="L469" s="31"/>
      <c r="M469" s="31"/>
      <c r="N469" s="31"/>
      <c r="R469" s="32"/>
      <c r="X469" s="35"/>
      <c r="Y469" s="102"/>
      <c r="Z469" s="104"/>
      <c r="AA469" s="105"/>
    </row>
    <row r="470" spans="12:27" ht="25" customHeight="1">
      <c r="L470" s="31"/>
      <c r="M470" s="31"/>
      <c r="N470" s="31"/>
      <c r="R470" s="32"/>
      <c r="X470" s="35"/>
      <c r="Y470" s="102"/>
      <c r="Z470" s="104"/>
      <c r="AA470" s="105"/>
    </row>
    <row r="471" spans="12:27" ht="25" customHeight="1">
      <c r="L471" s="31"/>
      <c r="M471" s="31"/>
      <c r="N471" s="31"/>
      <c r="R471" s="32"/>
      <c r="X471" s="35"/>
      <c r="Y471" s="102"/>
      <c r="Z471" s="104"/>
      <c r="AA471" s="105"/>
    </row>
    <row r="472" spans="12:27" ht="25" customHeight="1">
      <c r="L472" s="31"/>
      <c r="M472" s="31"/>
      <c r="N472" s="31"/>
      <c r="R472" s="32"/>
      <c r="X472" s="35"/>
      <c r="Y472" s="102"/>
      <c r="Z472" s="104"/>
      <c r="AA472" s="105"/>
    </row>
    <row r="473" spans="12:27" ht="25" customHeight="1">
      <c r="L473" s="31"/>
      <c r="M473" s="31"/>
      <c r="N473" s="31"/>
      <c r="R473" s="32"/>
      <c r="X473" s="35"/>
      <c r="Y473" s="102"/>
      <c r="Z473" s="104"/>
      <c r="AA473" s="105"/>
    </row>
    <row r="474" spans="12:27" ht="25" customHeight="1">
      <c r="L474" s="31"/>
      <c r="M474" s="31"/>
      <c r="N474" s="31"/>
      <c r="R474" s="32"/>
      <c r="X474" s="35"/>
      <c r="Y474" s="102"/>
      <c r="Z474" s="104"/>
      <c r="AA474" s="105"/>
    </row>
    <row r="475" spans="12:27" ht="25" customHeight="1">
      <c r="L475" s="31"/>
      <c r="M475" s="31"/>
      <c r="N475" s="31"/>
      <c r="R475" s="32"/>
      <c r="X475" s="35"/>
      <c r="Y475" s="102"/>
      <c r="Z475" s="104"/>
      <c r="AA475" s="105"/>
    </row>
    <row r="476" spans="12:27" ht="25" customHeight="1">
      <c r="L476" s="31"/>
      <c r="M476" s="31"/>
      <c r="N476" s="31"/>
      <c r="R476" s="32"/>
      <c r="X476" s="35"/>
      <c r="Y476" s="102"/>
      <c r="Z476" s="104"/>
      <c r="AA476" s="105"/>
    </row>
    <row r="477" spans="12:27" ht="25" customHeight="1">
      <c r="L477" s="31"/>
      <c r="M477" s="31"/>
      <c r="N477" s="31"/>
      <c r="R477" s="32"/>
      <c r="X477" s="35"/>
      <c r="Y477" s="102"/>
      <c r="Z477" s="104"/>
      <c r="AA477" s="105"/>
    </row>
    <row r="478" spans="12:27" ht="25" customHeight="1">
      <c r="L478" s="31"/>
      <c r="M478" s="31"/>
      <c r="N478" s="31"/>
      <c r="R478" s="32"/>
      <c r="X478" s="35"/>
      <c r="Y478" s="102"/>
      <c r="Z478" s="104"/>
      <c r="AA478" s="105"/>
    </row>
    <row r="479" spans="12:27" ht="25" customHeight="1">
      <c r="L479" s="31"/>
      <c r="M479" s="31"/>
      <c r="N479" s="31"/>
      <c r="R479" s="32"/>
      <c r="X479" s="35"/>
      <c r="Y479" s="102"/>
      <c r="Z479" s="104"/>
      <c r="AA479" s="105"/>
    </row>
    <row r="480" spans="12:27" ht="25" customHeight="1">
      <c r="L480" s="31"/>
      <c r="M480" s="31"/>
      <c r="N480" s="31"/>
      <c r="R480" s="32"/>
      <c r="X480" s="35"/>
      <c r="Y480" s="102"/>
      <c r="Z480" s="104"/>
      <c r="AA480" s="105"/>
    </row>
    <row r="481" spans="12:27" ht="25" customHeight="1">
      <c r="L481" s="31"/>
      <c r="M481" s="31"/>
      <c r="N481" s="31"/>
      <c r="R481" s="32"/>
      <c r="X481" s="35"/>
      <c r="Y481" s="102"/>
      <c r="Z481" s="104"/>
      <c r="AA481" s="105"/>
    </row>
    <row r="482" spans="12:27" ht="25" customHeight="1">
      <c r="L482" s="31"/>
      <c r="M482" s="31"/>
      <c r="N482" s="31"/>
      <c r="R482" s="32"/>
      <c r="X482" s="35"/>
      <c r="Y482" s="102"/>
      <c r="Z482" s="104"/>
      <c r="AA482" s="105"/>
    </row>
    <row r="483" spans="12:27" ht="25" customHeight="1">
      <c r="L483" s="31"/>
      <c r="M483" s="31"/>
      <c r="N483" s="31"/>
      <c r="R483" s="32"/>
      <c r="X483" s="35"/>
      <c r="Y483" s="102"/>
      <c r="Z483" s="104"/>
      <c r="AA483" s="105"/>
    </row>
    <row r="484" spans="12:27" ht="25" customHeight="1">
      <c r="L484" s="31"/>
      <c r="M484" s="31"/>
      <c r="N484" s="31"/>
      <c r="R484" s="32"/>
      <c r="X484" s="35"/>
      <c r="Y484" s="102"/>
      <c r="Z484" s="104"/>
      <c r="AA484" s="105"/>
    </row>
    <row r="485" spans="12:27" ht="25" customHeight="1">
      <c r="L485" s="31"/>
      <c r="M485" s="31"/>
      <c r="N485" s="31"/>
      <c r="R485" s="32"/>
      <c r="X485" s="35"/>
      <c r="Y485" s="102"/>
      <c r="Z485" s="104"/>
      <c r="AA485" s="105"/>
    </row>
    <row r="486" spans="12:27" ht="25" customHeight="1">
      <c r="L486" s="31"/>
      <c r="M486" s="31"/>
      <c r="N486" s="31"/>
      <c r="R486" s="32"/>
      <c r="X486" s="35"/>
      <c r="Y486" s="102"/>
      <c r="Z486" s="104"/>
      <c r="AA486" s="105"/>
    </row>
    <row r="487" spans="12:27" ht="25" customHeight="1">
      <c r="L487" s="31"/>
      <c r="M487" s="31"/>
      <c r="N487" s="31"/>
      <c r="R487" s="32"/>
      <c r="X487" s="35"/>
      <c r="Y487" s="102"/>
      <c r="Z487" s="104"/>
      <c r="AA487" s="105"/>
    </row>
    <row r="488" spans="12:27" ht="25" customHeight="1">
      <c r="L488" s="31"/>
      <c r="M488" s="31"/>
      <c r="N488" s="31"/>
      <c r="R488" s="32"/>
      <c r="X488" s="35"/>
      <c r="Y488" s="102"/>
      <c r="Z488" s="104"/>
      <c r="AA488" s="105"/>
    </row>
    <row r="489" spans="12:27" ht="25" customHeight="1">
      <c r="L489" s="31"/>
      <c r="M489" s="31"/>
      <c r="N489" s="31"/>
      <c r="R489" s="32"/>
      <c r="X489" s="35"/>
      <c r="Y489" s="102"/>
      <c r="Z489" s="104"/>
      <c r="AA489" s="105"/>
    </row>
    <row r="490" spans="12:27" ht="25" customHeight="1">
      <c r="L490" s="31"/>
      <c r="M490" s="31"/>
      <c r="N490" s="31"/>
      <c r="R490" s="32"/>
      <c r="X490" s="35"/>
      <c r="Y490" s="102"/>
      <c r="Z490" s="104"/>
      <c r="AA490" s="105"/>
    </row>
    <row r="491" spans="12:27" ht="25" customHeight="1">
      <c r="L491" s="31"/>
      <c r="M491" s="31"/>
      <c r="N491" s="31"/>
      <c r="R491" s="32"/>
      <c r="X491" s="35"/>
      <c r="Y491" s="102"/>
      <c r="Z491" s="104"/>
      <c r="AA491" s="105"/>
    </row>
    <row r="492" spans="12:27" ht="25" customHeight="1">
      <c r="L492" s="31"/>
      <c r="M492" s="31"/>
      <c r="N492" s="31"/>
      <c r="R492" s="32"/>
      <c r="X492" s="35"/>
      <c r="Y492" s="102"/>
      <c r="Z492" s="104"/>
      <c r="AA492" s="105"/>
    </row>
    <row r="493" spans="12:27" ht="25" customHeight="1">
      <c r="L493" s="31"/>
      <c r="M493" s="31"/>
      <c r="N493" s="31"/>
      <c r="R493" s="32"/>
      <c r="X493" s="35"/>
      <c r="Y493" s="102"/>
      <c r="Z493" s="104"/>
      <c r="AA493" s="105"/>
    </row>
    <row r="494" spans="12:27" ht="25" customHeight="1">
      <c r="L494" s="31"/>
      <c r="M494" s="31"/>
      <c r="N494" s="31"/>
      <c r="R494" s="32"/>
      <c r="X494" s="35"/>
      <c r="Y494" s="102"/>
      <c r="Z494" s="104"/>
      <c r="AA494" s="105"/>
    </row>
    <row r="495" spans="12:27" ht="25" customHeight="1">
      <c r="L495" s="31"/>
      <c r="M495" s="31"/>
      <c r="N495" s="31"/>
      <c r="R495" s="32"/>
      <c r="X495" s="35"/>
      <c r="Y495" s="102"/>
      <c r="Z495" s="104"/>
      <c r="AA495" s="105"/>
    </row>
    <row r="496" spans="12:27" ht="25" customHeight="1">
      <c r="L496" s="31"/>
      <c r="M496" s="31"/>
      <c r="N496" s="31"/>
      <c r="R496" s="32"/>
      <c r="X496" s="35"/>
      <c r="Y496" s="102"/>
      <c r="Z496" s="104"/>
      <c r="AA496" s="105"/>
    </row>
    <row r="497" spans="12:27" ht="25" customHeight="1">
      <c r="L497" s="31"/>
      <c r="M497" s="31"/>
      <c r="N497" s="31"/>
      <c r="R497" s="32"/>
      <c r="X497" s="35"/>
      <c r="Y497" s="102"/>
      <c r="Z497" s="104"/>
      <c r="AA497" s="105"/>
    </row>
    <row r="498" spans="12:27" ht="25" customHeight="1">
      <c r="L498" s="31"/>
      <c r="M498" s="31"/>
      <c r="N498" s="31"/>
      <c r="R498" s="32"/>
      <c r="X498" s="35"/>
      <c r="Y498" s="102"/>
      <c r="Z498" s="104"/>
      <c r="AA498" s="105"/>
    </row>
    <row r="499" spans="12:27" ht="25" customHeight="1">
      <c r="L499" s="31"/>
      <c r="M499" s="31"/>
      <c r="N499" s="31"/>
      <c r="R499" s="32"/>
      <c r="X499" s="35"/>
      <c r="Y499" s="102"/>
      <c r="Z499" s="104"/>
      <c r="AA499" s="105"/>
    </row>
    <row r="500" spans="12:27" ht="25" customHeight="1">
      <c r="L500" s="31"/>
      <c r="M500" s="31"/>
      <c r="N500" s="31"/>
      <c r="R500" s="32"/>
      <c r="X500" s="35"/>
      <c r="Y500" s="102"/>
      <c r="Z500" s="104"/>
      <c r="AA500" s="105"/>
    </row>
    <row r="501" spans="12:27" ht="25" customHeight="1">
      <c r="L501" s="31"/>
      <c r="M501" s="31"/>
      <c r="N501" s="31"/>
      <c r="R501" s="32"/>
      <c r="X501" s="35"/>
      <c r="Y501" s="102"/>
      <c r="Z501" s="104"/>
      <c r="AA501" s="105"/>
    </row>
    <row r="502" spans="12:27" ht="25" customHeight="1">
      <c r="L502" s="31"/>
      <c r="M502" s="31"/>
      <c r="N502" s="31"/>
      <c r="R502" s="32"/>
      <c r="X502" s="35"/>
      <c r="Y502" s="102"/>
      <c r="Z502" s="104"/>
      <c r="AA502" s="105"/>
    </row>
    <row r="503" spans="12:27" ht="25" customHeight="1">
      <c r="L503" s="31"/>
      <c r="M503" s="31"/>
      <c r="N503" s="31"/>
      <c r="R503" s="32"/>
      <c r="X503" s="35"/>
      <c r="Y503" s="102"/>
      <c r="Z503" s="104"/>
      <c r="AA503" s="105"/>
    </row>
    <row r="504" spans="12:27" ht="25" customHeight="1">
      <c r="L504" s="31"/>
      <c r="M504" s="31"/>
      <c r="N504" s="31"/>
      <c r="R504" s="32"/>
      <c r="X504" s="35"/>
      <c r="Y504" s="102"/>
      <c r="Z504" s="104"/>
      <c r="AA504" s="105"/>
    </row>
    <row r="505" spans="12:27" ht="25" customHeight="1">
      <c r="L505" s="31"/>
      <c r="M505" s="31"/>
      <c r="N505" s="31"/>
      <c r="R505" s="32"/>
      <c r="X505" s="35"/>
      <c r="Y505" s="102"/>
      <c r="Z505" s="104"/>
      <c r="AA505" s="105"/>
    </row>
    <row r="506" spans="12:27" ht="25" customHeight="1">
      <c r="L506" s="31"/>
      <c r="M506" s="31"/>
      <c r="N506" s="31"/>
      <c r="R506" s="32"/>
      <c r="X506" s="35"/>
      <c r="Y506" s="102"/>
      <c r="Z506" s="104"/>
      <c r="AA506" s="105"/>
    </row>
    <row r="507" spans="12:27" ht="25" customHeight="1">
      <c r="L507" s="31"/>
      <c r="M507" s="31"/>
      <c r="N507" s="31"/>
      <c r="R507" s="32"/>
      <c r="X507" s="35"/>
      <c r="Y507" s="102"/>
      <c r="Z507" s="104"/>
      <c r="AA507" s="105"/>
    </row>
    <row r="508" spans="12:27" ht="25" customHeight="1">
      <c r="L508" s="31"/>
      <c r="M508" s="31"/>
      <c r="N508" s="31"/>
      <c r="R508" s="32"/>
      <c r="X508" s="35"/>
      <c r="Y508" s="102"/>
      <c r="Z508" s="104"/>
      <c r="AA508" s="105"/>
    </row>
    <row r="509" spans="12:27" ht="25" customHeight="1">
      <c r="L509" s="31"/>
      <c r="M509" s="31"/>
      <c r="N509" s="31"/>
      <c r="R509" s="32"/>
      <c r="X509" s="35"/>
      <c r="Y509" s="102"/>
      <c r="Z509" s="104"/>
      <c r="AA509" s="105"/>
    </row>
    <row r="510" spans="12:27" ht="25" customHeight="1">
      <c r="L510" s="31"/>
      <c r="M510" s="31"/>
      <c r="N510" s="31"/>
      <c r="R510" s="32"/>
      <c r="X510" s="35"/>
      <c r="Y510" s="102"/>
      <c r="Z510" s="104"/>
      <c r="AA510" s="105"/>
    </row>
    <row r="511" spans="12:27" ht="25" customHeight="1">
      <c r="L511" s="31"/>
      <c r="M511" s="31"/>
      <c r="N511" s="31"/>
      <c r="R511" s="32"/>
      <c r="X511" s="35"/>
      <c r="Y511" s="102"/>
      <c r="Z511" s="104"/>
      <c r="AA511" s="105"/>
    </row>
    <row r="512" spans="12:27" ht="25" customHeight="1">
      <c r="L512" s="31"/>
      <c r="M512" s="31"/>
      <c r="N512" s="31"/>
      <c r="R512" s="32"/>
      <c r="X512" s="35"/>
      <c r="Y512" s="102"/>
      <c r="Z512" s="104"/>
      <c r="AA512" s="105"/>
    </row>
    <row r="513" spans="12:27" ht="25" customHeight="1">
      <c r="L513" s="31"/>
      <c r="M513" s="31"/>
      <c r="N513" s="31"/>
      <c r="R513" s="32"/>
      <c r="X513" s="35"/>
      <c r="Y513" s="102"/>
      <c r="Z513" s="104"/>
      <c r="AA513" s="105"/>
    </row>
    <row r="514" spans="12:27" ht="25" customHeight="1">
      <c r="L514" s="31"/>
      <c r="M514" s="31"/>
      <c r="N514" s="31"/>
      <c r="R514" s="32"/>
      <c r="X514" s="35"/>
      <c r="Y514" s="102"/>
      <c r="Z514" s="104"/>
      <c r="AA514" s="105"/>
    </row>
    <row r="515" spans="12:27" ht="25" customHeight="1">
      <c r="L515" s="31"/>
      <c r="M515" s="31"/>
      <c r="N515" s="31"/>
      <c r="R515" s="32"/>
      <c r="X515" s="35"/>
      <c r="Y515" s="102"/>
      <c r="Z515" s="104"/>
      <c r="AA515" s="105"/>
    </row>
    <row r="516" spans="12:27" ht="25" customHeight="1">
      <c r="L516" s="31"/>
      <c r="M516" s="31"/>
      <c r="N516" s="31"/>
      <c r="R516" s="32"/>
      <c r="X516" s="35"/>
      <c r="Y516" s="102"/>
      <c r="Z516" s="104"/>
      <c r="AA516" s="105"/>
    </row>
    <row r="517" spans="12:27" ht="25" customHeight="1">
      <c r="L517" s="31"/>
      <c r="M517" s="31"/>
      <c r="N517" s="31"/>
      <c r="R517" s="32"/>
      <c r="X517" s="35"/>
      <c r="Y517" s="102"/>
      <c r="Z517" s="104"/>
      <c r="AA517" s="105"/>
    </row>
    <row r="518" spans="12:27" ht="25" customHeight="1">
      <c r="L518" s="31"/>
      <c r="M518" s="31"/>
      <c r="N518" s="31"/>
      <c r="R518" s="32"/>
      <c r="X518" s="35"/>
      <c r="Y518" s="102"/>
      <c r="Z518" s="104"/>
      <c r="AA518" s="105"/>
    </row>
    <row r="519" spans="12:27" ht="25" customHeight="1">
      <c r="L519" s="31"/>
      <c r="M519" s="31"/>
      <c r="N519" s="31"/>
      <c r="R519" s="32"/>
      <c r="X519" s="35"/>
      <c r="Y519" s="102"/>
      <c r="Z519" s="104"/>
      <c r="AA519" s="105"/>
    </row>
    <row r="520" spans="12:27" ht="25" customHeight="1">
      <c r="L520" s="31"/>
      <c r="M520" s="31"/>
      <c r="N520" s="31"/>
      <c r="R520" s="32"/>
      <c r="X520" s="35"/>
      <c r="Y520" s="102"/>
      <c r="Z520" s="104"/>
      <c r="AA520" s="105"/>
    </row>
    <row r="521" spans="12:27" ht="25" customHeight="1">
      <c r="L521" s="31"/>
      <c r="M521" s="31"/>
      <c r="N521" s="31"/>
      <c r="R521" s="32"/>
      <c r="X521" s="35"/>
      <c r="Y521" s="102"/>
      <c r="Z521" s="104"/>
      <c r="AA521" s="105"/>
    </row>
    <row r="522" spans="12:27" ht="25" customHeight="1">
      <c r="L522" s="31"/>
      <c r="M522" s="31"/>
      <c r="N522" s="31"/>
      <c r="R522" s="32"/>
      <c r="X522" s="35"/>
      <c r="Y522" s="102"/>
      <c r="Z522" s="104"/>
      <c r="AA522" s="105"/>
    </row>
    <row r="523" spans="12:27" ht="25" customHeight="1">
      <c r="L523" s="31"/>
      <c r="M523" s="31"/>
      <c r="N523" s="31"/>
      <c r="R523" s="32"/>
      <c r="X523" s="35"/>
      <c r="Y523" s="102"/>
      <c r="Z523" s="104"/>
      <c r="AA523" s="105"/>
    </row>
    <row r="524" spans="12:27" ht="25" customHeight="1">
      <c r="L524" s="31"/>
      <c r="M524" s="31"/>
      <c r="N524" s="31"/>
      <c r="R524" s="32"/>
      <c r="X524" s="35"/>
      <c r="Y524" s="102"/>
      <c r="Z524" s="104"/>
      <c r="AA524" s="105"/>
    </row>
    <row r="525" spans="12:27" ht="25" customHeight="1">
      <c r="L525" s="31"/>
      <c r="M525" s="31"/>
      <c r="N525" s="31"/>
      <c r="R525" s="32"/>
      <c r="X525" s="35"/>
      <c r="Y525" s="102"/>
      <c r="Z525" s="104"/>
      <c r="AA525" s="105"/>
    </row>
    <row r="526" spans="12:27" ht="25" customHeight="1">
      <c r="L526" s="31"/>
      <c r="M526" s="31"/>
      <c r="N526" s="31"/>
      <c r="R526" s="32"/>
      <c r="X526" s="35"/>
      <c r="Y526" s="102"/>
      <c r="Z526" s="104"/>
      <c r="AA526" s="105"/>
    </row>
    <row r="527" spans="12:27" ht="25" customHeight="1">
      <c r="L527" s="31"/>
      <c r="M527" s="31"/>
      <c r="N527" s="31"/>
      <c r="R527" s="32"/>
      <c r="X527" s="35"/>
      <c r="Y527" s="102"/>
      <c r="Z527" s="104"/>
      <c r="AA527" s="105"/>
    </row>
    <row r="528" spans="12:27" ht="25" customHeight="1">
      <c r="L528" s="31"/>
      <c r="M528" s="31"/>
      <c r="N528" s="31"/>
      <c r="R528" s="32"/>
      <c r="X528" s="35"/>
      <c r="Y528" s="102"/>
      <c r="Z528" s="104"/>
      <c r="AA528" s="105"/>
    </row>
    <row r="529" spans="12:27" ht="25" customHeight="1">
      <c r="L529" s="31"/>
      <c r="M529" s="31"/>
      <c r="N529" s="31"/>
      <c r="R529" s="32"/>
      <c r="X529" s="35"/>
      <c r="Y529" s="102"/>
      <c r="Z529" s="104"/>
      <c r="AA529" s="105"/>
    </row>
    <row r="530" spans="12:27" ht="25" customHeight="1">
      <c r="L530" s="31"/>
      <c r="M530" s="31"/>
      <c r="N530" s="31"/>
      <c r="R530" s="32"/>
      <c r="X530" s="35"/>
      <c r="Y530" s="102"/>
      <c r="Z530" s="104"/>
      <c r="AA530" s="105"/>
    </row>
    <row r="531" spans="12:27" ht="25" customHeight="1">
      <c r="L531" s="31"/>
      <c r="M531" s="31"/>
      <c r="N531" s="31"/>
      <c r="R531" s="32"/>
      <c r="X531" s="35"/>
      <c r="Y531" s="102"/>
      <c r="Z531" s="104"/>
      <c r="AA531" s="105"/>
    </row>
    <row r="532" spans="12:27" ht="25" customHeight="1">
      <c r="L532" s="31"/>
      <c r="M532" s="31"/>
      <c r="N532" s="31"/>
      <c r="R532" s="32"/>
      <c r="X532" s="35"/>
      <c r="Y532" s="102"/>
      <c r="Z532" s="104"/>
      <c r="AA532" s="105"/>
    </row>
    <row r="533" spans="12:27" ht="25" customHeight="1">
      <c r="L533" s="31"/>
      <c r="M533" s="31"/>
      <c r="N533" s="31"/>
      <c r="R533" s="32"/>
      <c r="X533" s="35"/>
      <c r="Y533" s="102"/>
      <c r="Z533" s="104"/>
      <c r="AA533" s="105"/>
    </row>
    <row r="534" spans="12:27" ht="25" customHeight="1">
      <c r="L534" s="31"/>
      <c r="M534" s="31"/>
      <c r="N534" s="31"/>
      <c r="R534" s="32"/>
      <c r="X534" s="35"/>
      <c r="Y534" s="102"/>
      <c r="Z534" s="104"/>
      <c r="AA534" s="105"/>
    </row>
    <row r="535" spans="12:27" ht="25" customHeight="1">
      <c r="L535" s="31"/>
      <c r="M535" s="31"/>
      <c r="N535" s="31"/>
      <c r="R535" s="32"/>
      <c r="X535" s="35"/>
      <c r="Y535" s="102"/>
      <c r="Z535" s="104"/>
      <c r="AA535" s="105"/>
    </row>
    <row r="536" spans="12:27" ht="25" customHeight="1">
      <c r="L536" s="31"/>
      <c r="M536" s="31"/>
      <c r="N536" s="31"/>
      <c r="R536" s="32"/>
      <c r="X536" s="35"/>
      <c r="Y536" s="102"/>
      <c r="Z536" s="104"/>
      <c r="AA536" s="105"/>
    </row>
    <row r="537" spans="12:27" ht="25" customHeight="1">
      <c r="L537" s="31"/>
      <c r="M537" s="31"/>
      <c r="N537" s="31"/>
      <c r="R537" s="32"/>
      <c r="X537" s="35"/>
      <c r="Y537" s="102"/>
      <c r="Z537" s="104"/>
      <c r="AA537" s="105"/>
    </row>
    <row r="538" spans="12:27" ht="25" customHeight="1">
      <c r="L538" s="31"/>
      <c r="M538" s="31"/>
      <c r="N538" s="31"/>
      <c r="R538" s="32"/>
      <c r="X538" s="35"/>
      <c r="Y538" s="102"/>
      <c r="Z538" s="104"/>
      <c r="AA538" s="105"/>
    </row>
    <row r="539" spans="12:27" ht="25" customHeight="1">
      <c r="L539" s="31"/>
      <c r="M539" s="31"/>
      <c r="N539" s="31"/>
      <c r="R539" s="32"/>
      <c r="X539" s="35"/>
      <c r="Y539" s="102"/>
      <c r="Z539" s="104"/>
      <c r="AA539" s="105"/>
    </row>
    <row r="540" spans="12:27" ht="25" customHeight="1">
      <c r="L540" s="31"/>
      <c r="M540" s="31"/>
      <c r="N540" s="31"/>
      <c r="R540" s="32"/>
      <c r="X540" s="35"/>
      <c r="Y540" s="102"/>
      <c r="Z540" s="104"/>
      <c r="AA540" s="105"/>
    </row>
    <row r="541" spans="12:27" ht="25" customHeight="1">
      <c r="L541" s="31"/>
      <c r="M541" s="31"/>
      <c r="N541" s="31"/>
      <c r="R541" s="32"/>
      <c r="X541" s="35"/>
      <c r="Y541" s="102"/>
      <c r="Z541" s="104"/>
      <c r="AA541" s="105"/>
    </row>
    <row r="542" spans="12:27" ht="25" customHeight="1">
      <c r="L542" s="31"/>
      <c r="M542" s="31"/>
      <c r="N542" s="31"/>
      <c r="R542" s="32"/>
      <c r="X542" s="35"/>
      <c r="Y542" s="102"/>
      <c r="Z542" s="104"/>
      <c r="AA542" s="105"/>
    </row>
    <row r="543" spans="12:27" ht="25" customHeight="1">
      <c r="L543" s="31"/>
      <c r="M543" s="31"/>
      <c r="N543" s="31"/>
      <c r="R543" s="32"/>
      <c r="X543" s="35"/>
      <c r="Y543" s="102"/>
      <c r="Z543" s="104"/>
      <c r="AA543" s="105"/>
    </row>
    <row r="544" spans="12:27" ht="25" customHeight="1">
      <c r="L544" s="31"/>
      <c r="M544" s="31"/>
      <c r="N544" s="31"/>
      <c r="R544" s="32"/>
      <c r="X544" s="35"/>
      <c r="Y544" s="102"/>
      <c r="Z544" s="104"/>
      <c r="AA544" s="105"/>
    </row>
    <row r="545" spans="12:27" ht="25" customHeight="1">
      <c r="L545" s="31"/>
      <c r="M545" s="31"/>
      <c r="N545" s="31"/>
      <c r="R545" s="32"/>
      <c r="X545" s="35"/>
      <c r="Y545" s="102"/>
      <c r="Z545" s="104"/>
      <c r="AA545" s="105"/>
    </row>
    <row r="546" spans="12:27" ht="25" customHeight="1">
      <c r="L546" s="31"/>
      <c r="M546" s="31"/>
      <c r="N546" s="31"/>
      <c r="R546" s="32"/>
      <c r="X546" s="35"/>
      <c r="Y546" s="102"/>
      <c r="Z546" s="104"/>
      <c r="AA546" s="105"/>
    </row>
    <row r="547" spans="12:27" ht="25" customHeight="1">
      <c r="L547" s="31"/>
      <c r="M547" s="31"/>
      <c r="N547" s="31"/>
      <c r="R547" s="32"/>
      <c r="X547" s="35"/>
      <c r="Y547" s="102"/>
      <c r="Z547" s="104"/>
      <c r="AA547" s="105"/>
    </row>
    <row r="548" spans="12:27" ht="25" customHeight="1">
      <c r="L548" s="31"/>
      <c r="M548" s="31"/>
      <c r="N548" s="31"/>
      <c r="R548" s="32"/>
      <c r="X548" s="35"/>
      <c r="Y548" s="102"/>
      <c r="Z548" s="104"/>
      <c r="AA548" s="105"/>
    </row>
    <row r="549" spans="12:27" ht="25" customHeight="1">
      <c r="L549" s="31"/>
      <c r="M549" s="31"/>
      <c r="N549" s="31"/>
      <c r="R549" s="32"/>
      <c r="X549" s="35"/>
      <c r="Y549" s="102"/>
      <c r="Z549" s="104"/>
      <c r="AA549" s="105"/>
    </row>
    <row r="550" spans="12:27" ht="25" customHeight="1">
      <c r="L550" s="31"/>
      <c r="M550" s="31"/>
      <c r="N550" s="31"/>
      <c r="R550" s="32"/>
      <c r="X550" s="35"/>
      <c r="Y550" s="102"/>
      <c r="Z550" s="104"/>
      <c r="AA550" s="105"/>
    </row>
    <row r="551" spans="12:27" ht="25" customHeight="1">
      <c r="L551" s="31"/>
      <c r="M551" s="31"/>
      <c r="N551" s="31"/>
      <c r="R551" s="32"/>
      <c r="X551" s="35"/>
      <c r="Y551" s="102"/>
      <c r="Z551" s="104"/>
      <c r="AA551" s="105"/>
    </row>
    <row r="552" spans="12:27" ht="25" customHeight="1">
      <c r="L552" s="31"/>
      <c r="M552" s="31"/>
      <c r="N552" s="31"/>
      <c r="R552" s="32"/>
      <c r="X552" s="35"/>
      <c r="Y552" s="102"/>
      <c r="Z552" s="104"/>
      <c r="AA552" s="105"/>
    </row>
    <row r="553" spans="12:27" ht="25" customHeight="1">
      <c r="L553" s="31"/>
      <c r="M553" s="31"/>
      <c r="N553" s="31"/>
      <c r="R553" s="32"/>
      <c r="X553" s="35"/>
      <c r="Y553" s="102"/>
      <c r="Z553" s="104"/>
      <c r="AA553" s="105"/>
    </row>
    <row r="554" spans="12:27" ht="25" customHeight="1">
      <c r="L554" s="31"/>
      <c r="M554" s="31"/>
      <c r="N554" s="31"/>
      <c r="R554" s="32"/>
      <c r="X554" s="35"/>
      <c r="Y554" s="102"/>
      <c r="Z554" s="104"/>
      <c r="AA554" s="105"/>
    </row>
    <row r="555" spans="12:27" ht="25" customHeight="1">
      <c r="L555" s="31"/>
      <c r="M555" s="31"/>
      <c r="N555" s="31"/>
      <c r="R555" s="32"/>
      <c r="X555" s="35"/>
      <c r="Y555" s="102"/>
      <c r="Z555" s="104"/>
      <c r="AA555" s="105"/>
    </row>
    <row r="556" spans="12:27" ht="25" customHeight="1">
      <c r="L556" s="31"/>
      <c r="M556" s="31"/>
      <c r="N556" s="31"/>
      <c r="R556" s="32"/>
      <c r="X556" s="35"/>
      <c r="Y556" s="102"/>
      <c r="Z556" s="104"/>
      <c r="AA556" s="105"/>
    </row>
    <row r="557" spans="12:27" ht="25" customHeight="1">
      <c r="L557" s="31"/>
      <c r="M557" s="31"/>
      <c r="N557" s="31"/>
      <c r="R557" s="32"/>
      <c r="X557" s="35"/>
      <c r="Y557" s="102"/>
      <c r="Z557" s="104"/>
      <c r="AA557" s="105"/>
    </row>
    <row r="558" spans="12:27" ht="25" customHeight="1">
      <c r="L558" s="31"/>
      <c r="M558" s="31"/>
      <c r="N558" s="31"/>
      <c r="R558" s="32"/>
      <c r="X558" s="35"/>
      <c r="Y558" s="102"/>
      <c r="Z558" s="104"/>
      <c r="AA558" s="105"/>
    </row>
    <row r="559" spans="12:27" ht="25" customHeight="1">
      <c r="L559" s="31"/>
      <c r="M559" s="31"/>
      <c r="N559" s="31"/>
      <c r="R559" s="32"/>
      <c r="X559" s="35"/>
      <c r="Y559" s="102"/>
      <c r="Z559" s="104"/>
      <c r="AA559" s="105"/>
    </row>
    <row r="560" spans="12:27" ht="25" customHeight="1">
      <c r="L560" s="31"/>
      <c r="M560" s="31"/>
      <c r="N560" s="31"/>
      <c r="R560" s="32"/>
      <c r="X560" s="35"/>
      <c r="Y560" s="102"/>
      <c r="Z560" s="104"/>
      <c r="AA560" s="105"/>
    </row>
    <row r="561" spans="12:27" ht="25" customHeight="1">
      <c r="L561" s="31"/>
      <c r="M561" s="31"/>
      <c r="N561" s="31"/>
      <c r="R561" s="32"/>
      <c r="X561" s="35"/>
      <c r="Y561" s="102"/>
      <c r="Z561" s="104"/>
      <c r="AA561" s="105"/>
    </row>
    <row r="562" spans="12:27" ht="25" customHeight="1">
      <c r="L562" s="31"/>
      <c r="M562" s="31"/>
      <c r="N562" s="31"/>
      <c r="R562" s="32"/>
      <c r="X562" s="35"/>
      <c r="Y562" s="102"/>
      <c r="Z562" s="104"/>
      <c r="AA562" s="105"/>
    </row>
    <row r="563" spans="12:27" ht="25" customHeight="1">
      <c r="L563" s="31"/>
      <c r="M563" s="31"/>
      <c r="N563" s="31"/>
      <c r="R563" s="32"/>
      <c r="X563" s="35"/>
      <c r="Y563" s="102"/>
      <c r="Z563" s="104"/>
      <c r="AA563" s="105"/>
    </row>
    <row r="564" spans="12:27" ht="25" customHeight="1">
      <c r="L564" s="31"/>
      <c r="M564" s="31"/>
      <c r="N564" s="31"/>
      <c r="R564" s="32"/>
      <c r="X564" s="35"/>
      <c r="Y564" s="102"/>
      <c r="Z564" s="104"/>
      <c r="AA564" s="105"/>
    </row>
    <row r="565" spans="12:27" ht="25" customHeight="1">
      <c r="L565" s="31"/>
      <c r="M565" s="31"/>
      <c r="N565" s="31"/>
      <c r="R565" s="32"/>
      <c r="X565" s="35"/>
      <c r="Y565" s="102"/>
      <c r="Z565" s="104"/>
      <c r="AA565" s="105"/>
    </row>
    <row r="566" spans="12:27" ht="25" customHeight="1">
      <c r="L566" s="31"/>
      <c r="M566" s="31"/>
      <c r="N566" s="31"/>
      <c r="R566" s="32"/>
      <c r="X566" s="35"/>
      <c r="Y566" s="102"/>
      <c r="Z566" s="104"/>
      <c r="AA566" s="105"/>
    </row>
    <row r="567" spans="12:27" ht="25" customHeight="1">
      <c r="L567" s="31"/>
      <c r="M567" s="31"/>
      <c r="N567" s="31"/>
      <c r="R567" s="32"/>
      <c r="X567" s="35"/>
      <c r="Y567" s="102"/>
      <c r="Z567" s="104"/>
      <c r="AA567" s="105"/>
    </row>
    <row r="568" spans="12:27" ht="25" customHeight="1">
      <c r="L568" s="31"/>
      <c r="M568" s="31"/>
      <c r="N568" s="31"/>
      <c r="R568" s="32"/>
      <c r="X568" s="35"/>
      <c r="Y568" s="102"/>
      <c r="Z568" s="104"/>
      <c r="AA568" s="105"/>
    </row>
    <row r="569" spans="12:27" ht="25" customHeight="1">
      <c r="L569" s="31"/>
      <c r="M569" s="31"/>
      <c r="N569" s="31"/>
      <c r="R569" s="32"/>
      <c r="X569" s="35"/>
      <c r="Y569" s="102"/>
      <c r="Z569" s="104"/>
      <c r="AA569" s="105"/>
    </row>
    <row r="570" spans="12:27" ht="25" customHeight="1">
      <c r="L570" s="31"/>
      <c r="M570" s="31"/>
      <c r="N570" s="31"/>
      <c r="R570" s="32"/>
      <c r="X570" s="35"/>
      <c r="Y570" s="102"/>
      <c r="Z570" s="104"/>
      <c r="AA570" s="105"/>
    </row>
    <row r="571" spans="12:27" ht="25" customHeight="1">
      <c r="L571" s="31"/>
      <c r="M571" s="31"/>
      <c r="N571" s="31"/>
      <c r="R571" s="32"/>
      <c r="X571" s="35"/>
      <c r="Y571" s="102"/>
      <c r="Z571" s="104"/>
      <c r="AA571" s="105"/>
    </row>
    <row r="572" spans="12:27" ht="25" customHeight="1">
      <c r="L572" s="31"/>
      <c r="M572" s="31"/>
      <c r="N572" s="31"/>
      <c r="R572" s="32"/>
      <c r="X572" s="35"/>
      <c r="Y572" s="102"/>
      <c r="Z572" s="104"/>
      <c r="AA572" s="105"/>
    </row>
    <row r="573" spans="12:27" ht="25" customHeight="1">
      <c r="L573" s="31"/>
      <c r="M573" s="31"/>
      <c r="N573" s="31"/>
      <c r="R573" s="32"/>
      <c r="X573" s="35"/>
      <c r="Y573" s="102"/>
      <c r="Z573" s="104"/>
      <c r="AA573" s="105"/>
    </row>
    <row r="574" spans="12:27" ht="25" customHeight="1">
      <c r="L574" s="31"/>
      <c r="M574" s="31"/>
      <c r="N574" s="31"/>
      <c r="R574" s="32"/>
      <c r="X574" s="35"/>
      <c r="Y574" s="102"/>
      <c r="Z574" s="104"/>
      <c r="AA574" s="105"/>
    </row>
    <row r="575" spans="12:27" ht="25" customHeight="1">
      <c r="L575" s="31"/>
      <c r="M575" s="31"/>
      <c r="N575" s="31"/>
      <c r="R575" s="32"/>
      <c r="X575" s="35"/>
      <c r="Y575" s="102"/>
      <c r="Z575" s="104"/>
      <c r="AA575" s="105"/>
    </row>
    <row r="576" spans="12:27" ht="25" customHeight="1">
      <c r="L576" s="31"/>
      <c r="M576" s="31"/>
      <c r="N576" s="31"/>
      <c r="R576" s="32"/>
      <c r="X576" s="35"/>
      <c r="Y576" s="102"/>
      <c r="Z576" s="104"/>
      <c r="AA576" s="105"/>
    </row>
    <row r="577" spans="12:27" ht="25" customHeight="1">
      <c r="L577" s="31"/>
      <c r="M577" s="31"/>
      <c r="N577" s="31"/>
      <c r="R577" s="32"/>
      <c r="X577" s="35"/>
      <c r="Y577" s="102"/>
      <c r="Z577" s="104"/>
      <c r="AA577" s="105"/>
    </row>
    <row r="578" spans="12:27" ht="25" customHeight="1">
      <c r="L578" s="31"/>
      <c r="M578" s="31"/>
      <c r="N578" s="31"/>
      <c r="R578" s="32"/>
      <c r="X578" s="35"/>
      <c r="Y578" s="102"/>
      <c r="Z578" s="104"/>
      <c r="AA578" s="105"/>
    </row>
    <row r="579" spans="12:27" ht="25" customHeight="1">
      <c r="L579" s="31"/>
      <c r="M579" s="31"/>
      <c r="N579" s="31"/>
      <c r="R579" s="32"/>
      <c r="X579" s="35"/>
      <c r="Y579" s="102"/>
      <c r="Z579" s="104"/>
      <c r="AA579" s="105"/>
    </row>
    <row r="580" spans="12:27" ht="25" customHeight="1">
      <c r="L580" s="31"/>
      <c r="M580" s="31"/>
      <c r="N580" s="31"/>
      <c r="R580" s="32"/>
      <c r="X580" s="35"/>
      <c r="Y580" s="102"/>
      <c r="Z580" s="104"/>
      <c r="AA580" s="105"/>
    </row>
    <row r="581" spans="12:27" ht="25" customHeight="1">
      <c r="L581" s="31"/>
      <c r="M581" s="31"/>
      <c r="N581" s="31"/>
      <c r="R581" s="32"/>
      <c r="X581" s="35"/>
      <c r="Y581" s="102"/>
      <c r="Z581" s="104"/>
      <c r="AA581" s="105"/>
    </row>
    <row r="582" spans="12:27" ht="25" customHeight="1">
      <c r="L582" s="31"/>
      <c r="M582" s="31"/>
      <c r="N582" s="31"/>
      <c r="R582" s="32"/>
      <c r="X582" s="35"/>
      <c r="Y582" s="102"/>
      <c r="Z582" s="104"/>
      <c r="AA582" s="105"/>
    </row>
    <row r="583" spans="12:27" ht="25" customHeight="1">
      <c r="L583" s="31"/>
      <c r="M583" s="31"/>
      <c r="N583" s="31"/>
      <c r="R583" s="32"/>
      <c r="X583" s="35"/>
      <c r="Y583" s="102"/>
      <c r="Z583" s="104"/>
      <c r="AA583" s="105"/>
    </row>
    <row r="584" spans="12:27" ht="25" customHeight="1">
      <c r="L584" s="31"/>
      <c r="M584" s="31"/>
      <c r="N584" s="31"/>
      <c r="R584" s="32"/>
      <c r="X584" s="35"/>
      <c r="Y584" s="102"/>
      <c r="Z584" s="104"/>
      <c r="AA584" s="105"/>
    </row>
    <row r="585" spans="12:27" ht="25" customHeight="1">
      <c r="L585" s="31"/>
      <c r="M585" s="31"/>
      <c r="N585" s="31"/>
      <c r="R585" s="32"/>
      <c r="X585" s="35"/>
      <c r="Y585" s="102"/>
      <c r="Z585" s="104"/>
      <c r="AA585" s="105"/>
    </row>
    <row r="586" spans="12:27" ht="25" customHeight="1">
      <c r="L586" s="31"/>
      <c r="M586" s="31"/>
      <c r="N586" s="31"/>
      <c r="R586" s="32"/>
      <c r="X586" s="35"/>
      <c r="Y586" s="102"/>
      <c r="Z586" s="104"/>
      <c r="AA586" s="105"/>
    </row>
    <row r="587" spans="12:27" ht="25" customHeight="1">
      <c r="L587" s="31"/>
      <c r="M587" s="31"/>
      <c r="N587" s="31"/>
      <c r="R587" s="32"/>
      <c r="X587" s="35"/>
      <c r="Y587" s="102"/>
      <c r="Z587" s="104"/>
      <c r="AA587" s="105"/>
    </row>
    <row r="588" spans="12:27" ht="25" customHeight="1">
      <c r="L588" s="31"/>
      <c r="M588" s="31"/>
      <c r="N588" s="31"/>
      <c r="R588" s="32"/>
      <c r="X588" s="35"/>
      <c r="Y588" s="102"/>
      <c r="Z588" s="104"/>
      <c r="AA588" s="105"/>
    </row>
    <row r="589" spans="12:27" ht="25" customHeight="1">
      <c r="L589" s="31"/>
      <c r="M589" s="31"/>
      <c r="N589" s="31"/>
      <c r="R589" s="32"/>
      <c r="X589" s="35"/>
      <c r="Y589" s="102"/>
      <c r="Z589" s="104"/>
      <c r="AA589" s="105"/>
    </row>
    <row r="590" spans="12:27" ht="25" customHeight="1">
      <c r="L590" s="31"/>
      <c r="M590" s="31"/>
      <c r="N590" s="31"/>
      <c r="R590" s="32"/>
      <c r="X590" s="35"/>
      <c r="Y590" s="102"/>
      <c r="Z590" s="104"/>
      <c r="AA590" s="105"/>
    </row>
    <row r="591" spans="12:27" ht="25" customHeight="1">
      <c r="L591" s="31"/>
      <c r="M591" s="31"/>
      <c r="N591" s="31"/>
      <c r="R591" s="32"/>
      <c r="X591" s="35"/>
      <c r="Y591" s="102"/>
      <c r="Z591" s="104"/>
      <c r="AA591" s="105"/>
    </row>
    <row r="592" spans="12:27" ht="25" customHeight="1">
      <c r="L592" s="31"/>
      <c r="M592" s="31"/>
      <c r="N592" s="31"/>
      <c r="R592" s="32"/>
      <c r="X592" s="35"/>
      <c r="Y592" s="102"/>
      <c r="Z592" s="104"/>
      <c r="AA592" s="105"/>
    </row>
    <row r="593" spans="12:27" ht="25" customHeight="1">
      <c r="L593" s="31"/>
      <c r="M593" s="31"/>
      <c r="N593" s="31"/>
      <c r="R593" s="32"/>
      <c r="X593" s="35"/>
      <c r="Y593" s="102"/>
      <c r="Z593" s="104"/>
      <c r="AA593" s="105"/>
    </row>
    <row r="594" spans="12:27" ht="25" customHeight="1">
      <c r="L594" s="31"/>
      <c r="M594" s="31"/>
      <c r="N594" s="31"/>
      <c r="R594" s="32"/>
      <c r="X594" s="35"/>
      <c r="Y594" s="102"/>
      <c r="Z594" s="104"/>
      <c r="AA594" s="105"/>
    </row>
    <row r="595" spans="12:27" ht="25" customHeight="1">
      <c r="L595" s="31"/>
      <c r="M595" s="31"/>
      <c r="N595" s="31"/>
      <c r="R595" s="32"/>
      <c r="X595" s="35"/>
      <c r="Y595" s="102"/>
      <c r="Z595" s="104"/>
      <c r="AA595" s="105"/>
    </row>
    <row r="596" spans="12:27" ht="25" customHeight="1">
      <c r="L596" s="31"/>
      <c r="M596" s="31"/>
      <c r="N596" s="31"/>
      <c r="R596" s="32"/>
      <c r="X596" s="35"/>
      <c r="Y596" s="102"/>
      <c r="Z596" s="104"/>
      <c r="AA596" s="105"/>
    </row>
    <row r="597" spans="12:27" ht="25" customHeight="1">
      <c r="L597" s="31"/>
      <c r="M597" s="31"/>
      <c r="N597" s="31"/>
      <c r="R597" s="32"/>
      <c r="X597" s="35"/>
      <c r="Y597" s="102"/>
      <c r="Z597" s="104"/>
      <c r="AA597" s="105"/>
    </row>
    <row r="598" spans="12:27" ht="25" customHeight="1">
      <c r="L598" s="31"/>
      <c r="M598" s="31"/>
      <c r="N598" s="31"/>
      <c r="R598" s="32"/>
      <c r="X598" s="35"/>
      <c r="Y598" s="102"/>
      <c r="Z598" s="104"/>
      <c r="AA598" s="105"/>
    </row>
    <row r="599" spans="12:27" ht="25" customHeight="1">
      <c r="L599" s="31"/>
      <c r="M599" s="31"/>
      <c r="N599" s="31"/>
      <c r="R599" s="32"/>
      <c r="X599" s="35"/>
      <c r="Y599" s="102"/>
      <c r="Z599" s="104"/>
      <c r="AA599" s="105"/>
    </row>
    <row r="600" spans="12:27" ht="25" customHeight="1">
      <c r="L600" s="31"/>
      <c r="M600" s="31"/>
      <c r="N600" s="31"/>
      <c r="R600" s="32"/>
      <c r="X600" s="35"/>
      <c r="Y600" s="102"/>
      <c r="Z600" s="104"/>
      <c r="AA600" s="105"/>
    </row>
    <row r="601" spans="12:27" ht="25" customHeight="1">
      <c r="L601" s="31"/>
      <c r="M601" s="31"/>
      <c r="N601" s="31"/>
      <c r="R601" s="32"/>
      <c r="X601" s="35"/>
      <c r="Y601" s="102"/>
      <c r="Z601" s="104"/>
      <c r="AA601" s="105"/>
    </row>
    <row r="602" spans="12:27" ht="25" customHeight="1">
      <c r="L602" s="31"/>
      <c r="M602" s="31"/>
      <c r="N602" s="31"/>
      <c r="R602" s="32"/>
      <c r="X602" s="35"/>
      <c r="Y602" s="102"/>
      <c r="Z602" s="104"/>
      <c r="AA602" s="105"/>
    </row>
    <row r="603" spans="12:27" ht="25" customHeight="1">
      <c r="L603" s="31"/>
      <c r="M603" s="31"/>
      <c r="N603" s="31"/>
      <c r="R603" s="32"/>
      <c r="X603" s="35"/>
      <c r="Y603" s="102"/>
      <c r="Z603" s="104"/>
      <c r="AA603" s="105"/>
    </row>
    <row r="604" spans="12:27" ht="25" customHeight="1">
      <c r="L604" s="31"/>
      <c r="M604" s="31"/>
      <c r="N604" s="31"/>
      <c r="R604" s="32"/>
      <c r="X604" s="35"/>
      <c r="Y604" s="102"/>
      <c r="Z604" s="104"/>
      <c r="AA604" s="105"/>
    </row>
    <row r="605" spans="12:27" ht="25" customHeight="1">
      <c r="L605" s="31"/>
      <c r="M605" s="31"/>
      <c r="N605" s="31"/>
      <c r="R605" s="32"/>
      <c r="X605" s="35"/>
      <c r="Y605" s="102"/>
      <c r="Z605" s="104"/>
      <c r="AA605" s="105"/>
    </row>
    <row r="606" spans="12:27" ht="25" customHeight="1">
      <c r="L606" s="31"/>
      <c r="M606" s="31"/>
      <c r="N606" s="31"/>
      <c r="R606" s="32"/>
      <c r="X606" s="35"/>
      <c r="Y606" s="102"/>
      <c r="Z606" s="104"/>
      <c r="AA606" s="105"/>
    </row>
    <row r="607" spans="12:27" ht="25" customHeight="1">
      <c r="L607" s="31"/>
      <c r="M607" s="31"/>
      <c r="N607" s="31"/>
      <c r="R607" s="32"/>
      <c r="X607" s="35"/>
      <c r="Y607" s="102"/>
      <c r="Z607" s="104"/>
      <c r="AA607" s="105"/>
    </row>
    <row r="608" spans="12:27" ht="25" customHeight="1">
      <c r="L608" s="31"/>
      <c r="M608" s="31"/>
      <c r="N608" s="31"/>
      <c r="R608" s="32"/>
      <c r="X608" s="35"/>
      <c r="Y608" s="102"/>
      <c r="Z608" s="104"/>
      <c r="AA608" s="105"/>
    </row>
    <row r="609" spans="12:27" ht="25" customHeight="1">
      <c r="L609" s="31"/>
      <c r="M609" s="31"/>
      <c r="N609" s="31"/>
      <c r="R609" s="32"/>
      <c r="X609" s="35"/>
      <c r="Y609" s="102"/>
      <c r="Z609" s="104"/>
      <c r="AA609" s="105"/>
    </row>
    <row r="610" spans="12:27" ht="25" customHeight="1">
      <c r="L610" s="31"/>
      <c r="M610" s="31"/>
      <c r="N610" s="31"/>
      <c r="R610" s="32"/>
      <c r="X610" s="35"/>
      <c r="Y610" s="102"/>
      <c r="Z610" s="104"/>
      <c r="AA610" s="105"/>
    </row>
    <row r="611" spans="12:27" ht="25" customHeight="1">
      <c r="L611" s="31"/>
      <c r="M611" s="31"/>
      <c r="N611" s="31"/>
      <c r="R611" s="32"/>
      <c r="X611" s="35"/>
      <c r="Y611" s="102"/>
      <c r="Z611" s="104"/>
      <c r="AA611" s="105"/>
    </row>
    <row r="612" spans="12:27" ht="25" customHeight="1">
      <c r="L612" s="31"/>
      <c r="M612" s="31"/>
      <c r="N612" s="31"/>
      <c r="R612" s="32"/>
      <c r="X612" s="35"/>
      <c r="Y612" s="102"/>
      <c r="Z612" s="104"/>
      <c r="AA612" s="105"/>
    </row>
    <row r="613" spans="12:27" ht="25" customHeight="1">
      <c r="L613" s="31"/>
      <c r="M613" s="31"/>
      <c r="N613" s="31"/>
      <c r="R613" s="32"/>
      <c r="X613" s="35"/>
      <c r="Y613" s="102"/>
      <c r="Z613" s="104"/>
      <c r="AA613" s="105"/>
    </row>
    <row r="614" spans="12:27" ht="25" customHeight="1">
      <c r="L614" s="31"/>
      <c r="M614" s="31"/>
      <c r="N614" s="31"/>
      <c r="R614" s="32"/>
      <c r="X614" s="35"/>
      <c r="Y614" s="102"/>
      <c r="Z614" s="104"/>
      <c r="AA614" s="105"/>
    </row>
    <row r="615" spans="12:27" ht="25" customHeight="1">
      <c r="L615" s="31"/>
      <c r="M615" s="31"/>
      <c r="N615" s="31"/>
      <c r="R615" s="32"/>
      <c r="X615" s="35"/>
      <c r="Y615" s="102"/>
      <c r="Z615" s="104"/>
      <c r="AA615" s="105"/>
    </row>
    <row r="616" spans="12:27" ht="25" customHeight="1">
      <c r="L616" s="31"/>
      <c r="M616" s="31"/>
      <c r="N616" s="31"/>
      <c r="R616" s="32"/>
      <c r="X616" s="35"/>
      <c r="Y616" s="102"/>
      <c r="Z616" s="104"/>
      <c r="AA616" s="105"/>
    </row>
    <row r="617" spans="12:27" ht="25" customHeight="1">
      <c r="L617" s="31"/>
      <c r="M617" s="31"/>
      <c r="N617" s="31"/>
      <c r="R617" s="32"/>
      <c r="X617" s="35"/>
      <c r="Y617" s="102"/>
      <c r="Z617" s="104"/>
      <c r="AA617" s="105"/>
    </row>
    <row r="618" spans="12:27" ht="25" customHeight="1">
      <c r="L618" s="31"/>
      <c r="M618" s="31"/>
      <c r="N618" s="31"/>
      <c r="R618" s="32"/>
      <c r="X618" s="35"/>
      <c r="Y618" s="102"/>
      <c r="Z618" s="104"/>
      <c r="AA618" s="105"/>
    </row>
    <row r="619" spans="12:27" ht="25" customHeight="1">
      <c r="L619" s="31"/>
      <c r="M619" s="31"/>
      <c r="N619" s="31"/>
      <c r="R619" s="32"/>
      <c r="X619" s="35"/>
      <c r="Y619" s="102"/>
      <c r="Z619" s="104"/>
      <c r="AA619" s="105"/>
    </row>
    <row r="620" spans="12:27" ht="25" customHeight="1">
      <c r="L620" s="31"/>
      <c r="M620" s="31"/>
      <c r="N620" s="31"/>
      <c r="R620" s="32"/>
      <c r="X620" s="35"/>
      <c r="Y620" s="102"/>
      <c r="Z620" s="104"/>
      <c r="AA620" s="105"/>
    </row>
    <row r="621" spans="12:27" ht="25" customHeight="1">
      <c r="L621" s="31"/>
      <c r="M621" s="31"/>
      <c r="N621" s="31"/>
      <c r="R621" s="32"/>
      <c r="X621" s="35"/>
      <c r="Y621" s="102"/>
      <c r="Z621" s="104"/>
      <c r="AA621" s="105"/>
    </row>
    <row r="622" spans="12:27" ht="25" customHeight="1">
      <c r="L622" s="31"/>
      <c r="M622" s="31"/>
      <c r="N622" s="31"/>
      <c r="R622" s="32"/>
      <c r="X622" s="35"/>
      <c r="Y622" s="102"/>
      <c r="Z622" s="104"/>
      <c r="AA622" s="105"/>
    </row>
    <row r="623" spans="12:27" ht="25" customHeight="1">
      <c r="L623" s="31"/>
      <c r="M623" s="31"/>
      <c r="N623" s="31"/>
      <c r="R623" s="32"/>
      <c r="X623" s="35"/>
      <c r="Y623" s="102"/>
      <c r="Z623" s="104"/>
      <c r="AA623" s="105"/>
    </row>
    <row r="624" spans="12:27" ht="25" customHeight="1">
      <c r="L624" s="31"/>
      <c r="M624" s="31"/>
      <c r="N624" s="31"/>
      <c r="R624" s="32"/>
      <c r="X624" s="35"/>
      <c r="Y624" s="102"/>
      <c r="Z624" s="104"/>
      <c r="AA624" s="105"/>
    </row>
    <row r="625" spans="12:27" ht="25" customHeight="1">
      <c r="L625" s="31"/>
      <c r="M625" s="31"/>
      <c r="N625" s="31"/>
      <c r="R625" s="32"/>
      <c r="X625" s="35"/>
      <c r="Y625" s="102"/>
      <c r="Z625" s="104"/>
      <c r="AA625" s="105"/>
    </row>
    <row r="626" spans="12:27" ht="25" customHeight="1">
      <c r="L626" s="31"/>
      <c r="M626" s="31"/>
      <c r="N626" s="31"/>
      <c r="R626" s="32"/>
      <c r="X626" s="35"/>
      <c r="Y626" s="102"/>
      <c r="Z626" s="104"/>
      <c r="AA626" s="105"/>
    </row>
    <row r="627" spans="12:27" ht="25" customHeight="1">
      <c r="L627" s="31"/>
      <c r="M627" s="31"/>
      <c r="N627" s="31"/>
      <c r="R627" s="32"/>
      <c r="X627" s="35"/>
      <c r="Y627" s="102"/>
      <c r="Z627" s="104"/>
      <c r="AA627" s="105"/>
    </row>
    <row r="628" spans="12:27" ht="25" customHeight="1">
      <c r="L628" s="31"/>
      <c r="M628" s="31"/>
      <c r="N628" s="31"/>
      <c r="R628" s="32"/>
      <c r="X628" s="35"/>
      <c r="Y628" s="102"/>
      <c r="Z628" s="104"/>
      <c r="AA628" s="105"/>
    </row>
    <row r="629" spans="12:27" ht="25" customHeight="1">
      <c r="L629" s="31"/>
      <c r="M629" s="31"/>
      <c r="N629" s="31"/>
      <c r="R629" s="32"/>
      <c r="X629" s="35"/>
      <c r="Y629" s="102"/>
      <c r="Z629" s="104"/>
      <c r="AA629" s="105"/>
    </row>
    <row r="630" spans="12:27" ht="25" customHeight="1">
      <c r="L630" s="31"/>
      <c r="M630" s="31"/>
      <c r="N630" s="31"/>
      <c r="R630" s="32"/>
      <c r="X630" s="35"/>
      <c r="Y630" s="102"/>
      <c r="Z630" s="104"/>
      <c r="AA630" s="105"/>
    </row>
    <row r="631" spans="12:27" ht="25" customHeight="1">
      <c r="L631" s="31"/>
      <c r="M631" s="31"/>
      <c r="N631" s="31"/>
      <c r="R631" s="32"/>
      <c r="X631" s="35"/>
      <c r="Y631" s="102"/>
      <c r="Z631" s="104"/>
      <c r="AA631" s="105"/>
    </row>
    <row r="632" spans="12:27" ht="25" customHeight="1">
      <c r="L632" s="31"/>
      <c r="M632" s="31"/>
      <c r="N632" s="31"/>
      <c r="R632" s="32"/>
      <c r="X632" s="35"/>
      <c r="Y632" s="102"/>
      <c r="Z632" s="104"/>
      <c r="AA632" s="105"/>
    </row>
    <row r="633" spans="12:27" ht="25" customHeight="1">
      <c r="L633" s="31"/>
      <c r="M633" s="31"/>
      <c r="N633" s="31"/>
      <c r="R633" s="32"/>
      <c r="X633" s="35"/>
      <c r="Y633" s="102"/>
      <c r="Z633" s="104"/>
      <c r="AA633" s="105"/>
    </row>
    <row r="634" spans="12:27" ht="25" customHeight="1">
      <c r="L634" s="31"/>
      <c r="M634" s="31"/>
      <c r="N634" s="31"/>
      <c r="R634" s="32"/>
      <c r="X634" s="35"/>
      <c r="Y634" s="102"/>
      <c r="Z634" s="104"/>
      <c r="AA634" s="105"/>
    </row>
    <row r="635" spans="12:27" ht="25" customHeight="1">
      <c r="L635" s="31"/>
      <c r="M635" s="31"/>
      <c r="N635" s="31"/>
      <c r="R635" s="32"/>
      <c r="X635" s="35"/>
      <c r="Y635" s="102"/>
      <c r="Z635" s="104"/>
      <c r="AA635" s="105"/>
    </row>
    <row r="636" spans="12:27" ht="25" customHeight="1">
      <c r="L636" s="31"/>
      <c r="M636" s="31"/>
      <c r="N636" s="31"/>
      <c r="R636" s="32"/>
      <c r="X636" s="35"/>
      <c r="Y636" s="102"/>
      <c r="Z636" s="104"/>
      <c r="AA636" s="105"/>
    </row>
    <row r="637" spans="12:27" ht="25" customHeight="1">
      <c r="L637" s="31"/>
      <c r="M637" s="31"/>
      <c r="N637" s="31"/>
      <c r="R637" s="32"/>
      <c r="X637" s="35"/>
      <c r="Y637" s="102"/>
      <c r="Z637" s="104"/>
      <c r="AA637" s="105"/>
    </row>
    <row r="638" spans="12:27" ht="25" customHeight="1">
      <c r="L638" s="31"/>
      <c r="M638" s="31"/>
      <c r="N638" s="31"/>
      <c r="R638" s="32"/>
      <c r="X638" s="35"/>
      <c r="Y638" s="102"/>
      <c r="Z638" s="104"/>
      <c r="AA638" s="105"/>
    </row>
    <row r="639" spans="12:27" ht="25" customHeight="1">
      <c r="L639" s="31"/>
      <c r="M639" s="31"/>
      <c r="N639" s="31"/>
      <c r="R639" s="32"/>
      <c r="X639" s="35"/>
      <c r="Y639" s="102"/>
      <c r="Z639" s="104"/>
      <c r="AA639" s="105"/>
    </row>
    <row r="640" spans="12:27" ht="25" customHeight="1">
      <c r="L640" s="31"/>
      <c r="M640" s="31"/>
      <c r="N640" s="31"/>
      <c r="R640" s="32"/>
      <c r="X640" s="35"/>
      <c r="Y640" s="102"/>
      <c r="Z640" s="104"/>
      <c r="AA640" s="105"/>
    </row>
    <row r="641" spans="12:27" ht="25" customHeight="1">
      <c r="L641" s="31"/>
      <c r="M641" s="31"/>
      <c r="N641" s="31"/>
      <c r="R641" s="32"/>
      <c r="X641" s="35"/>
      <c r="Y641" s="102"/>
      <c r="Z641" s="104"/>
      <c r="AA641" s="105"/>
    </row>
    <row r="642" spans="12:27" ht="25" customHeight="1">
      <c r="L642" s="31"/>
      <c r="M642" s="31"/>
      <c r="N642" s="31"/>
      <c r="R642" s="32"/>
      <c r="X642" s="35"/>
      <c r="Y642" s="102"/>
      <c r="Z642" s="104"/>
      <c r="AA642" s="105"/>
    </row>
    <row r="643" spans="12:27" ht="25" customHeight="1">
      <c r="L643" s="31"/>
      <c r="M643" s="31"/>
      <c r="N643" s="31"/>
      <c r="R643" s="32"/>
      <c r="X643" s="35"/>
      <c r="Y643" s="102"/>
      <c r="Z643" s="104"/>
      <c r="AA643" s="105"/>
    </row>
    <row r="644" spans="12:27" ht="25" customHeight="1">
      <c r="L644" s="31"/>
      <c r="M644" s="31"/>
      <c r="N644" s="31"/>
      <c r="R644" s="32"/>
      <c r="X644" s="35"/>
      <c r="Y644" s="102"/>
      <c r="Z644" s="104"/>
      <c r="AA644" s="105"/>
    </row>
    <row r="645" spans="12:27" ht="25" customHeight="1">
      <c r="L645" s="31"/>
      <c r="M645" s="31"/>
      <c r="N645" s="31"/>
      <c r="R645" s="32"/>
      <c r="X645" s="35"/>
      <c r="Y645" s="102"/>
      <c r="Z645" s="104"/>
      <c r="AA645" s="105"/>
    </row>
    <row r="646" spans="12:27" ht="25" customHeight="1">
      <c r="L646" s="31"/>
      <c r="M646" s="31"/>
      <c r="N646" s="31"/>
      <c r="R646" s="32"/>
      <c r="X646" s="35"/>
      <c r="Y646" s="102"/>
      <c r="Z646" s="104"/>
      <c r="AA646" s="105"/>
    </row>
    <row r="647" spans="12:27" ht="25" customHeight="1">
      <c r="L647" s="31"/>
      <c r="M647" s="31"/>
      <c r="N647" s="31"/>
      <c r="R647" s="32"/>
      <c r="X647" s="35"/>
      <c r="Y647" s="102"/>
      <c r="Z647" s="104"/>
      <c r="AA647" s="105"/>
    </row>
    <row r="648" spans="12:27" ht="25" customHeight="1">
      <c r="L648" s="31"/>
      <c r="M648" s="31"/>
      <c r="N648" s="31"/>
      <c r="R648" s="32"/>
      <c r="X648" s="35"/>
      <c r="Y648" s="102"/>
      <c r="Z648" s="104"/>
      <c r="AA648" s="105"/>
    </row>
    <row r="649" spans="12:27" ht="25" customHeight="1">
      <c r="L649" s="31"/>
      <c r="M649" s="31"/>
      <c r="N649" s="31"/>
      <c r="R649" s="32"/>
      <c r="X649" s="35"/>
      <c r="Y649" s="102"/>
      <c r="Z649" s="104"/>
      <c r="AA649" s="105"/>
    </row>
    <row r="650" spans="12:27" ht="25" customHeight="1">
      <c r="L650" s="31"/>
      <c r="M650" s="31"/>
      <c r="N650" s="31"/>
      <c r="R650" s="32"/>
      <c r="X650" s="35"/>
      <c r="Y650" s="102"/>
      <c r="Z650" s="104"/>
      <c r="AA650" s="105"/>
    </row>
    <row r="651" spans="12:27" ht="25" customHeight="1">
      <c r="L651" s="31"/>
      <c r="M651" s="31"/>
      <c r="N651" s="31"/>
      <c r="R651" s="32"/>
      <c r="X651" s="35"/>
      <c r="Y651" s="102"/>
      <c r="Z651" s="104"/>
      <c r="AA651" s="105"/>
    </row>
    <row r="652" spans="12:27" ht="25" customHeight="1">
      <c r="L652" s="31"/>
      <c r="M652" s="31"/>
      <c r="N652" s="31"/>
      <c r="R652" s="32"/>
      <c r="X652" s="35"/>
      <c r="Y652" s="102"/>
      <c r="Z652" s="104"/>
      <c r="AA652" s="105"/>
    </row>
    <row r="653" spans="12:27" ht="25" customHeight="1">
      <c r="L653" s="31"/>
      <c r="M653" s="31"/>
      <c r="N653" s="31"/>
      <c r="R653" s="32"/>
      <c r="X653" s="35"/>
      <c r="Y653" s="102"/>
      <c r="Z653" s="104"/>
      <c r="AA653" s="105"/>
    </row>
    <row r="654" spans="12:27" ht="25" customHeight="1">
      <c r="L654" s="31"/>
      <c r="M654" s="31"/>
      <c r="N654" s="31"/>
      <c r="R654" s="32"/>
      <c r="X654" s="35"/>
      <c r="Y654" s="102"/>
      <c r="Z654" s="104"/>
      <c r="AA654" s="105"/>
    </row>
    <row r="655" spans="12:27" ht="25" customHeight="1">
      <c r="L655" s="31"/>
      <c r="M655" s="31"/>
      <c r="N655" s="31"/>
      <c r="R655" s="32"/>
      <c r="X655" s="35"/>
      <c r="Y655" s="102"/>
      <c r="Z655" s="104"/>
      <c r="AA655" s="105"/>
    </row>
    <row r="656" spans="12:27" ht="25" customHeight="1">
      <c r="L656" s="31"/>
      <c r="M656" s="31"/>
      <c r="N656" s="31"/>
      <c r="R656" s="32"/>
      <c r="X656" s="35"/>
      <c r="Y656" s="102"/>
      <c r="Z656" s="104"/>
      <c r="AA656" s="105"/>
    </row>
    <row r="657" spans="12:27" ht="25" customHeight="1">
      <c r="L657" s="31"/>
      <c r="M657" s="31"/>
      <c r="N657" s="31"/>
      <c r="R657" s="32"/>
      <c r="X657" s="35"/>
      <c r="Y657" s="102"/>
      <c r="Z657" s="104"/>
      <c r="AA657" s="105"/>
    </row>
    <row r="658" spans="12:27" ht="25" customHeight="1">
      <c r="L658" s="31"/>
      <c r="M658" s="31"/>
      <c r="N658" s="31"/>
      <c r="R658" s="32"/>
      <c r="X658" s="35"/>
      <c r="Y658" s="102"/>
      <c r="Z658" s="104"/>
      <c r="AA658" s="105"/>
    </row>
    <row r="659" spans="12:27" ht="25" customHeight="1">
      <c r="L659" s="31"/>
      <c r="M659" s="31"/>
      <c r="N659" s="31"/>
      <c r="R659" s="32"/>
      <c r="X659" s="35"/>
      <c r="Y659" s="102"/>
      <c r="Z659" s="104"/>
      <c r="AA659" s="105"/>
    </row>
    <row r="660" spans="12:27" ht="25" customHeight="1">
      <c r="L660" s="31"/>
      <c r="M660" s="31"/>
      <c r="N660" s="31"/>
      <c r="R660" s="32"/>
      <c r="X660" s="35"/>
      <c r="Y660" s="102"/>
      <c r="Z660" s="104"/>
      <c r="AA660" s="105"/>
    </row>
    <row r="661" spans="12:27" ht="25" customHeight="1">
      <c r="L661" s="31"/>
      <c r="M661" s="31"/>
      <c r="N661" s="31"/>
      <c r="R661" s="32"/>
      <c r="X661" s="35"/>
      <c r="Y661" s="102"/>
      <c r="Z661" s="104"/>
      <c r="AA661" s="105"/>
    </row>
    <row r="662" spans="12:27" ht="25" customHeight="1">
      <c r="L662" s="31"/>
      <c r="M662" s="31"/>
      <c r="N662" s="31"/>
      <c r="R662" s="32"/>
      <c r="X662" s="35"/>
      <c r="Y662" s="102"/>
      <c r="Z662" s="104"/>
      <c r="AA662" s="105"/>
    </row>
    <row r="663" spans="12:27" ht="25" customHeight="1">
      <c r="L663" s="31"/>
      <c r="M663" s="31"/>
      <c r="N663" s="31"/>
      <c r="R663" s="32"/>
      <c r="X663" s="35"/>
      <c r="Y663" s="102"/>
      <c r="Z663" s="104"/>
      <c r="AA663" s="105"/>
    </row>
    <row r="664" spans="12:27" ht="25" customHeight="1">
      <c r="L664" s="31"/>
      <c r="M664" s="31"/>
      <c r="N664" s="31"/>
      <c r="R664" s="32"/>
      <c r="X664" s="35"/>
      <c r="Y664" s="102"/>
      <c r="Z664" s="104"/>
      <c r="AA664" s="105"/>
    </row>
    <row r="665" spans="12:27" ht="25" customHeight="1">
      <c r="L665" s="31"/>
      <c r="M665" s="31"/>
      <c r="N665" s="31"/>
      <c r="R665" s="32"/>
      <c r="X665" s="35"/>
      <c r="Y665" s="102"/>
      <c r="Z665" s="104"/>
      <c r="AA665" s="105"/>
    </row>
    <row r="666" spans="12:27" ht="25" customHeight="1">
      <c r="L666" s="31"/>
      <c r="M666" s="31"/>
      <c r="N666" s="31"/>
      <c r="R666" s="32"/>
      <c r="X666" s="35"/>
      <c r="Y666" s="102"/>
      <c r="Z666" s="104"/>
      <c r="AA666" s="105"/>
    </row>
    <row r="667" spans="12:27" ht="25" customHeight="1">
      <c r="L667" s="31"/>
      <c r="M667" s="31"/>
      <c r="N667" s="31"/>
      <c r="R667" s="32"/>
      <c r="X667" s="35"/>
      <c r="Y667" s="102"/>
      <c r="Z667" s="104"/>
      <c r="AA667" s="105"/>
    </row>
    <row r="668" spans="12:27" ht="25" customHeight="1">
      <c r="L668" s="31"/>
      <c r="M668" s="31"/>
      <c r="N668" s="31"/>
      <c r="R668" s="32"/>
      <c r="X668" s="35"/>
      <c r="Y668" s="102"/>
      <c r="Z668" s="104"/>
      <c r="AA668" s="105"/>
    </row>
    <row r="669" spans="12:27" ht="25" customHeight="1">
      <c r="L669" s="31"/>
      <c r="M669" s="31"/>
      <c r="N669" s="31"/>
      <c r="R669" s="32"/>
      <c r="X669" s="35"/>
      <c r="Y669" s="102"/>
      <c r="Z669" s="104"/>
      <c r="AA669" s="105"/>
    </row>
    <row r="670" spans="12:27" ht="25" customHeight="1">
      <c r="L670" s="31"/>
      <c r="M670" s="31"/>
      <c r="N670" s="31"/>
      <c r="R670" s="32"/>
      <c r="X670" s="35"/>
      <c r="Y670" s="102"/>
      <c r="Z670" s="104"/>
      <c r="AA670" s="105"/>
    </row>
    <row r="671" spans="12:27" ht="25" customHeight="1">
      <c r="L671" s="31"/>
      <c r="M671" s="31"/>
      <c r="N671" s="31"/>
      <c r="R671" s="32"/>
      <c r="X671" s="35"/>
      <c r="Y671" s="102"/>
      <c r="Z671" s="104"/>
      <c r="AA671" s="105"/>
    </row>
    <row r="672" spans="12:27" ht="25" customHeight="1">
      <c r="L672" s="31"/>
      <c r="M672" s="31"/>
      <c r="N672" s="31"/>
      <c r="R672" s="32"/>
      <c r="X672" s="35"/>
      <c r="Y672" s="102"/>
      <c r="Z672" s="104"/>
      <c r="AA672" s="105"/>
    </row>
    <row r="673" spans="12:27" ht="25" customHeight="1">
      <c r="L673" s="31"/>
      <c r="M673" s="31"/>
      <c r="N673" s="31"/>
      <c r="R673" s="32"/>
      <c r="X673" s="35"/>
      <c r="Y673" s="102"/>
      <c r="Z673" s="104"/>
      <c r="AA673" s="105"/>
    </row>
    <row r="674" spans="12:27" ht="25" customHeight="1">
      <c r="L674" s="31"/>
      <c r="M674" s="31"/>
      <c r="N674" s="31"/>
      <c r="R674" s="32"/>
      <c r="X674" s="35"/>
      <c r="Y674" s="102"/>
      <c r="Z674" s="104"/>
      <c r="AA674" s="105"/>
    </row>
    <row r="675" spans="12:27" ht="25" customHeight="1">
      <c r="L675" s="31"/>
      <c r="M675" s="31"/>
      <c r="N675" s="31"/>
      <c r="R675" s="32"/>
      <c r="X675" s="35"/>
      <c r="Y675" s="102"/>
      <c r="Z675" s="104"/>
      <c r="AA675" s="105"/>
    </row>
    <row r="676" spans="12:27" ht="25" customHeight="1">
      <c r="L676" s="31"/>
      <c r="M676" s="31"/>
      <c r="N676" s="31"/>
      <c r="R676" s="32"/>
      <c r="X676" s="35"/>
      <c r="Y676" s="102"/>
      <c r="Z676" s="104"/>
      <c r="AA676" s="105"/>
    </row>
    <row r="677" spans="12:27" ht="25" customHeight="1">
      <c r="L677" s="31"/>
      <c r="M677" s="31"/>
      <c r="N677" s="31"/>
      <c r="R677" s="32"/>
      <c r="X677" s="35"/>
      <c r="Y677" s="102"/>
      <c r="Z677" s="104"/>
      <c r="AA677" s="105"/>
    </row>
    <row r="678" spans="12:27" ht="25" customHeight="1">
      <c r="L678" s="31"/>
      <c r="M678" s="31"/>
      <c r="N678" s="31"/>
      <c r="R678" s="32"/>
      <c r="X678" s="35"/>
      <c r="Y678" s="102"/>
      <c r="Z678" s="104"/>
      <c r="AA678" s="105"/>
    </row>
    <row r="679" spans="12:27" ht="25" customHeight="1">
      <c r="L679" s="31"/>
      <c r="M679" s="31"/>
      <c r="N679" s="31"/>
      <c r="R679" s="32"/>
      <c r="X679" s="35"/>
      <c r="Y679" s="102"/>
      <c r="Z679" s="104"/>
      <c r="AA679" s="105"/>
    </row>
    <row r="680" spans="12:27" ht="25" customHeight="1">
      <c r="L680" s="31"/>
      <c r="M680" s="31"/>
      <c r="N680" s="31"/>
      <c r="R680" s="32"/>
      <c r="X680" s="35"/>
      <c r="Y680" s="102"/>
      <c r="Z680" s="104"/>
      <c r="AA680" s="105"/>
    </row>
    <row r="681" spans="12:27" ht="25" customHeight="1">
      <c r="L681" s="31"/>
      <c r="M681" s="31"/>
      <c r="N681" s="31"/>
      <c r="R681" s="32"/>
      <c r="X681" s="35"/>
      <c r="Y681" s="102"/>
      <c r="Z681" s="104"/>
      <c r="AA681" s="105"/>
    </row>
    <row r="682" spans="12:27" ht="25" customHeight="1">
      <c r="L682" s="31"/>
      <c r="M682" s="31"/>
      <c r="N682" s="31"/>
      <c r="R682" s="32"/>
      <c r="X682" s="35"/>
      <c r="Y682" s="102"/>
      <c r="Z682" s="104"/>
      <c r="AA682" s="105"/>
    </row>
    <row r="683" spans="12:27" ht="25" customHeight="1">
      <c r="L683" s="31"/>
      <c r="M683" s="31"/>
      <c r="N683" s="31"/>
      <c r="R683" s="32"/>
      <c r="X683" s="35"/>
      <c r="Y683" s="102"/>
      <c r="Z683" s="104"/>
      <c r="AA683" s="105"/>
    </row>
    <row r="684" spans="12:27" ht="25" customHeight="1">
      <c r="L684" s="31"/>
      <c r="M684" s="31"/>
      <c r="N684" s="31"/>
      <c r="R684" s="32"/>
      <c r="X684" s="35"/>
      <c r="Y684" s="102"/>
      <c r="Z684" s="104"/>
      <c r="AA684" s="105"/>
    </row>
    <row r="685" spans="12:27" ht="25" customHeight="1">
      <c r="L685" s="31"/>
      <c r="M685" s="31"/>
      <c r="N685" s="31"/>
      <c r="R685" s="32"/>
      <c r="X685" s="35"/>
      <c r="Y685" s="102"/>
      <c r="Z685" s="104"/>
      <c r="AA685" s="105"/>
    </row>
    <row r="686" spans="12:27" ht="25" customHeight="1">
      <c r="L686" s="31"/>
      <c r="M686" s="31"/>
      <c r="N686" s="31"/>
      <c r="R686" s="32"/>
      <c r="X686" s="35"/>
      <c r="Y686" s="102"/>
      <c r="Z686" s="104"/>
      <c r="AA686" s="105"/>
    </row>
    <row r="687" spans="12:27" ht="25" customHeight="1">
      <c r="L687" s="31"/>
      <c r="M687" s="31"/>
      <c r="N687" s="31"/>
      <c r="R687" s="32"/>
      <c r="X687" s="35"/>
      <c r="Y687" s="102"/>
      <c r="Z687" s="104"/>
      <c r="AA687" s="105"/>
    </row>
    <row r="688" spans="12:27" ht="25" customHeight="1">
      <c r="L688" s="31"/>
      <c r="M688" s="31"/>
      <c r="N688" s="31"/>
      <c r="R688" s="32"/>
      <c r="X688" s="35"/>
      <c r="Y688" s="102"/>
      <c r="Z688" s="104"/>
      <c r="AA688" s="105"/>
    </row>
    <row r="689" spans="12:27" ht="25" customHeight="1">
      <c r="L689" s="31"/>
      <c r="M689" s="31"/>
      <c r="N689" s="31"/>
      <c r="R689" s="32"/>
      <c r="X689" s="35"/>
      <c r="Y689" s="102"/>
      <c r="Z689" s="104"/>
      <c r="AA689" s="105"/>
    </row>
    <row r="690" spans="12:27" ht="25" customHeight="1">
      <c r="L690" s="31"/>
      <c r="M690" s="31"/>
      <c r="N690" s="31"/>
      <c r="R690" s="32"/>
      <c r="X690" s="35"/>
      <c r="Y690" s="102"/>
      <c r="Z690" s="104"/>
      <c r="AA690" s="105"/>
    </row>
    <row r="691" spans="12:27" ht="25" customHeight="1">
      <c r="L691" s="31"/>
      <c r="M691" s="31"/>
      <c r="N691" s="31"/>
      <c r="R691" s="32"/>
      <c r="X691" s="35"/>
      <c r="Y691" s="102"/>
      <c r="Z691" s="104"/>
      <c r="AA691" s="105"/>
    </row>
    <row r="692" spans="12:27" ht="25" customHeight="1">
      <c r="L692" s="31"/>
      <c r="M692" s="31"/>
      <c r="N692" s="31"/>
      <c r="R692" s="32"/>
      <c r="X692" s="35"/>
      <c r="Y692" s="102"/>
      <c r="Z692" s="104"/>
      <c r="AA692" s="105"/>
    </row>
    <row r="693" spans="12:27" ht="25" customHeight="1">
      <c r="L693" s="31"/>
      <c r="M693" s="31"/>
      <c r="N693" s="31"/>
      <c r="R693" s="32"/>
      <c r="X693" s="35"/>
      <c r="Y693" s="102"/>
      <c r="Z693" s="104"/>
      <c r="AA693" s="105"/>
    </row>
    <row r="694" spans="12:27" ht="25" customHeight="1">
      <c r="L694" s="31"/>
      <c r="M694" s="31"/>
      <c r="N694" s="31"/>
      <c r="R694" s="32"/>
      <c r="X694" s="35"/>
      <c r="Y694" s="102"/>
      <c r="Z694" s="104"/>
      <c r="AA694" s="105"/>
    </row>
    <row r="695" spans="12:27" ht="25" customHeight="1">
      <c r="L695" s="31"/>
      <c r="M695" s="31"/>
      <c r="N695" s="31"/>
      <c r="R695" s="32"/>
      <c r="X695" s="35"/>
      <c r="Y695" s="102"/>
      <c r="Z695" s="104"/>
      <c r="AA695" s="105"/>
    </row>
    <row r="696" spans="12:27" ht="25" customHeight="1">
      <c r="L696" s="31"/>
      <c r="M696" s="31"/>
      <c r="N696" s="31"/>
      <c r="R696" s="32"/>
      <c r="X696" s="35"/>
      <c r="Y696" s="102"/>
      <c r="Z696" s="104"/>
      <c r="AA696" s="105"/>
    </row>
    <row r="697" spans="12:27" ht="25" customHeight="1">
      <c r="L697" s="31"/>
      <c r="M697" s="31"/>
      <c r="N697" s="31"/>
      <c r="R697" s="32"/>
      <c r="X697" s="35"/>
      <c r="Y697" s="102"/>
      <c r="Z697" s="104"/>
      <c r="AA697" s="105"/>
    </row>
    <row r="698" spans="12:27" ht="25" customHeight="1">
      <c r="L698" s="31"/>
      <c r="M698" s="31"/>
      <c r="N698" s="31"/>
      <c r="R698" s="32"/>
      <c r="X698" s="35"/>
      <c r="Y698" s="102"/>
      <c r="Z698" s="104"/>
      <c r="AA698" s="105"/>
    </row>
    <row r="699" spans="12:27" ht="25" customHeight="1">
      <c r="L699" s="31"/>
      <c r="M699" s="31"/>
      <c r="N699" s="31"/>
      <c r="R699" s="32"/>
      <c r="X699" s="35"/>
      <c r="Y699" s="102"/>
      <c r="Z699" s="104"/>
      <c r="AA699" s="105"/>
    </row>
    <row r="700" spans="12:27" ht="25" customHeight="1">
      <c r="L700" s="31"/>
      <c r="M700" s="31"/>
      <c r="N700" s="31"/>
      <c r="R700" s="32"/>
      <c r="X700" s="35"/>
      <c r="Y700" s="102"/>
      <c r="Z700" s="104"/>
      <c r="AA700" s="105"/>
    </row>
    <row r="701" spans="12:27" ht="25" customHeight="1">
      <c r="L701" s="31"/>
      <c r="M701" s="31"/>
      <c r="N701" s="31"/>
      <c r="R701" s="32"/>
      <c r="X701" s="35"/>
      <c r="Y701" s="102"/>
      <c r="Z701" s="104"/>
      <c r="AA701" s="105"/>
    </row>
    <row r="702" spans="12:27" ht="25" customHeight="1">
      <c r="L702" s="31"/>
      <c r="M702" s="31"/>
      <c r="N702" s="31"/>
      <c r="R702" s="32"/>
      <c r="X702" s="35"/>
      <c r="Y702" s="102"/>
      <c r="Z702" s="104"/>
      <c r="AA702" s="105"/>
    </row>
    <row r="703" spans="12:27" ht="25" customHeight="1">
      <c r="L703" s="31"/>
      <c r="M703" s="31"/>
      <c r="N703" s="31"/>
      <c r="R703" s="32"/>
      <c r="X703" s="35"/>
      <c r="Y703" s="102"/>
      <c r="Z703" s="104"/>
      <c r="AA703" s="105"/>
    </row>
    <row r="704" spans="12:27" ht="25" customHeight="1">
      <c r="L704" s="31"/>
      <c r="M704" s="31"/>
      <c r="N704" s="31"/>
      <c r="R704" s="32"/>
      <c r="X704" s="35"/>
      <c r="Y704" s="102"/>
      <c r="Z704" s="104"/>
      <c r="AA704" s="105"/>
    </row>
    <row r="705" spans="12:27" ht="25" customHeight="1">
      <c r="L705" s="31"/>
      <c r="M705" s="31"/>
      <c r="N705" s="31"/>
      <c r="R705" s="32"/>
      <c r="X705" s="35"/>
      <c r="Y705" s="102"/>
      <c r="Z705" s="104"/>
      <c r="AA705" s="105"/>
    </row>
    <row r="706" spans="12:27" ht="25" customHeight="1">
      <c r="L706" s="31"/>
      <c r="M706" s="31"/>
      <c r="N706" s="31"/>
      <c r="R706" s="32"/>
      <c r="X706" s="35"/>
      <c r="Y706" s="102"/>
      <c r="Z706" s="104"/>
      <c r="AA706" s="105"/>
    </row>
    <row r="707" spans="12:27" ht="25" customHeight="1">
      <c r="L707" s="31"/>
      <c r="M707" s="31"/>
      <c r="N707" s="31"/>
      <c r="R707" s="32"/>
      <c r="X707" s="35"/>
      <c r="Y707" s="102"/>
      <c r="Z707" s="104"/>
      <c r="AA707" s="105"/>
    </row>
    <row r="708" spans="12:27" ht="25" customHeight="1">
      <c r="L708" s="31"/>
      <c r="M708" s="31"/>
      <c r="N708" s="31"/>
      <c r="R708" s="32"/>
      <c r="X708" s="35"/>
      <c r="Y708" s="102"/>
      <c r="Z708" s="104"/>
      <c r="AA708" s="105"/>
    </row>
    <row r="709" spans="12:27" ht="25" customHeight="1">
      <c r="L709" s="31"/>
      <c r="M709" s="31"/>
      <c r="N709" s="31"/>
      <c r="R709" s="32"/>
      <c r="X709" s="35"/>
      <c r="Y709" s="102"/>
      <c r="Z709" s="104"/>
      <c r="AA709" s="105"/>
    </row>
    <row r="710" spans="12:27" ht="25" customHeight="1">
      <c r="L710" s="31"/>
      <c r="M710" s="31"/>
      <c r="N710" s="31"/>
      <c r="R710" s="32"/>
      <c r="X710" s="35"/>
      <c r="Y710" s="102"/>
      <c r="Z710" s="104"/>
      <c r="AA710" s="105"/>
    </row>
    <row r="711" spans="12:27" ht="25" customHeight="1">
      <c r="L711" s="31"/>
      <c r="M711" s="31"/>
      <c r="N711" s="31"/>
      <c r="R711" s="32"/>
      <c r="X711" s="35"/>
      <c r="Y711" s="102"/>
      <c r="Z711" s="104"/>
      <c r="AA711" s="105"/>
    </row>
    <row r="712" spans="12:27" ht="25" customHeight="1">
      <c r="L712" s="31"/>
      <c r="M712" s="31"/>
      <c r="N712" s="31"/>
      <c r="R712" s="32"/>
      <c r="X712" s="35"/>
      <c r="Y712" s="102"/>
      <c r="Z712" s="104"/>
      <c r="AA712" s="105"/>
    </row>
    <row r="713" spans="12:27" ht="25" customHeight="1">
      <c r="L713" s="31"/>
      <c r="M713" s="31"/>
      <c r="N713" s="31"/>
      <c r="R713" s="32"/>
      <c r="X713" s="35"/>
      <c r="Y713" s="102"/>
      <c r="Z713" s="104"/>
      <c r="AA713" s="105"/>
    </row>
    <row r="714" spans="12:27" ht="25" customHeight="1">
      <c r="L714" s="31"/>
      <c r="M714" s="31"/>
      <c r="N714" s="31"/>
      <c r="R714" s="32"/>
      <c r="X714" s="35"/>
      <c r="Y714" s="102"/>
      <c r="Z714" s="104"/>
      <c r="AA714" s="105"/>
    </row>
    <row r="715" spans="12:27" ht="25" customHeight="1">
      <c r="L715" s="31"/>
      <c r="M715" s="31"/>
      <c r="N715" s="31"/>
      <c r="R715" s="32"/>
      <c r="X715" s="35"/>
      <c r="Y715" s="102"/>
      <c r="Z715" s="104"/>
      <c r="AA715" s="105"/>
    </row>
    <row r="716" spans="12:27" ht="25" customHeight="1">
      <c r="L716" s="31"/>
      <c r="M716" s="31"/>
      <c r="N716" s="31"/>
      <c r="R716" s="32"/>
      <c r="X716" s="35"/>
      <c r="Y716" s="102"/>
      <c r="Z716" s="104"/>
      <c r="AA716" s="105"/>
    </row>
    <row r="717" spans="12:27" ht="25" customHeight="1">
      <c r="L717" s="31"/>
      <c r="M717" s="31"/>
      <c r="N717" s="31"/>
      <c r="R717" s="32"/>
      <c r="X717" s="35"/>
      <c r="Y717" s="102"/>
      <c r="Z717" s="104"/>
      <c r="AA717" s="105"/>
    </row>
    <row r="718" spans="12:27" ht="25" customHeight="1">
      <c r="L718" s="31"/>
      <c r="M718" s="31"/>
      <c r="N718" s="31"/>
      <c r="R718" s="32"/>
      <c r="X718" s="35"/>
      <c r="Y718" s="102"/>
      <c r="Z718" s="104"/>
      <c r="AA718" s="105"/>
    </row>
    <row r="719" spans="12:27" ht="25" customHeight="1">
      <c r="L719" s="31"/>
      <c r="M719" s="31"/>
      <c r="N719" s="31"/>
      <c r="R719" s="32"/>
      <c r="X719" s="35"/>
      <c r="Y719" s="102"/>
      <c r="Z719" s="104"/>
      <c r="AA719" s="105"/>
    </row>
    <row r="720" spans="12:27" ht="25" customHeight="1">
      <c r="L720" s="31"/>
      <c r="M720" s="31"/>
      <c r="N720" s="31"/>
      <c r="R720" s="32"/>
      <c r="X720" s="35"/>
      <c r="Y720" s="102"/>
      <c r="Z720" s="104"/>
      <c r="AA720" s="105"/>
    </row>
    <row r="721" spans="12:27" ht="25" customHeight="1">
      <c r="L721" s="31"/>
      <c r="M721" s="31"/>
      <c r="N721" s="31"/>
      <c r="R721" s="32"/>
      <c r="X721" s="35"/>
      <c r="Y721" s="102"/>
      <c r="Z721" s="104"/>
      <c r="AA721" s="105"/>
    </row>
    <row r="722" spans="12:27" ht="25" customHeight="1">
      <c r="L722" s="31"/>
      <c r="M722" s="31"/>
      <c r="N722" s="31"/>
      <c r="R722" s="32"/>
      <c r="X722" s="35"/>
      <c r="Y722" s="102"/>
      <c r="Z722" s="104"/>
      <c r="AA722" s="105"/>
    </row>
    <row r="723" spans="12:27" ht="25" customHeight="1">
      <c r="L723" s="31"/>
      <c r="M723" s="31"/>
      <c r="N723" s="31"/>
      <c r="R723" s="32"/>
      <c r="X723" s="35"/>
      <c r="Y723" s="102"/>
      <c r="Z723" s="104"/>
      <c r="AA723" s="105"/>
    </row>
    <row r="724" spans="12:27" ht="25" customHeight="1">
      <c r="L724" s="31"/>
      <c r="M724" s="31"/>
      <c r="N724" s="31"/>
      <c r="R724" s="32"/>
      <c r="X724" s="35"/>
      <c r="Y724" s="102"/>
      <c r="Z724" s="104"/>
      <c r="AA724" s="105"/>
    </row>
    <row r="725" spans="12:27" ht="25" customHeight="1">
      <c r="L725" s="31"/>
      <c r="M725" s="31"/>
      <c r="N725" s="31"/>
      <c r="R725" s="32"/>
      <c r="X725" s="35"/>
      <c r="Y725" s="102"/>
      <c r="Z725" s="104"/>
      <c r="AA725" s="105"/>
    </row>
    <row r="726" spans="12:27" ht="25" customHeight="1">
      <c r="L726" s="31"/>
      <c r="M726" s="31"/>
      <c r="N726" s="31"/>
      <c r="R726" s="32"/>
      <c r="X726" s="35"/>
      <c r="Y726" s="102"/>
      <c r="Z726" s="104"/>
      <c r="AA726" s="105"/>
    </row>
    <row r="727" spans="12:27" ht="25" customHeight="1">
      <c r="L727" s="31"/>
      <c r="M727" s="31"/>
      <c r="N727" s="31"/>
      <c r="R727" s="32"/>
      <c r="X727" s="35"/>
      <c r="Y727" s="102"/>
      <c r="Z727" s="104"/>
      <c r="AA727" s="105"/>
    </row>
    <row r="728" spans="12:27" ht="25" customHeight="1">
      <c r="L728" s="31"/>
      <c r="M728" s="31"/>
      <c r="N728" s="31"/>
      <c r="R728" s="32"/>
      <c r="X728" s="35"/>
      <c r="Y728" s="102"/>
      <c r="Z728" s="104"/>
      <c r="AA728" s="105"/>
    </row>
    <row r="729" spans="12:27" ht="25" customHeight="1">
      <c r="L729" s="31"/>
      <c r="M729" s="31"/>
      <c r="N729" s="31"/>
      <c r="R729" s="32"/>
      <c r="X729" s="35"/>
      <c r="Y729" s="102"/>
      <c r="Z729" s="104"/>
      <c r="AA729" s="105"/>
    </row>
    <row r="730" spans="12:27" ht="25" customHeight="1">
      <c r="L730" s="31"/>
      <c r="M730" s="31"/>
      <c r="N730" s="31"/>
      <c r="R730" s="32"/>
      <c r="X730" s="35"/>
      <c r="Y730" s="102"/>
      <c r="Z730" s="104"/>
      <c r="AA730" s="105"/>
    </row>
    <row r="731" spans="12:27" ht="25" customHeight="1">
      <c r="L731" s="31"/>
      <c r="M731" s="31"/>
      <c r="N731" s="31"/>
      <c r="R731" s="32"/>
      <c r="X731" s="35"/>
      <c r="Y731" s="102"/>
      <c r="Z731" s="104"/>
      <c r="AA731" s="105"/>
    </row>
    <row r="732" spans="12:27" ht="25" customHeight="1">
      <c r="L732" s="31"/>
      <c r="M732" s="31"/>
      <c r="N732" s="31"/>
      <c r="R732" s="32"/>
      <c r="X732" s="35"/>
      <c r="Y732" s="102"/>
      <c r="Z732" s="104"/>
      <c r="AA732" s="105"/>
    </row>
    <row r="733" spans="12:27" ht="25" customHeight="1">
      <c r="L733" s="31"/>
      <c r="M733" s="31"/>
      <c r="N733" s="31"/>
      <c r="R733" s="32"/>
      <c r="X733" s="35"/>
      <c r="Y733" s="102"/>
      <c r="Z733" s="104"/>
      <c r="AA733" s="105"/>
    </row>
    <row r="734" spans="12:27" ht="25" customHeight="1">
      <c r="L734" s="31"/>
      <c r="M734" s="31"/>
      <c r="N734" s="31"/>
      <c r="R734" s="32"/>
      <c r="X734" s="35"/>
      <c r="Y734" s="102"/>
      <c r="Z734" s="104"/>
      <c r="AA734" s="105"/>
    </row>
    <row r="735" spans="12:27" ht="25" customHeight="1">
      <c r="L735" s="31"/>
      <c r="M735" s="31"/>
      <c r="N735" s="31"/>
      <c r="R735" s="32"/>
      <c r="X735" s="35"/>
      <c r="Y735" s="102"/>
      <c r="Z735" s="104"/>
      <c r="AA735" s="105"/>
    </row>
    <row r="736" spans="12:27" ht="25" customHeight="1">
      <c r="L736" s="31"/>
      <c r="M736" s="31"/>
      <c r="N736" s="31"/>
      <c r="R736" s="32"/>
      <c r="X736" s="35"/>
      <c r="Y736" s="102"/>
      <c r="Z736" s="104"/>
      <c r="AA736" s="105"/>
    </row>
    <row r="737" spans="12:27" ht="25" customHeight="1">
      <c r="L737" s="31"/>
      <c r="M737" s="31"/>
      <c r="N737" s="31"/>
      <c r="R737" s="32"/>
      <c r="X737" s="35"/>
      <c r="Y737" s="102"/>
      <c r="Z737" s="104"/>
      <c r="AA737" s="105"/>
    </row>
    <row r="738" spans="12:27" ht="25" customHeight="1">
      <c r="L738" s="31"/>
      <c r="M738" s="31"/>
      <c r="N738" s="31"/>
      <c r="R738" s="32"/>
      <c r="X738" s="35"/>
      <c r="Y738" s="102"/>
      <c r="Z738" s="104"/>
      <c r="AA738" s="105"/>
    </row>
    <row r="739" spans="12:27" ht="25" customHeight="1">
      <c r="L739" s="31"/>
      <c r="M739" s="31"/>
      <c r="N739" s="31"/>
      <c r="R739" s="32"/>
      <c r="X739" s="35"/>
      <c r="Y739" s="102"/>
      <c r="Z739" s="104"/>
      <c r="AA739" s="105"/>
    </row>
    <row r="740" spans="12:27" ht="25" customHeight="1">
      <c r="L740" s="31"/>
      <c r="M740" s="31"/>
      <c r="N740" s="31"/>
      <c r="R740" s="32"/>
      <c r="X740" s="35"/>
      <c r="Y740" s="102"/>
      <c r="Z740" s="104"/>
      <c r="AA740" s="105"/>
    </row>
    <row r="741" spans="12:27" ht="25" customHeight="1">
      <c r="L741" s="31"/>
      <c r="M741" s="31"/>
      <c r="N741" s="31"/>
      <c r="R741" s="32"/>
      <c r="X741" s="35"/>
      <c r="Y741" s="102"/>
      <c r="Z741" s="104"/>
      <c r="AA741" s="105"/>
    </row>
    <row r="742" spans="12:27" ht="25" customHeight="1">
      <c r="L742" s="31"/>
      <c r="M742" s="31"/>
      <c r="N742" s="31"/>
      <c r="R742" s="32"/>
      <c r="X742" s="35"/>
      <c r="Y742" s="102"/>
      <c r="Z742" s="104"/>
      <c r="AA742" s="105"/>
    </row>
    <row r="743" spans="12:27" ht="25" customHeight="1">
      <c r="L743" s="31"/>
      <c r="M743" s="31"/>
      <c r="N743" s="31"/>
      <c r="R743" s="32"/>
      <c r="X743" s="35"/>
      <c r="Y743" s="102"/>
      <c r="Z743" s="104"/>
      <c r="AA743" s="105"/>
    </row>
    <row r="744" spans="12:27" ht="25" customHeight="1">
      <c r="L744" s="31"/>
      <c r="M744" s="31"/>
      <c r="N744" s="31"/>
      <c r="R744" s="32"/>
      <c r="X744" s="35"/>
      <c r="Y744" s="102"/>
      <c r="Z744" s="104"/>
      <c r="AA744" s="105"/>
    </row>
    <row r="745" spans="12:27" ht="25" customHeight="1">
      <c r="L745" s="31"/>
      <c r="M745" s="31"/>
      <c r="N745" s="31"/>
      <c r="R745" s="32"/>
      <c r="X745" s="35"/>
      <c r="Y745" s="102"/>
      <c r="Z745" s="104"/>
      <c r="AA745" s="105"/>
    </row>
    <row r="746" spans="12:27" ht="25" customHeight="1">
      <c r="L746" s="31"/>
      <c r="M746" s="31"/>
      <c r="N746" s="31"/>
      <c r="R746" s="32"/>
      <c r="X746" s="35"/>
      <c r="Y746" s="102"/>
      <c r="Z746" s="104"/>
      <c r="AA746" s="105"/>
    </row>
    <row r="747" spans="12:27" ht="25" customHeight="1">
      <c r="L747" s="31"/>
      <c r="M747" s="31"/>
      <c r="N747" s="31"/>
      <c r="R747" s="32"/>
      <c r="X747" s="35"/>
      <c r="Y747" s="102"/>
      <c r="Z747" s="104"/>
      <c r="AA747" s="105"/>
    </row>
    <row r="748" spans="12:27" ht="25" customHeight="1">
      <c r="L748" s="31"/>
      <c r="M748" s="31"/>
      <c r="N748" s="31"/>
      <c r="R748" s="32"/>
      <c r="X748" s="35"/>
      <c r="Y748" s="102"/>
      <c r="Z748" s="104"/>
      <c r="AA748" s="105"/>
    </row>
    <row r="749" spans="12:27" ht="25" customHeight="1">
      <c r="L749" s="31"/>
      <c r="M749" s="31"/>
      <c r="N749" s="31"/>
      <c r="R749" s="32"/>
      <c r="X749" s="35"/>
      <c r="Y749" s="102"/>
      <c r="Z749" s="104"/>
      <c r="AA749" s="105"/>
    </row>
    <row r="750" spans="12:27" ht="25" customHeight="1">
      <c r="L750" s="31"/>
      <c r="M750" s="31"/>
      <c r="N750" s="31"/>
      <c r="R750" s="32"/>
      <c r="X750" s="35"/>
      <c r="Y750" s="102"/>
      <c r="Z750" s="104"/>
      <c r="AA750" s="105"/>
    </row>
    <row r="751" spans="12:27" ht="25" customHeight="1">
      <c r="L751" s="31"/>
      <c r="M751" s="31"/>
      <c r="N751" s="31"/>
      <c r="R751" s="32"/>
      <c r="X751" s="35"/>
      <c r="Y751" s="102"/>
      <c r="Z751" s="104"/>
      <c r="AA751" s="105"/>
    </row>
    <row r="752" spans="12:27" ht="25" customHeight="1">
      <c r="L752" s="31"/>
      <c r="M752" s="31"/>
      <c r="N752" s="31"/>
      <c r="R752" s="32"/>
      <c r="X752" s="35"/>
      <c r="Y752" s="102"/>
      <c r="Z752" s="104"/>
      <c r="AA752" s="105"/>
    </row>
    <row r="753" spans="12:27" ht="25" customHeight="1">
      <c r="L753" s="31"/>
      <c r="M753" s="31"/>
      <c r="N753" s="31"/>
      <c r="R753" s="32"/>
      <c r="X753" s="35"/>
      <c r="Y753" s="102"/>
      <c r="Z753" s="104"/>
      <c r="AA753" s="105"/>
    </row>
    <row r="754" spans="12:27" ht="25" customHeight="1">
      <c r="L754" s="31"/>
      <c r="M754" s="31"/>
      <c r="N754" s="31"/>
      <c r="R754" s="32"/>
      <c r="X754" s="35"/>
      <c r="Y754" s="102"/>
      <c r="Z754" s="104"/>
      <c r="AA754" s="105"/>
    </row>
    <row r="755" spans="12:27" ht="25" customHeight="1">
      <c r="L755" s="31"/>
      <c r="M755" s="31"/>
      <c r="N755" s="31"/>
      <c r="R755" s="32"/>
      <c r="X755" s="35"/>
      <c r="Y755" s="102"/>
      <c r="Z755" s="104"/>
      <c r="AA755" s="105"/>
    </row>
    <row r="756" spans="12:27" ht="25" customHeight="1">
      <c r="L756" s="31"/>
      <c r="M756" s="31"/>
      <c r="N756" s="31"/>
      <c r="R756" s="32"/>
      <c r="X756" s="35"/>
      <c r="Y756" s="102"/>
      <c r="Z756" s="104"/>
      <c r="AA756" s="105"/>
    </row>
    <row r="757" spans="12:27" ht="25" customHeight="1">
      <c r="L757" s="31"/>
      <c r="M757" s="31"/>
      <c r="N757" s="31"/>
      <c r="R757" s="32"/>
      <c r="X757" s="35"/>
      <c r="Y757" s="102"/>
      <c r="Z757" s="104"/>
      <c r="AA757" s="105"/>
    </row>
    <row r="758" spans="12:27" ht="25" customHeight="1">
      <c r="L758" s="31"/>
      <c r="M758" s="31"/>
      <c r="N758" s="31"/>
      <c r="R758" s="32"/>
      <c r="X758" s="35"/>
      <c r="Y758" s="102"/>
      <c r="Z758" s="104"/>
      <c r="AA758" s="105"/>
    </row>
    <row r="759" spans="12:27" ht="25" customHeight="1">
      <c r="L759" s="31"/>
      <c r="M759" s="31"/>
      <c r="N759" s="31"/>
      <c r="R759" s="32"/>
      <c r="X759" s="35"/>
      <c r="Y759" s="102"/>
      <c r="Z759" s="104"/>
      <c r="AA759" s="105"/>
    </row>
    <row r="760" spans="12:27" ht="25" customHeight="1">
      <c r="L760" s="31"/>
      <c r="M760" s="31"/>
      <c r="N760" s="31"/>
      <c r="R760" s="32"/>
      <c r="X760" s="35"/>
      <c r="Y760" s="102"/>
      <c r="Z760" s="104"/>
      <c r="AA760" s="105"/>
    </row>
    <row r="761" spans="12:27" ht="25" customHeight="1">
      <c r="L761" s="31"/>
      <c r="M761" s="31"/>
      <c r="N761" s="31"/>
      <c r="R761" s="32"/>
      <c r="X761" s="35"/>
      <c r="Y761" s="102"/>
      <c r="Z761" s="104"/>
      <c r="AA761" s="105"/>
    </row>
    <row r="762" spans="12:27" ht="25" customHeight="1">
      <c r="L762" s="31"/>
      <c r="M762" s="31"/>
      <c r="N762" s="31"/>
      <c r="R762" s="32"/>
      <c r="X762" s="35"/>
      <c r="Y762" s="102"/>
      <c r="Z762" s="104"/>
      <c r="AA762" s="105"/>
    </row>
    <row r="763" spans="12:27" ht="25" customHeight="1">
      <c r="L763" s="31"/>
      <c r="M763" s="31"/>
      <c r="N763" s="31"/>
      <c r="R763" s="32"/>
      <c r="X763" s="35"/>
      <c r="Y763" s="102"/>
      <c r="Z763" s="104"/>
      <c r="AA763" s="105"/>
    </row>
    <row r="764" spans="12:27" ht="25" customHeight="1">
      <c r="L764" s="31"/>
      <c r="M764" s="31"/>
      <c r="N764" s="31"/>
      <c r="R764" s="32"/>
      <c r="X764" s="35"/>
      <c r="Y764" s="102"/>
      <c r="Z764" s="104"/>
      <c r="AA764" s="105"/>
    </row>
    <row r="765" spans="12:27" ht="25" customHeight="1">
      <c r="L765" s="31"/>
      <c r="M765" s="31"/>
      <c r="N765" s="31"/>
      <c r="R765" s="32"/>
      <c r="X765" s="35"/>
      <c r="Y765" s="102"/>
      <c r="Z765" s="104"/>
      <c r="AA765" s="105"/>
    </row>
    <row r="766" spans="12:27" ht="25" customHeight="1">
      <c r="L766" s="31"/>
      <c r="M766" s="31"/>
      <c r="N766" s="31"/>
      <c r="R766" s="32"/>
      <c r="X766" s="35"/>
      <c r="Y766" s="102"/>
      <c r="Z766" s="104"/>
      <c r="AA766" s="105"/>
    </row>
    <row r="767" spans="12:27" ht="25" customHeight="1">
      <c r="L767" s="31"/>
      <c r="M767" s="31"/>
      <c r="N767" s="31"/>
      <c r="R767" s="32"/>
      <c r="X767" s="35"/>
      <c r="Y767" s="102"/>
      <c r="Z767" s="104"/>
      <c r="AA767" s="105"/>
    </row>
    <row r="768" spans="12:27" ht="25" customHeight="1">
      <c r="L768" s="31"/>
      <c r="M768" s="31"/>
      <c r="N768" s="31"/>
      <c r="R768" s="32"/>
      <c r="X768" s="35"/>
      <c r="Y768" s="102"/>
      <c r="Z768" s="104"/>
      <c r="AA768" s="105"/>
    </row>
    <row r="769" spans="12:27" ht="25" customHeight="1">
      <c r="L769" s="31"/>
      <c r="M769" s="31"/>
      <c r="N769" s="31"/>
      <c r="R769" s="32"/>
      <c r="X769" s="35"/>
      <c r="Y769" s="102"/>
      <c r="Z769" s="104"/>
      <c r="AA769" s="105"/>
    </row>
    <row r="770" spans="12:27" ht="25" customHeight="1">
      <c r="L770" s="31"/>
      <c r="M770" s="31"/>
      <c r="N770" s="31"/>
      <c r="R770" s="32"/>
      <c r="X770" s="35"/>
      <c r="Y770" s="102"/>
      <c r="Z770" s="104"/>
      <c r="AA770" s="105"/>
    </row>
    <row r="771" spans="12:27" ht="25" customHeight="1">
      <c r="L771" s="31"/>
      <c r="M771" s="31"/>
      <c r="N771" s="31"/>
      <c r="R771" s="32"/>
      <c r="X771" s="35"/>
      <c r="Y771" s="102"/>
      <c r="Z771" s="104"/>
      <c r="AA771" s="105"/>
    </row>
    <row r="772" spans="12:27" ht="25" customHeight="1">
      <c r="L772" s="31"/>
      <c r="M772" s="31"/>
      <c r="N772" s="31"/>
      <c r="R772" s="32"/>
      <c r="X772" s="35"/>
      <c r="Y772" s="102"/>
      <c r="Z772" s="104"/>
      <c r="AA772" s="105"/>
    </row>
    <row r="773" spans="12:27" ht="25" customHeight="1">
      <c r="L773" s="31"/>
      <c r="M773" s="31"/>
      <c r="N773" s="31"/>
      <c r="R773" s="32"/>
      <c r="X773" s="35"/>
      <c r="Y773" s="102"/>
      <c r="Z773" s="104"/>
      <c r="AA773" s="105"/>
    </row>
    <row r="774" spans="12:27" ht="25" customHeight="1">
      <c r="L774" s="31"/>
      <c r="M774" s="31"/>
      <c r="N774" s="31"/>
      <c r="R774" s="32"/>
      <c r="X774" s="35"/>
      <c r="Y774" s="102"/>
      <c r="Z774" s="104"/>
      <c r="AA774" s="105"/>
    </row>
    <row r="775" spans="12:27" ht="25" customHeight="1">
      <c r="L775" s="31"/>
      <c r="M775" s="31"/>
      <c r="N775" s="31"/>
      <c r="R775" s="32"/>
      <c r="X775" s="35"/>
      <c r="Y775" s="102"/>
      <c r="Z775" s="104"/>
      <c r="AA775" s="105"/>
    </row>
    <row r="776" spans="12:27" ht="25" customHeight="1">
      <c r="L776" s="31"/>
      <c r="M776" s="31"/>
      <c r="N776" s="31"/>
      <c r="R776" s="32"/>
      <c r="X776" s="35"/>
      <c r="Y776" s="102"/>
      <c r="Z776" s="104"/>
      <c r="AA776" s="105"/>
    </row>
    <row r="777" spans="12:27" ht="25" customHeight="1">
      <c r="L777" s="31"/>
      <c r="M777" s="31"/>
      <c r="N777" s="31"/>
      <c r="R777" s="32"/>
      <c r="X777" s="35"/>
      <c r="Y777" s="102"/>
      <c r="Z777" s="104"/>
      <c r="AA777" s="105"/>
    </row>
    <row r="778" spans="12:27" ht="25" customHeight="1">
      <c r="L778" s="31"/>
      <c r="M778" s="31"/>
      <c r="N778" s="31"/>
      <c r="R778" s="32"/>
      <c r="X778" s="35"/>
      <c r="Y778" s="102"/>
      <c r="Z778" s="104"/>
      <c r="AA778" s="105"/>
    </row>
    <row r="779" spans="12:27" ht="25" customHeight="1">
      <c r="L779" s="31"/>
      <c r="M779" s="31"/>
      <c r="N779" s="31"/>
      <c r="R779" s="32"/>
      <c r="X779" s="35"/>
      <c r="Y779" s="102"/>
      <c r="Z779" s="104"/>
      <c r="AA779" s="105"/>
    </row>
    <row r="780" spans="12:27" ht="25" customHeight="1">
      <c r="L780" s="31"/>
      <c r="M780" s="31"/>
      <c r="N780" s="31"/>
      <c r="R780" s="32"/>
      <c r="X780" s="35"/>
      <c r="Y780" s="102"/>
      <c r="Z780" s="104"/>
      <c r="AA780" s="105"/>
    </row>
    <row r="781" spans="12:27" ht="25" customHeight="1">
      <c r="L781" s="31"/>
      <c r="M781" s="31"/>
      <c r="N781" s="31"/>
      <c r="R781" s="32"/>
      <c r="X781" s="35"/>
      <c r="Y781" s="102"/>
      <c r="Z781" s="104"/>
      <c r="AA781" s="105"/>
    </row>
    <row r="782" spans="12:27" ht="25" customHeight="1">
      <c r="L782" s="31"/>
      <c r="M782" s="31"/>
      <c r="N782" s="31"/>
      <c r="R782" s="32"/>
      <c r="X782" s="35"/>
      <c r="Y782" s="102"/>
      <c r="Z782" s="104"/>
      <c r="AA782" s="105"/>
    </row>
    <row r="783" spans="12:27" ht="25" customHeight="1">
      <c r="L783" s="31"/>
      <c r="M783" s="31"/>
      <c r="N783" s="31"/>
      <c r="R783" s="32"/>
      <c r="X783" s="35"/>
      <c r="Y783" s="102"/>
      <c r="Z783" s="104"/>
      <c r="AA783" s="105"/>
    </row>
    <row r="784" spans="12:27" ht="25" customHeight="1">
      <c r="L784" s="31"/>
      <c r="M784" s="31"/>
      <c r="N784" s="31"/>
      <c r="R784" s="32"/>
      <c r="X784" s="35"/>
      <c r="Y784" s="102"/>
      <c r="Z784" s="104"/>
      <c r="AA784" s="105"/>
    </row>
    <row r="785" spans="12:27" ht="25" customHeight="1">
      <c r="L785" s="31"/>
      <c r="M785" s="31"/>
      <c r="N785" s="31"/>
      <c r="R785" s="32"/>
      <c r="X785" s="35"/>
      <c r="Y785" s="102"/>
      <c r="Z785" s="104"/>
      <c r="AA785" s="105"/>
    </row>
    <row r="786" spans="12:27" ht="25" customHeight="1">
      <c r="L786" s="31"/>
      <c r="M786" s="31"/>
      <c r="N786" s="31"/>
      <c r="R786" s="32"/>
      <c r="X786" s="35"/>
      <c r="Y786" s="102"/>
      <c r="Z786" s="104"/>
      <c r="AA786" s="105"/>
    </row>
    <row r="787" spans="12:27" ht="25" customHeight="1">
      <c r="L787" s="31"/>
      <c r="M787" s="31"/>
      <c r="N787" s="31"/>
      <c r="R787" s="32"/>
      <c r="X787" s="35"/>
      <c r="Y787" s="102"/>
      <c r="Z787" s="104"/>
      <c r="AA787" s="105"/>
    </row>
    <row r="788" spans="12:27" ht="25" customHeight="1">
      <c r="L788" s="31"/>
      <c r="M788" s="31"/>
      <c r="N788" s="31"/>
      <c r="R788" s="32"/>
      <c r="X788" s="35"/>
      <c r="Y788" s="102"/>
      <c r="Z788" s="104"/>
      <c r="AA788" s="105"/>
    </row>
    <row r="789" spans="12:27" ht="25" customHeight="1">
      <c r="L789" s="31"/>
      <c r="M789" s="31"/>
      <c r="N789" s="31"/>
      <c r="R789" s="32"/>
      <c r="X789" s="35"/>
      <c r="Y789" s="102"/>
      <c r="Z789" s="104"/>
      <c r="AA789" s="105"/>
    </row>
    <row r="790" spans="12:27" ht="25" customHeight="1">
      <c r="L790" s="31"/>
      <c r="M790" s="31"/>
      <c r="N790" s="31"/>
      <c r="R790" s="32"/>
      <c r="X790" s="35"/>
      <c r="Y790" s="102"/>
      <c r="Z790" s="104"/>
      <c r="AA790" s="105"/>
    </row>
    <row r="791" spans="12:27" ht="25" customHeight="1">
      <c r="L791" s="31"/>
      <c r="M791" s="31"/>
      <c r="N791" s="31"/>
      <c r="R791" s="32"/>
      <c r="X791" s="35"/>
      <c r="Y791" s="102"/>
      <c r="Z791" s="104"/>
      <c r="AA791" s="105"/>
    </row>
    <row r="792" spans="12:27" ht="25" customHeight="1">
      <c r="L792" s="31"/>
      <c r="M792" s="31"/>
      <c r="N792" s="31"/>
      <c r="R792" s="32"/>
      <c r="X792" s="35"/>
      <c r="Y792" s="102"/>
      <c r="Z792" s="104"/>
      <c r="AA792" s="105"/>
    </row>
    <row r="793" spans="12:27" ht="25" customHeight="1">
      <c r="L793" s="31"/>
      <c r="M793" s="31"/>
      <c r="N793" s="31"/>
      <c r="R793" s="32"/>
      <c r="X793" s="35"/>
      <c r="Y793" s="102"/>
      <c r="Z793" s="104"/>
      <c r="AA793" s="105"/>
    </row>
    <row r="794" spans="12:27" ht="25" customHeight="1">
      <c r="L794" s="31"/>
      <c r="M794" s="31"/>
      <c r="N794" s="31"/>
      <c r="R794" s="32"/>
      <c r="X794" s="35"/>
      <c r="Y794" s="102"/>
      <c r="Z794" s="104"/>
      <c r="AA794" s="105"/>
    </row>
    <row r="795" spans="12:27" ht="25" customHeight="1">
      <c r="L795" s="31"/>
      <c r="M795" s="31"/>
      <c r="N795" s="31"/>
      <c r="R795" s="32"/>
      <c r="X795" s="35"/>
      <c r="Y795" s="102"/>
      <c r="Z795" s="104"/>
      <c r="AA795" s="105"/>
    </row>
    <row r="796" spans="12:27" ht="25" customHeight="1">
      <c r="L796" s="31"/>
      <c r="M796" s="31"/>
      <c r="N796" s="31"/>
      <c r="R796" s="32"/>
      <c r="X796" s="35"/>
      <c r="Y796" s="102"/>
      <c r="Z796" s="104"/>
      <c r="AA796" s="105"/>
    </row>
    <row r="797" spans="12:27" ht="25" customHeight="1">
      <c r="L797" s="31"/>
      <c r="M797" s="31"/>
      <c r="N797" s="31"/>
      <c r="R797" s="32"/>
      <c r="X797" s="35"/>
      <c r="Y797" s="102"/>
      <c r="Z797" s="104"/>
      <c r="AA797" s="105"/>
    </row>
    <row r="798" spans="12:27" ht="25" customHeight="1">
      <c r="L798" s="31"/>
      <c r="M798" s="31"/>
      <c r="N798" s="31"/>
      <c r="R798" s="32"/>
      <c r="X798" s="35"/>
      <c r="Y798" s="102"/>
      <c r="Z798" s="104"/>
      <c r="AA798" s="105"/>
    </row>
    <row r="799" spans="12:27" ht="25" customHeight="1">
      <c r="L799" s="31"/>
      <c r="M799" s="31"/>
      <c r="N799" s="31"/>
      <c r="R799" s="32"/>
      <c r="X799" s="35"/>
      <c r="Y799" s="102"/>
      <c r="Z799" s="104"/>
      <c r="AA799" s="105"/>
    </row>
    <row r="800" spans="12:27" ht="25" customHeight="1">
      <c r="L800" s="31"/>
      <c r="M800" s="31"/>
      <c r="N800" s="31"/>
      <c r="R800" s="32"/>
      <c r="X800" s="35"/>
      <c r="Y800" s="102"/>
      <c r="Z800" s="104"/>
      <c r="AA800" s="105"/>
    </row>
    <row r="801" spans="12:27" ht="25" customHeight="1">
      <c r="L801" s="31"/>
      <c r="M801" s="31"/>
      <c r="N801" s="31"/>
      <c r="R801" s="32"/>
      <c r="X801" s="35"/>
      <c r="Y801" s="102"/>
      <c r="Z801" s="104"/>
      <c r="AA801" s="105"/>
    </row>
    <row r="802" spans="12:27" ht="25" customHeight="1">
      <c r="L802" s="31"/>
      <c r="M802" s="31"/>
      <c r="N802" s="31"/>
      <c r="R802" s="32"/>
      <c r="X802" s="35"/>
      <c r="Y802" s="102"/>
      <c r="Z802" s="104"/>
      <c r="AA802" s="105"/>
    </row>
    <row r="803" spans="12:27" ht="25" customHeight="1">
      <c r="L803" s="31"/>
      <c r="M803" s="31"/>
      <c r="N803" s="31"/>
      <c r="R803" s="32"/>
      <c r="X803" s="35"/>
      <c r="Y803" s="102"/>
      <c r="Z803" s="104"/>
      <c r="AA803" s="105"/>
    </row>
    <row r="804" spans="12:27" ht="25" customHeight="1">
      <c r="L804" s="31"/>
      <c r="M804" s="31"/>
      <c r="N804" s="31"/>
      <c r="R804" s="32"/>
      <c r="X804" s="35"/>
      <c r="Y804" s="102"/>
      <c r="Z804" s="104"/>
      <c r="AA804" s="105"/>
    </row>
    <row r="805" spans="12:27" ht="25" customHeight="1">
      <c r="L805" s="31"/>
      <c r="M805" s="31"/>
      <c r="N805" s="31"/>
      <c r="R805" s="32"/>
      <c r="X805" s="35"/>
      <c r="Y805" s="102"/>
      <c r="Z805" s="104"/>
      <c r="AA805" s="105"/>
    </row>
    <row r="806" spans="12:27" ht="25" customHeight="1">
      <c r="L806" s="31"/>
      <c r="M806" s="31"/>
      <c r="N806" s="31"/>
      <c r="R806" s="32"/>
      <c r="X806" s="35"/>
      <c r="Y806" s="102"/>
      <c r="Z806" s="104"/>
      <c r="AA806" s="105"/>
    </row>
    <row r="807" spans="12:27" ht="25" customHeight="1">
      <c r="L807" s="31"/>
      <c r="M807" s="31"/>
      <c r="N807" s="31"/>
      <c r="R807" s="32"/>
      <c r="X807" s="35"/>
      <c r="Y807" s="102"/>
      <c r="Z807" s="104"/>
      <c r="AA807" s="105"/>
    </row>
    <row r="808" spans="12:27" ht="25" customHeight="1">
      <c r="L808" s="31"/>
      <c r="M808" s="31"/>
      <c r="N808" s="31"/>
      <c r="R808" s="32"/>
      <c r="X808" s="35"/>
      <c r="Y808" s="102"/>
      <c r="Z808" s="104"/>
      <c r="AA808" s="105"/>
    </row>
    <row r="809" spans="12:27" ht="25" customHeight="1">
      <c r="L809" s="31"/>
      <c r="M809" s="31"/>
      <c r="N809" s="31"/>
      <c r="R809" s="32"/>
      <c r="X809" s="35"/>
      <c r="Y809" s="102"/>
      <c r="Z809" s="104"/>
      <c r="AA809" s="105"/>
    </row>
    <row r="810" spans="12:27" ht="25" customHeight="1">
      <c r="L810" s="31"/>
      <c r="M810" s="31"/>
      <c r="N810" s="31"/>
      <c r="R810" s="32"/>
      <c r="X810" s="35"/>
      <c r="Y810" s="102"/>
      <c r="Z810" s="104"/>
      <c r="AA810" s="105"/>
    </row>
    <row r="811" spans="12:27" ht="25" customHeight="1">
      <c r="L811" s="31"/>
      <c r="M811" s="31"/>
      <c r="N811" s="31"/>
      <c r="R811" s="32"/>
      <c r="X811" s="35"/>
      <c r="Y811" s="102"/>
      <c r="Z811" s="104"/>
      <c r="AA811" s="105"/>
    </row>
    <row r="812" spans="12:27" ht="25" customHeight="1">
      <c r="L812" s="31"/>
      <c r="M812" s="31"/>
      <c r="N812" s="31"/>
      <c r="R812" s="32"/>
      <c r="X812" s="35"/>
      <c r="Y812" s="102"/>
      <c r="Z812" s="104"/>
      <c r="AA812" s="105"/>
    </row>
    <row r="813" spans="12:27" ht="25" customHeight="1">
      <c r="L813" s="31"/>
      <c r="M813" s="31"/>
      <c r="N813" s="31"/>
      <c r="R813" s="32"/>
      <c r="X813" s="35"/>
      <c r="Y813" s="102"/>
      <c r="Z813" s="104"/>
      <c r="AA813" s="105"/>
    </row>
    <row r="814" spans="12:27" ht="25" customHeight="1">
      <c r="L814" s="31"/>
      <c r="M814" s="31"/>
      <c r="N814" s="31"/>
      <c r="R814" s="32"/>
      <c r="X814" s="35"/>
      <c r="Y814" s="102"/>
      <c r="Z814" s="104"/>
      <c r="AA814" s="105"/>
    </row>
    <row r="815" spans="12:27" ht="25" customHeight="1">
      <c r="L815" s="31"/>
      <c r="M815" s="31"/>
      <c r="N815" s="31"/>
      <c r="R815" s="32"/>
      <c r="X815" s="35"/>
      <c r="Y815" s="102"/>
      <c r="Z815" s="104"/>
      <c r="AA815" s="105"/>
    </row>
    <row r="816" spans="12:27" ht="25" customHeight="1">
      <c r="L816" s="31"/>
      <c r="M816" s="31"/>
      <c r="N816" s="31"/>
      <c r="R816" s="32"/>
      <c r="X816" s="35"/>
      <c r="Y816" s="102"/>
      <c r="Z816" s="104"/>
      <c r="AA816" s="105"/>
    </row>
    <row r="817" spans="12:27" ht="25" customHeight="1">
      <c r="L817" s="31"/>
      <c r="M817" s="31"/>
      <c r="N817" s="31"/>
      <c r="R817" s="32"/>
      <c r="X817" s="35"/>
      <c r="Y817" s="102"/>
      <c r="Z817" s="104"/>
      <c r="AA817" s="105"/>
    </row>
    <row r="818" spans="12:27" ht="25" customHeight="1">
      <c r="L818" s="31"/>
      <c r="M818" s="31"/>
      <c r="N818" s="31"/>
      <c r="R818" s="32"/>
      <c r="X818" s="35"/>
      <c r="Y818" s="102"/>
      <c r="Z818" s="104"/>
      <c r="AA818" s="105"/>
    </row>
    <row r="819" spans="12:27" ht="25" customHeight="1">
      <c r="L819" s="31"/>
      <c r="M819" s="31"/>
      <c r="N819" s="31"/>
      <c r="R819" s="32"/>
      <c r="X819" s="35"/>
      <c r="Y819" s="102"/>
      <c r="Z819" s="104"/>
      <c r="AA819" s="105"/>
    </row>
    <row r="820" spans="12:27" ht="25" customHeight="1">
      <c r="L820" s="31"/>
      <c r="M820" s="31"/>
      <c r="N820" s="31"/>
      <c r="R820" s="32"/>
      <c r="X820" s="35"/>
      <c r="Y820" s="102"/>
      <c r="Z820" s="104"/>
      <c r="AA820" s="105"/>
    </row>
    <row r="821" spans="12:27" ht="25" customHeight="1">
      <c r="L821" s="31"/>
      <c r="M821" s="31"/>
      <c r="N821" s="31"/>
      <c r="R821" s="32"/>
      <c r="X821" s="35"/>
      <c r="Y821" s="102"/>
      <c r="Z821" s="104"/>
      <c r="AA821" s="105"/>
    </row>
    <row r="822" spans="12:27" ht="25" customHeight="1">
      <c r="L822" s="31"/>
      <c r="M822" s="31"/>
      <c r="N822" s="31"/>
      <c r="R822" s="32"/>
      <c r="X822" s="35"/>
      <c r="Y822" s="102"/>
      <c r="Z822" s="104"/>
      <c r="AA822" s="105"/>
    </row>
    <row r="823" spans="12:27" ht="25" customHeight="1">
      <c r="L823" s="31"/>
      <c r="M823" s="31"/>
      <c r="N823" s="31"/>
      <c r="R823" s="32"/>
      <c r="X823" s="35"/>
      <c r="Y823" s="102"/>
      <c r="Z823" s="104"/>
      <c r="AA823" s="105"/>
    </row>
    <row r="824" spans="12:27" ht="25" customHeight="1">
      <c r="L824" s="31"/>
      <c r="M824" s="31"/>
      <c r="N824" s="31"/>
      <c r="R824" s="32"/>
      <c r="X824" s="35"/>
      <c r="Y824" s="102"/>
      <c r="Z824" s="104"/>
      <c r="AA824" s="105"/>
    </row>
    <row r="825" spans="12:27" ht="25" customHeight="1">
      <c r="L825" s="31"/>
      <c r="M825" s="31"/>
      <c r="N825" s="31"/>
      <c r="R825" s="32"/>
      <c r="X825" s="35"/>
      <c r="Y825" s="102"/>
      <c r="Z825" s="104"/>
      <c r="AA825" s="105"/>
    </row>
    <row r="826" spans="12:27" ht="25" customHeight="1">
      <c r="L826" s="31"/>
      <c r="M826" s="31"/>
      <c r="N826" s="31"/>
      <c r="R826" s="32"/>
      <c r="X826" s="35"/>
      <c r="Y826" s="102"/>
      <c r="Z826" s="104"/>
      <c r="AA826" s="105"/>
    </row>
    <row r="827" spans="12:27" ht="25" customHeight="1">
      <c r="L827" s="31"/>
      <c r="M827" s="31"/>
      <c r="N827" s="31"/>
      <c r="R827" s="32"/>
      <c r="X827" s="35"/>
      <c r="Y827" s="102"/>
      <c r="Z827" s="104"/>
      <c r="AA827" s="105"/>
    </row>
    <row r="828" spans="12:27" ht="25" customHeight="1">
      <c r="L828" s="31"/>
      <c r="M828" s="31"/>
      <c r="N828" s="31"/>
      <c r="R828" s="32"/>
      <c r="X828" s="35"/>
      <c r="Y828" s="102"/>
      <c r="Z828" s="104"/>
      <c r="AA828" s="105"/>
    </row>
    <row r="829" spans="12:27" ht="25" customHeight="1">
      <c r="L829" s="31"/>
      <c r="M829" s="31"/>
      <c r="N829" s="31"/>
      <c r="R829" s="32"/>
      <c r="X829" s="35"/>
      <c r="Y829" s="102"/>
      <c r="Z829" s="104"/>
      <c r="AA829" s="105"/>
    </row>
    <row r="830" spans="12:27" ht="25" customHeight="1">
      <c r="L830" s="31"/>
      <c r="M830" s="31"/>
      <c r="N830" s="31"/>
      <c r="R830" s="32"/>
      <c r="X830" s="35"/>
      <c r="Y830" s="102"/>
      <c r="Z830" s="104"/>
      <c r="AA830" s="105"/>
    </row>
    <row r="831" spans="12:27" ht="25" customHeight="1">
      <c r="L831" s="31"/>
      <c r="M831" s="31"/>
      <c r="N831" s="31"/>
      <c r="R831" s="32"/>
      <c r="X831" s="35"/>
      <c r="Y831" s="102"/>
      <c r="Z831" s="104"/>
      <c r="AA831" s="105"/>
    </row>
    <row r="832" spans="12:27" ht="25" customHeight="1">
      <c r="L832" s="31"/>
      <c r="M832" s="31"/>
      <c r="N832" s="31"/>
      <c r="R832" s="32"/>
      <c r="X832" s="35"/>
      <c r="Y832" s="102"/>
      <c r="Z832" s="104"/>
      <c r="AA832" s="105"/>
    </row>
    <row r="833" spans="12:27" ht="25" customHeight="1">
      <c r="L833" s="31"/>
      <c r="M833" s="31"/>
      <c r="N833" s="31"/>
      <c r="R833" s="32"/>
      <c r="X833" s="35"/>
      <c r="Y833" s="102"/>
      <c r="Z833" s="104"/>
      <c r="AA833" s="105"/>
    </row>
    <row r="834" spans="12:27" ht="25" customHeight="1">
      <c r="L834" s="31"/>
      <c r="M834" s="31"/>
      <c r="N834" s="31"/>
      <c r="R834" s="32"/>
      <c r="X834" s="35"/>
      <c r="Y834" s="102"/>
      <c r="Z834" s="104"/>
      <c r="AA834" s="105"/>
    </row>
    <row r="835" spans="12:27" ht="25" customHeight="1">
      <c r="L835" s="31"/>
      <c r="M835" s="31"/>
      <c r="N835" s="31"/>
      <c r="R835" s="32"/>
      <c r="X835" s="35"/>
      <c r="Y835" s="102"/>
      <c r="Z835" s="104"/>
      <c r="AA835" s="105"/>
    </row>
    <row r="836" spans="12:27" ht="25" customHeight="1">
      <c r="L836" s="31"/>
      <c r="M836" s="31"/>
      <c r="N836" s="31"/>
      <c r="R836" s="32"/>
      <c r="X836" s="35"/>
      <c r="Y836" s="102"/>
      <c r="Z836" s="104"/>
      <c r="AA836" s="105"/>
    </row>
    <row r="837" spans="12:27" ht="25" customHeight="1">
      <c r="L837" s="31"/>
      <c r="M837" s="31"/>
      <c r="N837" s="31"/>
      <c r="R837" s="32"/>
      <c r="X837" s="35"/>
      <c r="Y837" s="102"/>
      <c r="Z837" s="104"/>
      <c r="AA837" s="105"/>
    </row>
    <row r="838" spans="12:27" ht="25" customHeight="1">
      <c r="L838" s="31"/>
      <c r="M838" s="31"/>
      <c r="N838" s="31"/>
      <c r="R838" s="32"/>
      <c r="X838" s="35"/>
      <c r="Y838" s="102"/>
      <c r="Z838" s="104"/>
      <c r="AA838" s="105"/>
    </row>
    <row r="839" spans="12:27" ht="25" customHeight="1">
      <c r="L839" s="31"/>
      <c r="M839" s="31"/>
      <c r="N839" s="31"/>
      <c r="R839" s="32"/>
      <c r="X839" s="35"/>
      <c r="Y839" s="102"/>
      <c r="Z839" s="104"/>
      <c r="AA839" s="105"/>
    </row>
    <row r="840" spans="12:27" ht="25" customHeight="1">
      <c r="L840" s="31"/>
      <c r="M840" s="31"/>
      <c r="N840" s="31"/>
      <c r="R840" s="32"/>
      <c r="X840" s="35"/>
      <c r="Y840" s="102"/>
      <c r="Z840" s="104"/>
      <c r="AA840" s="105"/>
    </row>
    <row r="841" spans="12:27" ht="25" customHeight="1">
      <c r="L841" s="31"/>
      <c r="M841" s="31"/>
      <c r="N841" s="31"/>
      <c r="R841" s="32"/>
      <c r="X841" s="35"/>
      <c r="Y841" s="102"/>
      <c r="Z841" s="104"/>
      <c r="AA841" s="105"/>
    </row>
    <row r="842" spans="12:27" ht="25" customHeight="1">
      <c r="L842" s="31"/>
      <c r="M842" s="31"/>
      <c r="N842" s="31"/>
      <c r="R842" s="32"/>
      <c r="X842" s="35"/>
      <c r="Y842" s="102"/>
      <c r="Z842" s="104"/>
      <c r="AA842" s="105"/>
    </row>
    <row r="843" spans="12:27" ht="25" customHeight="1">
      <c r="L843" s="31"/>
      <c r="M843" s="31"/>
      <c r="N843" s="31"/>
      <c r="R843" s="32"/>
      <c r="X843" s="35"/>
      <c r="Y843" s="102"/>
      <c r="Z843" s="104"/>
      <c r="AA843" s="105"/>
    </row>
    <row r="844" spans="12:27" ht="25" customHeight="1">
      <c r="L844" s="31"/>
      <c r="M844" s="31"/>
      <c r="N844" s="31"/>
      <c r="R844" s="32"/>
      <c r="X844" s="35"/>
      <c r="Y844" s="102"/>
      <c r="Z844" s="104"/>
      <c r="AA844" s="105"/>
    </row>
    <row r="845" spans="12:27" ht="25" customHeight="1">
      <c r="L845" s="31"/>
      <c r="M845" s="31"/>
      <c r="N845" s="31"/>
      <c r="R845" s="32"/>
      <c r="X845" s="35"/>
      <c r="Y845" s="102"/>
      <c r="Z845" s="104"/>
      <c r="AA845" s="105"/>
    </row>
    <row r="846" spans="12:27" ht="25" customHeight="1">
      <c r="L846" s="31"/>
      <c r="M846" s="31"/>
      <c r="N846" s="31"/>
      <c r="R846" s="32"/>
      <c r="X846" s="35"/>
      <c r="Y846" s="102"/>
      <c r="Z846" s="104"/>
      <c r="AA846" s="105"/>
    </row>
    <row r="847" spans="12:27" ht="25" customHeight="1">
      <c r="L847" s="31"/>
      <c r="M847" s="31"/>
      <c r="N847" s="31"/>
      <c r="R847" s="32"/>
      <c r="X847" s="35"/>
      <c r="Y847" s="102"/>
      <c r="Z847" s="104"/>
      <c r="AA847" s="105"/>
    </row>
    <row r="848" spans="12:27" ht="25" customHeight="1">
      <c r="L848" s="31"/>
      <c r="M848" s="31"/>
      <c r="N848" s="31"/>
      <c r="R848" s="32"/>
      <c r="X848" s="35"/>
      <c r="Y848" s="102"/>
      <c r="Z848" s="104"/>
      <c r="AA848" s="105"/>
    </row>
    <row r="849" spans="12:27" ht="25" customHeight="1">
      <c r="L849" s="31"/>
      <c r="M849" s="31"/>
      <c r="N849" s="31"/>
      <c r="R849" s="32"/>
      <c r="X849" s="35"/>
      <c r="Y849" s="102"/>
      <c r="Z849" s="104"/>
      <c r="AA849" s="105"/>
    </row>
    <row r="850" spans="12:27" ht="25" customHeight="1">
      <c r="L850" s="31"/>
      <c r="M850" s="31"/>
      <c r="N850" s="31"/>
      <c r="R850" s="32"/>
      <c r="X850" s="35"/>
      <c r="Y850" s="102"/>
      <c r="Z850" s="104"/>
      <c r="AA850" s="105"/>
    </row>
    <row r="851" spans="12:27" ht="25" customHeight="1">
      <c r="L851" s="31"/>
      <c r="M851" s="31"/>
      <c r="N851" s="31"/>
      <c r="R851" s="32"/>
      <c r="X851" s="35"/>
      <c r="Y851" s="102"/>
      <c r="Z851" s="104"/>
      <c r="AA851" s="105"/>
    </row>
    <row r="852" spans="12:27" ht="25" customHeight="1">
      <c r="L852" s="31"/>
      <c r="M852" s="31"/>
      <c r="N852" s="31"/>
      <c r="R852" s="32"/>
      <c r="X852" s="35"/>
      <c r="Y852" s="102"/>
      <c r="Z852" s="104"/>
      <c r="AA852" s="105"/>
    </row>
    <row r="853" spans="12:27" ht="25" customHeight="1">
      <c r="L853" s="31"/>
      <c r="M853" s="31"/>
      <c r="N853" s="31"/>
      <c r="R853" s="32"/>
      <c r="X853" s="35"/>
      <c r="Y853" s="102"/>
      <c r="Z853" s="104"/>
      <c r="AA853" s="105"/>
    </row>
    <row r="854" spans="12:27" ht="25" customHeight="1">
      <c r="L854" s="31"/>
      <c r="M854" s="31"/>
      <c r="N854" s="31"/>
      <c r="R854" s="32"/>
      <c r="X854" s="35"/>
      <c r="Y854" s="102"/>
      <c r="Z854" s="104"/>
      <c r="AA854" s="105"/>
    </row>
    <row r="855" spans="12:27" ht="25" customHeight="1">
      <c r="L855" s="31"/>
      <c r="M855" s="31"/>
      <c r="N855" s="31"/>
      <c r="R855" s="32"/>
      <c r="X855" s="35"/>
      <c r="Y855" s="102"/>
      <c r="Z855" s="104"/>
      <c r="AA855" s="105"/>
    </row>
    <row r="856" spans="12:27" ht="25" customHeight="1">
      <c r="L856" s="31"/>
      <c r="M856" s="31"/>
      <c r="N856" s="31"/>
      <c r="R856" s="32"/>
      <c r="X856" s="35"/>
      <c r="Y856" s="102"/>
      <c r="Z856" s="104"/>
      <c r="AA856" s="105"/>
    </row>
    <row r="857" spans="12:27" ht="25" customHeight="1">
      <c r="L857" s="31"/>
      <c r="M857" s="31"/>
      <c r="N857" s="31"/>
      <c r="R857" s="32"/>
      <c r="X857" s="35"/>
      <c r="Y857" s="102"/>
      <c r="Z857" s="104"/>
      <c r="AA857" s="105"/>
    </row>
    <row r="858" spans="12:27" ht="25" customHeight="1">
      <c r="L858" s="31"/>
      <c r="M858" s="31"/>
      <c r="N858" s="31"/>
      <c r="R858" s="32"/>
      <c r="X858" s="35"/>
      <c r="Y858" s="102"/>
      <c r="Z858" s="104"/>
      <c r="AA858" s="105"/>
    </row>
    <row r="859" spans="12:27" ht="25" customHeight="1">
      <c r="L859" s="31"/>
      <c r="M859" s="31"/>
      <c r="N859" s="31"/>
      <c r="R859" s="32"/>
      <c r="X859" s="35"/>
      <c r="Y859" s="102"/>
      <c r="Z859" s="104"/>
      <c r="AA859" s="105"/>
    </row>
    <row r="860" spans="12:27" ht="25" customHeight="1">
      <c r="L860" s="31"/>
      <c r="M860" s="31"/>
      <c r="N860" s="31"/>
      <c r="R860" s="32"/>
      <c r="X860" s="35"/>
      <c r="Y860" s="102"/>
      <c r="Z860" s="104"/>
      <c r="AA860" s="105"/>
    </row>
    <row r="861" spans="12:27" ht="25" customHeight="1">
      <c r="L861" s="31"/>
      <c r="M861" s="31"/>
      <c r="N861" s="31"/>
      <c r="R861" s="32"/>
      <c r="X861" s="35"/>
      <c r="Y861" s="102"/>
      <c r="Z861" s="104"/>
      <c r="AA861" s="105"/>
    </row>
    <row r="862" spans="12:27" ht="25" customHeight="1">
      <c r="L862" s="31"/>
      <c r="M862" s="31"/>
      <c r="N862" s="31"/>
      <c r="R862" s="32"/>
      <c r="X862" s="35"/>
      <c r="Y862" s="102"/>
      <c r="Z862" s="104"/>
      <c r="AA862" s="105"/>
    </row>
    <row r="863" spans="12:27" ht="25" customHeight="1">
      <c r="L863" s="31"/>
      <c r="M863" s="31"/>
      <c r="N863" s="31"/>
      <c r="R863" s="32"/>
      <c r="X863" s="35"/>
      <c r="Y863" s="102"/>
      <c r="Z863" s="104"/>
      <c r="AA863" s="105"/>
    </row>
    <row r="864" spans="12:27" ht="25" customHeight="1">
      <c r="L864" s="31"/>
      <c r="M864" s="31"/>
      <c r="N864" s="31"/>
      <c r="R864" s="32"/>
      <c r="X864" s="35"/>
      <c r="Y864" s="102"/>
      <c r="Z864" s="104"/>
      <c r="AA864" s="105"/>
    </row>
    <row r="865" spans="12:27" ht="25" customHeight="1">
      <c r="L865" s="31"/>
      <c r="M865" s="31"/>
      <c r="N865" s="31"/>
      <c r="R865" s="32"/>
      <c r="X865" s="35"/>
      <c r="Y865" s="102"/>
      <c r="Z865" s="104"/>
      <c r="AA865" s="105"/>
    </row>
    <row r="866" spans="12:27" ht="25" customHeight="1">
      <c r="L866" s="31"/>
      <c r="M866" s="31"/>
      <c r="N866" s="31"/>
      <c r="R866" s="32"/>
      <c r="X866" s="35"/>
      <c r="Y866" s="102"/>
      <c r="Z866" s="104"/>
      <c r="AA866" s="105"/>
    </row>
    <row r="867" spans="12:27" ht="25" customHeight="1">
      <c r="L867" s="31"/>
      <c r="M867" s="31"/>
      <c r="N867" s="31"/>
      <c r="R867" s="32"/>
      <c r="X867" s="35"/>
      <c r="Y867" s="102"/>
      <c r="Z867" s="104"/>
      <c r="AA867" s="105"/>
    </row>
    <row r="868" spans="12:27" ht="25" customHeight="1">
      <c r="L868" s="31"/>
      <c r="M868" s="31"/>
      <c r="N868" s="31"/>
      <c r="R868" s="32"/>
      <c r="X868" s="35"/>
      <c r="Y868" s="102"/>
      <c r="Z868" s="104"/>
      <c r="AA868" s="105"/>
    </row>
    <row r="869" spans="12:27" ht="25" customHeight="1">
      <c r="L869" s="31"/>
      <c r="M869" s="31"/>
      <c r="N869" s="31"/>
      <c r="R869" s="32"/>
      <c r="X869" s="35"/>
      <c r="Y869" s="102"/>
      <c r="Z869" s="104"/>
      <c r="AA869" s="105"/>
    </row>
    <row r="870" spans="12:27" ht="25" customHeight="1">
      <c r="L870" s="31"/>
      <c r="M870" s="31"/>
      <c r="N870" s="31"/>
      <c r="R870" s="32"/>
      <c r="X870" s="35"/>
      <c r="Y870" s="102"/>
      <c r="Z870" s="104"/>
      <c r="AA870" s="105"/>
    </row>
    <row r="871" spans="12:27" ht="25" customHeight="1">
      <c r="L871" s="31"/>
      <c r="M871" s="31"/>
      <c r="N871" s="31"/>
      <c r="R871" s="32"/>
      <c r="X871" s="35"/>
      <c r="Y871" s="102"/>
      <c r="Z871" s="104"/>
      <c r="AA871" s="105"/>
    </row>
    <row r="872" spans="12:27" ht="25" customHeight="1">
      <c r="L872" s="31"/>
      <c r="M872" s="31"/>
      <c r="N872" s="31"/>
      <c r="R872" s="32"/>
      <c r="X872" s="35"/>
      <c r="Y872" s="102"/>
      <c r="Z872" s="104"/>
      <c r="AA872" s="105"/>
    </row>
    <row r="873" spans="12:27" ht="25" customHeight="1">
      <c r="L873" s="31"/>
      <c r="M873" s="31"/>
      <c r="N873" s="31"/>
      <c r="R873" s="32"/>
      <c r="X873" s="35"/>
      <c r="Y873" s="102"/>
      <c r="Z873" s="104"/>
      <c r="AA873" s="105"/>
    </row>
    <row r="874" spans="12:27" ht="25" customHeight="1">
      <c r="L874" s="31"/>
      <c r="M874" s="31"/>
      <c r="N874" s="31"/>
      <c r="R874" s="32"/>
      <c r="X874" s="35"/>
      <c r="Y874" s="102"/>
      <c r="Z874" s="104"/>
      <c r="AA874" s="105"/>
    </row>
    <row r="875" spans="12:27" ht="25" customHeight="1">
      <c r="L875" s="31"/>
      <c r="M875" s="31"/>
      <c r="N875" s="31"/>
      <c r="R875" s="32"/>
      <c r="X875" s="35"/>
      <c r="Y875" s="102"/>
      <c r="Z875" s="104"/>
      <c r="AA875" s="105"/>
    </row>
    <row r="876" spans="12:27" ht="25" customHeight="1">
      <c r="L876" s="31"/>
      <c r="M876" s="31"/>
      <c r="N876" s="31"/>
      <c r="R876" s="32"/>
      <c r="X876" s="35"/>
      <c r="Y876" s="102"/>
      <c r="Z876" s="104"/>
      <c r="AA876" s="105"/>
    </row>
    <row r="877" spans="12:27" ht="25" customHeight="1">
      <c r="L877" s="31"/>
      <c r="M877" s="31"/>
      <c r="N877" s="31"/>
      <c r="R877" s="32"/>
      <c r="X877" s="35"/>
      <c r="Y877" s="102"/>
      <c r="Z877" s="104"/>
      <c r="AA877" s="105"/>
    </row>
    <row r="878" spans="12:27" ht="25" customHeight="1">
      <c r="L878" s="31"/>
      <c r="M878" s="31"/>
      <c r="N878" s="31"/>
      <c r="R878" s="32"/>
      <c r="X878" s="35"/>
      <c r="Y878" s="102"/>
      <c r="Z878" s="104"/>
      <c r="AA878" s="105"/>
    </row>
    <row r="879" spans="12:27" ht="25" customHeight="1">
      <c r="L879" s="31"/>
      <c r="M879" s="31"/>
      <c r="N879" s="31"/>
      <c r="R879" s="32"/>
      <c r="X879" s="35"/>
      <c r="Y879" s="102"/>
      <c r="Z879" s="104"/>
      <c r="AA879" s="105"/>
    </row>
    <row r="880" spans="12:27" ht="25" customHeight="1">
      <c r="L880" s="31"/>
      <c r="M880" s="31"/>
      <c r="N880" s="31"/>
      <c r="R880" s="32"/>
      <c r="X880" s="35"/>
      <c r="Y880" s="102"/>
      <c r="Z880" s="104"/>
      <c r="AA880" s="105"/>
    </row>
    <row r="881" spans="12:27" ht="25" customHeight="1">
      <c r="L881" s="31"/>
      <c r="M881" s="31"/>
      <c r="N881" s="31"/>
      <c r="R881" s="32"/>
      <c r="X881" s="35"/>
      <c r="Y881" s="102"/>
      <c r="Z881" s="104"/>
      <c r="AA881" s="105"/>
    </row>
    <row r="882" spans="12:27" ht="25" customHeight="1">
      <c r="L882" s="31"/>
      <c r="M882" s="31"/>
      <c r="N882" s="31"/>
      <c r="R882" s="32"/>
      <c r="X882" s="35"/>
      <c r="Y882" s="102"/>
      <c r="Z882" s="104"/>
      <c r="AA882" s="105"/>
    </row>
    <row r="883" spans="12:27" ht="25" customHeight="1">
      <c r="L883" s="31"/>
      <c r="M883" s="31"/>
      <c r="N883" s="31"/>
      <c r="R883" s="32"/>
      <c r="X883" s="35"/>
      <c r="Y883" s="102"/>
      <c r="Z883" s="104"/>
      <c r="AA883" s="105"/>
    </row>
    <row r="884" spans="12:27" ht="25" customHeight="1">
      <c r="L884" s="31"/>
      <c r="M884" s="31"/>
      <c r="N884" s="31"/>
      <c r="R884" s="32"/>
      <c r="X884" s="35"/>
      <c r="Y884" s="102"/>
      <c r="Z884" s="104"/>
      <c r="AA884" s="105"/>
    </row>
    <row r="885" spans="12:27" ht="25" customHeight="1">
      <c r="L885" s="31"/>
      <c r="M885" s="31"/>
      <c r="N885" s="31"/>
      <c r="R885" s="32"/>
      <c r="X885" s="35"/>
      <c r="Y885" s="102"/>
      <c r="Z885" s="104"/>
      <c r="AA885" s="105"/>
    </row>
    <row r="886" spans="12:27" ht="25" customHeight="1">
      <c r="L886" s="31"/>
      <c r="M886" s="31"/>
      <c r="N886" s="31"/>
      <c r="R886" s="32"/>
      <c r="X886" s="35"/>
      <c r="Y886" s="102"/>
      <c r="Z886" s="104"/>
      <c r="AA886" s="105"/>
    </row>
    <row r="887" spans="12:27" ht="25" customHeight="1">
      <c r="L887" s="31"/>
      <c r="M887" s="31"/>
      <c r="N887" s="31"/>
      <c r="R887" s="32"/>
      <c r="X887" s="35"/>
      <c r="Y887" s="102"/>
      <c r="Z887" s="104"/>
      <c r="AA887" s="105"/>
    </row>
    <row r="888" spans="12:27" ht="25" customHeight="1">
      <c r="L888" s="31"/>
      <c r="M888" s="31"/>
      <c r="N888" s="31"/>
      <c r="R888" s="32"/>
      <c r="X888" s="35"/>
      <c r="Y888" s="102"/>
      <c r="Z888" s="104"/>
      <c r="AA888" s="105"/>
    </row>
    <row r="889" spans="12:27" ht="25" customHeight="1">
      <c r="L889" s="31"/>
      <c r="M889" s="31"/>
      <c r="N889" s="31"/>
      <c r="R889" s="32"/>
      <c r="X889" s="35"/>
      <c r="Y889" s="102"/>
      <c r="Z889" s="104"/>
      <c r="AA889" s="105"/>
    </row>
    <row r="890" spans="12:27" ht="25" customHeight="1">
      <c r="L890" s="31"/>
      <c r="M890" s="31"/>
      <c r="N890" s="31"/>
      <c r="R890" s="32"/>
      <c r="X890" s="35"/>
      <c r="Y890" s="102"/>
      <c r="Z890" s="104"/>
      <c r="AA890" s="105"/>
    </row>
    <row r="891" spans="12:27" ht="25" customHeight="1">
      <c r="L891" s="31"/>
      <c r="M891" s="31"/>
      <c r="N891" s="31"/>
      <c r="R891" s="32"/>
      <c r="X891" s="35"/>
      <c r="Y891" s="102"/>
      <c r="Z891" s="104"/>
      <c r="AA891" s="105"/>
    </row>
    <row r="892" spans="12:27" ht="25" customHeight="1">
      <c r="L892" s="31"/>
      <c r="M892" s="31"/>
      <c r="N892" s="31"/>
      <c r="R892" s="32"/>
      <c r="X892" s="35"/>
      <c r="Y892" s="102"/>
      <c r="Z892" s="104"/>
      <c r="AA892" s="105"/>
    </row>
    <row r="893" spans="12:27" ht="25" customHeight="1">
      <c r="L893" s="31"/>
      <c r="M893" s="31"/>
      <c r="N893" s="31"/>
      <c r="R893" s="32"/>
      <c r="X893" s="35"/>
      <c r="Y893" s="102"/>
      <c r="Z893" s="104"/>
      <c r="AA893" s="105"/>
    </row>
    <row r="894" spans="12:27" ht="25" customHeight="1">
      <c r="L894" s="31"/>
      <c r="M894" s="31"/>
      <c r="N894" s="31"/>
      <c r="R894" s="32"/>
      <c r="X894" s="35"/>
      <c r="Y894" s="102"/>
      <c r="Z894" s="104"/>
      <c r="AA894" s="105"/>
    </row>
    <row r="895" spans="12:27" ht="25" customHeight="1">
      <c r="L895" s="31"/>
      <c r="M895" s="31"/>
      <c r="N895" s="31"/>
      <c r="R895" s="32"/>
      <c r="X895" s="35"/>
      <c r="Y895" s="102"/>
      <c r="Z895" s="104"/>
      <c r="AA895" s="105"/>
    </row>
    <row r="896" spans="12:27" ht="25" customHeight="1">
      <c r="L896" s="31"/>
      <c r="M896" s="31"/>
      <c r="N896" s="31"/>
      <c r="R896" s="32"/>
      <c r="X896" s="35"/>
      <c r="Y896" s="102"/>
      <c r="Z896" s="104"/>
      <c r="AA896" s="105"/>
    </row>
    <row r="897" spans="12:27" ht="25" customHeight="1">
      <c r="L897" s="31"/>
      <c r="M897" s="31"/>
      <c r="N897" s="31"/>
      <c r="R897" s="32"/>
      <c r="X897" s="35"/>
      <c r="Y897" s="102"/>
      <c r="Z897" s="104"/>
      <c r="AA897" s="105"/>
    </row>
    <row r="898" spans="12:27" ht="25" customHeight="1">
      <c r="L898" s="31"/>
      <c r="M898" s="31"/>
      <c r="N898" s="31"/>
      <c r="R898" s="32"/>
      <c r="X898" s="35"/>
      <c r="Y898" s="102"/>
      <c r="Z898" s="104"/>
      <c r="AA898" s="105"/>
    </row>
    <row r="899" spans="12:27" ht="25" customHeight="1">
      <c r="L899" s="31"/>
      <c r="M899" s="31"/>
      <c r="N899" s="31"/>
      <c r="R899" s="32"/>
      <c r="X899" s="35"/>
      <c r="Y899" s="102"/>
      <c r="Z899" s="104"/>
      <c r="AA899" s="105"/>
    </row>
    <row r="900" spans="12:27" ht="25" customHeight="1">
      <c r="L900" s="31"/>
      <c r="M900" s="31"/>
      <c r="N900" s="31"/>
      <c r="R900" s="32"/>
      <c r="X900" s="35"/>
      <c r="Y900" s="102"/>
      <c r="Z900" s="104"/>
      <c r="AA900" s="105"/>
    </row>
    <row r="901" spans="12:27" ht="25" customHeight="1">
      <c r="L901" s="31"/>
      <c r="M901" s="31"/>
      <c r="N901" s="31"/>
      <c r="R901" s="32"/>
      <c r="X901" s="35"/>
      <c r="Y901" s="102"/>
      <c r="Z901" s="104"/>
      <c r="AA901" s="105"/>
    </row>
    <row r="902" spans="12:27" ht="25" customHeight="1">
      <c r="L902" s="31"/>
      <c r="M902" s="31"/>
      <c r="N902" s="31"/>
      <c r="R902" s="32"/>
      <c r="X902" s="35"/>
      <c r="Y902" s="102"/>
      <c r="Z902" s="104"/>
      <c r="AA902" s="105"/>
    </row>
    <row r="903" spans="12:27" ht="25" customHeight="1">
      <c r="L903" s="31"/>
      <c r="M903" s="31"/>
      <c r="N903" s="31"/>
      <c r="R903" s="32"/>
      <c r="X903" s="35"/>
      <c r="Y903" s="102"/>
      <c r="Z903" s="104"/>
      <c r="AA903" s="105"/>
    </row>
    <row r="904" spans="12:27" ht="25" customHeight="1">
      <c r="L904" s="31"/>
      <c r="M904" s="31"/>
      <c r="N904" s="31"/>
      <c r="R904" s="32"/>
      <c r="X904" s="35"/>
      <c r="Y904" s="102"/>
      <c r="Z904" s="104"/>
      <c r="AA904" s="105"/>
    </row>
    <row r="905" spans="12:27" ht="25" customHeight="1">
      <c r="L905" s="31"/>
      <c r="M905" s="31"/>
      <c r="N905" s="31"/>
      <c r="R905" s="32"/>
      <c r="X905" s="35"/>
      <c r="Y905" s="102"/>
      <c r="Z905" s="104"/>
      <c r="AA905" s="105"/>
    </row>
    <row r="906" spans="12:27" ht="25" customHeight="1">
      <c r="L906" s="31"/>
      <c r="M906" s="31"/>
      <c r="N906" s="31"/>
      <c r="R906" s="32"/>
      <c r="X906" s="35"/>
      <c r="Y906" s="102"/>
      <c r="Z906" s="104"/>
      <c r="AA906" s="105"/>
    </row>
    <row r="907" spans="12:27" ht="25" customHeight="1">
      <c r="L907" s="31"/>
      <c r="M907" s="31"/>
      <c r="N907" s="31"/>
      <c r="R907" s="32"/>
      <c r="X907" s="35"/>
      <c r="Y907" s="102"/>
      <c r="Z907" s="104"/>
      <c r="AA907" s="105"/>
    </row>
    <row r="908" spans="12:27" ht="25" customHeight="1">
      <c r="L908" s="31"/>
      <c r="M908" s="31"/>
      <c r="N908" s="31"/>
      <c r="R908" s="32"/>
      <c r="X908" s="35"/>
      <c r="Y908" s="102"/>
      <c r="Z908" s="104"/>
      <c r="AA908" s="105"/>
    </row>
    <row r="909" spans="12:27" ht="25" customHeight="1">
      <c r="L909" s="31"/>
      <c r="M909" s="31"/>
      <c r="N909" s="31"/>
      <c r="R909" s="32"/>
      <c r="X909" s="35"/>
      <c r="Y909" s="102"/>
      <c r="Z909" s="104"/>
      <c r="AA909" s="105"/>
    </row>
    <row r="910" spans="12:27" ht="25" customHeight="1">
      <c r="L910" s="31"/>
      <c r="M910" s="31"/>
      <c r="N910" s="31"/>
      <c r="R910" s="32"/>
      <c r="X910" s="35"/>
      <c r="Y910" s="102"/>
      <c r="Z910" s="104"/>
      <c r="AA910" s="105"/>
    </row>
    <row r="911" spans="12:27" ht="25" customHeight="1">
      <c r="L911" s="31"/>
      <c r="M911" s="31"/>
      <c r="N911" s="31"/>
      <c r="R911" s="32"/>
      <c r="X911" s="35"/>
      <c r="Y911" s="102"/>
      <c r="Z911" s="104"/>
      <c r="AA911" s="105"/>
    </row>
    <row r="912" spans="12:27" ht="25" customHeight="1">
      <c r="L912" s="31"/>
      <c r="M912" s="31"/>
      <c r="N912" s="31"/>
      <c r="R912" s="32"/>
      <c r="X912" s="35"/>
      <c r="Y912" s="102"/>
      <c r="Z912" s="104"/>
      <c r="AA912" s="105"/>
    </row>
    <row r="913" spans="12:27" ht="25" customHeight="1">
      <c r="L913" s="31"/>
      <c r="M913" s="31"/>
      <c r="N913" s="31"/>
      <c r="R913" s="32"/>
      <c r="X913" s="35"/>
      <c r="Y913" s="102"/>
      <c r="Z913" s="104"/>
      <c r="AA913" s="105"/>
    </row>
    <row r="914" spans="12:27" ht="25" customHeight="1">
      <c r="L914" s="31"/>
      <c r="M914" s="31"/>
      <c r="N914" s="31"/>
      <c r="R914" s="32"/>
      <c r="X914" s="35"/>
      <c r="Y914" s="102"/>
      <c r="Z914" s="104"/>
      <c r="AA914" s="105"/>
    </row>
    <row r="915" spans="12:27" ht="25" customHeight="1">
      <c r="L915" s="31"/>
      <c r="M915" s="31"/>
      <c r="N915" s="31"/>
      <c r="R915" s="32"/>
      <c r="X915" s="35"/>
      <c r="Y915" s="102"/>
      <c r="Z915" s="104"/>
      <c r="AA915" s="105"/>
    </row>
    <row r="916" spans="12:27" ht="25" customHeight="1">
      <c r="L916" s="31"/>
      <c r="M916" s="31"/>
      <c r="N916" s="31"/>
      <c r="R916" s="32"/>
      <c r="X916" s="35"/>
      <c r="Y916" s="102"/>
      <c r="Z916" s="104"/>
      <c r="AA916" s="105"/>
    </row>
    <row r="917" spans="12:27" ht="25" customHeight="1">
      <c r="L917" s="31"/>
      <c r="M917" s="31"/>
      <c r="N917" s="31"/>
      <c r="R917" s="32"/>
      <c r="X917" s="35"/>
      <c r="Y917" s="102"/>
      <c r="Z917" s="104"/>
      <c r="AA917" s="105"/>
    </row>
    <row r="918" spans="12:27" ht="25" customHeight="1">
      <c r="L918" s="31"/>
      <c r="M918" s="31"/>
      <c r="N918" s="31"/>
      <c r="R918" s="32"/>
      <c r="X918" s="35"/>
      <c r="Y918" s="102"/>
      <c r="Z918" s="104"/>
      <c r="AA918" s="105"/>
    </row>
    <row r="919" spans="12:27" ht="25" customHeight="1">
      <c r="L919" s="31"/>
      <c r="M919" s="31"/>
      <c r="N919" s="31"/>
      <c r="R919" s="32"/>
      <c r="X919" s="35"/>
      <c r="Y919" s="102"/>
      <c r="Z919" s="104"/>
      <c r="AA919" s="105"/>
    </row>
    <row r="920" spans="12:27" ht="25" customHeight="1">
      <c r="L920" s="31"/>
      <c r="M920" s="31"/>
      <c r="N920" s="31"/>
      <c r="R920" s="32"/>
      <c r="X920" s="35"/>
      <c r="Y920" s="102"/>
      <c r="Z920" s="104"/>
      <c r="AA920" s="105"/>
    </row>
    <row r="921" spans="12:27" ht="25" customHeight="1">
      <c r="L921" s="31"/>
      <c r="M921" s="31"/>
      <c r="N921" s="31"/>
      <c r="R921" s="32"/>
      <c r="X921" s="35"/>
      <c r="Y921" s="102"/>
      <c r="Z921" s="104"/>
      <c r="AA921" s="105"/>
    </row>
    <row r="922" spans="12:27" ht="25" customHeight="1">
      <c r="L922" s="31"/>
      <c r="M922" s="31"/>
      <c r="N922" s="31"/>
      <c r="R922" s="32"/>
      <c r="X922" s="35"/>
      <c r="Y922" s="102"/>
      <c r="Z922" s="104"/>
      <c r="AA922" s="105"/>
    </row>
    <row r="923" spans="12:27" ht="25" customHeight="1">
      <c r="L923" s="31"/>
      <c r="M923" s="31"/>
      <c r="N923" s="31"/>
      <c r="R923" s="32"/>
      <c r="X923" s="35"/>
      <c r="Y923" s="102"/>
      <c r="Z923" s="104"/>
      <c r="AA923" s="105"/>
    </row>
    <row r="924" spans="12:27" ht="25" customHeight="1">
      <c r="L924" s="31"/>
      <c r="M924" s="31"/>
      <c r="N924" s="31"/>
      <c r="R924" s="32"/>
      <c r="X924" s="35"/>
      <c r="Y924" s="102"/>
      <c r="Z924" s="104"/>
      <c r="AA924" s="105"/>
    </row>
    <row r="925" spans="12:27" ht="25" customHeight="1">
      <c r="L925" s="31"/>
      <c r="M925" s="31"/>
      <c r="N925" s="31"/>
      <c r="R925" s="32"/>
      <c r="X925" s="35"/>
      <c r="Y925" s="102"/>
      <c r="Z925" s="104"/>
      <c r="AA925" s="105"/>
    </row>
    <row r="926" spans="12:27" ht="25" customHeight="1">
      <c r="L926" s="31"/>
      <c r="M926" s="31"/>
      <c r="N926" s="31"/>
      <c r="R926" s="32"/>
      <c r="X926" s="35"/>
      <c r="Y926" s="102"/>
      <c r="Z926" s="104"/>
      <c r="AA926" s="105"/>
    </row>
    <row r="927" spans="12:27" ht="25" customHeight="1">
      <c r="L927" s="31"/>
      <c r="M927" s="31"/>
      <c r="N927" s="31"/>
      <c r="R927" s="32"/>
      <c r="X927" s="35"/>
      <c r="Y927" s="102"/>
      <c r="Z927" s="104"/>
      <c r="AA927" s="105"/>
    </row>
    <row r="928" spans="12:27" ht="25" customHeight="1">
      <c r="L928" s="31"/>
      <c r="M928" s="31"/>
      <c r="N928" s="31"/>
      <c r="R928" s="32"/>
      <c r="X928" s="35"/>
      <c r="Y928" s="102"/>
      <c r="Z928" s="104"/>
      <c r="AA928" s="105"/>
    </row>
    <row r="929" spans="12:27" ht="25" customHeight="1">
      <c r="L929" s="31"/>
      <c r="M929" s="31"/>
      <c r="N929" s="31"/>
      <c r="R929" s="32"/>
      <c r="X929" s="35"/>
      <c r="Y929" s="102"/>
      <c r="Z929" s="104"/>
      <c r="AA929" s="105"/>
    </row>
    <row r="930" spans="12:27" ht="25" customHeight="1">
      <c r="L930" s="31"/>
      <c r="M930" s="31"/>
      <c r="N930" s="31"/>
      <c r="R930" s="32"/>
      <c r="X930" s="35"/>
      <c r="Y930" s="102"/>
      <c r="Z930" s="104"/>
      <c r="AA930" s="105"/>
    </row>
    <row r="931" spans="12:27" ht="25" customHeight="1">
      <c r="L931" s="31"/>
      <c r="M931" s="31"/>
      <c r="N931" s="31"/>
      <c r="R931" s="32"/>
      <c r="X931" s="35"/>
      <c r="Y931" s="102"/>
      <c r="Z931" s="104"/>
      <c r="AA931" s="105"/>
    </row>
    <row r="932" spans="12:27" ht="25" customHeight="1">
      <c r="L932" s="31"/>
      <c r="M932" s="31"/>
      <c r="N932" s="31"/>
      <c r="R932" s="32"/>
      <c r="X932" s="35"/>
      <c r="Y932" s="102"/>
      <c r="Z932" s="104"/>
      <c r="AA932" s="105"/>
    </row>
    <row r="933" spans="12:27" ht="25" customHeight="1">
      <c r="L933" s="31"/>
      <c r="M933" s="31"/>
      <c r="N933" s="31"/>
      <c r="R933" s="32"/>
      <c r="X933" s="35"/>
      <c r="Y933" s="102"/>
      <c r="Z933" s="104"/>
      <c r="AA933" s="105"/>
    </row>
    <row r="934" spans="12:27" ht="25" customHeight="1">
      <c r="L934" s="31"/>
      <c r="M934" s="31"/>
      <c r="N934" s="31"/>
      <c r="R934" s="32"/>
      <c r="X934" s="35"/>
      <c r="Y934" s="102"/>
      <c r="Z934" s="104"/>
      <c r="AA934" s="105"/>
    </row>
    <row r="935" spans="12:27" ht="25" customHeight="1">
      <c r="L935" s="31"/>
      <c r="M935" s="31"/>
      <c r="N935" s="31"/>
      <c r="R935" s="32"/>
      <c r="X935" s="35"/>
      <c r="Y935" s="102"/>
      <c r="Z935" s="104"/>
      <c r="AA935" s="105"/>
    </row>
    <row r="936" spans="12:27" ht="25" customHeight="1">
      <c r="L936" s="31"/>
      <c r="M936" s="31"/>
      <c r="N936" s="31"/>
      <c r="R936" s="32"/>
      <c r="X936" s="35"/>
      <c r="Y936" s="102"/>
      <c r="Z936" s="104"/>
      <c r="AA936" s="105"/>
    </row>
    <row r="937" spans="12:27" ht="25" customHeight="1">
      <c r="L937" s="31"/>
      <c r="M937" s="31"/>
      <c r="N937" s="31"/>
      <c r="R937" s="32"/>
      <c r="X937" s="35"/>
      <c r="Y937" s="102"/>
      <c r="Z937" s="104"/>
      <c r="AA937" s="105"/>
    </row>
    <row r="938" spans="12:27" ht="25" customHeight="1">
      <c r="L938" s="31"/>
      <c r="M938" s="31"/>
      <c r="N938" s="31"/>
      <c r="R938" s="32"/>
      <c r="X938" s="35"/>
      <c r="Y938" s="102"/>
      <c r="Z938" s="104"/>
      <c r="AA938" s="105"/>
    </row>
    <row r="939" spans="12:27" ht="25" customHeight="1">
      <c r="L939" s="31"/>
      <c r="M939" s="31"/>
      <c r="N939" s="31"/>
      <c r="R939" s="32"/>
      <c r="X939" s="35"/>
      <c r="Y939" s="102"/>
      <c r="Z939" s="104"/>
      <c r="AA939" s="105"/>
    </row>
    <row r="940" spans="12:27" ht="25" customHeight="1">
      <c r="L940" s="31"/>
      <c r="M940" s="31"/>
      <c r="N940" s="31"/>
      <c r="R940" s="32"/>
      <c r="X940" s="35"/>
      <c r="Y940" s="102"/>
      <c r="Z940" s="104"/>
      <c r="AA940" s="105"/>
    </row>
    <row r="941" spans="12:27" ht="25" customHeight="1">
      <c r="L941" s="31"/>
      <c r="M941" s="31"/>
      <c r="N941" s="31"/>
      <c r="R941" s="32"/>
      <c r="X941" s="35"/>
      <c r="Y941" s="102"/>
      <c r="Z941" s="104"/>
      <c r="AA941" s="105"/>
    </row>
    <row r="942" spans="12:27" ht="25" customHeight="1">
      <c r="L942" s="31"/>
      <c r="M942" s="31"/>
      <c r="N942" s="31"/>
      <c r="R942" s="32"/>
      <c r="X942" s="35"/>
      <c r="Y942" s="102"/>
      <c r="Z942" s="104"/>
      <c r="AA942" s="105"/>
    </row>
    <row r="943" spans="12:27" ht="25" customHeight="1">
      <c r="L943" s="31"/>
      <c r="M943" s="31"/>
      <c r="N943" s="31"/>
      <c r="R943" s="32"/>
      <c r="X943" s="35"/>
      <c r="Y943" s="102"/>
      <c r="Z943" s="104"/>
      <c r="AA943" s="105"/>
    </row>
    <row r="944" spans="12:27" ht="25" customHeight="1">
      <c r="L944" s="31"/>
      <c r="M944" s="31"/>
      <c r="N944" s="31"/>
      <c r="R944" s="32"/>
      <c r="X944" s="35"/>
      <c r="Y944" s="102"/>
      <c r="Z944" s="104"/>
      <c r="AA944" s="105"/>
    </row>
    <row r="945" spans="12:27" ht="25" customHeight="1">
      <c r="L945" s="31"/>
      <c r="M945" s="31"/>
      <c r="N945" s="31"/>
      <c r="R945" s="32"/>
      <c r="X945" s="35"/>
      <c r="Y945" s="102"/>
      <c r="Z945" s="104"/>
      <c r="AA945" s="105"/>
    </row>
    <row r="946" spans="12:27" ht="25" customHeight="1">
      <c r="L946" s="31"/>
      <c r="M946" s="31"/>
      <c r="N946" s="31"/>
      <c r="R946" s="32"/>
      <c r="X946" s="35"/>
      <c r="Y946" s="102"/>
      <c r="Z946" s="104"/>
      <c r="AA946" s="105"/>
    </row>
    <row r="947" spans="12:27" ht="25" customHeight="1">
      <c r="L947" s="31"/>
      <c r="M947" s="31"/>
      <c r="N947" s="31"/>
      <c r="R947" s="32"/>
      <c r="X947" s="35"/>
      <c r="Y947" s="102"/>
      <c r="Z947" s="104"/>
      <c r="AA947" s="105"/>
    </row>
    <row r="948" spans="12:27" ht="25" customHeight="1">
      <c r="L948" s="31"/>
      <c r="M948" s="31"/>
      <c r="N948" s="31"/>
      <c r="R948" s="32"/>
      <c r="X948" s="35"/>
      <c r="Y948" s="102"/>
      <c r="Z948" s="104"/>
      <c r="AA948" s="105"/>
    </row>
    <row r="949" spans="12:27" ht="25" customHeight="1">
      <c r="L949" s="31"/>
      <c r="M949" s="31"/>
      <c r="N949" s="31"/>
      <c r="R949" s="32"/>
      <c r="X949" s="35"/>
      <c r="Y949" s="102"/>
      <c r="Z949" s="104"/>
      <c r="AA949" s="105"/>
    </row>
    <row r="950" spans="12:27" ht="25" customHeight="1">
      <c r="L950" s="31"/>
      <c r="M950" s="31"/>
      <c r="N950" s="31"/>
      <c r="R950" s="32"/>
      <c r="X950" s="35"/>
      <c r="Y950" s="102"/>
      <c r="Z950" s="104"/>
      <c r="AA950" s="105"/>
    </row>
    <row r="951" spans="12:27" ht="25" customHeight="1">
      <c r="L951" s="31"/>
      <c r="M951" s="31"/>
      <c r="N951" s="31"/>
      <c r="R951" s="32"/>
      <c r="X951" s="35"/>
      <c r="Y951" s="102"/>
      <c r="Z951" s="104"/>
      <c r="AA951" s="105"/>
    </row>
    <row r="952" spans="12:27" ht="25" customHeight="1">
      <c r="L952" s="31"/>
      <c r="M952" s="31"/>
      <c r="N952" s="31"/>
      <c r="R952" s="32"/>
      <c r="X952" s="35"/>
      <c r="Y952" s="102"/>
      <c r="Z952" s="104"/>
      <c r="AA952" s="105"/>
    </row>
    <row r="953" spans="12:27" ht="25" customHeight="1">
      <c r="L953" s="31"/>
      <c r="M953" s="31"/>
      <c r="N953" s="31"/>
      <c r="R953" s="32"/>
      <c r="X953" s="35"/>
      <c r="Y953" s="102"/>
      <c r="Z953" s="104"/>
      <c r="AA953" s="105"/>
    </row>
    <row r="954" spans="12:27" ht="25" customHeight="1">
      <c r="L954" s="31"/>
      <c r="M954" s="31"/>
      <c r="N954" s="31"/>
      <c r="R954" s="32"/>
      <c r="X954" s="35"/>
      <c r="Y954" s="102"/>
      <c r="Z954" s="104"/>
      <c r="AA954" s="105"/>
    </row>
    <row r="955" spans="12:27" ht="25" customHeight="1">
      <c r="L955" s="31"/>
      <c r="M955" s="31"/>
      <c r="N955" s="31"/>
      <c r="R955" s="32"/>
      <c r="X955" s="35"/>
      <c r="Y955" s="102"/>
      <c r="Z955" s="104"/>
      <c r="AA955" s="105"/>
    </row>
    <row r="956" spans="12:27" ht="25" customHeight="1">
      <c r="L956" s="31"/>
      <c r="M956" s="31"/>
      <c r="N956" s="31"/>
      <c r="R956" s="32"/>
      <c r="X956" s="35"/>
      <c r="Y956" s="102"/>
      <c r="Z956" s="104"/>
      <c r="AA956" s="105"/>
    </row>
    <row r="957" spans="12:27" ht="25" customHeight="1">
      <c r="L957" s="31"/>
      <c r="M957" s="31"/>
      <c r="N957" s="31"/>
      <c r="R957" s="32"/>
      <c r="X957" s="35"/>
      <c r="Y957" s="102"/>
      <c r="Z957" s="104"/>
      <c r="AA957" s="105"/>
    </row>
    <row r="958" spans="12:27" ht="25" customHeight="1">
      <c r="L958" s="31"/>
      <c r="M958" s="31"/>
      <c r="N958" s="31"/>
      <c r="R958" s="32"/>
      <c r="X958" s="35"/>
      <c r="Y958" s="102"/>
      <c r="Z958" s="104"/>
      <c r="AA958" s="105"/>
    </row>
    <row r="959" spans="12:27" ht="25" customHeight="1">
      <c r="L959" s="31"/>
      <c r="M959" s="31"/>
      <c r="N959" s="31"/>
      <c r="R959" s="32"/>
      <c r="X959" s="35"/>
      <c r="Y959" s="102"/>
      <c r="Z959" s="104"/>
      <c r="AA959" s="105"/>
    </row>
    <row r="960" spans="12:27" ht="25" customHeight="1">
      <c r="L960" s="31"/>
      <c r="M960" s="31"/>
      <c r="N960" s="31"/>
      <c r="R960" s="32"/>
      <c r="X960" s="35"/>
      <c r="Y960" s="102"/>
      <c r="Z960" s="104"/>
      <c r="AA960" s="105"/>
    </row>
    <row r="961" spans="12:27" ht="25" customHeight="1">
      <c r="L961" s="31"/>
      <c r="M961" s="31"/>
      <c r="N961" s="31"/>
      <c r="R961" s="32"/>
      <c r="X961" s="35"/>
      <c r="Y961" s="102"/>
      <c r="Z961" s="104"/>
      <c r="AA961" s="105"/>
    </row>
    <row r="962" spans="12:27" ht="25" customHeight="1">
      <c r="L962" s="31"/>
      <c r="M962" s="31"/>
      <c r="N962" s="31"/>
      <c r="R962" s="32"/>
      <c r="X962" s="35"/>
      <c r="Y962" s="102"/>
      <c r="Z962" s="104"/>
      <c r="AA962" s="105"/>
    </row>
    <row r="963" spans="12:27" ht="25" customHeight="1">
      <c r="L963" s="31"/>
      <c r="M963" s="31"/>
      <c r="N963" s="31"/>
      <c r="R963" s="32"/>
      <c r="X963" s="35"/>
      <c r="Y963" s="102"/>
      <c r="Z963" s="104"/>
      <c r="AA963" s="105"/>
    </row>
    <row r="964" spans="12:27" ht="25" customHeight="1">
      <c r="L964" s="31"/>
      <c r="M964" s="31"/>
      <c r="N964" s="31"/>
      <c r="R964" s="32"/>
      <c r="X964" s="35"/>
      <c r="Y964" s="102"/>
      <c r="Z964" s="104"/>
      <c r="AA964" s="105"/>
    </row>
    <row r="965" spans="12:27" ht="25" customHeight="1">
      <c r="L965" s="31"/>
      <c r="M965" s="31"/>
      <c r="N965" s="31"/>
      <c r="R965" s="32"/>
      <c r="X965" s="35"/>
      <c r="Y965" s="102"/>
      <c r="Z965" s="104"/>
      <c r="AA965" s="105"/>
    </row>
    <row r="966" spans="12:27" ht="25" customHeight="1">
      <c r="L966" s="31"/>
      <c r="M966" s="31"/>
      <c r="N966" s="31"/>
      <c r="R966" s="32"/>
      <c r="X966" s="35"/>
      <c r="Y966" s="102"/>
      <c r="Z966" s="104"/>
      <c r="AA966" s="105"/>
    </row>
    <row r="967" spans="12:27" ht="25" customHeight="1">
      <c r="L967" s="31"/>
      <c r="M967" s="31"/>
      <c r="N967" s="31"/>
      <c r="R967" s="32"/>
      <c r="X967" s="35"/>
      <c r="Y967" s="102"/>
      <c r="Z967" s="104"/>
      <c r="AA967" s="105"/>
    </row>
    <row r="968" spans="12:27" ht="25" customHeight="1">
      <c r="L968" s="31"/>
      <c r="M968" s="31"/>
      <c r="N968" s="31"/>
      <c r="R968" s="32"/>
      <c r="X968" s="35"/>
      <c r="Y968" s="102"/>
      <c r="Z968" s="104"/>
      <c r="AA968" s="105"/>
    </row>
    <row r="969" spans="12:27" ht="25" customHeight="1">
      <c r="L969" s="31"/>
      <c r="M969" s="31"/>
      <c r="N969" s="31"/>
      <c r="R969" s="32"/>
      <c r="X969" s="35"/>
      <c r="Y969" s="102"/>
      <c r="Z969" s="104"/>
      <c r="AA969" s="105"/>
    </row>
    <row r="970" spans="12:27" ht="25" customHeight="1">
      <c r="L970" s="31"/>
      <c r="M970" s="31"/>
      <c r="N970" s="31"/>
      <c r="R970" s="32"/>
      <c r="X970" s="35"/>
      <c r="Y970" s="102"/>
      <c r="Z970" s="104"/>
      <c r="AA970" s="105"/>
    </row>
    <row r="971" spans="12:27" ht="25" customHeight="1">
      <c r="L971" s="31"/>
      <c r="M971" s="31"/>
      <c r="N971" s="31"/>
      <c r="R971" s="32"/>
      <c r="X971" s="35"/>
      <c r="Y971" s="102"/>
      <c r="Z971" s="104"/>
      <c r="AA971" s="105"/>
    </row>
    <row r="972" spans="12:27" ht="25" customHeight="1">
      <c r="L972" s="31"/>
      <c r="M972" s="31"/>
      <c r="N972" s="31"/>
      <c r="R972" s="32"/>
      <c r="X972" s="35"/>
      <c r="Y972" s="102"/>
      <c r="Z972" s="104"/>
      <c r="AA972" s="105"/>
    </row>
    <row r="973" spans="12:27" ht="25" customHeight="1">
      <c r="L973" s="31"/>
      <c r="M973" s="31"/>
      <c r="N973" s="31"/>
      <c r="R973" s="32"/>
      <c r="X973" s="35"/>
      <c r="Y973" s="102"/>
      <c r="Z973" s="104"/>
      <c r="AA973" s="105"/>
    </row>
    <row r="974" spans="12:27" ht="25" customHeight="1">
      <c r="L974" s="31"/>
      <c r="M974" s="31"/>
      <c r="N974" s="31"/>
      <c r="R974" s="32"/>
      <c r="X974" s="35"/>
      <c r="Y974" s="102"/>
      <c r="Z974" s="104"/>
      <c r="AA974" s="105"/>
    </row>
    <row r="975" spans="12:27" ht="25" customHeight="1">
      <c r="L975" s="31"/>
      <c r="M975" s="31"/>
      <c r="N975" s="31"/>
      <c r="R975" s="32"/>
      <c r="X975" s="35"/>
      <c r="Y975" s="102"/>
      <c r="Z975" s="104"/>
      <c r="AA975" s="105"/>
    </row>
    <row r="976" spans="12:27" ht="25" customHeight="1">
      <c r="L976" s="31"/>
      <c r="M976" s="31"/>
      <c r="N976" s="31"/>
      <c r="R976" s="32"/>
      <c r="X976" s="35"/>
      <c r="Y976" s="102"/>
      <c r="Z976" s="104"/>
      <c r="AA976" s="105"/>
    </row>
    <row r="977" spans="12:27" ht="25" customHeight="1">
      <c r="L977" s="31"/>
      <c r="M977" s="31"/>
      <c r="N977" s="31"/>
      <c r="R977" s="32"/>
      <c r="X977" s="35"/>
      <c r="Y977" s="102"/>
      <c r="Z977" s="104"/>
      <c r="AA977" s="105"/>
    </row>
    <row r="978" spans="12:27" ht="25" customHeight="1">
      <c r="L978" s="31"/>
      <c r="M978" s="31"/>
      <c r="N978" s="31"/>
      <c r="R978" s="32"/>
      <c r="X978" s="35"/>
      <c r="Y978" s="102"/>
      <c r="Z978" s="104"/>
      <c r="AA978" s="105"/>
    </row>
    <row r="979" spans="12:27" ht="25" customHeight="1">
      <c r="L979" s="31"/>
      <c r="M979" s="31"/>
      <c r="N979" s="31"/>
      <c r="R979" s="32"/>
      <c r="X979" s="35"/>
      <c r="Y979" s="102"/>
      <c r="Z979" s="104"/>
      <c r="AA979" s="105"/>
    </row>
    <row r="980" spans="12:27" ht="25" customHeight="1">
      <c r="L980" s="31"/>
      <c r="M980" s="31"/>
      <c r="N980" s="31"/>
      <c r="R980" s="32"/>
      <c r="X980" s="35"/>
      <c r="Y980" s="102"/>
      <c r="Z980" s="104"/>
      <c r="AA980" s="105"/>
    </row>
    <row r="981" spans="12:27" ht="25" customHeight="1">
      <c r="L981" s="31"/>
      <c r="M981" s="31"/>
      <c r="N981" s="31"/>
      <c r="R981" s="32"/>
      <c r="X981" s="35"/>
      <c r="Y981" s="102"/>
      <c r="Z981" s="104"/>
      <c r="AA981" s="105"/>
    </row>
    <row r="982" spans="12:27" ht="25" customHeight="1">
      <c r="L982" s="31"/>
      <c r="M982" s="31"/>
      <c r="N982" s="31"/>
      <c r="R982" s="32"/>
      <c r="X982" s="35"/>
      <c r="Y982" s="102"/>
      <c r="Z982" s="104"/>
      <c r="AA982" s="105"/>
    </row>
    <row r="983" spans="12:27" ht="25" customHeight="1">
      <c r="L983" s="31"/>
      <c r="M983" s="31"/>
      <c r="N983" s="31"/>
      <c r="R983" s="32"/>
      <c r="X983" s="35"/>
      <c r="Y983" s="102"/>
      <c r="Z983" s="104"/>
      <c r="AA983" s="105"/>
    </row>
    <row r="984" spans="12:27" ht="25" customHeight="1">
      <c r="L984" s="31"/>
      <c r="M984" s="31"/>
      <c r="N984" s="31"/>
      <c r="R984" s="32"/>
      <c r="X984" s="35"/>
      <c r="Y984" s="102"/>
      <c r="Z984" s="104"/>
      <c r="AA984" s="105"/>
    </row>
    <row r="985" spans="12:27" ht="25" customHeight="1">
      <c r="L985" s="31"/>
      <c r="M985" s="31"/>
      <c r="N985" s="31"/>
      <c r="R985" s="32"/>
      <c r="X985" s="35"/>
      <c r="Y985" s="102"/>
      <c r="Z985" s="104"/>
      <c r="AA985" s="105"/>
    </row>
    <row r="986" spans="12:27" ht="25" customHeight="1">
      <c r="L986" s="31"/>
      <c r="M986" s="31"/>
      <c r="N986" s="31"/>
      <c r="R986" s="32"/>
      <c r="X986" s="35"/>
      <c r="Y986" s="102"/>
      <c r="Z986" s="104"/>
      <c r="AA986" s="105"/>
    </row>
    <row r="987" spans="12:27" ht="25" customHeight="1">
      <c r="L987" s="31"/>
      <c r="M987" s="31"/>
      <c r="N987" s="31"/>
      <c r="R987" s="32"/>
      <c r="X987" s="35"/>
      <c r="Y987" s="102"/>
      <c r="Z987" s="104"/>
      <c r="AA987" s="105"/>
    </row>
    <row r="988" spans="12:27" ht="25" customHeight="1">
      <c r="L988" s="31"/>
      <c r="M988" s="31"/>
      <c r="N988" s="31"/>
      <c r="R988" s="32"/>
      <c r="X988" s="35"/>
      <c r="Y988" s="102"/>
      <c r="Z988" s="104"/>
      <c r="AA988" s="105"/>
    </row>
    <row r="989" spans="12:27" ht="25" customHeight="1">
      <c r="L989" s="31"/>
      <c r="M989" s="31"/>
      <c r="N989" s="31"/>
      <c r="R989" s="32"/>
      <c r="X989" s="35"/>
      <c r="Y989" s="102"/>
      <c r="Z989" s="104"/>
      <c r="AA989" s="105"/>
    </row>
    <row r="990" spans="12:27" ht="25" customHeight="1">
      <c r="L990" s="31"/>
      <c r="M990" s="31"/>
      <c r="N990" s="31"/>
      <c r="R990" s="32"/>
      <c r="X990" s="35"/>
      <c r="Y990" s="102"/>
      <c r="Z990" s="104"/>
      <c r="AA990" s="105"/>
    </row>
    <row r="991" spans="12:27" ht="25" customHeight="1">
      <c r="L991" s="31"/>
      <c r="M991" s="31"/>
      <c r="N991" s="31"/>
      <c r="R991" s="32"/>
      <c r="X991" s="35"/>
      <c r="Y991" s="102"/>
      <c r="Z991" s="104"/>
      <c r="AA991" s="105"/>
    </row>
    <row r="992" spans="12:27" ht="25" customHeight="1">
      <c r="L992" s="31"/>
      <c r="M992" s="31"/>
      <c r="N992" s="31"/>
      <c r="R992" s="32"/>
      <c r="X992" s="35"/>
      <c r="Y992" s="102"/>
      <c r="Z992" s="104"/>
      <c r="AA992" s="105"/>
    </row>
    <row r="993" spans="12:27" ht="25" customHeight="1">
      <c r="L993" s="31"/>
      <c r="M993" s="31"/>
      <c r="N993" s="31"/>
      <c r="R993" s="32"/>
      <c r="X993" s="35"/>
      <c r="Y993" s="102"/>
      <c r="Z993" s="104"/>
      <c r="AA993" s="105"/>
    </row>
    <row r="994" spans="12:27" ht="25" customHeight="1">
      <c r="L994" s="31"/>
      <c r="M994" s="31"/>
      <c r="N994" s="31"/>
      <c r="R994" s="32"/>
      <c r="X994" s="35"/>
      <c r="Y994" s="102"/>
      <c r="Z994" s="104"/>
      <c r="AA994" s="105"/>
    </row>
    <row r="995" spans="12:27" ht="25" customHeight="1">
      <c r="L995" s="31"/>
      <c r="M995" s="31"/>
      <c r="N995" s="31"/>
      <c r="R995" s="32"/>
      <c r="X995" s="35"/>
      <c r="Y995" s="102"/>
      <c r="Z995" s="104"/>
      <c r="AA995" s="105"/>
    </row>
    <row r="996" spans="12:27" ht="25" customHeight="1">
      <c r="L996" s="31"/>
      <c r="M996" s="31"/>
      <c r="N996" s="31"/>
      <c r="R996" s="32"/>
      <c r="X996" s="35"/>
      <c r="Y996" s="102"/>
      <c r="Z996" s="104"/>
      <c r="AA996" s="105"/>
    </row>
    <row r="997" spans="12:27" ht="25" customHeight="1">
      <c r="L997" s="31"/>
      <c r="M997" s="31"/>
      <c r="N997" s="31"/>
      <c r="R997" s="32"/>
      <c r="X997" s="35"/>
      <c r="Y997" s="102"/>
      <c r="Z997" s="104"/>
      <c r="AA997" s="105"/>
    </row>
    <row r="998" spans="12:27" ht="25" customHeight="1">
      <c r="L998" s="31"/>
      <c r="M998" s="31"/>
      <c r="N998" s="31"/>
      <c r="R998" s="32"/>
      <c r="X998" s="35"/>
      <c r="Y998" s="102"/>
      <c r="Z998" s="104"/>
      <c r="AA998" s="105"/>
    </row>
    <row r="999" spans="12:27" ht="25" customHeight="1">
      <c r="L999" s="31"/>
      <c r="M999" s="31"/>
      <c r="N999" s="31"/>
      <c r="R999" s="32"/>
      <c r="X999" s="35"/>
      <c r="Y999" s="102"/>
      <c r="Z999" s="104"/>
      <c r="AA999" s="105"/>
    </row>
    <row r="1000" spans="12:27" ht="25" customHeight="1">
      <c r="L1000" s="31"/>
      <c r="M1000" s="31"/>
      <c r="N1000" s="31"/>
      <c r="R1000" s="32"/>
      <c r="X1000" s="35"/>
      <c r="Y1000" s="102"/>
      <c r="Z1000" s="104"/>
      <c r="AA1000" s="105"/>
    </row>
    <row r="1001" spans="12:27" ht="25" customHeight="1">
      <c r="L1001" s="31"/>
      <c r="M1001" s="31"/>
      <c r="N1001" s="31"/>
      <c r="R1001" s="32"/>
      <c r="X1001" s="35"/>
      <c r="Y1001" s="102"/>
      <c r="Z1001" s="104"/>
      <c r="AA1001" s="105"/>
    </row>
    <row r="1002" spans="12:27" ht="25" customHeight="1">
      <c r="L1002" s="31"/>
      <c r="M1002" s="31"/>
      <c r="N1002" s="31"/>
      <c r="R1002" s="32"/>
      <c r="X1002" s="35"/>
      <c r="Y1002" s="102"/>
      <c r="Z1002" s="104"/>
      <c r="AA1002" s="105"/>
    </row>
    <row r="1003" spans="12:27" ht="25" customHeight="1">
      <c r="L1003" s="31"/>
      <c r="M1003" s="31"/>
      <c r="N1003" s="31"/>
      <c r="R1003" s="32"/>
      <c r="X1003" s="35"/>
      <c r="Y1003" s="102"/>
      <c r="Z1003" s="104"/>
      <c r="AA1003" s="105"/>
    </row>
    <row r="1004" spans="12:27" ht="25" customHeight="1">
      <c r="L1004" s="31"/>
      <c r="M1004" s="31"/>
      <c r="N1004" s="31"/>
      <c r="R1004" s="32"/>
      <c r="X1004" s="35"/>
      <c r="Y1004" s="102"/>
      <c r="Z1004" s="104"/>
      <c r="AA1004" s="105"/>
    </row>
    <row r="1005" spans="12:27" ht="25" customHeight="1">
      <c r="L1005" s="31"/>
      <c r="M1005" s="31"/>
      <c r="N1005" s="31"/>
      <c r="R1005" s="32"/>
      <c r="X1005" s="35"/>
      <c r="Y1005" s="102"/>
      <c r="Z1005" s="104"/>
      <c r="AA1005" s="105"/>
    </row>
    <row r="1006" spans="12:27" ht="25" customHeight="1">
      <c r="L1006" s="31"/>
      <c r="M1006" s="31"/>
      <c r="N1006" s="31"/>
      <c r="R1006" s="32"/>
      <c r="X1006" s="35"/>
      <c r="Y1006" s="102"/>
      <c r="Z1006" s="104"/>
      <c r="AA1006" s="105"/>
    </row>
    <row r="1007" spans="12:27" ht="25" customHeight="1">
      <c r="L1007" s="31"/>
      <c r="M1007" s="31"/>
      <c r="N1007" s="31"/>
      <c r="R1007" s="32"/>
      <c r="X1007" s="35"/>
      <c r="Y1007" s="102"/>
      <c r="Z1007" s="104"/>
      <c r="AA1007" s="105"/>
    </row>
    <row r="1008" spans="12:27" ht="25" customHeight="1">
      <c r="L1008" s="31"/>
      <c r="M1008" s="31"/>
      <c r="N1008" s="31"/>
      <c r="R1008" s="32"/>
      <c r="X1008" s="35"/>
      <c r="Y1008" s="102"/>
      <c r="Z1008" s="104"/>
      <c r="AA1008" s="105"/>
    </row>
    <row r="1009" spans="12:27" ht="25" customHeight="1">
      <c r="L1009" s="31"/>
      <c r="M1009" s="31"/>
      <c r="N1009" s="31"/>
      <c r="R1009" s="32"/>
      <c r="X1009" s="35"/>
      <c r="Y1009" s="102"/>
      <c r="Z1009" s="104"/>
      <c r="AA1009" s="105"/>
    </row>
    <row r="1010" spans="12:27" ht="25" customHeight="1">
      <c r="L1010" s="31"/>
      <c r="M1010" s="31"/>
      <c r="N1010" s="31"/>
      <c r="R1010" s="32"/>
      <c r="X1010" s="35"/>
      <c r="Y1010" s="102"/>
      <c r="Z1010" s="104"/>
      <c r="AA1010" s="105"/>
    </row>
    <row r="1011" spans="12:27" ht="25" customHeight="1">
      <c r="L1011" s="31"/>
      <c r="M1011" s="31"/>
      <c r="N1011" s="31"/>
      <c r="R1011" s="32"/>
      <c r="X1011" s="35"/>
      <c r="Y1011" s="102"/>
      <c r="Z1011" s="104"/>
      <c r="AA1011" s="105"/>
    </row>
    <row r="1012" spans="12:27" ht="25" customHeight="1">
      <c r="L1012" s="31"/>
      <c r="M1012" s="31"/>
      <c r="N1012" s="31"/>
      <c r="R1012" s="32"/>
      <c r="X1012" s="35"/>
      <c r="Y1012" s="102"/>
      <c r="Z1012" s="104"/>
      <c r="AA1012" s="105"/>
    </row>
    <row r="1013" spans="12:27" ht="25" customHeight="1">
      <c r="L1013" s="31"/>
      <c r="M1013" s="31"/>
      <c r="N1013" s="31"/>
      <c r="R1013" s="32"/>
      <c r="X1013" s="35"/>
      <c r="Y1013" s="102"/>
      <c r="Z1013" s="104"/>
      <c r="AA1013" s="105"/>
    </row>
    <row r="1014" spans="12:27" ht="25" customHeight="1">
      <c r="L1014" s="31"/>
      <c r="M1014" s="31"/>
      <c r="N1014" s="31"/>
      <c r="R1014" s="32"/>
      <c r="X1014" s="35"/>
      <c r="Y1014" s="102"/>
      <c r="Z1014" s="104"/>
      <c r="AA1014" s="105"/>
    </row>
    <row r="1015" spans="12:27" ht="25" customHeight="1">
      <c r="L1015" s="31"/>
      <c r="M1015" s="31"/>
      <c r="N1015" s="31"/>
      <c r="R1015" s="32"/>
      <c r="X1015" s="35"/>
      <c r="Y1015" s="102"/>
      <c r="Z1015" s="104"/>
      <c r="AA1015" s="105"/>
    </row>
    <row r="1016" spans="12:27" ht="25" customHeight="1">
      <c r="L1016" s="31"/>
      <c r="M1016" s="31"/>
      <c r="N1016" s="31"/>
      <c r="R1016" s="32"/>
      <c r="X1016" s="35"/>
      <c r="Y1016" s="102"/>
      <c r="Z1016" s="104"/>
      <c r="AA1016" s="105"/>
    </row>
    <row r="1017" spans="12:27" ht="25" customHeight="1">
      <c r="L1017" s="31"/>
      <c r="M1017" s="31"/>
      <c r="N1017" s="31"/>
      <c r="R1017" s="32"/>
      <c r="X1017" s="35"/>
      <c r="Y1017" s="102"/>
      <c r="Z1017" s="104"/>
      <c r="AA1017" s="105"/>
    </row>
    <row r="1018" spans="12:27" ht="25" customHeight="1">
      <c r="L1018" s="31"/>
      <c r="M1018" s="31"/>
      <c r="N1018" s="31"/>
      <c r="R1018" s="32"/>
      <c r="X1018" s="35"/>
      <c r="Y1018" s="102"/>
      <c r="Z1018" s="104"/>
      <c r="AA1018" s="105"/>
    </row>
    <row r="1019" spans="12:27" ht="25" customHeight="1">
      <c r="L1019" s="31"/>
      <c r="M1019" s="31"/>
      <c r="N1019" s="31"/>
      <c r="R1019" s="32"/>
      <c r="X1019" s="35"/>
      <c r="Y1019" s="102"/>
      <c r="Z1019" s="104"/>
      <c r="AA1019" s="105"/>
    </row>
    <row r="1020" spans="12:27" ht="25" customHeight="1">
      <c r="L1020" s="31"/>
      <c r="M1020" s="31"/>
      <c r="N1020" s="31"/>
      <c r="R1020" s="32"/>
      <c r="X1020" s="35"/>
      <c r="Y1020" s="102"/>
      <c r="Z1020" s="104"/>
      <c r="AA1020" s="105"/>
    </row>
    <row r="1021" spans="12:27" ht="25" customHeight="1">
      <c r="L1021" s="31"/>
      <c r="M1021" s="31"/>
      <c r="N1021" s="31"/>
      <c r="R1021" s="32"/>
      <c r="X1021" s="35"/>
      <c r="Y1021" s="102"/>
      <c r="Z1021" s="104"/>
      <c r="AA1021" s="105"/>
    </row>
    <row r="1022" spans="12:27" ht="25" customHeight="1">
      <c r="L1022" s="31"/>
      <c r="M1022" s="31"/>
      <c r="N1022" s="31"/>
      <c r="R1022" s="32"/>
      <c r="X1022" s="35"/>
      <c r="Y1022" s="102"/>
      <c r="Z1022" s="104"/>
      <c r="AA1022" s="105"/>
    </row>
    <row r="1023" spans="12:27" ht="25" customHeight="1">
      <c r="L1023" s="31"/>
      <c r="M1023" s="31"/>
      <c r="N1023" s="31"/>
      <c r="R1023" s="32"/>
      <c r="X1023" s="35"/>
      <c r="Y1023" s="102"/>
      <c r="Z1023" s="104"/>
      <c r="AA1023" s="105"/>
    </row>
    <row r="1024" spans="12:27" ht="25" customHeight="1">
      <c r="L1024" s="31"/>
      <c r="M1024" s="31"/>
      <c r="N1024" s="31"/>
      <c r="R1024" s="32"/>
      <c r="X1024" s="35"/>
      <c r="Y1024" s="102"/>
      <c r="Z1024" s="104"/>
      <c r="AA1024" s="105"/>
    </row>
    <row r="1025" spans="12:27" ht="25" customHeight="1">
      <c r="L1025" s="31"/>
      <c r="M1025" s="31"/>
      <c r="N1025" s="31"/>
      <c r="R1025" s="32"/>
      <c r="X1025" s="35"/>
      <c r="Y1025" s="102"/>
      <c r="Z1025" s="104"/>
      <c r="AA1025" s="105"/>
    </row>
    <row r="1026" spans="12:27" ht="25" customHeight="1">
      <c r="L1026" s="31"/>
      <c r="M1026" s="31"/>
      <c r="N1026" s="31"/>
      <c r="R1026" s="32"/>
      <c r="X1026" s="35"/>
      <c r="Y1026" s="102"/>
      <c r="Z1026" s="104"/>
      <c r="AA1026" s="105"/>
    </row>
    <row r="1027" spans="12:27" ht="25" customHeight="1">
      <c r="L1027" s="31"/>
      <c r="M1027" s="31"/>
      <c r="N1027" s="31"/>
      <c r="R1027" s="32"/>
      <c r="X1027" s="35"/>
      <c r="Y1027" s="102"/>
      <c r="Z1027" s="104"/>
      <c r="AA1027" s="105"/>
    </row>
    <row r="1028" spans="12:27" ht="25" customHeight="1">
      <c r="L1028" s="31"/>
      <c r="M1028" s="31"/>
      <c r="N1028" s="31"/>
      <c r="R1028" s="32"/>
      <c r="X1028" s="35"/>
      <c r="Y1028" s="102"/>
      <c r="Z1028" s="104"/>
      <c r="AA1028" s="105"/>
    </row>
    <row r="1029" spans="12:27" ht="25" customHeight="1">
      <c r="L1029" s="31"/>
      <c r="M1029" s="31"/>
      <c r="N1029" s="31"/>
      <c r="R1029" s="32"/>
      <c r="X1029" s="35"/>
      <c r="Y1029" s="102"/>
      <c r="Z1029" s="104"/>
      <c r="AA1029" s="105"/>
    </row>
    <row r="1030" spans="12:27" ht="25" customHeight="1">
      <c r="L1030" s="31"/>
      <c r="M1030" s="31"/>
      <c r="N1030" s="31"/>
      <c r="R1030" s="32"/>
      <c r="X1030" s="35"/>
      <c r="Y1030" s="102"/>
      <c r="Z1030" s="104"/>
      <c r="AA1030" s="105"/>
    </row>
    <row r="1031" spans="12:27" ht="25" customHeight="1">
      <c r="L1031" s="31"/>
      <c r="M1031" s="31"/>
      <c r="N1031" s="31"/>
      <c r="R1031" s="32"/>
      <c r="X1031" s="35"/>
      <c r="Y1031" s="102"/>
      <c r="Z1031" s="104"/>
      <c r="AA1031" s="105"/>
    </row>
    <row r="1032" spans="12:27" ht="25" customHeight="1">
      <c r="L1032" s="31"/>
      <c r="M1032" s="31"/>
      <c r="N1032" s="31"/>
      <c r="R1032" s="32"/>
      <c r="X1032" s="35"/>
      <c r="Y1032" s="102"/>
      <c r="Z1032" s="104"/>
      <c r="AA1032" s="105"/>
    </row>
    <row r="1033" spans="12:27" ht="25" customHeight="1">
      <c r="L1033" s="31"/>
      <c r="M1033" s="31"/>
      <c r="N1033" s="31"/>
      <c r="R1033" s="32"/>
      <c r="X1033" s="35"/>
      <c r="Y1033" s="102"/>
      <c r="Z1033" s="104"/>
      <c r="AA1033" s="105"/>
    </row>
    <row r="1034" spans="12:27" ht="25" customHeight="1">
      <c r="L1034" s="31"/>
      <c r="M1034" s="31"/>
      <c r="N1034" s="31"/>
      <c r="R1034" s="32"/>
      <c r="X1034" s="35"/>
      <c r="Y1034" s="102"/>
      <c r="Z1034" s="104"/>
      <c r="AA1034" s="105"/>
    </row>
    <row r="1035" spans="12:27" ht="25" customHeight="1">
      <c r="L1035" s="31"/>
      <c r="M1035" s="31"/>
      <c r="N1035" s="31"/>
      <c r="R1035" s="32"/>
      <c r="X1035" s="35"/>
      <c r="Y1035" s="102"/>
      <c r="Z1035" s="104"/>
      <c r="AA1035" s="105"/>
    </row>
    <row r="1036" spans="12:27" ht="25" customHeight="1">
      <c r="L1036" s="31"/>
      <c r="M1036" s="31"/>
      <c r="N1036" s="31"/>
      <c r="R1036" s="32"/>
      <c r="X1036" s="35"/>
      <c r="Y1036" s="102"/>
      <c r="Z1036" s="104"/>
      <c r="AA1036" s="105"/>
    </row>
    <row r="1037" spans="12:27" ht="25" customHeight="1">
      <c r="L1037" s="31"/>
      <c r="M1037" s="31"/>
      <c r="N1037" s="31"/>
      <c r="R1037" s="32"/>
      <c r="X1037" s="35"/>
      <c r="Y1037" s="102"/>
      <c r="Z1037" s="104"/>
      <c r="AA1037" s="105"/>
    </row>
    <row r="1038" spans="12:27" ht="25" customHeight="1">
      <c r="L1038" s="31"/>
      <c r="M1038" s="31"/>
      <c r="N1038" s="31"/>
      <c r="R1038" s="32"/>
      <c r="X1038" s="35"/>
      <c r="Y1038" s="102"/>
      <c r="Z1038" s="104"/>
      <c r="AA1038" s="105"/>
    </row>
    <row r="1039" spans="12:27" ht="25" customHeight="1">
      <c r="L1039" s="31"/>
      <c r="M1039" s="31"/>
      <c r="N1039" s="31"/>
      <c r="R1039" s="32"/>
      <c r="X1039" s="35"/>
      <c r="Y1039" s="102"/>
      <c r="Z1039" s="104"/>
      <c r="AA1039" s="105"/>
    </row>
    <row r="1040" spans="12:27" ht="25" customHeight="1">
      <c r="L1040" s="31"/>
      <c r="M1040" s="31"/>
      <c r="N1040" s="31"/>
      <c r="R1040" s="32"/>
      <c r="X1040" s="35"/>
      <c r="Y1040" s="102"/>
      <c r="Z1040" s="104"/>
      <c r="AA1040" s="105"/>
    </row>
    <row r="1041" spans="12:27" ht="25" customHeight="1">
      <c r="L1041" s="31"/>
      <c r="M1041" s="31"/>
      <c r="N1041" s="31"/>
      <c r="R1041" s="32"/>
      <c r="X1041" s="35"/>
      <c r="Y1041" s="102"/>
      <c r="Z1041" s="104"/>
      <c r="AA1041" s="105"/>
    </row>
    <row r="1042" spans="12:27" ht="25" customHeight="1">
      <c r="L1042" s="31"/>
      <c r="M1042" s="31"/>
      <c r="N1042" s="31"/>
      <c r="R1042" s="32"/>
      <c r="X1042" s="35"/>
      <c r="Y1042" s="102"/>
      <c r="Z1042" s="104"/>
      <c r="AA1042" s="105"/>
    </row>
    <row r="1043" spans="12:27" ht="25" customHeight="1">
      <c r="L1043" s="31"/>
      <c r="M1043" s="31"/>
      <c r="N1043" s="31"/>
      <c r="R1043" s="32"/>
      <c r="X1043" s="35"/>
      <c r="Y1043" s="102"/>
      <c r="Z1043" s="104"/>
      <c r="AA1043" s="105"/>
    </row>
    <row r="1044" spans="12:27" ht="25" customHeight="1">
      <c r="L1044" s="31"/>
      <c r="M1044" s="31"/>
      <c r="N1044" s="31"/>
      <c r="R1044" s="32"/>
      <c r="X1044" s="35"/>
      <c r="Y1044" s="102"/>
      <c r="Z1044" s="104"/>
      <c r="AA1044" s="105"/>
    </row>
    <row r="1045" spans="12:27" ht="25" customHeight="1">
      <c r="L1045" s="31"/>
      <c r="M1045" s="31"/>
      <c r="N1045" s="31"/>
      <c r="R1045" s="32"/>
      <c r="X1045" s="35"/>
      <c r="Y1045" s="102"/>
      <c r="Z1045" s="104"/>
      <c r="AA1045" s="105"/>
    </row>
    <row r="1046" spans="12:27" ht="25" customHeight="1">
      <c r="L1046" s="31"/>
      <c r="M1046" s="31"/>
      <c r="N1046" s="31"/>
      <c r="R1046" s="32"/>
      <c r="X1046" s="35"/>
      <c r="Y1046" s="102"/>
      <c r="Z1046" s="104"/>
      <c r="AA1046" s="105"/>
    </row>
    <row r="1047" spans="12:27" ht="25" customHeight="1">
      <c r="L1047" s="31"/>
      <c r="M1047" s="31"/>
      <c r="N1047" s="31"/>
      <c r="R1047" s="32"/>
      <c r="X1047" s="35"/>
      <c r="Y1047" s="102"/>
      <c r="Z1047" s="104"/>
      <c r="AA1047" s="105"/>
    </row>
    <row r="1048" spans="12:27" ht="25" customHeight="1">
      <c r="L1048" s="31"/>
      <c r="M1048" s="31"/>
      <c r="N1048" s="31"/>
      <c r="R1048" s="32"/>
      <c r="X1048" s="35"/>
      <c r="Y1048" s="102"/>
      <c r="Z1048" s="104"/>
      <c r="AA1048" s="105"/>
    </row>
    <row r="1049" spans="12:27" ht="25" customHeight="1">
      <c r="L1049" s="31"/>
      <c r="M1049" s="31"/>
      <c r="N1049" s="31"/>
      <c r="R1049" s="32"/>
      <c r="X1049" s="35"/>
      <c r="Y1049" s="102"/>
      <c r="Z1049" s="104"/>
      <c r="AA1049" s="105"/>
    </row>
    <row r="1050" spans="12:27" ht="25" customHeight="1">
      <c r="L1050" s="31"/>
      <c r="M1050" s="31"/>
      <c r="N1050" s="31"/>
      <c r="R1050" s="32"/>
      <c r="X1050" s="35"/>
      <c r="Y1050" s="102"/>
      <c r="Z1050" s="104"/>
      <c r="AA1050" s="105"/>
    </row>
    <row r="1051" spans="12:27" ht="25" customHeight="1">
      <c r="L1051" s="31"/>
      <c r="M1051" s="31"/>
      <c r="N1051" s="31"/>
      <c r="R1051" s="32"/>
      <c r="X1051" s="35"/>
      <c r="Y1051" s="102"/>
      <c r="Z1051" s="104"/>
      <c r="AA1051" s="105"/>
    </row>
    <row r="1052" spans="12:27" ht="25" customHeight="1">
      <c r="L1052" s="31"/>
      <c r="M1052" s="31"/>
      <c r="N1052" s="31"/>
      <c r="R1052" s="32"/>
      <c r="X1052" s="35"/>
      <c r="Y1052" s="102"/>
      <c r="Z1052" s="104"/>
      <c r="AA1052" s="105"/>
    </row>
    <row r="1053" spans="12:27" ht="25" customHeight="1">
      <c r="L1053" s="31"/>
      <c r="M1053" s="31"/>
      <c r="N1053" s="31"/>
      <c r="R1053" s="32"/>
      <c r="X1053" s="35"/>
      <c r="Y1053" s="102"/>
      <c r="Z1053" s="104"/>
      <c r="AA1053" s="105"/>
    </row>
    <row r="1054" spans="12:27" ht="25" customHeight="1">
      <c r="L1054" s="31"/>
      <c r="M1054" s="31"/>
      <c r="N1054" s="31"/>
      <c r="R1054" s="32"/>
      <c r="X1054" s="35"/>
      <c r="Y1054" s="102"/>
      <c r="Z1054" s="104"/>
      <c r="AA1054" s="105"/>
    </row>
    <row r="1055" spans="12:27" ht="25" customHeight="1">
      <c r="L1055" s="31"/>
      <c r="M1055" s="31"/>
      <c r="N1055" s="31"/>
      <c r="R1055" s="32"/>
      <c r="X1055" s="35"/>
      <c r="Y1055" s="102"/>
      <c r="Z1055" s="104"/>
      <c r="AA1055" s="105"/>
    </row>
    <row r="1056" spans="12:27" ht="25" customHeight="1">
      <c r="L1056" s="31"/>
      <c r="M1056" s="31"/>
      <c r="N1056" s="31"/>
      <c r="R1056" s="32"/>
      <c r="X1056" s="35"/>
      <c r="Y1056" s="102"/>
      <c r="Z1056" s="104"/>
      <c r="AA1056" s="105"/>
    </row>
    <row r="1057" spans="12:27" ht="25" customHeight="1">
      <c r="L1057" s="31"/>
      <c r="M1057" s="31"/>
      <c r="N1057" s="31"/>
      <c r="R1057" s="32"/>
      <c r="X1057" s="35"/>
      <c r="Y1057" s="102"/>
      <c r="Z1057" s="104"/>
      <c r="AA1057" s="105"/>
    </row>
    <row r="1058" spans="12:27" ht="25" customHeight="1">
      <c r="L1058" s="31"/>
      <c r="M1058" s="31"/>
      <c r="N1058" s="31"/>
      <c r="R1058" s="32"/>
      <c r="X1058" s="35"/>
      <c r="Y1058" s="102"/>
      <c r="Z1058" s="104"/>
      <c r="AA1058" s="105"/>
    </row>
    <row r="1059" spans="12:27" ht="25" customHeight="1">
      <c r="L1059" s="31"/>
      <c r="M1059" s="31"/>
      <c r="N1059" s="31"/>
      <c r="R1059" s="32"/>
      <c r="X1059" s="35"/>
      <c r="Y1059" s="102"/>
      <c r="Z1059" s="104"/>
      <c r="AA1059" s="105"/>
    </row>
    <row r="1060" spans="12:27" ht="25" customHeight="1">
      <c r="L1060" s="31"/>
      <c r="M1060" s="31"/>
      <c r="N1060" s="31"/>
      <c r="R1060" s="32"/>
      <c r="X1060" s="35"/>
      <c r="Y1060" s="102"/>
      <c r="Z1060" s="104"/>
      <c r="AA1060" s="105"/>
    </row>
    <row r="1061" spans="12:27" ht="25" customHeight="1">
      <c r="L1061" s="31"/>
      <c r="M1061" s="31"/>
      <c r="N1061" s="31"/>
      <c r="R1061" s="32"/>
      <c r="X1061" s="35"/>
      <c r="Y1061" s="102"/>
      <c r="Z1061" s="104"/>
      <c r="AA1061" s="105"/>
    </row>
    <row r="1062" spans="12:27" ht="25" customHeight="1">
      <c r="L1062" s="31"/>
      <c r="M1062" s="31"/>
      <c r="N1062" s="31"/>
      <c r="R1062" s="32"/>
      <c r="X1062" s="35"/>
      <c r="Y1062" s="102"/>
      <c r="Z1062" s="104"/>
      <c r="AA1062" s="105"/>
    </row>
    <row r="1063" spans="12:27" ht="25" customHeight="1">
      <c r="L1063" s="31"/>
      <c r="M1063" s="31"/>
      <c r="N1063" s="31"/>
      <c r="R1063" s="32"/>
      <c r="X1063" s="35"/>
      <c r="Y1063" s="102"/>
      <c r="Z1063" s="104"/>
      <c r="AA1063" s="105"/>
    </row>
    <row r="1064" spans="12:27" ht="25" customHeight="1">
      <c r="L1064" s="31"/>
      <c r="M1064" s="31"/>
      <c r="N1064" s="31"/>
      <c r="R1064" s="32"/>
      <c r="X1064" s="35"/>
      <c r="Y1064" s="102"/>
      <c r="Z1064" s="104"/>
      <c r="AA1064" s="105"/>
    </row>
    <row r="1065" spans="12:27" ht="25" customHeight="1">
      <c r="L1065" s="31"/>
      <c r="M1065" s="31"/>
      <c r="N1065" s="31"/>
      <c r="R1065" s="32"/>
      <c r="X1065" s="35"/>
      <c r="Y1065" s="102"/>
      <c r="Z1065" s="104"/>
      <c r="AA1065" s="105"/>
    </row>
    <row r="1066" spans="12:27" ht="25" customHeight="1">
      <c r="L1066" s="31"/>
      <c r="M1066" s="31"/>
      <c r="N1066" s="31"/>
      <c r="R1066" s="32"/>
      <c r="X1066" s="35"/>
      <c r="Y1066" s="102"/>
      <c r="Z1066" s="104"/>
      <c r="AA1066" s="105"/>
    </row>
    <row r="1067" spans="12:27" ht="25" customHeight="1">
      <c r="L1067" s="31"/>
      <c r="M1067" s="31"/>
      <c r="N1067" s="31"/>
      <c r="R1067" s="32"/>
      <c r="X1067" s="35"/>
      <c r="Y1067" s="102"/>
      <c r="Z1067" s="104"/>
      <c r="AA1067" s="105"/>
    </row>
    <row r="1068" spans="12:27" ht="25" customHeight="1">
      <c r="L1068" s="31"/>
      <c r="M1068" s="31"/>
      <c r="N1068" s="31"/>
      <c r="R1068" s="32"/>
      <c r="X1068" s="35"/>
      <c r="Y1068" s="102"/>
      <c r="Z1068" s="104"/>
      <c r="AA1068" s="105"/>
    </row>
    <row r="1069" spans="12:27" ht="25" customHeight="1">
      <c r="L1069" s="31"/>
      <c r="M1069" s="31"/>
      <c r="N1069" s="31"/>
      <c r="R1069" s="32"/>
      <c r="X1069" s="35"/>
      <c r="Y1069" s="102"/>
      <c r="Z1069" s="104"/>
      <c r="AA1069" s="105"/>
    </row>
    <row r="1070" spans="12:27" ht="25" customHeight="1">
      <c r="L1070" s="31"/>
      <c r="M1070" s="31"/>
      <c r="N1070" s="31"/>
      <c r="R1070" s="32"/>
      <c r="X1070" s="35"/>
      <c r="Y1070" s="102"/>
      <c r="Z1070" s="104"/>
      <c r="AA1070" s="105"/>
    </row>
    <row r="1071" spans="12:27" ht="25" customHeight="1">
      <c r="L1071" s="31"/>
      <c r="M1071" s="31"/>
      <c r="N1071" s="31"/>
      <c r="R1071" s="32"/>
      <c r="X1071" s="35"/>
      <c r="Y1071" s="102"/>
      <c r="Z1071" s="104"/>
      <c r="AA1071" s="105"/>
    </row>
    <row r="1072" spans="12:27" ht="25" customHeight="1">
      <c r="L1072" s="31"/>
      <c r="M1072" s="31"/>
      <c r="N1072" s="31"/>
      <c r="R1072" s="32"/>
      <c r="X1072" s="35"/>
      <c r="Y1072" s="102"/>
      <c r="Z1072" s="104"/>
      <c r="AA1072" s="105"/>
    </row>
    <row r="1073" spans="12:27" ht="25" customHeight="1">
      <c r="L1073" s="31"/>
      <c r="M1073" s="31"/>
      <c r="N1073" s="31"/>
      <c r="R1073" s="32"/>
      <c r="X1073" s="35"/>
      <c r="Y1073" s="102"/>
      <c r="Z1073" s="104"/>
      <c r="AA1073" s="105"/>
    </row>
    <row r="1074" spans="12:27" ht="25" customHeight="1">
      <c r="L1074" s="31"/>
      <c r="M1074" s="31"/>
      <c r="N1074" s="31"/>
      <c r="R1074" s="32"/>
      <c r="X1074" s="35"/>
      <c r="Y1074" s="102"/>
      <c r="Z1074" s="104"/>
      <c r="AA1074" s="105"/>
    </row>
    <row r="1075" spans="12:27" ht="25" customHeight="1">
      <c r="L1075" s="31"/>
      <c r="M1075" s="31"/>
      <c r="N1075" s="31"/>
      <c r="R1075" s="32"/>
      <c r="X1075" s="35"/>
      <c r="Y1075" s="102"/>
      <c r="Z1075" s="104"/>
      <c r="AA1075" s="105"/>
    </row>
    <row r="1076" spans="12:27" ht="25" customHeight="1">
      <c r="L1076" s="31"/>
      <c r="M1076" s="31"/>
      <c r="N1076" s="31"/>
      <c r="R1076" s="32"/>
      <c r="X1076" s="35"/>
      <c r="Y1076" s="102"/>
      <c r="Z1076" s="104"/>
      <c r="AA1076" s="105"/>
    </row>
    <row r="1077" spans="12:27" ht="25" customHeight="1">
      <c r="L1077" s="31"/>
      <c r="M1077" s="31"/>
      <c r="N1077" s="31"/>
      <c r="R1077" s="32"/>
      <c r="X1077" s="35"/>
      <c r="Y1077" s="102"/>
      <c r="Z1077" s="104"/>
      <c r="AA1077" s="105"/>
    </row>
    <row r="1078" spans="12:27" ht="25" customHeight="1">
      <c r="L1078" s="31"/>
      <c r="M1078" s="31"/>
      <c r="N1078" s="31"/>
      <c r="R1078" s="32"/>
      <c r="X1078" s="35"/>
      <c r="Y1078" s="102"/>
      <c r="Z1078" s="104"/>
      <c r="AA1078" s="105"/>
    </row>
    <row r="1079" spans="12:27" ht="25" customHeight="1">
      <c r="L1079" s="31"/>
      <c r="M1079" s="31"/>
      <c r="N1079" s="31"/>
      <c r="R1079" s="32"/>
      <c r="X1079" s="35"/>
      <c r="Y1079" s="102"/>
      <c r="Z1079" s="104"/>
      <c r="AA1079" s="105"/>
    </row>
    <row r="1080" spans="12:27" ht="25" customHeight="1">
      <c r="L1080" s="31"/>
      <c r="M1080" s="31"/>
      <c r="N1080" s="31"/>
      <c r="R1080" s="32"/>
      <c r="X1080" s="35"/>
      <c r="Y1080" s="102"/>
      <c r="Z1080" s="104"/>
      <c r="AA1080" s="105"/>
    </row>
    <row r="1081" spans="12:27" ht="25" customHeight="1">
      <c r="L1081" s="31"/>
      <c r="M1081" s="31"/>
      <c r="N1081" s="31"/>
      <c r="R1081" s="32"/>
      <c r="X1081" s="35"/>
      <c r="Y1081" s="102"/>
      <c r="Z1081" s="104"/>
      <c r="AA1081" s="105"/>
    </row>
    <row r="1082" spans="12:27" ht="25" customHeight="1">
      <c r="L1082" s="31"/>
      <c r="M1082" s="31"/>
      <c r="N1082" s="31"/>
      <c r="R1082" s="32"/>
      <c r="X1082" s="35"/>
      <c r="Y1082" s="102"/>
      <c r="Z1082" s="104"/>
      <c r="AA1082" s="105"/>
    </row>
    <row r="1083" spans="12:27" ht="25" customHeight="1">
      <c r="L1083" s="31"/>
      <c r="M1083" s="31"/>
      <c r="N1083" s="31"/>
      <c r="R1083" s="32"/>
      <c r="X1083" s="35"/>
      <c r="Y1083" s="102"/>
      <c r="Z1083" s="104"/>
      <c r="AA1083" s="105"/>
    </row>
    <row r="1084" spans="12:27" ht="25" customHeight="1">
      <c r="L1084" s="31"/>
      <c r="M1084" s="31"/>
      <c r="N1084" s="31"/>
      <c r="R1084" s="32"/>
      <c r="X1084" s="35"/>
      <c r="Y1084" s="102"/>
      <c r="Z1084" s="104"/>
      <c r="AA1084" s="105"/>
    </row>
    <row r="1085" spans="12:27" ht="25" customHeight="1">
      <c r="L1085" s="31"/>
      <c r="M1085" s="31"/>
      <c r="N1085" s="31"/>
      <c r="R1085" s="32"/>
      <c r="X1085" s="35"/>
      <c r="Y1085" s="102"/>
      <c r="Z1085" s="104"/>
      <c r="AA1085" s="105"/>
    </row>
    <row r="1086" spans="12:27" ht="25" customHeight="1">
      <c r="L1086" s="31"/>
      <c r="M1086" s="31"/>
      <c r="N1086" s="31"/>
      <c r="R1086" s="32"/>
      <c r="X1086" s="35"/>
      <c r="Y1086" s="102"/>
      <c r="Z1086" s="104"/>
      <c r="AA1086" s="105"/>
    </row>
    <row r="1087" spans="12:27" ht="25" customHeight="1">
      <c r="L1087" s="31"/>
      <c r="M1087" s="31"/>
      <c r="N1087" s="31"/>
      <c r="R1087" s="32"/>
      <c r="X1087" s="35"/>
      <c r="Y1087" s="102"/>
      <c r="Z1087" s="104"/>
      <c r="AA1087" s="105"/>
    </row>
    <row r="1088" spans="12:27" ht="25" customHeight="1">
      <c r="L1088" s="31"/>
      <c r="M1088" s="31"/>
      <c r="N1088" s="31"/>
      <c r="R1088" s="32"/>
      <c r="X1088" s="35"/>
      <c r="Y1088" s="102"/>
      <c r="Z1088" s="104"/>
      <c r="AA1088" s="105"/>
    </row>
    <row r="1089" spans="12:27" ht="25" customHeight="1">
      <c r="L1089" s="31"/>
      <c r="M1089" s="31"/>
      <c r="N1089" s="31"/>
      <c r="R1089" s="32"/>
      <c r="X1089" s="35"/>
      <c r="Y1089" s="102"/>
      <c r="Z1089" s="104"/>
      <c r="AA1089" s="105"/>
    </row>
    <row r="1090" spans="12:27" ht="25" customHeight="1">
      <c r="L1090" s="31"/>
      <c r="M1090" s="31"/>
      <c r="N1090" s="31"/>
      <c r="R1090" s="32"/>
      <c r="X1090" s="35"/>
      <c r="Y1090" s="102"/>
      <c r="Z1090" s="104"/>
      <c r="AA1090" s="105"/>
    </row>
    <row r="1091" spans="12:27" ht="25" customHeight="1">
      <c r="L1091" s="31"/>
      <c r="M1091" s="31"/>
      <c r="N1091" s="31"/>
      <c r="R1091" s="32"/>
      <c r="X1091" s="35"/>
      <c r="Y1091" s="102"/>
      <c r="Z1091" s="104"/>
      <c r="AA1091" s="105"/>
    </row>
    <row r="1092" spans="12:27" ht="25" customHeight="1">
      <c r="L1092" s="31"/>
      <c r="M1092" s="31"/>
      <c r="N1092" s="31"/>
      <c r="R1092" s="32"/>
      <c r="X1092" s="35"/>
      <c r="Y1092" s="102"/>
      <c r="Z1092" s="104"/>
      <c r="AA1092" s="105"/>
    </row>
    <row r="1093" spans="12:27" ht="25" customHeight="1">
      <c r="L1093" s="31"/>
      <c r="M1093" s="31"/>
      <c r="N1093" s="31"/>
      <c r="R1093" s="32"/>
      <c r="X1093" s="35"/>
      <c r="Y1093" s="102"/>
      <c r="Z1093" s="104"/>
      <c r="AA1093" s="105"/>
    </row>
    <row r="1094" spans="12:27" ht="25" customHeight="1">
      <c r="L1094" s="31"/>
      <c r="M1094" s="31"/>
      <c r="N1094" s="31"/>
      <c r="R1094" s="32"/>
      <c r="X1094" s="35"/>
      <c r="Y1094" s="102"/>
      <c r="Z1094" s="104"/>
      <c r="AA1094" s="105"/>
    </row>
    <row r="1095" spans="12:27" ht="25" customHeight="1">
      <c r="L1095" s="31"/>
      <c r="M1095" s="31"/>
      <c r="N1095" s="31"/>
      <c r="R1095" s="32"/>
      <c r="X1095" s="35"/>
      <c r="Y1095" s="102"/>
      <c r="Z1095" s="104"/>
      <c r="AA1095" s="105"/>
    </row>
    <row r="1096" spans="12:27" ht="25" customHeight="1">
      <c r="L1096" s="31"/>
      <c r="M1096" s="31"/>
      <c r="N1096" s="31"/>
      <c r="R1096" s="32"/>
      <c r="X1096" s="35"/>
      <c r="Y1096" s="102"/>
      <c r="Z1096" s="104"/>
      <c r="AA1096" s="105"/>
    </row>
    <row r="1097" spans="12:27" ht="25" customHeight="1">
      <c r="L1097" s="31"/>
      <c r="M1097" s="31"/>
      <c r="N1097" s="31"/>
      <c r="R1097" s="32"/>
      <c r="X1097" s="35"/>
      <c r="Y1097" s="102"/>
      <c r="Z1097" s="104"/>
      <c r="AA1097" s="105"/>
    </row>
    <row r="1098" spans="12:27" ht="25" customHeight="1">
      <c r="L1098" s="31"/>
      <c r="M1098" s="31"/>
      <c r="N1098" s="31"/>
      <c r="R1098" s="32"/>
      <c r="X1098" s="35"/>
      <c r="Y1098" s="102"/>
      <c r="Z1098" s="104"/>
      <c r="AA1098" s="105"/>
    </row>
    <row r="1099" spans="12:27" ht="25" customHeight="1">
      <c r="L1099" s="31"/>
      <c r="M1099" s="31"/>
      <c r="N1099" s="31"/>
      <c r="R1099" s="32"/>
      <c r="X1099" s="35"/>
      <c r="Y1099" s="102"/>
      <c r="Z1099" s="104"/>
      <c r="AA1099" s="105"/>
    </row>
    <row r="1100" spans="12:27" ht="25" customHeight="1">
      <c r="L1100" s="31"/>
      <c r="M1100" s="31"/>
      <c r="N1100" s="31"/>
      <c r="R1100" s="32"/>
      <c r="X1100" s="35"/>
      <c r="Y1100" s="102"/>
      <c r="Z1100" s="104"/>
      <c r="AA1100" s="105"/>
    </row>
    <row r="1101" spans="12:27" ht="25" customHeight="1">
      <c r="L1101" s="31"/>
      <c r="M1101" s="31"/>
      <c r="N1101" s="31"/>
      <c r="R1101" s="32"/>
      <c r="X1101" s="35"/>
      <c r="Y1101" s="102"/>
      <c r="Z1101" s="104"/>
      <c r="AA1101" s="105"/>
    </row>
    <row r="1102" spans="12:27" ht="25" customHeight="1">
      <c r="L1102" s="31"/>
      <c r="M1102" s="31"/>
      <c r="N1102" s="31"/>
      <c r="R1102" s="32"/>
      <c r="X1102" s="35"/>
      <c r="Y1102" s="102"/>
      <c r="Z1102" s="104"/>
      <c r="AA1102" s="105"/>
    </row>
    <row r="1103" spans="12:27" ht="25" customHeight="1">
      <c r="L1103" s="31"/>
      <c r="M1103" s="31"/>
      <c r="N1103" s="31"/>
      <c r="R1103" s="32"/>
      <c r="X1103" s="35"/>
      <c r="Y1103" s="102"/>
      <c r="Z1103" s="104"/>
      <c r="AA1103" s="105"/>
    </row>
    <row r="1104" spans="12:27" ht="25" customHeight="1">
      <c r="L1104" s="31"/>
      <c r="M1104" s="31"/>
      <c r="N1104" s="31"/>
      <c r="R1104" s="32"/>
      <c r="X1104" s="35"/>
      <c r="Y1104" s="102"/>
      <c r="Z1104" s="104"/>
      <c r="AA1104" s="105"/>
    </row>
    <row r="1105" spans="12:27" ht="25" customHeight="1">
      <c r="L1105" s="31"/>
      <c r="M1105" s="31"/>
      <c r="N1105" s="31"/>
      <c r="R1105" s="32"/>
      <c r="X1105" s="35"/>
      <c r="Y1105" s="102"/>
      <c r="Z1105" s="104"/>
      <c r="AA1105" s="105"/>
    </row>
    <row r="1106" spans="12:27" ht="25" customHeight="1">
      <c r="L1106" s="31"/>
      <c r="M1106" s="31"/>
      <c r="N1106" s="31"/>
      <c r="R1106" s="32"/>
      <c r="X1106" s="35"/>
      <c r="Y1106" s="102"/>
      <c r="Z1106" s="104"/>
      <c r="AA1106" s="105"/>
    </row>
    <row r="1107" spans="12:27" ht="25" customHeight="1">
      <c r="L1107" s="31"/>
      <c r="M1107" s="31"/>
      <c r="N1107" s="31"/>
      <c r="R1107" s="32"/>
      <c r="X1107" s="35"/>
      <c r="Y1107" s="102"/>
      <c r="Z1107" s="104"/>
      <c r="AA1107" s="105"/>
    </row>
    <row r="1108" spans="12:27" ht="25" customHeight="1">
      <c r="L1108" s="31"/>
      <c r="M1108" s="31"/>
      <c r="N1108" s="31"/>
      <c r="R1108" s="32"/>
      <c r="X1108" s="35"/>
      <c r="Y1108" s="102"/>
      <c r="Z1108" s="104"/>
      <c r="AA1108" s="105"/>
    </row>
    <row r="1109" spans="12:27" ht="25" customHeight="1">
      <c r="L1109" s="31"/>
      <c r="M1109" s="31"/>
      <c r="N1109" s="31"/>
      <c r="R1109" s="32"/>
      <c r="X1109" s="35"/>
      <c r="Y1109" s="102"/>
      <c r="Z1109" s="104"/>
      <c r="AA1109" s="105"/>
    </row>
    <row r="1110" spans="12:27" ht="25" customHeight="1">
      <c r="L1110" s="31"/>
      <c r="M1110" s="31"/>
      <c r="N1110" s="31"/>
      <c r="R1110" s="32"/>
      <c r="X1110" s="35"/>
      <c r="Y1110" s="102"/>
      <c r="Z1110" s="104"/>
      <c r="AA1110" s="105"/>
    </row>
    <row r="1111" spans="12:27" ht="25" customHeight="1">
      <c r="L1111" s="31"/>
      <c r="M1111" s="31"/>
      <c r="N1111" s="31"/>
      <c r="R1111" s="32"/>
      <c r="X1111" s="35"/>
      <c r="Y1111" s="102"/>
      <c r="Z1111" s="104"/>
      <c r="AA1111" s="105"/>
    </row>
    <row r="1112" spans="12:27" ht="25" customHeight="1">
      <c r="L1112" s="31"/>
      <c r="M1112" s="31"/>
      <c r="N1112" s="31"/>
      <c r="R1112" s="32"/>
      <c r="X1112" s="35"/>
      <c r="Y1112" s="102"/>
      <c r="Z1112" s="104"/>
      <c r="AA1112" s="105"/>
    </row>
    <row r="1113" spans="12:27" ht="25" customHeight="1">
      <c r="L1113" s="31"/>
      <c r="M1113" s="31"/>
      <c r="N1113" s="31"/>
      <c r="R1113" s="32"/>
      <c r="X1113" s="35"/>
      <c r="Y1113" s="102"/>
      <c r="Z1113" s="104"/>
      <c r="AA1113" s="105"/>
    </row>
    <row r="1114" spans="12:27" ht="25" customHeight="1">
      <c r="L1114" s="31"/>
      <c r="M1114" s="31"/>
      <c r="N1114" s="31"/>
      <c r="R1114" s="32"/>
      <c r="X1114" s="35"/>
      <c r="Y1114" s="102"/>
      <c r="Z1114" s="104"/>
      <c r="AA1114" s="105"/>
    </row>
    <row r="1115" spans="12:27" ht="25" customHeight="1">
      <c r="L1115" s="31"/>
      <c r="M1115" s="31"/>
      <c r="N1115" s="31"/>
      <c r="R1115" s="32"/>
      <c r="X1115" s="35"/>
      <c r="Y1115" s="102"/>
      <c r="Z1115" s="104"/>
      <c r="AA1115" s="105"/>
    </row>
    <row r="1116" spans="12:27" ht="25" customHeight="1">
      <c r="L1116" s="31"/>
      <c r="M1116" s="31"/>
      <c r="N1116" s="31"/>
      <c r="R1116" s="32"/>
      <c r="X1116" s="35"/>
      <c r="Y1116" s="102"/>
      <c r="Z1116" s="104"/>
      <c r="AA1116" s="105"/>
    </row>
    <row r="1117" spans="12:27" ht="25" customHeight="1">
      <c r="L1117" s="31"/>
      <c r="M1117" s="31"/>
      <c r="N1117" s="31"/>
      <c r="R1117" s="32"/>
      <c r="X1117" s="35"/>
      <c r="Y1117" s="102"/>
      <c r="Z1117" s="104"/>
      <c r="AA1117" s="105"/>
    </row>
    <row r="1118" spans="12:27" ht="25" customHeight="1">
      <c r="L1118" s="31"/>
      <c r="M1118" s="31"/>
      <c r="N1118" s="31"/>
      <c r="R1118" s="32"/>
      <c r="X1118" s="35"/>
      <c r="Y1118" s="102"/>
      <c r="Z1118" s="104"/>
      <c r="AA1118" s="105"/>
    </row>
    <row r="1119" spans="12:27" ht="25" customHeight="1">
      <c r="L1119" s="31"/>
      <c r="M1119" s="31"/>
      <c r="N1119" s="31"/>
      <c r="R1119" s="32"/>
      <c r="X1119" s="35"/>
      <c r="Y1119" s="102"/>
      <c r="Z1119" s="104"/>
      <c r="AA1119" s="105"/>
    </row>
    <row r="1120" spans="12:27" ht="25" customHeight="1">
      <c r="L1120" s="31"/>
      <c r="M1120" s="31"/>
      <c r="N1120" s="31"/>
      <c r="R1120" s="32"/>
      <c r="X1120" s="35"/>
      <c r="Y1120" s="102"/>
      <c r="Z1120" s="104"/>
      <c r="AA1120" s="105"/>
    </row>
    <row r="1121" spans="12:27" ht="25" customHeight="1">
      <c r="L1121" s="31"/>
      <c r="M1121" s="31"/>
      <c r="N1121" s="31"/>
      <c r="R1121" s="32"/>
      <c r="X1121" s="35"/>
      <c r="Y1121" s="102"/>
      <c r="Z1121" s="104"/>
      <c r="AA1121" s="105"/>
    </row>
    <row r="1122" spans="12:27" ht="25" customHeight="1">
      <c r="L1122" s="31"/>
      <c r="M1122" s="31"/>
      <c r="N1122" s="31"/>
      <c r="R1122" s="32"/>
      <c r="X1122" s="35"/>
      <c r="Y1122" s="102"/>
      <c r="Z1122" s="104"/>
      <c r="AA1122" s="105"/>
    </row>
    <row r="1123" spans="12:27" ht="25" customHeight="1">
      <c r="L1123" s="31"/>
      <c r="M1123" s="31"/>
      <c r="N1123" s="31"/>
      <c r="R1123" s="32"/>
      <c r="X1123" s="35"/>
      <c r="Y1123" s="102"/>
      <c r="Z1123" s="104"/>
      <c r="AA1123" s="105"/>
    </row>
    <row r="1124" spans="12:27" ht="25" customHeight="1">
      <c r="L1124" s="31"/>
      <c r="M1124" s="31"/>
      <c r="N1124" s="31"/>
      <c r="R1124" s="32"/>
      <c r="X1124" s="35"/>
      <c r="Y1124" s="102"/>
      <c r="Z1124" s="104"/>
      <c r="AA1124" s="105"/>
    </row>
    <row r="1125" spans="12:27" ht="25" customHeight="1">
      <c r="L1125" s="31"/>
      <c r="M1125" s="31"/>
      <c r="N1125" s="31"/>
      <c r="R1125" s="32"/>
      <c r="X1125" s="35"/>
      <c r="Y1125" s="102"/>
      <c r="Z1125" s="104"/>
      <c r="AA1125" s="105"/>
    </row>
    <row r="1126" spans="12:27" ht="25" customHeight="1">
      <c r="L1126" s="31"/>
      <c r="M1126" s="31"/>
      <c r="N1126" s="31"/>
      <c r="R1126" s="32"/>
      <c r="X1126" s="35"/>
      <c r="Y1126" s="102"/>
      <c r="Z1126" s="104"/>
      <c r="AA1126" s="105"/>
    </row>
    <row r="1127" spans="12:27" ht="25" customHeight="1">
      <c r="L1127" s="31"/>
      <c r="M1127" s="31"/>
      <c r="N1127" s="31"/>
      <c r="R1127" s="32"/>
      <c r="X1127" s="35"/>
      <c r="Y1127" s="102"/>
      <c r="Z1127" s="104"/>
      <c r="AA1127" s="105"/>
    </row>
    <row r="1128" spans="12:27" ht="25" customHeight="1">
      <c r="L1128" s="31"/>
      <c r="M1128" s="31"/>
      <c r="N1128" s="31"/>
      <c r="R1128" s="32"/>
      <c r="X1128" s="35"/>
      <c r="Y1128" s="102"/>
      <c r="Z1128" s="104"/>
      <c r="AA1128" s="105"/>
    </row>
    <row r="1129" spans="12:27" ht="25" customHeight="1">
      <c r="L1129" s="31"/>
      <c r="M1129" s="31"/>
      <c r="N1129" s="31"/>
      <c r="R1129" s="32"/>
      <c r="X1129" s="35"/>
      <c r="Y1129" s="102"/>
      <c r="Z1129" s="104"/>
      <c r="AA1129" s="105"/>
    </row>
    <row r="1130" spans="12:27" ht="25" customHeight="1">
      <c r="L1130" s="31"/>
      <c r="M1130" s="31"/>
      <c r="N1130" s="31"/>
      <c r="R1130" s="32"/>
      <c r="X1130" s="35"/>
      <c r="Y1130" s="102"/>
      <c r="Z1130" s="104"/>
      <c r="AA1130" s="105"/>
    </row>
    <row r="1131" spans="12:27" ht="25" customHeight="1">
      <c r="L1131" s="31"/>
      <c r="M1131" s="31"/>
      <c r="N1131" s="31"/>
      <c r="R1131" s="32"/>
      <c r="X1131" s="35"/>
      <c r="Y1131" s="102"/>
      <c r="Z1131" s="104"/>
      <c r="AA1131" s="105"/>
    </row>
    <row r="1132" spans="12:27" ht="25" customHeight="1">
      <c r="L1132" s="31"/>
      <c r="M1132" s="31"/>
      <c r="N1132" s="31"/>
      <c r="R1132" s="32"/>
      <c r="X1132" s="35"/>
      <c r="Y1132" s="102"/>
      <c r="Z1132" s="104"/>
      <c r="AA1132" s="105"/>
    </row>
    <row r="1133" spans="12:27" ht="25" customHeight="1">
      <c r="L1133" s="31"/>
      <c r="M1133" s="31"/>
      <c r="N1133" s="31"/>
      <c r="R1133" s="32"/>
      <c r="X1133" s="35"/>
      <c r="Y1133" s="102"/>
      <c r="Z1133" s="104"/>
      <c r="AA1133" s="105"/>
    </row>
    <row r="1134" spans="12:27" ht="25" customHeight="1">
      <c r="L1134" s="31"/>
      <c r="M1134" s="31"/>
      <c r="N1134" s="31"/>
      <c r="R1134" s="32"/>
      <c r="X1134" s="35"/>
      <c r="Y1134" s="102"/>
      <c r="Z1134" s="104"/>
      <c r="AA1134" s="105"/>
    </row>
    <row r="1135" spans="12:27" ht="25" customHeight="1">
      <c r="L1135" s="31"/>
      <c r="M1135" s="31"/>
      <c r="N1135" s="31"/>
      <c r="R1135" s="32"/>
      <c r="X1135" s="35"/>
      <c r="Y1135" s="102"/>
      <c r="Z1135" s="104"/>
      <c r="AA1135" s="105"/>
    </row>
    <row r="1136" spans="12:27" ht="25" customHeight="1">
      <c r="L1136" s="31"/>
      <c r="M1136" s="31"/>
      <c r="N1136" s="31"/>
      <c r="R1136" s="32"/>
      <c r="X1136" s="35"/>
      <c r="Y1136" s="102"/>
      <c r="Z1136" s="104"/>
      <c r="AA1136" s="105"/>
    </row>
    <row r="1137" spans="12:27" ht="25" customHeight="1">
      <c r="L1137" s="31"/>
      <c r="M1137" s="31"/>
      <c r="N1137" s="31"/>
      <c r="R1137" s="32"/>
      <c r="X1137" s="35"/>
      <c r="Y1137" s="102"/>
      <c r="Z1137" s="104"/>
      <c r="AA1137" s="105"/>
    </row>
    <row r="1138" spans="12:27" ht="25" customHeight="1">
      <c r="L1138" s="31"/>
      <c r="M1138" s="31"/>
      <c r="N1138" s="31"/>
      <c r="R1138" s="32"/>
      <c r="X1138" s="35"/>
      <c r="Y1138" s="102"/>
      <c r="Z1138" s="104"/>
      <c r="AA1138" s="105"/>
    </row>
    <row r="1139" spans="12:27" ht="25" customHeight="1">
      <c r="L1139" s="31"/>
      <c r="M1139" s="31"/>
      <c r="N1139" s="31"/>
      <c r="R1139" s="32"/>
      <c r="X1139" s="35"/>
      <c r="Y1139" s="102"/>
      <c r="Z1139" s="104"/>
      <c r="AA1139" s="105"/>
    </row>
    <row r="1140" spans="12:27" ht="25" customHeight="1">
      <c r="L1140" s="31"/>
      <c r="M1140" s="31"/>
      <c r="N1140" s="31"/>
      <c r="R1140" s="32"/>
      <c r="X1140" s="35"/>
      <c r="Y1140" s="102"/>
      <c r="Z1140" s="104"/>
      <c r="AA1140" s="105"/>
    </row>
    <row r="1141" spans="12:27" ht="25" customHeight="1">
      <c r="L1141" s="31"/>
      <c r="M1141" s="31"/>
      <c r="N1141" s="31"/>
      <c r="R1141" s="32"/>
      <c r="X1141" s="35"/>
      <c r="Y1141" s="102"/>
      <c r="Z1141" s="104"/>
      <c r="AA1141" s="105"/>
    </row>
    <row r="1142" spans="12:27" ht="25" customHeight="1">
      <c r="L1142" s="31"/>
      <c r="M1142" s="31"/>
      <c r="N1142" s="31"/>
      <c r="R1142" s="32"/>
      <c r="X1142" s="35"/>
      <c r="Y1142" s="102"/>
      <c r="Z1142" s="104"/>
      <c r="AA1142" s="105"/>
    </row>
    <row r="1143" spans="12:27" ht="25" customHeight="1">
      <c r="L1143" s="31"/>
      <c r="M1143" s="31"/>
      <c r="N1143" s="31"/>
      <c r="R1143" s="32"/>
      <c r="X1143" s="35"/>
      <c r="Y1143" s="102"/>
      <c r="Z1143" s="104"/>
      <c r="AA1143" s="105"/>
    </row>
    <row r="1144" spans="12:27" ht="25" customHeight="1">
      <c r="L1144" s="31"/>
      <c r="M1144" s="31"/>
      <c r="N1144" s="31"/>
      <c r="R1144" s="32"/>
      <c r="X1144" s="35"/>
      <c r="Y1144" s="102"/>
      <c r="Z1144" s="104"/>
      <c r="AA1144" s="105"/>
    </row>
    <row r="1145" spans="12:27" ht="25" customHeight="1">
      <c r="L1145" s="31"/>
      <c r="M1145" s="31"/>
      <c r="N1145" s="31"/>
      <c r="R1145" s="32"/>
      <c r="X1145" s="35"/>
      <c r="Y1145" s="102"/>
      <c r="Z1145" s="104"/>
      <c r="AA1145" s="105"/>
    </row>
    <row r="1146" spans="12:27" ht="25" customHeight="1">
      <c r="L1146" s="31"/>
      <c r="M1146" s="31"/>
      <c r="N1146" s="31"/>
      <c r="R1146" s="32"/>
      <c r="X1146" s="35"/>
      <c r="Y1146" s="102"/>
      <c r="Z1146" s="104"/>
      <c r="AA1146" s="105"/>
    </row>
    <row r="1147" spans="12:27" ht="25" customHeight="1">
      <c r="L1147" s="31"/>
      <c r="M1147" s="31"/>
      <c r="N1147" s="31"/>
      <c r="R1147" s="32"/>
      <c r="X1147" s="35"/>
      <c r="Y1147" s="102"/>
      <c r="Z1147" s="104"/>
      <c r="AA1147" s="105"/>
    </row>
    <row r="1148" spans="12:27" ht="25" customHeight="1">
      <c r="L1148" s="31"/>
      <c r="M1148" s="31"/>
      <c r="N1148" s="31"/>
      <c r="R1148" s="32"/>
      <c r="X1148" s="35"/>
      <c r="Y1148" s="102"/>
      <c r="Z1148" s="104"/>
      <c r="AA1148" s="105"/>
    </row>
    <row r="1149" spans="12:27" ht="25" customHeight="1">
      <c r="L1149" s="31"/>
      <c r="M1149" s="31"/>
      <c r="N1149" s="31"/>
      <c r="X1149" s="35"/>
      <c r="Y1149" s="102"/>
      <c r="Z1149" s="104"/>
      <c r="AA1149" s="105"/>
    </row>
    <row r="1150" spans="12:27" ht="25" customHeight="1">
      <c r="L1150" s="31"/>
      <c r="M1150" s="31"/>
      <c r="N1150" s="31"/>
      <c r="X1150" s="35"/>
      <c r="Y1150" s="102"/>
      <c r="Z1150" s="104"/>
      <c r="AA1150" s="105"/>
    </row>
    <row r="1151" spans="12:27" ht="25" customHeight="1">
      <c r="L1151" s="31"/>
      <c r="M1151" s="31"/>
      <c r="N1151" s="31"/>
      <c r="X1151" s="35"/>
      <c r="Y1151" s="102"/>
      <c r="Z1151" s="104"/>
      <c r="AA1151" s="105"/>
    </row>
    <row r="1152" spans="12:27" ht="25" customHeight="1">
      <c r="L1152" s="31"/>
      <c r="M1152" s="31"/>
      <c r="N1152" s="31"/>
      <c r="X1152" s="35"/>
      <c r="Y1152" s="102"/>
      <c r="Z1152" s="104"/>
      <c r="AA1152" s="105"/>
    </row>
    <row r="1153" spans="12:27" ht="25" customHeight="1">
      <c r="L1153" s="31"/>
      <c r="M1153" s="31"/>
      <c r="N1153" s="31"/>
      <c r="X1153" s="35"/>
      <c r="Y1153" s="102"/>
      <c r="Z1153" s="104"/>
      <c r="AA1153" s="105"/>
    </row>
    <row r="1154" spans="12:27" ht="25" customHeight="1">
      <c r="L1154" s="31"/>
      <c r="M1154" s="31"/>
      <c r="N1154" s="31"/>
      <c r="X1154" s="35"/>
      <c r="Y1154" s="102"/>
      <c r="Z1154" s="104"/>
      <c r="AA1154" s="105"/>
    </row>
    <row r="1155" spans="12:27" ht="25" customHeight="1">
      <c r="L1155" s="31"/>
      <c r="M1155" s="31"/>
      <c r="N1155" s="31"/>
      <c r="X1155" s="35"/>
      <c r="Y1155" s="102"/>
      <c r="Z1155" s="104"/>
      <c r="AA1155" s="105"/>
    </row>
    <row r="1156" spans="12:27" ht="25" customHeight="1">
      <c r="L1156" s="31"/>
      <c r="M1156" s="31"/>
      <c r="N1156" s="31"/>
      <c r="X1156" s="35"/>
      <c r="Y1156" s="102"/>
      <c r="Z1156" s="104"/>
      <c r="AA1156" s="105"/>
    </row>
    <row r="1157" spans="12:27" ht="25" customHeight="1">
      <c r="L1157" s="31"/>
      <c r="M1157" s="31"/>
      <c r="N1157" s="31"/>
      <c r="X1157" s="35"/>
      <c r="Y1157" s="102"/>
      <c r="Z1157" s="104"/>
      <c r="AA1157" s="105"/>
    </row>
    <row r="1158" spans="12:27" ht="25" customHeight="1">
      <c r="L1158" s="31"/>
      <c r="M1158" s="31"/>
      <c r="N1158" s="31"/>
      <c r="X1158" s="35"/>
      <c r="Y1158" s="102"/>
      <c r="Z1158" s="104"/>
      <c r="AA1158" s="105"/>
    </row>
    <row r="1159" spans="12:27" ht="25" customHeight="1">
      <c r="L1159" s="31"/>
      <c r="M1159" s="31"/>
      <c r="N1159" s="31"/>
      <c r="X1159" s="35"/>
      <c r="Y1159" s="102"/>
      <c r="Z1159" s="104"/>
      <c r="AA1159" s="105"/>
    </row>
    <row r="1160" spans="12:27" ht="25" customHeight="1">
      <c r="L1160" s="31"/>
      <c r="M1160" s="31"/>
      <c r="N1160" s="31"/>
      <c r="X1160" s="35"/>
      <c r="Y1160" s="102"/>
      <c r="Z1160" s="104"/>
      <c r="AA1160" s="105"/>
    </row>
    <row r="1161" spans="12:27" ht="25" customHeight="1">
      <c r="L1161" s="31"/>
      <c r="M1161" s="31"/>
      <c r="N1161" s="31"/>
      <c r="X1161" s="35"/>
      <c r="Y1161" s="102"/>
      <c r="Z1161" s="104"/>
      <c r="AA1161" s="105"/>
    </row>
    <row r="1162" spans="12:27" ht="25" customHeight="1">
      <c r="L1162" s="31"/>
      <c r="M1162" s="31"/>
      <c r="N1162" s="31"/>
      <c r="X1162" s="35"/>
      <c r="Y1162" s="102"/>
      <c r="Z1162" s="104"/>
      <c r="AA1162" s="105"/>
    </row>
    <row r="1163" spans="12:27" ht="25" customHeight="1">
      <c r="L1163" s="31"/>
      <c r="M1163" s="31"/>
      <c r="N1163" s="31"/>
      <c r="X1163" s="35"/>
      <c r="Y1163" s="102"/>
      <c r="Z1163" s="104"/>
      <c r="AA1163" s="105"/>
    </row>
    <row r="1164" spans="12:27" ht="25" customHeight="1">
      <c r="L1164" s="31"/>
      <c r="M1164" s="31"/>
      <c r="N1164" s="31"/>
      <c r="X1164" s="35"/>
      <c r="Y1164" s="102"/>
      <c r="Z1164" s="104"/>
      <c r="AA1164" s="105"/>
    </row>
    <row r="1165" spans="12:27" ht="25" customHeight="1">
      <c r="L1165" s="31"/>
      <c r="M1165" s="31"/>
      <c r="N1165" s="31"/>
      <c r="X1165" s="35"/>
      <c r="Y1165" s="102"/>
      <c r="Z1165" s="104"/>
      <c r="AA1165" s="105"/>
    </row>
    <row r="1166" spans="12:27" ht="25" customHeight="1">
      <c r="L1166" s="31"/>
      <c r="M1166" s="31"/>
      <c r="N1166" s="31"/>
      <c r="X1166" s="35"/>
      <c r="Y1166" s="102"/>
      <c r="Z1166" s="104"/>
      <c r="AA1166" s="105"/>
    </row>
    <row r="1167" spans="12:27" ht="25" customHeight="1">
      <c r="L1167" s="31"/>
      <c r="M1167" s="31"/>
      <c r="N1167" s="31"/>
      <c r="X1167" s="35"/>
      <c r="Y1167" s="102"/>
      <c r="Z1167" s="104"/>
      <c r="AA1167" s="105"/>
    </row>
    <row r="1168" spans="12:27" ht="25" customHeight="1">
      <c r="L1168" s="31"/>
      <c r="M1168" s="31"/>
      <c r="N1168" s="31"/>
      <c r="X1168" s="35"/>
      <c r="Y1168" s="102"/>
      <c r="Z1168" s="104"/>
      <c r="AA1168" s="105"/>
    </row>
    <row r="1169" spans="12:27" ht="25" customHeight="1">
      <c r="L1169" s="31"/>
      <c r="M1169" s="31"/>
      <c r="N1169" s="31"/>
      <c r="X1169" s="35"/>
      <c r="Y1169" s="102"/>
      <c r="Z1169" s="104"/>
      <c r="AA1169" s="105"/>
    </row>
    <row r="1170" spans="12:27" ht="25" customHeight="1">
      <c r="L1170" s="31"/>
      <c r="M1170" s="31"/>
      <c r="N1170" s="31"/>
      <c r="X1170" s="35"/>
      <c r="Y1170" s="102"/>
      <c r="Z1170" s="104"/>
      <c r="AA1170" s="105"/>
    </row>
    <row r="1171" spans="12:27" ht="25" customHeight="1">
      <c r="L1171" s="31"/>
      <c r="M1171" s="31"/>
      <c r="N1171" s="31"/>
      <c r="X1171" s="35"/>
      <c r="Y1171" s="102"/>
      <c r="Z1171" s="104"/>
      <c r="AA1171" s="105"/>
    </row>
    <row r="1172" spans="12:27" ht="25" customHeight="1">
      <c r="L1172" s="31"/>
      <c r="M1172" s="31"/>
      <c r="N1172" s="31"/>
      <c r="X1172" s="35"/>
      <c r="Y1172" s="102"/>
      <c r="Z1172" s="104"/>
      <c r="AA1172" s="105"/>
    </row>
    <row r="1173" spans="12:27" ht="25" customHeight="1">
      <c r="L1173" s="31"/>
      <c r="M1173" s="31"/>
      <c r="N1173" s="31"/>
      <c r="X1173" s="35"/>
      <c r="Y1173" s="102"/>
      <c r="Z1173" s="104"/>
      <c r="AA1173" s="105"/>
    </row>
    <row r="1174" spans="12:27" ht="25" customHeight="1">
      <c r="L1174" s="31"/>
      <c r="M1174" s="31"/>
      <c r="N1174" s="31"/>
      <c r="X1174" s="35"/>
      <c r="Y1174" s="102"/>
      <c r="Z1174" s="104"/>
      <c r="AA1174" s="105"/>
    </row>
    <row r="1175" spans="12:27" ht="25" customHeight="1">
      <c r="L1175" s="31"/>
      <c r="M1175" s="31"/>
      <c r="N1175" s="31"/>
      <c r="X1175" s="35"/>
      <c r="Y1175" s="102"/>
      <c r="Z1175" s="104"/>
      <c r="AA1175" s="105"/>
    </row>
    <row r="1176" spans="12:27" ht="25" customHeight="1">
      <c r="L1176" s="31"/>
      <c r="M1176" s="31"/>
      <c r="N1176" s="31"/>
      <c r="X1176" s="35"/>
      <c r="Y1176" s="102"/>
      <c r="Z1176" s="104"/>
      <c r="AA1176" s="105"/>
    </row>
    <row r="1177" spans="12:27" ht="25" customHeight="1">
      <c r="L1177" s="31"/>
      <c r="M1177" s="31"/>
      <c r="N1177" s="31"/>
      <c r="X1177" s="35"/>
      <c r="Y1177" s="102"/>
      <c r="Z1177" s="104"/>
      <c r="AA1177" s="105"/>
    </row>
    <row r="1178" spans="12:27" ht="25" customHeight="1">
      <c r="L1178" s="31"/>
      <c r="M1178" s="31"/>
      <c r="N1178" s="31"/>
      <c r="X1178" s="35"/>
      <c r="Y1178" s="102"/>
      <c r="Z1178" s="104"/>
      <c r="AA1178" s="105"/>
    </row>
    <row r="1179" spans="12:27" ht="25" customHeight="1">
      <c r="L1179" s="31"/>
      <c r="M1179" s="31"/>
      <c r="N1179" s="31"/>
      <c r="X1179" s="35"/>
      <c r="Y1179" s="102"/>
      <c r="Z1179" s="104"/>
      <c r="AA1179" s="105"/>
    </row>
    <row r="1180" spans="12:27" ht="25" customHeight="1">
      <c r="L1180" s="31"/>
      <c r="M1180" s="31"/>
      <c r="N1180" s="31"/>
      <c r="X1180" s="35"/>
      <c r="Y1180" s="102"/>
      <c r="Z1180" s="104"/>
      <c r="AA1180" s="105"/>
    </row>
    <row r="1181" spans="12:27" ht="25" customHeight="1">
      <c r="L1181" s="31"/>
      <c r="M1181" s="31"/>
      <c r="N1181" s="31"/>
      <c r="X1181" s="35"/>
      <c r="Y1181" s="102"/>
      <c r="Z1181" s="104"/>
      <c r="AA1181" s="105"/>
    </row>
    <row r="1182" spans="12:27" ht="25" customHeight="1">
      <c r="L1182" s="31"/>
      <c r="M1182" s="31"/>
      <c r="N1182" s="31"/>
      <c r="X1182" s="35"/>
      <c r="Y1182" s="102"/>
      <c r="Z1182" s="104"/>
      <c r="AA1182" s="105"/>
    </row>
    <row r="1183" spans="12:27" ht="25" customHeight="1">
      <c r="L1183" s="31"/>
      <c r="M1183" s="31"/>
      <c r="N1183" s="31"/>
      <c r="X1183" s="35"/>
      <c r="Y1183" s="102"/>
      <c r="Z1183" s="104"/>
      <c r="AA1183" s="105"/>
    </row>
    <row r="1184" spans="12:27" ht="25" customHeight="1">
      <c r="L1184" s="31"/>
      <c r="M1184" s="31"/>
      <c r="N1184" s="31"/>
      <c r="X1184" s="35"/>
      <c r="Y1184" s="102"/>
      <c r="Z1184" s="104"/>
      <c r="AA1184" s="105"/>
    </row>
    <row r="1185" spans="12:27" ht="25" customHeight="1">
      <c r="L1185" s="31"/>
      <c r="M1185" s="31"/>
      <c r="N1185" s="31"/>
      <c r="X1185" s="35"/>
      <c r="Y1185" s="102"/>
      <c r="Z1185" s="104"/>
      <c r="AA1185" s="105"/>
    </row>
    <row r="1186" spans="12:27" ht="25" customHeight="1">
      <c r="L1186" s="31"/>
      <c r="M1186" s="31"/>
      <c r="N1186" s="31"/>
      <c r="X1186" s="35"/>
      <c r="Y1186" s="102"/>
      <c r="Z1186" s="104"/>
      <c r="AA1186" s="105"/>
    </row>
    <row r="1187" spans="12:27" ht="25" customHeight="1">
      <c r="L1187" s="31"/>
      <c r="M1187" s="31"/>
      <c r="N1187" s="31"/>
      <c r="X1187" s="35"/>
      <c r="Y1187" s="102"/>
      <c r="Z1187" s="104"/>
      <c r="AA1187" s="105"/>
    </row>
    <row r="1188" spans="12:27" ht="25" customHeight="1">
      <c r="L1188" s="31"/>
      <c r="M1188" s="31"/>
      <c r="N1188" s="31"/>
      <c r="X1188" s="35"/>
      <c r="Y1188" s="102"/>
      <c r="Z1188" s="104"/>
      <c r="AA1188" s="105"/>
    </row>
    <row r="1189" spans="12:27" ht="25" customHeight="1">
      <c r="L1189" s="31"/>
      <c r="M1189" s="31"/>
      <c r="N1189" s="31"/>
      <c r="X1189" s="35"/>
      <c r="Y1189" s="102"/>
      <c r="Z1189" s="104"/>
      <c r="AA1189" s="105"/>
    </row>
    <row r="1190" spans="12:27" ht="25" customHeight="1">
      <c r="L1190" s="31"/>
      <c r="M1190" s="31"/>
      <c r="N1190" s="31"/>
      <c r="X1190" s="35"/>
      <c r="Y1190" s="102"/>
      <c r="Z1190" s="104"/>
      <c r="AA1190" s="105"/>
    </row>
    <row r="1191" spans="12:27" ht="25" customHeight="1">
      <c r="L1191" s="31"/>
      <c r="M1191" s="31"/>
      <c r="N1191" s="31"/>
      <c r="X1191" s="35"/>
      <c r="Y1191" s="102"/>
      <c r="Z1191" s="104"/>
      <c r="AA1191" s="105"/>
    </row>
    <row r="1192" spans="12:27" ht="25" customHeight="1">
      <c r="L1192" s="31"/>
      <c r="M1192" s="31"/>
      <c r="N1192" s="31"/>
      <c r="X1192" s="35"/>
      <c r="Y1192" s="102"/>
      <c r="Z1192" s="104"/>
      <c r="AA1192" s="105"/>
    </row>
    <row r="1193" spans="12:27" ht="25" customHeight="1">
      <c r="L1193" s="31"/>
      <c r="M1193" s="31"/>
      <c r="N1193" s="31"/>
      <c r="X1193" s="35"/>
      <c r="Y1193" s="102"/>
      <c r="Z1193" s="104"/>
      <c r="AA1193" s="105"/>
    </row>
    <row r="1194" spans="12:27" ht="25" customHeight="1">
      <c r="L1194" s="31"/>
      <c r="M1194" s="31"/>
      <c r="N1194" s="31"/>
      <c r="X1194" s="35"/>
      <c r="Y1194" s="102"/>
      <c r="Z1194" s="104"/>
      <c r="AA1194" s="105"/>
    </row>
    <row r="1195" spans="12:27" ht="25" customHeight="1">
      <c r="L1195" s="31"/>
      <c r="M1195" s="31"/>
      <c r="N1195" s="31"/>
      <c r="X1195" s="35"/>
      <c r="Y1195" s="102"/>
      <c r="Z1195" s="104"/>
      <c r="AA1195" s="105"/>
    </row>
    <row r="1196" spans="12:27" ht="25" customHeight="1">
      <c r="L1196" s="31"/>
      <c r="M1196" s="31"/>
      <c r="N1196" s="31"/>
      <c r="X1196" s="35"/>
      <c r="Y1196" s="102"/>
      <c r="Z1196" s="104"/>
      <c r="AA1196" s="105"/>
    </row>
    <row r="1197" spans="12:27" ht="25" customHeight="1">
      <c r="L1197" s="31"/>
      <c r="M1197" s="31"/>
      <c r="N1197" s="31"/>
      <c r="X1197" s="35"/>
      <c r="Y1197" s="102"/>
      <c r="Z1197" s="104"/>
      <c r="AA1197" s="105"/>
    </row>
    <row r="1198" spans="12:27" ht="25" customHeight="1">
      <c r="L1198" s="31"/>
      <c r="M1198" s="31"/>
      <c r="N1198" s="31"/>
      <c r="X1198" s="35"/>
      <c r="Y1198" s="102"/>
      <c r="Z1198" s="104"/>
      <c r="AA1198" s="105"/>
    </row>
    <row r="1199" spans="12:27" ht="25" customHeight="1">
      <c r="L1199" s="31"/>
      <c r="M1199" s="31"/>
      <c r="N1199" s="31"/>
      <c r="X1199" s="35"/>
      <c r="Y1199" s="102"/>
      <c r="Z1199" s="104"/>
      <c r="AA1199" s="105"/>
    </row>
    <row r="1200" spans="12:27" ht="25" customHeight="1">
      <c r="L1200" s="31"/>
      <c r="M1200" s="31"/>
      <c r="N1200" s="31"/>
      <c r="X1200" s="35"/>
      <c r="Y1200" s="102"/>
      <c r="Z1200" s="104"/>
      <c r="AA1200" s="105"/>
    </row>
    <row r="1201" spans="12:27" ht="25" customHeight="1">
      <c r="L1201" s="31"/>
      <c r="M1201" s="31"/>
      <c r="N1201" s="31"/>
      <c r="X1201" s="35"/>
      <c r="Y1201" s="102"/>
      <c r="Z1201" s="104"/>
      <c r="AA1201" s="105"/>
    </row>
    <row r="1202" spans="12:27" ht="25" customHeight="1">
      <c r="L1202" s="31"/>
      <c r="M1202" s="31"/>
      <c r="N1202" s="31"/>
      <c r="X1202" s="35"/>
      <c r="Y1202" s="102"/>
      <c r="Z1202" s="104"/>
      <c r="AA1202" s="105"/>
    </row>
    <row r="1203" spans="12:27" ht="25" customHeight="1">
      <c r="L1203" s="31"/>
      <c r="M1203" s="31"/>
      <c r="N1203" s="31"/>
      <c r="X1203" s="35"/>
      <c r="Y1203" s="102"/>
      <c r="Z1203" s="104"/>
      <c r="AA1203" s="105"/>
    </row>
    <row r="1204" spans="12:27" ht="25" customHeight="1">
      <c r="L1204" s="31"/>
      <c r="M1204" s="31"/>
      <c r="N1204" s="31"/>
      <c r="X1204" s="35"/>
      <c r="Y1204" s="102"/>
      <c r="Z1204" s="104"/>
      <c r="AA1204" s="105"/>
    </row>
    <row r="1205" spans="12:27" ht="25" customHeight="1">
      <c r="L1205" s="31"/>
      <c r="M1205" s="31"/>
      <c r="N1205" s="31"/>
      <c r="X1205" s="35"/>
      <c r="Y1205" s="102"/>
      <c r="Z1205" s="104"/>
      <c r="AA1205" s="105"/>
    </row>
    <row r="1206" spans="12:27" ht="25" customHeight="1">
      <c r="L1206" s="31"/>
      <c r="M1206" s="31"/>
      <c r="N1206" s="31"/>
      <c r="X1206" s="35"/>
      <c r="Y1206" s="102"/>
      <c r="Z1206" s="104"/>
      <c r="AA1206" s="105"/>
    </row>
    <row r="1207" spans="12:27" ht="25" customHeight="1">
      <c r="L1207" s="31"/>
      <c r="M1207" s="31"/>
      <c r="N1207" s="31"/>
      <c r="X1207" s="35"/>
      <c r="Y1207" s="102"/>
      <c r="Z1207" s="104"/>
      <c r="AA1207" s="105"/>
    </row>
    <row r="1208" spans="12:27" ht="25" customHeight="1">
      <c r="L1208" s="31"/>
      <c r="M1208" s="31"/>
      <c r="N1208" s="31"/>
      <c r="X1208" s="35"/>
      <c r="Y1208" s="102"/>
      <c r="Z1208" s="104"/>
      <c r="AA1208" s="105"/>
    </row>
    <row r="1209" spans="12:27" ht="25" customHeight="1">
      <c r="L1209" s="31"/>
      <c r="M1209" s="31"/>
      <c r="N1209" s="31"/>
      <c r="X1209" s="35"/>
      <c r="Y1209" s="102"/>
      <c r="Z1209" s="104"/>
      <c r="AA1209" s="105"/>
    </row>
    <row r="1210" spans="12:27" ht="25" customHeight="1">
      <c r="L1210" s="31"/>
      <c r="M1210" s="31"/>
      <c r="N1210" s="31"/>
      <c r="X1210" s="35"/>
      <c r="Y1210" s="102"/>
      <c r="Z1210" s="104"/>
      <c r="AA1210" s="105"/>
    </row>
    <row r="1211" spans="12:27" ht="25" customHeight="1">
      <c r="L1211" s="31"/>
      <c r="M1211" s="31"/>
      <c r="N1211" s="31"/>
      <c r="X1211" s="35"/>
      <c r="Y1211" s="102"/>
      <c r="Z1211" s="104"/>
      <c r="AA1211" s="105"/>
    </row>
    <row r="1212" spans="12:27" ht="25" customHeight="1">
      <c r="L1212" s="31"/>
      <c r="M1212" s="31"/>
      <c r="N1212" s="31"/>
      <c r="X1212" s="35"/>
      <c r="Y1212" s="102"/>
      <c r="Z1212" s="104"/>
      <c r="AA1212" s="105"/>
    </row>
    <row r="1213" spans="12:27" ht="25" customHeight="1">
      <c r="L1213" s="31"/>
      <c r="M1213" s="31"/>
      <c r="N1213" s="31"/>
      <c r="X1213" s="35"/>
      <c r="Y1213" s="102"/>
      <c r="Z1213" s="104"/>
      <c r="AA1213" s="105"/>
    </row>
    <row r="1214" spans="12:27" ht="25" customHeight="1">
      <c r="L1214" s="31"/>
      <c r="M1214" s="31"/>
      <c r="N1214" s="31"/>
      <c r="X1214" s="35"/>
      <c r="Y1214" s="102"/>
      <c r="Z1214" s="104"/>
      <c r="AA1214" s="105"/>
    </row>
    <row r="1215" spans="12:27" ht="25" customHeight="1">
      <c r="L1215" s="31"/>
      <c r="M1215" s="31"/>
      <c r="N1215" s="31"/>
      <c r="X1215" s="35"/>
      <c r="Y1215" s="102"/>
      <c r="Z1215" s="104"/>
      <c r="AA1215" s="105"/>
    </row>
    <row r="1216" spans="12:27" ht="25" customHeight="1">
      <c r="L1216" s="31"/>
      <c r="M1216" s="31"/>
      <c r="N1216" s="31"/>
      <c r="X1216" s="35"/>
      <c r="Y1216" s="102"/>
      <c r="Z1216" s="104"/>
      <c r="AA1216" s="105"/>
    </row>
    <row r="1217" spans="12:27" ht="25" customHeight="1">
      <c r="L1217" s="31"/>
      <c r="M1217" s="31"/>
      <c r="N1217" s="31"/>
      <c r="X1217" s="35"/>
      <c r="Y1217" s="102"/>
      <c r="Z1217" s="104"/>
      <c r="AA1217" s="105"/>
    </row>
    <row r="1218" spans="12:27" ht="25" customHeight="1">
      <c r="L1218" s="31"/>
      <c r="M1218" s="31"/>
      <c r="N1218" s="31"/>
      <c r="X1218" s="35"/>
      <c r="Y1218" s="102"/>
      <c r="Z1218" s="104"/>
      <c r="AA1218" s="105"/>
    </row>
    <row r="1219" spans="12:27" ht="25" customHeight="1">
      <c r="L1219" s="31"/>
      <c r="M1219" s="31"/>
      <c r="N1219" s="31"/>
      <c r="X1219" s="35"/>
      <c r="Y1219" s="102"/>
      <c r="Z1219" s="104"/>
      <c r="AA1219" s="105"/>
    </row>
    <row r="1220" spans="12:27" ht="25" customHeight="1">
      <c r="L1220" s="31"/>
      <c r="M1220" s="31"/>
      <c r="N1220" s="31"/>
      <c r="X1220" s="35"/>
      <c r="Y1220" s="102"/>
      <c r="Z1220" s="104"/>
      <c r="AA1220" s="105"/>
    </row>
    <row r="1221" spans="12:27" ht="25" customHeight="1">
      <c r="L1221" s="31"/>
      <c r="M1221" s="31"/>
      <c r="N1221" s="31"/>
      <c r="X1221" s="35"/>
      <c r="Y1221" s="102"/>
      <c r="Z1221" s="104"/>
      <c r="AA1221" s="105"/>
    </row>
    <row r="1222" spans="12:27" ht="25" customHeight="1">
      <c r="L1222" s="31"/>
      <c r="M1222" s="31"/>
      <c r="N1222" s="31"/>
      <c r="X1222" s="35"/>
      <c r="Y1222" s="102"/>
      <c r="Z1222" s="104"/>
      <c r="AA1222" s="105"/>
    </row>
    <row r="1223" spans="12:27" ht="25" customHeight="1">
      <c r="L1223" s="31"/>
      <c r="M1223" s="31"/>
      <c r="N1223" s="31"/>
      <c r="X1223" s="35"/>
      <c r="Y1223" s="102"/>
      <c r="Z1223" s="104"/>
      <c r="AA1223" s="105"/>
    </row>
    <row r="1224" spans="12:27" ht="25" customHeight="1">
      <c r="L1224" s="31"/>
      <c r="M1224" s="31"/>
      <c r="N1224" s="31"/>
      <c r="X1224" s="35"/>
      <c r="Y1224" s="102"/>
      <c r="Z1224" s="104"/>
      <c r="AA1224" s="105"/>
    </row>
    <row r="1225" spans="12:27" ht="25" customHeight="1">
      <c r="L1225" s="31"/>
      <c r="M1225" s="31"/>
      <c r="N1225" s="31"/>
      <c r="X1225" s="35"/>
      <c r="Y1225" s="102"/>
      <c r="Z1225" s="104"/>
      <c r="AA1225" s="105"/>
    </row>
    <row r="1226" spans="12:27" ht="25" customHeight="1">
      <c r="L1226" s="31"/>
      <c r="M1226" s="31"/>
      <c r="N1226" s="31"/>
      <c r="X1226" s="35"/>
      <c r="Y1226" s="102"/>
      <c r="Z1226" s="104"/>
      <c r="AA1226" s="105"/>
    </row>
    <row r="1227" spans="12:27" ht="25" customHeight="1">
      <c r="L1227" s="31"/>
      <c r="M1227" s="31"/>
      <c r="N1227" s="31"/>
      <c r="X1227" s="35"/>
      <c r="Y1227" s="102"/>
      <c r="Z1227" s="104"/>
      <c r="AA1227" s="105"/>
    </row>
    <row r="1228" spans="12:27" ht="25" customHeight="1">
      <c r="L1228" s="31"/>
      <c r="M1228" s="31"/>
      <c r="N1228" s="31"/>
      <c r="X1228" s="35"/>
      <c r="Y1228" s="102"/>
      <c r="Z1228" s="104"/>
      <c r="AA1228" s="105"/>
    </row>
    <row r="1229" spans="12:27" ht="25" customHeight="1">
      <c r="L1229" s="31"/>
      <c r="M1229" s="31"/>
      <c r="N1229" s="31"/>
      <c r="X1229" s="35"/>
      <c r="Y1229" s="102"/>
      <c r="Z1229" s="104"/>
      <c r="AA1229" s="105"/>
    </row>
    <row r="1230" spans="12:27" ht="25" customHeight="1">
      <c r="L1230" s="31"/>
      <c r="M1230" s="31"/>
      <c r="N1230" s="31"/>
      <c r="X1230" s="35"/>
      <c r="Y1230" s="102"/>
      <c r="Z1230" s="104"/>
      <c r="AA1230" s="105"/>
    </row>
    <row r="1231" spans="12:27" ht="25" customHeight="1">
      <c r="L1231" s="31"/>
      <c r="M1231" s="31"/>
      <c r="N1231" s="31"/>
      <c r="X1231" s="35"/>
      <c r="Y1231" s="102"/>
      <c r="Z1231" s="104"/>
      <c r="AA1231" s="105"/>
    </row>
    <row r="1232" spans="12:27" ht="25" customHeight="1">
      <c r="L1232" s="31"/>
      <c r="M1232" s="31"/>
      <c r="N1232" s="31"/>
      <c r="X1232" s="35"/>
      <c r="Y1232" s="102"/>
      <c r="Z1232" s="104"/>
      <c r="AA1232" s="105"/>
    </row>
    <row r="1233" spans="12:27" ht="25" customHeight="1">
      <c r="L1233" s="31"/>
      <c r="M1233" s="31"/>
      <c r="N1233" s="31"/>
      <c r="X1233" s="35"/>
      <c r="Y1233" s="102"/>
      <c r="Z1233" s="104"/>
      <c r="AA1233" s="105"/>
    </row>
    <row r="1234" spans="12:27" ht="25" customHeight="1">
      <c r="L1234" s="31"/>
      <c r="M1234" s="31"/>
      <c r="N1234" s="31"/>
      <c r="X1234" s="35"/>
      <c r="Y1234" s="102"/>
      <c r="Z1234" s="104"/>
      <c r="AA1234" s="105"/>
    </row>
    <row r="1235" spans="12:27" ht="25" customHeight="1">
      <c r="L1235" s="31"/>
      <c r="M1235" s="31"/>
      <c r="N1235" s="31"/>
      <c r="X1235" s="35"/>
      <c r="Y1235" s="102"/>
      <c r="Z1235" s="104"/>
      <c r="AA1235" s="105"/>
    </row>
    <row r="1236" spans="12:27" ht="25" customHeight="1">
      <c r="L1236" s="31"/>
      <c r="M1236" s="31"/>
      <c r="N1236" s="31"/>
      <c r="X1236" s="35"/>
      <c r="Y1236" s="102"/>
      <c r="Z1236" s="104"/>
      <c r="AA1236" s="105"/>
    </row>
    <row r="1237" spans="12:27" ht="25" customHeight="1">
      <c r="L1237" s="31"/>
      <c r="M1237" s="31"/>
      <c r="N1237" s="31"/>
      <c r="X1237" s="35"/>
      <c r="Y1237" s="102"/>
      <c r="Z1237" s="104"/>
      <c r="AA1237" s="105"/>
    </row>
    <row r="1238" spans="12:27" ht="25" customHeight="1">
      <c r="L1238" s="31"/>
      <c r="M1238" s="31"/>
      <c r="N1238" s="31"/>
      <c r="X1238" s="35"/>
      <c r="Y1238" s="102"/>
      <c r="Z1238" s="104"/>
      <c r="AA1238" s="105"/>
    </row>
    <row r="1239" spans="12:27" ht="25" customHeight="1">
      <c r="L1239" s="31"/>
      <c r="M1239" s="31"/>
      <c r="N1239" s="31"/>
      <c r="X1239" s="35"/>
      <c r="Y1239" s="102"/>
      <c r="Z1239" s="104"/>
      <c r="AA1239" s="105"/>
    </row>
    <row r="1240" spans="12:27" ht="25" customHeight="1">
      <c r="L1240" s="31"/>
      <c r="M1240" s="31"/>
      <c r="N1240" s="31"/>
      <c r="X1240" s="35"/>
      <c r="Y1240" s="102"/>
      <c r="Z1240" s="104"/>
      <c r="AA1240" s="105"/>
    </row>
    <row r="1241" spans="12:27" ht="25" customHeight="1">
      <c r="L1241" s="31"/>
      <c r="M1241" s="31"/>
      <c r="N1241" s="31"/>
      <c r="X1241" s="35"/>
      <c r="Y1241" s="102"/>
      <c r="Z1241" s="104"/>
      <c r="AA1241" s="105"/>
    </row>
    <row r="1242" spans="12:27" ht="25" customHeight="1">
      <c r="L1242" s="31"/>
      <c r="M1242" s="31"/>
      <c r="N1242" s="31"/>
      <c r="X1242" s="35"/>
      <c r="Y1242" s="102"/>
      <c r="Z1242" s="104"/>
      <c r="AA1242" s="105"/>
    </row>
    <row r="1243" spans="12:27" ht="25" customHeight="1">
      <c r="L1243" s="31"/>
      <c r="M1243" s="31"/>
      <c r="N1243" s="31"/>
      <c r="X1243" s="35"/>
      <c r="Y1243" s="102"/>
      <c r="Z1243" s="104"/>
      <c r="AA1243" s="105"/>
    </row>
    <row r="1244" spans="12:27" ht="25" customHeight="1">
      <c r="L1244" s="31"/>
      <c r="M1244" s="31"/>
      <c r="N1244" s="31"/>
      <c r="X1244" s="35"/>
      <c r="Y1244" s="102"/>
      <c r="Z1244" s="104"/>
      <c r="AA1244" s="105"/>
    </row>
    <row r="1245" spans="12:27" ht="25" customHeight="1">
      <c r="L1245" s="31"/>
      <c r="M1245" s="31"/>
      <c r="N1245" s="31"/>
      <c r="X1245" s="35"/>
      <c r="Y1245" s="102"/>
      <c r="Z1245" s="104"/>
      <c r="AA1245" s="105"/>
    </row>
    <row r="1246" spans="12:27" ht="25" customHeight="1">
      <c r="L1246" s="31"/>
      <c r="M1246" s="31"/>
      <c r="N1246" s="31"/>
      <c r="X1246" s="35"/>
      <c r="Y1246" s="102"/>
      <c r="Z1246" s="104"/>
      <c r="AA1246" s="105"/>
    </row>
    <row r="1247" spans="12:27" ht="25" customHeight="1">
      <c r="L1247" s="31"/>
      <c r="M1247" s="31"/>
      <c r="N1247" s="31"/>
      <c r="X1247" s="35"/>
      <c r="Y1247" s="102"/>
      <c r="Z1247" s="104"/>
      <c r="AA1247" s="105"/>
    </row>
    <row r="1248" spans="12:27" ht="25" customHeight="1">
      <c r="L1248" s="31"/>
      <c r="M1248" s="31"/>
      <c r="N1248" s="31"/>
      <c r="X1248" s="35"/>
      <c r="Y1248" s="102"/>
      <c r="Z1248" s="104"/>
      <c r="AA1248" s="105"/>
    </row>
    <row r="1249" spans="12:27" ht="25" customHeight="1">
      <c r="L1249" s="31"/>
      <c r="M1249" s="31"/>
      <c r="N1249" s="31"/>
      <c r="X1249" s="35"/>
      <c r="Y1249" s="102"/>
      <c r="Z1249" s="104"/>
      <c r="AA1249" s="105"/>
    </row>
    <row r="1250" spans="12:27" ht="25" customHeight="1">
      <c r="L1250" s="31"/>
      <c r="M1250" s="31"/>
      <c r="N1250" s="31"/>
      <c r="X1250" s="35"/>
      <c r="Y1250" s="102"/>
      <c r="Z1250" s="104"/>
      <c r="AA1250" s="105"/>
    </row>
    <row r="1251" spans="12:27" ht="25" customHeight="1">
      <c r="L1251" s="31"/>
      <c r="M1251" s="31"/>
      <c r="N1251" s="31"/>
      <c r="X1251" s="35"/>
      <c r="Y1251" s="102"/>
      <c r="Z1251" s="104"/>
      <c r="AA1251" s="105"/>
    </row>
    <row r="1252" spans="12:27" ht="25" customHeight="1">
      <c r="L1252" s="31"/>
      <c r="M1252" s="31"/>
      <c r="N1252" s="31"/>
      <c r="X1252" s="35"/>
      <c r="Y1252" s="102"/>
      <c r="Z1252" s="104"/>
      <c r="AA1252" s="105"/>
    </row>
    <row r="1253" spans="12:27" ht="25" customHeight="1">
      <c r="L1253" s="31"/>
      <c r="M1253" s="31"/>
      <c r="N1253" s="31"/>
      <c r="X1253" s="35"/>
      <c r="Y1253" s="102"/>
      <c r="Z1253" s="104"/>
      <c r="AA1253" s="105"/>
    </row>
    <row r="1254" spans="12:27" ht="25" customHeight="1">
      <c r="L1254" s="31"/>
      <c r="M1254" s="31"/>
      <c r="N1254" s="31"/>
      <c r="X1254" s="35"/>
      <c r="Y1254" s="102"/>
      <c r="Z1254" s="104"/>
      <c r="AA1254" s="105"/>
    </row>
    <row r="1255" spans="12:27" ht="25" customHeight="1">
      <c r="L1255" s="31"/>
      <c r="M1255" s="31"/>
      <c r="N1255" s="31"/>
      <c r="X1255" s="35"/>
      <c r="Y1255" s="102"/>
      <c r="Z1255" s="104"/>
      <c r="AA1255" s="105"/>
    </row>
    <row r="1256" spans="12:27" ht="25" customHeight="1">
      <c r="L1256" s="31"/>
      <c r="M1256" s="31"/>
      <c r="N1256" s="31"/>
      <c r="X1256" s="35"/>
      <c r="Y1256" s="102"/>
      <c r="Z1256" s="104"/>
      <c r="AA1256" s="105"/>
    </row>
    <row r="1257" spans="12:27" ht="25" customHeight="1">
      <c r="L1257" s="31"/>
      <c r="M1257" s="31"/>
      <c r="N1257" s="31"/>
      <c r="X1257" s="35"/>
      <c r="Y1257" s="102"/>
      <c r="Z1257" s="104"/>
      <c r="AA1257" s="105"/>
    </row>
    <row r="1258" spans="12:27" ht="25" customHeight="1">
      <c r="L1258" s="31"/>
      <c r="M1258" s="31"/>
      <c r="N1258" s="31"/>
      <c r="X1258" s="35"/>
      <c r="Y1258" s="102"/>
      <c r="Z1258" s="104"/>
      <c r="AA1258" s="105"/>
    </row>
    <row r="1259" spans="12:27" ht="25" customHeight="1">
      <c r="L1259" s="31"/>
      <c r="M1259" s="31"/>
      <c r="N1259" s="31"/>
      <c r="X1259" s="35"/>
      <c r="Y1259" s="102"/>
      <c r="Z1259" s="104"/>
      <c r="AA1259" s="105"/>
    </row>
    <row r="1260" spans="12:27" ht="25" customHeight="1">
      <c r="L1260" s="31"/>
      <c r="M1260" s="31"/>
      <c r="N1260" s="31"/>
      <c r="X1260" s="35"/>
      <c r="Y1260" s="102"/>
      <c r="Z1260" s="104"/>
      <c r="AA1260" s="105"/>
    </row>
    <row r="1261" spans="12:27" ht="25" customHeight="1">
      <c r="L1261" s="31"/>
      <c r="M1261" s="31"/>
      <c r="N1261" s="31"/>
      <c r="X1261" s="35"/>
      <c r="Y1261" s="102"/>
      <c r="Z1261" s="104"/>
      <c r="AA1261" s="105"/>
    </row>
    <row r="1262" spans="12:27" ht="25" customHeight="1">
      <c r="L1262" s="31"/>
      <c r="M1262" s="31"/>
      <c r="N1262" s="31"/>
      <c r="X1262" s="35"/>
      <c r="Y1262" s="102"/>
      <c r="Z1262" s="104"/>
      <c r="AA1262" s="105"/>
    </row>
    <row r="1263" spans="12:27" ht="25" customHeight="1">
      <c r="L1263" s="31"/>
      <c r="M1263" s="31"/>
      <c r="N1263" s="31"/>
      <c r="X1263" s="35"/>
      <c r="Y1263" s="102"/>
      <c r="Z1263" s="104"/>
      <c r="AA1263" s="105"/>
    </row>
    <row r="1264" spans="12:27" ht="25" customHeight="1">
      <c r="L1264" s="31"/>
      <c r="M1264" s="31"/>
      <c r="N1264" s="31"/>
      <c r="X1264" s="35"/>
      <c r="Y1264" s="102"/>
      <c r="Z1264" s="104"/>
      <c r="AA1264" s="105"/>
    </row>
    <row r="1265" spans="12:27" ht="25" customHeight="1">
      <c r="L1265" s="31"/>
      <c r="M1265" s="31"/>
      <c r="N1265" s="31"/>
      <c r="X1265" s="35"/>
      <c r="Y1265" s="102"/>
      <c r="Z1265" s="104"/>
      <c r="AA1265" s="105"/>
    </row>
    <row r="1266" spans="12:27" ht="25" customHeight="1">
      <c r="L1266" s="31"/>
      <c r="M1266" s="31"/>
      <c r="N1266" s="31"/>
      <c r="X1266" s="35"/>
      <c r="Y1266" s="102"/>
      <c r="Z1266" s="104"/>
      <c r="AA1266" s="105"/>
    </row>
    <row r="1267" spans="12:27" ht="25" customHeight="1">
      <c r="L1267" s="31"/>
      <c r="M1267" s="31"/>
      <c r="N1267" s="31"/>
      <c r="X1267" s="35"/>
      <c r="Y1267" s="102"/>
      <c r="Z1267" s="104"/>
      <c r="AA1267" s="105"/>
    </row>
    <row r="1268" spans="12:27" ht="25" customHeight="1">
      <c r="L1268" s="31"/>
      <c r="M1268" s="31"/>
      <c r="N1268" s="31"/>
      <c r="X1268" s="35"/>
      <c r="Y1268" s="102"/>
      <c r="Z1268" s="104"/>
      <c r="AA1268" s="105"/>
    </row>
    <row r="1269" spans="12:27" ht="25" customHeight="1">
      <c r="L1269" s="31"/>
      <c r="M1269" s="31"/>
      <c r="N1269" s="31"/>
      <c r="X1269" s="35"/>
      <c r="Y1269" s="102"/>
      <c r="Z1269" s="104"/>
      <c r="AA1269" s="105"/>
    </row>
    <row r="1270" spans="12:27" ht="25" customHeight="1">
      <c r="L1270" s="31"/>
      <c r="M1270" s="31"/>
      <c r="N1270" s="31"/>
      <c r="X1270" s="35"/>
      <c r="Y1270" s="102"/>
      <c r="Z1270" s="104"/>
      <c r="AA1270" s="105"/>
    </row>
    <row r="1271" spans="12:27" ht="25" customHeight="1">
      <c r="L1271" s="31"/>
      <c r="M1271" s="31"/>
      <c r="N1271" s="31"/>
      <c r="X1271" s="35"/>
      <c r="Y1271" s="102"/>
      <c r="Z1271" s="104"/>
      <c r="AA1271" s="105"/>
    </row>
    <row r="1272" spans="12:27" ht="25" customHeight="1">
      <c r="L1272" s="31"/>
      <c r="M1272" s="31"/>
      <c r="N1272" s="31"/>
      <c r="X1272" s="35"/>
      <c r="Y1272" s="102"/>
      <c r="Z1272" s="104"/>
      <c r="AA1272" s="105"/>
    </row>
    <row r="1273" spans="12:27" ht="25" customHeight="1">
      <c r="L1273" s="31"/>
      <c r="M1273" s="31"/>
      <c r="N1273" s="31"/>
      <c r="X1273" s="35"/>
      <c r="Y1273" s="102"/>
      <c r="Z1273" s="104"/>
      <c r="AA1273" s="105"/>
    </row>
    <row r="1274" spans="12:27" ht="25" customHeight="1">
      <c r="L1274" s="31"/>
      <c r="M1274" s="31"/>
      <c r="N1274" s="31"/>
      <c r="X1274" s="35"/>
      <c r="Y1274" s="102"/>
      <c r="Z1274" s="104"/>
      <c r="AA1274" s="105"/>
    </row>
    <row r="1275" spans="12:27" ht="25" customHeight="1">
      <c r="L1275" s="31"/>
      <c r="M1275" s="31"/>
      <c r="N1275" s="31"/>
      <c r="X1275" s="35"/>
      <c r="Y1275" s="102"/>
      <c r="Z1275" s="104"/>
      <c r="AA1275" s="105"/>
    </row>
    <row r="1276" spans="12:27" ht="25" customHeight="1">
      <c r="L1276" s="31"/>
      <c r="M1276" s="31"/>
      <c r="N1276" s="31"/>
      <c r="X1276" s="35"/>
      <c r="Y1276" s="102"/>
      <c r="Z1276" s="104"/>
      <c r="AA1276" s="105"/>
    </row>
    <row r="1277" spans="12:27" ht="25" customHeight="1">
      <c r="L1277" s="31"/>
      <c r="M1277" s="31"/>
      <c r="N1277" s="31"/>
      <c r="X1277" s="35"/>
      <c r="Y1277" s="102"/>
      <c r="Z1277" s="104"/>
      <c r="AA1277" s="105"/>
    </row>
    <row r="1278" spans="12:27" ht="25" customHeight="1">
      <c r="L1278" s="31"/>
      <c r="M1278" s="31"/>
      <c r="N1278" s="31"/>
      <c r="X1278" s="35"/>
      <c r="Y1278" s="102"/>
      <c r="Z1278" s="104"/>
      <c r="AA1278" s="105"/>
    </row>
    <row r="1279" spans="12:27" ht="25" customHeight="1">
      <c r="L1279" s="31"/>
      <c r="M1279" s="31"/>
      <c r="N1279" s="31"/>
      <c r="X1279" s="35"/>
      <c r="Y1279" s="102"/>
      <c r="Z1279" s="104"/>
      <c r="AA1279" s="105"/>
    </row>
    <row r="1280" spans="12:27" ht="25" customHeight="1">
      <c r="L1280" s="31"/>
      <c r="M1280" s="31"/>
      <c r="N1280" s="31"/>
      <c r="X1280" s="35"/>
      <c r="Y1280" s="102"/>
      <c r="Z1280" s="104"/>
      <c r="AA1280" s="105"/>
    </row>
    <row r="1281" spans="12:27" ht="25" customHeight="1">
      <c r="L1281" s="31"/>
      <c r="M1281" s="31"/>
      <c r="N1281" s="31"/>
      <c r="X1281" s="35"/>
      <c r="Y1281" s="102"/>
      <c r="Z1281" s="104"/>
      <c r="AA1281" s="105"/>
    </row>
    <row r="1282" spans="12:27" ht="25" customHeight="1">
      <c r="L1282" s="31"/>
      <c r="M1282" s="31"/>
      <c r="N1282" s="31"/>
      <c r="X1282" s="35"/>
      <c r="Y1282" s="102"/>
      <c r="Z1282" s="104"/>
      <c r="AA1282" s="105"/>
    </row>
    <row r="1283" spans="12:27" ht="25" customHeight="1">
      <c r="L1283" s="31"/>
      <c r="M1283" s="31"/>
      <c r="N1283" s="31"/>
      <c r="X1283" s="35"/>
      <c r="Y1283" s="102"/>
      <c r="Z1283" s="104"/>
      <c r="AA1283" s="105"/>
    </row>
    <row r="1284" spans="12:27" ht="25" customHeight="1">
      <c r="L1284" s="31"/>
      <c r="M1284" s="31"/>
      <c r="N1284" s="31"/>
      <c r="X1284" s="35"/>
      <c r="Y1284" s="102"/>
      <c r="Z1284" s="104"/>
      <c r="AA1284" s="105"/>
    </row>
    <row r="1285" spans="12:27" ht="25" customHeight="1">
      <c r="L1285" s="31"/>
      <c r="M1285" s="31"/>
      <c r="N1285" s="31"/>
      <c r="X1285" s="35"/>
      <c r="Y1285" s="102"/>
      <c r="Z1285" s="104"/>
      <c r="AA1285" s="105"/>
    </row>
    <row r="1286" spans="12:27" ht="25" customHeight="1">
      <c r="L1286" s="31"/>
      <c r="M1286" s="31"/>
      <c r="N1286" s="31"/>
      <c r="X1286" s="35"/>
      <c r="Y1286" s="102"/>
      <c r="Z1286" s="104"/>
      <c r="AA1286" s="105"/>
    </row>
    <row r="1287" spans="12:27" ht="25" customHeight="1">
      <c r="L1287" s="31"/>
      <c r="M1287" s="31"/>
      <c r="N1287" s="31"/>
      <c r="X1287" s="35"/>
      <c r="Y1287" s="102"/>
      <c r="Z1287" s="104"/>
      <c r="AA1287" s="105"/>
    </row>
    <row r="1288" spans="12:27" ht="25" customHeight="1">
      <c r="L1288" s="31"/>
      <c r="M1288" s="31"/>
      <c r="N1288" s="31"/>
      <c r="X1288" s="35"/>
      <c r="Y1288" s="102"/>
      <c r="Z1288" s="104"/>
      <c r="AA1288" s="105"/>
    </row>
    <row r="1289" spans="12:27" ht="25" customHeight="1">
      <c r="L1289" s="31"/>
      <c r="M1289" s="31"/>
      <c r="N1289" s="31"/>
      <c r="X1289" s="35"/>
      <c r="Y1289" s="102"/>
      <c r="Z1289" s="104"/>
      <c r="AA1289" s="105"/>
    </row>
    <row r="1290" spans="12:27" ht="25" customHeight="1">
      <c r="L1290" s="31"/>
      <c r="M1290" s="31"/>
      <c r="N1290" s="31"/>
      <c r="X1290" s="35"/>
      <c r="Y1290" s="102"/>
      <c r="Z1290" s="104"/>
      <c r="AA1290" s="105"/>
    </row>
    <row r="1291" spans="12:27" ht="25" customHeight="1">
      <c r="L1291" s="31"/>
      <c r="M1291" s="31"/>
      <c r="N1291" s="31"/>
      <c r="X1291" s="35"/>
      <c r="Y1291" s="102"/>
      <c r="Z1291" s="104"/>
      <c r="AA1291" s="105"/>
    </row>
    <row r="1292" spans="12:27" ht="25" customHeight="1">
      <c r="L1292" s="31"/>
      <c r="M1292" s="31"/>
      <c r="N1292" s="31"/>
      <c r="X1292" s="35"/>
      <c r="Y1292" s="102"/>
      <c r="Z1292" s="104"/>
      <c r="AA1292" s="105"/>
    </row>
    <row r="1293" spans="12:27" ht="25" customHeight="1">
      <c r="L1293" s="31"/>
      <c r="M1293" s="31"/>
      <c r="N1293" s="31"/>
      <c r="X1293" s="35"/>
      <c r="Y1293" s="102"/>
      <c r="Z1293" s="104"/>
      <c r="AA1293" s="105"/>
    </row>
    <row r="1294" spans="12:27" ht="25" customHeight="1">
      <c r="L1294" s="31"/>
      <c r="M1294" s="31"/>
      <c r="N1294" s="31"/>
      <c r="X1294" s="35"/>
      <c r="Y1294" s="102"/>
      <c r="Z1294" s="104"/>
      <c r="AA1294" s="105"/>
    </row>
    <row r="1295" spans="12:27" ht="25" customHeight="1">
      <c r="L1295" s="31"/>
      <c r="M1295" s="31"/>
      <c r="N1295" s="31"/>
      <c r="X1295" s="35"/>
      <c r="Y1295" s="102"/>
      <c r="Z1295" s="104"/>
      <c r="AA1295" s="105"/>
    </row>
    <row r="1296" spans="12:27" ht="25" customHeight="1">
      <c r="L1296" s="31"/>
      <c r="M1296" s="31"/>
      <c r="N1296" s="31"/>
      <c r="X1296" s="35"/>
      <c r="Y1296" s="102"/>
      <c r="Z1296" s="104"/>
      <c r="AA1296" s="105"/>
    </row>
    <row r="1297" spans="12:27" ht="25" customHeight="1">
      <c r="L1297" s="31"/>
      <c r="M1297" s="31"/>
      <c r="N1297" s="31"/>
      <c r="X1297" s="35"/>
      <c r="Y1297" s="102"/>
      <c r="Z1297" s="104"/>
      <c r="AA1297" s="105"/>
    </row>
    <row r="1298" spans="12:27" ht="25" customHeight="1">
      <c r="L1298" s="31"/>
      <c r="M1298" s="31"/>
      <c r="N1298" s="31"/>
      <c r="X1298" s="35"/>
      <c r="Y1298" s="102"/>
      <c r="Z1298" s="104"/>
      <c r="AA1298" s="105"/>
    </row>
    <row r="1299" spans="12:27" ht="25" customHeight="1">
      <c r="L1299" s="31"/>
      <c r="M1299" s="31"/>
      <c r="N1299" s="31"/>
      <c r="X1299" s="35"/>
      <c r="Y1299" s="102"/>
      <c r="Z1299" s="104"/>
      <c r="AA1299" s="105"/>
    </row>
    <row r="1300" spans="12:27" ht="25" customHeight="1">
      <c r="L1300" s="31"/>
      <c r="M1300" s="31"/>
      <c r="N1300" s="31"/>
      <c r="X1300" s="35"/>
      <c r="Y1300" s="102"/>
      <c r="Z1300" s="104"/>
      <c r="AA1300" s="105"/>
    </row>
    <row r="1301" spans="12:27" ht="25" customHeight="1">
      <c r="L1301" s="31"/>
      <c r="M1301" s="31"/>
      <c r="N1301" s="31"/>
      <c r="X1301" s="35"/>
      <c r="Y1301" s="102"/>
      <c r="Z1301" s="104"/>
      <c r="AA1301" s="105"/>
    </row>
    <row r="1302" spans="12:27" ht="25" customHeight="1">
      <c r="L1302" s="31"/>
      <c r="M1302" s="31"/>
      <c r="N1302" s="31"/>
      <c r="X1302" s="35"/>
      <c r="Y1302" s="102"/>
      <c r="Z1302" s="104"/>
      <c r="AA1302" s="105"/>
    </row>
    <row r="1303" spans="12:27" ht="25" customHeight="1">
      <c r="L1303" s="31"/>
      <c r="M1303" s="31"/>
      <c r="N1303" s="31"/>
      <c r="X1303" s="35"/>
      <c r="Y1303" s="102"/>
      <c r="Z1303" s="104"/>
      <c r="AA1303" s="105"/>
    </row>
    <row r="1304" spans="12:27" ht="25" customHeight="1">
      <c r="L1304" s="31"/>
      <c r="M1304" s="31"/>
      <c r="N1304" s="31"/>
      <c r="X1304" s="35"/>
      <c r="Y1304" s="102"/>
      <c r="Z1304" s="104"/>
      <c r="AA1304" s="105"/>
    </row>
    <row r="1305" spans="12:27" ht="25" customHeight="1">
      <c r="L1305" s="31"/>
      <c r="M1305" s="31"/>
      <c r="N1305" s="31"/>
      <c r="X1305" s="35"/>
      <c r="Y1305" s="102"/>
      <c r="Z1305" s="104"/>
      <c r="AA1305" s="105"/>
    </row>
    <row r="1306" spans="12:27" ht="25" customHeight="1">
      <c r="L1306" s="31"/>
      <c r="M1306" s="31"/>
      <c r="N1306" s="31"/>
      <c r="X1306" s="35"/>
      <c r="Y1306" s="102"/>
    </row>
    <row r="1307" spans="12:27" ht="25" customHeight="1">
      <c r="L1307" s="31"/>
      <c r="M1307" s="31"/>
      <c r="N1307" s="31"/>
      <c r="X1307" s="35"/>
      <c r="Y1307" s="102"/>
    </row>
    <row r="1308" spans="12:27" ht="25" customHeight="1">
      <c r="L1308" s="31"/>
      <c r="M1308" s="31"/>
      <c r="N1308" s="31"/>
      <c r="X1308" s="35"/>
      <c r="Y1308" s="102"/>
    </row>
    <row r="1309" spans="12:27" ht="25" customHeight="1">
      <c r="L1309" s="31"/>
      <c r="M1309" s="31"/>
      <c r="N1309" s="31"/>
      <c r="X1309" s="35"/>
      <c r="Y1309" s="102"/>
    </row>
    <row r="1310" spans="12:27" ht="25" customHeight="1">
      <c r="L1310" s="31"/>
      <c r="M1310" s="31"/>
      <c r="N1310" s="31"/>
      <c r="X1310" s="35"/>
      <c r="Y1310" s="102"/>
    </row>
    <row r="1311" spans="12:27" ht="25" customHeight="1">
      <c r="L1311" s="31"/>
      <c r="M1311" s="31"/>
      <c r="N1311" s="31"/>
      <c r="X1311" s="35"/>
      <c r="Y1311" s="102"/>
    </row>
    <row r="1312" spans="12:27" ht="25" customHeight="1">
      <c r="L1312" s="31"/>
      <c r="M1312" s="31"/>
      <c r="N1312" s="31"/>
      <c r="X1312" s="35"/>
      <c r="Y1312" s="102"/>
    </row>
    <row r="1313" spans="12:25" ht="25" customHeight="1">
      <c r="L1313" s="31"/>
      <c r="M1313" s="31"/>
      <c r="N1313" s="31"/>
      <c r="X1313" s="35"/>
      <c r="Y1313" s="102"/>
    </row>
    <row r="1314" spans="12:25" ht="25" customHeight="1">
      <c r="L1314" s="31"/>
      <c r="M1314" s="31"/>
      <c r="N1314" s="31"/>
      <c r="X1314" s="35"/>
      <c r="Y1314" s="102"/>
    </row>
    <row r="1315" spans="12:25" ht="25" customHeight="1">
      <c r="L1315" s="31"/>
      <c r="M1315" s="31"/>
      <c r="N1315" s="31"/>
      <c r="X1315" s="35"/>
      <c r="Y1315" s="102"/>
    </row>
    <row r="1316" spans="12:25" ht="25" customHeight="1">
      <c r="L1316" s="31"/>
      <c r="M1316" s="31"/>
      <c r="N1316" s="31"/>
      <c r="X1316" s="35"/>
      <c r="Y1316" s="102"/>
    </row>
    <row r="1317" spans="12:25" ht="25" customHeight="1">
      <c r="L1317" s="31"/>
      <c r="M1317" s="31"/>
      <c r="N1317" s="31"/>
      <c r="X1317" s="35"/>
      <c r="Y1317" s="102"/>
    </row>
    <row r="1318" spans="12:25" ht="25" customHeight="1">
      <c r="L1318" s="31"/>
      <c r="M1318" s="31"/>
      <c r="N1318" s="31"/>
      <c r="X1318" s="35"/>
      <c r="Y1318" s="102"/>
    </row>
    <row r="1319" spans="12:25" ht="25" customHeight="1">
      <c r="L1319" s="31"/>
      <c r="M1319" s="31"/>
      <c r="N1319" s="31"/>
      <c r="X1319" s="35"/>
      <c r="Y1319" s="102"/>
    </row>
    <row r="1320" spans="12:25" ht="25" customHeight="1">
      <c r="L1320" s="31"/>
      <c r="M1320" s="31"/>
      <c r="N1320" s="31"/>
      <c r="X1320" s="35"/>
      <c r="Y1320" s="102"/>
    </row>
    <row r="1321" spans="12:25" ht="25" customHeight="1">
      <c r="L1321" s="31"/>
      <c r="M1321" s="31"/>
      <c r="N1321" s="31"/>
      <c r="X1321" s="35"/>
      <c r="Y1321" s="102"/>
    </row>
    <row r="1322" spans="12:25" ht="25" customHeight="1">
      <c r="L1322" s="31"/>
      <c r="M1322" s="31"/>
      <c r="N1322" s="31"/>
      <c r="X1322" s="35"/>
      <c r="Y1322" s="102"/>
    </row>
    <row r="1323" spans="12:25" ht="25" customHeight="1">
      <c r="L1323" s="31"/>
      <c r="M1323" s="31"/>
      <c r="N1323" s="31"/>
      <c r="X1323" s="35"/>
      <c r="Y1323" s="102"/>
    </row>
    <row r="1324" spans="12:25" ht="25" customHeight="1">
      <c r="L1324" s="31"/>
      <c r="M1324" s="31"/>
      <c r="N1324" s="31"/>
      <c r="X1324" s="35"/>
      <c r="Y1324" s="102"/>
    </row>
    <row r="1325" spans="12:25" ht="25" customHeight="1">
      <c r="L1325" s="31"/>
      <c r="M1325" s="31"/>
      <c r="N1325" s="31"/>
      <c r="X1325" s="35"/>
      <c r="Y1325" s="102"/>
    </row>
    <row r="1326" spans="12:25" ht="25" customHeight="1">
      <c r="L1326" s="31"/>
      <c r="M1326" s="31"/>
      <c r="N1326" s="31"/>
      <c r="X1326" s="35"/>
      <c r="Y1326" s="102"/>
    </row>
    <row r="1327" spans="12:25" ht="25" customHeight="1">
      <c r="L1327" s="31"/>
      <c r="M1327" s="31"/>
      <c r="N1327" s="31"/>
      <c r="X1327" s="35"/>
      <c r="Y1327" s="102"/>
    </row>
    <row r="1328" spans="12:25" ht="25" customHeight="1">
      <c r="L1328" s="31"/>
      <c r="M1328" s="31"/>
      <c r="N1328" s="31"/>
      <c r="X1328" s="35"/>
      <c r="Y1328" s="102"/>
    </row>
    <row r="1329" spans="12:25" ht="25" customHeight="1">
      <c r="L1329" s="31"/>
      <c r="M1329" s="31"/>
      <c r="N1329" s="31"/>
      <c r="X1329" s="35"/>
      <c r="Y1329" s="102"/>
    </row>
    <row r="1330" spans="12:25" ht="25" customHeight="1">
      <c r="L1330" s="31"/>
      <c r="M1330" s="31"/>
      <c r="N1330" s="31"/>
      <c r="X1330" s="35"/>
      <c r="Y1330" s="102"/>
    </row>
    <row r="1331" spans="12:25" ht="25" customHeight="1">
      <c r="L1331" s="31"/>
      <c r="M1331" s="31"/>
      <c r="N1331" s="31"/>
      <c r="X1331" s="35"/>
      <c r="Y1331" s="102"/>
    </row>
    <row r="1332" spans="12:25" ht="25" customHeight="1">
      <c r="L1332" s="31"/>
      <c r="M1332" s="31"/>
      <c r="N1332" s="31"/>
      <c r="X1332" s="35"/>
      <c r="Y1332" s="102"/>
    </row>
    <row r="1333" spans="12:25" ht="25" customHeight="1">
      <c r="L1333" s="31"/>
      <c r="M1333" s="31"/>
      <c r="N1333" s="31"/>
      <c r="X1333" s="35"/>
      <c r="Y1333" s="102"/>
    </row>
    <row r="1334" spans="12:25" ht="25" customHeight="1">
      <c r="L1334" s="31"/>
      <c r="M1334" s="31"/>
      <c r="N1334" s="31"/>
      <c r="X1334" s="35"/>
      <c r="Y1334" s="102"/>
    </row>
    <row r="1335" spans="12:25" ht="25" customHeight="1">
      <c r="L1335" s="31"/>
      <c r="M1335" s="31"/>
      <c r="N1335" s="31"/>
      <c r="X1335" s="35"/>
      <c r="Y1335" s="102"/>
    </row>
    <row r="1336" spans="12:25" ht="25" customHeight="1">
      <c r="L1336" s="31"/>
      <c r="M1336" s="31"/>
      <c r="N1336" s="31"/>
      <c r="X1336" s="35"/>
      <c r="Y1336" s="102"/>
    </row>
    <row r="1337" spans="12:25" ht="25" customHeight="1">
      <c r="L1337" s="31"/>
      <c r="M1337" s="31"/>
      <c r="N1337" s="31"/>
      <c r="X1337" s="35"/>
      <c r="Y1337" s="102"/>
    </row>
    <row r="1338" spans="12:25" ht="25" customHeight="1">
      <c r="L1338" s="31"/>
      <c r="M1338" s="31"/>
      <c r="N1338" s="31"/>
      <c r="X1338" s="35"/>
      <c r="Y1338" s="102"/>
    </row>
    <row r="1339" spans="12:25" ht="25" customHeight="1">
      <c r="L1339" s="31"/>
      <c r="M1339" s="31"/>
      <c r="N1339" s="31"/>
      <c r="X1339" s="35"/>
      <c r="Y1339" s="102"/>
    </row>
    <row r="1340" spans="12:25" ht="25" customHeight="1">
      <c r="L1340" s="31"/>
      <c r="M1340" s="31"/>
      <c r="N1340" s="31"/>
      <c r="X1340" s="35"/>
      <c r="Y1340" s="102"/>
    </row>
    <row r="1341" spans="12:25" ht="25" customHeight="1">
      <c r="L1341" s="31"/>
      <c r="M1341" s="31"/>
      <c r="N1341" s="31"/>
      <c r="X1341" s="35"/>
      <c r="Y1341" s="102"/>
    </row>
    <row r="1342" spans="12:25" ht="25" customHeight="1">
      <c r="L1342" s="31"/>
      <c r="M1342" s="31"/>
      <c r="N1342" s="31"/>
      <c r="X1342" s="35"/>
      <c r="Y1342" s="102"/>
    </row>
    <row r="1343" spans="12:25" ht="25" customHeight="1">
      <c r="L1343" s="31"/>
      <c r="M1343" s="31"/>
      <c r="N1343" s="31"/>
      <c r="X1343" s="35"/>
      <c r="Y1343" s="102"/>
    </row>
    <row r="1344" spans="12:25" ht="25" customHeight="1">
      <c r="L1344" s="31"/>
      <c r="M1344" s="31"/>
      <c r="N1344" s="31"/>
      <c r="X1344" s="35"/>
      <c r="Y1344" s="102"/>
    </row>
    <row r="1345" spans="12:25" ht="25" customHeight="1">
      <c r="L1345" s="31"/>
      <c r="M1345" s="31"/>
      <c r="N1345" s="31"/>
      <c r="X1345" s="35"/>
      <c r="Y1345" s="102"/>
    </row>
    <row r="1346" spans="12:25" ht="25" customHeight="1">
      <c r="L1346" s="31"/>
      <c r="M1346" s="31"/>
      <c r="N1346" s="31"/>
      <c r="X1346" s="35"/>
      <c r="Y1346" s="102"/>
    </row>
    <row r="1347" spans="12:25" ht="25" customHeight="1">
      <c r="L1347" s="31"/>
      <c r="M1347" s="31"/>
      <c r="N1347" s="31"/>
      <c r="X1347" s="35"/>
      <c r="Y1347" s="102"/>
    </row>
    <row r="1348" spans="12:25" ht="25" customHeight="1">
      <c r="L1348" s="31"/>
      <c r="M1348" s="31"/>
      <c r="N1348" s="31"/>
      <c r="X1348" s="35"/>
      <c r="Y1348" s="102"/>
    </row>
    <row r="1349" spans="12:25" ht="25" customHeight="1">
      <c r="L1349" s="31"/>
      <c r="M1349" s="31"/>
      <c r="N1349" s="31"/>
      <c r="X1349" s="35"/>
      <c r="Y1349" s="102"/>
    </row>
    <row r="1350" spans="12:25" ht="25" customHeight="1">
      <c r="L1350" s="31"/>
      <c r="M1350" s="31"/>
      <c r="N1350" s="31"/>
      <c r="X1350" s="35"/>
      <c r="Y1350" s="102"/>
    </row>
    <row r="1351" spans="12:25" ht="25" customHeight="1">
      <c r="L1351" s="31"/>
      <c r="M1351" s="31"/>
      <c r="N1351" s="31"/>
      <c r="X1351" s="35"/>
      <c r="Y1351" s="102"/>
    </row>
    <row r="1352" spans="12:25" ht="25" customHeight="1">
      <c r="L1352" s="31"/>
      <c r="M1352" s="31"/>
      <c r="N1352" s="31"/>
      <c r="X1352" s="35"/>
      <c r="Y1352" s="102"/>
    </row>
    <row r="1353" spans="12:25" ht="25" customHeight="1">
      <c r="L1353" s="31"/>
      <c r="M1353" s="31"/>
      <c r="N1353" s="31"/>
      <c r="X1353" s="35"/>
      <c r="Y1353" s="102"/>
    </row>
    <row r="1354" spans="12:25" ht="25" customHeight="1">
      <c r="L1354" s="31"/>
      <c r="M1354" s="31"/>
      <c r="N1354" s="31"/>
      <c r="X1354" s="35"/>
      <c r="Y1354" s="102"/>
    </row>
    <row r="1355" spans="12:25" ht="25" customHeight="1">
      <c r="L1355" s="31"/>
      <c r="M1355" s="31"/>
      <c r="N1355" s="31"/>
      <c r="X1355" s="35"/>
      <c r="Y1355" s="102"/>
    </row>
    <row r="1356" spans="12:25" ht="25" customHeight="1">
      <c r="L1356" s="31"/>
      <c r="M1356" s="31"/>
      <c r="N1356" s="31"/>
      <c r="X1356" s="35"/>
      <c r="Y1356" s="102"/>
    </row>
    <row r="1357" spans="12:25" ht="25" customHeight="1">
      <c r="L1357" s="31"/>
      <c r="M1357" s="31"/>
      <c r="N1357" s="31"/>
      <c r="X1357" s="35"/>
      <c r="Y1357" s="102"/>
    </row>
    <row r="1358" spans="12:25" ht="25" customHeight="1">
      <c r="L1358" s="31"/>
      <c r="M1358" s="31"/>
      <c r="N1358" s="31"/>
      <c r="X1358" s="35"/>
      <c r="Y1358" s="102"/>
    </row>
    <row r="1359" spans="12:25" ht="25" customHeight="1">
      <c r="L1359" s="31"/>
      <c r="M1359" s="31"/>
      <c r="N1359" s="31"/>
      <c r="X1359" s="35"/>
      <c r="Y1359" s="102"/>
    </row>
    <row r="1360" spans="12:25" ht="25" customHeight="1">
      <c r="L1360" s="31"/>
      <c r="M1360" s="31"/>
      <c r="N1360" s="31"/>
      <c r="X1360" s="35"/>
      <c r="Y1360" s="102"/>
    </row>
    <row r="1361" spans="12:25" ht="25" customHeight="1">
      <c r="L1361" s="31"/>
      <c r="M1361" s="31"/>
      <c r="N1361" s="31"/>
      <c r="X1361" s="35"/>
      <c r="Y1361" s="102"/>
    </row>
    <row r="1362" spans="12:25" ht="25" customHeight="1">
      <c r="L1362" s="31"/>
      <c r="M1362" s="31"/>
      <c r="N1362" s="31"/>
      <c r="X1362" s="35"/>
      <c r="Y1362" s="102"/>
    </row>
    <row r="1363" spans="12:25" ht="25" customHeight="1">
      <c r="L1363" s="31"/>
      <c r="M1363" s="31"/>
      <c r="N1363" s="31"/>
      <c r="X1363" s="35"/>
      <c r="Y1363" s="102"/>
    </row>
    <row r="1364" spans="12:25" ht="25" customHeight="1">
      <c r="L1364" s="31"/>
      <c r="M1364" s="31"/>
      <c r="N1364" s="31"/>
      <c r="X1364" s="35"/>
      <c r="Y1364" s="102"/>
    </row>
    <row r="1365" spans="12:25" ht="25" customHeight="1">
      <c r="L1365" s="31"/>
      <c r="M1365" s="31"/>
      <c r="N1365" s="31"/>
      <c r="X1365" s="35"/>
      <c r="Y1365" s="102"/>
    </row>
    <row r="1366" spans="12:25" ht="25" customHeight="1">
      <c r="L1366" s="31"/>
      <c r="M1366" s="31"/>
      <c r="N1366" s="31"/>
      <c r="X1366" s="35"/>
      <c r="Y1366" s="102"/>
    </row>
    <row r="1367" spans="12:25" ht="25" customHeight="1">
      <c r="L1367" s="31"/>
      <c r="M1367" s="31"/>
      <c r="N1367" s="31"/>
      <c r="X1367" s="35"/>
      <c r="Y1367" s="102"/>
    </row>
    <row r="1368" spans="12:25" ht="25" customHeight="1">
      <c r="L1368" s="31"/>
      <c r="M1368" s="31"/>
      <c r="N1368" s="31"/>
      <c r="X1368" s="35"/>
      <c r="Y1368" s="102"/>
    </row>
    <row r="1369" spans="12:25" ht="25" customHeight="1">
      <c r="L1369" s="31"/>
      <c r="M1369" s="31"/>
      <c r="N1369" s="31"/>
      <c r="X1369" s="35"/>
      <c r="Y1369" s="102"/>
    </row>
    <row r="1370" spans="12:25" ht="25" customHeight="1">
      <c r="L1370" s="31"/>
      <c r="M1370" s="31"/>
      <c r="N1370" s="31"/>
      <c r="X1370" s="35"/>
      <c r="Y1370" s="102"/>
    </row>
    <row r="1371" spans="12:25" ht="25" customHeight="1">
      <c r="L1371" s="31"/>
      <c r="M1371" s="31"/>
      <c r="N1371" s="31"/>
      <c r="X1371" s="35"/>
      <c r="Y1371" s="102"/>
    </row>
    <row r="1372" spans="12:25" ht="25" customHeight="1">
      <c r="L1372" s="31"/>
      <c r="M1372" s="31"/>
      <c r="N1372" s="31"/>
      <c r="X1372" s="35"/>
      <c r="Y1372" s="102"/>
    </row>
    <row r="1373" spans="12:25" ht="25" customHeight="1">
      <c r="L1373" s="31"/>
      <c r="M1373" s="31"/>
      <c r="N1373" s="31"/>
      <c r="X1373" s="35"/>
      <c r="Y1373" s="102"/>
    </row>
    <row r="1374" spans="12:25" ht="25" customHeight="1">
      <c r="L1374" s="31"/>
      <c r="M1374" s="31"/>
      <c r="N1374" s="31"/>
      <c r="X1374" s="35"/>
      <c r="Y1374" s="102"/>
    </row>
    <row r="1375" spans="12:25" ht="25" customHeight="1">
      <c r="L1375" s="31"/>
      <c r="M1375" s="31"/>
      <c r="N1375" s="31"/>
      <c r="X1375" s="35"/>
      <c r="Y1375" s="102"/>
    </row>
    <row r="1376" spans="12:25" ht="25" customHeight="1">
      <c r="L1376" s="31"/>
      <c r="M1376" s="31"/>
      <c r="N1376" s="31"/>
      <c r="X1376" s="35"/>
      <c r="Y1376" s="102"/>
    </row>
    <row r="1377" spans="12:25" ht="25" customHeight="1">
      <c r="L1377" s="31"/>
      <c r="M1377" s="31"/>
      <c r="N1377" s="31"/>
      <c r="X1377" s="35"/>
      <c r="Y1377" s="102"/>
    </row>
    <row r="1378" spans="12:25" ht="25" customHeight="1">
      <c r="L1378" s="31"/>
      <c r="M1378" s="31"/>
      <c r="N1378" s="31"/>
      <c r="X1378" s="35"/>
      <c r="Y1378" s="102"/>
    </row>
    <row r="1379" spans="12:25" ht="25" customHeight="1">
      <c r="L1379" s="31"/>
      <c r="M1379" s="31"/>
      <c r="N1379" s="31"/>
      <c r="X1379" s="35"/>
      <c r="Y1379" s="102"/>
    </row>
    <row r="1380" spans="12:25" ht="25" customHeight="1">
      <c r="L1380" s="31"/>
      <c r="M1380" s="31"/>
      <c r="N1380" s="31"/>
      <c r="X1380" s="35"/>
      <c r="Y1380" s="102"/>
    </row>
    <row r="1381" spans="12:25" ht="25" customHeight="1">
      <c r="L1381" s="31"/>
      <c r="M1381" s="31"/>
      <c r="N1381" s="31"/>
      <c r="X1381" s="35"/>
      <c r="Y1381" s="102"/>
    </row>
    <row r="1382" spans="12:25" ht="25" customHeight="1">
      <c r="L1382" s="31"/>
      <c r="M1382" s="31"/>
      <c r="N1382" s="31"/>
      <c r="X1382" s="35"/>
      <c r="Y1382" s="102"/>
    </row>
    <row r="1383" spans="12:25" ht="25" customHeight="1">
      <c r="L1383" s="31"/>
      <c r="M1383" s="31"/>
      <c r="N1383" s="31"/>
      <c r="X1383" s="35"/>
      <c r="Y1383" s="102"/>
    </row>
    <row r="1384" spans="12:25" ht="25" customHeight="1">
      <c r="L1384" s="31"/>
      <c r="M1384" s="31"/>
      <c r="N1384" s="31"/>
      <c r="X1384" s="35"/>
      <c r="Y1384" s="102"/>
    </row>
    <row r="1385" spans="12:25" ht="25" customHeight="1">
      <c r="L1385" s="31"/>
      <c r="M1385" s="31"/>
      <c r="N1385" s="31"/>
      <c r="X1385" s="35"/>
      <c r="Y1385" s="102"/>
    </row>
    <row r="1386" spans="12:25" ht="25" customHeight="1">
      <c r="L1386" s="31"/>
      <c r="M1386" s="31"/>
      <c r="N1386" s="31"/>
      <c r="X1386" s="35"/>
      <c r="Y1386" s="102"/>
    </row>
    <row r="1387" spans="12:25" ht="25" customHeight="1">
      <c r="L1387" s="31"/>
      <c r="M1387" s="31"/>
      <c r="N1387" s="31"/>
      <c r="X1387" s="35"/>
      <c r="Y1387" s="102"/>
    </row>
    <row r="1388" spans="12:25" ht="25" customHeight="1">
      <c r="L1388" s="31"/>
      <c r="M1388" s="31"/>
      <c r="N1388" s="31"/>
      <c r="X1388" s="35"/>
      <c r="Y1388" s="102"/>
    </row>
    <row r="1389" spans="12:25" ht="25" customHeight="1">
      <c r="L1389" s="31"/>
      <c r="M1389" s="31"/>
      <c r="N1389" s="31"/>
      <c r="X1389" s="35"/>
      <c r="Y1389" s="102"/>
    </row>
    <row r="1390" spans="12:25" ht="25" customHeight="1">
      <c r="L1390" s="31"/>
      <c r="M1390" s="31"/>
      <c r="N1390" s="31"/>
      <c r="X1390" s="35"/>
      <c r="Y1390" s="102"/>
    </row>
    <row r="1391" spans="12:25" ht="25" customHeight="1">
      <c r="L1391" s="31"/>
      <c r="M1391" s="31"/>
      <c r="N1391" s="31"/>
      <c r="X1391" s="35"/>
      <c r="Y1391" s="102"/>
    </row>
    <row r="1392" spans="12:25" ht="25" customHeight="1">
      <c r="L1392" s="31"/>
      <c r="M1392" s="31"/>
      <c r="N1392" s="31"/>
      <c r="X1392" s="35"/>
      <c r="Y1392" s="102"/>
    </row>
    <row r="1393" spans="12:25" ht="25" customHeight="1">
      <c r="L1393" s="31"/>
      <c r="M1393" s="31"/>
      <c r="N1393" s="31"/>
      <c r="X1393" s="35"/>
      <c r="Y1393" s="102"/>
    </row>
    <row r="1394" spans="12:25" ht="25" customHeight="1">
      <c r="L1394" s="31"/>
      <c r="M1394" s="31"/>
      <c r="N1394" s="31"/>
      <c r="X1394" s="35"/>
      <c r="Y1394" s="102"/>
    </row>
    <row r="1395" spans="12:25" ht="25" customHeight="1">
      <c r="L1395" s="31"/>
      <c r="M1395" s="31"/>
      <c r="N1395" s="31"/>
      <c r="X1395" s="35"/>
      <c r="Y1395" s="102"/>
    </row>
    <row r="1396" spans="12:25" ht="25" customHeight="1">
      <c r="L1396" s="31"/>
      <c r="M1396" s="31"/>
      <c r="N1396" s="31"/>
      <c r="X1396" s="35"/>
      <c r="Y1396" s="102"/>
    </row>
    <row r="1397" spans="12:25" ht="25" customHeight="1">
      <c r="L1397" s="31"/>
      <c r="M1397" s="31"/>
      <c r="N1397" s="31"/>
      <c r="X1397" s="35"/>
      <c r="Y1397" s="102"/>
    </row>
    <row r="1398" spans="12:25" ht="25" customHeight="1">
      <c r="L1398" s="31"/>
      <c r="M1398" s="31"/>
      <c r="N1398" s="31"/>
      <c r="X1398" s="35"/>
      <c r="Y1398" s="102"/>
    </row>
    <row r="1399" spans="12:25" ht="25" customHeight="1">
      <c r="L1399" s="31"/>
      <c r="M1399" s="31"/>
      <c r="N1399" s="31"/>
      <c r="X1399" s="35"/>
      <c r="Y1399" s="102"/>
    </row>
    <row r="1400" spans="12:25" ht="25" customHeight="1">
      <c r="L1400" s="31"/>
      <c r="M1400" s="31"/>
      <c r="N1400" s="31"/>
      <c r="X1400" s="35"/>
      <c r="Y1400" s="102"/>
    </row>
    <row r="1401" spans="12:25" ht="25" customHeight="1">
      <c r="L1401" s="31"/>
      <c r="M1401" s="31"/>
      <c r="N1401" s="31"/>
      <c r="X1401" s="35"/>
      <c r="Y1401" s="102"/>
    </row>
    <row r="1402" spans="12:25" ht="25" customHeight="1">
      <c r="L1402" s="31"/>
      <c r="M1402" s="31"/>
      <c r="N1402" s="31"/>
      <c r="X1402" s="35"/>
      <c r="Y1402" s="102"/>
    </row>
    <row r="1403" spans="12:25" ht="25" customHeight="1">
      <c r="L1403" s="31"/>
      <c r="M1403" s="31"/>
      <c r="N1403" s="31"/>
      <c r="X1403" s="35"/>
      <c r="Y1403" s="102"/>
    </row>
    <row r="1404" spans="12:25" ht="25" customHeight="1">
      <c r="L1404" s="31"/>
      <c r="M1404" s="31"/>
      <c r="N1404" s="31"/>
      <c r="X1404" s="35"/>
      <c r="Y1404" s="102"/>
    </row>
    <row r="1405" spans="12:25" ht="25" customHeight="1">
      <c r="L1405" s="31"/>
      <c r="M1405" s="31"/>
      <c r="N1405" s="31"/>
      <c r="X1405" s="35"/>
      <c r="Y1405" s="102"/>
    </row>
    <row r="1406" spans="12:25" ht="25" customHeight="1">
      <c r="L1406" s="31"/>
      <c r="M1406" s="31"/>
      <c r="N1406" s="31"/>
      <c r="X1406" s="35"/>
      <c r="Y1406" s="102"/>
    </row>
    <row r="1407" spans="12:25" ht="25" customHeight="1">
      <c r="L1407" s="31"/>
      <c r="M1407" s="31"/>
      <c r="N1407" s="31"/>
      <c r="X1407" s="35"/>
      <c r="Y1407" s="102"/>
    </row>
    <row r="1408" spans="12:25" ht="25" customHeight="1">
      <c r="L1408" s="31"/>
      <c r="M1408" s="31"/>
      <c r="N1408" s="31"/>
      <c r="X1408" s="35"/>
      <c r="Y1408" s="102"/>
    </row>
    <row r="1409" spans="12:25" ht="25" customHeight="1">
      <c r="L1409" s="31"/>
      <c r="M1409" s="31"/>
      <c r="N1409" s="31"/>
      <c r="X1409" s="35"/>
      <c r="Y1409" s="102"/>
    </row>
    <row r="1410" spans="12:25" ht="25" customHeight="1">
      <c r="L1410" s="31"/>
      <c r="M1410" s="31"/>
      <c r="N1410" s="31"/>
      <c r="X1410" s="35"/>
      <c r="Y1410" s="102"/>
    </row>
    <row r="1411" spans="12:25" ht="25" customHeight="1">
      <c r="L1411" s="31"/>
      <c r="M1411" s="31"/>
      <c r="N1411" s="31"/>
      <c r="X1411" s="35"/>
      <c r="Y1411" s="102"/>
    </row>
    <row r="1412" spans="12:25" ht="25" customHeight="1">
      <c r="L1412" s="31"/>
      <c r="M1412" s="31"/>
      <c r="N1412" s="31"/>
      <c r="X1412" s="35"/>
      <c r="Y1412" s="102"/>
    </row>
    <row r="1413" spans="12:25" ht="25" customHeight="1">
      <c r="L1413" s="31"/>
      <c r="M1413" s="31"/>
      <c r="N1413" s="31"/>
      <c r="X1413" s="35"/>
      <c r="Y1413" s="102"/>
    </row>
    <row r="1414" spans="12:25" ht="25" customHeight="1">
      <c r="L1414" s="31"/>
      <c r="M1414" s="31"/>
      <c r="N1414" s="31"/>
      <c r="X1414" s="35"/>
      <c r="Y1414" s="102"/>
    </row>
    <row r="1415" spans="12:25" ht="25" customHeight="1">
      <c r="L1415" s="31"/>
      <c r="M1415" s="31"/>
      <c r="N1415" s="31"/>
      <c r="X1415" s="35"/>
      <c r="Y1415" s="102"/>
    </row>
    <row r="1416" spans="12:25" ht="25" customHeight="1">
      <c r="L1416" s="31"/>
      <c r="M1416" s="31"/>
      <c r="N1416" s="31"/>
      <c r="X1416" s="35"/>
      <c r="Y1416" s="102"/>
    </row>
    <row r="1417" spans="12:25" ht="25" customHeight="1">
      <c r="L1417" s="31"/>
      <c r="M1417" s="31"/>
      <c r="N1417" s="31"/>
      <c r="X1417" s="35"/>
      <c r="Y1417" s="102"/>
    </row>
    <row r="1418" spans="12:25" ht="25" customHeight="1">
      <c r="L1418" s="31"/>
      <c r="M1418" s="31"/>
      <c r="N1418" s="31"/>
      <c r="X1418" s="35"/>
      <c r="Y1418" s="102"/>
    </row>
    <row r="1419" spans="12:25" ht="25" customHeight="1">
      <c r="L1419" s="31"/>
      <c r="M1419" s="31"/>
      <c r="N1419" s="31"/>
      <c r="X1419" s="35"/>
      <c r="Y1419" s="102"/>
    </row>
    <row r="1420" spans="12:25" ht="25" customHeight="1">
      <c r="L1420" s="31"/>
      <c r="M1420" s="31"/>
      <c r="N1420" s="31"/>
      <c r="X1420" s="35"/>
      <c r="Y1420" s="102"/>
    </row>
    <row r="1421" spans="12:25" ht="25" customHeight="1">
      <c r="L1421" s="31"/>
      <c r="M1421" s="31"/>
      <c r="N1421" s="31"/>
      <c r="X1421" s="35"/>
      <c r="Y1421" s="102"/>
    </row>
    <row r="1422" spans="12:25" ht="25" customHeight="1">
      <c r="L1422" s="31"/>
      <c r="M1422" s="31"/>
      <c r="N1422" s="31"/>
      <c r="X1422" s="35"/>
      <c r="Y1422" s="102"/>
    </row>
    <row r="1423" spans="12:25" ht="25" customHeight="1">
      <c r="L1423" s="31"/>
      <c r="M1423" s="31"/>
      <c r="N1423" s="31"/>
      <c r="X1423" s="35"/>
      <c r="Y1423" s="102"/>
    </row>
    <row r="1424" spans="12:25" ht="25" customHeight="1">
      <c r="L1424" s="31"/>
      <c r="M1424" s="31"/>
      <c r="N1424" s="31"/>
      <c r="X1424" s="35"/>
      <c r="Y1424" s="102"/>
    </row>
    <row r="1425" spans="12:25" ht="25" customHeight="1">
      <c r="L1425" s="31"/>
      <c r="M1425" s="31"/>
      <c r="N1425" s="31"/>
      <c r="X1425" s="35"/>
      <c r="Y1425" s="102"/>
    </row>
    <row r="1426" spans="12:25" ht="25" customHeight="1">
      <c r="L1426" s="31"/>
      <c r="M1426" s="31"/>
      <c r="N1426" s="31"/>
      <c r="X1426" s="35"/>
      <c r="Y1426" s="102"/>
    </row>
    <row r="1427" spans="12:25" ht="25" customHeight="1">
      <c r="L1427" s="31"/>
      <c r="M1427" s="31"/>
      <c r="N1427" s="31"/>
      <c r="X1427" s="35"/>
      <c r="Y1427" s="102"/>
    </row>
    <row r="1428" spans="12:25" ht="25" customHeight="1">
      <c r="L1428" s="31"/>
      <c r="M1428" s="31"/>
      <c r="N1428" s="31"/>
      <c r="X1428" s="35"/>
      <c r="Y1428" s="102"/>
    </row>
    <row r="1429" spans="12:25" ht="25" customHeight="1">
      <c r="L1429" s="31"/>
      <c r="M1429" s="31"/>
      <c r="N1429" s="31"/>
      <c r="X1429" s="35"/>
      <c r="Y1429" s="102"/>
    </row>
    <row r="1430" spans="12:25" ht="25" customHeight="1">
      <c r="L1430" s="31"/>
      <c r="M1430" s="31"/>
      <c r="N1430" s="31"/>
      <c r="X1430" s="35"/>
      <c r="Y1430" s="102"/>
    </row>
    <row r="1431" spans="12:25" ht="25" customHeight="1">
      <c r="L1431" s="31"/>
      <c r="M1431" s="31"/>
      <c r="N1431" s="31"/>
      <c r="X1431" s="35"/>
      <c r="Y1431" s="102"/>
    </row>
    <row r="1432" spans="12:25" ht="25" customHeight="1">
      <c r="L1432" s="31"/>
      <c r="M1432" s="31"/>
      <c r="N1432" s="31"/>
      <c r="X1432" s="35"/>
      <c r="Y1432" s="102"/>
    </row>
    <row r="1433" spans="12:25" ht="25" customHeight="1">
      <c r="L1433" s="31"/>
      <c r="M1433" s="31"/>
      <c r="N1433" s="31"/>
      <c r="X1433" s="35"/>
      <c r="Y1433" s="102"/>
    </row>
    <row r="1434" spans="12:25" ht="25" customHeight="1">
      <c r="L1434" s="31"/>
      <c r="M1434" s="31"/>
      <c r="N1434" s="31"/>
      <c r="X1434" s="35"/>
      <c r="Y1434" s="102"/>
    </row>
    <row r="1435" spans="12:25" ht="25" customHeight="1">
      <c r="L1435" s="31"/>
      <c r="M1435" s="31"/>
      <c r="N1435" s="31"/>
      <c r="X1435" s="35"/>
      <c r="Y1435" s="102"/>
    </row>
    <row r="1436" spans="12:25" ht="25" customHeight="1">
      <c r="L1436" s="31"/>
      <c r="M1436" s="31"/>
      <c r="N1436" s="31"/>
      <c r="X1436" s="35"/>
      <c r="Y1436" s="102"/>
    </row>
    <row r="1437" spans="12:25" ht="25" customHeight="1">
      <c r="L1437" s="31"/>
      <c r="M1437" s="31"/>
      <c r="N1437" s="31"/>
      <c r="X1437" s="35"/>
      <c r="Y1437" s="102"/>
    </row>
    <row r="1438" spans="12:25" ht="25" customHeight="1">
      <c r="L1438" s="31"/>
      <c r="M1438" s="31"/>
      <c r="N1438" s="31"/>
      <c r="X1438" s="35"/>
      <c r="Y1438" s="102"/>
    </row>
    <row r="1439" spans="12:25" ht="25" customHeight="1">
      <c r="L1439" s="31"/>
      <c r="M1439" s="31"/>
      <c r="N1439" s="31"/>
      <c r="X1439" s="35"/>
      <c r="Y1439" s="102"/>
    </row>
    <row r="1440" spans="12:25" ht="25" customHeight="1">
      <c r="L1440" s="31"/>
      <c r="M1440" s="31"/>
      <c r="N1440" s="31"/>
      <c r="X1440" s="35"/>
      <c r="Y1440" s="102"/>
    </row>
    <row r="1441" spans="12:25" ht="25" customHeight="1">
      <c r="L1441" s="31"/>
      <c r="M1441" s="31"/>
      <c r="N1441" s="31"/>
      <c r="X1441" s="35"/>
      <c r="Y1441" s="102"/>
    </row>
    <row r="1442" spans="12:25" ht="25" customHeight="1">
      <c r="L1442" s="31"/>
      <c r="M1442" s="31"/>
      <c r="N1442" s="31"/>
      <c r="X1442" s="35"/>
      <c r="Y1442" s="102"/>
    </row>
    <row r="1443" spans="12:25" ht="25" customHeight="1">
      <c r="L1443" s="31"/>
      <c r="M1443" s="31"/>
      <c r="N1443" s="31"/>
      <c r="X1443" s="35"/>
      <c r="Y1443" s="102"/>
    </row>
    <row r="1444" spans="12:25" ht="25" customHeight="1">
      <c r="L1444" s="31"/>
      <c r="M1444" s="31"/>
      <c r="N1444" s="31"/>
      <c r="X1444" s="35"/>
      <c r="Y1444" s="102"/>
    </row>
    <row r="1445" spans="12:25" ht="25" customHeight="1">
      <c r="L1445" s="31"/>
      <c r="M1445" s="31"/>
      <c r="N1445" s="31"/>
      <c r="X1445" s="35"/>
      <c r="Y1445" s="102"/>
    </row>
    <row r="1446" spans="12:25" ht="25" customHeight="1">
      <c r="L1446" s="31"/>
      <c r="M1446" s="31"/>
      <c r="N1446" s="31"/>
      <c r="X1446" s="35"/>
      <c r="Y1446" s="102"/>
    </row>
    <row r="1447" spans="12:25" ht="25" customHeight="1">
      <c r="L1447" s="31"/>
      <c r="M1447" s="31"/>
      <c r="N1447" s="31"/>
      <c r="X1447" s="35"/>
      <c r="Y1447" s="102"/>
    </row>
    <row r="1448" spans="12:25" ht="25" customHeight="1">
      <c r="L1448" s="31"/>
      <c r="M1448" s="31"/>
      <c r="N1448" s="31"/>
      <c r="X1448" s="35"/>
      <c r="Y1448" s="102"/>
    </row>
    <row r="1449" spans="12:25" ht="25" customHeight="1">
      <c r="L1449" s="31"/>
      <c r="M1449" s="31"/>
      <c r="N1449" s="31"/>
      <c r="X1449" s="35"/>
      <c r="Y1449" s="102"/>
    </row>
    <row r="1450" spans="12:25" ht="25" customHeight="1">
      <c r="L1450" s="31"/>
      <c r="M1450" s="31"/>
      <c r="N1450" s="31"/>
      <c r="X1450" s="35"/>
      <c r="Y1450" s="102"/>
    </row>
    <row r="1451" spans="12:25" ht="25" customHeight="1">
      <c r="L1451" s="31"/>
      <c r="M1451" s="31"/>
      <c r="N1451" s="31"/>
      <c r="X1451" s="35"/>
      <c r="Y1451" s="102"/>
    </row>
    <row r="1452" spans="12:25" ht="25" customHeight="1">
      <c r="L1452" s="31"/>
      <c r="M1452" s="31"/>
      <c r="N1452" s="31"/>
      <c r="X1452" s="35"/>
      <c r="Y1452" s="102"/>
    </row>
    <row r="1453" spans="12:25" ht="25" customHeight="1">
      <c r="L1453" s="31"/>
      <c r="M1453" s="31"/>
      <c r="N1453" s="31"/>
      <c r="X1453" s="35"/>
      <c r="Y1453" s="102"/>
    </row>
    <row r="1454" spans="12:25" ht="25" customHeight="1">
      <c r="L1454" s="31"/>
      <c r="M1454" s="31"/>
      <c r="N1454" s="31"/>
      <c r="X1454" s="35"/>
      <c r="Y1454" s="102"/>
    </row>
    <row r="1455" spans="12:25" ht="25" customHeight="1">
      <c r="L1455" s="31"/>
      <c r="M1455" s="31"/>
      <c r="N1455" s="31"/>
      <c r="X1455" s="35"/>
      <c r="Y1455" s="102"/>
    </row>
    <row r="1456" spans="12:25" ht="25" customHeight="1">
      <c r="L1456" s="31"/>
      <c r="M1456" s="31"/>
      <c r="N1456" s="31"/>
      <c r="X1456" s="35"/>
      <c r="Y1456" s="102"/>
    </row>
    <row r="1457" spans="12:25" ht="25" customHeight="1">
      <c r="L1457" s="31"/>
      <c r="M1457" s="31"/>
      <c r="N1457" s="31"/>
      <c r="X1457" s="35"/>
      <c r="Y1457" s="102"/>
    </row>
    <row r="1458" spans="12:25" ht="25" customHeight="1">
      <c r="L1458" s="31"/>
      <c r="M1458" s="31"/>
      <c r="N1458" s="31"/>
      <c r="X1458" s="35"/>
      <c r="Y1458" s="102"/>
    </row>
    <row r="1459" spans="12:25" ht="25" customHeight="1">
      <c r="L1459" s="31"/>
      <c r="M1459" s="31"/>
      <c r="N1459" s="31"/>
      <c r="X1459" s="35"/>
      <c r="Y1459" s="102"/>
    </row>
    <row r="1460" spans="12:25" ht="25" customHeight="1">
      <c r="L1460" s="31"/>
      <c r="M1460" s="31"/>
      <c r="N1460" s="31"/>
      <c r="X1460" s="35"/>
      <c r="Y1460" s="102"/>
    </row>
    <row r="1461" spans="12:25" ht="25" customHeight="1">
      <c r="L1461" s="31"/>
      <c r="M1461" s="31"/>
      <c r="N1461" s="31"/>
      <c r="X1461" s="35"/>
      <c r="Y1461" s="102"/>
    </row>
    <row r="1462" spans="12:25" ht="25" customHeight="1">
      <c r="L1462" s="31"/>
      <c r="M1462" s="31"/>
      <c r="N1462" s="31"/>
      <c r="X1462" s="35"/>
      <c r="Y1462" s="102"/>
    </row>
    <row r="1463" spans="12:25" ht="25" customHeight="1">
      <c r="L1463" s="31"/>
      <c r="M1463" s="31"/>
      <c r="N1463" s="31"/>
      <c r="X1463" s="35"/>
      <c r="Y1463" s="102"/>
    </row>
    <row r="1464" spans="12:25" ht="25" customHeight="1">
      <c r="L1464" s="31"/>
      <c r="M1464" s="31"/>
      <c r="N1464" s="31"/>
      <c r="X1464" s="35"/>
      <c r="Y1464" s="102"/>
    </row>
    <row r="1465" spans="12:25" ht="25" customHeight="1">
      <c r="L1465" s="31"/>
      <c r="M1465" s="31"/>
      <c r="N1465" s="31"/>
      <c r="X1465" s="35"/>
      <c r="Y1465" s="102"/>
    </row>
    <row r="1466" spans="12:25" ht="25" customHeight="1">
      <c r="L1466" s="31"/>
      <c r="M1466" s="31"/>
      <c r="N1466" s="31"/>
      <c r="X1466" s="35"/>
      <c r="Y1466" s="102"/>
    </row>
    <row r="1467" spans="12:25" ht="25" customHeight="1">
      <c r="L1467" s="31"/>
      <c r="M1467" s="31"/>
      <c r="N1467" s="31"/>
      <c r="X1467" s="35"/>
      <c r="Y1467" s="102"/>
    </row>
    <row r="1468" spans="12:25" ht="25" customHeight="1">
      <c r="L1468" s="31"/>
      <c r="M1468" s="31"/>
      <c r="N1468" s="31"/>
      <c r="X1468" s="35"/>
      <c r="Y1468" s="102"/>
    </row>
    <row r="1469" spans="12:25" ht="25" customHeight="1">
      <c r="L1469" s="31"/>
      <c r="M1469" s="31"/>
      <c r="N1469" s="31"/>
      <c r="X1469" s="35"/>
      <c r="Y1469" s="102"/>
    </row>
    <row r="1470" spans="12:25" ht="25" customHeight="1">
      <c r="L1470" s="31"/>
      <c r="M1470" s="31"/>
      <c r="N1470" s="31"/>
      <c r="X1470" s="35"/>
      <c r="Y1470" s="102"/>
    </row>
    <row r="1471" spans="12:25" ht="25" customHeight="1">
      <c r="L1471" s="31"/>
      <c r="M1471" s="31"/>
      <c r="N1471" s="31"/>
      <c r="X1471" s="35"/>
      <c r="Y1471" s="102"/>
    </row>
    <row r="1472" spans="12:25" ht="25" customHeight="1">
      <c r="L1472" s="31"/>
      <c r="M1472" s="31"/>
      <c r="N1472" s="31"/>
      <c r="X1472" s="35"/>
      <c r="Y1472" s="102"/>
    </row>
    <row r="1473" spans="12:25" ht="25" customHeight="1">
      <c r="L1473" s="31"/>
      <c r="M1473" s="31"/>
      <c r="N1473" s="31"/>
      <c r="X1473" s="35"/>
      <c r="Y1473" s="102"/>
    </row>
    <row r="1474" spans="12:25" ht="25" customHeight="1">
      <c r="L1474" s="31"/>
      <c r="M1474" s="31"/>
      <c r="N1474" s="31"/>
      <c r="X1474" s="35"/>
      <c r="Y1474" s="102"/>
    </row>
    <row r="1475" spans="12:25" ht="25" customHeight="1">
      <c r="L1475" s="31"/>
      <c r="M1475" s="31"/>
      <c r="N1475" s="31"/>
      <c r="X1475" s="35"/>
      <c r="Y1475" s="102"/>
    </row>
    <row r="1476" spans="12:25" ht="25" customHeight="1">
      <c r="L1476" s="31"/>
      <c r="M1476" s="31"/>
      <c r="N1476" s="31"/>
      <c r="X1476" s="35"/>
      <c r="Y1476" s="102"/>
    </row>
    <row r="1477" spans="12:25" ht="25" customHeight="1">
      <c r="L1477" s="31"/>
      <c r="M1477" s="31"/>
      <c r="N1477" s="31"/>
      <c r="X1477" s="35"/>
      <c r="Y1477" s="102"/>
    </row>
    <row r="1478" spans="12:25" ht="25" customHeight="1">
      <c r="L1478" s="31"/>
      <c r="M1478" s="31"/>
      <c r="N1478" s="31"/>
      <c r="X1478" s="35"/>
      <c r="Y1478" s="102"/>
    </row>
    <row r="1479" spans="12:25" ht="25" customHeight="1">
      <c r="L1479" s="31"/>
      <c r="M1479" s="31"/>
      <c r="N1479" s="31"/>
      <c r="X1479" s="35"/>
      <c r="Y1479" s="102"/>
    </row>
    <row r="1480" spans="12:25" ht="25" customHeight="1">
      <c r="L1480" s="31"/>
      <c r="M1480" s="31"/>
      <c r="N1480" s="31"/>
      <c r="X1480" s="35"/>
      <c r="Y1480" s="102"/>
    </row>
    <row r="1481" spans="12:25" ht="25" customHeight="1">
      <c r="L1481" s="31"/>
      <c r="M1481" s="31"/>
      <c r="N1481" s="31"/>
      <c r="X1481" s="35"/>
      <c r="Y1481" s="102"/>
    </row>
    <row r="1482" spans="12:25" ht="25" customHeight="1">
      <c r="L1482" s="31"/>
      <c r="M1482" s="31"/>
      <c r="N1482" s="31"/>
      <c r="X1482" s="35"/>
      <c r="Y1482" s="102"/>
    </row>
    <row r="1483" spans="12:25" ht="25" customHeight="1">
      <c r="L1483" s="31"/>
      <c r="M1483" s="31"/>
      <c r="N1483" s="31"/>
      <c r="X1483" s="35"/>
      <c r="Y1483" s="102"/>
    </row>
    <row r="1484" spans="12:25" ht="25" customHeight="1">
      <c r="L1484" s="31"/>
      <c r="M1484" s="31"/>
      <c r="N1484" s="31"/>
      <c r="X1484" s="35"/>
      <c r="Y1484" s="102"/>
    </row>
    <row r="1485" spans="12:25" ht="25" customHeight="1">
      <c r="L1485" s="31"/>
      <c r="M1485" s="31"/>
      <c r="N1485" s="31"/>
      <c r="X1485" s="35"/>
      <c r="Y1485" s="102"/>
    </row>
    <row r="1486" spans="12:25" ht="25" customHeight="1">
      <c r="L1486" s="31"/>
      <c r="M1486" s="31"/>
      <c r="N1486" s="31"/>
      <c r="X1486" s="35"/>
      <c r="Y1486" s="102"/>
    </row>
    <row r="1487" spans="12:25" ht="25" customHeight="1">
      <c r="L1487" s="31"/>
      <c r="M1487" s="31"/>
      <c r="N1487" s="31"/>
      <c r="X1487" s="35"/>
      <c r="Y1487" s="102"/>
    </row>
    <row r="1488" spans="12:25" ht="25" customHeight="1">
      <c r="L1488" s="31"/>
      <c r="M1488" s="31"/>
      <c r="N1488" s="31"/>
      <c r="X1488" s="35"/>
      <c r="Y1488" s="102"/>
    </row>
    <row r="1489" spans="12:25" ht="25" customHeight="1">
      <c r="L1489" s="31"/>
      <c r="M1489" s="31"/>
      <c r="N1489" s="31"/>
      <c r="X1489" s="35"/>
      <c r="Y1489" s="102"/>
    </row>
    <row r="1490" spans="12:25" ht="25" customHeight="1">
      <c r="L1490" s="31"/>
      <c r="M1490" s="31"/>
      <c r="N1490" s="31"/>
      <c r="X1490" s="35"/>
      <c r="Y1490" s="102"/>
    </row>
    <row r="1491" spans="12:25" ht="25" customHeight="1">
      <c r="L1491" s="31"/>
      <c r="M1491" s="31"/>
      <c r="N1491" s="31"/>
      <c r="X1491" s="35"/>
      <c r="Y1491" s="102"/>
    </row>
    <row r="1492" spans="12:25" ht="25" customHeight="1">
      <c r="L1492" s="31"/>
      <c r="M1492" s="31"/>
      <c r="N1492" s="31"/>
      <c r="X1492" s="35"/>
      <c r="Y1492" s="102"/>
    </row>
    <row r="1493" spans="12:25" ht="25" customHeight="1">
      <c r="L1493" s="31"/>
      <c r="M1493" s="31"/>
      <c r="N1493" s="31"/>
      <c r="X1493" s="35"/>
      <c r="Y1493" s="102"/>
    </row>
    <row r="1494" spans="12:25" ht="25" customHeight="1">
      <c r="L1494" s="31"/>
      <c r="M1494" s="31"/>
      <c r="N1494" s="31"/>
      <c r="X1494" s="35"/>
      <c r="Y1494" s="102"/>
    </row>
    <row r="1495" spans="12:25" ht="25" customHeight="1">
      <c r="L1495" s="31"/>
      <c r="M1495" s="31"/>
      <c r="N1495" s="31"/>
      <c r="X1495" s="35"/>
      <c r="Y1495" s="102"/>
    </row>
    <row r="1496" spans="12:25" ht="25" customHeight="1">
      <c r="L1496" s="31"/>
      <c r="M1496" s="31"/>
      <c r="N1496" s="31"/>
      <c r="X1496" s="35"/>
      <c r="Y1496" s="102"/>
    </row>
    <row r="1497" spans="12:25" ht="25" customHeight="1">
      <c r="L1497" s="31"/>
      <c r="M1497" s="31"/>
      <c r="N1497" s="31"/>
      <c r="X1497" s="35"/>
      <c r="Y1497" s="102"/>
    </row>
    <row r="1498" spans="12:25" ht="25" customHeight="1">
      <c r="L1498" s="31"/>
      <c r="M1498" s="31"/>
      <c r="N1498" s="31"/>
      <c r="X1498" s="35"/>
      <c r="Y1498" s="102"/>
    </row>
    <row r="1499" spans="12:25" ht="25" customHeight="1">
      <c r="L1499" s="31"/>
      <c r="M1499" s="31"/>
      <c r="N1499" s="31"/>
      <c r="X1499" s="35"/>
      <c r="Y1499" s="102"/>
    </row>
    <row r="1500" spans="12:25" ht="25" customHeight="1">
      <c r="L1500" s="31"/>
      <c r="M1500" s="31"/>
      <c r="N1500" s="31"/>
      <c r="X1500" s="35"/>
      <c r="Y1500" s="102"/>
    </row>
    <row r="1501" spans="12:25" ht="25" customHeight="1">
      <c r="L1501" s="31"/>
      <c r="M1501" s="31"/>
      <c r="N1501" s="31"/>
      <c r="X1501" s="35"/>
      <c r="Y1501" s="102"/>
    </row>
    <row r="1502" spans="12:25" ht="25" customHeight="1">
      <c r="L1502" s="31"/>
      <c r="M1502" s="31"/>
      <c r="N1502" s="31"/>
      <c r="X1502" s="35"/>
      <c r="Y1502" s="102"/>
    </row>
    <row r="1503" spans="12:25" ht="25" customHeight="1">
      <c r="L1503" s="31"/>
      <c r="M1503" s="31"/>
      <c r="N1503" s="31"/>
      <c r="X1503" s="35"/>
      <c r="Y1503" s="102"/>
    </row>
    <row r="1504" spans="12:25" ht="25" customHeight="1">
      <c r="L1504" s="31"/>
      <c r="M1504" s="31"/>
      <c r="N1504" s="31"/>
      <c r="X1504" s="35"/>
      <c r="Y1504" s="102"/>
    </row>
    <row r="1505" spans="12:25" ht="25" customHeight="1">
      <c r="L1505" s="31"/>
      <c r="M1505" s="31"/>
      <c r="N1505" s="31"/>
      <c r="X1505" s="35"/>
      <c r="Y1505" s="102"/>
    </row>
    <row r="1506" spans="12:25" ht="25" customHeight="1">
      <c r="L1506" s="31"/>
      <c r="M1506" s="31"/>
      <c r="N1506" s="31"/>
      <c r="X1506" s="35"/>
      <c r="Y1506" s="102"/>
    </row>
    <row r="1507" spans="12:25" ht="25" customHeight="1">
      <c r="L1507" s="31"/>
      <c r="M1507" s="31"/>
      <c r="N1507" s="31"/>
      <c r="X1507" s="35"/>
      <c r="Y1507" s="102"/>
    </row>
    <row r="1508" spans="12:25" ht="25" customHeight="1">
      <c r="L1508" s="31"/>
      <c r="M1508" s="31"/>
      <c r="N1508" s="31"/>
      <c r="X1508" s="35"/>
      <c r="Y1508" s="102"/>
    </row>
    <row r="1509" spans="12:25" ht="25" customHeight="1">
      <c r="L1509" s="31"/>
      <c r="M1509" s="31"/>
      <c r="N1509" s="31"/>
      <c r="X1509" s="35"/>
      <c r="Y1509" s="102"/>
    </row>
    <row r="1510" spans="12:25" ht="25" customHeight="1">
      <c r="L1510" s="31"/>
      <c r="M1510" s="31"/>
      <c r="N1510" s="31"/>
      <c r="X1510" s="35"/>
      <c r="Y1510" s="102"/>
    </row>
    <row r="1511" spans="12:25" ht="25" customHeight="1">
      <c r="L1511" s="31"/>
      <c r="M1511" s="31"/>
      <c r="N1511" s="31"/>
      <c r="X1511" s="35"/>
      <c r="Y1511" s="102"/>
    </row>
    <row r="1512" spans="12:25" ht="25" customHeight="1">
      <c r="L1512" s="31"/>
      <c r="M1512" s="31"/>
      <c r="N1512" s="31"/>
      <c r="X1512" s="35"/>
      <c r="Y1512" s="102"/>
    </row>
    <row r="1513" spans="12:25" ht="25" customHeight="1">
      <c r="L1513" s="31"/>
      <c r="M1513" s="31"/>
      <c r="N1513" s="31"/>
      <c r="X1513" s="35"/>
      <c r="Y1513" s="102"/>
    </row>
    <row r="1514" spans="12:25" ht="25" customHeight="1">
      <c r="L1514" s="31"/>
      <c r="M1514" s="31"/>
      <c r="N1514" s="31"/>
      <c r="X1514" s="35"/>
      <c r="Y1514" s="102"/>
    </row>
    <row r="1515" spans="12:25" ht="25" customHeight="1">
      <c r="L1515" s="31"/>
      <c r="M1515" s="31"/>
      <c r="N1515" s="31"/>
      <c r="X1515" s="35"/>
      <c r="Y1515" s="102"/>
    </row>
    <row r="1516" spans="12:25" ht="25" customHeight="1">
      <c r="L1516" s="31"/>
      <c r="M1516" s="31"/>
      <c r="N1516" s="31"/>
      <c r="X1516" s="35"/>
      <c r="Y1516" s="102"/>
    </row>
    <row r="1517" spans="12:25" ht="25" customHeight="1">
      <c r="L1517" s="31"/>
      <c r="M1517" s="31"/>
      <c r="N1517" s="31"/>
      <c r="X1517" s="35"/>
      <c r="Y1517" s="102"/>
    </row>
    <row r="1518" spans="12:25" ht="25" customHeight="1">
      <c r="L1518" s="31"/>
      <c r="M1518" s="31"/>
      <c r="N1518" s="31"/>
      <c r="X1518" s="35"/>
      <c r="Y1518" s="102"/>
    </row>
    <row r="1519" spans="12:25" ht="25" customHeight="1">
      <c r="L1519" s="31"/>
      <c r="M1519" s="31"/>
      <c r="N1519" s="31"/>
      <c r="X1519" s="35"/>
      <c r="Y1519" s="102"/>
    </row>
    <row r="1520" spans="12:25" ht="25" customHeight="1">
      <c r="L1520" s="31"/>
      <c r="M1520" s="31"/>
      <c r="N1520" s="31"/>
      <c r="X1520" s="35"/>
      <c r="Y1520" s="102"/>
    </row>
    <row r="1521" spans="12:25" ht="25" customHeight="1">
      <c r="L1521" s="31"/>
      <c r="M1521" s="31"/>
      <c r="N1521" s="31"/>
      <c r="X1521" s="35"/>
      <c r="Y1521" s="102"/>
    </row>
    <row r="1522" spans="12:25" ht="25" customHeight="1">
      <c r="L1522" s="31"/>
      <c r="M1522" s="31"/>
      <c r="N1522" s="31"/>
      <c r="X1522" s="35"/>
      <c r="Y1522" s="102"/>
    </row>
    <row r="1523" spans="12:25" ht="25" customHeight="1">
      <c r="L1523" s="31"/>
      <c r="M1523" s="31"/>
      <c r="N1523" s="31"/>
      <c r="X1523" s="35"/>
      <c r="Y1523" s="102"/>
    </row>
    <row r="1524" spans="12:25" ht="25" customHeight="1">
      <c r="L1524" s="31"/>
      <c r="M1524" s="31"/>
      <c r="N1524" s="31"/>
      <c r="X1524" s="35"/>
      <c r="Y1524" s="102"/>
    </row>
    <row r="1525" spans="12:25" ht="25" customHeight="1">
      <c r="L1525" s="31"/>
      <c r="M1525" s="31"/>
      <c r="N1525" s="31"/>
      <c r="X1525" s="35"/>
      <c r="Y1525" s="102"/>
    </row>
    <row r="1526" spans="12:25" ht="25" customHeight="1">
      <c r="L1526" s="31"/>
      <c r="M1526" s="31"/>
      <c r="N1526" s="31"/>
      <c r="X1526" s="35"/>
      <c r="Y1526" s="102"/>
    </row>
    <row r="1527" spans="12:25" ht="25" customHeight="1">
      <c r="L1527" s="31"/>
      <c r="M1527" s="31"/>
      <c r="N1527" s="31"/>
      <c r="X1527" s="35"/>
      <c r="Y1527" s="102"/>
    </row>
    <row r="1528" spans="12:25" ht="25" customHeight="1">
      <c r="L1528" s="31"/>
      <c r="M1528" s="31"/>
      <c r="N1528" s="31"/>
      <c r="X1528" s="35"/>
      <c r="Y1528" s="102"/>
    </row>
    <row r="1529" spans="12:25" ht="25" customHeight="1">
      <c r="L1529" s="31"/>
      <c r="M1529" s="31"/>
      <c r="N1529" s="31"/>
      <c r="X1529" s="35"/>
      <c r="Y1529" s="102"/>
    </row>
    <row r="1530" spans="12:25" ht="25" customHeight="1">
      <c r="L1530" s="31"/>
      <c r="M1530" s="31"/>
      <c r="N1530" s="31"/>
      <c r="X1530" s="35"/>
      <c r="Y1530" s="102"/>
    </row>
    <row r="1531" spans="12:25" ht="25" customHeight="1">
      <c r="L1531" s="31"/>
      <c r="M1531" s="31"/>
      <c r="N1531" s="31"/>
      <c r="X1531" s="35"/>
      <c r="Y1531" s="102"/>
    </row>
    <row r="1532" spans="12:25" ht="25" customHeight="1">
      <c r="L1532" s="31"/>
      <c r="M1532" s="31"/>
      <c r="N1532" s="31"/>
      <c r="X1532" s="35"/>
      <c r="Y1532" s="102"/>
    </row>
    <row r="1533" spans="12:25" ht="25" customHeight="1">
      <c r="L1533" s="31"/>
      <c r="M1533" s="31"/>
      <c r="N1533" s="31"/>
      <c r="X1533" s="35"/>
      <c r="Y1533" s="102"/>
    </row>
    <row r="1534" spans="12:25" ht="25" customHeight="1">
      <c r="L1534" s="31"/>
      <c r="M1534" s="31"/>
      <c r="N1534" s="31"/>
      <c r="X1534" s="35"/>
      <c r="Y1534" s="102"/>
    </row>
    <row r="1535" spans="12:25" ht="25" customHeight="1">
      <c r="L1535" s="31"/>
      <c r="M1535" s="31"/>
      <c r="N1535" s="31"/>
      <c r="X1535" s="35"/>
      <c r="Y1535" s="102"/>
    </row>
    <row r="1536" spans="12:25" ht="25" customHeight="1">
      <c r="L1536" s="31"/>
      <c r="M1536" s="31"/>
      <c r="N1536" s="31"/>
      <c r="X1536" s="35"/>
      <c r="Y1536" s="102"/>
    </row>
    <row r="1537" spans="12:25" ht="25" customHeight="1">
      <c r="L1537" s="31"/>
      <c r="M1537" s="31"/>
      <c r="N1537" s="31"/>
      <c r="X1537" s="35"/>
      <c r="Y1537" s="102"/>
    </row>
    <row r="1538" spans="12:25" ht="25" customHeight="1">
      <c r="L1538" s="31"/>
      <c r="M1538" s="31"/>
      <c r="N1538" s="31"/>
      <c r="X1538" s="35"/>
      <c r="Y1538" s="102"/>
    </row>
    <row r="1539" spans="12:25" ht="25" customHeight="1">
      <c r="L1539" s="31"/>
      <c r="M1539" s="31"/>
      <c r="N1539" s="31"/>
      <c r="X1539" s="35"/>
      <c r="Y1539" s="102"/>
    </row>
    <row r="1540" spans="12:25" ht="25" customHeight="1">
      <c r="L1540" s="31"/>
      <c r="M1540" s="31"/>
      <c r="N1540" s="31"/>
      <c r="X1540" s="35"/>
      <c r="Y1540" s="102"/>
    </row>
    <row r="1541" spans="12:25" ht="25" customHeight="1">
      <c r="L1541" s="31"/>
      <c r="M1541" s="31"/>
      <c r="N1541" s="31"/>
      <c r="X1541" s="35"/>
      <c r="Y1541" s="102"/>
    </row>
    <row r="1542" spans="12:25" ht="25" customHeight="1">
      <c r="L1542" s="31"/>
      <c r="M1542" s="31"/>
      <c r="N1542" s="31"/>
      <c r="X1542" s="35"/>
      <c r="Y1542" s="102"/>
    </row>
    <row r="1543" spans="12:25" ht="25" customHeight="1">
      <c r="L1543" s="31"/>
      <c r="M1543" s="31"/>
      <c r="N1543" s="31"/>
      <c r="X1543" s="35"/>
      <c r="Y1543" s="102"/>
    </row>
    <row r="1544" spans="12:25" ht="25" customHeight="1">
      <c r="L1544" s="31"/>
      <c r="M1544" s="31"/>
      <c r="N1544" s="31"/>
      <c r="X1544" s="35"/>
      <c r="Y1544" s="102"/>
    </row>
    <row r="1545" spans="12:25" ht="25" customHeight="1">
      <c r="L1545" s="31"/>
      <c r="M1545" s="31"/>
      <c r="N1545" s="31"/>
      <c r="X1545" s="35"/>
      <c r="Y1545" s="102"/>
    </row>
    <row r="1546" spans="12:25" ht="25" customHeight="1">
      <c r="L1546" s="31"/>
      <c r="M1546" s="31"/>
      <c r="N1546" s="31"/>
      <c r="X1546" s="35"/>
      <c r="Y1546" s="102"/>
    </row>
    <row r="1547" spans="12:25" ht="25" customHeight="1">
      <c r="L1547" s="31"/>
      <c r="M1547" s="31"/>
      <c r="N1547" s="31"/>
      <c r="X1547" s="35"/>
      <c r="Y1547" s="102"/>
    </row>
    <row r="1548" spans="12:25" ht="25" customHeight="1">
      <c r="L1548" s="31"/>
      <c r="M1548" s="31"/>
      <c r="N1548" s="31"/>
      <c r="X1548" s="35"/>
      <c r="Y1548" s="102"/>
    </row>
    <row r="1549" spans="12:25" ht="25" customHeight="1">
      <c r="L1549" s="31"/>
      <c r="M1549" s="31"/>
      <c r="N1549" s="31"/>
      <c r="X1549" s="35"/>
      <c r="Y1549" s="102"/>
    </row>
    <row r="1550" spans="12:25" ht="25" customHeight="1">
      <c r="L1550" s="31"/>
      <c r="M1550" s="31"/>
      <c r="N1550" s="31"/>
      <c r="X1550" s="35"/>
      <c r="Y1550" s="102"/>
    </row>
    <row r="1551" spans="12:25" ht="25" customHeight="1">
      <c r="L1551" s="31"/>
      <c r="M1551" s="31"/>
      <c r="N1551" s="31"/>
      <c r="X1551" s="35"/>
      <c r="Y1551" s="102"/>
    </row>
    <row r="1552" spans="12:25" ht="25" customHeight="1">
      <c r="L1552" s="31"/>
      <c r="M1552" s="31"/>
      <c r="N1552" s="31"/>
      <c r="X1552" s="35"/>
      <c r="Y1552" s="102"/>
    </row>
    <row r="1553" spans="12:25" ht="25" customHeight="1">
      <c r="L1553" s="31"/>
      <c r="M1553" s="31"/>
      <c r="N1553" s="31"/>
      <c r="X1553" s="35"/>
      <c r="Y1553" s="102"/>
    </row>
    <row r="1554" spans="12:25" ht="25" customHeight="1">
      <c r="L1554" s="31"/>
      <c r="M1554" s="31"/>
      <c r="N1554" s="31"/>
      <c r="X1554" s="35"/>
      <c r="Y1554" s="102"/>
    </row>
    <row r="1555" spans="12:25" ht="25" customHeight="1">
      <c r="L1555" s="31"/>
      <c r="M1555" s="31"/>
      <c r="N1555" s="31"/>
      <c r="X1555" s="35"/>
      <c r="Y1555" s="102"/>
    </row>
    <row r="1556" spans="12:25" ht="25" customHeight="1">
      <c r="L1556" s="31"/>
      <c r="M1556" s="31"/>
      <c r="N1556" s="31"/>
      <c r="X1556" s="35"/>
      <c r="Y1556" s="102"/>
    </row>
    <row r="1557" spans="12:25" ht="25" customHeight="1">
      <c r="L1557" s="31"/>
      <c r="M1557" s="31"/>
      <c r="N1557" s="31"/>
      <c r="X1557" s="35"/>
      <c r="Y1557" s="102"/>
    </row>
    <row r="1558" spans="12:25" ht="25" customHeight="1">
      <c r="L1558" s="31"/>
      <c r="M1558" s="31"/>
      <c r="N1558" s="31"/>
      <c r="X1558" s="35"/>
      <c r="Y1558" s="102"/>
    </row>
    <row r="1559" spans="12:25" ht="25" customHeight="1">
      <c r="L1559" s="31"/>
      <c r="M1559" s="31"/>
      <c r="N1559" s="31"/>
      <c r="X1559" s="35"/>
      <c r="Y1559" s="102"/>
    </row>
    <row r="1560" spans="12:25" ht="25" customHeight="1">
      <c r="L1560" s="31"/>
      <c r="M1560" s="31"/>
      <c r="N1560" s="31"/>
      <c r="X1560" s="35"/>
      <c r="Y1560" s="102"/>
    </row>
    <row r="1561" spans="12:25" ht="25" customHeight="1">
      <c r="L1561" s="31"/>
      <c r="M1561" s="31"/>
      <c r="N1561" s="31"/>
      <c r="X1561" s="35"/>
      <c r="Y1561" s="102"/>
    </row>
    <row r="1562" spans="12:25" ht="25" customHeight="1">
      <c r="L1562" s="31"/>
      <c r="M1562" s="31"/>
      <c r="N1562" s="31"/>
      <c r="X1562" s="35"/>
      <c r="Y1562" s="102"/>
    </row>
    <row r="1563" spans="12:25" ht="25" customHeight="1">
      <c r="L1563" s="31"/>
      <c r="M1563" s="31"/>
      <c r="N1563" s="31"/>
      <c r="X1563" s="35"/>
      <c r="Y1563" s="102"/>
    </row>
    <row r="1564" spans="12:25" ht="25" customHeight="1">
      <c r="L1564" s="31"/>
      <c r="M1564" s="31"/>
      <c r="N1564" s="31"/>
      <c r="X1564" s="35"/>
      <c r="Y1564" s="102"/>
    </row>
    <row r="1565" spans="12:25" ht="25" customHeight="1">
      <c r="L1565" s="31"/>
      <c r="M1565" s="31"/>
      <c r="N1565" s="31"/>
      <c r="X1565" s="35"/>
      <c r="Y1565" s="102"/>
    </row>
    <row r="1566" spans="12:25" ht="25" customHeight="1">
      <c r="L1566" s="31"/>
      <c r="M1566" s="31"/>
      <c r="N1566" s="31"/>
      <c r="X1566" s="35"/>
      <c r="Y1566" s="102"/>
    </row>
    <row r="1567" spans="12:25" ht="25" customHeight="1">
      <c r="L1567" s="31"/>
      <c r="M1567" s="31"/>
      <c r="N1567" s="31"/>
      <c r="X1567" s="35"/>
      <c r="Y1567" s="102"/>
    </row>
    <row r="1568" spans="12:25" ht="25" customHeight="1">
      <c r="L1568" s="31"/>
      <c r="M1568" s="31"/>
      <c r="N1568" s="31"/>
      <c r="X1568" s="35"/>
      <c r="Y1568" s="102"/>
    </row>
    <row r="1569" spans="12:25" ht="25" customHeight="1">
      <c r="L1569" s="31"/>
      <c r="M1569" s="31"/>
      <c r="N1569" s="31"/>
      <c r="X1569" s="35"/>
      <c r="Y1569" s="102"/>
    </row>
    <row r="1570" spans="12:25" ht="25" customHeight="1">
      <c r="L1570" s="31"/>
      <c r="M1570" s="31"/>
      <c r="N1570" s="31"/>
      <c r="X1570" s="35"/>
      <c r="Y1570" s="102"/>
    </row>
    <row r="1571" spans="12:25" ht="25" customHeight="1">
      <c r="L1571" s="31"/>
      <c r="M1571" s="31"/>
      <c r="N1571" s="31"/>
      <c r="X1571" s="35"/>
      <c r="Y1571" s="102"/>
    </row>
    <row r="1572" spans="12:25" ht="25" customHeight="1">
      <c r="L1572" s="31"/>
      <c r="M1572" s="31"/>
      <c r="N1572" s="31"/>
      <c r="X1572" s="35"/>
      <c r="Y1572" s="102"/>
    </row>
    <row r="1573" spans="12:25" ht="25" customHeight="1">
      <c r="L1573" s="31"/>
      <c r="M1573" s="31"/>
      <c r="N1573" s="31"/>
      <c r="X1573" s="35"/>
      <c r="Y1573" s="102"/>
    </row>
    <row r="1574" spans="12:25" ht="25" customHeight="1">
      <c r="L1574" s="31"/>
      <c r="M1574" s="31"/>
      <c r="N1574" s="31"/>
      <c r="X1574" s="35"/>
      <c r="Y1574" s="102"/>
    </row>
    <row r="1575" spans="12:25" ht="25" customHeight="1">
      <c r="L1575" s="31"/>
      <c r="M1575" s="31"/>
      <c r="N1575" s="31"/>
      <c r="X1575" s="35"/>
      <c r="Y1575" s="102"/>
    </row>
    <row r="1576" spans="12:25" ht="25" customHeight="1">
      <c r="L1576" s="31"/>
      <c r="M1576" s="31"/>
      <c r="N1576" s="31"/>
      <c r="X1576" s="35"/>
      <c r="Y1576" s="102"/>
    </row>
    <row r="1577" spans="12:25" ht="25" customHeight="1">
      <c r="L1577" s="31"/>
      <c r="M1577" s="31"/>
      <c r="N1577" s="31"/>
      <c r="X1577" s="35"/>
      <c r="Y1577" s="102"/>
    </row>
    <row r="1578" spans="12:25" ht="25" customHeight="1">
      <c r="L1578" s="31"/>
      <c r="M1578" s="31"/>
      <c r="N1578" s="31"/>
      <c r="X1578" s="35"/>
      <c r="Y1578" s="102"/>
    </row>
    <row r="1579" spans="12:25" ht="25" customHeight="1">
      <c r="L1579" s="31"/>
      <c r="M1579" s="31"/>
      <c r="N1579" s="31"/>
      <c r="X1579" s="35"/>
      <c r="Y1579" s="102"/>
    </row>
    <row r="1580" spans="12:25" ht="25" customHeight="1">
      <c r="L1580" s="31"/>
      <c r="M1580" s="31"/>
      <c r="N1580" s="31"/>
      <c r="X1580" s="35"/>
      <c r="Y1580" s="102"/>
    </row>
    <row r="1581" spans="12:25" ht="25" customHeight="1">
      <c r="L1581" s="31"/>
      <c r="M1581" s="31"/>
      <c r="N1581" s="31"/>
      <c r="X1581" s="35"/>
      <c r="Y1581" s="102"/>
    </row>
    <row r="1582" spans="12:25" ht="25" customHeight="1">
      <c r="L1582" s="31"/>
      <c r="M1582" s="31"/>
      <c r="N1582" s="31"/>
      <c r="X1582" s="35"/>
      <c r="Y1582" s="102"/>
    </row>
    <row r="1583" spans="12:25" ht="25" customHeight="1">
      <c r="L1583" s="31"/>
      <c r="M1583" s="31"/>
      <c r="N1583" s="31"/>
      <c r="X1583" s="35"/>
      <c r="Y1583" s="102"/>
    </row>
    <row r="1584" spans="12:25" ht="25" customHeight="1">
      <c r="L1584" s="31"/>
      <c r="M1584" s="31"/>
      <c r="N1584" s="31"/>
      <c r="X1584" s="35"/>
      <c r="Y1584" s="102"/>
    </row>
    <row r="1585" spans="12:25" ht="25" customHeight="1">
      <c r="L1585" s="31"/>
      <c r="M1585" s="31"/>
      <c r="N1585" s="31"/>
      <c r="X1585" s="35"/>
      <c r="Y1585" s="102"/>
    </row>
    <row r="1586" spans="12:25" ht="25" customHeight="1">
      <c r="L1586" s="31"/>
      <c r="M1586" s="31"/>
      <c r="N1586" s="31"/>
      <c r="X1586" s="35"/>
      <c r="Y1586" s="102"/>
    </row>
    <row r="1587" spans="12:25" ht="25" customHeight="1">
      <c r="L1587" s="31"/>
      <c r="M1587" s="31"/>
      <c r="N1587" s="31"/>
      <c r="X1587" s="35"/>
      <c r="Y1587" s="102"/>
    </row>
    <row r="1588" spans="12:25" ht="25" customHeight="1">
      <c r="L1588" s="31"/>
      <c r="M1588" s="31"/>
      <c r="N1588" s="31"/>
      <c r="X1588" s="35"/>
      <c r="Y1588" s="102"/>
    </row>
    <row r="1589" spans="12:25" ht="25" customHeight="1">
      <c r="L1589" s="31"/>
      <c r="M1589" s="31"/>
      <c r="N1589" s="31"/>
      <c r="X1589" s="35"/>
      <c r="Y1589" s="102"/>
    </row>
    <row r="1590" spans="12:25" ht="25" customHeight="1">
      <c r="L1590" s="31"/>
      <c r="M1590" s="31"/>
      <c r="N1590" s="31"/>
      <c r="X1590" s="35"/>
      <c r="Y1590" s="102"/>
    </row>
    <row r="1591" spans="12:25" ht="25" customHeight="1">
      <c r="L1591" s="31"/>
      <c r="M1591" s="31"/>
      <c r="N1591" s="31"/>
      <c r="X1591" s="35"/>
      <c r="Y1591" s="102"/>
    </row>
    <row r="1592" spans="12:25" ht="25" customHeight="1">
      <c r="L1592" s="31"/>
      <c r="M1592" s="31"/>
      <c r="N1592" s="31"/>
      <c r="X1592" s="35"/>
      <c r="Y1592" s="102"/>
    </row>
    <row r="1593" spans="12:25" ht="25" customHeight="1">
      <c r="L1593" s="31"/>
      <c r="M1593" s="31"/>
      <c r="N1593" s="31"/>
      <c r="X1593" s="35"/>
      <c r="Y1593" s="102"/>
    </row>
    <row r="1594" spans="12:25" ht="25" customHeight="1">
      <c r="L1594" s="31"/>
      <c r="M1594" s="31"/>
      <c r="N1594" s="31"/>
      <c r="X1594" s="35"/>
      <c r="Y1594" s="102"/>
    </row>
    <row r="1595" spans="12:25" ht="25" customHeight="1">
      <c r="L1595" s="31"/>
      <c r="M1595" s="31"/>
      <c r="N1595" s="31"/>
      <c r="X1595" s="35"/>
      <c r="Y1595" s="102"/>
    </row>
    <row r="1596" spans="12:25" ht="25" customHeight="1">
      <c r="L1596" s="31"/>
      <c r="M1596" s="31"/>
      <c r="N1596" s="31"/>
      <c r="X1596" s="35"/>
      <c r="Y1596" s="102"/>
    </row>
    <row r="1597" spans="12:25" ht="25" customHeight="1">
      <c r="L1597" s="31"/>
      <c r="M1597" s="31"/>
      <c r="N1597" s="31"/>
      <c r="X1597" s="35"/>
      <c r="Y1597" s="102"/>
    </row>
    <row r="1598" spans="12:25" ht="25" customHeight="1">
      <c r="L1598" s="31"/>
      <c r="M1598" s="31"/>
      <c r="N1598" s="31"/>
      <c r="X1598" s="35"/>
      <c r="Y1598" s="102"/>
    </row>
    <row r="1599" spans="12:25" ht="25" customHeight="1">
      <c r="L1599" s="31"/>
      <c r="M1599" s="31"/>
      <c r="N1599" s="31"/>
      <c r="X1599" s="35"/>
      <c r="Y1599" s="102"/>
    </row>
    <row r="1600" spans="12:25" ht="25" customHeight="1">
      <c r="L1600" s="31"/>
      <c r="M1600" s="31"/>
      <c r="N1600" s="31"/>
      <c r="X1600" s="35"/>
      <c r="Y1600" s="102"/>
    </row>
    <row r="1601" spans="12:25" ht="25" customHeight="1">
      <c r="L1601" s="31"/>
      <c r="M1601" s="31"/>
      <c r="N1601" s="31"/>
      <c r="X1601" s="35"/>
      <c r="Y1601" s="102"/>
    </row>
    <row r="1602" spans="12:25" ht="25" customHeight="1">
      <c r="L1602" s="31"/>
      <c r="M1602" s="31"/>
      <c r="N1602" s="31"/>
      <c r="X1602" s="35"/>
      <c r="Y1602" s="102"/>
    </row>
    <row r="1603" spans="12:25" ht="25" customHeight="1">
      <c r="L1603" s="31"/>
      <c r="M1603" s="31"/>
      <c r="N1603" s="31"/>
      <c r="X1603" s="35"/>
      <c r="Y1603" s="102"/>
    </row>
    <row r="1604" spans="12:25" ht="25" customHeight="1">
      <c r="L1604" s="31"/>
      <c r="M1604" s="31"/>
      <c r="N1604" s="31"/>
      <c r="X1604" s="35"/>
      <c r="Y1604" s="102"/>
    </row>
    <row r="1605" spans="12:25" ht="25" customHeight="1">
      <c r="L1605" s="31"/>
      <c r="M1605" s="31"/>
      <c r="N1605" s="31"/>
      <c r="X1605" s="35"/>
      <c r="Y1605" s="102"/>
    </row>
    <row r="1606" spans="12:25" ht="25" customHeight="1">
      <c r="L1606" s="31"/>
      <c r="M1606" s="31"/>
      <c r="N1606" s="31"/>
      <c r="X1606" s="35"/>
      <c r="Y1606" s="102"/>
    </row>
    <row r="1607" spans="12:25" ht="25" customHeight="1">
      <c r="L1607" s="31"/>
      <c r="M1607" s="31"/>
      <c r="N1607" s="31"/>
      <c r="X1607" s="35"/>
      <c r="Y1607" s="102"/>
    </row>
    <row r="1608" spans="12:25" ht="25" customHeight="1">
      <c r="L1608" s="31"/>
      <c r="M1608" s="31"/>
      <c r="N1608" s="31"/>
      <c r="X1608" s="35"/>
      <c r="Y1608" s="102"/>
    </row>
    <row r="1609" spans="12:25" ht="25" customHeight="1">
      <c r="L1609" s="31"/>
      <c r="M1609" s="31"/>
      <c r="N1609" s="31"/>
      <c r="X1609" s="35"/>
      <c r="Y1609" s="102"/>
    </row>
    <row r="1610" spans="12:25" ht="25" customHeight="1">
      <c r="L1610" s="31"/>
      <c r="M1610" s="31"/>
      <c r="N1610" s="31"/>
      <c r="X1610" s="35"/>
      <c r="Y1610" s="102"/>
    </row>
    <row r="1611" spans="12:25" ht="25" customHeight="1">
      <c r="L1611" s="31"/>
      <c r="M1611" s="31"/>
      <c r="N1611" s="31"/>
      <c r="X1611" s="35"/>
      <c r="Y1611" s="102"/>
    </row>
    <row r="1612" spans="12:25" ht="25" customHeight="1">
      <c r="L1612" s="31"/>
      <c r="M1612" s="31"/>
      <c r="N1612" s="31"/>
      <c r="X1612" s="35"/>
      <c r="Y1612" s="102"/>
    </row>
    <row r="1613" spans="12:25" ht="25" customHeight="1">
      <c r="L1613" s="31"/>
      <c r="M1613" s="31"/>
      <c r="N1613" s="31"/>
      <c r="X1613" s="35"/>
      <c r="Y1613" s="102"/>
    </row>
    <row r="1614" spans="12:25" ht="25" customHeight="1">
      <c r="L1614" s="31"/>
      <c r="M1614" s="31"/>
      <c r="N1614" s="31"/>
      <c r="X1614" s="35"/>
      <c r="Y1614" s="102"/>
    </row>
    <row r="1615" spans="12:25" ht="25" customHeight="1">
      <c r="L1615" s="31"/>
      <c r="M1615" s="31"/>
      <c r="N1615" s="31"/>
      <c r="X1615" s="35"/>
      <c r="Y1615" s="102"/>
    </row>
    <row r="1616" spans="12:25" ht="25" customHeight="1">
      <c r="L1616" s="31"/>
      <c r="M1616" s="31"/>
      <c r="N1616" s="31"/>
      <c r="X1616" s="35"/>
      <c r="Y1616" s="102"/>
    </row>
    <row r="1617" spans="12:25" ht="25" customHeight="1">
      <c r="L1617" s="31"/>
      <c r="M1617" s="31"/>
      <c r="N1617" s="31"/>
      <c r="X1617" s="35"/>
      <c r="Y1617" s="102"/>
    </row>
    <row r="1618" spans="12:25" ht="25" customHeight="1">
      <c r="L1618" s="31"/>
      <c r="M1618" s="31"/>
      <c r="N1618" s="31"/>
      <c r="X1618" s="35"/>
      <c r="Y1618" s="102"/>
    </row>
    <row r="1619" spans="12:25" ht="25" customHeight="1">
      <c r="L1619" s="31"/>
      <c r="M1619" s="31"/>
      <c r="N1619" s="31"/>
      <c r="X1619" s="35"/>
      <c r="Y1619" s="102"/>
    </row>
    <row r="1620" spans="12:25" ht="25" customHeight="1">
      <c r="L1620" s="31"/>
      <c r="M1620" s="31"/>
      <c r="N1620" s="31"/>
      <c r="X1620" s="35"/>
      <c r="Y1620" s="102"/>
    </row>
    <row r="1621" spans="12:25" ht="25" customHeight="1">
      <c r="L1621" s="31"/>
      <c r="M1621" s="31"/>
      <c r="N1621" s="31"/>
      <c r="X1621" s="35"/>
      <c r="Y1621" s="102"/>
    </row>
    <row r="1622" spans="12:25" ht="25" customHeight="1">
      <c r="L1622" s="31"/>
      <c r="M1622" s="31"/>
      <c r="N1622" s="31"/>
      <c r="X1622" s="35"/>
      <c r="Y1622" s="102"/>
    </row>
    <row r="1623" spans="12:25" ht="25" customHeight="1">
      <c r="L1623" s="31"/>
      <c r="M1623" s="31"/>
      <c r="N1623" s="31"/>
      <c r="X1623" s="35"/>
      <c r="Y1623" s="102"/>
    </row>
    <row r="1624" spans="12:25" ht="25" customHeight="1">
      <c r="L1624" s="31"/>
      <c r="M1624" s="31"/>
      <c r="N1624" s="31"/>
      <c r="X1624" s="35"/>
      <c r="Y1624" s="102"/>
    </row>
    <row r="1625" spans="12:25" ht="25" customHeight="1">
      <c r="L1625" s="31"/>
      <c r="M1625" s="31"/>
      <c r="N1625" s="31"/>
      <c r="X1625" s="35"/>
      <c r="Y1625" s="102"/>
    </row>
    <row r="1626" spans="12:25" ht="25" customHeight="1">
      <c r="L1626" s="31"/>
      <c r="M1626" s="31"/>
      <c r="N1626" s="31"/>
      <c r="X1626" s="35"/>
      <c r="Y1626" s="102"/>
    </row>
    <row r="1627" spans="12:25" ht="25" customHeight="1">
      <c r="L1627" s="31"/>
      <c r="M1627" s="31"/>
      <c r="N1627" s="31"/>
      <c r="X1627" s="35"/>
      <c r="Y1627" s="102"/>
    </row>
    <row r="1628" spans="12:25" ht="25" customHeight="1">
      <c r="L1628" s="31"/>
      <c r="M1628" s="31"/>
      <c r="N1628" s="31"/>
      <c r="X1628" s="35"/>
      <c r="Y1628" s="102"/>
    </row>
    <row r="1629" spans="12:25" ht="25" customHeight="1">
      <c r="L1629" s="31"/>
      <c r="M1629" s="31"/>
      <c r="N1629" s="31"/>
      <c r="X1629" s="35"/>
      <c r="Y1629" s="102"/>
    </row>
    <row r="1630" spans="12:25" ht="25" customHeight="1">
      <c r="L1630" s="31"/>
      <c r="M1630" s="31"/>
      <c r="N1630" s="31"/>
      <c r="X1630" s="35"/>
      <c r="Y1630" s="102"/>
    </row>
    <row r="1631" spans="12:25" ht="25" customHeight="1">
      <c r="L1631" s="31"/>
      <c r="M1631" s="31"/>
      <c r="N1631" s="31"/>
      <c r="X1631" s="35"/>
      <c r="Y1631" s="102"/>
    </row>
    <row r="1632" spans="12:25" ht="25" customHeight="1">
      <c r="L1632" s="31"/>
      <c r="M1632" s="31"/>
      <c r="N1632" s="31"/>
      <c r="X1632" s="35"/>
      <c r="Y1632" s="102"/>
    </row>
    <row r="1633" spans="12:25" ht="25" customHeight="1">
      <c r="L1633" s="31"/>
      <c r="M1633" s="31"/>
      <c r="N1633" s="31"/>
      <c r="X1633" s="35"/>
      <c r="Y1633" s="102"/>
    </row>
    <row r="1634" spans="12:25" ht="25" customHeight="1">
      <c r="L1634" s="31"/>
      <c r="M1634" s="31"/>
      <c r="N1634" s="31"/>
      <c r="X1634" s="35"/>
      <c r="Y1634" s="102"/>
    </row>
    <row r="1635" spans="12:25" ht="25" customHeight="1">
      <c r="L1635" s="31"/>
      <c r="M1635" s="31"/>
      <c r="N1635" s="31"/>
      <c r="X1635" s="35"/>
      <c r="Y1635" s="102"/>
    </row>
    <row r="1636" spans="12:25" ht="25" customHeight="1">
      <c r="L1636" s="31"/>
      <c r="M1636" s="31"/>
      <c r="N1636" s="31"/>
      <c r="X1636" s="35"/>
      <c r="Y1636" s="102"/>
    </row>
    <row r="1637" spans="12:25" ht="25" customHeight="1">
      <c r="L1637" s="31"/>
      <c r="M1637" s="31"/>
      <c r="N1637" s="31"/>
      <c r="X1637" s="35"/>
      <c r="Y1637" s="102"/>
    </row>
    <row r="1638" spans="12:25" ht="25" customHeight="1">
      <c r="L1638" s="31"/>
      <c r="M1638" s="31"/>
      <c r="N1638" s="31"/>
      <c r="X1638" s="35"/>
      <c r="Y1638" s="102"/>
    </row>
    <row r="1639" spans="12:25" ht="25" customHeight="1">
      <c r="L1639" s="31"/>
      <c r="M1639" s="31"/>
      <c r="N1639" s="31"/>
      <c r="X1639" s="35"/>
      <c r="Y1639" s="102"/>
    </row>
    <row r="1640" spans="12:25" ht="25" customHeight="1">
      <c r="L1640" s="31"/>
      <c r="M1640" s="31"/>
      <c r="N1640" s="31"/>
      <c r="X1640" s="35"/>
      <c r="Y1640" s="102"/>
    </row>
    <row r="1641" spans="12:25" ht="25" customHeight="1">
      <c r="L1641" s="31"/>
      <c r="M1641" s="31"/>
      <c r="N1641" s="31"/>
      <c r="X1641" s="35"/>
      <c r="Y1641" s="102"/>
    </row>
    <row r="1642" spans="12:25" ht="25" customHeight="1">
      <c r="L1642" s="31"/>
      <c r="M1642" s="31"/>
      <c r="N1642" s="31"/>
      <c r="X1642" s="35"/>
      <c r="Y1642" s="102"/>
    </row>
    <row r="1643" spans="12:25" ht="25" customHeight="1">
      <c r="L1643" s="31"/>
      <c r="M1643" s="31"/>
      <c r="N1643" s="31"/>
      <c r="X1643" s="35"/>
      <c r="Y1643" s="102"/>
    </row>
    <row r="1644" spans="12:25" ht="25" customHeight="1">
      <c r="L1644" s="31"/>
      <c r="M1644" s="31"/>
      <c r="N1644" s="31"/>
      <c r="X1644" s="35"/>
      <c r="Y1644" s="102"/>
    </row>
    <row r="1645" spans="12:25" ht="25" customHeight="1">
      <c r="L1645" s="31"/>
      <c r="M1645" s="31"/>
      <c r="N1645" s="31"/>
      <c r="X1645" s="35"/>
      <c r="Y1645" s="102"/>
    </row>
    <row r="1646" spans="12:25" ht="25" customHeight="1">
      <c r="L1646" s="31"/>
      <c r="M1646" s="31"/>
      <c r="N1646" s="31"/>
      <c r="X1646" s="35"/>
      <c r="Y1646" s="102"/>
    </row>
    <row r="1647" spans="12:25" ht="25" customHeight="1">
      <c r="L1647" s="31"/>
      <c r="M1647" s="31"/>
      <c r="N1647" s="31"/>
      <c r="X1647" s="35"/>
      <c r="Y1647" s="102"/>
    </row>
    <row r="1648" spans="12:25" ht="25" customHeight="1">
      <c r="L1648" s="31"/>
      <c r="M1648" s="31"/>
      <c r="N1648" s="31"/>
      <c r="X1648" s="35"/>
      <c r="Y1648" s="102"/>
    </row>
    <row r="1649" spans="12:25" ht="25" customHeight="1">
      <c r="L1649" s="31"/>
      <c r="M1649" s="31"/>
      <c r="N1649" s="31"/>
      <c r="X1649" s="35"/>
      <c r="Y1649" s="102"/>
    </row>
    <row r="1650" spans="12:25" ht="25" customHeight="1">
      <c r="L1650" s="31"/>
      <c r="M1650" s="31"/>
      <c r="N1650" s="31"/>
      <c r="X1650" s="35"/>
      <c r="Y1650" s="102"/>
    </row>
    <row r="1651" spans="12:25" ht="25" customHeight="1">
      <c r="L1651" s="31"/>
      <c r="M1651" s="31"/>
      <c r="N1651" s="31"/>
      <c r="X1651" s="35"/>
      <c r="Y1651" s="102"/>
    </row>
    <row r="1652" spans="12:25" ht="25" customHeight="1">
      <c r="L1652" s="31"/>
      <c r="M1652" s="31"/>
      <c r="N1652" s="31"/>
      <c r="X1652" s="35"/>
      <c r="Y1652" s="102"/>
    </row>
    <row r="1653" spans="12:25" ht="25" customHeight="1">
      <c r="L1653" s="31"/>
      <c r="M1653" s="31"/>
      <c r="N1653" s="31"/>
      <c r="X1653" s="35"/>
      <c r="Y1653" s="102"/>
    </row>
    <row r="1654" spans="12:25" ht="25" customHeight="1">
      <c r="L1654" s="31"/>
      <c r="M1654" s="31"/>
      <c r="N1654" s="31"/>
      <c r="X1654" s="35"/>
      <c r="Y1654" s="102"/>
    </row>
    <row r="1655" spans="12:25" ht="25" customHeight="1">
      <c r="L1655" s="31"/>
      <c r="M1655" s="31"/>
      <c r="N1655" s="31"/>
      <c r="X1655" s="35"/>
      <c r="Y1655" s="102"/>
    </row>
    <row r="1656" spans="12:25" ht="25" customHeight="1">
      <c r="L1656" s="31"/>
      <c r="M1656" s="31"/>
      <c r="N1656" s="31"/>
      <c r="X1656" s="35"/>
      <c r="Y1656" s="102"/>
    </row>
    <row r="1657" spans="12:25" ht="25" customHeight="1">
      <c r="L1657" s="31"/>
      <c r="M1657" s="31"/>
      <c r="N1657" s="31"/>
      <c r="X1657" s="35"/>
      <c r="Y1657" s="102"/>
    </row>
    <row r="1658" spans="12:25" ht="25" customHeight="1">
      <c r="L1658" s="31"/>
      <c r="M1658" s="31"/>
      <c r="N1658" s="31"/>
      <c r="X1658" s="35"/>
      <c r="Y1658" s="102"/>
    </row>
    <row r="1659" spans="12:25" ht="25" customHeight="1">
      <c r="L1659" s="31"/>
      <c r="M1659" s="31"/>
      <c r="N1659" s="31"/>
      <c r="X1659" s="35"/>
      <c r="Y1659" s="102"/>
    </row>
    <row r="1660" spans="12:25" ht="25" customHeight="1">
      <c r="L1660" s="31"/>
      <c r="M1660" s="31"/>
      <c r="N1660" s="31"/>
      <c r="X1660" s="35"/>
      <c r="Y1660" s="102"/>
    </row>
    <row r="1661" spans="12:25" ht="25" customHeight="1">
      <c r="L1661" s="31"/>
      <c r="M1661" s="31"/>
      <c r="N1661" s="31"/>
      <c r="X1661" s="35"/>
      <c r="Y1661" s="102"/>
    </row>
    <row r="1662" spans="12:25" ht="25" customHeight="1">
      <c r="L1662" s="31"/>
      <c r="M1662" s="31"/>
      <c r="N1662" s="31"/>
      <c r="X1662" s="35"/>
      <c r="Y1662" s="102"/>
    </row>
    <row r="1663" spans="12:25" ht="25" customHeight="1">
      <c r="L1663" s="31"/>
      <c r="M1663" s="31"/>
      <c r="N1663" s="31"/>
      <c r="X1663" s="35"/>
      <c r="Y1663" s="102"/>
    </row>
    <row r="1664" spans="12:25" ht="25" customHeight="1">
      <c r="L1664" s="31"/>
      <c r="M1664" s="31"/>
      <c r="N1664" s="31"/>
      <c r="X1664" s="35"/>
      <c r="Y1664" s="102"/>
    </row>
    <row r="1665" spans="12:25" ht="25" customHeight="1">
      <c r="L1665" s="31"/>
      <c r="M1665" s="31"/>
      <c r="N1665" s="31"/>
      <c r="X1665" s="35"/>
      <c r="Y1665" s="102"/>
    </row>
    <row r="1666" spans="12:25" ht="25" customHeight="1">
      <c r="L1666" s="31"/>
      <c r="M1666" s="31"/>
      <c r="N1666" s="31"/>
      <c r="X1666" s="35"/>
      <c r="Y1666" s="102"/>
    </row>
    <row r="1667" spans="12:25" ht="25" customHeight="1">
      <c r="L1667" s="31"/>
      <c r="M1667" s="31"/>
      <c r="N1667" s="31"/>
      <c r="X1667" s="35"/>
      <c r="Y1667" s="102"/>
    </row>
    <row r="1668" spans="12:25" ht="25" customHeight="1">
      <c r="L1668" s="31"/>
      <c r="M1668" s="31"/>
      <c r="N1668" s="31"/>
      <c r="X1668" s="35"/>
      <c r="Y1668" s="102"/>
    </row>
    <row r="1669" spans="12:25" ht="25" customHeight="1">
      <c r="L1669" s="31"/>
      <c r="M1669" s="31"/>
      <c r="N1669" s="31"/>
      <c r="X1669" s="35"/>
      <c r="Y1669" s="102"/>
    </row>
    <row r="1670" spans="12:25" ht="25" customHeight="1">
      <c r="L1670" s="31"/>
      <c r="M1670" s="31"/>
      <c r="N1670" s="31"/>
      <c r="X1670" s="35"/>
      <c r="Y1670" s="102"/>
    </row>
    <row r="1671" spans="12:25" ht="25" customHeight="1">
      <c r="L1671" s="31"/>
      <c r="M1671" s="31"/>
      <c r="N1671" s="31"/>
      <c r="X1671" s="35"/>
      <c r="Y1671" s="102"/>
    </row>
    <row r="1672" spans="12:25" ht="25" customHeight="1">
      <c r="L1672" s="31"/>
      <c r="M1672" s="31"/>
      <c r="N1672" s="31"/>
      <c r="X1672" s="35"/>
      <c r="Y1672" s="102"/>
    </row>
    <row r="1673" spans="12:25" ht="25" customHeight="1">
      <c r="L1673" s="31"/>
      <c r="M1673" s="31"/>
      <c r="N1673" s="31"/>
      <c r="X1673" s="35"/>
      <c r="Y1673" s="102"/>
    </row>
    <row r="1674" spans="12:25" ht="25" customHeight="1">
      <c r="L1674" s="31"/>
      <c r="M1674" s="31"/>
      <c r="N1674" s="31"/>
      <c r="X1674" s="35"/>
      <c r="Y1674" s="102"/>
    </row>
    <row r="1675" spans="12:25" ht="25" customHeight="1">
      <c r="L1675" s="31"/>
      <c r="M1675" s="31"/>
      <c r="N1675" s="31"/>
      <c r="X1675" s="35"/>
      <c r="Y1675" s="102"/>
    </row>
    <row r="1676" spans="12:25" ht="25" customHeight="1">
      <c r="L1676" s="31"/>
      <c r="M1676" s="31"/>
      <c r="N1676" s="31"/>
      <c r="X1676" s="35"/>
      <c r="Y1676" s="102"/>
    </row>
    <row r="1677" spans="12:25" ht="25" customHeight="1">
      <c r="L1677" s="31"/>
      <c r="M1677" s="31"/>
      <c r="N1677" s="31"/>
      <c r="X1677" s="35"/>
      <c r="Y1677" s="102"/>
    </row>
    <row r="1678" spans="12:25" ht="25" customHeight="1">
      <c r="L1678" s="31"/>
      <c r="M1678" s="31"/>
      <c r="N1678" s="31"/>
      <c r="X1678" s="35"/>
      <c r="Y1678" s="102"/>
    </row>
    <row r="1679" spans="12:25" ht="25" customHeight="1">
      <c r="L1679" s="31"/>
      <c r="M1679" s="31"/>
      <c r="N1679" s="31"/>
      <c r="X1679" s="35"/>
      <c r="Y1679" s="102"/>
    </row>
    <row r="1680" spans="12:25" ht="25" customHeight="1">
      <c r="L1680" s="31"/>
      <c r="M1680" s="31"/>
      <c r="N1680" s="31"/>
      <c r="X1680" s="35"/>
      <c r="Y1680" s="102"/>
    </row>
    <row r="1681" spans="12:25" ht="25" customHeight="1">
      <c r="L1681" s="31"/>
      <c r="M1681" s="31"/>
      <c r="N1681" s="31"/>
      <c r="X1681" s="35"/>
      <c r="Y1681" s="102"/>
    </row>
    <row r="1682" spans="12:25" ht="25" customHeight="1">
      <c r="L1682" s="31"/>
      <c r="M1682" s="31"/>
      <c r="N1682" s="31"/>
      <c r="X1682" s="35"/>
      <c r="Y1682" s="102"/>
    </row>
    <row r="1683" spans="12:25" ht="25" customHeight="1">
      <c r="L1683" s="31"/>
      <c r="M1683" s="31"/>
      <c r="N1683" s="31"/>
      <c r="X1683" s="35"/>
      <c r="Y1683" s="102"/>
    </row>
    <row r="1684" spans="12:25" ht="25" customHeight="1">
      <c r="L1684" s="31"/>
      <c r="M1684" s="31"/>
      <c r="N1684" s="31"/>
      <c r="X1684" s="35"/>
      <c r="Y1684" s="102"/>
    </row>
    <row r="1685" spans="12:25" ht="25" customHeight="1">
      <c r="L1685" s="31"/>
      <c r="M1685" s="31"/>
      <c r="N1685" s="31"/>
      <c r="X1685" s="35"/>
      <c r="Y1685" s="102"/>
    </row>
    <row r="1686" spans="12:25" ht="25" customHeight="1">
      <c r="L1686" s="31"/>
      <c r="M1686" s="31"/>
      <c r="N1686" s="31"/>
      <c r="X1686" s="35"/>
      <c r="Y1686" s="102"/>
    </row>
    <row r="1687" spans="12:25" ht="25" customHeight="1">
      <c r="L1687" s="31"/>
      <c r="M1687" s="31"/>
      <c r="N1687" s="31"/>
      <c r="X1687" s="35"/>
      <c r="Y1687" s="102"/>
    </row>
    <row r="1688" spans="12:25" ht="25" customHeight="1">
      <c r="L1688" s="31"/>
      <c r="M1688" s="31"/>
      <c r="N1688" s="31"/>
      <c r="X1688" s="35"/>
      <c r="Y1688" s="102"/>
    </row>
    <row r="1689" spans="12:25" ht="25" customHeight="1">
      <c r="L1689" s="31"/>
      <c r="M1689" s="31"/>
      <c r="N1689" s="31"/>
      <c r="X1689" s="35"/>
      <c r="Y1689" s="102"/>
    </row>
    <row r="1690" spans="12:25" ht="25" customHeight="1">
      <c r="L1690" s="31"/>
      <c r="M1690" s="31"/>
      <c r="N1690" s="31"/>
      <c r="X1690" s="35"/>
      <c r="Y1690" s="102"/>
    </row>
    <row r="1691" spans="12:25" ht="25" customHeight="1">
      <c r="L1691" s="31"/>
      <c r="M1691" s="31"/>
      <c r="N1691" s="31"/>
      <c r="X1691" s="35"/>
      <c r="Y1691" s="102"/>
    </row>
    <row r="1692" spans="12:25" ht="25" customHeight="1">
      <c r="L1692" s="31"/>
      <c r="M1692" s="31"/>
      <c r="N1692" s="31"/>
      <c r="X1692" s="35"/>
      <c r="Y1692" s="102"/>
    </row>
    <row r="1693" spans="12:25" ht="25" customHeight="1">
      <c r="L1693" s="31"/>
      <c r="M1693" s="31"/>
      <c r="N1693" s="31"/>
      <c r="X1693" s="35"/>
      <c r="Y1693" s="102"/>
    </row>
    <row r="1694" spans="12:25" ht="25" customHeight="1">
      <c r="L1694" s="31"/>
      <c r="M1694" s="31"/>
      <c r="N1694" s="31"/>
      <c r="X1694" s="35"/>
      <c r="Y1694" s="102"/>
    </row>
    <row r="1695" spans="12:25" ht="25" customHeight="1">
      <c r="L1695" s="31"/>
      <c r="M1695" s="31"/>
      <c r="N1695" s="31"/>
      <c r="X1695" s="35"/>
      <c r="Y1695" s="102"/>
    </row>
    <row r="1696" spans="12:25" ht="25" customHeight="1">
      <c r="L1696" s="31"/>
      <c r="M1696" s="31"/>
      <c r="N1696" s="31"/>
      <c r="X1696" s="35"/>
      <c r="Y1696" s="102"/>
    </row>
    <row r="1697" spans="12:25" ht="25" customHeight="1">
      <c r="L1697" s="31"/>
      <c r="M1697" s="31"/>
      <c r="N1697" s="31"/>
      <c r="X1697" s="35"/>
      <c r="Y1697" s="102"/>
    </row>
    <row r="1698" spans="12:25" ht="25" customHeight="1">
      <c r="L1698" s="31"/>
      <c r="M1698" s="31"/>
      <c r="N1698" s="31"/>
      <c r="X1698" s="35"/>
      <c r="Y1698" s="102"/>
    </row>
    <row r="1699" spans="12:25" ht="25" customHeight="1">
      <c r="L1699" s="31"/>
      <c r="M1699" s="31"/>
      <c r="N1699" s="31"/>
      <c r="X1699" s="35"/>
      <c r="Y1699" s="102"/>
    </row>
    <row r="1700" spans="12:25" ht="25" customHeight="1">
      <c r="L1700" s="31"/>
      <c r="M1700" s="31"/>
      <c r="N1700" s="31"/>
      <c r="X1700" s="35"/>
      <c r="Y1700" s="102"/>
    </row>
    <row r="1701" spans="12:25" ht="25" customHeight="1">
      <c r="L1701" s="31"/>
      <c r="M1701" s="31"/>
      <c r="N1701" s="31"/>
      <c r="X1701" s="35"/>
      <c r="Y1701" s="102"/>
    </row>
    <row r="1702" spans="12:25" ht="25" customHeight="1">
      <c r="L1702" s="31"/>
      <c r="M1702" s="31"/>
      <c r="N1702" s="31"/>
      <c r="X1702" s="35"/>
      <c r="Y1702" s="102"/>
    </row>
    <row r="1703" spans="12:25" ht="25" customHeight="1">
      <c r="L1703" s="31"/>
      <c r="M1703" s="31"/>
      <c r="N1703" s="31"/>
      <c r="X1703" s="35"/>
      <c r="Y1703" s="102"/>
    </row>
    <row r="1704" spans="12:25" ht="25" customHeight="1">
      <c r="L1704" s="31"/>
      <c r="M1704" s="31"/>
      <c r="N1704" s="31"/>
      <c r="X1704" s="35"/>
      <c r="Y1704" s="102"/>
    </row>
    <row r="1705" spans="12:25" ht="25" customHeight="1">
      <c r="L1705" s="31"/>
      <c r="M1705" s="31"/>
      <c r="N1705" s="31"/>
      <c r="X1705" s="35"/>
      <c r="Y1705" s="102"/>
    </row>
    <row r="1706" spans="12:25" ht="25" customHeight="1">
      <c r="L1706" s="31"/>
      <c r="M1706" s="31"/>
      <c r="N1706" s="31"/>
      <c r="X1706" s="35"/>
      <c r="Y1706" s="102"/>
    </row>
    <row r="1707" spans="12:25" ht="25" customHeight="1">
      <c r="L1707" s="31"/>
      <c r="M1707" s="31"/>
      <c r="N1707" s="31"/>
      <c r="X1707" s="35"/>
      <c r="Y1707" s="102"/>
    </row>
    <row r="1708" spans="12:25" ht="25" customHeight="1">
      <c r="L1708" s="31"/>
      <c r="M1708" s="31"/>
      <c r="N1708" s="31"/>
      <c r="X1708" s="35"/>
      <c r="Y1708" s="102"/>
    </row>
    <row r="1709" spans="12:25" ht="25" customHeight="1">
      <c r="L1709" s="31"/>
      <c r="M1709" s="31"/>
      <c r="N1709" s="31"/>
      <c r="X1709" s="35"/>
      <c r="Y1709" s="102"/>
    </row>
    <row r="1710" spans="12:25" ht="25" customHeight="1">
      <c r="L1710" s="31"/>
      <c r="M1710" s="31"/>
      <c r="N1710" s="31"/>
      <c r="X1710" s="35"/>
      <c r="Y1710" s="102"/>
    </row>
    <row r="1711" spans="12:25" ht="25" customHeight="1">
      <c r="L1711" s="31"/>
      <c r="M1711" s="31"/>
      <c r="N1711" s="31"/>
      <c r="X1711" s="35"/>
      <c r="Y1711" s="102"/>
    </row>
    <row r="1712" spans="12:25" ht="25" customHeight="1">
      <c r="L1712" s="31"/>
      <c r="M1712" s="31"/>
      <c r="N1712" s="31"/>
      <c r="X1712" s="35"/>
      <c r="Y1712" s="102"/>
    </row>
    <row r="1713" spans="12:25" ht="25" customHeight="1">
      <c r="L1713" s="31"/>
      <c r="M1713" s="31"/>
      <c r="N1713" s="31"/>
      <c r="X1713" s="35"/>
      <c r="Y1713" s="102"/>
    </row>
    <row r="1714" spans="12:25" ht="25" customHeight="1">
      <c r="L1714" s="31"/>
      <c r="M1714" s="31"/>
      <c r="N1714" s="31"/>
      <c r="X1714" s="35"/>
      <c r="Y1714" s="102"/>
    </row>
    <row r="1715" spans="12:25" ht="25" customHeight="1">
      <c r="L1715" s="31"/>
      <c r="M1715" s="31"/>
      <c r="N1715" s="31"/>
      <c r="X1715" s="35"/>
      <c r="Y1715" s="102"/>
    </row>
    <row r="1716" spans="12:25" ht="25" customHeight="1">
      <c r="L1716" s="31"/>
      <c r="M1716" s="31"/>
      <c r="N1716" s="31"/>
      <c r="X1716" s="35"/>
      <c r="Y1716" s="102"/>
    </row>
    <row r="1717" spans="12:25" ht="25" customHeight="1">
      <c r="L1717" s="31"/>
      <c r="M1717" s="31"/>
      <c r="N1717" s="31"/>
      <c r="X1717" s="35"/>
      <c r="Y1717" s="102"/>
    </row>
    <row r="1718" spans="12:25" ht="25" customHeight="1">
      <c r="L1718" s="31"/>
      <c r="M1718" s="31"/>
      <c r="N1718" s="31"/>
      <c r="X1718" s="35"/>
      <c r="Y1718" s="102"/>
    </row>
    <row r="1719" spans="12:25" ht="25" customHeight="1">
      <c r="L1719" s="31"/>
      <c r="M1719" s="31"/>
      <c r="N1719" s="31"/>
      <c r="X1719" s="35"/>
      <c r="Y1719" s="102"/>
    </row>
    <row r="1720" spans="12:25" ht="25" customHeight="1">
      <c r="L1720" s="31"/>
      <c r="M1720" s="31"/>
      <c r="N1720" s="31"/>
      <c r="X1720" s="35"/>
      <c r="Y1720" s="102"/>
    </row>
    <row r="1721" spans="12:25" ht="25" customHeight="1">
      <c r="L1721" s="31"/>
      <c r="M1721" s="31"/>
      <c r="N1721" s="31"/>
      <c r="X1721" s="35"/>
      <c r="Y1721" s="102"/>
    </row>
    <row r="1722" spans="12:25" ht="25" customHeight="1">
      <c r="L1722" s="31"/>
      <c r="M1722" s="31"/>
      <c r="N1722" s="31"/>
      <c r="X1722" s="35"/>
      <c r="Y1722" s="102"/>
    </row>
    <row r="1723" spans="12:25" ht="25" customHeight="1">
      <c r="L1723" s="31"/>
      <c r="M1723" s="31"/>
      <c r="N1723" s="31"/>
      <c r="X1723" s="35"/>
      <c r="Y1723" s="102"/>
    </row>
    <row r="1724" spans="12:25" ht="25" customHeight="1">
      <c r="L1724" s="31"/>
      <c r="M1724" s="31"/>
      <c r="N1724" s="31"/>
      <c r="X1724" s="35"/>
      <c r="Y1724" s="102"/>
    </row>
    <row r="1725" spans="12:25" ht="25" customHeight="1">
      <c r="L1725" s="31"/>
      <c r="M1725" s="31"/>
      <c r="N1725" s="31"/>
      <c r="X1725" s="35"/>
      <c r="Y1725" s="102"/>
    </row>
    <row r="1726" spans="12:25" ht="25" customHeight="1">
      <c r="L1726" s="31"/>
      <c r="M1726" s="31"/>
      <c r="N1726" s="31"/>
      <c r="X1726" s="35"/>
      <c r="Y1726" s="102"/>
    </row>
    <row r="1727" spans="12:25" ht="25" customHeight="1">
      <c r="L1727" s="31"/>
      <c r="M1727" s="31"/>
      <c r="N1727" s="31"/>
      <c r="X1727" s="35"/>
      <c r="Y1727" s="102"/>
    </row>
    <row r="1728" spans="12:25" ht="25" customHeight="1">
      <c r="L1728" s="31"/>
      <c r="M1728" s="31"/>
      <c r="N1728" s="31"/>
      <c r="X1728" s="35"/>
      <c r="Y1728" s="102"/>
    </row>
    <row r="1729" spans="12:25" ht="25" customHeight="1">
      <c r="L1729" s="31"/>
      <c r="M1729" s="31"/>
      <c r="N1729" s="31"/>
      <c r="X1729" s="35"/>
      <c r="Y1729" s="102"/>
    </row>
    <row r="1730" spans="12:25" ht="25" customHeight="1">
      <c r="L1730" s="31"/>
      <c r="M1730" s="31"/>
      <c r="N1730" s="31"/>
      <c r="X1730" s="35"/>
      <c r="Y1730" s="102"/>
    </row>
    <row r="1731" spans="12:25" ht="25" customHeight="1">
      <c r="L1731" s="31"/>
      <c r="M1731" s="31"/>
      <c r="N1731" s="31"/>
      <c r="X1731" s="35"/>
      <c r="Y1731" s="102"/>
    </row>
    <row r="1732" spans="12:25" ht="25" customHeight="1">
      <c r="L1732" s="31"/>
      <c r="M1732" s="31"/>
      <c r="N1732" s="31"/>
      <c r="X1732" s="35"/>
      <c r="Y1732" s="102"/>
    </row>
    <row r="1733" spans="12:25" ht="25" customHeight="1">
      <c r="L1733" s="31"/>
      <c r="M1733" s="31"/>
      <c r="N1733" s="31"/>
      <c r="X1733" s="35"/>
      <c r="Y1733" s="102"/>
    </row>
    <row r="1734" spans="12:25" ht="25" customHeight="1">
      <c r="L1734" s="31"/>
      <c r="M1734" s="31"/>
      <c r="N1734" s="31"/>
      <c r="X1734" s="35"/>
      <c r="Y1734" s="102"/>
    </row>
    <row r="1735" spans="12:25" ht="25" customHeight="1">
      <c r="L1735" s="31"/>
      <c r="M1735" s="31"/>
      <c r="N1735" s="31"/>
      <c r="X1735" s="35"/>
      <c r="Y1735" s="102"/>
    </row>
    <row r="1736" spans="12:25" ht="25" customHeight="1">
      <c r="L1736" s="31"/>
      <c r="M1736" s="31"/>
      <c r="N1736" s="31"/>
      <c r="X1736" s="35"/>
      <c r="Y1736" s="102"/>
    </row>
    <row r="1737" spans="12:25" ht="25" customHeight="1">
      <c r="L1737" s="31"/>
      <c r="M1737" s="31"/>
      <c r="N1737" s="31"/>
      <c r="X1737" s="35"/>
      <c r="Y1737" s="102"/>
    </row>
    <row r="1738" spans="12:25" ht="25" customHeight="1">
      <c r="L1738" s="31"/>
      <c r="M1738" s="31"/>
      <c r="N1738" s="31"/>
      <c r="X1738" s="35"/>
      <c r="Y1738" s="102"/>
    </row>
    <row r="1739" spans="12:25" ht="25" customHeight="1">
      <c r="L1739" s="31"/>
      <c r="M1739" s="31"/>
      <c r="N1739" s="31"/>
      <c r="X1739" s="35"/>
      <c r="Y1739" s="102"/>
    </row>
    <row r="1740" spans="12:25" ht="25" customHeight="1">
      <c r="L1740" s="31"/>
      <c r="M1740" s="31"/>
      <c r="N1740" s="31"/>
      <c r="X1740" s="35"/>
      <c r="Y1740" s="102"/>
    </row>
    <row r="1741" spans="12:25" ht="25" customHeight="1">
      <c r="L1741" s="31"/>
      <c r="M1741" s="31"/>
      <c r="N1741" s="31"/>
      <c r="X1741" s="35"/>
      <c r="Y1741" s="102"/>
    </row>
    <row r="1742" spans="12:25" ht="25" customHeight="1">
      <c r="L1742" s="31"/>
      <c r="M1742" s="31"/>
      <c r="N1742" s="31"/>
      <c r="X1742" s="35"/>
      <c r="Y1742" s="102"/>
    </row>
    <row r="1743" spans="12:25" ht="25" customHeight="1">
      <c r="L1743" s="31"/>
      <c r="M1743" s="31"/>
      <c r="N1743" s="31"/>
      <c r="X1743" s="35"/>
      <c r="Y1743" s="102"/>
    </row>
    <row r="1744" spans="12:25" ht="25" customHeight="1">
      <c r="L1744" s="31"/>
      <c r="M1744" s="31"/>
      <c r="N1744" s="31"/>
      <c r="X1744" s="35"/>
      <c r="Y1744" s="102"/>
    </row>
    <row r="1745" spans="12:25" ht="25" customHeight="1">
      <c r="L1745" s="31"/>
      <c r="M1745" s="31"/>
      <c r="N1745" s="31"/>
      <c r="X1745" s="35"/>
      <c r="Y1745" s="102"/>
    </row>
    <row r="1746" spans="12:25" ht="25" customHeight="1">
      <c r="L1746" s="31"/>
      <c r="M1746" s="31"/>
      <c r="N1746" s="31"/>
      <c r="X1746" s="35"/>
      <c r="Y1746" s="102"/>
    </row>
    <row r="1747" spans="12:25" ht="25" customHeight="1">
      <c r="L1747" s="31"/>
      <c r="M1747" s="31"/>
      <c r="N1747" s="31"/>
      <c r="X1747" s="35"/>
      <c r="Y1747" s="102"/>
    </row>
    <row r="1748" spans="12:25" ht="25" customHeight="1">
      <c r="L1748" s="31"/>
      <c r="M1748" s="31"/>
      <c r="N1748" s="31"/>
      <c r="X1748" s="35"/>
      <c r="Y1748" s="102"/>
    </row>
    <row r="1749" spans="12:25" ht="25" customHeight="1">
      <c r="L1749" s="31"/>
      <c r="M1749" s="31"/>
      <c r="N1749" s="31"/>
      <c r="X1749" s="35"/>
      <c r="Y1749" s="102"/>
    </row>
    <row r="1750" spans="12:25" ht="25" customHeight="1">
      <c r="L1750" s="31"/>
      <c r="M1750" s="31"/>
      <c r="N1750" s="31"/>
      <c r="X1750" s="35"/>
      <c r="Y1750" s="102"/>
    </row>
    <row r="1751" spans="12:25" ht="25" customHeight="1">
      <c r="L1751" s="31"/>
      <c r="M1751" s="31"/>
      <c r="N1751" s="31"/>
      <c r="X1751" s="35"/>
      <c r="Y1751" s="102"/>
    </row>
    <row r="1752" spans="12:25" ht="25" customHeight="1">
      <c r="L1752" s="31"/>
      <c r="M1752" s="31"/>
      <c r="N1752" s="31"/>
      <c r="X1752" s="35"/>
      <c r="Y1752" s="102"/>
    </row>
    <row r="1753" spans="12:25" ht="25" customHeight="1">
      <c r="L1753" s="31"/>
      <c r="M1753" s="31"/>
      <c r="N1753" s="31"/>
      <c r="X1753" s="35"/>
      <c r="Y1753" s="102"/>
    </row>
    <row r="1754" spans="12:25" ht="25" customHeight="1">
      <c r="L1754" s="31"/>
      <c r="M1754" s="31"/>
      <c r="N1754" s="31"/>
      <c r="X1754" s="35"/>
      <c r="Y1754" s="102"/>
    </row>
    <row r="1755" spans="12:25" ht="25" customHeight="1">
      <c r="L1755" s="31"/>
      <c r="M1755" s="31"/>
      <c r="N1755" s="31"/>
      <c r="X1755" s="35"/>
      <c r="Y1755" s="102"/>
    </row>
    <row r="1756" spans="12:25" ht="25" customHeight="1">
      <c r="L1756" s="31"/>
      <c r="M1756" s="31"/>
      <c r="N1756" s="31"/>
      <c r="X1756" s="35"/>
      <c r="Y1756" s="102"/>
    </row>
    <row r="1757" spans="12:25" ht="25" customHeight="1">
      <c r="L1757" s="31"/>
      <c r="M1757" s="31"/>
      <c r="N1757" s="31"/>
      <c r="X1757" s="35"/>
      <c r="Y1757" s="102"/>
    </row>
    <row r="1758" spans="12:25" ht="25" customHeight="1">
      <c r="L1758" s="31"/>
      <c r="M1758" s="31"/>
      <c r="N1758" s="31"/>
      <c r="X1758" s="35"/>
      <c r="Y1758" s="102"/>
    </row>
    <row r="1759" spans="12:25" ht="25" customHeight="1">
      <c r="L1759" s="31"/>
      <c r="M1759" s="31"/>
      <c r="N1759" s="31"/>
      <c r="X1759" s="35"/>
      <c r="Y1759" s="102"/>
    </row>
    <row r="1760" spans="12:25" ht="25" customHeight="1">
      <c r="L1760" s="31"/>
      <c r="M1760" s="31"/>
      <c r="N1760" s="31"/>
      <c r="X1760" s="35"/>
      <c r="Y1760" s="102"/>
    </row>
    <row r="1761" spans="12:25" ht="25" customHeight="1">
      <c r="L1761" s="31"/>
      <c r="M1761" s="31"/>
      <c r="N1761" s="31"/>
      <c r="X1761" s="35"/>
      <c r="Y1761" s="102"/>
    </row>
    <row r="1762" spans="12:25" ht="25" customHeight="1">
      <c r="L1762" s="31"/>
      <c r="M1762" s="31"/>
      <c r="N1762" s="31"/>
      <c r="X1762" s="35"/>
      <c r="Y1762" s="102"/>
    </row>
    <row r="1763" spans="12:25" ht="25" customHeight="1">
      <c r="L1763" s="31"/>
      <c r="M1763" s="31"/>
      <c r="N1763" s="31"/>
      <c r="X1763" s="35"/>
      <c r="Y1763" s="102"/>
    </row>
    <row r="1764" spans="12:25" ht="25" customHeight="1">
      <c r="L1764" s="31"/>
      <c r="M1764" s="31"/>
      <c r="N1764" s="31"/>
      <c r="X1764" s="35"/>
      <c r="Y1764" s="102"/>
    </row>
    <row r="1765" spans="12:25" ht="25" customHeight="1">
      <c r="L1765" s="31"/>
      <c r="M1765" s="31"/>
      <c r="N1765" s="31"/>
      <c r="X1765" s="35"/>
      <c r="Y1765" s="102"/>
    </row>
    <row r="1766" spans="12:25" ht="25" customHeight="1">
      <c r="L1766" s="31"/>
      <c r="M1766" s="31"/>
      <c r="N1766" s="31"/>
      <c r="X1766" s="35"/>
      <c r="Y1766" s="102"/>
    </row>
    <row r="1767" spans="12:25" ht="25" customHeight="1">
      <c r="L1767" s="31"/>
      <c r="M1767" s="31"/>
      <c r="N1767" s="31"/>
      <c r="X1767" s="35"/>
      <c r="Y1767" s="102"/>
    </row>
    <row r="1768" spans="12:25" ht="25" customHeight="1">
      <c r="L1768" s="31"/>
      <c r="M1768" s="31"/>
      <c r="N1768" s="31"/>
      <c r="X1768" s="35"/>
      <c r="Y1768" s="102"/>
    </row>
    <row r="1769" spans="12:25" ht="25" customHeight="1">
      <c r="L1769" s="31"/>
      <c r="M1769" s="31"/>
      <c r="N1769" s="31"/>
      <c r="X1769" s="35"/>
      <c r="Y1769" s="102"/>
    </row>
    <row r="1770" spans="12:25" ht="25" customHeight="1">
      <c r="L1770" s="31"/>
      <c r="M1770" s="31"/>
      <c r="N1770" s="31"/>
      <c r="X1770" s="35"/>
      <c r="Y1770" s="102"/>
    </row>
    <row r="1771" spans="12:25" ht="25" customHeight="1">
      <c r="L1771" s="31"/>
      <c r="M1771" s="31"/>
      <c r="N1771" s="31"/>
      <c r="X1771" s="35"/>
      <c r="Y1771" s="102"/>
    </row>
    <row r="1772" spans="12:25" ht="25" customHeight="1">
      <c r="L1772" s="31"/>
      <c r="M1772" s="31"/>
      <c r="N1772" s="31"/>
      <c r="X1772" s="35"/>
      <c r="Y1772" s="102"/>
    </row>
    <row r="1773" spans="12:25" ht="25" customHeight="1">
      <c r="L1773" s="31"/>
      <c r="M1773" s="31"/>
      <c r="N1773" s="31"/>
      <c r="X1773" s="35"/>
      <c r="Y1773" s="102"/>
    </row>
    <row r="1774" spans="12:25" ht="25" customHeight="1">
      <c r="L1774" s="31"/>
      <c r="M1774" s="31"/>
      <c r="N1774" s="31"/>
      <c r="X1774" s="35"/>
      <c r="Y1774" s="102"/>
    </row>
    <row r="1775" spans="12:25" ht="25" customHeight="1">
      <c r="L1775" s="31"/>
      <c r="M1775" s="31"/>
      <c r="N1775" s="31"/>
      <c r="X1775" s="35"/>
      <c r="Y1775" s="102"/>
    </row>
    <row r="1776" spans="12:25" ht="25" customHeight="1">
      <c r="L1776" s="31"/>
      <c r="M1776" s="31"/>
      <c r="N1776" s="31"/>
      <c r="X1776" s="35"/>
      <c r="Y1776" s="102"/>
    </row>
    <row r="1777" spans="12:25" ht="25" customHeight="1">
      <c r="L1777" s="31"/>
      <c r="M1777" s="31"/>
      <c r="N1777" s="31"/>
      <c r="X1777" s="35"/>
      <c r="Y1777" s="102"/>
    </row>
    <row r="1778" spans="12:25" ht="25" customHeight="1">
      <c r="L1778" s="31"/>
      <c r="M1778" s="31"/>
      <c r="N1778" s="31"/>
      <c r="X1778" s="35"/>
      <c r="Y1778" s="102"/>
    </row>
    <row r="1779" spans="12:25" ht="25" customHeight="1">
      <c r="L1779" s="31"/>
      <c r="M1779" s="31"/>
      <c r="N1779" s="31"/>
      <c r="X1779" s="35"/>
      <c r="Y1779" s="102"/>
    </row>
    <row r="1780" spans="12:25" ht="25" customHeight="1">
      <c r="L1780" s="31"/>
      <c r="M1780" s="31"/>
      <c r="N1780" s="31"/>
      <c r="X1780" s="35"/>
      <c r="Y1780" s="102"/>
    </row>
    <row r="1781" spans="12:25" ht="25" customHeight="1">
      <c r="L1781" s="31"/>
      <c r="M1781" s="31"/>
      <c r="N1781" s="31"/>
      <c r="X1781" s="35"/>
      <c r="Y1781" s="102"/>
    </row>
    <row r="1782" spans="12:25" ht="25" customHeight="1">
      <c r="L1782" s="31"/>
      <c r="M1782" s="31"/>
      <c r="N1782" s="31"/>
      <c r="X1782" s="35"/>
      <c r="Y1782" s="102"/>
    </row>
    <row r="1783" spans="12:25" ht="25" customHeight="1">
      <c r="L1783" s="31"/>
      <c r="M1783" s="31"/>
      <c r="N1783" s="31"/>
      <c r="X1783" s="35"/>
      <c r="Y1783" s="102"/>
    </row>
    <row r="1784" spans="12:25" ht="25" customHeight="1">
      <c r="L1784" s="31"/>
      <c r="M1784" s="31"/>
      <c r="N1784" s="31"/>
      <c r="X1784" s="35"/>
      <c r="Y1784" s="102"/>
    </row>
    <row r="1785" spans="12:25" ht="25" customHeight="1">
      <c r="L1785" s="31"/>
      <c r="M1785" s="31"/>
      <c r="N1785" s="31"/>
      <c r="X1785" s="35"/>
      <c r="Y1785" s="102"/>
    </row>
    <row r="1786" spans="12:25" ht="25" customHeight="1">
      <c r="L1786" s="31"/>
      <c r="M1786" s="31"/>
      <c r="N1786" s="31"/>
      <c r="X1786" s="35"/>
      <c r="Y1786" s="102"/>
    </row>
    <row r="1787" spans="12:25" ht="25" customHeight="1">
      <c r="L1787" s="31"/>
      <c r="M1787" s="31"/>
      <c r="N1787" s="31"/>
      <c r="X1787" s="35"/>
      <c r="Y1787" s="102"/>
    </row>
    <row r="1788" spans="12:25" ht="25" customHeight="1">
      <c r="L1788" s="31"/>
      <c r="M1788" s="31"/>
      <c r="N1788" s="31"/>
      <c r="X1788" s="35"/>
      <c r="Y1788" s="102"/>
    </row>
    <row r="1789" spans="12:25" ht="25" customHeight="1">
      <c r="L1789" s="31"/>
      <c r="M1789" s="31"/>
      <c r="N1789" s="31"/>
      <c r="X1789" s="35"/>
      <c r="Y1789" s="102"/>
    </row>
    <row r="1790" spans="12:25" ht="25" customHeight="1">
      <c r="L1790" s="31"/>
      <c r="M1790" s="31"/>
      <c r="N1790" s="31"/>
      <c r="X1790" s="35"/>
      <c r="Y1790" s="102"/>
    </row>
    <row r="1791" spans="12:25" ht="25" customHeight="1">
      <c r="L1791" s="31"/>
      <c r="M1791" s="31"/>
      <c r="N1791" s="31"/>
      <c r="X1791" s="35"/>
      <c r="Y1791" s="102"/>
    </row>
    <row r="1792" spans="12:25" ht="25" customHeight="1">
      <c r="L1792" s="31"/>
      <c r="M1792" s="31"/>
      <c r="N1792" s="31"/>
      <c r="X1792" s="35"/>
      <c r="Y1792" s="102"/>
    </row>
    <row r="1793" spans="12:25" ht="25" customHeight="1">
      <c r="L1793" s="31"/>
      <c r="M1793" s="31"/>
      <c r="N1793" s="31"/>
      <c r="X1793" s="35"/>
      <c r="Y1793" s="102"/>
    </row>
    <row r="1794" spans="12:25" ht="25" customHeight="1">
      <c r="L1794" s="31"/>
      <c r="M1794" s="31"/>
      <c r="N1794" s="31"/>
      <c r="X1794" s="35"/>
      <c r="Y1794" s="102"/>
    </row>
    <row r="1795" spans="12:25" ht="25" customHeight="1">
      <c r="L1795" s="31"/>
      <c r="M1795" s="31"/>
      <c r="N1795" s="31"/>
      <c r="X1795" s="35"/>
      <c r="Y1795" s="102"/>
    </row>
    <row r="1796" spans="12:25" ht="25" customHeight="1">
      <c r="L1796" s="31"/>
      <c r="M1796" s="31"/>
      <c r="N1796" s="31"/>
      <c r="X1796" s="35"/>
      <c r="Y1796" s="102"/>
    </row>
    <row r="1797" spans="12:25" ht="25" customHeight="1">
      <c r="L1797" s="31"/>
      <c r="M1797" s="31"/>
      <c r="N1797" s="31"/>
      <c r="X1797" s="35"/>
      <c r="Y1797" s="102"/>
    </row>
    <row r="1798" spans="12:25" ht="25" customHeight="1">
      <c r="L1798" s="31"/>
      <c r="M1798" s="31"/>
      <c r="N1798" s="31"/>
      <c r="X1798" s="35"/>
      <c r="Y1798" s="102"/>
    </row>
    <row r="1799" spans="12:25" ht="25" customHeight="1">
      <c r="L1799" s="31"/>
      <c r="M1799" s="31"/>
      <c r="N1799" s="31"/>
      <c r="X1799" s="35"/>
      <c r="Y1799" s="102"/>
    </row>
    <row r="1800" spans="12:25" ht="25" customHeight="1">
      <c r="L1800" s="31"/>
      <c r="M1800" s="31"/>
      <c r="N1800" s="31"/>
      <c r="X1800" s="35"/>
      <c r="Y1800" s="102"/>
    </row>
    <row r="1801" spans="12:25" ht="25" customHeight="1">
      <c r="L1801" s="31"/>
      <c r="M1801" s="31"/>
      <c r="N1801" s="31"/>
      <c r="X1801" s="35"/>
      <c r="Y1801" s="102"/>
    </row>
    <row r="1802" spans="12:25" ht="25" customHeight="1">
      <c r="L1802" s="31"/>
      <c r="M1802" s="31"/>
      <c r="N1802" s="31"/>
      <c r="X1802" s="35"/>
      <c r="Y1802" s="102"/>
    </row>
    <row r="1803" spans="12:25" ht="25" customHeight="1">
      <c r="L1803" s="31"/>
      <c r="M1803" s="31"/>
      <c r="N1803" s="31"/>
      <c r="X1803" s="35"/>
      <c r="Y1803" s="102"/>
    </row>
    <row r="1804" spans="12:25" ht="25" customHeight="1">
      <c r="L1804" s="31"/>
      <c r="M1804" s="31"/>
      <c r="N1804" s="31"/>
      <c r="X1804" s="35"/>
      <c r="Y1804" s="102"/>
    </row>
    <row r="1805" spans="12:25" ht="25" customHeight="1">
      <c r="L1805" s="31"/>
      <c r="M1805" s="31"/>
      <c r="N1805" s="31"/>
      <c r="X1805" s="35"/>
      <c r="Y1805" s="102"/>
    </row>
    <row r="1806" spans="12:25" ht="25" customHeight="1">
      <c r="L1806" s="31"/>
      <c r="M1806" s="31"/>
      <c r="N1806" s="31"/>
      <c r="X1806" s="35"/>
      <c r="Y1806" s="102"/>
    </row>
    <row r="1807" spans="12:25" ht="25" customHeight="1">
      <c r="L1807" s="31"/>
      <c r="M1807" s="31"/>
      <c r="N1807" s="31"/>
      <c r="X1807" s="35"/>
      <c r="Y1807" s="102"/>
    </row>
    <row r="1808" spans="12:25" ht="25" customHeight="1">
      <c r="L1808" s="31"/>
      <c r="M1808" s="31"/>
      <c r="N1808" s="31"/>
      <c r="X1808" s="35"/>
      <c r="Y1808" s="102"/>
    </row>
    <row r="1809" spans="12:25" ht="25" customHeight="1">
      <c r="L1809" s="31"/>
      <c r="M1809" s="31"/>
      <c r="N1809" s="31"/>
      <c r="X1809" s="35"/>
      <c r="Y1809" s="102"/>
    </row>
    <row r="1810" spans="12:25" ht="25" customHeight="1">
      <c r="L1810" s="31"/>
      <c r="M1810" s="31"/>
      <c r="N1810" s="31"/>
      <c r="X1810" s="35"/>
      <c r="Y1810" s="102"/>
    </row>
    <row r="1811" spans="12:25" ht="25" customHeight="1">
      <c r="L1811" s="31"/>
      <c r="M1811" s="31"/>
      <c r="N1811" s="31"/>
      <c r="X1811" s="35"/>
      <c r="Y1811" s="102"/>
    </row>
    <row r="1812" spans="12:25" ht="25" customHeight="1">
      <c r="L1812" s="31"/>
      <c r="M1812" s="31"/>
      <c r="N1812" s="31"/>
      <c r="X1812" s="35"/>
      <c r="Y1812" s="102"/>
    </row>
    <row r="1813" spans="12:25" ht="25" customHeight="1">
      <c r="L1813" s="31"/>
      <c r="M1813" s="31"/>
      <c r="N1813" s="31"/>
      <c r="X1813" s="35"/>
      <c r="Y1813" s="102"/>
    </row>
    <row r="1814" spans="12:25" ht="25" customHeight="1">
      <c r="L1814" s="31"/>
      <c r="M1814" s="31"/>
      <c r="N1814" s="31"/>
      <c r="X1814" s="35"/>
      <c r="Y1814" s="102"/>
    </row>
    <row r="1815" spans="12:25" ht="25" customHeight="1">
      <c r="L1815" s="31"/>
      <c r="M1815" s="31"/>
      <c r="N1815" s="31"/>
      <c r="X1815" s="35"/>
      <c r="Y1815" s="102"/>
    </row>
    <row r="1816" spans="12:25" ht="25" customHeight="1">
      <c r="L1816" s="31"/>
      <c r="M1816" s="31"/>
      <c r="N1816" s="31"/>
      <c r="X1816" s="35"/>
      <c r="Y1816" s="102"/>
    </row>
    <row r="1817" spans="12:25" ht="25" customHeight="1">
      <c r="L1817" s="31"/>
      <c r="M1817" s="31"/>
      <c r="N1817" s="31"/>
      <c r="X1817" s="35"/>
      <c r="Y1817" s="102"/>
    </row>
    <row r="1818" spans="12:25" ht="25" customHeight="1">
      <c r="L1818" s="31"/>
      <c r="M1818" s="31"/>
      <c r="N1818" s="31"/>
      <c r="X1818" s="35"/>
      <c r="Y1818" s="102"/>
    </row>
    <row r="1819" spans="12:25" ht="25" customHeight="1">
      <c r="L1819" s="31"/>
      <c r="M1819" s="31"/>
      <c r="N1819" s="31"/>
      <c r="X1819" s="35"/>
      <c r="Y1819" s="102"/>
    </row>
    <row r="1820" spans="12:25" ht="25" customHeight="1">
      <c r="L1820" s="31"/>
      <c r="M1820" s="31"/>
      <c r="N1820" s="31"/>
      <c r="X1820" s="35"/>
      <c r="Y1820" s="102"/>
    </row>
    <row r="1821" spans="12:25" ht="25" customHeight="1">
      <c r="L1821" s="31"/>
      <c r="M1821" s="31"/>
      <c r="N1821" s="31"/>
      <c r="X1821" s="35"/>
      <c r="Y1821" s="102"/>
    </row>
    <row r="1822" spans="12:25" ht="25" customHeight="1">
      <c r="L1822" s="31"/>
      <c r="M1822" s="31"/>
      <c r="N1822" s="31"/>
      <c r="X1822" s="35"/>
      <c r="Y1822" s="102"/>
    </row>
    <row r="1823" spans="12:25" ht="25" customHeight="1">
      <c r="L1823" s="31"/>
      <c r="M1823" s="31"/>
      <c r="N1823" s="31"/>
      <c r="X1823" s="35"/>
      <c r="Y1823" s="102"/>
    </row>
    <row r="1824" spans="12:25" ht="25" customHeight="1">
      <c r="L1824" s="31"/>
      <c r="M1824" s="31"/>
      <c r="N1824" s="31"/>
      <c r="X1824" s="35"/>
      <c r="Y1824" s="102"/>
    </row>
    <row r="1825" spans="12:25" ht="25" customHeight="1">
      <c r="L1825" s="31"/>
      <c r="M1825" s="31"/>
      <c r="N1825" s="31"/>
      <c r="X1825" s="35"/>
      <c r="Y1825" s="102"/>
    </row>
    <row r="1826" spans="12:25" ht="25" customHeight="1">
      <c r="L1826" s="31"/>
      <c r="M1826" s="31"/>
      <c r="N1826" s="31"/>
      <c r="X1826" s="35"/>
      <c r="Y1826" s="102"/>
    </row>
    <row r="1827" spans="12:25" ht="25" customHeight="1">
      <c r="L1827" s="31"/>
      <c r="M1827" s="31"/>
      <c r="N1827" s="31"/>
      <c r="X1827" s="35"/>
      <c r="Y1827" s="102"/>
    </row>
    <row r="1828" spans="12:25" ht="25" customHeight="1">
      <c r="L1828" s="31"/>
      <c r="M1828" s="31"/>
      <c r="N1828" s="31"/>
      <c r="X1828" s="35"/>
      <c r="Y1828" s="102"/>
    </row>
    <row r="1829" spans="12:25" ht="25" customHeight="1">
      <c r="L1829" s="31"/>
      <c r="M1829" s="31"/>
      <c r="N1829" s="31"/>
      <c r="X1829" s="35"/>
      <c r="Y1829" s="102"/>
    </row>
    <row r="1830" spans="12:25" ht="25" customHeight="1">
      <c r="L1830" s="31"/>
      <c r="M1830" s="31"/>
      <c r="N1830" s="31"/>
      <c r="X1830" s="35"/>
      <c r="Y1830" s="102"/>
    </row>
    <row r="1831" spans="12:25" ht="25" customHeight="1">
      <c r="L1831" s="31"/>
      <c r="M1831" s="31"/>
      <c r="N1831" s="31"/>
      <c r="X1831" s="35"/>
      <c r="Y1831" s="102"/>
    </row>
    <row r="1832" spans="12:25" ht="25" customHeight="1">
      <c r="L1832" s="31"/>
      <c r="M1832" s="31"/>
      <c r="N1832" s="31"/>
      <c r="X1832" s="35"/>
      <c r="Y1832" s="102"/>
    </row>
    <row r="1833" spans="12:25" ht="25" customHeight="1">
      <c r="L1833" s="31"/>
      <c r="M1833" s="31"/>
      <c r="N1833" s="31"/>
      <c r="X1833" s="35"/>
      <c r="Y1833" s="102"/>
    </row>
    <row r="1834" spans="12:25" ht="25" customHeight="1">
      <c r="L1834" s="31"/>
      <c r="M1834" s="31"/>
      <c r="N1834" s="31"/>
      <c r="X1834" s="35"/>
      <c r="Y1834" s="102"/>
    </row>
    <row r="1835" spans="12:25" ht="25" customHeight="1">
      <c r="L1835" s="31"/>
      <c r="M1835" s="31"/>
      <c r="N1835" s="31"/>
      <c r="X1835" s="35"/>
      <c r="Y1835" s="102"/>
    </row>
    <row r="1836" spans="12:25" ht="25" customHeight="1">
      <c r="L1836" s="31"/>
      <c r="M1836" s="31"/>
      <c r="N1836" s="31"/>
      <c r="X1836" s="35"/>
      <c r="Y1836" s="102"/>
    </row>
    <row r="1837" spans="12:25" ht="25" customHeight="1">
      <c r="L1837" s="31"/>
      <c r="M1837" s="31"/>
      <c r="N1837" s="31"/>
      <c r="X1837" s="35"/>
      <c r="Y1837" s="102"/>
    </row>
    <row r="1838" spans="12:25" ht="25" customHeight="1">
      <c r="L1838" s="31"/>
      <c r="M1838" s="31"/>
      <c r="N1838" s="31"/>
      <c r="X1838" s="35"/>
      <c r="Y1838" s="102"/>
    </row>
    <row r="1839" spans="12:25" ht="25" customHeight="1">
      <c r="L1839" s="31"/>
      <c r="M1839" s="31"/>
      <c r="N1839" s="31"/>
      <c r="X1839" s="35"/>
      <c r="Y1839" s="102"/>
    </row>
    <row r="1840" spans="12:25" ht="25" customHeight="1">
      <c r="L1840" s="31"/>
      <c r="M1840" s="31"/>
      <c r="N1840" s="31"/>
      <c r="X1840" s="35"/>
      <c r="Y1840" s="102"/>
    </row>
    <row r="1841" spans="12:25" ht="25" customHeight="1">
      <c r="L1841" s="31"/>
      <c r="M1841" s="31"/>
      <c r="N1841" s="31"/>
      <c r="X1841" s="35"/>
      <c r="Y1841" s="102"/>
    </row>
    <row r="1842" spans="12:25" ht="25" customHeight="1">
      <c r="L1842" s="31"/>
      <c r="M1842" s="31"/>
      <c r="N1842" s="31"/>
      <c r="X1842" s="35"/>
      <c r="Y1842" s="102"/>
    </row>
    <row r="1843" spans="12:25" ht="25" customHeight="1">
      <c r="L1843" s="31"/>
      <c r="M1843" s="31"/>
      <c r="N1843" s="31"/>
      <c r="X1843" s="35"/>
      <c r="Y1843" s="102"/>
    </row>
    <row r="1844" spans="12:25" ht="25" customHeight="1">
      <c r="L1844" s="31"/>
      <c r="M1844" s="31"/>
      <c r="N1844" s="31"/>
      <c r="X1844" s="35"/>
      <c r="Y1844" s="102"/>
    </row>
    <row r="1845" spans="12:25" ht="25" customHeight="1">
      <c r="L1845" s="31"/>
      <c r="M1845" s="31"/>
      <c r="N1845" s="31"/>
      <c r="X1845" s="35"/>
      <c r="Y1845" s="102"/>
    </row>
    <row r="1846" spans="12:25" ht="25" customHeight="1">
      <c r="L1846" s="31"/>
      <c r="M1846" s="31"/>
      <c r="N1846" s="31"/>
      <c r="X1846" s="35"/>
      <c r="Y1846" s="102"/>
    </row>
    <row r="1847" spans="12:25" ht="25" customHeight="1">
      <c r="L1847" s="31"/>
      <c r="M1847" s="31"/>
      <c r="N1847" s="31"/>
      <c r="X1847" s="35"/>
      <c r="Y1847" s="102"/>
    </row>
    <row r="1848" spans="12:25" ht="25" customHeight="1">
      <c r="L1848" s="31"/>
      <c r="M1848" s="31"/>
      <c r="N1848" s="31"/>
      <c r="X1848" s="35"/>
      <c r="Y1848" s="102"/>
    </row>
    <row r="1849" spans="12:25" ht="25" customHeight="1">
      <c r="L1849" s="31"/>
      <c r="M1849" s="31"/>
      <c r="N1849" s="31"/>
      <c r="X1849" s="35"/>
      <c r="Y1849" s="102"/>
    </row>
    <row r="1850" spans="12:25" ht="25" customHeight="1">
      <c r="L1850" s="31"/>
      <c r="M1850" s="31"/>
      <c r="N1850" s="31"/>
      <c r="X1850" s="35"/>
      <c r="Y1850" s="102"/>
    </row>
    <row r="1851" spans="12:25" ht="25" customHeight="1">
      <c r="L1851" s="31"/>
      <c r="M1851" s="31"/>
      <c r="N1851" s="31"/>
      <c r="X1851" s="35"/>
      <c r="Y1851" s="102"/>
    </row>
    <row r="1852" spans="12:25" ht="25" customHeight="1">
      <c r="L1852" s="31"/>
      <c r="M1852" s="31"/>
      <c r="N1852" s="31"/>
      <c r="X1852" s="35"/>
      <c r="Y1852" s="102"/>
    </row>
    <row r="1853" spans="12:25" ht="25" customHeight="1">
      <c r="L1853" s="31"/>
      <c r="M1853" s="31"/>
      <c r="N1853" s="31"/>
      <c r="X1853" s="35"/>
      <c r="Y1853" s="102"/>
    </row>
    <row r="1854" spans="12:25" ht="25" customHeight="1">
      <c r="L1854" s="31"/>
      <c r="M1854" s="31"/>
      <c r="N1854" s="31"/>
      <c r="X1854" s="35"/>
      <c r="Y1854" s="102"/>
    </row>
    <row r="1855" spans="12:25" ht="25" customHeight="1">
      <c r="L1855" s="31"/>
      <c r="M1855" s="31"/>
      <c r="N1855" s="31"/>
      <c r="X1855" s="35"/>
      <c r="Y1855" s="102"/>
    </row>
    <row r="1856" spans="12:25" ht="25" customHeight="1">
      <c r="L1856" s="31"/>
      <c r="M1856" s="31"/>
      <c r="N1856" s="31"/>
      <c r="X1856" s="35"/>
      <c r="Y1856" s="102"/>
    </row>
    <row r="1857" spans="12:25" ht="25" customHeight="1">
      <c r="L1857" s="31"/>
      <c r="M1857" s="31"/>
      <c r="N1857" s="31"/>
      <c r="X1857" s="35"/>
      <c r="Y1857" s="102"/>
    </row>
    <row r="1858" spans="12:25" ht="25" customHeight="1">
      <c r="L1858" s="31"/>
      <c r="M1858" s="31"/>
      <c r="N1858" s="31"/>
      <c r="X1858" s="35"/>
      <c r="Y1858" s="102"/>
    </row>
    <row r="1859" spans="12:25" ht="25" customHeight="1">
      <c r="L1859" s="31"/>
      <c r="M1859" s="31"/>
      <c r="N1859" s="31"/>
      <c r="X1859" s="35"/>
      <c r="Y1859" s="102"/>
    </row>
    <row r="1860" spans="12:25" ht="25" customHeight="1">
      <c r="L1860" s="31"/>
      <c r="M1860" s="31"/>
      <c r="N1860" s="31"/>
      <c r="X1860" s="35"/>
      <c r="Y1860" s="102"/>
    </row>
    <row r="1861" spans="12:25" ht="25" customHeight="1">
      <c r="L1861" s="31"/>
      <c r="M1861" s="31"/>
      <c r="N1861" s="31"/>
      <c r="X1861" s="35"/>
      <c r="Y1861" s="102"/>
    </row>
    <row r="1862" spans="12:25" ht="25" customHeight="1">
      <c r="L1862" s="31"/>
      <c r="M1862" s="31"/>
      <c r="N1862" s="31"/>
      <c r="X1862" s="35"/>
      <c r="Y1862" s="102"/>
    </row>
    <row r="1863" spans="12:25" ht="25" customHeight="1">
      <c r="L1863" s="31"/>
      <c r="M1863" s="31"/>
      <c r="N1863" s="31"/>
      <c r="X1863" s="35"/>
      <c r="Y1863" s="102"/>
    </row>
    <row r="1864" spans="12:25" ht="25" customHeight="1">
      <c r="L1864" s="31"/>
      <c r="M1864" s="31"/>
      <c r="N1864" s="31"/>
      <c r="X1864" s="35"/>
      <c r="Y1864" s="102"/>
    </row>
    <row r="1865" spans="12:25" ht="25" customHeight="1">
      <c r="L1865" s="31"/>
      <c r="M1865" s="31"/>
      <c r="N1865" s="31"/>
      <c r="X1865" s="35"/>
      <c r="Y1865" s="102"/>
    </row>
    <row r="1866" spans="12:25" ht="25" customHeight="1">
      <c r="L1866" s="31"/>
      <c r="M1866" s="31"/>
      <c r="N1866" s="31"/>
      <c r="X1866" s="35"/>
      <c r="Y1866" s="102"/>
    </row>
    <row r="1867" spans="12:25" ht="25" customHeight="1">
      <c r="L1867" s="31"/>
      <c r="M1867" s="31"/>
      <c r="N1867" s="31"/>
      <c r="X1867" s="35"/>
      <c r="Y1867" s="102"/>
    </row>
    <row r="1868" spans="12:25" ht="25" customHeight="1">
      <c r="L1868" s="31"/>
      <c r="M1868" s="31"/>
      <c r="N1868" s="31"/>
      <c r="X1868" s="35"/>
      <c r="Y1868" s="102"/>
    </row>
    <row r="1869" spans="12:25" ht="25" customHeight="1">
      <c r="L1869" s="31"/>
      <c r="M1869" s="31"/>
      <c r="N1869" s="31"/>
      <c r="X1869" s="35"/>
      <c r="Y1869" s="102"/>
    </row>
    <row r="1870" spans="12:25" ht="25" customHeight="1">
      <c r="L1870" s="31"/>
      <c r="M1870" s="31"/>
      <c r="N1870" s="31"/>
      <c r="X1870" s="35"/>
      <c r="Y1870" s="102"/>
    </row>
    <row r="1871" spans="12:25" ht="25" customHeight="1">
      <c r="L1871" s="31"/>
      <c r="M1871" s="31"/>
      <c r="N1871" s="31"/>
      <c r="X1871" s="35"/>
      <c r="Y1871" s="102"/>
    </row>
    <row r="1872" spans="12:25" ht="25" customHeight="1">
      <c r="L1872" s="31"/>
      <c r="M1872" s="31"/>
      <c r="N1872" s="31"/>
      <c r="X1872" s="35"/>
      <c r="Y1872" s="102"/>
    </row>
    <row r="1873" spans="12:25" ht="25" customHeight="1">
      <c r="L1873" s="31"/>
      <c r="M1873" s="31"/>
      <c r="N1873" s="31"/>
      <c r="X1873" s="35"/>
      <c r="Y1873" s="102"/>
    </row>
    <row r="1874" spans="12:25" ht="25" customHeight="1">
      <c r="L1874" s="31"/>
      <c r="M1874" s="31"/>
      <c r="N1874" s="31"/>
      <c r="X1874" s="35"/>
      <c r="Y1874" s="102"/>
    </row>
    <row r="1875" spans="12:25" ht="25" customHeight="1">
      <c r="L1875" s="31"/>
      <c r="M1875" s="31"/>
      <c r="N1875" s="31"/>
      <c r="X1875" s="35"/>
      <c r="Y1875" s="102"/>
    </row>
    <row r="1876" spans="12:25" ht="25" customHeight="1">
      <c r="L1876" s="31"/>
      <c r="M1876" s="31"/>
      <c r="N1876" s="31"/>
      <c r="X1876" s="35"/>
      <c r="Y1876" s="102"/>
    </row>
    <row r="1877" spans="12:25" ht="25" customHeight="1">
      <c r="L1877" s="31"/>
      <c r="M1877" s="31"/>
      <c r="N1877" s="31"/>
      <c r="X1877" s="35"/>
      <c r="Y1877" s="102"/>
    </row>
    <row r="1878" spans="12:25" ht="25" customHeight="1">
      <c r="L1878" s="31"/>
      <c r="M1878" s="31"/>
      <c r="N1878" s="31"/>
      <c r="X1878" s="35"/>
      <c r="Y1878" s="102"/>
    </row>
    <row r="1879" spans="12:25" ht="25" customHeight="1">
      <c r="L1879" s="31"/>
      <c r="M1879" s="31"/>
      <c r="N1879" s="31"/>
      <c r="X1879" s="35"/>
      <c r="Y1879" s="102"/>
    </row>
    <row r="1880" spans="12:25" ht="25" customHeight="1">
      <c r="L1880" s="31"/>
      <c r="M1880" s="31"/>
      <c r="N1880" s="31"/>
      <c r="X1880" s="35"/>
      <c r="Y1880" s="102"/>
    </row>
    <row r="1881" spans="12:25" ht="25" customHeight="1">
      <c r="L1881" s="31"/>
      <c r="M1881" s="31"/>
      <c r="N1881" s="31"/>
      <c r="X1881" s="35"/>
      <c r="Y1881" s="102"/>
    </row>
    <row r="1882" spans="12:25" ht="25" customHeight="1">
      <c r="L1882" s="31"/>
      <c r="M1882" s="31"/>
      <c r="N1882" s="31"/>
      <c r="X1882" s="35"/>
      <c r="Y1882" s="102"/>
    </row>
    <row r="1883" spans="12:25" ht="25" customHeight="1">
      <c r="L1883" s="31"/>
      <c r="M1883" s="31"/>
      <c r="N1883" s="31"/>
      <c r="X1883" s="35"/>
      <c r="Y1883" s="102"/>
    </row>
    <row r="1884" spans="12:25" ht="25" customHeight="1">
      <c r="L1884" s="31"/>
      <c r="M1884" s="31"/>
      <c r="N1884" s="31"/>
      <c r="X1884" s="35"/>
      <c r="Y1884" s="102"/>
    </row>
    <row r="1885" spans="12:25" ht="25" customHeight="1">
      <c r="L1885" s="31"/>
      <c r="M1885" s="31"/>
      <c r="N1885" s="31"/>
      <c r="X1885" s="35"/>
      <c r="Y1885" s="102"/>
    </row>
    <row r="1886" spans="12:25" ht="25" customHeight="1">
      <c r="L1886" s="31"/>
      <c r="M1886" s="31"/>
      <c r="N1886" s="31"/>
      <c r="X1886" s="35"/>
      <c r="Y1886" s="102"/>
    </row>
    <row r="1887" spans="12:25" ht="25" customHeight="1">
      <c r="L1887" s="31"/>
      <c r="M1887" s="31"/>
      <c r="N1887" s="31"/>
      <c r="X1887" s="35"/>
      <c r="Y1887" s="102"/>
    </row>
    <row r="1888" spans="12:25" ht="25" customHeight="1">
      <c r="L1888" s="31"/>
      <c r="M1888" s="31"/>
      <c r="N1888" s="31"/>
      <c r="X1888" s="35"/>
      <c r="Y1888" s="102"/>
    </row>
    <row r="1889" spans="12:25" ht="25" customHeight="1">
      <c r="L1889" s="31"/>
      <c r="M1889" s="31"/>
      <c r="N1889" s="31"/>
      <c r="X1889" s="35"/>
      <c r="Y1889" s="102"/>
    </row>
    <row r="1890" spans="12:25" ht="25" customHeight="1">
      <c r="L1890" s="31"/>
      <c r="M1890" s="31"/>
      <c r="N1890" s="31"/>
      <c r="X1890" s="35"/>
      <c r="Y1890" s="102"/>
    </row>
    <row r="1891" spans="12:25" ht="25" customHeight="1">
      <c r="L1891" s="31"/>
      <c r="M1891" s="31"/>
      <c r="N1891" s="31"/>
      <c r="X1891" s="35"/>
      <c r="Y1891" s="102"/>
    </row>
    <row r="1892" spans="12:25" ht="25" customHeight="1">
      <c r="L1892" s="31"/>
      <c r="M1892" s="31"/>
      <c r="N1892" s="31"/>
      <c r="X1892" s="35"/>
      <c r="Y1892" s="102"/>
    </row>
    <row r="1893" spans="12:25" ht="25" customHeight="1">
      <c r="L1893" s="31"/>
      <c r="M1893" s="31"/>
      <c r="N1893" s="31"/>
      <c r="X1893" s="35"/>
      <c r="Y1893" s="102"/>
    </row>
    <row r="1894" spans="12:25" ht="25" customHeight="1">
      <c r="L1894" s="31"/>
      <c r="M1894" s="31"/>
      <c r="N1894" s="31"/>
      <c r="X1894" s="35"/>
      <c r="Y1894" s="102"/>
    </row>
    <row r="1895" spans="12:25" ht="25" customHeight="1">
      <c r="L1895" s="31"/>
      <c r="M1895" s="31"/>
      <c r="N1895" s="31"/>
      <c r="X1895" s="35"/>
      <c r="Y1895" s="102"/>
    </row>
    <row r="1896" spans="12:25" ht="25" customHeight="1">
      <c r="L1896" s="31"/>
      <c r="M1896" s="31"/>
      <c r="N1896" s="31"/>
      <c r="X1896" s="35"/>
      <c r="Y1896" s="102"/>
    </row>
    <row r="1897" spans="12:25" ht="25" customHeight="1">
      <c r="L1897" s="31"/>
      <c r="M1897" s="31"/>
      <c r="N1897" s="31"/>
      <c r="X1897" s="35"/>
      <c r="Y1897" s="102"/>
    </row>
    <row r="1898" spans="12:25" ht="25" customHeight="1">
      <c r="L1898" s="31"/>
      <c r="M1898" s="31"/>
      <c r="N1898" s="31"/>
      <c r="X1898" s="35"/>
      <c r="Y1898" s="102"/>
    </row>
    <row r="1899" spans="12:25" ht="25" customHeight="1">
      <c r="L1899" s="31"/>
      <c r="M1899" s="31"/>
      <c r="N1899" s="31"/>
      <c r="X1899" s="35"/>
      <c r="Y1899" s="102"/>
    </row>
    <row r="1900" spans="12:25" ht="25" customHeight="1">
      <c r="L1900" s="31"/>
      <c r="M1900" s="31"/>
      <c r="N1900" s="31"/>
      <c r="X1900" s="35"/>
      <c r="Y1900" s="102"/>
    </row>
    <row r="1901" spans="12:25" ht="25" customHeight="1">
      <c r="L1901" s="31"/>
      <c r="M1901" s="31"/>
      <c r="N1901" s="31"/>
      <c r="X1901" s="35"/>
      <c r="Y1901" s="102"/>
    </row>
    <row r="1902" spans="12:25" ht="25" customHeight="1">
      <c r="L1902" s="31"/>
      <c r="M1902" s="31"/>
      <c r="N1902" s="31"/>
      <c r="X1902" s="35"/>
      <c r="Y1902" s="102"/>
    </row>
    <row r="1903" spans="12:25" ht="25" customHeight="1">
      <c r="L1903" s="31"/>
      <c r="M1903" s="31"/>
      <c r="N1903" s="31"/>
      <c r="X1903" s="35"/>
      <c r="Y1903" s="102"/>
    </row>
    <row r="1904" spans="12:25" ht="25" customHeight="1">
      <c r="L1904" s="31"/>
      <c r="M1904" s="31"/>
      <c r="N1904" s="31"/>
      <c r="X1904" s="35"/>
      <c r="Y1904" s="102"/>
    </row>
    <row r="1905" spans="12:25" ht="25" customHeight="1">
      <c r="L1905" s="31"/>
      <c r="M1905" s="31"/>
      <c r="N1905" s="31"/>
      <c r="X1905" s="35"/>
      <c r="Y1905" s="102"/>
    </row>
    <row r="1906" spans="12:25" ht="25" customHeight="1">
      <c r="L1906" s="31"/>
      <c r="M1906" s="31"/>
      <c r="N1906" s="31"/>
      <c r="X1906" s="35"/>
      <c r="Y1906" s="102"/>
    </row>
    <row r="1907" spans="12:25" ht="25" customHeight="1">
      <c r="L1907" s="31"/>
      <c r="M1907" s="31"/>
      <c r="N1907" s="31"/>
      <c r="X1907" s="35"/>
      <c r="Y1907" s="102"/>
    </row>
    <row r="1908" spans="12:25" ht="25" customHeight="1">
      <c r="L1908" s="31"/>
      <c r="M1908" s="31"/>
      <c r="N1908" s="31"/>
      <c r="X1908" s="35"/>
      <c r="Y1908" s="102"/>
    </row>
    <row r="1909" spans="12:25" ht="25" customHeight="1">
      <c r="L1909" s="31"/>
      <c r="M1909" s="31"/>
      <c r="N1909" s="31"/>
      <c r="X1909" s="35"/>
      <c r="Y1909" s="102"/>
    </row>
    <row r="1910" spans="12:25" ht="25" customHeight="1">
      <c r="L1910" s="31"/>
      <c r="M1910" s="31"/>
      <c r="N1910" s="31"/>
      <c r="X1910" s="35"/>
      <c r="Y1910" s="102"/>
    </row>
    <row r="1911" spans="12:25" ht="25" customHeight="1">
      <c r="L1911" s="31"/>
      <c r="M1911" s="31"/>
      <c r="N1911" s="31"/>
      <c r="X1911" s="35"/>
      <c r="Y1911" s="102"/>
    </row>
    <row r="1912" spans="12:25" ht="25" customHeight="1">
      <c r="L1912" s="31"/>
      <c r="M1912" s="31"/>
      <c r="N1912" s="31"/>
      <c r="X1912" s="35"/>
      <c r="Y1912" s="102"/>
    </row>
    <row r="1913" spans="12:25" ht="25" customHeight="1">
      <c r="L1913" s="31"/>
      <c r="M1913" s="31"/>
      <c r="N1913" s="31"/>
      <c r="X1913" s="35"/>
      <c r="Y1913" s="102"/>
    </row>
    <row r="1914" spans="12:25" ht="25" customHeight="1">
      <c r="L1914" s="31"/>
      <c r="M1914" s="31"/>
      <c r="N1914" s="31"/>
      <c r="X1914" s="35"/>
      <c r="Y1914" s="102"/>
    </row>
    <row r="1915" spans="12:25" ht="25" customHeight="1">
      <c r="L1915" s="31"/>
      <c r="M1915" s="31"/>
      <c r="N1915" s="31"/>
      <c r="X1915" s="35"/>
      <c r="Y1915" s="102"/>
    </row>
    <row r="1916" spans="12:25" ht="25" customHeight="1">
      <c r="L1916" s="31"/>
      <c r="M1916" s="31"/>
      <c r="N1916" s="31"/>
      <c r="X1916" s="35"/>
      <c r="Y1916" s="102"/>
    </row>
    <row r="1917" spans="12:25" ht="25" customHeight="1">
      <c r="L1917" s="31"/>
      <c r="M1917" s="31"/>
      <c r="N1917" s="31"/>
      <c r="X1917" s="35"/>
      <c r="Y1917" s="102"/>
    </row>
    <row r="1918" spans="12:25" ht="25" customHeight="1">
      <c r="L1918" s="31"/>
      <c r="M1918" s="31"/>
      <c r="N1918" s="31"/>
      <c r="X1918" s="35"/>
      <c r="Y1918" s="102"/>
    </row>
    <row r="1919" spans="12:25" ht="25" customHeight="1">
      <c r="L1919" s="31"/>
      <c r="M1919" s="31"/>
      <c r="N1919" s="31"/>
      <c r="X1919" s="35"/>
      <c r="Y1919" s="102"/>
    </row>
    <row r="1920" spans="12:25" ht="25" customHeight="1">
      <c r="L1920" s="31"/>
      <c r="M1920" s="31"/>
      <c r="N1920" s="31"/>
      <c r="X1920" s="35"/>
      <c r="Y1920" s="102"/>
    </row>
    <row r="1921" spans="12:25" ht="25" customHeight="1">
      <c r="L1921" s="31"/>
      <c r="M1921" s="31"/>
      <c r="N1921" s="31"/>
      <c r="X1921" s="35"/>
      <c r="Y1921" s="102"/>
    </row>
    <row r="1922" spans="12:25" ht="25" customHeight="1">
      <c r="L1922" s="31"/>
      <c r="M1922" s="31"/>
      <c r="N1922" s="31"/>
      <c r="X1922" s="35"/>
      <c r="Y1922" s="102"/>
    </row>
    <row r="1923" spans="12:25" ht="25" customHeight="1">
      <c r="L1923" s="31"/>
      <c r="M1923" s="31"/>
      <c r="N1923" s="31"/>
      <c r="X1923" s="35"/>
      <c r="Y1923" s="102"/>
    </row>
    <row r="1924" spans="12:25" ht="25" customHeight="1">
      <c r="L1924" s="31"/>
      <c r="M1924" s="31"/>
      <c r="N1924" s="31"/>
      <c r="X1924" s="35"/>
      <c r="Y1924" s="102"/>
    </row>
    <row r="1925" spans="12:25" ht="25" customHeight="1">
      <c r="L1925" s="31"/>
      <c r="M1925" s="31"/>
      <c r="N1925" s="31"/>
      <c r="X1925" s="35"/>
      <c r="Y1925" s="102"/>
    </row>
    <row r="1926" spans="12:25" ht="25" customHeight="1">
      <c r="L1926" s="31"/>
      <c r="M1926" s="31"/>
      <c r="N1926" s="31"/>
      <c r="X1926" s="35"/>
      <c r="Y1926" s="102"/>
    </row>
    <row r="1927" spans="12:25" ht="25" customHeight="1">
      <c r="L1927" s="31"/>
      <c r="M1927" s="31"/>
      <c r="N1927" s="31"/>
      <c r="X1927" s="35"/>
      <c r="Y1927" s="102"/>
    </row>
    <row r="1928" spans="12:25" ht="25" customHeight="1">
      <c r="L1928" s="31"/>
      <c r="M1928" s="31"/>
      <c r="N1928" s="31"/>
      <c r="X1928" s="35"/>
      <c r="Y1928" s="102"/>
    </row>
    <row r="1929" spans="12:25" ht="25" customHeight="1">
      <c r="L1929" s="31"/>
      <c r="M1929" s="31"/>
      <c r="N1929" s="31"/>
      <c r="X1929" s="35"/>
      <c r="Y1929" s="102"/>
    </row>
    <row r="1930" spans="12:25" ht="25" customHeight="1">
      <c r="L1930" s="31"/>
      <c r="M1930" s="31"/>
      <c r="N1930" s="31"/>
      <c r="X1930" s="35"/>
      <c r="Y1930" s="102"/>
    </row>
    <row r="1931" spans="12:25" ht="25" customHeight="1">
      <c r="L1931" s="31"/>
      <c r="M1931" s="31"/>
      <c r="N1931" s="31"/>
      <c r="X1931" s="35"/>
      <c r="Y1931" s="102"/>
    </row>
    <row r="1932" spans="12:25" ht="25" customHeight="1">
      <c r="L1932" s="31"/>
      <c r="M1932" s="31"/>
      <c r="N1932" s="31"/>
      <c r="X1932" s="35"/>
      <c r="Y1932" s="102"/>
    </row>
    <row r="1933" spans="12:25" ht="25" customHeight="1">
      <c r="L1933" s="31"/>
      <c r="M1933" s="31"/>
      <c r="N1933" s="31"/>
      <c r="X1933" s="35"/>
      <c r="Y1933" s="102"/>
    </row>
    <row r="1934" spans="12:25" ht="25" customHeight="1">
      <c r="L1934" s="31"/>
      <c r="M1934" s="31"/>
      <c r="N1934" s="31"/>
      <c r="X1934" s="35"/>
      <c r="Y1934" s="102"/>
    </row>
    <row r="1935" spans="12:25" ht="25" customHeight="1">
      <c r="L1935" s="31"/>
      <c r="M1935" s="31"/>
      <c r="N1935" s="31"/>
      <c r="X1935" s="35"/>
      <c r="Y1935" s="102"/>
    </row>
    <row r="1936" spans="12:25" ht="25" customHeight="1">
      <c r="L1936" s="31"/>
      <c r="M1936" s="31"/>
      <c r="N1936" s="31"/>
      <c r="X1936" s="35"/>
      <c r="Y1936" s="102"/>
    </row>
    <row r="1937" spans="12:25" ht="25" customHeight="1">
      <c r="L1937" s="31"/>
      <c r="M1937" s="31"/>
      <c r="N1937" s="31"/>
      <c r="X1937" s="35"/>
      <c r="Y1937" s="102"/>
    </row>
    <row r="1938" spans="12:25" ht="25" customHeight="1">
      <c r="L1938" s="31"/>
      <c r="M1938" s="31"/>
      <c r="N1938" s="31"/>
      <c r="X1938" s="35"/>
      <c r="Y1938" s="102"/>
    </row>
    <row r="1939" spans="12:25" ht="25" customHeight="1">
      <c r="L1939" s="31"/>
      <c r="M1939" s="31"/>
      <c r="N1939" s="31"/>
      <c r="X1939" s="35"/>
      <c r="Y1939" s="102"/>
    </row>
    <row r="1940" spans="12:25" ht="25" customHeight="1">
      <c r="L1940" s="31"/>
      <c r="M1940" s="31"/>
      <c r="N1940" s="31"/>
      <c r="X1940" s="35"/>
      <c r="Y1940" s="102"/>
    </row>
    <row r="1941" spans="12:25" ht="25" customHeight="1">
      <c r="L1941" s="31"/>
      <c r="M1941" s="31"/>
      <c r="N1941" s="31"/>
      <c r="X1941" s="35"/>
      <c r="Y1941" s="102"/>
    </row>
    <row r="1942" spans="12:25" ht="25" customHeight="1">
      <c r="L1942" s="31"/>
      <c r="M1942" s="31"/>
      <c r="N1942" s="31"/>
      <c r="X1942" s="35"/>
      <c r="Y1942" s="102"/>
    </row>
    <row r="1943" spans="12:25" ht="25" customHeight="1">
      <c r="L1943" s="31"/>
      <c r="M1943" s="31"/>
      <c r="N1943" s="31"/>
      <c r="X1943" s="35"/>
      <c r="Y1943" s="102"/>
    </row>
    <row r="1944" spans="12:25" ht="25" customHeight="1">
      <c r="L1944" s="31"/>
      <c r="M1944" s="31"/>
      <c r="N1944" s="31"/>
      <c r="X1944" s="35"/>
      <c r="Y1944" s="102"/>
    </row>
    <row r="1945" spans="12:25" ht="25" customHeight="1">
      <c r="L1945" s="31"/>
      <c r="M1945" s="31"/>
      <c r="N1945" s="31"/>
      <c r="X1945" s="35"/>
      <c r="Y1945" s="102"/>
    </row>
    <row r="1946" spans="12:25" ht="25" customHeight="1">
      <c r="L1946" s="31"/>
      <c r="M1946" s="31"/>
      <c r="N1946" s="31"/>
      <c r="X1946" s="35"/>
      <c r="Y1946" s="102"/>
    </row>
    <row r="1947" spans="12:25" ht="25" customHeight="1">
      <c r="L1947" s="31"/>
      <c r="M1947" s="31"/>
      <c r="N1947" s="31"/>
      <c r="X1947" s="35"/>
      <c r="Y1947" s="102"/>
    </row>
    <row r="1948" spans="12:25" ht="25" customHeight="1">
      <c r="L1948" s="31"/>
      <c r="M1948" s="31"/>
      <c r="N1948" s="31"/>
      <c r="X1948" s="35"/>
      <c r="Y1948" s="102"/>
    </row>
    <row r="1949" spans="12:25" ht="25" customHeight="1">
      <c r="L1949" s="31"/>
      <c r="M1949" s="31"/>
      <c r="N1949" s="31"/>
      <c r="X1949" s="35"/>
      <c r="Y1949" s="102"/>
    </row>
    <row r="1950" spans="12:25" ht="25" customHeight="1">
      <c r="L1950" s="31"/>
      <c r="M1950" s="31"/>
      <c r="N1950" s="31"/>
      <c r="X1950" s="35"/>
      <c r="Y1950" s="102"/>
    </row>
    <row r="1951" spans="12:25" ht="25" customHeight="1">
      <c r="L1951" s="31"/>
      <c r="M1951" s="31"/>
      <c r="N1951" s="31"/>
      <c r="X1951" s="35"/>
      <c r="Y1951" s="102"/>
    </row>
    <row r="1952" spans="12:25" ht="25" customHeight="1">
      <c r="L1952" s="31"/>
      <c r="M1952" s="31"/>
      <c r="N1952" s="31"/>
      <c r="X1952" s="35"/>
      <c r="Y1952" s="102"/>
    </row>
    <row r="1953" spans="12:25" ht="25" customHeight="1">
      <c r="L1953" s="31"/>
      <c r="M1953" s="31"/>
      <c r="N1953" s="31"/>
      <c r="X1953" s="35"/>
      <c r="Y1953" s="102"/>
    </row>
    <row r="1954" spans="12:25" ht="25" customHeight="1">
      <c r="L1954" s="31"/>
      <c r="M1954" s="31"/>
      <c r="N1954" s="31"/>
      <c r="X1954" s="35"/>
      <c r="Y1954" s="102"/>
    </row>
    <row r="1955" spans="12:25" ht="25" customHeight="1">
      <c r="L1955" s="31"/>
      <c r="M1955" s="31"/>
      <c r="N1955" s="31"/>
      <c r="X1955" s="35"/>
      <c r="Y1955" s="102"/>
    </row>
    <row r="1956" spans="12:25" ht="25" customHeight="1">
      <c r="L1956" s="31"/>
      <c r="M1956" s="31"/>
      <c r="N1956" s="31"/>
      <c r="X1956" s="35"/>
      <c r="Y1956" s="102"/>
    </row>
    <row r="1957" spans="12:25" ht="25" customHeight="1">
      <c r="L1957" s="31"/>
      <c r="M1957" s="31"/>
      <c r="N1957" s="31"/>
      <c r="X1957" s="35"/>
      <c r="Y1957" s="102"/>
    </row>
    <row r="1958" spans="12:25" ht="25" customHeight="1">
      <c r="L1958" s="31"/>
      <c r="M1958" s="31"/>
      <c r="N1958" s="31"/>
      <c r="X1958" s="35"/>
      <c r="Y1958" s="102"/>
    </row>
    <row r="1959" spans="12:25" ht="25" customHeight="1">
      <c r="L1959" s="31"/>
      <c r="M1959" s="31"/>
      <c r="N1959" s="31"/>
      <c r="X1959" s="35"/>
      <c r="Y1959" s="102"/>
    </row>
    <row r="1960" spans="12:25" ht="25" customHeight="1">
      <c r="L1960" s="31"/>
      <c r="M1960" s="31"/>
      <c r="N1960" s="31"/>
      <c r="X1960" s="35"/>
      <c r="Y1960" s="102"/>
    </row>
    <row r="1961" spans="12:25" ht="25" customHeight="1">
      <c r="L1961" s="31"/>
      <c r="M1961" s="31"/>
      <c r="N1961" s="31"/>
      <c r="X1961" s="35"/>
      <c r="Y1961" s="102"/>
    </row>
    <row r="1962" spans="12:25" ht="25" customHeight="1">
      <c r="L1962" s="31"/>
      <c r="M1962" s="31"/>
      <c r="N1962" s="31"/>
      <c r="X1962" s="35"/>
      <c r="Y1962" s="102"/>
    </row>
    <row r="1963" spans="12:25" ht="25" customHeight="1">
      <c r="L1963" s="31"/>
      <c r="M1963" s="31"/>
      <c r="N1963" s="31"/>
      <c r="X1963" s="35"/>
      <c r="Y1963" s="102"/>
    </row>
    <row r="1964" spans="12:25" ht="25" customHeight="1">
      <c r="L1964" s="31"/>
      <c r="M1964" s="31"/>
      <c r="N1964" s="31"/>
      <c r="X1964" s="35"/>
      <c r="Y1964" s="102"/>
    </row>
    <row r="1965" spans="12:25" ht="25" customHeight="1">
      <c r="L1965" s="31"/>
      <c r="M1965" s="31"/>
      <c r="N1965" s="31"/>
      <c r="X1965" s="35"/>
      <c r="Y1965" s="102"/>
    </row>
    <row r="1966" spans="12:25" ht="25" customHeight="1">
      <c r="L1966" s="31"/>
      <c r="M1966" s="31"/>
      <c r="N1966" s="31"/>
      <c r="X1966" s="35"/>
      <c r="Y1966" s="102"/>
    </row>
    <row r="1967" spans="12:25" ht="25" customHeight="1">
      <c r="L1967" s="31"/>
      <c r="M1967" s="31"/>
      <c r="N1967" s="31"/>
      <c r="X1967" s="35"/>
      <c r="Y1967" s="102"/>
    </row>
    <row r="1968" spans="12:25" ht="25" customHeight="1">
      <c r="L1968" s="31"/>
      <c r="M1968" s="31"/>
      <c r="N1968" s="31"/>
      <c r="X1968" s="35"/>
      <c r="Y1968" s="102"/>
    </row>
    <row r="1969" spans="12:25" ht="25" customHeight="1">
      <c r="L1969" s="31"/>
      <c r="M1969" s="31"/>
      <c r="N1969" s="31"/>
      <c r="X1969" s="35"/>
      <c r="Y1969" s="102"/>
    </row>
    <row r="1970" spans="12:25" ht="25" customHeight="1">
      <c r="L1970" s="31"/>
      <c r="M1970" s="31"/>
      <c r="N1970" s="31"/>
      <c r="X1970" s="35"/>
      <c r="Y1970" s="102"/>
    </row>
    <row r="1971" spans="12:25" ht="25" customHeight="1">
      <c r="L1971" s="31"/>
      <c r="M1971" s="31"/>
      <c r="N1971" s="31"/>
      <c r="X1971" s="35"/>
      <c r="Y1971" s="102"/>
    </row>
    <row r="1972" spans="12:25" ht="25" customHeight="1">
      <c r="L1972" s="31"/>
      <c r="M1972" s="31"/>
      <c r="N1972" s="31"/>
      <c r="X1972" s="35"/>
      <c r="Y1972" s="102"/>
    </row>
    <row r="1973" spans="12:25" ht="25" customHeight="1">
      <c r="L1973" s="31"/>
      <c r="M1973" s="31"/>
      <c r="N1973" s="31"/>
      <c r="X1973" s="35"/>
      <c r="Y1973" s="102"/>
    </row>
    <row r="1974" spans="12:25" ht="25" customHeight="1">
      <c r="L1974" s="31"/>
      <c r="M1974" s="31"/>
      <c r="N1974" s="31"/>
      <c r="X1974" s="35"/>
      <c r="Y1974" s="102"/>
    </row>
    <row r="1975" spans="12:25" ht="25" customHeight="1">
      <c r="L1975" s="31"/>
      <c r="M1975" s="31"/>
      <c r="N1975" s="31"/>
      <c r="X1975" s="35"/>
      <c r="Y1975" s="102"/>
    </row>
    <row r="1976" spans="12:25" ht="25" customHeight="1">
      <c r="L1976" s="31"/>
      <c r="M1976" s="31"/>
      <c r="N1976" s="31"/>
      <c r="X1976" s="35"/>
      <c r="Y1976" s="102"/>
    </row>
    <row r="1977" spans="12:25" ht="25" customHeight="1">
      <c r="L1977" s="31"/>
      <c r="M1977" s="31"/>
      <c r="N1977" s="31"/>
      <c r="X1977" s="35"/>
      <c r="Y1977" s="102"/>
    </row>
    <row r="1978" spans="12:25" ht="25" customHeight="1">
      <c r="L1978" s="31"/>
      <c r="M1978" s="31"/>
      <c r="N1978" s="31"/>
      <c r="X1978" s="35"/>
      <c r="Y1978" s="102"/>
    </row>
    <row r="1979" spans="12:25" ht="25" customHeight="1">
      <c r="L1979" s="31"/>
      <c r="M1979" s="31"/>
      <c r="N1979" s="31"/>
      <c r="X1979" s="35"/>
      <c r="Y1979" s="102"/>
    </row>
    <row r="1980" spans="12:25" ht="25" customHeight="1">
      <c r="L1980" s="31"/>
      <c r="M1980" s="31"/>
      <c r="N1980" s="31"/>
      <c r="X1980" s="35"/>
      <c r="Y1980" s="102"/>
    </row>
    <row r="1981" spans="12:25" ht="25" customHeight="1">
      <c r="L1981" s="31"/>
      <c r="M1981" s="31"/>
      <c r="N1981" s="31"/>
      <c r="X1981" s="35"/>
      <c r="Y1981" s="102"/>
    </row>
    <row r="1982" spans="12:25" ht="25" customHeight="1">
      <c r="L1982" s="31"/>
      <c r="M1982" s="31"/>
      <c r="N1982" s="31"/>
      <c r="X1982" s="35"/>
      <c r="Y1982" s="102"/>
    </row>
    <row r="1983" spans="12:25" ht="25" customHeight="1">
      <c r="L1983" s="31"/>
      <c r="M1983" s="31"/>
      <c r="N1983" s="31"/>
      <c r="X1983" s="35"/>
      <c r="Y1983" s="102"/>
    </row>
    <row r="1984" spans="12:25" ht="25" customHeight="1">
      <c r="L1984" s="31"/>
      <c r="M1984" s="31"/>
      <c r="N1984" s="31"/>
      <c r="X1984" s="35"/>
      <c r="Y1984" s="102"/>
    </row>
    <row r="1985" spans="12:25" ht="25" customHeight="1">
      <c r="L1985" s="31"/>
      <c r="M1985" s="31"/>
      <c r="N1985" s="31"/>
      <c r="X1985" s="35"/>
      <c r="Y1985" s="102"/>
    </row>
    <row r="1986" spans="12:25" ht="25" customHeight="1">
      <c r="L1986" s="31"/>
      <c r="M1986" s="31"/>
      <c r="N1986" s="31"/>
      <c r="X1986" s="35"/>
      <c r="Y1986" s="102"/>
    </row>
    <row r="1987" spans="12:25" ht="25" customHeight="1">
      <c r="L1987" s="31"/>
      <c r="M1987" s="31"/>
      <c r="N1987" s="31"/>
      <c r="X1987" s="35"/>
      <c r="Y1987" s="102"/>
    </row>
    <row r="1988" spans="12:25" ht="25" customHeight="1">
      <c r="L1988" s="31"/>
      <c r="M1988" s="31"/>
      <c r="N1988" s="31"/>
      <c r="X1988" s="35"/>
      <c r="Y1988" s="102"/>
    </row>
    <row r="1989" spans="12:25" ht="25" customHeight="1">
      <c r="L1989" s="31"/>
      <c r="M1989" s="31"/>
      <c r="N1989" s="31"/>
      <c r="X1989" s="35"/>
      <c r="Y1989" s="102"/>
    </row>
    <row r="1990" spans="12:25" ht="25" customHeight="1">
      <c r="L1990" s="31"/>
      <c r="M1990" s="31"/>
      <c r="N1990" s="31"/>
      <c r="X1990" s="35"/>
      <c r="Y1990" s="102"/>
    </row>
    <row r="1991" spans="12:25" ht="25" customHeight="1">
      <c r="L1991" s="31"/>
      <c r="M1991" s="31"/>
      <c r="N1991" s="31"/>
      <c r="X1991" s="35"/>
      <c r="Y1991" s="102"/>
    </row>
    <row r="1992" spans="12:25" ht="25" customHeight="1">
      <c r="L1992" s="31"/>
      <c r="M1992" s="31"/>
      <c r="N1992" s="31"/>
      <c r="X1992" s="35"/>
      <c r="Y1992" s="102"/>
    </row>
    <row r="1993" spans="12:25" ht="25" customHeight="1">
      <c r="L1993" s="31"/>
      <c r="M1993" s="31"/>
      <c r="N1993" s="31"/>
      <c r="X1993" s="35"/>
      <c r="Y1993" s="102"/>
    </row>
    <row r="1994" spans="12:25" ht="25" customHeight="1">
      <c r="L1994" s="31"/>
      <c r="M1994" s="31"/>
      <c r="N1994" s="31"/>
      <c r="X1994" s="35"/>
      <c r="Y1994" s="102"/>
    </row>
    <row r="1995" spans="12:25" ht="25" customHeight="1">
      <c r="L1995" s="31"/>
      <c r="M1995" s="31"/>
      <c r="N1995" s="31"/>
      <c r="X1995" s="35"/>
      <c r="Y1995" s="102"/>
    </row>
    <row r="1996" spans="12:25" ht="25" customHeight="1">
      <c r="L1996" s="31"/>
      <c r="M1996" s="31"/>
      <c r="N1996" s="31"/>
      <c r="X1996" s="35"/>
      <c r="Y1996" s="102"/>
    </row>
    <row r="1997" spans="12:25" ht="25" customHeight="1">
      <c r="L1997" s="31"/>
      <c r="M1997" s="31"/>
      <c r="N1997" s="31"/>
      <c r="X1997" s="35"/>
      <c r="Y1997" s="102"/>
    </row>
    <row r="1998" spans="12:25" ht="25" customHeight="1">
      <c r="L1998" s="31"/>
      <c r="M1998" s="31"/>
      <c r="N1998" s="31"/>
      <c r="X1998" s="35"/>
      <c r="Y1998" s="102"/>
    </row>
    <row r="1999" spans="12:25" ht="25" customHeight="1">
      <c r="L1999" s="31"/>
      <c r="M1999" s="31"/>
      <c r="N1999" s="31"/>
      <c r="X1999" s="35"/>
      <c r="Y1999" s="102"/>
    </row>
    <row r="2000" spans="12:25" ht="25" customHeight="1">
      <c r="L2000" s="31"/>
      <c r="M2000" s="31"/>
      <c r="N2000" s="31"/>
      <c r="X2000" s="35"/>
      <c r="Y2000" s="102"/>
    </row>
    <row r="2001" spans="12:25" ht="25" customHeight="1">
      <c r="L2001" s="31"/>
      <c r="M2001" s="31"/>
      <c r="N2001" s="31"/>
      <c r="X2001" s="35"/>
      <c r="Y2001" s="102"/>
    </row>
    <row r="2002" spans="12:25" ht="25" customHeight="1">
      <c r="L2002" s="31"/>
      <c r="M2002" s="31"/>
      <c r="N2002" s="31"/>
      <c r="X2002" s="35"/>
      <c r="Y2002" s="102"/>
    </row>
    <row r="2003" spans="12:25" ht="25" customHeight="1">
      <c r="L2003" s="31"/>
      <c r="M2003" s="31"/>
      <c r="N2003" s="31"/>
      <c r="X2003" s="35"/>
      <c r="Y2003" s="102"/>
    </row>
    <row r="2004" spans="12:25" ht="25" customHeight="1">
      <c r="L2004" s="31"/>
      <c r="M2004" s="31"/>
      <c r="N2004" s="31"/>
      <c r="X2004" s="35"/>
      <c r="Y2004" s="102"/>
    </row>
    <row r="2005" spans="12:25" ht="25" customHeight="1">
      <c r="L2005" s="31"/>
      <c r="M2005" s="31"/>
      <c r="N2005" s="31"/>
      <c r="X2005" s="35"/>
      <c r="Y2005" s="102"/>
    </row>
    <row r="2006" spans="12:25" ht="25" customHeight="1">
      <c r="L2006" s="31"/>
      <c r="M2006" s="31"/>
      <c r="N2006" s="31"/>
      <c r="X2006" s="35"/>
      <c r="Y2006" s="102"/>
    </row>
    <row r="2007" spans="12:25" ht="25" customHeight="1">
      <c r="L2007" s="31"/>
      <c r="M2007" s="31"/>
      <c r="N2007" s="31"/>
      <c r="X2007" s="35"/>
      <c r="Y2007" s="102"/>
    </row>
    <row r="2008" spans="12:25" ht="25" customHeight="1">
      <c r="L2008" s="31"/>
      <c r="M2008" s="31"/>
      <c r="N2008" s="31"/>
      <c r="X2008" s="35"/>
      <c r="Y2008" s="102"/>
    </row>
    <row r="2009" spans="12:25" ht="25" customHeight="1">
      <c r="L2009" s="31"/>
      <c r="M2009" s="31"/>
      <c r="N2009" s="31"/>
      <c r="X2009" s="35"/>
      <c r="Y2009" s="102"/>
    </row>
    <row r="2010" spans="12:25" ht="25" customHeight="1">
      <c r="L2010" s="31"/>
      <c r="M2010" s="31"/>
      <c r="N2010" s="31"/>
      <c r="X2010" s="35"/>
      <c r="Y2010" s="102"/>
    </row>
    <row r="2011" spans="12:25" ht="25" customHeight="1">
      <c r="L2011" s="31"/>
      <c r="M2011" s="31"/>
      <c r="N2011" s="31"/>
      <c r="X2011" s="35"/>
      <c r="Y2011" s="102"/>
    </row>
    <row r="2012" spans="12:25" ht="25" customHeight="1">
      <c r="L2012" s="31"/>
      <c r="M2012" s="31"/>
      <c r="N2012" s="31"/>
      <c r="X2012" s="35"/>
      <c r="Y2012" s="102"/>
    </row>
    <row r="2013" spans="12:25" ht="25" customHeight="1">
      <c r="L2013" s="31"/>
      <c r="M2013" s="31"/>
      <c r="N2013" s="31"/>
      <c r="X2013" s="35"/>
      <c r="Y2013" s="102"/>
    </row>
    <row r="2014" spans="12:25" ht="25" customHeight="1">
      <c r="L2014" s="31"/>
      <c r="M2014" s="31"/>
      <c r="N2014" s="31"/>
      <c r="X2014" s="35"/>
      <c r="Y2014" s="102"/>
    </row>
    <row r="2015" spans="12:25" ht="25" customHeight="1">
      <c r="L2015" s="31"/>
      <c r="M2015" s="31"/>
      <c r="N2015" s="31"/>
      <c r="X2015" s="35"/>
      <c r="Y2015" s="102"/>
    </row>
    <row r="2016" spans="12:25" ht="25" customHeight="1">
      <c r="L2016" s="31"/>
      <c r="M2016" s="31"/>
      <c r="N2016" s="31"/>
      <c r="X2016" s="35"/>
      <c r="Y2016" s="102"/>
    </row>
    <row r="2017" spans="12:25" ht="25" customHeight="1">
      <c r="L2017" s="31"/>
      <c r="M2017" s="31"/>
      <c r="N2017" s="31"/>
      <c r="X2017" s="35"/>
      <c r="Y2017" s="102"/>
    </row>
    <row r="2018" spans="12:25" ht="25" customHeight="1">
      <c r="L2018" s="31"/>
      <c r="M2018" s="31"/>
      <c r="N2018" s="31"/>
      <c r="X2018" s="35"/>
      <c r="Y2018" s="102"/>
    </row>
    <row r="2019" spans="12:25" ht="25" customHeight="1">
      <c r="L2019" s="31"/>
      <c r="M2019" s="31"/>
      <c r="N2019" s="31"/>
      <c r="X2019" s="35"/>
      <c r="Y2019" s="102"/>
    </row>
    <row r="2020" spans="12:25" ht="25" customHeight="1">
      <c r="L2020" s="31"/>
      <c r="M2020" s="31"/>
      <c r="N2020" s="31"/>
      <c r="X2020" s="35"/>
      <c r="Y2020" s="102"/>
    </row>
    <row r="2021" spans="12:25" ht="25" customHeight="1">
      <c r="L2021" s="31"/>
      <c r="M2021" s="31"/>
      <c r="N2021" s="31"/>
      <c r="X2021" s="35"/>
      <c r="Y2021" s="102"/>
    </row>
    <row r="2022" spans="12:25" ht="25" customHeight="1">
      <c r="L2022" s="31"/>
      <c r="M2022" s="31"/>
      <c r="N2022" s="31"/>
      <c r="X2022" s="35"/>
      <c r="Y2022" s="102"/>
    </row>
    <row r="2023" spans="12:25" ht="25" customHeight="1">
      <c r="L2023" s="31"/>
      <c r="M2023" s="31"/>
      <c r="N2023" s="31"/>
      <c r="X2023" s="35"/>
      <c r="Y2023" s="102"/>
    </row>
    <row r="2024" spans="12:25" ht="25" customHeight="1">
      <c r="L2024" s="31"/>
      <c r="M2024" s="31"/>
      <c r="N2024" s="31"/>
      <c r="X2024" s="35"/>
      <c r="Y2024" s="102"/>
    </row>
    <row r="2025" spans="12:25" ht="25" customHeight="1">
      <c r="L2025" s="31"/>
      <c r="M2025" s="31"/>
      <c r="N2025" s="31"/>
      <c r="X2025" s="35"/>
      <c r="Y2025" s="102"/>
    </row>
    <row r="2026" spans="12:25" ht="25" customHeight="1">
      <c r="L2026" s="31"/>
      <c r="M2026" s="31"/>
      <c r="N2026" s="31"/>
      <c r="X2026" s="35"/>
      <c r="Y2026" s="102"/>
    </row>
    <row r="2027" spans="12:25" ht="25" customHeight="1">
      <c r="L2027" s="31"/>
      <c r="M2027" s="31"/>
      <c r="N2027" s="31"/>
      <c r="X2027" s="35"/>
      <c r="Y2027" s="102"/>
    </row>
    <row r="2028" spans="12:25" ht="25" customHeight="1">
      <c r="L2028" s="31"/>
      <c r="M2028" s="31"/>
      <c r="N2028" s="31"/>
      <c r="X2028" s="35"/>
      <c r="Y2028" s="102"/>
    </row>
    <row r="2029" spans="12:25" ht="25" customHeight="1">
      <c r="L2029" s="31"/>
      <c r="M2029" s="31"/>
      <c r="N2029" s="31"/>
      <c r="X2029" s="35"/>
      <c r="Y2029" s="102"/>
    </row>
    <row r="2030" spans="12:25" ht="25" customHeight="1">
      <c r="L2030" s="31"/>
      <c r="M2030" s="31"/>
      <c r="N2030" s="31"/>
      <c r="X2030" s="35"/>
      <c r="Y2030" s="102"/>
    </row>
    <row r="2031" spans="12:25" ht="25" customHeight="1">
      <c r="L2031" s="31"/>
      <c r="M2031" s="31"/>
      <c r="N2031" s="31"/>
      <c r="X2031" s="35"/>
      <c r="Y2031" s="102"/>
    </row>
    <row r="2032" spans="12:25" ht="25" customHeight="1">
      <c r="L2032" s="31"/>
      <c r="M2032" s="31"/>
      <c r="N2032" s="31"/>
      <c r="X2032" s="35"/>
      <c r="Y2032" s="102"/>
    </row>
    <row r="2033" spans="12:25" ht="25" customHeight="1">
      <c r="L2033" s="31"/>
      <c r="M2033" s="31"/>
      <c r="N2033" s="31"/>
      <c r="X2033" s="35"/>
      <c r="Y2033" s="102"/>
    </row>
    <row r="2034" spans="12:25" ht="25" customHeight="1">
      <c r="L2034" s="31"/>
      <c r="M2034" s="31"/>
      <c r="N2034" s="31"/>
      <c r="X2034" s="35"/>
      <c r="Y2034" s="102"/>
    </row>
    <row r="2035" spans="12:25" ht="25" customHeight="1">
      <c r="L2035" s="31"/>
      <c r="M2035" s="31"/>
      <c r="N2035" s="31"/>
      <c r="X2035" s="35"/>
      <c r="Y2035" s="102"/>
    </row>
    <row r="2036" spans="12:25" ht="25" customHeight="1">
      <c r="L2036" s="31"/>
      <c r="M2036" s="31"/>
      <c r="N2036" s="31"/>
      <c r="X2036" s="35"/>
      <c r="Y2036" s="102"/>
    </row>
    <row r="2037" spans="12:25" ht="25" customHeight="1">
      <c r="L2037" s="31"/>
      <c r="M2037" s="31"/>
      <c r="N2037" s="31"/>
      <c r="X2037" s="35"/>
      <c r="Y2037" s="102"/>
    </row>
    <row r="2038" spans="12:25" ht="25" customHeight="1">
      <c r="L2038" s="31"/>
      <c r="M2038" s="31"/>
      <c r="N2038" s="31"/>
      <c r="X2038" s="35"/>
      <c r="Y2038" s="102"/>
    </row>
    <row r="2039" spans="12:25" ht="25" customHeight="1">
      <c r="L2039" s="31"/>
      <c r="M2039" s="31"/>
      <c r="N2039" s="31"/>
      <c r="X2039" s="35"/>
      <c r="Y2039" s="102"/>
    </row>
    <row r="2040" spans="12:25" ht="25" customHeight="1">
      <c r="L2040" s="31"/>
      <c r="M2040" s="31"/>
      <c r="N2040" s="31"/>
      <c r="X2040" s="35"/>
      <c r="Y2040" s="102"/>
    </row>
    <row r="2041" spans="12:25" ht="25" customHeight="1">
      <c r="L2041" s="31"/>
      <c r="M2041" s="31"/>
      <c r="N2041" s="31"/>
      <c r="X2041" s="35"/>
      <c r="Y2041" s="102"/>
    </row>
    <row r="2042" spans="12:25" ht="25" customHeight="1">
      <c r="L2042" s="31"/>
      <c r="M2042" s="31"/>
      <c r="N2042" s="31"/>
      <c r="X2042" s="35"/>
      <c r="Y2042" s="102"/>
    </row>
    <row r="2043" spans="12:25" ht="25" customHeight="1">
      <c r="L2043" s="31"/>
      <c r="M2043" s="31"/>
      <c r="N2043" s="31"/>
      <c r="X2043" s="35"/>
      <c r="Y2043" s="102"/>
    </row>
    <row r="2044" spans="12:25" ht="25" customHeight="1">
      <c r="L2044" s="31"/>
      <c r="M2044" s="31"/>
      <c r="N2044" s="31"/>
      <c r="X2044" s="35"/>
      <c r="Y2044" s="102"/>
    </row>
    <row r="2045" spans="12:25" ht="25" customHeight="1">
      <c r="L2045" s="31"/>
      <c r="M2045" s="31"/>
      <c r="N2045" s="31"/>
      <c r="X2045" s="35"/>
      <c r="Y2045" s="102"/>
    </row>
    <row r="2046" spans="12:25" ht="25" customHeight="1">
      <c r="L2046" s="31"/>
      <c r="M2046" s="31"/>
      <c r="N2046" s="31"/>
      <c r="X2046" s="35"/>
      <c r="Y2046" s="102"/>
    </row>
    <row r="2047" spans="12:25" ht="25" customHeight="1">
      <c r="L2047" s="31"/>
      <c r="M2047" s="31"/>
      <c r="N2047" s="31"/>
      <c r="X2047" s="35"/>
      <c r="Y2047" s="102"/>
    </row>
    <row r="2048" spans="12:25" ht="25" customHeight="1">
      <c r="L2048" s="31"/>
      <c r="M2048" s="31"/>
      <c r="N2048" s="31"/>
      <c r="X2048" s="35"/>
      <c r="Y2048" s="102"/>
    </row>
    <row r="2049" spans="12:25" ht="25" customHeight="1">
      <c r="L2049" s="31"/>
      <c r="M2049" s="31"/>
      <c r="N2049" s="31"/>
      <c r="X2049" s="35"/>
      <c r="Y2049" s="102"/>
    </row>
    <row r="2050" spans="12:25" ht="25" customHeight="1">
      <c r="L2050" s="31"/>
      <c r="M2050" s="31"/>
      <c r="N2050" s="31"/>
      <c r="X2050" s="35"/>
      <c r="Y2050" s="102"/>
    </row>
    <row r="2051" spans="12:25" ht="25" customHeight="1">
      <c r="L2051" s="31"/>
      <c r="M2051" s="31"/>
      <c r="N2051" s="31"/>
      <c r="X2051" s="35"/>
      <c r="Y2051" s="102"/>
    </row>
    <row r="2052" spans="12:25" ht="25" customHeight="1">
      <c r="L2052" s="31"/>
      <c r="M2052" s="31"/>
      <c r="N2052" s="31"/>
      <c r="X2052" s="35"/>
      <c r="Y2052" s="102"/>
    </row>
    <row r="2053" spans="12:25" ht="25" customHeight="1">
      <c r="L2053" s="31"/>
      <c r="M2053" s="31"/>
      <c r="N2053" s="31"/>
      <c r="X2053" s="35"/>
      <c r="Y2053" s="102"/>
    </row>
    <row r="2054" spans="12:25" ht="25" customHeight="1">
      <c r="L2054" s="31"/>
      <c r="M2054" s="31"/>
      <c r="N2054" s="31"/>
      <c r="X2054" s="35"/>
      <c r="Y2054" s="102"/>
    </row>
    <row r="2055" spans="12:25" ht="25" customHeight="1">
      <c r="L2055" s="31"/>
      <c r="M2055" s="31"/>
      <c r="N2055" s="31"/>
      <c r="X2055" s="35"/>
      <c r="Y2055" s="102"/>
    </row>
    <row r="2056" spans="12:25" ht="25" customHeight="1">
      <c r="L2056" s="31"/>
      <c r="M2056" s="31"/>
      <c r="N2056" s="31"/>
      <c r="X2056" s="35"/>
      <c r="Y2056" s="102"/>
    </row>
    <row r="2057" spans="12:25" ht="25" customHeight="1">
      <c r="L2057" s="31"/>
      <c r="M2057" s="31"/>
      <c r="N2057" s="31"/>
      <c r="X2057" s="35"/>
      <c r="Y2057" s="102"/>
    </row>
    <row r="2058" spans="12:25" ht="25" customHeight="1">
      <c r="L2058" s="31"/>
      <c r="M2058" s="31"/>
      <c r="N2058" s="31"/>
      <c r="X2058" s="35"/>
      <c r="Y2058" s="102"/>
    </row>
    <row r="2059" spans="12:25" ht="25" customHeight="1">
      <c r="L2059" s="31"/>
      <c r="M2059" s="31"/>
      <c r="N2059" s="31"/>
      <c r="X2059" s="35"/>
      <c r="Y2059" s="102"/>
    </row>
    <row r="2060" spans="12:25" ht="25" customHeight="1">
      <c r="L2060" s="31"/>
      <c r="M2060" s="31"/>
      <c r="N2060" s="31"/>
      <c r="X2060" s="35"/>
      <c r="Y2060" s="102"/>
    </row>
    <row r="2061" spans="12:25" ht="25" customHeight="1">
      <c r="L2061" s="31"/>
      <c r="M2061" s="31"/>
      <c r="N2061" s="31"/>
      <c r="X2061" s="35"/>
      <c r="Y2061" s="102"/>
    </row>
    <row r="2062" spans="12:25" ht="25" customHeight="1">
      <c r="L2062" s="31"/>
      <c r="M2062" s="31"/>
      <c r="N2062" s="31"/>
      <c r="X2062" s="35"/>
      <c r="Y2062" s="102"/>
    </row>
    <row r="2063" spans="12:25" ht="25" customHeight="1">
      <c r="L2063" s="31"/>
      <c r="M2063" s="31"/>
      <c r="N2063" s="31"/>
      <c r="X2063" s="35"/>
      <c r="Y2063" s="102"/>
    </row>
    <row r="2064" spans="12:25" ht="25" customHeight="1">
      <c r="L2064" s="31"/>
      <c r="M2064" s="31"/>
      <c r="N2064" s="31"/>
      <c r="X2064" s="35"/>
      <c r="Y2064" s="102"/>
    </row>
    <row r="2065" spans="12:25" ht="25" customHeight="1">
      <c r="L2065" s="31"/>
      <c r="M2065" s="31"/>
      <c r="N2065" s="31"/>
      <c r="X2065" s="35"/>
      <c r="Y2065" s="102"/>
    </row>
    <row r="2066" spans="12:25" ht="25" customHeight="1">
      <c r="L2066" s="31"/>
      <c r="M2066" s="31"/>
      <c r="N2066" s="31"/>
      <c r="X2066" s="35"/>
      <c r="Y2066" s="102"/>
    </row>
    <row r="2067" spans="12:25" ht="25" customHeight="1">
      <c r="L2067" s="31"/>
      <c r="M2067" s="31"/>
      <c r="N2067" s="31"/>
      <c r="X2067" s="35"/>
      <c r="Y2067" s="102"/>
    </row>
    <row r="2068" spans="12:25" ht="25" customHeight="1">
      <c r="L2068" s="31"/>
      <c r="M2068" s="31"/>
      <c r="N2068" s="31"/>
      <c r="X2068" s="35"/>
      <c r="Y2068" s="102"/>
    </row>
    <row r="2069" spans="12:25" ht="25" customHeight="1">
      <c r="L2069" s="31"/>
      <c r="M2069" s="31"/>
      <c r="N2069" s="31"/>
      <c r="X2069" s="35"/>
      <c r="Y2069" s="102"/>
    </row>
    <row r="2070" spans="12:25" ht="25" customHeight="1">
      <c r="L2070" s="31"/>
      <c r="M2070" s="31"/>
      <c r="N2070" s="31"/>
      <c r="X2070" s="35"/>
      <c r="Y2070" s="102"/>
    </row>
    <row r="2071" spans="12:25" ht="25" customHeight="1">
      <c r="L2071" s="31"/>
      <c r="M2071" s="31"/>
      <c r="N2071" s="31"/>
      <c r="X2071" s="35"/>
      <c r="Y2071" s="102"/>
    </row>
    <row r="2072" spans="12:25" ht="25" customHeight="1">
      <c r="L2072" s="31"/>
      <c r="M2072" s="31"/>
      <c r="N2072" s="31"/>
      <c r="X2072" s="35"/>
      <c r="Y2072" s="102"/>
    </row>
    <row r="2073" spans="12:25" ht="25" customHeight="1">
      <c r="L2073" s="31"/>
      <c r="M2073" s="31"/>
      <c r="N2073" s="31"/>
      <c r="X2073" s="35"/>
      <c r="Y2073" s="102"/>
    </row>
    <row r="2074" spans="12:25" ht="25" customHeight="1">
      <c r="L2074" s="31"/>
      <c r="M2074" s="31"/>
      <c r="N2074" s="31"/>
      <c r="X2074" s="35"/>
      <c r="Y2074" s="102"/>
    </row>
    <row r="2075" spans="12:25" ht="25" customHeight="1">
      <c r="L2075" s="31"/>
      <c r="M2075" s="31"/>
      <c r="N2075" s="31"/>
      <c r="X2075" s="35"/>
      <c r="Y2075" s="102"/>
    </row>
    <row r="2076" spans="12:25" ht="25" customHeight="1">
      <c r="L2076" s="31"/>
      <c r="M2076" s="31"/>
      <c r="N2076" s="31"/>
      <c r="X2076" s="35"/>
      <c r="Y2076" s="102"/>
    </row>
    <row r="2077" spans="12:25" ht="25" customHeight="1">
      <c r="L2077" s="31"/>
      <c r="M2077" s="31"/>
      <c r="N2077" s="31"/>
      <c r="X2077" s="35"/>
      <c r="Y2077" s="102"/>
    </row>
    <row r="2078" spans="12:25" ht="25" customHeight="1">
      <c r="L2078" s="31"/>
      <c r="M2078" s="31"/>
      <c r="N2078" s="31"/>
      <c r="X2078" s="35"/>
      <c r="Y2078" s="102"/>
    </row>
    <row r="2079" spans="12:25" ht="25" customHeight="1">
      <c r="L2079" s="31"/>
      <c r="M2079" s="31"/>
      <c r="N2079" s="31"/>
      <c r="X2079" s="35"/>
      <c r="Y2079" s="102"/>
    </row>
    <row r="2080" spans="12:25" ht="25" customHeight="1">
      <c r="L2080" s="31"/>
      <c r="M2080" s="31"/>
      <c r="N2080" s="31"/>
      <c r="X2080" s="35"/>
      <c r="Y2080" s="102"/>
    </row>
    <row r="2081" spans="12:25" ht="25" customHeight="1">
      <c r="L2081" s="31"/>
      <c r="M2081" s="31"/>
      <c r="N2081" s="31"/>
      <c r="X2081" s="35"/>
      <c r="Y2081" s="102"/>
    </row>
    <row r="2082" spans="12:25" ht="25" customHeight="1">
      <c r="L2082" s="31"/>
      <c r="M2082" s="31"/>
      <c r="N2082" s="31"/>
      <c r="X2082" s="35"/>
      <c r="Y2082" s="102"/>
    </row>
    <row r="2083" spans="12:25" ht="25" customHeight="1">
      <c r="L2083" s="31"/>
      <c r="M2083" s="31"/>
      <c r="N2083" s="31"/>
      <c r="X2083" s="35"/>
      <c r="Y2083" s="102"/>
    </row>
    <row r="2084" spans="12:25" ht="25" customHeight="1">
      <c r="L2084" s="31"/>
      <c r="M2084" s="31"/>
      <c r="N2084" s="31"/>
      <c r="X2084" s="35"/>
      <c r="Y2084" s="102"/>
    </row>
    <row r="2085" spans="12:25" ht="25" customHeight="1">
      <c r="L2085" s="31"/>
      <c r="M2085" s="31"/>
      <c r="N2085" s="31"/>
      <c r="X2085" s="35"/>
      <c r="Y2085" s="102"/>
    </row>
    <row r="2086" spans="12:25" ht="25" customHeight="1">
      <c r="L2086" s="31"/>
      <c r="M2086" s="31"/>
      <c r="N2086" s="31"/>
      <c r="X2086" s="35"/>
      <c r="Y2086" s="102"/>
    </row>
    <row r="2087" spans="12:25" ht="25" customHeight="1">
      <c r="L2087" s="31"/>
      <c r="M2087" s="31"/>
      <c r="N2087" s="31"/>
      <c r="X2087" s="35"/>
      <c r="Y2087" s="102"/>
    </row>
    <row r="2088" spans="12:25" ht="25" customHeight="1">
      <c r="L2088" s="31"/>
      <c r="M2088" s="31"/>
      <c r="N2088" s="31"/>
      <c r="X2088" s="35"/>
      <c r="Y2088" s="102"/>
    </row>
    <row r="2089" spans="12:25" ht="25" customHeight="1">
      <c r="L2089" s="31"/>
      <c r="M2089" s="31"/>
      <c r="N2089" s="31"/>
      <c r="X2089" s="35"/>
      <c r="Y2089" s="102"/>
    </row>
    <row r="2090" spans="12:25" ht="25" customHeight="1">
      <c r="L2090" s="31"/>
      <c r="M2090" s="31"/>
      <c r="N2090" s="31"/>
      <c r="X2090" s="35"/>
      <c r="Y2090" s="102"/>
    </row>
    <row r="2091" spans="12:25" ht="25" customHeight="1">
      <c r="L2091" s="31"/>
      <c r="M2091" s="31"/>
      <c r="N2091" s="31"/>
      <c r="X2091" s="35"/>
      <c r="Y2091" s="102"/>
    </row>
    <row r="2092" spans="12:25" ht="25" customHeight="1">
      <c r="L2092" s="31"/>
      <c r="M2092" s="31"/>
      <c r="N2092" s="31"/>
      <c r="X2092" s="35"/>
      <c r="Y2092" s="102"/>
    </row>
    <row r="2093" spans="12:25" ht="25" customHeight="1">
      <c r="L2093" s="31"/>
      <c r="M2093" s="31"/>
      <c r="N2093" s="31"/>
      <c r="X2093" s="35"/>
      <c r="Y2093" s="102"/>
    </row>
    <row r="2094" spans="12:25" ht="25" customHeight="1">
      <c r="L2094" s="31"/>
      <c r="M2094" s="31"/>
      <c r="N2094" s="31"/>
      <c r="X2094" s="35"/>
      <c r="Y2094" s="102"/>
    </row>
    <row r="2095" spans="12:25" ht="25" customHeight="1">
      <c r="L2095" s="31"/>
      <c r="M2095" s="31"/>
      <c r="N2095" s="31"/>
      <c r="X2095" s="35"/>
      <c r="Y2095" s="102"/>
    </row>
    <row r="2096" spans="12:25" ht="25" customHeight="1">
      <c r="L2096" s="31"/>
      <c r="M2096" s="31"/>
      <c r="N2096" s="31"/>
      <c r="X2096" s="35"/>
      <c r="Y2096" s="102"/>
    </row>
    <row r="2097" spans="12:25" ht="25" customHeight="1">
      <c r="L2097" s="31"/>
      <c r="M2097" s="31"/>
      <c r="N2097" s="31"/>
      <c r="X2097" s="35"/>
      <c r="Y2097" s="102"/>
    </row>
    <row r="2098" spans="12:25" ht="25" customHeight="1">
      <c r="L2098" s="31"/>
      <c r="M2098" s="31"/>
      <c r="N2098" s="31"/>
      <c r="X2098" s="35"/>
      <c r="Y2098" s="102"/>
    </row>
    <row r="2099" spans="12:25" ht="25" customHeight="1">
      <c r="L2099" s="31"/>
      <c r="M2099" s="31"/>
      <c r="N2099" s="31"/>
      <c r="X2099" s="35"/>
      <c r="Y2099" s="102"/>
    </row>
    <row r="2100" spans="12:25" ht="25" customHeight="1">
      <c r="L2100" s="31"/>
      <c r="M2100" s="31"/>
      <c r="N2100" s="31"/>
      <c r="X2100" s="35"/>
      <c r="Y2100" s="102"/>
    </row>
    <row r="2101" spans="12:25" ht="25" customHeight="1">
      <c r="L2101" s="31"/>
      <c r="M2101" s="31"/>
      <c r="N2101" s="31"/>
      <c r="X2101" s="35"/>
      <c r="Y2101" s="102"/>
    </row>
    <row r="2102" spans="12:25" ht="25" customHeight="1">
      <c r="L2102" s="31"/>
      <c r="M2102" s="31"/>
      <c r="N2102" s="31"/>
      <c r="X2102" s="35"/>
      <c r="Y2102" s="102"/>
    </row>
    <row r="2103" spans="12:25" ht="25" customHeight="1">
      <c r="L2103" s="31"/>
      <c r="M2103" s="31"/>
      <c r="N2103" s="31"/>
      <c r="X2103" s="35"/>
      <c r="Y2103" s="102"/>
    </row>
    <row r="2104" spans="12:25" ht="25" customHeight="1">
      <c r="L2104" s="31"/>
      <c r="M2104" s="31"/>
      <c r="N2104" s="31"/>
      <c r="X2104" s="35"/>
      <c r="Y2104" s="102"/>
    </row>
    <row r="2105" spans="12:25" ht="25" customHeight="1">
      <c r="L2105" s="31"/>
      <c r="M2105" s="31"/>
      <c r="N2105" s="31"/>
      <c r="X2105" s="35"/>
      <c r="Y2105" s="102"/>
    </row>
    <row r="2106" spans="12:25" ht="25" customHeight="1">
      <c r="L2106" s="31"/>
      <c r="M2106" s="31"/>
      <c r="N2106" s="31"/>
      <c r="X2106" s="35"/>
      <c r="Y2106" s="102"/>
    </row>
    <row r="2107" spans="12:25" ht="25" customHeight="1">
      <c r="L2107" s="31"/>
      <c r="M2107" s="31"/>
      <c r="N2107" s="31"/>
      <c r="X2107" s="35"/>
      <c r="Y2107" s="102"/>
    </row>
    <row r="2108" spans="12:25" ht="25" customHeight="1">
      <c r="L2108" s="31"/>
      <c r="M2108" s="31"/>
      <c r="N2108" s="31"/>
      <c r="X2108" s="35"/>
      <c r="Y2108" s="102"/>
    </row>
    <row r="2109" spans="12:25" ht="25" customHeight="1">
      <c r="L2109" s="31"/>
      <c r="M2109" s="31"/>
      <c r="N2109" s="31"/>
      <c r="X2109" s="35"/>
      <c r="Y2109" s="102"/>
    </row>
    <row r="2110" spans="12:25" ht="25" customHeight="1">
      <c r="L2110" s="31"/>
      <c r="M2110" s="31"/>
      <c r="N2110" s="31"/>
      <c r="X2110" s="35"/>
      <c r="Y2110" s="102"/>
    </row>
    <row r="2111" spans="12:25" ht="25" customHeight="1">
      <c r="L2111" s="31"/>
      <c r="M2111" s="31"/>
      <c r="N2111" s="31"/>
      <c r="X2111" s="35"/>
      <c r="Y2111" s="102"/>
    </row>
    <row r="2112" spans="12:25" ht="25" customHeight="1">
      <c r="L2112" s="31"/>
      <c r="M2112" s="31"/>
      <c r="N2112" s="31"/>
      <c r="X2112" s="35"/>
      <c r="Y2112" s="102"/>
    </row>
    <row r="2113" spans="12:25" ht="25" customHeight="1">
      <c r="L2113" s="31"/>
      <c r="M2113" s="31"/>
      <c r="N2113" s="31"/>
      <c r="X2113" s="35"/>
      <c r="Y2113" s="102"/>
    </row>
    <row r="2114" spans="12:25" ht="25" customHeight="1">
      <c r="L2114" s="31"/>
      <c r="M2114" s="31"/>
      <c r="N2114" s="31"/>
      <c r="X2114" s="35"/>
      <c r="Y2114" s="102"/>
    </row>
    <row r="2115" spans="12:25" ht="25" customHeight="1">
      <c r="L2115" s="31"/>
      <c r="M2115" s="31"/>
      <c r="N2115" s="31"/>
      <c r="X2115" s="35"/>
      <c r="Y2115" s="102"/>
    </row>
    <row r="2116" spans="12:25" ht="25" customHeight="1">
      <c r="L2116" s="31"/>
      <c r="M2116" s="31"/>
      <c r="N2116" s="31"/>
      <c r="X2116" s="35"/>
      <c r="Y2116" s="102"/>
    </row>
    <row r="2117" spans="12:25" ht="25" customHeight="1">
      <c r="L2117" s="31"/>
      <c r="M2117" s="31"/>
      <c r="N2117" s="31"/>
      <c r="X2117" s="35"/>
      <c r="Y2117" s="102"/>
    </row>
    <row r="2118" spans="12:25" ht="25" customHeight="1">
      <c r="L2118" s="31"/>
      <c r="M2118" s="31"/>
      <c r="N2118" s="31"/>
      <c r="X2118" s="35"/>
      <c r="Y2118" s="102"/>
    </row>
    <row r="2119" spans="12:25" ht="25" customHeight="1">
      <c r="L2119" s="31"/>
      <c r="M2119" s="31"/>
      <c r="N2119" s="31"/>
      <c r="X2119" s="35"/>
      <c r="Y2119" s="102"/>
    </row>
    <row r="2120" spans="12:25" ht="25" customHeight="1">
      <c r="L2120" s="31"/>
      <c r="M2120" s="31"/>
      <c r="N2120" s="31"/>
      <c r="X2120" s="35"/>
      <c r="Y2120" s="102"/>
    </row>
    <row r="2121" spans="12:25" ht="25" customHeight="1">
      <c r="L2121" s="31"/>
      <c r="M2121" s="31"/>
      <c r="N2121" s="31"/>
      <c r="X2121" s="35"/>
      <c r="Y2121" s="102"/>
    </row>
    <row r="2122" spans="12:25" ht="25" customHeight="1">
      <c r="L2122" s="31"/>
      <c r="M2122" s="31"/>
      <c r="N2122" s="31"/>
      <c r="X2122" s="35"/>
      <c r="Y2122" s="102"/>
    </row>
    <row r="2123" spans="12:25" ht="25" customHeight="1">
      <c r="L2123" s="31"/>
      <c r="M2123" s="31"/>
      <c r="N2123" s="31"/>
      <c r="X2123" s="35"/>
      <c r="Y2123" s="102"/>
    </row>
    <row r="2124" spans="12:25" ht="25" customHeight="1">
      <c r="L2124" s="31"/>
      <c r="M2124" s="31"/>
      <c r="N2124" s="31"/>
      <c r="X2124" s="35"/>
      <c r="Y2124" s="102"/>
    </row>
    <row r="2125" spans="12:25" ht="25" customHeight="1">
      <c r="L2125" s="31"/>
      <c r="M2125" s="31"/>
      <c r="N2125" s="31"/>
      <c r="X2125" s="35"/>
      <c r="Y2125" s="102"/>
    </row>
    <row r="2126" spans="12:25" ht="25" customHeight="1">
      <c r="L2126" s="31"/>
      <c r="M2126" s="31"/>
      <c r="N2126" s="31"/>
      <c r="X2126" s="35"/>
      <c r="Y2126" s="102"/>
    </row>
    <row r="2127" spans="12:25" ht="25" customHeight="1">
      <c r="L2127" s="31"/>
      <c r="M2127" s="31"/>
      <c r="N2127" s="31"/>
      <c r="X2127" s="35"/>
      <c r="Y2127" s="102"/>
    </row>
    <row r="2128" spans="12:25" ht="25" customHeight="1">
      <c r="L2128" s="31"/>
      <c r="M2128" s="31"/>
      <c r="N2128" s="31"/>
      <c r="X2128" s="35"/>
      <c r="Y2128" s="102"/>
    </row>
    <row r="2129" spans="12:25" ht="25" customHeight="1">
      <c r="L2129" s="31"/>
      <c r="M2129" s="31"/>
      <c r="N2129" s="31"/>
      <c r="X2129" s="35"/>
      <c r="Y2129" s="102"/>
    </row>
    <row r="2130" spans="12:25" ht="25" customHeight="1">
      <c r="L2130" s="31"/>
      <c r="M2130" s="31"/>
      <c r="N2130" s="31"/>
      <c r="X2130" s="35"/>
      <c r="Y2130" s="102"/>
    </row>
    <row r="2131" spans="12:25" ht="25" customHeight="1">
      <c r="L2131" s="31"/>
      <c r="M2131" s="31"/>
      <c r="N2131" s="31"/>
      <c r="X2131" s="35"/>
      <c r="Y2131" s="102"/>
    </row>
    <row r="2132" spans="12:25" ht="25" customHeight="1">
      <c r="L2132" s="31"/>
      <c r="M2132" s="31"/>
      <c r="N2132" s="31"/>
      <c r="X2132" s="35"/>
      <c r="Y2132" s="102"/>
    </row>
    <row r="2133" spans="12:25" ht="25" customHeight="1">
      <c r="L2133" s="31"/>
      <c r="M2133" s="31"/>
      <c r="N2133" s="31"/>
      <c r="X2133" s="35"/>
      <c r="Y2133" s="102"/>
    </row>
    <row r="2134" spans="12:25" ht="25" customHeight="1">
      <c r="L2134" s="31"/>
      <c r="M2134" s="31"/>
      <c r="N2134" s="31"/>
      <c r="X2134" s="35"/>
      <c r="Y2134" s="102"/>
    </row>
    <row r="2135" spans="12:25" ht="25" customHeight="1">
      <c r="L2135" s="31"/>
      <c r="M2135" s="31"/>
      <c r="N2135" s="31"/>
      <c r="X2135" s="35"/>
      <c r="Y2135" s="102"/>
    </row>
    <row r="2136" spans="12:25" ht="25" customHeight="1">
      <c r="L2136" s="31"/>
      <c r="M2136" s="31"/>
      <c r="N2136" s="31"/>
      <c r="X2136" s="35"/>
      <c r="Y2136" s="102"/>
    </row>
    <row r="2137" spans="12:25" ht="25" customHeight="1">
      <c r="L2137" s="31"/>
      <c r="M2137" s="31"/>
      <c r="N2137" s="31"/>
      <c r="X2137" s="35"/>
      <c r="Y2137" s="102"/>
    </row>
    <row r="2138" spans="12:25" ht="25" customHeight="1">
      <c r="L2138" s="31"/>
      <c r="M2138" s="31"/>
      <c r="N2138" s="31"/>
      <c r="X2138" s="35"/>
      <c r="Y2138" s="102"/>
    </row>
    <row r="2139" spans="12:25" ht="25" customHeight="1">
      <c r="L2139" s="31"/>
      <c r="M2139" s="31"/>
      <c r="N2139" s="31"/>
      <c r="X2139" s="35"/>
      <c r="Y2139" s="102"/>
    </row>
    <row r="2140" spans="12:25" ht="25" customHeight="1">
      <c r="L2140" s="31"/>
      <c r="M2140" s="31"/>
      <c r="N2140" s="31"/>
      <c r="X2140" s="35"/>
      <c r="Y2140" s="102"/>
    </row>
    <row r="2141" spans="12:25" ht="25" customHeight="1">
      <c r="L2141" s="31"/>
      <c r="M2141" s="31"/>
      <c r="N2141" s="31"/>
      <c r="X2141" s="35"/>
      <c r="Y2141" s="102"/>
    </row>
    <row r="2142" spans="12:25" ht="25" customHeight="1">
      <c r="L2142" s="31"/>
      <c r="M2142" s="31"/>
      <c r="N2142" s="31"/>
      <c r="X2142" s="35"/>
      <c r="Y2142" s="102"/>
    </row>
    <row r="2143" spans="12:25" ht="25" customHeight="1">
      <c r="L2143" s="31"/>
      <c r="M2143" s="31"/>
      <c r="N2143" s="31"/>
      <c r="X2143" s="35"/>
      <c r="Y2143" s="102"/>
    </row>
    <row r="2144" spans="12:25" ht="25" customHeight="1">
      <c r="L2144" s="31"/>
      <c r="M2144" s="31"/>
      <c r="N2144" s="31"/>
      <c r="X2144" s="35"/>
      <c r="Y2144" s="102"/>
    </row>
    <row r="2145" spans="12:25" ht="25" customHeight="1">
      <c r="L2145" s="31"/>
      <c r="M2145" s="31"/>
      <c r="N2145" s="31"/>
      <c r="X2145" s="35"/>
      <c r="Y2145" s="102"/>
    </row>
    <row r="2146" spans="12:25" ht="25" customHeight="1">
      <c r="L2146" s="31"/>
      <c r="M2146" s="31"/>
      <c r="N2146" s="31"/>
      <c r="X2146" s="35"/>
      <c r="Y2146" s="102"/>
    </row>
    <row r="2147" spans="12:25" ht="25" customHeight="1">
      <c r="L2147" s="31"/>
      <c r="M2147" s="31"/>
      <c r="N2147" s="31"/>
      <c r="X2147" s="35"/>
      <c r="Y2147" s="102"/>
    </row>
    <row r="2148" spans="12:25" ht="25" customHeight="1">
      <c r="L2148" s="31"/>
      <c r="M2148" s="31"/>
      <c r="N2148" s="31"/>
      <c r="X2148" s="35"/>
      <c r="Y2148" s="102"/>
    </row>
    <row r="2149" spans="12:25" ht="25" customHeight="1">
      <c r="L2149" s="31"/>
      <c r="M2149" s="31"/>
      <c r="N2149" s="31"/>
      <c r="X2149" s="35"/>
      <c r="Y2149" s="102"/>
    </row>
    <row r="2150" spans="12:25" ht="25" customHeight="1">
      <c r="L2150" s="31"/>
      <c r="M2150" s="31"/>
      <c r="N2150" s="31"/>
      <c r="X2150" s="35"/>
      <c r="Y2150" s="102"/>
    </row>
    <row r="2151" spans="12:25" ht="25" customHeight="1">
      <c r="L2151" s="31"/>
      <c r="M2151" s="31"/>
      <c r="N2151" s="31"/>
      <c r="X2151" s="35"/>
      <c r="Y2151" s="102"/>
    </row>
    <row r="2152" spans="12:25" ht="25" customHeight="1">
      <c r="L2152" s="31"/>
      <c r="M2152" s="31"/>
      <c r="N2152" s="31"/>
      <c r="X2152" s="35"/>
      <c r="Y2152" s="102"/>
    </row>
    <row r="2153" spans="12:25" ht="25" customHeight="1">
      <c r="L2153" s="31"/>
      <c r="M2153" s="31"/>
      <c r="N2153" s="31"/>
      <c r="X2153" s="35"/>
      <c r="Y2153" s="102"/>
    </row>
    <row r="2154" spans="12:25" ht="25" customHeight="1">
      <c r="L2154" s="31"/>
      <c r="M2154" s="31"/>
      <c r="N2154" s="31"/>
      <c r="X2154" s="35"/>
      <c r="Y2154" s="102"/>
    </row>
    <row r="2155" spans="12:25" ht="25" customHeight="1">
      <c r="L2155" s="31"/>
      <c r="M2155" s="31"/>
      <c r="N2155" s="31"/>
      <c r="X2155" s="35"/>
      <c r="Y2155" s="102"/>
    </row>
    <row r="2156" spans="12:25" ht="25" customHeight="1">
      <c r="L2156" s="31"/>
      <c r="M2156" s="31"/>
      <c r="N2156" s="31"/>
      <c r="X2156" s="35"/>
      <c r="Y2156" s="102"/>
    </row>
    <row r="2157" spans="12:25" ht="25" customHeight="1">
      <c r="L2157" s="31"/>
      <c r="M2157" s="31"/>
      <c r="N2157" s="31"/>
      <c r="X2157" s="35"/>
      <c r="Y2157" s="102"/>
    </row>
    <row r="2158" spans="12:25" ht="25" customHeight="1">
      <c r="L2158" s="31"/>
      <c r="M2158" s="31"/>
      <c r="N2158" s="31"/>
      <c r="X2158" s="35"/>
      <c r="Y2158" s="102"/>
    </row>
    <row r="2159" spans="12:25" ht="25" customHeight="1">
      <c r="L2159" s="31"/>
      <c r="M2159" s="31"/>
      <c r="N2159" s="31"/>
      <c r="X2159" s="35"/>
      <c r="Y2159" s="102"/>
    </row>
    <row r="2160" spans="12:25" ht="25" customHeight="1">
      <c r="L2160" s="31"/>
      <c r="M2160" s="31"/>
      <c r="N2160" s="31"/>
      <c r="X2160" s="35"/>
      <c r="Y2160" s="102"/>
    </row>
    <row r="2161" spans="12:25" ht="25" customHeight="1">
      <c r="L2161" s="31"/>
      <c r="M2161" s="31"/>
      <c r="N2161" s="31"/>
      <c r="X2161" s="35"/>
      <c r="Y2161" s="102"/>
    </row>
    <row r="2162" spans="12:25" ht="25" customHeight="1">
      <c r="L2162" s="31"/>
      <c r="M2162" s="31"/>
      <c r="N2162" s="31"/>
      <c r="X2162" s="35"/>
      <c r="Y2162" s="102"/>
    </row>
    <row r="2163" spans="12:25" ht="25" customHeight="1">
      <c r="L2163" s="31"/>
      <c r="M2163" s="31"/>
      <c r="N2163" s="31"/>
      <c r="X2163" s="35"/>
      <c r="Y2163" s="102"/>
    </row>
    <row r="2164" spans="12:25" ht="25" customHeight="1">
      <c r="L2164" s="31"/>
      <c r="M2164" s="31"/>
      <c r="N2164" s="31"/>
      <c r="X2164" s="35"/>
      <c r="Y2164" s="102"/>
    </row>
    <row r="2165" spans="12:25" ht="25" customHeight="1">
      <c r="L2165" s="31"/>
      <c r="M2165" s="31"/>
      <c r="N2165" s="31"/>
      <c r="X2165" s="35"/>
      <c r="Y2165" s="102"/>
    </row>
    <row r="2166" spans="12:25" ht="25" customHeight="1">
      <c r="L2166" s="31"/>
      <c r="M2166" s="31"/>
      <c r="N2166" s="31"/>
      <c r="X2166" s="35"/>
      <c r="Y2166" s="102"/>
    </row>
    <row r="2167" spans="12:25" ht="25" customHeight="1">
      <c r="L2167" s="31"/>
      <c r="M2167" s="31"/>
      <c r="N2167" s="31"/>
      <c r="X2167" s="35"/>
      <c r="Y2167" s="102"/>
    </row>
    <row r="2168" spans="12:25" ht="25" customHeight="1">
      <c r="L2168" s="31"/>
      <c r="M2168" s="31"/>
      <c r="N2168" s="31"/>
      <c r="X2168" s="35"/>
      <c r="Y2168" s="102"/>
    </row>
    <row r="2169" spans="12:25" ht="25" customHeight="1">
      <c r="L2169" s="31"/>
      <c r="M2169" s="31"/>
      <c r="N2169" s="31"/>
      <c r="X2169" s="35"/>
      <c r="Y2169" s="102"/>
    </row>
    <row r="2170" spans="12:25" ht="25" customHeight="1">
      <c r="L2170" s="31"/>
      <c r="M2170" s="31"/>
      <c r="N2170" s="31"/>
      <c r="X2170" s="35"/>
      <c r="Y2170" s="102"/>
    </row>
    <row r="2171" spans="12:25" ht="25" customHeight="1">
      <c r="L2171" s="31"/>
      <c r="M2171" s="31"/>
      <c r="N2171" s="31"/>
      <c r="X2171" s="35"/>
      <c r="Y2171" s="102"/>
    </row>
    <row r="2172" spans="12:25" ht="25" customHeight="1">
      <c r="L2172" s="31"/>
      <c r="M2172" s="31"/>
      <c r="N2172" s="31"/>
      <c r="X2172" s="35"/>
      <c r="Y2172" s="102"/>
    </row>
    <row r="2173" spans="12:25" ht="25" customHeight="1">
      <c r="L2173" s="31"/>
      <c r="M2173" s="31"/>
      <c r="N2173" s="31"/>
      <c r="X2173" s="35"/>
      <c r="Y2173" s="102"/>
    </row>
    <row r="2174" spans="12:25" ht="25" customHeight="1">
      <c r="L2174" s="31"/>
      <c r="M2174" s="31"/>
      <c r="N2174" s="31"/>
      <c r="X2174" s="35"/>
      <c r="Y2174" s="102"/>
    </row>
    <row r="2175" spans="12:25" ht="25" customHeight="1">
      <c r="L2175" s="31"/>
      <c r="M2175" s="31"/>
      <c r="N2175" s="31"/>
      <c r="X2175" s="35"/>
      <c r="Y2175" s="102"/>
    </row>
    <row r="2176" spans="12:25" ht="25" customHeight="1">
      <c r="L2176" s="31"/>
      <c r="M2176" s="31"/>
      <c r="N2176" s="31"/>
      <c r="X2176" s="35"/>
      <c r="Y2176" s="102"/>
    </row>
    <row r="2177" spans="12:25" ht="25" customHeight="1">
      <c r="L2177" s="31"/>
      <c r="M2177" s="31"/>
      <c r="N2177" s="31"/>
      <c r="X2177" s="35"/>
      <c r="Y2177" s="102"/>
    </row>
    <row r="2178" spans="12:25" ht="25" customHeight="1">
      <c r="L2178" s="31"/>
      <c r="M2178" s="31"/>
      <c r="N2178" s="31"/>
      <c r="X2178" s="35"/>
      <c r="Y2178" s="102"/>
    </row>
    <row r="2179" spans="12:25" ht="25" customHeight="1">
      <c r="L2179" s="31"/>
      <c r="M2179" s="31"/>
      <c r="N2179" s="31"/>
      <c r="X2179" s="35"/>
      <c r="Y2179" s="102"/>
    </row>
    <row r="2180" spans="12:25" ht="25" customHeight="1">
      <c r="L2180" s="31"/>
      <c r="M2180" s="31"/>
      <c r="N2180" s="31"/>
      <c r="X2180" s="35"/>
      <c r="Y2180" s="102"/>
    </row>
    <row r="2181" spans="12:25" ht="25" customHeight="1">
      <c r="L2181" s="31"/>
      <c r="M2181" s="31"/>
      <c r="N2181" s="31"/>
      <c r="X2181" s="35"/>
      <c r="Y2181" s="102"/>
    </row>
    <row r="2182" spans="12:25" ht="25" customHeight="1">
      <c r="L2182" s="31"/>
      <c r="M2182" s="31"/>
      <c r="N2182" s="31"/>
      <c r="X2182" s="35"/>
      <c r="Y2182" s="102"/>
    </row>
    <row r="2183" spans="12:25" ht="25" customHeight="1">
      <c r="L2183" s="31"/>
      <c r="M2183" s="31"/>
      <c r="N2183" s="31"/>
      <c r="X2183" s="35"/>
      <c r="Y2183" s="102"/>
    </row>
    <row r="2184" spans="12:25" ht="25" customHeight="1">
      <c r="L2184" s="31"/>
      <c r="M2184" s="31"/>
      <c r="N2184" s="31"/>
      <c r="X2184" s="35"/>
      <c r="Y2184" s="102"/>
    </row>
    <row r="2185" spans="12:25" ht="25" customHeight="1">
      <c r="L2185" s="31"/>
      <c r="M2185" s="31"/>
      <c r="N2185" s="31"/>
      <c r="X2185" s="35"/>
      <c r="Y2185" s="102"/>
    </row>
    <row r="2186" spans="12:25" ht="25" customHeight="1">
      <c r="L2186" s="31"/>
      <c r="M2186" s="31"/>
      <c r="N2186" s="31"/>
      <c r="X2186" s="35"/>
      <c r="Y2186" s="102"/>
    </row>
    <row r="2187" spans="12:25" ht="25" customHeight="1">
      <c r="L2187" s="31"/>
      <c r="M2187" s="31"/>
      <c r="N2187" s="31"/>
      <c r="X2187" s="35"/>
      <c r="Y2187" s="102"/>
    </row>
    <row r="2188" spans="12:25" ht="25" customHeight="1">
      <c r="L2188" s="31"/>
      <c r="M2188" s="31"/>
      <c r="N2188" s="31"/>
      <c r="X2188" s="35"/>
      <c r="Y2188" s="102"/>
    </row>
    <row r="2189" spans="12:25" ht="25" customHeight="1">
      <c r="L2189" s="31"/>
      <c r="M2189" s="31"/>
      <c r="N2189" s="31"/>
      <c r="X2189" s="35"/>
      <c r="Y2189" s="102"/>
    </row>
    <row r="2190" spans="12:25" ht="25" customHeight="1">
      <c r="L2190" s="31"/>
      <c r="M2190" s="31"/>
      <c r="N2190" s="31"/>
      <c r="X2190" s="35"/>
      <c r="Y2190" s="102"/>
    </row>
    <row r="2191" spans="12:25" ht="25" customHeight="1">
      <c r="L2191" s="31"/>
      <c r="M2191" s="31"/>
      <c r="N2191" s="31"/>
      <c r="X2191" s="35"/>
      <c r="Y2191" s="102"/>
    </row>
    <row r="2192" spans="12:25" ht="25" customHeight="1">
      <c r="L2192" s="31"/>
      <c r="M2192" s="31"/>
      <c r="N2192" s="31"/>
      <c r="X2192" s="35"/>
      <c r="Y2192" s="102"/>
    </row>
    <row r="2193" spans="12:25" ht="25" customHeight="1">
      <c r="L2193" s="31"/>
      <c r="M2193" s="31"/>
      <c r="N2193" s="31"/>
      <c r="X2193" s="35"/>
      <c r="Y2193" s="102"/>
    </row>
    <row r="2194" spans="12:25" ht="25" customHeight="1">
      <c r="L2194" s="31"/>
      <c r="M2194" s="31"/>
      <c r="N2194" s="31"/>
      <c r="X2194" s="35"/>
      <c r="Y2194" s="102"/>
    </row>
    <row r="2195" spans="12:25" ht="25" customHeight="1">
      <c r="L2195" s="31"/>
      <c r="M2195" s="31"/>
      <c r="N2195" s="31"/>
      <c r="X2195" s="35"/>
      <c r="Y2195" s="102"/>
    </row>
    <row r="2196" spans="12:25" ht="25" customHeight="1">
      <c r="L2196" s="31"/>
      <c r="M2196" s="31"/>
      <c r="N2196" s="31"/>
      <c r="X2196" s="35"/>
      <c r="Y2196" s="102"/>
    </row>
    <row r="2197" spans="12:25" ht="25" customHeight="1">
      <c r="L2197" s="31"/>
      <c r="M2197" s="31"/>
      <c r="N2197" s="31"/>
      <c r="X2197" s="35"/>
      <c r="Y2197" s="102"/>
    </row>
    <row r="2198" spans="12:25" ht="25" customHeight="1">
      <c r="L2198" s="31"/>
      <c r="M2198" s="31"/>
      <c r="N2198" s="31"/>
      <c r="X2198" s="35"/>
      <c r="Y2198" s="102"/>
    </row>
    <row r="2199" spans="12:25" ht="25" customHeight="1">
      <c r="L2199" s="31"/>
      <c r="M2199" s="31"/>
      <c r="N2199" s="31"/>
      <c r="X2199" s="35"/>
      <c r="Y2199" s="102"/>
    </row>
    <row r="2200" spans="12:25" ht="25" customHeight="1">
      <c r="L2200" s="31"/>
      <c r="M2200" s="31"/>
      <c r="N2200" s="31"/>
      <c r="X2200" s="35"/>
      <c r="Y2200" s="102"/>
    </row>
    <row r="2201" spans="12:25" ht="25" customHeight="1">
      <c r="L2201" s="31"/>
      <c r="M2201" s="31"/>
      <c r="N2201" s="31"/>
      <c r="X2201" s="35"/>
      <c r="Y2201" s="102"/>
    </row>
    <row r="2202" spans="12:25" ht="25" customHeight="1">
      <c r="L2202" s="31"/>
      <c r="M2202" s="31"/>
      <c r="N2202" s="31"/>
      <c r="X2202" s="35"/>
      <c r="Y2202" s="102"/>
    </row>
    <row r="2203" spans="12:25" ht="25" customHeight="1">
      <c r="L2203" s="31"/>
      <c r="M2203" s="31"/>
      <c r="N2203" s="31"/>
      <c r="X2203" s="35"/>
      <c r="Y2203" s="102"/>
    </row>
    <row r="2204" spans="12:25" ht="25" customHeight="1">
      <c r="L2204" s="31"/>
      <c r="M2204" s="31"/>
      <c r="N2204" s="31"/>
      <c r="X2204" s="35"/>
      <c r="Y2204" s="102"/>
    </row>
    <row r="2205" spans="12:25" ht="25" customHeight="1">
      <c r="L2205" s="31"/>
      <c r="M2205" s="31"/>
      <c r="N2205" s="31"/>
      <c r="X2205" s="35"/>
      <c r="Y2205" s="102"/>
    </row>
    <row r="2206" spans="12:25" ht="25" customHeight="1">
      <c r="L2206" s="31"/>
      <c r="M2206" s="31"/>
      <c r="N2206" s="31"/>
      <c r="X2206" s="35"/>
      <c r="Y2206" s="102"/>
    </row>
    <row r="2207" spans="12:25" ht="25" customHeight="1">
      <c r="L2207" s="31"/>
      <c r="M2207" s="31"/>
      <c r="N2207" s="31"/>
      <c r="X2207" s="35"/>
      <c r="Y2207" s="102"/>
    </row>
    <row r="2208" spans="12:25" ht="25" customHeight="1">
      <c r="L2208" s="31"/>
      <c r="M2208" s="31"/>
      <c r="N2208" s="31"/>
      <c r="X2208" s="35"/>
      <c r="Y2208" s="102"/>
    </row>
    <row r="2209" spans="12:25" ht="25" customHeight="1">
      <c r="L2209" s="31"/>
      <c r="M2209" s="31"/>
      <c r="N2209" s="31"/>
      <c r="X2209" s="35"/>
      <c r="Y2209" s="102"/>
    </row>
    <row r="2210" spans="12:25" ht="25" customHeight="1">
      <c r="L2210" s="31"/>
      <c r="M2210" s="31"/>
      <c r="N2210" s="31"/>
      <c r="X2210" s="35"/>
      <c r="Y2210" s="102"/>
    </row>
    <row r="2211" spans="12:25" ht="25" customHeight="1">
      <c r="L2211" s="31"/>
      <c r="M2211" s="31"/>
      <c r="N2211" s="31"/>
      <c r="X2211" s="35"/>
      <c r="Y2211" s="102"/>
    </row>
    <row r="2212" spans="12:25" ht="25" customHeight="1">
      <c r="L2212" s="31"/>
      <c r="M2212" s="31"/>
      <c r="N2212" s="31"/>
      <c r="X2212" s="35"/>
      <c r="Y2212" s="102"/>
    </row>
    <row r="2213" spans="12:25" ht="25" customHeight="1">
      <c r="L2213" s="31"/>
      <c r="M2213" s="31"/>
      <c r="N2213" s="31"/>
      <c r="X2213" s="35"/>
      <c r="Y2213" s="102"/>
    </row>
    <row r="2214" spans="12:25" ht="25" customHeight="1">
      <c r="L2214" s="31"/>
      <c r="M2214" s="31"/>
      <c r="N2214" s="31"/>
      <c r="X2214" s="35"/>
      <c r="Y2214" s="102"/>
    </row>
    <row r="2215" spans="12:25" ht="25" customHeight="1">
      <c r="L2215" s="31"/>
      <c r="M2215" s="31"/>
      <c r="N2215" s="31"/>
      <c r="X2215" s="35"/>
      <c r="Y2215" s="102"/>
    </row>
    <row r="2216" spans="12:25" ht="25" customHeight="1">
      <c r="L2216" s="31"/>
      <c r="M2216" s="31"/>
      <c r="N2216" s="31"/>
      <c r="X2216" s="35"/>
      <c r="Y2216" s="102"/>
    </row>
    <row r="2217" spans="12:25" ht="25" customHeight="1">
      <c r="L2217" s="31"/>
      <c r="M2217" s="31"/>
      <c r="N2217" s="31"/>
      <c r="X2217" s="35"/>
      <c r="Y2217" s="102"/>
    </row>
    <row r="2218" spans="12:25" ht="25" customHeight="1">
      <c r="L2218" s="31"/>
      <c r="M2218" s="31"/>
      <c r="N2218" s="31"/>
      <c r="X2218" s="35"/>
      <c r="Y2218" s="102"/>
    </row>
    <row r="2219" spans="12:25" ht="25" customHeight="1">
      <c r="L2219" s="31"/>
      <c r="M2219" s="31"/>
      <c r="N2219" s="31"/>
      <c r="X2219" s="35"/>
      <c r="Y2219" s="102"/>
    </row>
    <row r="2220" spans="12:25" ht="25" customHeight="1">
      <c r="L2220" s="31"/>
      <c r="M2220" s="31"/>
      <c r="N2220" s="31"/>
      <c r="X2220" s="35"/>
      <c r="Y2220" s="102"/>
    </row>
    <row r="2221" spans="12:25" ht="25" customHeight="1">
      <c r="L2221" s="31"/>
      <c r="M2221" s="31"/>
      <c r="N2221" s="31"/>
      <c r="X2221" s="35"/>
      <c r="Y2221" s="102"/>
    </row>
    <row r="2222" spans="12:25" ht="25" customHeight="1">
      <c r="L2222" s="31"/>
      <c r="M2222" s="31"/>
      <c r="N2222" s="31"/>
      <c r="X2222" s="35"/>
      <c r="Y2222" s="102"/>
    </row>
    <row r="2223" spans="12:25" ht="25" customHeight="1">
      <c r="L2223" s="31"/>
      <c r="M2223" s="31"/>
      <c r="N2223" s="31"/>
      <c r="X2223" s="35"/>
      <c r="Y2223" s="102"/>
    </row>
    <row r="2224" spans="12:25" ht="25" customHeight="1">
      <c r="L2224" s="31"/>
      <c r="M2224" s="31"/>
      <c r="N2224" s="31"/>
      <c r="X2224" s="35"/>
      <c r="Y2224" s="102"/>
    </row>
    <row r="2225" spans="12:25" ht="25" customHeight="1">
      <c r="L2225" s="31"/>
      <c r="M2225" s="31"/>
      <c r="N2225" s="31"/>
      <c r="X2225" s="35"/>
      <c r="Y2225" s="102"/>
    </row>
    <row r="2226" spans="12:25" ht="25" customHeight="1">
      <c r="L2226" s="31"/>
      <c r="M2226" s="31"/>
      <c r="N2226" s="31"/>
      <c r="X2226" s="35"/>
      <c r="Y2226" s="102"/>
    </row>
    <row r="2227" spans="12:25" ht="25" customHeight="1">
      <c r="L2227" s="31"/>
      <c r="M2227" s="31"/>
      <c r="N2227" s="31"/>
      <c r="X2227" s="35"/>
      <c r="Y2227" s="102"/>
    </row>
    <row r="2228" spans="12:25" ht="25" customHeight="1">
      <c r="L2228" s="31"/>
      <c r="M2228" s="31"/>
      <c r="N2228" s="31"/>
      <c r="X2228" s="35"/>
      <c r="Y2228" s="102"/>
    </row>
    <row r="2229" spans="12:25" ht="25" customHeight="1">
      <c r="L2229" s="31"/>
      <c r="M2229" s="31"/>
      <c r="N2229" s="31"/>
      <c r="X2229" s="35"/>
      <c r="Y2229" s="102"/>
    </row>
    <row r="2230" spans="12:25" ht="25" customHeight="1">
      <c r="L2230" s="31"/>
      <c r="M2230" s="31"/>
      <c r="N2230" s="31"/>
      <c r="X2230" s="35"/>
      <c r="Y2230" s="102"/>
    </row>
    <row r="2231" spans="12:25" ht="25" customHeight="1">
      <c r="L2231" s="31"/>
      <c r="M2231" s="31"/>
      <c r="N2231" s="31"/>
      <c r="X2231" s="35"/>
      <c r="Y2231" s="102"/>
    </row>
    <row r="2232" spans="12:25" ht="25" customHeight="1">
      <c r="L2232" s="31"/>
      <c r="M2232" s="31"/>
      <c r="N2232" s="31"/>
      <c r="X2232" s="35"/>
      <c r="Y2232" s="102"/>
    </row>
    <row r="2233" spans="12:25" ht="25" customHeight="1">
      <c r="L2233" s="31"/>
      <c r="M2233" s="31"/>
      <c r="N2233" s="31"/>
      <c r="X2233" s="35"/>
      <c r="Y2233" s="102"/>
    </row>
    <row r="2234" spans="12:25" ht="25" customHeight="1">
      <c r="L2234" s="31"/>
      <c r="M2234" s="31"/>
      <c r="N2234" s="31"/>
      <c r="X2234" s="35"/>
      <c r="Y2234" s="102"/>
    </row>
    <row r="2235" spans="12:25" ht="25" customHeight="1">
      <c r="L2235" s="31"/>
      <c r="M2235" s="31"/>
      <c r="N2235" s="31"/>
      <c r="X2235" s="35"/>
      <c r="Y2235" s="102"/>
    </row>
    <row r="2236" spans="12:25" ht="25" customHeight="1">
      <c r="L2236" s="31"/>
      <c r="M2236" s="31"/>
      <c r="N2236" s="31"/>
      <c r="X2236" s="35"/>
      <c r="Y2236" s="102"/>
    </row>
    <row r="2237" spans="12:25" ht="25" customHeight="1">
      <c r="L2237" s="31"/>
      <c r="M2237" s="31"/>
      <c r="N2237" s="31"/>
      <c r="X2237" s="35"/>
      <c r="Y2237" s="102"/>
    </row>
    <row r="2238" spans="12:25" ht="25" customHeight="1">
      <c r="L2238" s="31"/>
      <c r="M2238" s="31"/>
      <c r="N2238" s="31"/>
      <c r="X2238" s="35"/>
      <c r="Y2238" s="102"/>
    </row>
    <row r="2239" spans="12:25" ht="25" customHeight="1">
      <c r="L2239" s="31"/>
      <c r="M2239" s="31"/>
      <c r="N2239" s="31"/>
      <c r="X2239" s="35"/>
      <c r="Y2239" s="102"/>
    </row>
    <row r="2240" spans="12:25" ht="25" customHeight="1">
      <c r="L2240" s="31"/>
      <c r="M2240" s="31"/>
      <c r="N2240" s="31"/>
      <c r="X2240" s="35"/>
      <c r="Y2240" s="102"/>
    </row>
    <row r="2241" spans="12:25" ht="25" customHeight="1">
      <c r="L2241" s="31"/>
      <c r="M2241" s="31"/>
      <c r="N2241" s="31"/>
      <c r="X2241" s="35"/>
      <c r="Y2241" s="102"/>
    </row>
    <row r="2242" spans="12:25" ht="25" customHeight="1">
      <c r="L2242" s="31"/>
      <c r="M2242" s="31"/>
      <c r="N2242" s="31"/>
      <c r="X2242" s="35"/>
      <c r="Y2242" s="102"/>
    </row>
    <row r="2243" spans="12:25" ht="25" customHeight="1">
      <c r="L2243" s="31"/>
      <c r="M2243" s="31"/>
      <c r="N2243" s="31"/>
      <c r="X2243" s="35"/>
      <c r="Y2243" s="102"/>
    </row>
    <row r="2244" spans="12:25" ht="25" customHeight="1">
      <c r="L2244" s="31"/>
      <c r="M2244" s="31"/>
      <c r="N2244" s="31"/>
      <c r="X2244" s="35"/>
      <c r="Y2244" s="102"/>
    </row>
    <row r="2245" spans="12:25" ht="25" customHeight="1">
      <c r="L2245" s="31"/>
      <c r="M2245" s="31"/>
      <c r="N2245" s="31"/>
      <c r="X2245" s="35"/>
      <c r="Y2245" s="102"/>
    </row>
    <row r="2246" spans="12:25" ht="25" customHeight="1">
      <c r="L2246" s="31"/>
      <c r="M2246" s="31"/>
      <c r="N2246" s="31"/>
      <c r="X2246" s="35"/>
      <c r="Y2246" s="102"/>
    </row>
    <row r="2247" spans="12:25" ht="25" customHeight="1">
      <c r="L2247" s="31"/>
      <c r="M2247" s="31"/>
      <c r="N2247" s="31"/>
      <c r="X2247" s="35"/>
      <c r="Y2247" s="102"/>
    </row>
    <row r="2248" spans="12:25" ht="25" customHeight="1">
      <c r="L2248" s="31"/>
      <c r="M2248" s="31"/>
      <c r="N2248" s="31"/>
      <c r="X2248" s="35"/>
      <c r="Y2248" s="102"/>
    </row>
    <row r="2249" spans="12:25" ht="25" customHeight="1">
      <c r="L2249" s="31"/>
      <c r="M2249" s="31"/>
      <c r="N2249" s="31"/>
      <c r="X2249" s="35"/>
      <c r="Y2249" s="102"/>
    </row>
    <row r="2250" spans="12:25" ht="25" customHeight="1">
      <c r="L2250" s="31"/>
      <c r="M2250" s="31"/>
      <c r="N2250" s="31"/>
      <c r="X2250" s="35"/>
      <c r="Y2250" s="102"/>
    </row>
    <row r="2251" spans="12:25" ht="25" customHeight="1">
      <c r="L2251" s="31"/>
      <c r="M2251" s="31"/>
      <c r="N2251" s="31"/>
      <c r="X2251" s="35"/>
      <c r="Y2251" s="102"/>
    </row>
    <row r="2252" spans="12:25" ht="25" customHeight="1">
      <c r="L2252" s="31"/>
      <c r="M2252" s="31"/>
      <c r="N2252" s="31"/>
      <c r="X2252" s="35"/>
      <c r="Y2252" s="102"/>
    </row>
    <row r="2253" spans="12:25" ht="25" customHeight="1">
      <c r="L2253" s="31"/>
      <c r="M2253" s="31"/>
      <c r="N2253" s="31"/>
      <c r="X2253" s="35"/>
      <c r="Y2253" s="102"/>
    </row>
    <row r="2254" spans="12:25" ht="25" customHeight="1">
      <c r="L2254" s="31"/>
      <c r="M2254" s="31"/>
      <c r="N2254" s="31"/>
      <c r="X2254" s="35"/>
      <c r="Y2254" s="102"/>
    </row>
    <row r="2255" spans="12:25" ht="25" customHeight="1">
      <c r="L2255" s="31"/>
      <c r="M2255" s="31"/>
      <c r="N2255" s="31"/>
      <c r="X2255" s="35"/>
      <c r="Y2255" s="102"/>
    </row>
    <row r="2256" spans="12:25" ht="25" customHeight="1">
      <c r="L2256" s="31"/>
      <c r="M2256" s="31"/>
      <c r="N2256" s="31"/>
      <c r="X2256" s="35"/>
      <c r="Y2256" s="102"/>
    </row>
    <row r="2257" spans="12:25" ht="25" customHeight="1">
      <c r="L2257" s="31"/>
      <c r="M2257" s="31"/>
      <c r="N2257" s="31"/>
      <c r="X2257" s="35"/>
      <c r="Y2257" s="102"/>
    </row>
    <row r="2258" spans="12:25" ht="25" customHeight="1">
      <c r="L2258" s="31"/>
      <c r="M2258" s="31"/>
      <c r="N2258" s="31"/>
      <c r="X2258" s="35"/>
      <c r="Y2258" s="102"/>
    </row>
    <row r="2259" spans="12:25" ht="25" customHeight="1">
      <c r="L2259" s="31"/>
      <c r="M2259" s="31"/>
      <c r="N2259" s="31"/>
      <c r="X2259" s="35"/>
      <c r="Y2259" s="102"/>
    </row>
    <row r="2260" spans="12:25" ht="25" customHeight="1">
      <c r="L2260" s="31"/>
      <c r="M2260" s="31"/>
      <c r="N2260" s="31"/>
      <c r="X2260" s="35"/>
      <c r="Y2260" s="102"/>
    </row>
    <row r="2261" spans="12:25" ht="25" customHeight="1">
      <c r="L2261" s="31"/>
      <c r="M2261" s="31"/>
      <c r="N2261" s="31"/>
      <c r="X2261" s="35"/>
      <c r="Y2261" s="102"/>
    </row>
    <row r="2262" spans="12:25" ht="25" customHeight="1">
      <c r="L2262" s="31"/>
      <c r="M2262" s="31"/>
      <c r="N2262" s="31"/>
      <c r="X2262" s="35"/>
      <c r="Y2262" s="102"/>
    </row>
    <row r="2263" spans="12:25" ht="25" customHeight="1">
      <c r="L2263" s="31"/>
      <c r="M2263" s="31"/>
      <c r="N2263" s="31"/>
      <c r="X2263" s="35"/>
      <c r="Y2263" s="102"/>
    </row>
    <row r="2264" spans="12:25" ht="25" customHeight="1">
      <c r="L2264" s="31"/>
      <c r="M2264" s="31"/>
      <c r="N2264" s="31"/>
      <c r="X2264" s="35"/>
      <c r="Y2264" s="102"/>
    </row>
    <row r="2265" spans="12:25" ht="25" customHeight="1">
      <c r="L2265" s="31"/>
      <c r="M2265" s="31"/>
      <c r="N2265" s="31"/>
      <c r="X2265" s="35"/>
      <c r="Y2265" s="102"/>
    </row>
    <row r="2266" spans="12:25" ht="25" customHeight="1">
      <c r="L2266" s="31"/>
      <c r="M2266" s="31"/>
      <c r="N2266" s="31"/>
      <c r="X2266" s="35"/>
      <c r="Y2266" s="102"/>
    </row>
    <row r="2267" spans="12:25" ht="25" customHeight="1">
      <c r="L2267" s="31"/>
      <c r="M2267" s="31"/>
      <c r="N2267" s="31"/>
      <c r="X2267" s="35"/>
      <c r="Y2267" s="102"/>
    </row>
    <row r="2268" spans="12:25" ht="25" customHeight="1">
      <c r="L2268" s="31"/>
      <c r="M2268" s="31"/>
      <c r="N2268" s="31"/>
      <c r="X2268" s="35"/>
      <c r="Y2268" s="102"/>
    </row>
    <row r="2269" spans="12:25" ht="25" customHeight="1">
      <c r="L2269" s="31"/>
      <c r="M2269" s="31"/>
      <c r="N2269" s="31"/>
      <c r="X2269" s="35"/>
      <c r="Y2269" s="102"/>
    </row>
    <row r="2270" spans="12:25" ht="25" customHeight="1">
      <c r="L2270" s="31"/>
      <c r="M2270" s="31"/>
      <c r="N2270" s="31"/>
      <c r="X2270" s="35"/>
      <c r="Y2270" s="102"/>
    </row>
    <row r="2271" spans="12:25" ht="25" customHeight="1">
      <c r="L2271" s="31"/>
      <c r="M2271" s="31"/>
      <c r="N2271" s="31"/>
      <c r="X2271" s="35"/>
      <c r="Y2271" s="102"/>
    </row>
    <row r="2272" spans="12:25" ht="25" customHeight="1">
      <c r="L2272" s="31"/>
      <c r="M2272" s="31"/>
      <c r="N2272" s="31"/>
      <c r="X2272" s="35"/>
      <c r="Y2272" s="102"/>
    </row>
    <row r="2273" spans="12:25" ht="25" customHeight="1">
      <c r="L2273" s="31"/>
      <c r="M2273" s="31"/>
      <c r="N2273" s="31"/>
      <c r="X2273" s="35"/>
      <c r="Y2273" s="102"/>
    </row>
    <row r="2274" spans="12:25" ht="25" customHeight="1">
      <c r="L2274" s="31"/>
      <c r="M2274" s="31"/>
      <c r="N2274" s="31"/>
      <c r="X2274" s="35"/>
      <c r="Y2274" s="102"/>
    </row>
    <row r="2275" spans="12:25" ht="25" customHeight="1">
      <c r="L2275" s="31"/>
      <c r="M2275" s="31"/>
      <c r="N2275" s="31"/>
      <c r="X2275" s="35"/>
      <c r="Y2275" s="102"/>
    </row>
    <row r="2276" spans="12:25" ht="25" customHeight="1">
      <c r="L2276" s="31"/>
      <c r="M2276" s="31"/>
      <c r="N2276" s="31"/>
      <c r="X2276" s="35"/>
      <c r="Y2276" s="102"/>
    </row>
    <row r="2277" spans="12:25" ht="25" customHeight="1">
      <c r="L2277" s="31"/>
      <c r="M2277" s="31"/>
      <c r="N2277" s="31"/>
      <c r="X2277" s="35"/>
      <c r="Y2277" s="102"/>
    </row>
    <row r="2278" spans="12:25" ht="25" customHeight="1">
      <c r="L2278" s="31"/>
      <c r="M2278" s="31"/>
      <c r="N2278" s="31"/>
      <c r="X2278" s="35"/>
      <c r="Y2278" s="102"/>
    </row>
    <row r="2279" spans="12:25" ht="25" customHeight="1">
      <c r="L2279" s="31"/>
      <c r="M2279" s="31"/>
      <c r="N2279" s="31"/>
      <c r="X2279" s="35"/>
      <c r="Y2279" s="102"/>
    </row>
    <row r="2280" spans="12:25" ht="25" customHeight="1">
      <c r="L2280" s="31"/>
      <c r="M2280" s="31"/>
      <c r="N2280" s="31"/>
      <c r="X2280" s="35"/>
      <c r="Y2280" s="102"/>
    </row>
    <row r="2281" spans="12:25" ht="25" customHeight="1">
      <c r="L2281" s="31"/>
      <c r="M2281" s="31"/>
      <c r="N2281" s="31"/>
      <c r="X2281" s="35"/>
      <c r="Y2281" s="102"/>
    </row>
    <row r="2282" spans="12:25" ht="25" customHeight="1">
      <c r="L2282" s="31"/>
      <c r="M2282" s="31"/>
      <c r="N2282" s="31"/>
      <c r="X2282" s="35"/>
      <c r="Y2282" s="102"/>
    </row>
    <row r="2283" spans="12:25" ht="25" customHeight="1">
      <c r="L2283" s="31"/>
      <c r="M2283" s="31"/>
      <c r="N2283" s="31"/>
      <c r="X2283" s="35"/>
      <c r="Y2283" s="102"/>
    </row>
    <row r="2284" spans="12:25" ht="25" customHeight="1">
      <c r="L2284" s="31"/>
      <c r="M2284" s="31"/>
      <c r="N2284" s="31"/>
      <c r="X2284" s="35"/>
      <c r="Y2284" s="102"/>
    </row>
    <row r="2285" spans="12:25" ht="25" customHeight="1">
      <c r="L2285" s="31"/>
      <c r="M2285" s="31"/>
      <c r="N2285" s="31"/>
      <c r="X2285" s="35"/>
      <c r="Y2285" s="102"/>
    </row>
    <row r="2286" spans="12:25" ht="25" customHeight="1">
      <c r="L2286" s="31"/>
      <c r="M2286" s="31"/>
      <c r="N2286" s="31"/>
      <c r="X2286" s="35"/>
      <c r="Y2286" s="102"/>
    </row>
    <row r="2287" spans="12:25" ht="25" customHeight="1">
      <c r="L2287" s="31"/>
      <c r="M2287" s="31"/>
      <c r="N2287" s="31"/>
      <c r="X2287" s="35"/>
      <c r="Y2287" s="102"/>
    </row>
    <row r="2288" spans="12:25" ht="25" customHeight="1">
      <c r="L2288" s="31"/>
      <c r="M2288" s="31"/>
      <c r="N2288" s="31"/>
      <c r="X2288" s="35"/>
      <c r="Y2288" s="102"/>
    </row>
    <row r="2289" spans="12:25" ht="25" customHeight="1">
      <c r="L2289" s="31"/>
      <c r="M2289" s="31"/>
      <c r="N2289" s="31"/>
      <c r="X2289" s="35"/>
      <c r="Y2289" s="102"/>
    </row>
    <row r="2290" spans="12:25" ht="25" customHeight="1">
      <c r="L2290" s="31"/>
      <c r="M2290" s="31"/>
      <c r="N2290" s="31"/>
      <c r="X2290" s="35"/>
      <c r="Y2290" s="102"/>
    </row>
    <row r="2291" spans="12:25" ht="25" customHeight="1">
      <c r="L2291" s="31"/>
      <c r="M2291" s="31"/>
      <c r="N2291" s="31"/>
      <c r="X2291" s="35"/>
      <c r="Y2291" s="102"/>
    </row>
    <row r="2292" spans="12:25" ht="25" customHeight="1">
      <c r="L2292" s="31"/>
      <c r="M2292" s="31"/>
      <c r="N2292" s="31"/>
      <c r="X2292" s="35"/>
      <c r="Y2292" s="102"/>
    </row>
    <row r="2293" spans="12:25" ht="25" customHeight="1">
      <c r="L2293" s="31"/>
      <c r="M2293" s="31"/>
      <c r="N2293" s="31"/>
      <c r="X2293" s="35"/>
      <c r="Y2293" s="102"/>
    </row>
    <row r="2294" spans="12:25" ht="25" customHeight="1">
      <c r="L2294" s="31"/>
      <c r="M2294" s="31"/>
      <c r="N2294" s="31"/>
      <c r="X2294" s="35"/>
      <c r="Y2294" s="102"/>
    </row>
    <row r="2295" spans="12:25" ht="25" customHeight="1">
      <c r="L2295" s="31"/>
      <c r="M2295" s="31"/>
      <c r="N2295" s="31"/>
      <c r="X2295" s="35"/>
      <c r="Y2295" s="102"/>
    </row>
    <row r="2296" spans="12:25" ht="25" customHeight="1">
      <c r="L2296" s="31"/>
      <c r="M2296" s="31"/>
      <c r="N2296" s="31"/>
      <c r="X2296" s="35"/>
      <c r="Y2296" s="102"/>
    </row>
    <row r="2297" spans="12:25" ht="25" customHeight="1">
      <c r="L2297" s="31"/>
      <c r="M2297" s="31"/>
      <c r="N2297" s="31"/>
      <c r="X2297" s="35"/>
      <c r="Y2297" s="102"/>
    </row>
    <row r="2298" spans="12:25" ht="25" customHeight="1">
      <c r="L2298" s="31"/>
      <c r="M2298" s="31"/>
      <c r="N2298" s="31"/>
      <c r="X2298" s="35"/>
      <c r="Y2298" s="102"/>
    </row>
    <row r="2299" spans="12:25" ht="25" customHeight="1">
      <c r="L2299" s="31"/>
      <c r="M2299" s="31"/>
      <c r="N2299" s="31"/>
      <c r="X2299" s="35"/>
      <c r="Y2299" s="102"/>
    </row>
    <row r="2300" spans="12:25" ht="25" customHeight="1">
      <c r="L2300" s="31"/>
      <c r="M2300" s="31"/>
      <c r="N2300" s="31"/>
      <c r="X2300" s="35"/>
      <c r="Y2300" s="102"/>
    </row>
    <row r="2301" spans="12:25" ht="25" customHeight="1">
      <c r="L2301" s="31"/>
      <c r="M2301" s="31"/>
      <c r="N2301" s="31"/>
      <c r="X2301" s="35"/>
      <c r="Y2301" s="102"/>
    </row>
    <row r="2302" spans="12:25" ht="25" customHeight="1">
      <c r="L2302" s="31"/>
      <c r="M2302" s="31"/>
      <c r="N2302" s="31"/>
      <c r="X2302" s="35"/>
      <c r="Y2302" s="102"/>
    </row>
    <row r="2303" spans="12:25" ht="25" customHeight="1">
      <c r="L2303" s="31"/>
      <c r="M2303" s="31"/>
      <c r="N2303" s="31"/>
      <c r="X2303" s="35"/>
      <c r="Y2303" s="102"/>
    </row>
    <row r="2304" spans="12:25" ht="25" customHeight="1">
      <c r="L2304" s="31"/>
      <c r="M2304" s="31"/>
      <c r="N2304" s="31"/>
      <c r="X2304" s="35"/>
      <c r="Y2304" s="102"/>
    </row>
    <row r="2305" spans="12:25" ht="25" customHeight="1">
      <c r="L2305" s="31"/>
      <c r="M2305" s="31"/>
      <c r="N2305" s="31"/>
      <c r="X2305" s="35"/>
      <c r="Y2305" s="102"/>
    </row>
    <row r="2306" spans="12:25" ht="25" customHeight="1">
      <c r="L2306" s="31"/>
      <c r="M2306" s="31"/>
      <c r="N2306" s="31"/>
      <c r="X2306" s="35"/>
      <c r="Y2306" s="102"/>
    </row>
    <row r="2307" spans="12:25" ht="25" customHeight="1">
      <c r="L2307" s="31"/>
      <c r="M2307" s="31"/>
      <c r="N2307" s="31"/>
      <c r="X2307" s="35"/>
      <c r="Y2307" s="102"/>
    </row>
    <row r="2308" spans="12:25" ht="25" customHeight="1">
      <c r="L2308" s="31"/>
      <c r="M2308" s="31"/>
      <c r="N2308" s="31"/>
      <c r="X2308" s="35"/>
      <c r="Y2308" s="102"/>
    </row>
    <row r="2309" spans="12:25" ht="25" customHeight="1">
      <c r="L2309" s="31"/>
      <c r="M2309" s="31"/>
      <c r="N2309" s="31"/>
      <c r="X2309" s="35"/>
      <c r="Y2309" s="102"/>
    </row>
    <row r="2310" spans="12:25" ht="25" customHeight="1">
      <c r="L2310" s="31"/>
      <c r="M2310" s="31"/>
      <c r="N2310" s="31"/>
      <c r="X2310" s="35"/>
      <c r="Y2310" s="102"/>
    </row>
    <row r="2311" spans="12:25" ht="25" customHeight="1">
      <c r="L2311" s="31"/>
      <c r="M2311" s="31"/>
      <c r="N2311" s="31"/>
      <c r="X2311" s="35"/>
      <c r="Y2311" s="102"/>
    </row>
    <row r="2312" spans="12:25" ht="25" customHeight="1">
      <c r="L2312" s="31"/>
      <c r="M2312" s="31"/>
      <c r="N2312" s="31"/>
      <c r="X2312" s="35"/>
      <c r="Y2312" s="102"/>
    </row>
    <row r="2313" spans="12:25" ht="25" customHeight="1">
      <c r="L2313" s="31"/>
      <c r="M2313" s="31"/>
      <c r="N2313" s="31"/>
      <c r="X2313" s="35"/>
      <c r="Y2313" s="102"/>
    </row>
    <row r="2314" spans="12:25" ht="25" customHeight="1">
      <c r="L2314" s="31"/>
      <c r="M2314" s="31"/>
      <c r="N2314" s="31"/>
      <c r="X2314" s="35"/>
      <c r="Y2314" s="102"/>
    </row>
    <row r="2315" spans="12:25" ht="25" customHeight="1">
      <c r="L2315" s="31"/>
      <c r="M2315" s="31"/>
      <c r="N2315" s="31"/>
      <c r="X2315" s="35"/>
      <c r="Y2315" s="102"/>
    </row>
    <row r="2316" spans="12:25" ht="25" customHeight="1">
      <c r="L2316" s="31"/>
      <c r="M2316" s="31"/>
      <c r="N2316" s="31"/>
      <c r="X2316" s="35"/>
      <c r="Y2316" s="102"/>
    </row>
    <row r="2317" spans="12:25" ht="25" customHeight="1">
      <c r="L2317" s="31"/>
      <c r="M2317" s="31"/>
      <c r="N2317" s="31"/>
      <c r="X2317" s="35"/>
      <c r="Y2317" s="102"/>
    </row>
    <row r="2318" spans="12:25" ht="25" customHeight="1">
      <c r="L2318" s="31"/>
      <c r="M2318" s="31"/>
      <c r="N2318" s="31"/>
      <c r="X2318" s="35"/>
      <c r="Y2318" s="102"/>
    </row>
    <row r="2319" spans="12:25" ht="25" customHeight="1">
      <c r="L2319" s="31"/>
      <c r="M2319" s="31"/>
      <c r="N2319" s="31"/>
      <c r="X2319" s="35"/>
      <c r="Y2319" s="102"/>
    </row>
    <row r="2320" spans="12:25" ht="25" customHeight="1">
      <c r="L2320" s="31"/>
      <c r="M2320" s="31"/>
      <c r="N2320" s="31"/>
      <c r="X2320" s="35"/>
      <c r="Y2320" s="102"/>
    </row>
    <row r="2321" spans="12:25" ht="25" customHeight="1">
      <c r="L2321" s="31"/>
      <c r="M2321" s="31"/>
      <c r="N2321" s="31"/>
      <c r="X2321" s="35"/>
      <c r="Y2321" s="102"/>
    </row>
    <row r="2322" spans="12:25" ht="25" customHeight="1">
      <c r="L2322" s="31"/>
      <c r="M2322" s="31"/>
      <c r="N2322" s="31"/>
      <c r="X2322" s="35"/>
      <c r="Y2322" s="102"/>
    </row>
    <row r="2323" spans="12:25" ht="25" customHeight="1">
      <c r="L2323" s="31"/>
      <c r="M2323" s="31"/>
      <c r="N2323" s="31"/>
      <c r="X2323" s="35"/>
      <c r="Y2323" s="102"/>
    </row>
    <row r="2324" spans="12:25" ht="25" customHeight="1">
      <c r="L2324" s="31"/>
      <c r="M2324" s="31"/>
      <c r="N2324" s="31"/>
      <c r="X2324" s="35"/>
      <c r="Y2324" s="102"/>
    </row>
    <row r="2325" spans="12:25" ht="25" customHeight="1">
      <c r="L2325" s="31"/>
      <c r="M2325" s="31"/>
      <c r="N2325" s="31"/>
      <c r="X2325" s="35"/>
      <c r="Y2325" s="102"/>
    </row>
    <row r="2326" spans="12:25" ht="25" customHeight="1">
      <c r="L2326" s="31"/>
      <c r="M2326" s="31"/>
      <c r="N2326" s="31"/>
      <c r="X2326" s="35"/>
      <c r="Y2326" s="102"/>
    </row>
    <row r="2327" spans="12:25" ht="25" customHeight="1">
      <c r="L2327" s="31"/>
      <c r="M2327" s="31"/>
      <c r="N2327" s="31"/>
      <c r="X2327" s="35"/>
      <c r="Y2327" s="102"/>
    </row>
    <row r="2328" spans="12:25" ht="25" customHeight="1">
      <c r="L2328" s="31"/>
      <c r="M2328" s="31"/>
      <c r="N2328" s="31"/>
      <c r="X2328" s="35"/>
      <c r="Y2328" s="102"/>
    </row>
    <row r="2329" spans="12:25" ht="25" customHeight="1">
      <c r="L2329" s="31"/>
      <c r="M2329" s="31"/>
      <c r="N2329" s="31"/>
      <c r="X2329" s="35"/>
      <c r="Y2329" s="102"/>
    </row>
    <row r="2330" spans="12:25" ht="25" customHeight="1">
      <c r="L2330" s="31"/>
      <c r="M2330" s="31"/>
      <c r="N2330" s="31"/>
      <c r="X2330" s="35"/>
      <c r="Y2330" s="102"/>
    </row>
    <row r="2331" spans="12:25" ht="25" customHeight="1">
      <c r="L2331" s="31"/>
      <c r="M2331" s="31"/>
      <c r="N2331" s="31"/>
      <c r="X2331" s="35"/>
      <c r="Y2331" s="102"/>
    </row>
    <row r="2332" spans="12:25" ht="25" customHeight="1">
      <c r="L2332" s="31"/>
      <c r="M2332" s="31"/>
      <c r="N2332" s="31"/>
      <c r="X2332" s="35"/>
      <c r="Y2332" s="102"/>
    </row>
    <row r="2333" spans="12:25" ht="25" customHeight="1">
      <c r="L2333" s="31"/>
      <c r="M2333" s="31"/>
      <c r="N2333" s="31"/>
      <c r="X2333" s="35"/>
      <c r="Y2333" s="102"/>
    </row>
    <row r="2334" spans="12:25" ht="25" customHeight="1">
      <c r="L2334" s="31"/>
      <c r="M2334" s="31"/>
      <c r="N2334" s="31"/>
      <c r="X2334" s="35"/>
      <c r="Y2334" s="102"/>
    </row>
    <row r="2335" spans="12:25" ht="25" customHeight="1">
      <c r="L2335" s="31"/>
      <c r="M2335" s="31"/>
      <c r="N2335" s="31"/>
      <c r="X2335" s="35"/>
      <c r="Y2335" s="102"/>
    </row>
    <row r="2336" spans="12:25" ht="25" customHeight="1">
      <c r="L2336" s="31"/>
      <c r="M2336" s="31"/>
      <c r="N2336" s="31"/>
      <c r="X2336" s="35"/>
      <c r="Y2336" s="102"/>
    </row>
    <row r="2337" spans="12:25" ht="25" customHeight="1">
      <c r="L2337" s="31"/>
      <c r="M2337" s="31"/>
      <c r="N2337" s="31"/>
      <c r="X2337" s="35"/>
      <c r="Y2337" s="102"/>
    </row>
    <row r="2338" spans="12:25" ht="25" customHeight="1">
      <c r="L2338" s="31"/>
      <c r="M2338" s="31"/>
      <c r="N2338" s="31"/>
      <c r="X2338" s="35"/>
      <c r="Y2338" s="102"/>
    </row>
    <row r="2339" spans="12:25" ht="25" customHeight="1">
      <c r="L2339" s="31"/>
      <c r="M2339" s="31"/>
      <c r="N2339" s="31"/>
      <c r="X2339" s="35"/>
      <c r="Y2339" s="102"/>
    </row>
    <row r="2340" spans="12:25" ht="25" customHeight="1">
      <c r="L2340" s="31"/>
      <c r="M2340" s="31"/>
      <c r="N2340" s="31"/>
      <c r="X2340" s="35"/>
      <c r="Y2340" s="102"/>
    </row>
    <row r="2341" spans="12:25" ht="25" customHeight="1">
      <c r="L2341" s="31"/>
      <c r="M2341" s="31"/>
      <c r="N2341" s="31"/>
      <c r="X2341" s="35"/>
      <c r="Y2341" s="102"/>
    </row>
    <row r="2342" spans="12:25" ht="25" customHeight="1">
      <c r="L2342" s="31"/>
      <c r="M2342" s="31"/>
      <c r="N2342" s="31"/>
      <c r="X2342" s="35"/>
      <c r="Y2342" s="102"/>
    </row>
    <row r="2343" spans="12:25" ht="25" customHeight="1">
      <c r="L2343" s="31"/>
      <c r="M2343" s="31"/>
      <c r="N2343" s="31"/>
      <c r="X2343" s="35"/>
      <c r="Y2343" s="102"/>
    </row>
    <row r="2344" spans="12:25" ht="25" customHeight="1">
      <c r="L2344" s="31"/>
      <c r="M2344" s="31"/>
      <c r="N2344" s="31"/>
      <c r="X2344" s="35"/>
      <c r="Y2344" s="102"/>
    </row>
    <row r="2345" spans="12:25" ht="25" customHeight="1">
      <c r="L2345" s="31"/>
      <c r="M2345" s="31"/>
      <c r="N2345" s="31"/>
      <c r="X2345" s="35"/>
      <c r="Y2345" s="102"/>
    </row>
    <row r="2346" spans="12:25" ht="25" customHeight="1">
      <c r="L2346" s="31"/>
      <c r="M2346" s="31"/>
      <c r="N2346" s="31"/>
      <c r="X2346" s="35"/>
      <c r="Y2346" s="102"/>
    </row>
    <row r="2347" spans="12:25" ht="25" customHeight="1">
      <c r="L2347" s="31"/>
      <c r="M2347" s="31"/>
      <c r="N2347" s="31"/>
      <c r="X2347" s="35"/>
      <c r="Y2347" s="102"/>
    </row>
    <row r="2348" spans="12:25" ht="25" customHeight="1">
      <c r="L2348" s="31"/>
      <c r="M2348" s="31"/>
      <c r="N2348" s="31"/>
      <c r="X2348" s="35"/>
      <c r="Y2348" s="102"/>
    </row>
    <row r="2349" spans="12:25" ht="25" customHeight="1">
      <c r="L2349" s="31"/>
      <c r="M2349" s="31"/>
      <c r="N2349" s="31"/>
      <c r="X2349" s="35"/>
      <c r="Y2349" s="102"/>
    </row>
    <row r="2350" spans="12:25" ht="25" customHeight="1">
      <c r="L2350" s="31"/>
      <c r="M2350" s="31"/>
      <c r="N2350" s="31"/>
      <c r="X2350" s="35"/>
      <c r="Y2350" s="102"/>
    </row>
    <row r="2351" spans="12:25" ht="25" customHeight="1">
      <c r="L2351" s="31"/>
      <c r="M2351" s="31"/>
      <c r="N2351" s="31"/>
      <c r="X2351" s="35"/>
      <c r="Y2351" s="102"/>
    </row>
    <row r="2352" spans="12:25" ht="25" customHeight="1">
      <c r="L2352" s="31"/>
      <c r="M2352" s="31"/>
      <c r="N2352" s="31"/>
      <c r="X2352" s="35"/>
      <c r="Y2352" s="102"/>
    </row>
    <row r="2353" spans="12:25" ht="25" customHeight="1">
      <c r="L2353" s="31"/>
      <c r="M2353" s="31"/>
      <c r="N2353" s="31"/>
      <c r="X2353" s="35"/>
      <c r="Y2353" s="102"/>
    </row>
    <row r="2354" spans="12:25" ht="25" customHeight="1">
      <c r="L2354" s="31"/>
      <c r="M2354" s="31"/>
      <c r="N2354" s="31"/>
      <c r="X2354" s="35"/>
      <c r="Y2354" s="102"/>
    </row>
    <row r="2355" spans="12:25" ht="25" customHeight="1">
      <c r="L2355" s="31"/>
      <c r="M2355" s="31"/>
      <c r="N2355" s="31"/>
      <c r="X2355" s="35"/>
      <c r="Y2355" s="102"/>
    </row>
    <row r="2356" spans="12:25" ht="25" customHeight="1">
      <c r="L2356" s="31"/>
      <c r="M2356" s="31"/>
      <c r="N2356" s="31"/>
      <c r="X2356" s="35"/>
      <c r="Y2356" s="102"/>
    </row>
    <row r="2357" spans="12:25" ht="25" customHeight="1">
      <c r="L2357" s="31"/>
      <c r="M2357" s="31"/>
      <c r="N2357" s="31"/>
      <c r="X2357" s="35"/>
      <c r="Y2357" s="102"/>
    </row>
    <row r="2358" spans="12:25" ht="25" customHeight="1">
      <c r="L2358" s="31"/>
      <c r="M2358" s="31"/>
      <c r="N2358" s="31"/>
      <c r="X2358" s="35"/>
      <c r="Y2358" s="102"/>
    </row>
    <row r="2359" spans="12:25" ht="25" customHeight="1">
      <c r="L2359" s="31"/>
      <c r="M2359" s="31"/>
      <c r="N2359" s="31"/>
      <c r="X2359" s="35"/>
      <c r="Y2359" s="102"/>
    </row>
    <row r="2360" spans="12:25" ht="25" customHeight="1">
      <c r="L2360" s="31"/>
      <c r="M2360" s="31"/>
      <c r="N2360" s="31"/>
      <c r="X2360" s="35"/>
      <c r="Y2360" s="102"/>
    </row>
    <row r="2361" spans="12:25" ht="25" customHeight="1">
      <c r="L2361" s="31"/>
      <c r="M2361" s="31"/>
      <c r="N2361" s="31"/>
      <c r="X2361" s="35"/>
      <c r="Y2361" s="102"/>
    </row>
    <row r="2362" spans="12:25" ht="25" customHeight="1">
      <c r="L2362" s="31"/>
      <c r="M2362" s="31"/>
      <c r="N2362" s="31"/>
      <c r="X2362" s="35"/>
      <c r="Y2362" s="102"/>
    </row>
    <row r="2363" spans="12:25" ht="25" customHeight="1">
      <c r="L2363" s="31"/>
      <c r="M2363" s="31"/>
      <c r="N2363" s="31"/>
      <c r="X2363" s="35"/>
      <c r="Y2363" s="102"/>
    </row>
    <row r="2364" spans="12:25" ht="25" customHeight="1">
      <c r="L2364" s="31"/>
      <c r="M2364" s="31"/>
      <c r="N2364" s="31"/>
      <c r="X2364" s="35"/>
      <c r="Y2364" s="102"/>
    </row>
    <row r="2365" spans="12:25" ht="25" customHeight="1">
      <c r="L2365" s="31"/>
      <c r="M2365" s="31"/>
      <c r="N2365" s="31"/>
      <c r="X2365" s="35"/>
      <c r="Y2365" s="102"/>
    </row>
    <row r="2366" spans="12:25" ht="25" customHeight="1">
      <c r="L2366" s="31"/>
      <c r="M2366" s="31"/>
      <c r="N2366" s="31"/>
      <c r="X2366" s="35"/>
      <c r="Y2366" s="102"/>
    </row>
    <row r="2367" spans="12:25" ht="25" customHeight="1">
      <c r="L2367" s="31"/>
      <c r="M2367" s="31"/>
      <c r="N2367" s="31"/>
      <c r="X2367" s="35"/>
      <c r="Y2367" s="102"/>
    </row>
    <row r="2368" spans="12:25" ht="25" customHeight="1">
      <c r="L2368" s="31"/>
      <c r="M2368" s="31"/>
      <c r="N2368" s="31"/>
      <c r="X2368" s="35"/>
      <c r="Y2368" s="102"/>
    </row>
    <row r="2369" spans="12:25" ht="25" customHeight="1">
      <c r="L2369" s="31"/>
      <c r="M2369" s="31"/>
      <c r="N2369" s="31"/>
      <c r="X2369" s="35"/>
      <c r="Y2369" s="102"/>
    </row>
    <row r="2370" spans="12:25" ht="25" customHeight="1">
      <c r="L2370" s="31"/>
      <c r="M2370" s="31"/>
      <c r="N2370" s="31"/>
      <c r="X2370" s="35"/>
      <c r="Y2370" s="102"/>
    </row>
    <row r="2371" spans="12:25" ht="25" customHeight="1">
      <c r="L2371" s="31"/>
      <c r="M2371" s="31"/>
      <c r="N2371" s="31"/>
      <c r="X2371" s="35"/>
      <c r="Y2371" s="102"/>
    </row>
    <row r="2372" spans="12:25" ht="25" customHeight="1">
      <c r="L2372" s="31"/>
      <c r="M2372" s="31"/>
      <c r="N2372" s="31"/>
      <c r="X2372" s="35"/>
      <c r="Y2372" s="102"/>
    </row>
    <row r="2373" spans="12:25" ht="25" customHeight="1">
      <c r="L2373" s="31"/>
      <c r="M2373" s="31"/>
      <c r="N2373" s="31"/>
      <c r="X2373" s="35"/>
      <c r="Y2373" s="102"/>
    </row>
    <row r="2374" spans="12:25" ht="25" customHeight="1">
      <c r="L2374" s="31"/>
      <c r="M2374" s="31"/>
      <c r="N2374" s="31"/>
      <c r="X2374" s="35"/>
      <c r="Y2374" s="102"/>
    </row>
    <row r="2375" spans="12:25" ht="25" customHeight="1">
      <c r="L2375" s="31"/>
      <c r="M2375" s="31"/>
      <c r="N2375" s="31"/>
      <c r="X2375" s="35"/>
      <c r="Y2375" s="102"/>
    </row>
    <row r="2376" spans="12:25" ht="25" customHeight="1">
      <c r="L2376" s="31"/>
      <c r="M2376" s="31"/>
      <c r="N2376" s="31"/>
      <c r="X2376" s="35"/>
      <c r="Y2376" s="102"/>
    </row>
    <row r="2377" spans="12:25" ht="25" customHeight="1">
      <c r="L2377" s="31"/>
      <c r="M2377" s="31"/>
      <c r="N2377" s="31"/>
      <c r="X2377" s="35"/>
      <c r="Y2377" s="102"/>
    </row>
    <row r="2378" spans="12:25" ht="25" customHeight="1">
      <c r="L2378" s="31"/>
      <c r="M2378" s="31"/>
      <c r="N2378" s="31"/>
      <c r="X2378" s="35"/>
      <c r="Y2378" s="102"/>
    </row>
    <row r="2379" spans="12:25" ht="25" customHeight="1">
      <c r="L2379" s="31"/>
      <c r="M2379" s="31"/>
      <c r="N2379" s="31"/>
      <c r="X2379" s="35"/>
      <c r="Y2379" s="102"/>
    </row>
    <row r="2380" spans="12:25" ht="25" customHeight="1">
      <c r="L2380" s="31"/>
      <c r="M2380" s="31"/>
      <c r="N2380" s="31"/>
      <c r="X2380" s="35"/>
      <c r="Y2380" s="102"/>
    </row>
    <row r="2381" spans="12:25" ht="25" customHeight="1">
      <c r="L2381" s="31"/>
      <c r="M2381" s="31"/>
      <c r="N2381" s="31"/>
      <c r="X2381" s="35"/>
      <c r="Y2381" s="102"/>
    </row>
    <row r="2382" spans="12:25" ht="25" customHeight="1">
      <c r="L2382" s="31"/>
      <c r="M2382" s="31"/>
      <c r="N2382" s="31"/>
      <c r="X2382" s="35"/>
      <c r="Y2382" s="102"/>
    </row>
    <row r="2383" spans="12:25" ht="25" customHeight="1">
      <c r="L2383" s="31"/>
      <c r="M2383" s="31"/>
      <c r="N2383" s="31"/>
      <c r="X2383" s="35"/>
      <c r="Y2383" s="102"/>
    </row>
    <row r="2384" spans="12:25" ht="25" customHeight="1">
      <c r="L2384" s="31"/>
      <c r="M2384" s="31"/>
      <c r="N2384" s="31"/>
      <c r="X2384" s="35"/>
      <c r="Y2384" s="102"/>
    </row>
    <row r="2385" spans="12:25" ht="25" customHeight="1">
      <c r="L2385" s="31"/>
      <c r="M2385" s="31"/>
      <c r="N2385" s="31"/>
      <c r="X2385" s="35"/>
      <c r="Y2385" s="102"/>
    </row>
    <row r="2386" spans="12:25" ht="25" customHeight="1">
      <c r="L2386" s="31"/>
      <c r="M2386" s="31"/>
      <c r="N2386" s="31"/>
      <c r="X2386" s="35"/>
      <c r="Y2386" s="102"/>
    </row>
    <row r="2387" spans="12:25" ht="25" customHeight="1">
      <c r="L2387" s="31"/>
      <c r="M2387" s="31"/>
      <c r="N2387" s="31"/>
      <c r="X2387" s="35"/>
      <c r="Y2387" s="102"/>
    </row>
    <row r="2388" spans="12:25" ht="25" customHeight="1">
      <c r="L2388" s="31"/>
      <c r="M2388" s="31"/>
      <c r="N2388" s="31"/>
      <c r="X2388" s="35"/>
      <c r="Y2388" s="102"/>
    </row>
    <row r="2389" spans="12:25" ht="25" customHeight="1">
      <c r="L2389" s="31"/>
      <c r="M2389" s="31"/>
      <c r="N2389" s="31"/>
      <c r="X2389" s="35"/>
      <c r="Y2389" s="102"/>
    </row>
    <row r="2390" spans="12:25" ht="25" customHeight="1">
      <c r="L2390" s="31"/>
      <c r="M2390" s="31"/>
      <c r="N2390" s="31"/>
      <c r="X2390" s="35"/>
      <c r="Y2390" s="102"/>
    </row>
    <row r="2391" spans="12:25" ht="25" customHeight="1">
      <c r="L2391" s="31"/>
      <c r="M2391" s="31"/>
      <c r="N2391" s="31"/>
      <c r="X2391" s="35"/>
      <c r="Y2391" s="102"/>
    </row>
    <row r="2392" spans="12:25" ht="25" customHeight="1">
      <c r="L2392" s="31"/>
      <c r="M2392" s="31"/>
      <c r="N2392" s="31"/>
      <c r="X2392" s="35"/>
      <c r="Y2392" s="102"/>
    </row>
    <row r="2393" spans="12:25" ht="25" customHeight="1">
      <c r="L2393" s="31"/>
      <c r="M2393" s="31"/>
      <c r="N2393" s="31"/>
      <c r="X2393" s="35"/>
      <c r="Y2393" s="102"/>
    </row>
    <row r="2394" spans="12:25" ht="25" customHeight="1">
      <c r="L2394" s="31"/>
      <c r="M2394" s="31"/>
      <c r="N2394" s="31"/>
      <c r="X2394" s="35"/>
      <c r="Y2394" s="102"/>
    </row>
    <row r="2395" spans="12:25" ht="25" customHeight="1">
      <c r="L2395" s="31"/>
      <c r="M2395" s="31"/>
      <c r="N2395" s="31"/>
      <c r="X2395" s="35"/>
      <c r="Y2395" s="102"/>
    </row>
    <row r="2396" spans="12:25" ht="25" customHeight="1">
      <c r="L2396" s="31"/>
      <c r="M2396" s="31"/>
      <c r="N2396" s="31"/>
      <c r="X2396" s="35"/>
      <c r="Y2396" s="102"/>
    </row>
    <row r="2397" spans="12:25" ht="25" customHeight="1">
      <c r="L2397" s="31"/>
      <c r="M2397" s="31"/>
      <c r="N2397" s="31"/>
      <c r="X2397" s="35"/>
      <c r="Y2397" s="102"/>
    </row>
    <row r="2398" spans="12:25" ht="25" customHeight="1">
      <c r="L2398" s="31"/>
      <c r="M2398" s="31"/>
      <c r="N2398" s="31"/>
      <c r="X2398" s="35"/>
      <c r="Y2398" s="102"/>
    </row>
    <row r="2399" spans="12:25" ht="25" customHeight="1">
      <c r="L2399" s="31"/>
      <c r="M2399" s="31"/>
      <c r="N2399" s="31"/>
      <c r="X2399" s="35"/>
      <c r="Y2399" s="102"/>
    </row>
    <row r="2400" spans="12:25" ht="25" customHeight="1">
      <c r="L2400" s="31"/>
      <c r="M2400" s="31"/>
      <c r="N2400" s="31"/>
      <c r="X2400" s="35"/>
      <c r="Y2400" s="102"/>
    </row>
    <row r="2401" spans="12:25" ht="25" customHeight="1">
      <c r="L2401" s="31"/>
      <c r="M2401" s="31"/>
      <c r="N2401" s="31"/>
      <c r="X2401" s="35"/>
      <c r="Y2401" s="102"/>
    </row>
    <row r="2402" spans="12:25" ht="25" customHeight="1">
      <c r="L2402" s="31"/>
      <c r="M2402" s="31"/>
      <c r="N2402" s="31"/>
      <c r="X2402" s="35"/>
      <c r="Y2402" s="102"/>
    </row>
    <row r="2403" spans="12:25" ht="25" customHeight="1">
      <c r="L2403" s="31"/>
      <c r="M2403" s="31"/>
      <c r="N2403" s="31"/>
      <c r="X2403" s="35"/>
      <c r="Y2403" s="102"/>
    </row>
    <row r="2404" spans="12:25" ht="25" customHeight="1">
      <c r="L2404" s="31"/>
      <c r="M2404" s="31"/>
      <c r="N2404" s="31"/>
      <c r="X2404" s="35"/>
      <c r="Y2404" s="102"/>
    </row>
    <row r="2405" spans="12:25" ht="25" customHeight="1">
      <c r="L2405" s="31"/>
      <c r="M2405" s="31"/>
      <c r="N2405" s="31"/>
      <c r="X2405" s="35"/>
      <c r="Y2405" s="102"/>
    </row>
    <row r="2406" spans="12:25" ht="25" customHeight="1">
      <c r="L2406" s="31"/>
      <c r="M2406" s="31"/>
      <c r="N2406" s="31"/>
      <c r="X2406" s="35"/>
      <c r="Y2406" s="102"/>
    </row>
    <row r="2407" spans="12:25" ht="25" customHeight="1">
      <c r="L2407" s="31"/>
      <c r="M2407" s="31"/>
      <c r="N2407" s="31"/>
      <c r="X2407" s="35"/>
      <c r="Y2407" s="102"/>
    </row>
    <row r="2408" spans="12:25" ht="25" customHeight="1">
      <c r="L2408" s="31"/>
      <c r="M2408" s="31"/>
      <c r="N2408" s="31"/>
      <c r="X2408" s="35"/>
      <c r="Y2408" s="102"/>
    </row>
    <row r="2409" spans="12:25" ht="25" customHeight="1">
      <c r="L2409" s="31"/>
      <c r="M2409" s="31"/>
      <c r="N2409" s="31"/>
      <c r="X2409" s="35"/>
      <c r="Y2409" s="102"/>
    </row>
    <row r="2410" spans="12:25" ht="25" customHeight="1">
      <c r="L2410" s="31"/>
      <c r="M2410" s="31"/>
      <c r="N2410" s="31"/>
      <c r="X2410" s="35"/>
      <c r="Y2410" s="102"/>
    </row>
    <row r="2411" spans="12:25" ht="25" customHeight="1">
      <c r="L2411" s="31"/>
      <c r="M2411" s="31"/>
      <c r="N2411" s="31"/>
      <c r="X2411" s="35"/>
      <c r="Y2411" s="102"/>
    </row>
    <row r="2412" spans="12:25" ht="25" customHeight="1">
      <c r="L2412" s="31"/>
      <c r="M2412" s="31"/>
      <c r="N2412" s="31"/>
      <c r="X2412" s="35"/>
      <c r="Y2412" s="102"/>
    </row>
    <row r="2413" spans="12:25" ht="25" customHeight="1">
      <c r="L2413" s="31"/>
      <c r="M2413" s="31"/>
      <c r="N2413" s="31"/>
      <c r="X2413" s="35"/>
      <c r="Y2413" s="102"/>
    </row>
    <row r="2414" spans="12:25" ht="25" customHeight="1">
      <c r="L2414" s="31"/>
      <c r="M2414" s="31"/>
      <c r="N2414" s="31"/>
      <c r="X2414" s="35"/>
      <c r="Y2414" s="102"/>
    </row>
    <row r="2415" spans="12:25" ht="25" customHeight="1">
      <c r="L2415" s="31"/>
      <c r="M2415" s="31"/>
      <c r="N2415" s="31"/>
      <c r="X2415" s="35"/>
      <c r="Y2415" s="102"/>
    </row>
    <row r="2416" spans="12:25" ht="25" customHeight="1">
      <c r="L2416" s="31"/>
      <c r="M2416" s="31"/>
      <c r="N2416" s="31"/>
      <c r="X2416" s="35"/>
      <c r="Y2416" s="102"/>
    </row>
    <row r="2417" spans="12:25" ht="25" customHeight="1">
      <c r="L2417" s="31"/>
      <c r="M2417" s="31"/>
      <c r="N2417" s="31"/>
      <c r="X2417" s="35"/>
      <c r="Y2417" s="102"/>
    </row>
    <row r="2418" spans="12:25" ht="25" customHeight="1">
      <c r="L2418" s="31"/>
      <c r="M2418" s="31"/>
      <c r="N2418" s="31"/>
      <c r="X2418" s="35"/>
      <c r="Y2418" s="102"/>
    </row>
    <row r="2419" spans="12:25" ht="25" customHeight="1">
      <c r="L2419" s="31"/>
      <c r="M2419" s="31"/>
      <c r="N2419" s="31"/>
      <c r="X2419" s="35"/>
      <c r="Y2419" s="102"/>
    </row>
    <row r="2420" spans="12:25" ht="25" customHeight="1">
      <c r="L2420" s="31"/>
      <c r="M2420" s="31"/>
      <c r="N2420" s="31"/>
      <c r="X2420" s="35"/>
      <c r="Y2420" s="102"/>
    </row>
    <row r="2421" spans="12:25" ht="25" customHeight="1">
      <c r="L2421" s="31"/>
      <c r="M2421" s="31"/>
      <c r="N2421" s="31"/>
      <c r="X2421" s="35"/>
      <c r="Y2421" s="102"/>
    </row>
    <row r="2422" spans="12:25" ht="25" customHeight="1">
      <c r="L2422" s="31"/>
      <c r="M2422" s="31"/>
      <c r="N2422" s="31"/>
      <c r="X2422" s="35"/>
      <c r="Y2422" s="102"/>
    </row>
    <row r="2423" spans="12:25" ht="25" customHeight="1">
      <c r="L2423" s="31"/>
      <c r="M2423" s="31"/>
      <c r="N2423" s="31"/>
      <c r="X2423" s="35"/>
      <c r="Y2423" s="102"/>
    </row>
    <row r="2424" spans="12:25" ht="25" customHeight="1">
      <c r="L2424" s="31"/>
      <c r="M2424" s="31"/>
      <c r="N2424" s="31"/>
      <c r="X2424" s="35"/>
      <c r="Y2424" s="102"/>
    </row>
    <row r="2425" spans="12:25" ht="25" customHeight="1">
      <c r="L2425" s="31"/>
      <c r="M2425" s="31"/>
      <c r="N2425" s="31"/>
      <c r="X2425" s="35"/>
      <c r="Y2425" s="102"/>
    </row>
    <row r="2426" spans="12:25" ht="25" customHeight="1">
      <c r="L2426" s="31"/>
      <c r="M2426" s="31"/>
      <c r="N2426" s="31"/>
      <c r="X2426" s="35"/>
      <c r="Y2426" s="102"/>
    </row>
    <row r="2427" spans="12:25" ht="25" customHeight="1">
      <c r="L2427" s="31"/>
      <c r="M2427" s="31"/>
      <c r="N2427" s="31"/>
      <c r="X2427" s="35"/>
      <c r="Y2427" s="102"/>
    </row>
    <row r="2428" spans="12:25" ht="25" customHeight="1">
      <c r="L2428" s="31"/>
      <c r="M2428" s="31"/>
      <c r="N2428" s="31"/>
      <c r="X2428" s="35"/>
      <c r="Y2428" s="102"/>
    </row>
    <row r="2429" spans="12:25" ht="25" customHeight="1">
      <c r="L2429" s="31"/>
      <c r="M2429" s="31"/>
      <c r="N2429" s="31"/>
      <c r="X2429" s="35"/>
      <c r="Y2429" s="102"/>
    </row>
    <row r="2430" spans="12:25" ht="25" customHeight="1">
      <c r="L2430" s="31"/>
      <c r="M2430" s="31"/>
      <c r="N2430" s="31"/>
      <c r="X2430" s="35"/>
      <c r="Y2430" s="102"/>
    </row>
    <row r="2431" spans="12:25" ht="25" customHeight="1">
      <c r="L2431" s="31"/>
      <c r="M2431" s="31"/>
      <c r="N2431" s="31"/>
      <c r="X2431" s="35"/>
      <c r="Y2431" s="102"/>
    </row>
    <row r="2432" spans="12:25" ht="25" customHeight="1">
      <c r="L2432" s="31"/>
      <c r="M2432" s="31"/>
      <c r="N2432" s="31"/>
      <c r="X2432" s="35"/>
      <c r="Y2432" s="102"/>
    </row>
    <row r="2433" spans="12:25" ht="25" customHeight="1">
      <c r="L2433" s="31"/>
      <c r="M2433" s="31"/>
      <c r="N2433" s="31"/>
      <c r="X2433" s="35"/>
      <c r="Y2433" s="102"/>
    </row>
    <row r="2434" spans="12:25" ht="25" customHeight="1">
      <c r="L2434" s="31"/>
      <c r="M2434" s="31"/>
      <c r="N2434" s="31"/>
      <c r="X2434" s="35"/>
      <c r="Y2434" s="102"/>
    </row>
    <row r="2435" spans="12:25" ht="25" customHeight="1">
      <c r="L2435" s="31"/>
      <c r="M2435" s="31"/>
      <c r="N2435" s="31"/>
      <c r="X2435" s="35"/>
      <c r="Y2435" s="102"/>
    </row>
    <row r="2436" spans="12:25" ht="25" customHeight="1">
      <c r="L2436" s="31"/>
      <c r="M2436" s="31"/>
      <c r="N2436" s="31"/>
      <c r="X2436" s="35"/>
      <c r="Y2436" s="102"/>
    </row>
    <row r="2437" spans="12:25" ht="25" customHeight="1">
      <c r="L2437" s="31"/>
      <c r="M2437" s="31"/>
      <c r="N2437" s="31"/>
      <c r="X2437" s="35"/>
      <c r="Y2437" s="102"/>
    </row>
    <row r="2438" spans="12:25" ht="25" customHeight="1">
      <c r="L2438" s="31"/>
      <c r="M2438" s="31"/>
      <c r="N2438" s="31"/>
      <c r="X2438" s="35"/>
      <c r="Y2438" s="102"/>
    </row>
    <row r="2439" spans="12:25" ht="25" customHeight="1">
      <c r="L2439" s="31"/>
      <c r="M2439" s="31"/>
      <c r="N2439" s="31"/>
      <c r="X2439" s="35"/>
      <c r="Y2439" s="102"/>
    </row>
    <row r="2440" spans="12:25" ht="25" customHeight="1">
      <c r="L2440" s="31"/>
      <c r="M2440" s="31"/>
      <c r="N2440" s="31"/>
      <c r="X2440" s="35"/>
      <c r="Y2440" s="102"/>
    </row>
    <row r="2441" spans="12:25" ht="25" customHeight="1">
      <c r="L2441" s="31"/>
      <c r="M2441" s="31"/>
      <c r="N2441" s="31"/>
      <c r="X2441" s="35"/>
      <c r="Y2441" s="102"/>
    </row>
    <row r="2442" spans="12:25" ht="25" customHeight="1">
      <c r="L2442" s="31"/>
      <c r="M2442" s="31"/>
      <c r="N2442" s="31"/>
      <c r="X2442" s="35"/>
      <c r="Y2442" s="102"/>
    </row>
    <row r="2443" spans="12:25" ht="25" customHeight="1">
      <c r="L2443" s="31"/>
      <c r="M2443" s="31"/>
      <c r="N2443" s="31"/>
      <c r="X2443" s="35"/>
      <c r="Y2443" s="102"/>
    </row>
    <row r="2444" spans="12:25" ht="25" customHeight="1">
      <c r="L2444" s="31"/>
      <c r="M2444" s="31"/>
      <c r="N2444" s="31"/>
      <c r="X2444" s="35"/>
      <c r="Y2444" s="102"/>
    </row>
    <row r="2445" spans="12:25" ht="25" customHeight="1">
      <c r="L2445" s="31"/>
      <c r="M2445" s="31"/>
      <c r="N2445" s="31"/>
      <c r="X2445" s="35"/>
      <c r="Y2445" s="102"/>
    </row>
    <row r="2446" spans="12:25" ht="25" customHeight="1">
      <c r="L2446" s="31"/>
      <c r="M2446" s="31"/>
      <c r="N2446" s="31"/>
      <c r="X2446" s="35"/>
      <c r="Y2446" s="102"/>
    </row>
    <row r="2447" spans="12:25" ht="25" customHeight="1">
      <c r="L2447" s="31"/>
      <c r="M2447" s="31"/>
      <c r="N2447" s="31"/>
      <c r="X2447" s="35"/>
      <c r="Y2447" s="102"/>
    </row>
    <row r="2448" spans="12:25" ht="25" customHeight="1">
      <c r="L2448" s="31"/>
      <c r="M2448" s="31"/>
      <c r="N2448" s="31"/>
      <c r="X2448" s="35"/>
      <c r="Y2448" s="102"/>
    </row>
    <row r="2449" spans="12:25" ht="25" customHeight="1">
      <c r="L2449" s="31"/>
      <c r="M2449" s="31"/>
      <c r="N2449" s="31"/>
      <c r="X2449" s="35"/>
      <c r="Y2449" s="102"/>
    </row>
    <row r="2450" spans="12:25" ht="25" customHeight="1">
      <c r="L2450" s="31"/>
      <c r="M2450" s="31"/>
      <c r="N2450" s="31"/>
      <c r="X2450" s="35"/>
      <c r="Y2450" s="102"/>
    </row>
    <row r="2451" spans="12:25" ht="25" customHeight="1">
      <c r="L2451" s="31"/>
      <c r="M2451" s="31"/>
      <c r="N2451" s="31"/>
      <c r="X2451" s="35"/>
      <c r="Y2451" s="102"/>
    </row>
    <row r="2452" spans="12:25" ht="25" customHeight="1">
      <c r="L2452" s="31"/>
      <c r="M2452" s="31"/>
      <c r="N2452" s="31"/>
      <c r="X2452" s="35"/>
      <c r="Y2452" s="102"/>
    </row>
    <row r="2453" spans="12:25" ht="25" customHeight="1">
      <c r="L2453" s="31"/>
      <c r="M2453" s="31"/>
      <c r="N2453" s="31"/>
      <c r="X2453" s="35"/>
      <c r="Y2453" s="102"/>
    </row>
    <row r="2454" spans="12:25" ht="25" customHeight="1">
      <c r="L2454" s="31"/>
      <c r="M2454" s="31"/>
      <c r="N2454" s="31"/>
      <c r="X2454" s="35"/>
      <c r="Y2454" s="102"/>
    </row>
    <row r="2455" spans="12:25" ht="25" customHeight="1">
      <c r="L2455" s="31"/>
      <c r="M2455" s="31"/>
      <c r="N2455" s="31"/>
      <c r="X2455" s="35"/>
      <c r="Y2455" s="102"/>
    </row>
    <row r="2456" spans="12:25" ht="25" customHeight="1">
      <c r="L2456" s="31"/>
      <c r="M2456" s="31"/>
      <c r="N2456" s="31"/>
      <c r="X2456" s="35"/>
      <c r="Y2456" s="102"/>
    </row>
    <row r="2457" spans="12:25" ht="25" customHeight="1">
      <c r="L2457" s="31"/>
      <c r="M2457" s="31"/>
      <c r="N2457" s="31"/>
      <c r="X2457" s="35"/>
      <c r="Y2457" s="102"/>
    </row>
    <row r="2458" spans="12:25" ht="25" customHeight="1">
      <c r="L2458" s="31"/>
      <c r="M2458" s="31"/>
      <c r="N2458" s="31"/>
      <c r="X2458" s="35"/>
      <c r="Y2458" s="102"/>
    </row>
    <row r="2459" spans="12:25" ht="25" customHeight="1">
      <c r="L2459" s="31"/>
      <c r="M2459" s="31"/>
      <c r="N2459" s="31"/>
      <c r="X2459" s="35"/>
      <c r="Y2459" s="102"/>
    </row>
    <row r="2460" spans="12:25" ht="25" customHeight="1">
      <c r="L2460" s="31"/>
      <c r="M2460" s="31"/>
      <c r="N2460" s="31"/>
      <c r="X2460" s="35"/>
      <c r="Y2460" s="102"/>
    </row>
    <row r="2461" spans="12:25" ht="25" customHeight="1">
      <c r="L2461" s="31"/>
      <c r="M2461" s="31"/>
      <c r="N2461" s="31"/>
      <c r="X2461" s="35"/>
      <c r="Y2461" s="102"/>
    </row>
    <row r="2462" spans="12:25" ht="25" customHeight="1">
      <c r="L2462" s="31"/>
      <c r="M2462" s="31"/>
      <c r="N2462" s="31"/>
      <c r="X2462" s="35"/>
      <c r="Y2462" s="102"/>
    </row>
    <row r="2463" spans="12:25" ht="25" customHeight="1">
      <c r="L2463" s="31"/>
      <c r="M2463" s="31"/>
      <c r="N2463" s="31"/>
      <c r="X2463" s="35"/>
      <c r="Y2463" s="102"/>
    </row>
    <row r="2464" spans="12:25" ht="25" customHeight="1">
      <c r="L2464" s="31"/>
      <c r="M2464" s="31"/>
      <c r="N2464" s="31"/>
      <c r="X2464" s="35"/>
      <c r="Y2464" s="102"/>
    </row>
    <row r="2465" spans="12:25" ht="25" customHeight="1">
      <c r="L2465" s="31"/>
      <c r="M2465" s="31"/>
      <c r="N2465" s="31"/>
      <c r="X2465" s="35"/>
      <c r="Y2465" s="102"/>
    </row>
    <row r="2466" spans="12:25" ht="25" customHeight="1">
      <c r="L2466" s="31"/>
      <c r="M2466" s="31"/>
      <c r="N2466" s="31"/>
      <c r="X2466" s="35"/>
      <c r="Y2466" s="102"/>
    </row>
    <row r="2467" spans="12:25" ht="25" customHeight="1">
      <c r="L2467" s="31"/>
      <c r="M2467" s="31"/>
      <c r="N2467" s="31"/>
      <c r="X2467" s="35"/>
      <c r="Y2467" s="102"/>
    </row>
    <row r="2468" spans="12:25" ht="25" customHeight="1">
      <c r="L2468" s="31"/>
      <c r="M2468" s="31"/>
      <c r="N2468" s="31"/>
      <c r="X2468" s="35"/>
      <c r="Y2468" s="102"/>
    </row>
    <row r="2469" spans="12:25" ht="25" customHeight="1">
      <c r="L2469" s="31"/>
      <c r="M2469" s="31"/>
      <c r="N2469" s="31"/>
      <c r="X2469" s="35"/>
      <c r="Y2469" s="102"/>
    </row>
    <row r="2470" spans="12:25" ht="25" customHeight="1">
      <c r="L2470" s="31"/>
      <c r="M2470" s="31"/>
      <c r="N2470" s="31"/>
      <c r="X2470" s="35"/>
      <c r="Y2470" s="102"/>
    </row>
    <row r="2471" spans="12:25" ht="25" customHeight="1">
      <c r="L2471" s="31"/>
      <c r="M2471" s="31"/>
      <c r="N2471" s="31"/>
      <c r="X2471" s="35"/>
      <c r="Y2471" s="102"/>
    </row>
    <row r="2472" spans="12:25" ht="25" customHeight="1">
      <c r="L2472" s="31"/>
      <c r="M2472" s="31"/>
      <c r="N2472" s="31"/>
      <c r="X2472" s="35"/>
      <c r="Y2472" s="102"/>
    </row>
    <row r="2473" spans="12:25" ht="25" customHeight="1">
      <c r="L2473" s="31"/>
      <c r="M2473" s="31"/>
      <c r="N2473" s="31"/>
      <c r="X2473" s="35"/>
      <c r="Y2473" s="102"/>
    </row>
    <row r="2474" spans="12:25" ht="25" customHeight="1">
      <c r="L2474" s="31"/>
      <c r="M2474" s="31"/>
      <c r="N2474" s="31"/>
      <c r="X2474" s="35"/>
      <c r="Y2474" s="102"/>
    </row>
    <row r="2475" spans="12:25" ht="25" customHeight="1">
      <c r="L2475" s="31"/>
      <c r="M2475" s="31"/>
      <c r="N2475" s="31"/>
      <c r="X2475" s="35"/>
      <c r="Y2475" s="102"/>
    </row>
    <row r="2476" spans="12:25" ht="25" customHeight="1">
      <c r="L2476" s="31"/>
      <c r="M2476" s="31"/>
      <c r="N2476" s="31"/>
      <c r="X2476" s="35"/>
      <c r="Y2476" s="102"/>
    </row>
    <row r="2477" spans="12:25" ht="25" customHeight="1">
      <c r="L2477" s="31"/>
      <c r="M2477" s="31"/>
      <c r="N2477" s="31"/>
      <c r="X2477" s="35"/>
      <c r="Y2477" s="102"/>
    </row>
    <row r="2478" spans="12:25" ht="25" customHeight="1">
      <c r="L2478" s="31"/>
      <c r="M2478" s="31"/>
      <c r="N2478" s="31"/>
      <c r="X2478" s="35"/>
      <c r="Y2478" s="102"/>
    </row>
    <row r="2479" spans="12:25" ht="25" customHeight="1">
      <c r="L2479" s="31"/>
      <c r="M2479" s="31"/>
      <c r="N2479" s="31"/>
      <c r="X2479" s="35"/>
      <c r="Y2479" s="102"/>
    </row>
    <row r="2480" spans="12:25" ht="25" customHeight="1">
      <c r="L2480" s="31"/>
      <c r="M2480" s="31"/>
      <c r="N2480" s="31"/>
      <c r="X2480" s="35"/>
      <c r="Y2480" s="102"/>
    </row>
    <row r="2481" spans="12:25" ht="25" customHeight="1">
      <c r="L2481" s="31"/>
      <c r="M2481" s="31"/>
      <c r="N2481" s="31"/>
      <c r="X2481" s="35"/>
      <c r="Y2481" s="102"/>
    </row>
    <row r="2482" spans="12:25" ht="25" customHeight="1">
      <c r="L2482" s="31"/>
      <c r="M2482" s="31"/>
      <c r="N2482" s="31"/>
      <c r="X2482" s="35"/>
      <c r="Y2482" s="102"/>
    </row>
    <row r="2483" spans="12:25" ht="25" customHeight="1">
      <c r="L2483" s="31"/>
      <c r="M2483" s="31"/>
      <c r="N2483" s="31"/>
      <c r="X2483" s="35"/>
      <c r="Y2483" s="102"/>
    </row>
    <row r="2484" spans="12:25" ht="25" customHeight="1">
      <c r="L2484" s="31"/>
      <c r="M2484" s="31"/>
      <c r="N2484" s="31"/>
      <c r="X2484" s="35"/>
      <c r="Y2484" s="102"/>
    </row>
    <row r="2485" spans="12:25" ht="25" customHeight="1">
      <c r="L2485" s="31"/>
      <c r="M2485" s="31"/>
      <c r="N2485" s="31"/>
      <c r="X2485" s="35"/>
      <c r="Y2485" s="102"/>
    </row>
    <row r="2486" spans="12:25" ht="25" customHeight="1">
      <c r="L2486" s="31"/>
      <c r="M2486" s="31"/>
      <c r="N2486" s="31"/>
      <c r="X2486" s="35"/>
      <c r="Y2486" s="102"/>
    </row>
    <row r="2487" spans="12:25" ht="25" customHeight="1">
      <c r="L2487" s="31"/>
      <c r="M2487" s="31"/>
      <c r="N2487" s="31"/>
      <c r="X2487" s="35"/>
      <c r="Y2487" s="102"/>
    </row>
    <row r="2488" spans="12:25" ht="25" customHeight="1">
      <c r="L2488" s="31"/>
      <c r="M2488" s="31"/>
      <c r="N2488" s="31"/>
      <c r="X2488" s="35"/>
      <c r="Y2488" s="102"/>
    </row>
    <row r="2489" spans="12:25" ht="25" customHeight="1">
      <c r="L2489" s="31"/>
      <c r="M2489" s="31"/>
      <c r="N2489" s="31"/>
      <c r="X2489" s="35"/>
      <c r="Y2489" s="102"/>
    </row>
    <row r="2490" spans="12:25" ht="25" customHeight="1">
      <c r="L2490" s="31"/>
      <c r="M2490" s="31"/>
      <c r="N2490" s="31"/>
      <c r="X2490" s="35"/>
      <c r="Y2490" s="102"/>
    </row>
    <row r="2491" spans="12:25" ht="25" customHeight="1">
      <c r="L2491" s="31"/>
      <c r="M2491" s="31"/>
      <c r="N2491" s="31"/>
      <c r="X2491" s="35"/>
      <c r="Y2491" s="102"/>
    </row>
    <row r="2492" spans="12:25" ht="25" customHeight="1">
      <c r="L2492" s="31"/>
      <c r="M2492" s="31"/>
      <c r="N2492" s="31"/>
      <c r="X2492" s="35"/>
      <c r="Y2492" s="102"/>
    </row>
    <row r="2493" spans="12:25" ht="25" customHeight="1">
      <c r="L2493" s="31"/>
      <c r="M2493" s="31"/>
      <c r="N2493" s="31"/>
      <c r="X2493" s="35"/>
      <c r="Y2493" s="102"/>
    </row>
    <row r="2494" spans="12:25" ht="25" customHeight="1">
      <c r="L2494" s="31"/>
      <c r="M2494" s="31"/>
      <c r="N2494" s="31"/>
      <c r="X2494" s="35"/>
      <c r="Y2494" s="102"/>
    </row>
    <row r="2495" spans="12:25" ht="25" customHeight="1">
      <c r="L2495" s="31"/>
      <c r="M2495" s="31"/>
      <c r="N2495" s="31"/>
      <c r="X2495" s="35"/>
      <c r="Y2495" s="102"/>
    </row>
    <row r="2496" spans="12:25" ht="25" customHeight="1">
      <c r="L2496" s="31"/>
      <c r="M2496" s="31"/>
      <c r="N2496" s="31"/>
      <c r="X2496" s="35"/>
      <c r="Y2496" s="102"/>
    </row>
    <row r="2497" spans="12:25" ht="25" customHeight="1">
      <c r="L2497" s="31"/>
      <c r="M2497" s="31"/>
      <c r="N2497" s="31"/>
      <c r="X2497" s="35"/>
      <c r="Y2497" s="102"/>
    </row>
    <row r="2498" spans="12:25" ht="25" customHeight="1">
      <c r="L2498" s="31"/>
      <c r="M2498" s="31"/>
      <c r="N2498" s="31"/>
      <c r="X2498" s="35"/>
      <c r="Y2498" s="102"/>
    </row>
    <row r="2499" spans="12:25" ht="25" customHeight="1">
      <c r="L2499" s="31"/>
      <c r="M2499" s="31"/>
      <c r="N2499" s="31"/>
      <c r="X2499" s="35"/>
      <c r="Y2499" s="102"/>
    </row>
    <row r="2500" spans="12:25" ht="25" customHeight="1">
      <c r="L2500" s="31"/>
      <c r="M2500" s="31"/>
      <c r="N2500" s="31"/>
      <c r="X2500" s="35"/>
      <c r="Y2500" s="102"/>
    </row>
    <row r="2501" spans="12:25" ht="25" customHeight="1">
      <c r="L2501" s="31"/>
      <c r="M2501" s="31"/>
      <c r="N2501" s="31"/>
      <c r="X2501" s="35"/>
      <c r="Y2501" s="102"/>
    </row>
    <row r="2502" spans="12:25" ht="25" customHeight="1">
      <c r="L2502" s="31"/>
      <c r="M2502" s="31"/>
      <c r="N2502" s="31"/>
      <c r="X2502" s="35"/>
      <c r="Y2502" s="102"/>
    </row>
    <row r="2503" spans="12:25" ht="25" customHeight="1">
      <c r="L2503" s="31"/>
      <c r="M2503" s="31"/>
      <c r="N2503" s="31"/>
      <c r="X2503" s="35"/>
      <c r="Y2503" s="102"/>
    </row>
    <row r="2504" spans="12:25" ht="25" customHeight="1">
      <c r="L2504" s="31"/>
      <c r="M2504" s="31"/>
      <c r="N2504" s="31"/>
      <c r="X2504" s="35"/>
      <c r="Y2504" s="102"/>
    </row>
    <row r="2505" spans="12:25" ht="25" customHeight="1">
      <c r="L2505" s="31"/>
      <c r="M2505" s="31"/>
      <c r="N2505" s="31"/>
      <c r="X2505" s="35"/>
      <c r="Y2505" s="102"/>
    </row>
    <row r="2506" spans="12:25" ht="25" customHeight="1">
      <c r="L2506" s="31"/>
      <c r="M2506" s="31"/>
      <c r="N2506" s="31"/>
      <c r="X2506" s="35"/>
      <c r="Y2506" s="102"/>
    </row>
    <row r="2507" spans="12:25" ht="25" customHeight="1">
      <c r="L2507" s="31"/>
      <c r="M2507" s="31"/>
      <c r="N2507" s="31"/>
      <c r="X2507" s="35"/>
      <c r="Y2507" s="102"/>
    </row>
    <row r="2508" spans="12:25" ht="25" customHeight="1">
      <c r="L2508" s="31"/>
      <c r="M2508" s="31"/>
      <c r="N2508" s="31"/>
      <c r="X2508" s="35"/>
      <c r="Y2508" s="102"/>
    </row>
    <row r="2509" spans="12:25" ht="25" customHeight="1">
      <c r="L2509" s="31"/>
      <c r="M2509" s="31"/>
      <c r="N2509" s="31"/>
      <c r="X2509" s="35"/>
      <c r="Y2509" s="102"/>
    </row>
    <row r="2510" spans="12:25" ht="25" customHeight="1">
      <c r="L2510" s="31"/>
      <c r="M2510" s="31"/>
      <c r="N2510" s="31"/>
      <c r="X2510" s="35"/>
      <c r="Y2510" s="102"/>
    </row>
    <row r="2511" spans="12:25" ht="25" customHeight="1">
      <c r="L2511" s="31"/>
      <c r="M2511" s="31"/>
      <c r="N2511" s="31"/>
      <c r="X2511" s="35"/>
      <c r="Y2511" s="102"/>
    </row>
    <row r="2512" spans="12:25" ht="25" customHeight="1">
      <c r="L2512" s="31"/>
      <c r="M2512" s="31"/>
      <c r="N2512" s="31"/>
      <c r="X2512" s="35"/>
      <c r="Y2512" s="102"/>
    </row>
    <row r="2513" spans="12:25" ht="25" customHeight="1">
      <c r="L2513" s="31"/>
      <c r="M2513" s="31"/>
      <c r="N2513" s="31"/>
      <c r="X2513" s="35"/>
      <c r="Y2513" s="102"/>
    </row>
    <row r="2514" spans="12:25" ht="25" customHeight="1">
      <c r="L2514" s="31"/>
      <c r="M2514" s="31"/>
      <c r="N2514" s="31"/>
      <c r="X2514" s="35"/>
      <c r="Y2514" s="102"/>
    </row>
    <row r="2515" spans="12:25" ht="25" customHeight="1">
      <c r="L2515" s="31"/>
      <c r="M2515" s="31"/>
      <c r="N2515" s="31"/>
      <c r="X2515" s="35"/>
      <c r="Y2515" s="102"/>
    </row>
    <row r="2516" spans="12:25" ht="25" customHeight="1">
      <c r="L2516" s="31"/>
      <c r="M2516" s="31"/>
      <c r="N2516" s="31"/>
      <c r="X2516" s="35"/>
      <c r="Y2516" s="102"/>
    </row>
    <row r="2517" spans="12:25" ht="25" customHeight="1">
      <c r="L2517" s="31"/>
      <c r="M2517" s="31"/>
      <c r="N2517" s="31"/>
      <c r="X2517" s="35"/>
      <c r="Y2517" s="102"/>
    </row>
    <row r="2518" spans="12:25" ht="25" customHeight="1">
      <c r="L2518" s="31"/>
      <c r="M2518" s="31"/>
      <c r="N2518" s="31"/>
      <c r="X2518" s="35"/>
      <c r="Y2518" s="102"/>
    </row>
    <row r="2519" spans="12:25" ht="25" customHeight="1">
      <c r="L2519" s="31"/>
      <c r="M2519" s="31"/>
      <c r="N2519" s="31"/>
      <c r="X2519" s="35"/>
      <c r="Y2519" s="102"/>
    </row>
    <row r="2520" spans="12:25" ht="25" customHeight="1">
      <c r="L2520" s="31"/>
      <c r="M2520" s="31"/>
      <c r="N2520" s="31"/>
      <c r="X2520" s="35"/>
      <c r="Y2520" s="102"/>
    </row>
    <row r="2521" spans="12:25" ht="25" customHeight="1">
      <c r="L2521" s="31"/>
      <c r="M2521" s="31"/>
      <c r="N2521" s="31"/>
      <c r="X2521" s="35"/>
      <c r="Y2521" s="102"/>
    </row>
    <row r="2522" spans="12:25" ht="25" customHeight="1">
      <c r="L2522" s="31"/>
      <c r="M2522" s="31"/>
      <c r="N2522" s="31"/>
      <c r="X2522" s="35"/>
      <c r="Y2522" s="102"/>
    </row>
    <row r="2523" spans="12:25" ht="25" customHeight="1">
      <c r="L2523" s="31"/>
      <c r="M2523" s="31"/>
      <c r="N2523" s="31"/>
      <c r="X2523" s="35"/>
      <c r="Y2523" s="102"/>
    </row>
    <row r="2524" spans="12:25" ht="25" customHeight="1">
      <c r="L2524" s="31"/>
      <c r="M2524" s="31"/>
      <c r="N2524" s="31"/>
      <c r="X2524" s="35"/>
      <c r="Y2524" s="102"/>
    </row>
    <row r="2525" spans="12:25" ht="25" customHeight="1">
      <c r="L2525" s="31"/>
      <c r="M2525" s="31"/>
      <c r="N2525" s="31"/>
      <c r="X2525" s="35"/>
      <c r="Y2525" s="102"/>
    </row>
    <row r="2526" spans="12:25" ht="25" customHeight="1">
      <c r="L2526" s="31"/>
      <c r="M2526" s="31"/>
      <c r="N2526" s="31"/>
      <c r="X2526" s="35"/>
      <c r="Y2526" s="102"/>
    </row>
    <row r="2527" spans="12:25" ht="25" customHeight="1">
      <c r="L2527" s="31"/>
      <c r="M2527" s="31"/>
      <c r="N2527" s="31"/>
      <c r="X2527" s="35"/>
      <c r="Y2527" s="102"/>
    </row>
    <row r="2528" spans="12:25" ht="25" customHeight="1">
      <c r="L2528" s="31"/>
      <c r="M2528" s="31"/>
      <c r="N2528" s="31"/>
      <c r="X2528" s="35"/>
      <c r="Y2528" s="102"/>
    </row>
    <row r="2529" spans="12:25" ht="25" customHeight="1">
      <c r="L2529" s="31"/>
      <c r="M2529" s="31"/>
      <c r="N2529" s="31"/>
      <c r="X2529" s="35"/>
      <c r="Y2529" s="102"/>
    </row>
    <row r="2530" spans="12:25" ht="25" customHeight="1">
      <c r="L2530" s="31"/>
      <c r="M2530" s="31"/>
      <c r="N2530" s="31"/>
      <c r="X2530" s="35"/>
      <c r="Y2530" s="102"/>
    </row>
    <row r="2531" spans="12:25" ht="25" customHeight="1">
      <c r="L2531" s="31"/>
      <c r="M2531" s="31"/>
      <c r="N2531" s="31"/>
      <c r="X2531" s="35"/>
      <c r="Y2531" s="102"/>
    </row>
    <row r="2532" spans="12:25" ht="25" customHeight="1">
      <c r="L2532" s="31"/>
      <c r="M2532" s="31"/>
      <c r="N2532" s="31"/>
      <c r="X2532" s="35"/>
      <c r="Y2532" s="102"/>
    </row>
    <row r="2533" spans="12:25" ht="25" customHeight="1">
      <c r="L2533" s="31"/>
      <c r="M2533" s="31"/>
      <c r="N2533" s="31"/>
      <c r="X2533" s="35"/>
      <c r="Y2533" s="102"/>
    </row>
    <row r="2534" spans="12:25" ht="25" customHeight="1">
      <c r="L2534" s="31"/>
      <c r="M2534" s="31"/>
      <c r="N2534" s="31"/>
      <c r="X2534" s="35"/>
      <c r="Y2534" s="102"/>
    </row>
    <row r="2535" spans="12:25" ht="25" customHeight="1">
      <c r="L2535" s="31"/>
      <c r="M2535" s="31"/>
      <c r="N2535" s="31"/>
      <c r="X2535" s="35"/>
      <c r="Y2535" s="102"/>
    </row>
    <row r="2536" spans="12:25" ht="25" customHeight="1">
      <c r="L2536" s="31"/>
      <c r="M2536" s="31"/>
      <c r="N2536" s="31"/>
      <c r="X2536" s="35"/>
      <c r="Y2536" s="102"/>
    </row>
    <row r="2537" spans="12:25" ht="25" customHeight="1">
      <c r="L2537" s="31"/>
      <c r="M2537" s="31"/>
      <c r="N2537" s="31"/>
      <c r="X2537" s="35"/>
      <c r="Y2537" s="102"/>
    </row>
    <row r="2538" spans="12:25" ht="16">
      <c r="L2538" s="31"/>
      <c r="M2538" s="31"/>
      <c r="N2538" s="31"/>
      <c r="X2538" s="35"/>
      <c r="Y2538" s="102"/>
    </row>
    <row r="2539" spans="12:25" ht="16">
      <c r="L2539" s="31"/>
      <c r="M2539" s="31"/>
      <c r="N2539" s="31"/>
      <c r="X2539" s="35"/>
      <c r="Y2539" s="102"/>
    </row>
    <row r="2540" spans="12:25" ht="16">
      <c r="L2540" s="31"/>
      <c r="M2540" s="31"/>
      <c r="N2540" s="31"/>
      <c r="X2540" s="35"/>
      <c r="Y2540" s="102"/>
    </row>
    <row r="2541" spans="12:25" ht="16">
      <c r="L2541" s="31"/>
      <c r="M2541" s="31"/>
      <c r="N2541" s="31"/>
      <c r="X2541" s="35"/>
      <c r="Y2541" s="102"/>
    </row>
    <row r="2542" spans="12:25" ht="16">
      <c r="L2542" s="31"/>
      <c r="M2542" s="31"/>
      <c r="N2542" s="31"/>
      <c r="X2542" s="35"/>
      <c r="Y2542" s="102"/>
    </row>
    <row r="2543" spans="12:25" ht="16">
      <c r="L2543" s="31"/>
      <c r="M2543" s="31"/>
      <c r="N2543" s="31"/>
      <c r="X2543" s="35"/>
      <c r="Y2543" s="102"/>
    </row>
    <row r="2544" spans="12:25" ht="16">
      <c r="L2544" s="31"/>
      <c r="M2544" s="31"/>
      <c r="N2544" s="31"/>
      <c r="X2544" s="35"/>
      <c r="Y2544" s="102"/>
    </row>
    <row r="2545" spans="12:25" ht="16">
      <c r="L2545" s="31"/>
      <c r="M2545" s="31"/>
      <c r="N2545" s="31"/>
      <c r="X2545" s="35"/>
      <c r="Y2545" s="102"/>
    </row>
    <row r="2546" spans="12:25" ht="16">
      <c r="L2546" s="31"/>
      <c r="M2546" s="31"/>
      <c r="N2546" s="31"/>
      <c r="X2546" s="35"/>
      <c r="Y2546" s="102"/>
    </row>
    <row r="2547" spans="12:25" ht="16">
      <c r="L2547" s="31"/>
      <c r="M2547" s="31"/>
      <c r="N2547" s="31"/>
      <c r="X2547" s="35"/>
      <c r="Y2547" s="102"/>
    </row>
    <row r="2548" spans="12:25" ht="16">
      <c r="L2548" s="31"/>
      <c r="M2548" s="31"/>
      <c r="N2548" s="31"/>
      <c r="X2548" s="35"/>
      <c r="Y2548" s="102"/>
    </row>
    <row r="2549" spans="12:25" ht="16">
      <c r="L2549" s="31"/>
      <c r="M2549" s="31"/>
      <c r="N2549" s="31"/>
      <c r="X2549" s="35"/>
      <c r="Y2549" s="102"/>
    </row>
    <row r="2550" spans="12:25" ht="16">
      <c r="L2550" s="31"/>
      <c r="M2550" s="31"/>
      <c r="N2550" s="31"/>
      <c r="X2550" s="35"/>
      <c r="Y2550" s="102"/>
    </row>
    <row r="2551" spans="12:25" ht="16">
      <c r="L2551" s="31"/>
      <c r="M2551" s="31"/>
      <c r="N2551" s="31"/>
      <c r="X2551" s="35"/>
      <c r="Y2551" s="102"/>
    </row>
    <row r="2552" spans="12:25" ht="16">
      <c r="L2552" s="31"/>
      <c r="M2552" s="31"/>
      <c r="N2552" s="31"/>
      <c r="X2552" s="35"/>
      <c r="Y2552" s="102"/>
    </row>
    <row r="2553" spans="12:25" ht="16">
      <c r="L2553" s="31"/>
      <c r="M2553" s="31"/>
      <c r="N2553" s="31"/>
      <c r="X2553" s="35"/>
      <c r="Y2553" s="102"/>
    </row>
    <row r="2554" spans="12:25" ht="16">
      <c r="L2554" s="31"/>
      <c r="M2554" s="31"/>
      <c r="N2554" s="31"/>
      <c r="X2554" s="35"/>
      <c r="Y2554" s="102"/>
    </row>
    <row r="2555" spans="12:25" ht="16">
      <c r="L2555" s="31"/>
      <c r="M2555" s="31"/>
      <c r="N2555" s="31"/>
      <c r="X2555" s="35"/>
      <c r="Y2555" s="102"/>
    </row>
    <row r="2556" spans="12:25" ht="16">
      <c r="L2556" s="31"/>
      <c r="M2556" s="31"/>
      <c r="N2556" s="31"/>
      <c r="X2556" s="35"/>
      <c r="Y2556" s="102"/>
    </row>
    <row r="2557" spans="12:25" ht="16">
      <c r="L2557" s="31"/>
      <c r="M2557" s="31"/>
      <c r="N2557" s="31"/>
      <c r="X2557" s="35"/>
      <c r="Y2557" s="102"/>
    </row>
    <row r="2558" spans="12:25" ht="16">
      <c r="L2558" s="31"/>
      <c r="M2558" s="31"/>
      <c r="N2558" s="31"/>
      <c r="X2558" s="35"/>
      <c r="Y2558" s="102"/>
    </row>
    <row r="2559" spans="12:25" ht="16">
      <c r="L2559" s="31"/>
      <c r="M2559" s="31"/>
      <c r="N2559" s="31"/>
      <c r="X2559" s="35"/>
      <c r="Y2559" s="102"/>
    </row>
    <row r="2560" spans="12:25" ht="16">
      <c r="L2560" s="31"/>
      <c r="M2560" s="31"/>
      <c r="N2560" s="31"/>
      <c r="X2560" s="35"/>
      <c r="Y2560" s="102"/>
    </row>
    <row r="2561" spans="12:25" ht="16">
      <c r="L2561" s="31"/>
      <c r="M2561" s="31"/>
      <c r="N2561" s="31"/>
      <c r="X2561" s="35"/>
      <c r="Y2561" s="102"/>
    </row>
    <row r="2562" spans="12:25" ht="16">
      <c r="L2562" s="31"/>
      <c r="M2562" s="31"/>
      <c r="N2562" s="31"/>
      <c r="X2562" s="35"/>
      <c r="Y2562" s="102"/>
    </row>
    <row r="2563" spans="12:25" ht="16">
      <c r="L2563" s="31"/>
      <c r="M2563" s="31"/>
      <c r="N2563" s="31"/>
      <c r="X2563" s="35"/>
      <c r="Y2563" s="102"/>
    </row>
    <row r="2564" spans="12:25" ht="16">
      <c r="L2564" s="31"/>
      <c r="M2564" s="31"/>
      <c r="N2564" s="31"/>
      <c r="X2564" s="35"/>
      <c r="Y2564" s="102"/>
    </row>
    <row r="2565" spans="12:25" ht="16">
      <c r="L2565" s="31"/>
      <c r="M2565" s="31"/>
      <c r="N2565" s="31"/>
      <c r="X2565" s="35"/>
      <c r="Y2565" s="102"/>
    </row>
    <row r="2566" spans="12:25" ht="16">
      <c r="L2566" s="31"/>
      <c r="M2566" s="31"/>
      <c r="N2566" s="31"/>
      <c r="X2566" s="35"/>
      <c r="Y2566" s="102"/>
    </row>
    <row r="2567" spans="12:25" ht="16">
      <c r="L2567" s="31"/>
      <c r="M2567" s="31"/>
      <c r="N2567" s="31"/>
      <c r="X2567" s="35"/>
      <c r="Y2567" s="102"/>
    </row>
    <row r="2568" spans="12:25" ht="16">
      <c r="L2568" s="31"/>
      <c r="M2568" s="31"/>
      <c r="N2568" s="31"/>
      <c r="X2568" s="35"/>
      <c r="Y2568" s="102"/>
    </row>
    <row r="2569" spans="12:25" ht="16">
      <c r="L2569" s="31"/>
      <c r="M2569" s="31"/>
      <c r="N2569" s="31"/>
      <c r="X2569" s="35"/>
      <c r="Y2569" s="102"/>
    </row>
    <row r="2570" spans="12:25" ht="16">
      <c r="L2570" s="31"/>
      <c r="M2570" s="31"/>
      <c r="N2570" s="31"/>
      <c r="X2570" s="35"/>
      <c r="Y2570" s="102"/>
    </row>
    <row r="2571" spans="12:25" ht="16">
      <c r="L2571" s="31"/>
      <c r="M2571" s="31"/>
      <c r="N2571" s="31"/>
      <c r="X2571" s="35"/>
      <c r="Y2571" s="102"/>
    </row>
    <row r="2572" spans="12:25" ht="16">
      <c r="L2572" s="31"/>
      <c r="M2572" s="31"/>
      <c r="N2572" s="31"/>
      <c r="X2572" s="35"/>
      <c r="Y2572" s="102"/>
    </row>
    <row r="2573" spans="12:25" ht="16">
      <c r="L2573" s="31"/>
      <c r="M2573" s="31"/>
      <c r="N2573" s="31"/>
      <c r="X2573" s="35"/>
      <c r="Y2573" s="102"/>
    </row>
    <row r="2574" spans="12:25" ht="16">
      <c r="L2574" s="31"/>
      <c r="M2574" s="31"/>
      <c r="N2574" s="31"/>
      <c r="X2574" s="35"/>
      <c r="Y2574" s="102"/>
    </row>
    <row r="2575" spans="12:25" ht="16">
      <c r="L2575" s="31"/>
      <c r="M2575" s="31"/>
      <c r="N2575" s="31"/>
      <c r="X2575" s="35"/>
      <c r="Y2575" s="102"/>
    </row>
    <row r="2576" spans="12:25" ht="16">
      <c r="L2576" s="31"/>
      <c r="M2576" s="31"/>
      <c r="N2576" s="31"/>
      <c r="X2576" s="35"/>
      <c r="Y2576" s="102"/>
    </row>
    <row r="2577" spans="12:25" ht="16">
      <c r="L2577" s="31"/>
      <c r="M2577" s="31"/>
      <c r="N2577" s="31"/>
      <c r="X2577" s="35"/>
      <c r="Y2577" s="102"/>
    </row>
    <row r="2578" spans="12:25" ht="16">
      <c r="L2578" s="31"/>
      <c r="M2578" s="31"/>
      <c r="N2578" s="31"/>
      <c r="X2578" s="35"/>
      <c r="Y2578" s="102"/>
    </row>
    <row r="2579" spans="12:25" ht="16">
      <c r="L2579" s="31"/>
      <c r="M2579" s="31"/>
      <c r="N2579" s="31"/>
      <c r="X2579" s="35"/>
      <c r="Y2579" s="102"/>
    </row>
    <row r="2580" spans="12:25" ht="16">
      <c r="L2580" s="31"/>
      <c r="M2580" s="31"/>
      <c r="N2580" s="31"/>
      <c r="X2580" s="35"/>
      <c r="Y2580" s="102"/>
    </row>
    <row r="2581" spans="12:25" ht="16">
      <c r="L2581" s="31"/>
      <c r="M2581" s="31"/>
      <c r="N2581" s="31"/>
      <c r="X2581" s="35"/>
      <c r="Y2581" s="102"/>
    </row>
    <row r="2582" spans="12:25" ht="16">
      <c r="L2582" s="31"/>
      <c r="M2582" s="31"/>
      <c r="N2582" s="31"/>
      <c r="X2582" s="35"/>
      <c r="Y2582" s="102"/>
    </row>
    <row r="2583" spans="12:25" ht="16">
      <c r="L2583" s="31"/>
      <c r="M2583" s="31"/>
      <c r="N2583" s="31"/>
      <c r="X2583" s="35"/>
      <c r="Y2583" s="102"/>
    </row>
    <row r="2584" spans="12:25" ht="16">
      <c r="L2584" s="31"/>
      <c r="M2584" s="31"/>
      <c r="N2584" s="31"/>
      <c r="X2584" s="35"/>
      <c r="Y2584" s="102"/>
    </row>
    <row r="2585" spans="12:25" ht="16">
      <c r="L2585" s="31"/>
      <c r="M2585" s="31"/>
      <c r="N2585" s="31"/>
      <c r="X2585" s="35"/>
      <c r="Y2585" s="102"/>
    </row>
    <row r="2586" spans="12:25" ht="16">
      <c r="L2586" s="31"/>
      <c r="M2586" s="31"/>
      <c r="N2586" s="31"/>
      <c r="X2586" s="35"/>
      <c r="Y2586" s="102"/>
    </row>
    <row r="2587" spans="12:25" ht="16">
      <c r="L2587" s="31"/>
      <c r="M2587" s="31"/>
      <c r="N2587" s="31"/>
      <c r="X2587" s="35"/>
      <c r="Y2587" s="102"/>
    </row>
    <row r="2588" spans="12:25" ht="16">
      <c r="L2588" s="31"/>
      <c r="M2588" s="31"/>
      <c r="N2588" s="31"/>
      <c r="X2588" s="35"/>
      <c r="Y2588" s="102"/>
    </row>
    <row r="2589" spans="12:25" ht="16">
      <c r="L2589" s="31"/>
      <c r="M2589" s="31"/>
      <c r="N2589" s="31"/>
      <c r="X2589" s="35"/>
      <c r="Y2589" s="102"/>
    </row>
    <row r="2590" spans="12:25" ht="16">
      <c r="L2590" s="31"/>
      <c r="M2590" s="31"/>
      <c r="N2590" s="31"/>
      <c r="X2590" s="35"/>
      <c r="Y2590" s="102"/>
    </row>
    <row r="2591" spans="12:25" ht="16">
      <c r="L2591" s="31"/>
      <c r="M2591" s="31"/>
      <c r="N2591" s="31"/>
      <c r="X2591" s="35"/>
      <c r="Y2591" s="102"/>
    </row>
    <row r="2592" spans="12:25" ht="16">
      <c r="L2592" s="31"/>
      <c r="M2592" s="31"/>
      <c r="N2592" s="31"/>
      <c r="X2592" s="35"/>
      <c r="Y2592" s="102"/>
    </row>
    <row r="2593" spans="12:25" ht="16">
      <c r="L2593" s="31"/>
      <c r="M2593" s="31"/>
      <c r="N2593" s="31"/>
      <c r="X2593" s="35"/>
      <c r="Y2593" s="102"/>
    </row>
    <row r="2594" spans="12:25" ht="16">
      <c r="L2594" s="31"/>
      <c r="M2594" s="31"/>
      <c r="N2594" s="31"/>
      <c r="X2594" s="35"/>
      <c r="Y2594" s="102"/>
    </row>
    <row r="2595" spans="12:25" ht="16">
      <c r="L2595" s="31"/>
      <c r="M2595" s="31"/>
      <c r="N2595" s="31"/>
      <c r="X2595" s="35"/>
      <c r="Y2595" s="102"/>
    </row>
    <row r="2596" spans="12:25" ht="16">
      <c r="L2596" s="31"/>
      <c r="M2596" s="31"/>
      <c r="N2596" s="31"/>
      <c r="X2596" s="35"/>
      <c r="Y2596" s="102"/>
    </row>
    <row r="2597" spans="12:25" ht="16">
      <c r="L2597" s="31"/>
      <c r="M2597" s="31"/>
      <c r="N2597" s="31"/>
      <c r="X2597" s="35"/>
      <c r="Y2597" s="102"/>
    </row>
    <row r="2598" spans="12:25" ht="16">
      <c r="L2598" s="31"/>
      <c r="M2598" s="31"/>
      <c r="N2598" s="31"/>
      <c r="X2598" s="35"/>
      <c r="Y2598" s="102"/>
    </row>
    <row r="2599" spans="12:25" ht="16">
      <c r="L2599" s="31"/>
      <c r="M2599" s="31"/>
      <c r="N2599" s="31"/>
      <c r="X2599" s="35"/>
      <c r="Y2599" s="102"/>
    </row>
    <row r="2600" spans="12:25" ht="16">
      <c r="L2600" s="31"/>
      <c r="M2600" s="31"/>
      <c r="N2600" s="31"/>
      <c r="X2600" s="35"/>
      <c r="Y2600" s="102"/>
    </row>
    <row r="2601" spans="12:25" ht="16">
      <c r="L2601" s="31"/>
      <c r="M2601" s="31"/>
      <c r="N2601" s="31"/>
      <c r="X2601" s="35"/>
      <c r="Y2601" s="102"/>
    </row>
    <row r="2602" spans="12:25" ht="16">
      <c r="L2602" s="31"/>
      <c r="M2602" s="31"/>
      <c r="N2602" s="31"/>
      <c r="X2602" s="35"/>
      <c r="Y2602" s="102"/>
    </row>
    <row r="2603" spans="12:25" ht="16">
      <c r="L2603" s="31"/>
      <c r="M2603" s="31"/>
      <c r="N2603" s="31"/>
      <c r="X2603" s="35"/>
      <c r="Y2603" s="102"/>
    </row>
    <row r="2604" spans="12:25" ht="16">
      <c r="L2604" s="31"/>
      <c r="M2604" s="31"/>
      <c r="N2604" s="31"/>
      <c r="X2604" s="35"/>
      <c r="Y2604" s="102"/>
    </row>
    <row r="2605" spans="12:25" ht="16">
      <c r="L2605" s="31"/>
      <c r="M2605" s="31"/>
      <c r="N2605" s="31"/>
      <c r="X2605" s="35"/>
      <c r="Y2605" s="102"/>
    </row>
    <row r="2606" spans="12:25" ht="16">
      <c r="L2606" s="31"/>
      <c r="M2606" s="31"/>
      <c r="N2606" s="31"/>
      <c r="X2606" s="35"/>
      <c r="Y2606" s="102"/>
    </row>
    <row r="2607" spans="12:25" ht="16">
      <c r="L2607" s="31"/>
      <c r="M2607" s="31"/>
      <c r="N2607" s="31"/>
      <c r="X2607" s="35"/>
      <c r="Y2607" s="102"/>
    </row>
    <row r="2608" spans="12:25" ht="16">
      <c r="L2608" s="31"/>
      <c r="M2608" s="31"/>
      <c r="N2608" s="31"/>
      <c r="X2608" s="35"/>
      <c r="Y2608" s="102"/>
    </row>
    <row r="2609" spans="12:25" ht="16">
      <c r="L2609" s="31"/>
      <c r="M2609" s="31"/>
      <c r="N2609" s="31"/>
      <c r="X2609" s="35"/>
      <c r="Y2609" s="102"/>
    </row>
    <row r="2610" spans="12:25" ht="16">
      <c r="L2610" s="31"/>
      <c r="M2610" s="31"/>
      <c r="N2610" s="31"/>
      <c r="X2610" s="35"/>
      <c r="Y2610" s="102"/>
    </row>
    <row r="2611" spans="12:25" ht="16">
      <c r="L2611" s="31"/>
      <c r="M2611" s="31"/>
      <c r="N2611" s="31"/>
      <c r="X2611" s="35"/>
      <c r="Y2611" s="102"/>
    </row>
    <row r="2612" spans="12:25" ht="16">
      <c r="L2612" s="31"/>
      <c r="M2612" s="31"/>
      <c r="N2612" s="31"/>
      <c r="X2612" s="35"/>
      <c r="Y2612" s="102"/>
    </row>
    <row r="2613" spans="12:25" ht="16">
      <c r="L2613" s="31"/>
      <c r="M2613" s="31"/>
      <c r="N2613" s="31"/>
      <c r="X2613" s="35"/>
      <c r="Y2613" s="102"/>
    </row>
    <row r="2614" spans="12:25" ht="16">
      <c r="L2614" s="31"/>
      <c r="M2614" s="31"/>
      <c r="N2614" s="31"/>
      <c r="X2614" s="35"/>
      <c r="Y2614" s="102"/>
    </row>
    <row r="2615" spans="12:25" ht="16">
      <c r="L2615" s="31"/>
      <c r="M2615" s="31"/>
      <c r="N2615" s="31"/>
      <c r="X2615" s="35"/>
      <c r="Y2615" s="102"/>
    </row>
    <row r="2616" spans="12:25" ht="16">
      <c r="L2616" s="31"/>
      <c r="M2616" s="31"/>
      <c r="N2616" s="31"/>
      <c r="X2616" s="35"/>
      <c r="Y2616" s="102"/>
    </row>
    <row r="2617" spans="12:25" ht="16">
      <c r="L2617" s="31"/>
      <c r="M2617" s="31"/>
      <c r="N2617" s="31"/>
      <c r="X2617" s="35"/>
      <c r="Y2617" s="102"/>
    </row>
    <row r="2618" spans="12:25" ht="16">
      <c r="L2618" s="31"/>
      <c r="M2618" s="31"/>
      <c r="N2618" s="31"/>
      <c r="X2618" s="35"/>
      <c r="Y2618" s="102"/>
    </row>
    <row r="2619" spans="12:25" ht="16">
      <c r="L2619" s="31"/>
      <c r="M2619" s="31"/>
      <c r="N2619" s="31"/>
      <c r="X2619" s="35"/>
      <c r="Y2619" s="102"/>
    </row>
    <row r="2620" spans="12:25" ht="16">
      <c r="L2620" s="31"/>
      <c r="M2620" s="31"/>
      <c r="N2620" s="31"/>
      <c r="X2620" s="35"/>
      <c r="Y2620" s="102"/>
    </row>
    <row r="2621" spans="12:25" ht="16">
      <c r="L2621" s="31"/>
      <c r="M2621" s="31"/>
      <c r="N2621" s="31"/>
      <c r="X2621" s="35"/>
      <c r="Y2621" s="102"/>
    </row>
    <row r="2622" spans="12:25" ht="16">
      <c r="L2622" s="31"/>
      <c r="M2622" s="31"/>
      <c r="N2622" s="31"/>
      <c r="X2622" s="35"/>
      <c r="Y2622" s="102"/>
    </row>
    <row r="2623" spans="12:25" ht="16">
      <c r="L2623" s="31"/>
      <c r="M2623" s="31"/>
      <c r="N2623" s="31"/>
      <c r="X2623" s="35"/>
      <c r="Y2623" s="102"/>
    </row>
    <row r="2624" spans="12:25" ht="16">
      <c r="L2624" s="31"/>
      <c r="M2624" s="31"/>
      <c r="N2624" s="31"/>
      <c r="X2624" s="35"/>
      <c r="Y2624" s="102"/>
    </row>
    <row r="2625" spans="12:25" ht="16">
      <c r="L2625" s="31"/>
      <c r="M2625" s="31"/>
      <c r="N2625" s="31"/>
      <c r="X2625" s="35"/>
      <c r="Y2625" s="102"/>
    </row>
    <row r="2626" spans="12:25" ht="16">
      <c r="L2626" s="31"/>
      <c r="M2626" s="31"/>
      <c r="N2626" s="31"/>
      <c r="X2626" s="35"/>
      <c r="Y2626" s="102"/>
    </row>
    <row r="2627" spans="12:25" ht="16">
      <c r="L2627" s="31"/>
      <c r="M2627" s="31"/>
      <c r="N2627" s="31"/>
      <c r="X2627" s="35"/>
      <c r="Y2627" s="102"/>
    </row>
    <row r="2628" spans="12:25" ht="16">
      <c r="L2628" s="31"/>
      <c r="M2628" s="31"/>
      <c r="N2628" s="31"/>
      <c r="X2628" s="35"/>
      <c r="Y2628" s="102"/>
    </row>
    <row r="2629" spans="12:25" ht="16">
      <c r="L2629" s="31"/>
      <c r="M2629" s="31"/>
      <c r="N2629" s="31"/>
      <c r="X2629" s="35"/>
      <c r="Y2629" s="102"/>
    </row>
    <row r="2630" spans="12:25" ht="16">
      <c r="L2630" s="31"/>
      <c r="M2630" s="31"/>
      <c r="N2630" s="31"/>
      <c r="X2630" s="35"/>
      <c r="Y2630" s="102"/>
    </row>
    <row r="2631" spans="12:25" ht="16">
      <c r="L2631" s="31"/>
      <c r="M2631" s="31"/>
      <c r="N2631" s="31"/>
      <c r="X2631" s="35"/>
      <c r="Y2631" s="102"/>
    </row>
    <row r="2632" spans="12:25" ht="16">
      <c r="L2632" s="31"/>
      <c r="M2632" s="31"/>
      <c r="N2632" s="31"/>
      <c r="X2632" s="35"/>
      <c r="Y2632" s="102"/>
    </row>
    <row r="2633" spans="12:25" ht="16">
      <c r="L2633" s="31"/>
      <c r="M2633" s="31"/>
      <c r="N2633" s="31"/>
      <c r="X2633" s="35"/>
      <c r="Y2633" s="102"/>
    </row>
    <row r="2634" spans="12:25" ht="16">
      <c r="L2634" s="31"/>
      <c r="M2634" s="31"/>
      <c r="N2634" s="31"/>
      <c r="X2634" s="35"/>
      <c r="Y2634" s="102"/>
    </row>
    <row r="2635" spans="12:25" ht="16">
      <c r="L2635" s="31"/>
      <c r="M2635" s="31"/>
      <c r="N2635" s="31"/>
      <c r="X2635" s="35"/>
      <c r="Y2635" s="102"/>
    </row>
    <row r="2636" spans="12:25" ht="16">
      <c r="L2636" s="31"/>
      <c r="M2636" s="31"/>
      <c r="N2636" s="31"/>
      <c r="X2636" s="35"/>
      <c r="Y2636" s="102"/>
    </row>
    <row r="2637" spans="12:25" ht="16">
      <c r="L2637" s="31"/>
      <c r="M2637" s="31"/>
      <c r="N2637" s="31"/>
      <c r="X2637" s="35"/>
      <c r="Y2637" s="102"/>
    </row>
    <row r="2638" spans="12:25" ht="16">
      <c r="L2638" s="31"/>
      <c r="M2638" s="31"/>
      <c r="N2638" s="31"/>
      <c r="X2638" s="35"/>
      <c r="Y2638" s="102"/>
    </row>
    <row r="2639" spans="12:25" ht="16">
      <c r="L2639" s="31"/>
      <c r="M2639" s="31"/>
      <c r="N2639" s="31"/>
      <c r="X2639" s="35"/>
      <c r="Y2639" s="102"/>
    </row>
    <row r="2640" spans="12:25" ht="16">
      <c r="L2640" s="31"/>
      <c r="M2640" s="31"/>
      <c r="N2640" s="31"/>
      <c r="X2640" s="35"/>
      <c r="Y2640" s="102"/>
    </row>
    <row r="2641" spans="12:25" ht="16">
      <c r="L2641" s="31"/>
      <c r="M2641" s="31"/>
      <c r="N2641" s="31"/>
      <c r="X2641" s="35"/>
      <c r="Y2641" s="102"/>
    </row>
    <row r="2642" spans="12:25" ht="16">
      <c r="L2642" s="31"/>
      <c r="M2642" s="31"/>
      <c r="N2642" s="31"/>
      <c r="X2642" s="35"/>
      <c r="Y2642" s="102"/>
    </row>
    <row r="2643" spans="12:25" ht="16">
      <c r="L2643" s="31"/>
      <c r="M2643" s="31"/>
      <c r="N2643" s="31"/>
      <c r="X2643" s="35"/>
      <c r="Y2643" s="102"/>
    </row>
    <row r="2644" spans="12:25" ht="16">
      <c r="L2644" s="31"/>
      <c r="M2644" s="31"/>
      <c r="N2644" s="31"/>
      <c r="X2644" s="35"/>
      <c r="Y2644" s="102"/>
    </row>
    <row r="2645" spans="12:25" ht="16">
      <c r="L2645" s="31"/>
      <c r="M2645" s="31"/>
      <c r="N2645" s="31"/>
      <c r="X2645" s="35"/>
      <c r="Y2645" s="102"/>
    </row>
    <row r="2646" spans="12:25" ht="16">
      <c r="L2646" s="31"/>
      <c r="M2646" s="31"/>
      <c r="N2646" s="31"/>
      <c r="X2646" s="35"/>
      <c r="Y2646" s="102"/>
    </row>
    <row r="2647" spans="12:25" ht="16">
      <c r="L2647" s="31"/>
      <c r="M2647" s="31"/>
      <c r="N2647" s="31"/>
      <c r="X2647" s="35"/>
      <c r="Y2647" s="102"/>
    </row>
    <row r="2648" spans="12:25" ht="16">
      <c r="L2648" s="31"/>
      <c r="M2648" s="31"/>
      <c r="N2648" s="31"/>
      <c r="X2648" s="35"/>
      <c r="Y2648" s="102"/>
    </row>
    <row r="2649" spans="12:25" ht="16">
      <c r="L2649" s="31"/>
      <c r="M2649" s="31"/>
      <c r="N2649" s="31"/>
      <c r="X2649" s="35"/>
      <c r="Y2649" s="102"/>
    </row>
    <row r="2650" spans="12:25" ht="16">
      <c r="L2650" s="31"/>
      <c r="M2650" s="31"/>
      <c r="N2650" s="31"/>
      <c r="X2650" s="35"/>
      <c r="Y2650" s="102"/>
    </row>
    <row r="2651" spans="12:25" ht="16">
      <c r="L2651" s="31"/>
      <c r="M2651" s="31"/>
      <c r="N2651" s="31"/>
      <c r="X2651" s="35"/>
      <c r="Y2651" s="102"/>
    </row>
    <row r="2652" spans="12:25" ht="16">
      <c r="L2652" s="31"/>
      <c r="M2652" s="31"/>
      <c r="N2652" s="31"/>
      <c r="X2652" s="35"/>
      <c r="Y2652" s="102"/>
    </row>
    <row r="2653" spans="12:25" ht="16">
      <c r="L2653" s="31"/>
      <c r="M2653" s="31"/>
      <c r="N2653" s="31"/>
      <c r="X2653" s="35"/>
      <c r="Y2653" s="102"/>
    </row>
    <row r="2654" spans="12:25" ht="16">
      <c r="L2654" s="31"/>
      <c r="M2654" s="31"/>
      <c r="N2654" s="31"/>
      <c r="X2654" s="35"/>
      <c r="Y2654" s="102"/>
    </row>
    <row r="2655" spans="12:25" ht="16">
      <c r="L2655" s="31"/>
      <c r="M2655" s="31"/>
      <c r="N2655" s="31"/>
      <c r="X2655" s="35"/>
      <c r="Y2655" s="102"/>
    </row>
    <row r="2656" spans="12:25" ht="16">
      <c r="L2656" s="31"/>
      <c r="M2656" s="31"/>
      <c r="N2656" s="31"/>
      <c r="X2656" s="35"/>
      <c r="Y2656" s="102"/>
    </row>
    <row r="2657" spans="12:25" ht="16">
      <c r="L2657" s="31"/>
      <c r="M2657" s="31"/>
      <c r="N2657" s="31"/>
      <c r="X2657" s="35"/>
      <c r="Y2657" s="102"/>
    </row>
    <row r="2658" spans="12:25" ht="16">
      <c r="L2658" s="31"/>
      <c r="M2658" s="31"/>
      <c r="N2658" s="31"/>
      <c r="X2658" s="35"/>
      <c r="Y2658" s="102"/>
    </row>
    <row r="2659" spans="12:25" ht="16">
      <c r="L2659" s="31"/>
      <c r="M2659" s="31"/>
      <c r="N2659" s="31"/>
      <c r="X2659" s="35"/>
      <c r="Y2659" s="102"/>
    </row>
    <row r="2660" spans="12:25" ht="16">
      <c r="L2660" s="31"/>
      <c r="M2660" s="31"/>
      <c r="N2660" s="31"/>
      <c r="X2660" s="35"/>
      <c r="Y2660" s="102"/>
    </row>
    <row r="2661" spans="12:25" ht="16">
      <c r="L2661" s="31"/>
      <c r="M2661" s="31"/>
      <c r="N2661" s="31"/>
      <c r="X2661" s="35"/>
      <c r="Y2661" s="102"/>
    </row>
    <row r="2662" spans="12:25" ht="16">
      <c r="L2662" s="31"/>
      <c r="M2662" s="31"/>
      <c r="N2662" s="31"/>
      <c r="X2662" s="35"/>
      <c r="Y2662" s="102"/>
    </row>
    <row r="2663" spans="12:25" ht="16">
      <c r="L2663" s="31"/>
      <c r="M2663" s="31"/>
      <c r="N2663" s="31"/>
      <c r="X2663" s="35"/>
      <c r="Y2663" s="102"/>
    </row>
    <row r="2664" spans="12:25" ht="16">
      <c r="L2664" s="31"/>
      <c r="M2664" s="31"/>
      <c r="N2664" s="31"/>
      <c r="X2664" s="35"/>
      <c r="Y2664" s="102"/>
    </row>
    <row r="2665" spans="12:25" ht="16">
      <c r="L2665" s="31"/>
      <c r="M2665" s="31"/>
      <c r="N2665" s="31"/>
      <c r="X2665" s="35"/>
      <c r="Y2665" s="102"/>
    </row>
    <row r="2666" spans="12:25" ht="16">
      <c r="L2666" s="31"/>
      <c r="M2666" s="31"/>
      <c r="N2666" s="31"/>
      <c r="X2666" s="35"/>
      <c r="Y2666" s="102"/>
    </row>
    <row r="2667" spans="12:25" ht="16">
      <c r="L2667" s="31"/>
      <c r="M2667" s="31"/>
      <c r="N2667" s="31"/>
      <c r="X2667" s="35"/>
      <c r="Y2667" s="102"/>
    </row>
    <row r="2668" spans="12:25" ht="16">
      <c r="L2668" s="31"/>
      <c r="M2668" s="31"/>
      <c r="N2668" s="31"/>
      <c r="X2668" s="35"/>
      <c r="Y2668" s="102"/>
    </row>
    <row r="2669" spans="12:25" ht="16">
      <c r="L2669" s="31"/>
      <c r="M2669" s="31"/>
      <c r="N2669" s="31"/>
      <c r="X2669" s="35"/>
      <c r="Y2669" s="102"/>
    </row>
    <row r="2670" spans="12:25" ht="16">
      <c r="L2670" s="31"/>
      <c r="M2670" s="31"/>
      <c r="N2670" s="31"/>
      <c r="X2670" s="35"/>
      <c r="Y2670" s="102"/>
    </row>
    <row r="2671" spans="12:25" ht="16">
      <c r="L2671" s="31"/>
      <c r="M2671" s="31"/>
      <c r="N2671" s="31"/>
      <c r="X2671" s="35"/>
      <c r="Y2671" s="102"/>
    </row>
    <row r="2672" spans="12:25" ht="16">
      <c r="L2672" s="31"/>
      <c r="M2672" s="31"/>
      <c r="N2672" s="31"/>
      <c r="X2672" s="35"/>
      <c r="Y2672" s="102"/>
    </row>
    <row r="2673" spans="12:25" ht="16">
      <c r="L2673" s="31"/>
      <c r="M2673" s="31"/>
      <c r="N2673" s="31"/>
      <c r="X2673" s="35"/>
      <c r="Y2673" s="102"/>
    </row>
    <row r="2674" spans="12:25" ht="16">
      <c r="L2674" s="31"/>
      <c r="M2674" s="31"/>
      <c r="N2674" s="31"/>
      <c r="X2674" s="35"/>
      <c r="Y2674" s="102"/>
    </row>
    <row r="2675" spans="12:25" ht="16">
      <c r="L2675" s="31"/>
      <c r="M2675" s="31"/>
      <c r="N2675" s="31"/>
      <c r="X2675" s="35"/>
      <c r="Y2675" s="102"/>
    </row>
    <row r="2676" spans="12:25" ht="16">
      <c r="L2676" s="31"/>
      <c r="M2676" s="31"/>
      <c r="N2676" s="31"/>
      <c r="X2676" s="35"/>
      <c r="Y2676" s="102"/>
    </row>
    <row r="2677" spans="12:25" ht="16">
      <c r="L2677" s="31"/>
      <c r="M2677" s="31"/>
      <c r="N2677" s="31"/>
      <c r="X2677" s="35"/>
      <c r="Y2677" s="102"/>
    </row>
    <row r="2678" spans="12:25" ht="16">
      <c r="L2678" s="31"/>
      <c r="M2678" s="31"/>
      <c r="N2678" s="31"/>
      <c r="X2678" s="35"/>
      <c r="Y2678" s="102"/>
    </row>
    <row r="2679" spans="12:25" ht="16">
      <c r="L2679" s="31"/>
      <c r="M2679" s="31"/>
      <c r="N2679" s="31"/>
      <c r="X2679" s="35"/>
      <c r="Y2679" s="102"/>
    </row>
    <row r="2680" spans="12:25" ht="16">
      <c r="L2680" s="31"/>
      <c r="M2680" s="31"/>
      <c r="N2680" s="31"/>
      <c r="X2680" s="35"/>
      <c r="Y2680" s="102"/>
    </row>
    <row r="2681" spans="12:25" ht="16">
      <c r="L2681" s="31"/>
      <c r="M2681" s="31"/>
      <c r="N2681" s="31"/>
      <c r="X2681" s="35"/>
      <c r="Y2681" s="102"/>
    </row>
    <row r="2682" spans="12:25" ht="16">
      <c r="L2682" s="31"/>
      <c r="M2682" s="31"/>
      <c r="N2682" s="31"/>
      <c r="X2682" s="35"/>
      <c r="Y2682" s="102"/>
    </row>
    <row r="2683" spans="12:25" ht="16">
      <c r="L2683" s="31"/>
      <c r="M2683" s="31"/>
      <c r="N2683" s="31"/>
      <c r="X2683" s="35"/>
      <c r="Y2683" s="102"/>
    </row>
    <row r="2684" spans="12:25" ht="16">
      <c r="L2684" s="31"/>
      <c r="M2684" s="31"/>
      <c r="N2684" s="31"/>
      <c r="X2684" s="35"/>
      <c r="Y2684" s="102"/>
    </row>
    <row r="2685" spans="12:25" ht="16">
      <c r="L2685" s="31"/>
      <c r="M2685" s="31"/>
      <c r="N2685" s="31"/>
      <c r="X2685" s="35"/>
      <c r="Y2685" s="102"/>
    </row>
    <row r="2686" spans="12:25" ht="16">
      <c r="L2686" s="31"/>
      <c r="M2686" s="31"/>
      <c r="N2686" s="31"/>
      <c r="X2686" s="35"/>
      <c r="Y2686" s="102"/>
    </row>
    <row r="2687" spans="12:25" ht="16">
      <c r="L2687" s="31"/>
      <c r="M2687" s="31"/>
      <c r="N2687" s="31"/>
      <c r="X2687" s="35"/>
      <c r="Y2687" s="102"/>
    </row>
    <row r="2688" spans="12:25" ht="16">
      <c r="L2688" s="31"/>
      <c r="M2688" s="31"/>
      <c r="N2688" s="31"/>
      <c r="X2688" s="35"/>
      <c r="Y2688" s="102"/>
    </row>
    <row r="2689" spans="12:25" ht="16">
      <c r="L2689" s="31"/>
      <c r="M2689" s="31"/>
      <c r="N2689" s="31"/>
      <c r="X2689" s="35"/>
      <c r="Y2689" s="102"/>
    </row>
    <row r="2690" spans="12:25" ht="16">
      <c r="L2690" s="31"/>
      <c r="M2690" s="31"/>
      <c r="N2690" s="31"/>
      <c r="X2690" s="35"/>
      <c r="Y2690" s="102"/>
    </row>
    <row r="2691" spans="12:25" ht="16">
      <c r="L2691" s="31"/>
      <c r="M2691" s="31"/>
      <c r="N2691" s="31"/>
      <c r="X2691" s="35"/>
      <c r="Y2691" s="102"/>
    </row>
    <row r="2692" spans="12:25" ht="16">
      <c r="L2692" s="31"/>
      <c r="M2692" s="31"/>
      <c r="N2692" s="31"/>
      <c r="X2692" s="35"/>
      <c r="Y2692" s="102"/>
    </row>
    <row r="2693" spans="12:25" ht="16">
      <c r="L2693" s="31"/>
      <c r="M2693" s="31"/>
      <c r="N2693" s="31"/>
      <c r="X2693" s="35"/>
      <c r="Y2693" s="102"/>
    </row>
    <row r="2694" spans="12:25" ht="16">
      <c r="L2694" s="31"/>
      <c r="M2694" s="31"/>
      <c r="N2694" s="31"/>
      <c r="X2694" s="35"/>
      <c r="Y2694" s="102"/>
    </row>
    <row r="2695" spans="12:25" ht="16">
      <c r="L2695" s="31"/>
      <c r="M2695" s="31"/>
      <c r="N2695" s="31"/>
      <c r="X2695" s="35"/>
      <c r="Y2695" s="102"/>
    </row>
    <row r="2696" spans="12:25" ht="16">
      <c r="L2696" s="31"/>
      <c r="M2696" s="31"/>
      <c r="N2696" s="31"/>
      <c r="X2696" s="35"/>
      <c r="Y2696" s="102"/>
    </row>
    <row r="2697" spans="12:25" ht="16">
      <c r="L2697" s="31"/>
      <c r="M2697" s="31"/>
      <c r="N2697" s="31"/>
      <c r="X2697" s="35"/>
      <c r="Y2697" s="102"/>
    </row>
    <row r="2698" spans="12:25" ht="16">
      <c r="L2698" s="31"/>
      <c r="M2698" s="31"/>
      <c r="N2698" s="31"/>
      <c r="X2698" s="35"/>
      <c r="Y2698" s="102"/>
    </row>
    <row r="2699" spans="12:25" ht="16">
      <c r="L2699" s="31"/>
      <c r="M2699" s="31"/>
      <c r="N2699" s="31"/>
      <c r="X2699" s="35"/>
      <c r="Y2699" s="102"/>
    </row>
    <row r="2700" spans="12:25" ht="16">
      <c r="L2700" s="31"/>
      <c r="M2700" s="31"/>
      <c r="N2700" s="31"/>
      <c r="X2700" s="35"/>
      <c r="Y2700" s="102"/>
    </row>
    <row r="2701" spans="12:25" ht="16">
      <c r="L2701" s="31"/>
      <c r="M2701" s="31"/>
      <c r="N2701" s="31"/>
      <c r="X2701" s="35"/>
      <c r="Y2701" s="102"/>
    </row>
    <row r="2702" spans="12:25" ht="16">
      <c r="L2702" s="31"/>
      <c r="M2702" s="31"/>
      <c r="N2702" s="31"/>
      <c r="X2702" s="35"/>
      <c r="Y2702" s="102"/>
    </row>
    <row r="2703" spans="12:25" ht="16">
      <c r="L2703" s="31"/>
      <c r="M2703" s="31"/>
      <c r="N2703" s="31"/>
      <c r="X2703" s="35"/>
      <c r="Y2703" s="102"/>
    </row>
    <row r="2704" spans="12:25" ht="16">
      <c r="L2704" s="31"/>
      <c r="M2704" s="31"/>
      <c r="N2704" s="31"/>
      <c r="X2704" s="35"/>
      <c r="Y2704" s="102"/>
    </row>
    <row r="2705" spans="12:25" ht="16">
      <c r="L2705" s="31"/>
      <c r="M2705" s="31"/>
      <c r="N2705" s="31"/>
      <c r="X2705" s="35"/>
      <c r="Y2705" s="102"/>
    </row>
    <row r="2706" spans="12:25" ht="16">
      <c r="L2706" s="31"/>
      <c r="M2706" s="31"/>
      <c r="N2706" s="31"/>
      <c r="X2706" s="35"/>
      <c r="Y2706" s="102"/>
    </row>
    <row r="2707" spans="12:25" ht="16">
      <c r="L2707" s="31"/>
      <c r="M2707" s="31"/>
      <c r="N2707" s="31"/>
      <c r="X2707" s="35"/>
      <c r="Y2707" s="102"/>
    </row>
    <row r="2708" spans="12:25" ht="16">
      <c r="L2708" s="31"/>
      <c r="M2708" s="31"/>
      <c r="N2708" s="31"/>
      <c r="X2708" s="35"/>
      <c r="Y2708" s="102"/>
    </row>
    <row r="2709" spans="12:25" ht="16">
      <c r="L2709" s="31"/>
      <c r="M2709" s="31"/>
      <c r="N2709" s="31"/>
      <c r="X2709" s="35"/>
      <c r="Y2709" s="102"/>
    </row>
    <row r="2710" spans="12:25" ht="16">
      <c r="L2710" s="31"/>
      <c r="M2710" s="31"/>
      <c r="N2710" s="31"/>
      <c r="X2710" s="35"/>
      <c r="Y2710" s="102"/>
    </row>
    <row r="2711" spans="12:25" ht="16">
      <c r="L2711" s="31"/>
      <c r="M2711" s="31"/>
      <c r="N2711" s="31"/>
      <c r="X2711" s="35"/>
      <c r="Y2711" s="102"/>
    </row>
    <row r="2712" spans="12:25" ht="16">
      <c r="L2712" s="31"/>
      <c r="M2712" s="31"/>
      <c r="N2712" s="31"/>
      <c r="X2712" s="35"/>
      <c r="Y2712" s="102"/>
    </row>
    <row r="2713" spans="12:25" ht="16">
      <c r="L2713" s="31"/>
      <c r="M2713" s="31"/>
      <c r="N2713" s="31"/>
      <c r="X2713" s="35"/>
      <c r="Y2713" s="102"/>
    </row>
    <row r="2714" spans="12:25" ht="16">
      <c r="L2714" s="31"/>
      <c r="M2714" s="31"/>
      <c r="N2714" s="31"/>
      <c r="X2714" s="35"/>
      <c r="Y2714" s="102"/>
    </row>
    <row r="2715" spans="12:25" ht="16">
      <c r="L2715" s="31"/>
      <c r="M2715" s="31"/>
      <c r="N2715" s="31"/>
      <c r="X2715" s="35"/>
      <c r="Y2715" s="102"/>
    </row>
    <row r="2716" spans="12:25" ht="16">
      <c r="L2716" s="31"/>
      <c r="M2716" s="31"/>
      <c r="N2716" s="31"/>
      <c r="X2716" s="35"/>
      <c r="Y2716" s="102"/>
    </row>
    <row r="2717" spans="12:25" ht="16">
      <c r="L2717" s="31"/>
      <c r="M2717" s="31"/>
      <c r="N2717" s="31"/>
      <c r="X2717" s="35"/>
      <c r="Y2717" s="102"/>
    </row>
    <row r="2718" spans="12:25" ht="16">
      <c r="L2718" s="31"/>
      <c r="M2718" s="31"/>
      <c r="N2718" s="31"/>
      <c r="X2718" s="35"/>
      <c r="Y2718" s="102"/>
    </row>
    <row r="2719" spans="12:25" ht="16">
      <c r="L2719" s="31"/>
      <c r="M2719" s="31"/>
      <c r="N2719" s="31"/>
      <c r="X2719" s="35"/>
      <c r="Y2719" s="102"/>
    </row>
    <row r="2720" spans="12:25" ht="16">
      <c r="L2720" s="31"/>
      <c r="M2720" s="31"/>
      <c r="N2720" s="31"/>
      <c r="X2720" s="35"/>
      <c r="Y2720" s="102"/>
    </row>
    <row r="2721" spans="12:25" ht="16">
      <c r="L2721" s="31"/>
      <c r="M2721" s="31"/>
      <c r="N2721" s="31"/>
      <c r="X2721" s="35"/>
      <c r="Y2721" s="102"/>
    </row>
    <row r="2722" spans="12:25" ht="16">
      <c r="L2722" s="31"/>
      <c r="M2722" s="31"/>
      <c r="N2722" s="31"/>
      <c r="X2722" s="35"/>
      <c r="Y2722" s="102"/>
    </row>
    <row r="2723" spans="12:25" ht="16">
      <c r="L2723" s="31"/>
      <c r="M2723" s="31"/>
      <c r="N2723" s="31"/>
      <c r="X2723" s="35"/>
      <c r="Y2723" s="102"/>
    </row>
    <row r="2724" spans="12:25" ht="16">
      <c r="L2724" s="31"/>
      <c r="M2724" s="31"/>
      <c r="N2724" s="31"/>
      <c r="X2724" s="35"/>
      <c r="Y2724" s="102"/>
    </row>
    <row r="2725" spans="12:25" ht="16">
      <c r="L2725" s="31"/>
      <c r="M2725" s="31"/>
      <c r="N2725" s="31"/>
      <c r="X2725" s="35"/>
      <c r="Y2725" s="102"/>
    </row>
    <row r="2726" spans="12:25" ht="16">
      <c r="L2726" s="31"/>
      <c r="M2726" s="31"/>
      <c r="N2726" s="31"/>
      <c r="X2726" s="35"/>
      <c r="Y2726" s="102"/>
    </row>
    <row r="2727" spans="12:25" ht="16">
      <c r="L2727" s="31"/>
      <c r="M2727" s="31"/>
      <c r="N2727" s="31"/>
      <c r="X2727" s="35"/>
      <c r="Y2727" s="102"/>
    </row>
    <row r="2728" spans="12:25" ht="16">
      <c r="L2728" s="31"/>
      <c r="M2728" s="31"/>
      <c r="N2728" s="31"/>
      <c r="X2728" s="35"/>
      <c r="Y2728" s="102"/>
    </row>
    <row r="2729" spans="12:25" ht="16">
      <c r="L2729" s="31"/>
      <c r="M2729" s="31"/>
      <c r="N2729" s="31"/>
      <c r="X2729" s="35"/>
      <c r="Y2729" s="102"/>
    </row>
    <row r="2730" spans="12:25" ht="16">
      <c r="L2730" s="31"/>
      <c r="M2730" s="31"/>
      <c r="N2730" s="31"/>
      <c r="X2730" s="35"/>
      <c r="Y2730" s="102"/>
    </row>
    <row r="2731" spans="12:25" ht="16">
      <c r="L2731" s="31"/>
      <c r="M2731" s="31"/>
      <c r="N2731" s="31"/>
      <c r="X2731" s="35"/>
      <c r="Y2731" s="102"/>
    </row>
    <row r="2732" spans="12:25" ht="16">
      <c r="L2732" s="31"/>
      <c r="M2732" s="31"/>
      <c r="N2732" s="31"/>
      <c r="X2732" s="35"/>
      <c r="Y2732" s="102"/>
    </row>
    <row r="2733" spans="12:25" ht="16">
      <c r="L2733" s="31"/>
      <c r="M2733" s="31"/>
      <c r="N2733" s="31"/>
      <c r="X2733" s="35"/>
      <c r="Y2733" s="102"/>
    </row>
    <row r="2734" spans="12:25" ht="16">
      <c r="L2734" s="31"/>
      <c r="M2734" s="31"/>
      <c r="N2734" s="31"/>
      <c r="X2734" s="35"/>
      <c r="Y2734" s="102"/>
    </row>
    <row r="2735" spans="12:25" ht="16">
      <c r="L2735" s="31"/>
      <c r="M2735" s="31"/>
      <c r="N2735" s="31"/>
      <c r="X2735" s="35"/>
      <c r="Y2735" s="102"/>
    </row>
    <row r="2736" spans="12:25" ht="16">
      <c r="L2736" s="31"/>
      <c r="M2736" s="31"/>
      <c r="N2736" s="31"/>
      <c r="X2736" s="35"/>
      <c r="Y2736" s="102"/>
    </row>
    <row r="2737" spans="12:25" ht="16">
      <c r="L2737" s="31"/>
      <c r="M2737" s="31"/>
      <c r="N2737" s="31"/>
      <c r="X2737" s="35"/>
      <c r="Y2737" s="102"/>
    </row>
    <row r="2738" spans="12:25" ht="16">
      <c r="L2738" s="31"/>
      <c r="M2738" s="31"/>
      <c r="N2738" s="31"/>
      <c r="X2738" s="35"/>
      <c r="Y2738" s="102"/>
    </row>
    <row r="2739" spans="12:25" ht="16">
      <c r="L2739" s="31"/>
      <c r="M2739" s="31"/>
      <c r="N2739" s="31"/>
      <c r="X2739" s="35"/>
      <c r="Y2739" s="102"/>
    </row>
    <row r="2740" spans="12:25" ht="16">
      <c r="L2740" s="31"/>
      <c r="M2740" s="31"/>
      <c r="N2740" s="31"/>
      <c r="X2740" s="35"/>
      <c r="Y2740" s="102"/>
    </row>
    <row r="2741" spans="12:25" ht="16">
      <c r="L2741" s="31"/>
      <c r="M2741" s="31"/>
      <c r="N2741" s="31"/>
      <c r="X2741" s="35"/>
      <c r="Y2741" s="102"/>
    </row>
    <row r="2742" spans="12:25" ht="16">
      <c r="L2742" s="31"/>
      <c r="M2742" s="31"/>
      <c r="N2742" s="31"/>
      <c r="X2742" s="35"/>
      <c r="Y2742" s="102"/>
    </row>
    <row r="2743" spans="12:25" ht="16">
      <c r="L2743" s="31"/>
      <c r="M2743" s="31"/>
      <c r="N2743" s="31"/>
      <c r="X2743" s="35"/>
      <c r="Y2743" s="102"/>
    </row>
    <row r="2744" spans="12:25" ht="16">
      <c r="L2744" s="31"/>
      <c r="M2744" s="31"/>
      <c r="N2744" s="31"/>
      <c r="X2744" s="35"/>
      <c r="Y2744" s="102"/>
    </row>
    <row r="2745" spans="12:25" ht="16">
      <c r="L2745" s="31"/>
      <c r="M2745" s="31"/>
      <c r="N2745" s="31"/>
      <c r="X2745" s="35"/>
      <c r="Y2745" s="102"/>
    </row>
    <row r="2746" spans="12:25" ht="16">
      <c r="L2746" s="31"/>
      <c r="M2746" s="31"/>
      <c r="N2746" s="31"/>
    </row>
    <row r="2747" spans="12:25" ht="16">
      <c r="L2747" s="31"/>
      <c r="M2747" s="31"/>
      <c r="N2747" s="31"/>
    </row>
    <row r="2748" spans="12:25" ht="16">
      <c r="L2748" s="31"/>
      <c r="M2748" s="31"/>
      <c r="N2748" s="31"/>
    </row>
    <row r="2749" spans="12:25" ht="16">
      <c r="L2749" s="31"/>
      <c r="M2749" s="31"/>
      <c r="N2749" s="31"/>
    </row>
  </sheetData>
  <sheetProtection sheet="1" objects="1" scenarios="1"/>
  <protectedRanges>
    <protectedRange sqref="A1:B1048576 D1:H1048576 J1:K1048576 N1:O1048576 Q1:Q1048576 S1:S1048576 U1:W1048576 AB1:AF1048576" name="Range1"/>
  </protectedRanges>
  <mergeCells count="4">
    <mergeCell ref="J1:Q1"/>
    <mergeCell ref="R1:U1"/>
    <mergeCell ref="V1:W1"/>
    <mergeCell ref="X1:AA1"/>
  </mergeCells>
  <conditionalFormatting sqref="X1 X2:Y1048576">
    <cfRule type="expression" dxfId="43" priority="5">
      <formula>AND(X1&lt;0.7,X1&lt;&gt;"")</formula>
    </cfRule>
  </conditionalFormatting>
  <conditionalFormatting sqref="X2:Y1048576 X1">
    <cfRule type="expression" dxfId="42" priority="4">
      <formula>AND(X1&gt;=0.7,X1&lt;=0.85,X1&lt;&gt;"")</formula>
    </cfRule>
  </conditionalFormatting>
  <conditionalFormatting sqref="X3:Y10000">
    <cfRule type="expression" dxfId="41" priority="3">
      <formula>AND(X3&gt;0.85,X3&lt;&gt;"")</formula>
    </cfRule>
  </conditionalFormatting>
  <conditionalFormatting sqref="Z2:AA1048576">
    <cfRule type="cellIs" dxfId="40" priority="2" operator="lessThan">
      <formula>0</formula>
    </cfRule>
  </conditionalFormatting>
  <conditionalFormatting sqref="Z3:AA10000">
    <cfRule type="cellIs" dxfId="39" priority="1" operator="greaterThan">
      <formula>0</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05EA5-1E7A-4325-9C05-710FB21E4319}">
  <dimension ref="A1:W250"/>
  <sheetViews>
    <sheetView workbookViewId="0">
      <pane ySplit="2" topLeftCell="A3" activePane="bottomLeft" state="frozen"/>
      <selection pane="bottomLeft" activeCell="A3" sqref="A3"/>
    </sheetView>
  </sheetViews>
  <sheetFormatPr defaultColWidth="9.1796875" defaultRowHeight="25" customHeight="1"/>
  <cols>
    <col min="1" max="1" width="11.54296875" style="52" customWidth="1"/>
    <col min="2" max="2" width="13.1796875" style="53" customWidth="1"/>
    <col min="3" max="3" width="14.1796875" style="53" customWidth="1"/>
    <col min="4" max="4" width="15.54296875" style="54" bestFit="1" customWidth="1"/>
    <col min="5" max="5" width="14.7265625" style="54" bestFit="1" customWidth="1"/>
    <col min="6" max="6" width="18.26953125" style="54" bestFit="1" customWidth="1"/>
    <col min="7" max="7" width="19" style="53" bestFit="1" customWidth="1"/>
    <col min="8" max="8" width="19" style="53" hidden="1" customWidth="1"/>
    <col min="9" max="9" width="10.1796875" style="56" bestFit="1" customWidth="1"/>
    <col min="10" max="10" width="14" style="53" bestFit="1" customWidth="1"/>
    <col min="11" max="11" width="16.453125" style="66" bestFit="1" customWidth="1"/>
    <col min="12" max="12" width="16.453125" style="47" hidden="1" customWidth="1"/>
    <col min="13" max="13" width="13.453125" style="67" bestFit="1" customWidth="1"/>
    <col min="14" max="14" width="17.26953125" style="53" bestFit="1" customWidth="1"/>
    <col min="15" max="15" width="20.1796875" style="68" bestFit="1" customWidth="1"/>
    <col min="16" max="17" width="15.7265625" style="61" bestFit="1" customWidth="1"/>
    <col min="18" max="18" width="15.1796875" style="69" bestFit="1" customWidth="1"/>
    <col min="19" max="19" width="55.26953125" style="53" customWidth="1"/>
    <col min="20" max="23" width="16.81640625" style="53" bestFit="1" customWidth="1"/>
    <col min="24" max="16384" width="9.1796875" style="47"/>
  </cols>
  <sheetData>
    <row r="1" spans="1:23" ht="47.25" customHeight="1" thickBot="1">
      <c r="A1" s="8"/>
      <c r="B1" s="7"/>
      <c r="C1" s="7"/>
      <c r="D1" s="9"/>
      <c r="E1" s="9"/>
      <c r="F1" s="9"/>
      <c r="G1" s="7"/>
      <c r="H1" s="7"/>
      <c r="I1" s="13"/>
      <c r="J1" s="40" t="s">
        <v>0</v>
      </c>
      <c r="K1" s="46"/>
      <c r="L1" s="46"/>
      <c r="M1" s="4"/>
      <c r="N1" s="41" t="s">
        <v>1</v>
      </c>
      <c r="O1" s="5"/>
      <c r="P1" s="113" t="s">
        <v>2</v>
      </c>
      <c r="Q1" s="114"/>
      <c r="R1" s="39" t="s">
        <v>3</v>
      </c>
      <c r="S1" s="7"/>
      <c r="T1" s="7"/>
      <c r="U1" s="7"/>
      <c r="V1" s="7"/>
      <c r="W1" s="7"/>
    </row>
    <row r="2" spans="1:23" ht="17.5" thickTop="1">
      <c r="A2" s="10" t="s">
        <v>4</v>
      </c>
      <c r="B2" s="6" t="s">
        <v>5</v>
      </c>
      <c r="C2" s="6" t="s">
        <v>7</v>
      </c>
      <c r="D2" s="11" t="s">
        <v>8</v>
      </c>
      <c r="E2" s="11" t="s">
        <v>9</v>
      </c>
      <c r="F2" s="11" t="s">
        <v>10</v>
      </c>
      <c r="G2" s="6" t="s">
        <v>11</v>
      </c>
      <c r="H2" s="48" t="s">
        <v>12</v>
      </c>
      <c r="I2" s="12" t="s">
        <v>13</v>
      </c>
      <c r="J2" s="6" t="s">
        <v>14</v>
      </c>
      <c r="K2" s="49" t="s">
        <v>15</v>
      </c>
      <c r="L2" s="50" t="s">
        <v>16</v>
      </c>
      <c r="M2" s="2" t="s">
        <v>21</v>
      </c>
      <c r="N2" s="6" t="s">
        <v>22</v>
      </c>
      <c r="O2" s="3" t="s">
        <v>23</v>
      </c>
      <c r="P2" s="25" t="s">
        <v>25</v>
      </c>
      <c r="Q2" s="25" t="s">
        <v>26</v>
      </c>
      <c r="R2" s="51" t="s">
        <v>27</v>
      </c>
      <c r="S2" s="6" t="s">
        <v>31</v>
      </c>
      <c r="T2" s="6" t="s">
        <v>32</v>
      </c>
      <c r="U2" s="6" t="s">
        <v>33</v>
      </c>
      <c r="V2" s="6" t="s">
        <v>34</v>
      </c>
      <c r="W2" s="6" t="s">
        <v>35</v>
      </c>
    </row>
    <row r="3" spans="1:23" ht="25" customHeight="1">
      <c r="F3" s="53"/>
      <c r="H3" s="55" t="e">
        <f>tbl_Level[[#This Row],[Qty Complete]]/tbl_Level[[#This Row],[Qty Required]]</f>
        <v>#DIV/0!</v>
      </c>
      <c r="K3" s="57" t="str">
        <f>IFERROR(tbl_Level[[#This Row],[Qty Required]]/tbl_Level[[#This Row],[PPH]]*tbl_Level[[#This Row],['# of men]],"")</f>
        <v/>
      </c>
      <c r="L3" s="58" t="e">
        <f>tbl_Level[[#This Row],[Total hours]]*tbl_Level[[#This Row],[% Complete]]</f>
        <v>#VALUE!</v>
      </c>
      <c r="M3" s="59" t="str">
        <f>IFERROR(tbl_Level[[#This Row],[Qty Complete]]/tbl_Level[[#This Row],[Total Hours Act]]*tbl_Level[[#This Row],['# of men Act]],"")</f>
        <v/>
      </c>
      <c r="O3"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3" s="62" t="str">
        <f>IFERROR((tbl_Level[[#This Row],[Adj. Total Hours]]+tbl_Level[[#This Row],[Est. Hours]])/(tbl_Level[[#This Row],[Total Hours Act]]+tbl_Level[[#This Row],[Act. Hours]]),"")</f>
        <v/>
      </c>
      <c r="S3" s="63"/>
      <c r="T3" s="64"/>
      <c r="U3" s="65"/>
      <c r="V3" s="63"/>
      <c r="W3" s="63"/>
    </row>
    <row r="4" spans="1:23" ht="25" customHeight="1">
      <c r="F4" s="53"/>
      <c r="H4" s="55" t="e">
        <f>tbl_Level[[#This Row],[Qty Complete]]/tbl_Level[[#This Row],[Qty Required]]</f>
        <v>#DIV/0!</v>
      </c>
      <c r="K4" s="57" t="str">
        <f>IFERROR(tbl_Level[[#This Row],[Qty Required]]/tbl_Level[[#This Row],[PPH]]*tbl_Level[[#This Row],['# of men]],"")</f>
        <v/>
      </c>
      <c r="L4" s="58" t="e">
        <f>tbl_Level[[#This Row],[Total hours]]*tbl_Level[[#This Row],[% Complete]]</f>
        <v>#VALUE!</v>
      </c>
      <c r="M4" s="59" t="str">
        <f>IFERROR(tbl_Level[[#This Row],[Qty Complete]]/tbl_Level[[#This Row],[Total Hours Act]]*tbl_Level[[#This Row],['# of men Act]],"")</f>
        <v/>
      </c>
      <c r="O4"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4" s="71" t="str">
        <f>IFERROR((tbl_Level[[#This Row],[Adj. Total Hours]]+tbl_Level[[#This Row],[Est. Hours]])/(tbl_Level[[#This Row],[Total Hours Act]]+tbl_Level[[#This Row],[Act. Hours]]),"")</f>
        <v/>
      </c>
      <c r="S4" s="63"/>
      <c r="T4" s="63"/>
      <c r="U4" s="63"/>
      <c r="V4" s="63"/>
      <c r="W4" s="63"/>
    </row>
    <row r="5" spans="1:23" ht="25" customHeight="1">
      <c r="F5" s="53"/>
      <c r="H5" s="55" t="e">
        <f>tbl_Level[[#This Row],[Qty Complete]]/tbl_Level[[#This Row],[Qty Required]]</f>
        <v>#DIV/0!</v>
      </c>
      <c r="K5" s="57" t="str">
        <f>IFERROR(tbl_Level[[#This Row],[Qty Required]]/tbl_Level[[#This Row],[PPH]]*tbl_Level[[#This Row],['# of men]],"")</f>
        <v/>
      </c>
      <c r="L5" s="58" t="e">
        <f>tbl_Level[[#This Row],[Total hours]]*tbl_Level[[#This Row],[% Complete]]</f>
        <v>#VALUE!</v>
      </c>
      <c r="M5" s="59" t="str">
        <f>IFERROR(tbl_Level[[#This Row],[Qty Complete]]/tbl_Level[[#This Row],[Total Hours Act]]*tbl_Level[[#This Row],['# of men Act]],"")</f>
        <v/>
      </c>
      <c r="O5"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5" s="71" t="str">
        <f>IFERROR((tbl_Level[[#This Row],[Adj. Total Hours]]+tbl_Level[[#This Row],[Est. Hours]])/(tbl_Level[[#This Row],[Total Hours Act]]+tbl_Level[[#This Row],[Act. Hours]]),"")</f>
        <v/>
      </c>
      <c r="S5" s="63"/>
      <c r="T5" s="63"/>
      <c r="U5" s="63"/>
      <c r="V5" s="63"/>
      <c r="W5" s="63"/>
    </row>
    <row r="6" spans="1:23" ht="25" customHeight="1">
      <c r="F6" s="53"/>
      <c r="H6" s="55" t="e">
        <f>tbl_Level[[#This Row],[Qty Complete]]/tbl_Level[[#This Row],[Qty Required]]</f>
        <v>#DIV/0!</v>
      </c>
      <c r="K6" s="57" t="str">
        <f>IFERROR(tbl_Level[[#This Row],[Qty Required]]/tbl_Level[[#This Row],[PPH]]*tbl_Level[[#This Row],['# of men]],"")</f>
        <v/>
      </c>
      <c r="L6" s="58" t="e">
        <f>tbl_Level[[#This Row],[Total hours]]*tbl_Level[[#This Row],[% Complete]]</f>
        <v>#VALUE!</v>
      </c>
      <c r="M6" s="59" t="str">
        <f>IFERROR(tbl_Level[[#This Row],[Qty Complete]]/tbl_Level[[#This Row],[Total Hours Act]]*tbl_Level[[#This Row],['# of men Act]],"")</f>
        <v/>
      </c>
      <c r="O6"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6" s="71" t="str">
        <f>IFERROR((tbl_Level[[#This Row],[Adj. Total Hours]]+tbl_Level[[#This Row],[Est. Hours]])/(tbl_Level[[#This Row],[Total Hours Act]]+tbl_Level[[#This Row],[Act. Hours]]),"")</f>
        <v/>
      </c>
      <c r="S6" s="63"/>
      <c r="T6" s="63"/>
      <c r="U6" s="63"/>
      <c r="V6" s="63"/>
      <c r="W6" s="63"/>
    </row>
    <row r="7" spans="1:23" ht="25" customHeight="1">
      <c r="F7" s="53"/>
      <c r="H7" s="55" t="e">
        <f>tbl_Level[[#This Row],[Qty Complete]]/tbl_Level[[#This Row],[Qty Required]]</f>
        <v>#DIV/0!</v>
      </c>
      <c r="K7" s="57" t="str">
        <f>IFERROR(tbl_Level[[#This Row],[Qty Required]]/tbl_Level[[#This Row],[PPH]]*tbl_Level[[#This Row],['# of men]],"")</f>
        <v/>
      </c>
      <c r="L7" s="58" t="e">
        <f>tbl_Level[[#This Row],[Total hours]]*tbl_Level[[#This Row],[% Complete]]</f>
        <v>#VALUE!</v>
      </c>
      <c r="M7" s="59" t="str">
        <f>IFERROR(tbl_Level[[#This Row],[Qty Complete]]/tbl_Level[[#This Row],[Total Hours Act]]*tbl_Level[[#This Row],['# of men Act]],"")</f>
        <v/>
      </c>
      <c r="O7"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7" s="71" t="str">
        <f>IFERROR((tbl_Level[[#This Row],[Adj. Total Hours]]+tbl_Level[[#This Row],[Est. Hours]])/(tbl_Level[[#This Row],[Total Hours Act]]+tbl_Level[[#This Row],[Act. Hours]]),"")</f>
        <v/>
      </c>
      <c r="S7" s="63"/>
      <c r="T7" s="63"/>
      <c r="U7" s="63"/>
      <c r="V7" s="63"/>
      <c r="W7" s="63"/>
    </row>
    <row r="8" spans="1:23" ht="25" customHeight="1">
      <c r="F8" s="53"/>
      <c r="H8" s="55" t="e">
        <f>tbl_Level[[#This Row],[Qty Complete]]/tbl_Level[[#This Row],[Qty Required]]</f>
        <v>#DIV/0!</v>
      </c>
      <c r="K8" s="57" t="str">
        <f>IFERROR(tbl_Level[[#This Row],[Qty Required]]/tbl_Level[[#This Row],[PPH]]*tbl_Level[[#This Row],['# of men]],"")</f>
        <v/>
      </c>
      <c r="L8" s="58" t="e">
        <f>tbl_Level[[#This Row],[Total hours]]*tbl_Level[[#This Row],[% Complete]]</f>
        <v>#VALUE!</v>
      </c>
      <c r="M8" s="59" t="str">
        <f>IFERROR(tbl_Level[[#This Row],[Qty Complete]]/tbl_Level[[#This Row],[Total Hours Act]]*tbl_Level[[#This Row],['# of men Act]],"")</f>
        <v/>
      </c>
      <c r="O8"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8" s="71" t="str">
        <f>IFERROR((tbl_Level[[#This Row],[Adj. Total Hours]]+tbl_Level[[#This Row],[Est. Hours]])/(tbl_Level[[#This Row],[Total Hours Act]]+tbl_Level[[#This Row],[Act. Hours]]),"")</f>
        <v/>
      </c>
      <c r="S8" s="63"/>
      <c r="T8" s="63"/>
      <c r="U8" s="63"/>
      <c r="V8" s="63"/>
      <c r="W8" s="63"/>
    </row>
    <row r="9" spans="1:23" ht="25" customHeight="1">
      <c r="F9" s="53"/>
      <c r="H9" s="55" t="e">
        <f>tbl_Level[[#This Row],[Qty Complete]]/tbl_Level[[#This Row],[Qty Required]]</f>
        <v>#DIV/0!</v>
      </c>
      <c r="K9" s="57" t="str">
        <f>IFERROR(tbl_Level[[#This Row],[Qty Required]]/tbl_Level[[#This Row],[PPH]]*tbl_Level[[#This Row],['# of men]],"")</f>
        <v/>
      </c>
      <c r="L9" s="58" t="e">
        <f>tbl_Level[[#This Row],[Total hours]]*tbl_Level[[#This Row],[% Complete]]</f>
        <v>#VALUE!</v>
      </c>
      <c r="M9" s="59" t="str">
        <f>IFERROR(tbl_Level[[#This Row],[Qty Complete]]/tbl_Level[[#This Row],[Total Hours Act]]*tbl_Level[[#This Row],['# of men Act]],"")</f>
        <v/>
      </c>
      <c r="O9"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9" s="71" t="str">
        <f>IFERROR((tbl_Level[[#This Row],[Adj. Total Hours]]+tbl_Level[[#This Row],[Est. Hours]])/(tbl_Level[[#This Row],[Total Hours Act]]+tbl_Level[[#This Row],[Act. Hours]]),"")</f>
        <v/>
      </c>
      <c r="S9" s="63"/>
      <c r="T9" s="63"/>
      <c r="U9" s="63"/>
      <c r="V9" s="63"/>
      <c r="W9" s="63"/>
    </row>
    <row r="10" spans="1:23" ht="25" customHeight="1">
      <c r="F10" s="53"/>
      <c r="H10" s="55" t="e">
        <f>tbl_Level[[#This Row],[Qty Complete]]/tbl_Level[[#This Row],[Qty Required]]</f>
        <v>#DIV/0!</v>
      </c>
      <c r="K10" s="57" t="str">
        <f>IFERROR(tbl_Level[[#This Row],[Qty Required]]/tbl_Level[[#This Row],[PPH]]*tbl_Level[[#This Row],['# of men]],"")</f>
        <v/>
      </c>
      <c r="L10" s="58" t="e">
        <f>tbl_Level[[#This Row],[Total hours]]*tbl_Level[[#This Row],[% Complete]]</f>
        <v>#VALUE!</v>
      </c>
      <c r="M10" s="59" t="str">
        <f>IFERROR(tbl_Level[[#This Row],[Qty Complete]]/tbl_Level[[#This Row],[Total Hours Act]]*tbl_Level[[#This Row],['# of men Act]],"")</f>
        <v/>
      </c>
      <c r="O10"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0" s="71" t="str">
        <f>IFERROR((tbl_Level[[#This Row],[Adj. Total Hours]]+tbl_Level[[#This Row],[Est. Hours]])/(tbl_Level[[#This Row],[Total Hours Act]]+tbl_Level[[#This Row],[Act. Hours]]),"")</f>
        <v/>
      </c>
      <c r="S10" s="63"/>
      <c r="T10" s="63"/>
      <c r="U10" s="63"/>
      <c r="V10" s="63"/>
      <c r="W10" s="63"/>
    </row>
    <row r="11" spans="1:23" ht="25" customHeight="1">
      <c r="F11" s="53"/>
      <c r="H11" s="55" t="e">
        <f>tbl_Level[[#This Row],[Qty Complete]]/tbl_Level[[#This Row],[Qty Required]]</f>
        <v>#DIV/0!</v>
      </c>
      <c r="K11" s="57" t="str">
        <f>IFERROR(tbl_Level[[#This Row],[Qty Required]]/tbl_Level[[#This Row],[PPH]]*tbl_Level[[#This Row],['# of men]],"")</f>
        <v/>
      </c>
      <c r="L11" s="58" t="e">
        <f>tbl_Level[[#This Row],[Total hours]]*tbl_Level[[#This Row],[% Complete]]</f>
        <v>#VALUE!</v>
      </c>
      <c r="M11" s="59" t="str">
        <f>IFERROR(tbl_Level[[#This Row],[Qty Complete]]/tbl_Level[[#This Row],[Total Hours Act]]*tbl_Level[[#This Row],['# of men Act]],"")</f>
        <v/>
      </c>
      <c r="O11"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1" s="71" t="str">
        <f>IFERROR((tbl_Level[[#This Row],[Adj. Total Hours]]+tbl_Level[[#This Row],[Est. Hours]])/(tbl_Level[[#This Row],[Total Hours Act]]+tbl_Level[[#This Row],[Act. Hours]]),"")</f>
        <v/>
      </c>
      <c r="S11" s="63"/>
      <c r="T11" s="63"/>
      <c r="U11" s="63"/>
      <c r="V11" s="63"/>
      <c r="W11" s="63"/>
    </row>
    <row r="12" spans="1:23" ht="25" customHeight="1">
      <c r="F12" s="53"/>
      <c r="H12" s="55" t="e">
        <f>tbl_Level[[#This Row],[Qty Complete]]/tbl_Level[[#This Row],[Qty Required]]</f>
        <v>#DIV/0!</v>
      </c>
      <c r="K12" s="57" t="str">
        <f>IFERROR(tbl_Level[[#This Row],[Qty Required]]/tbl_Level[[#This Row],[PPH]]*tbl_Level[[#This Row],['# of men]],"")</f>
        <v/>
      </c>
      <c r="L12" s="58" t="e">
        <f>tbl_Level[[#This Row],[Total hours]]*tbl_Level[[#This Row],[% Complete]]</f>
        <v>#VALUE!</v>
      </c>
      <c r="M12" s="59" t="str">
        <f>IFERROR(tbl_Level[[#This Row],[Qty Complete]]/tbl_Level[[#This Row],[Total Hours Act]]*tbl_Level[[#This Row],['# of men Act]],"")</f>
        <v/>
      </c>
      <c r="O12"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2" s="71" t="str">
        <f>IFERROR((tbl_Level[[#This Row],[Adj. Total Hours]]+tbl_Level[[#This Row],[Est. Hours]])/(tbl_Level[[#This Row],[Total Hours Act]]+tbl_Level[[#This Row],[Act. Hours]]),"")</f>
        <v/>
      </c>
      <c r="S12" s="63"/>
      <c r="T12" s="63"/>
      <c r="U12" s="63"/>
      <c r="V12" s="63"/>
      <c r="W12" s="63"/>
    </row>
    <row r="13" spans="1:23" ht="25" customHeight="1">
      <c r="F13" s="53"/>
      <c r="H13" s="55" t="e">
        <f>tbl_Level[[#This Row],[Qty Complete]]/tbl_Level[[#This Row],[Qty Required]]</f>
        <v>#DIV/0!</v>
      </c>
      <c r="K13" s="57" t="str">
        <f>IFERROR(tbl_Level[[#This Row],[Qty Required]]/tbl_Level[[#This Row],[PPH]]*tbl_Level[[#This Row],['# of men]],"")</f>
        <v/>
      </c>
      <c r="L13" s="58" t="e">
        <f>tbl_Level[[#This Row],[Total hours]]*tbl_Level[[#This Row],[% Complete]]</f>
        <v>#VALUE!</v>
      </c>
      <c r="M13" s="59" t="str">
        <f>IFERROR(tbl_Level[[#This Row],[Qty Complete]]/tbl_Level[[#This Row],[Total Hours Act]]*tbl_Level[[#This Row],['# of men Act]],"")</f>
        <v/>
      </c>
      <c r="O13"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3" s="71" t="str">
        <f>IFERROR((tbl_Level[[#This Row],[Adj. Total Hours]]+tbl_Level[[#This Row],[Est. Hours]])/(tbl_Level[[#This Row],[Total Hours Act]]+tbl_Level[[#This Row],[Act. Hours]]),"")</f>
        <v/>
      </c>
      <c r="S13" s="63"/>
      <c r="T13" s="63"/>
      <c r="U13" s="63"/>
      <c r="V13" s="63"/>
      <c r="W13" s="63"/>
    </row>
    <row r="14" spans="1:23" ht="25" customHeight="1">
      <c r="F14" s="53"/>
      <c r="H14" s="55" t="e">
        <f>tbl_Level[[#This Row],[Qty Complete]]/tbl_Level[[#This Row],[Qty Required]]</f>
        <v>#DIV/0!</v>
      </c>
      <c r="K14" s="57" t="str">
        <f>IFERROR(tbl_Level[[#This Row],[Qty Required]]/tbl_Level[[#This Row],[PPH]]*tbl_Level[[#This Row],['# of men]],"")</f>
        <v/>
      </c>
      <c r="L14" s="58" t="e">
        <f>tbl_Level[[#This Row],[Total hours]]*tbl_Level[[#This Row],[% Complete]]</f>
        <v>#VALUE!</v>
      </c>
      <c r="M14" s="59" t="str">
        <f>IFERROR(tbl_Level[[#This Row],[Qty Complete]]/tbl_Level[[#This Row],[Total Hours Act]]*tbl_Level[[#This Row],['# of men Act]],"")</f>
        <v/>
      </c>
      <c r="O14"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4" s="71" t="str">
        <f>IFERROR((tbl_Level[[#This Row],[Adj. Total Hours]]+tbl_Level[[#This Row],[Est. Hours]])/(tbl_Level[[#This Row],[Total Hours Act]]+tbl_Level[[#This Row],[Act. Hours]]),"")</f>
        <v/>
      </c>
      <c r="S14" s="63"/>
      <c r="T14" s="63"/>
      <c r="U14" s="63"/>
      <c r="V14" s="63"/>
      <c r="W14" s="63"/>
    </row>
    <row r="15" spans="1:23" ht="25" customHeight="1">
      <c r="F15" s="53"/>
      <c r="H15" s="55" t="e">
        <f>tbl_Level[[#This Row],[Qty Complete]]/tbl_Level[[#This Row],[Qty Required]]</f>
        <v>#DIV/0!</v>
      </c>
      <c r="K15" s="57" t="str">
        <f>IFERROR(tbl_Level[[#This Row],[Qty Required]]/tbl_Level[[#This Row],[PPH]]*tbl_Level[[#This Row],['# of men]],"")</f>
        <v/>
      </c>
      <c r="L15" s="58" t="e">
        <f>tbl_Level[[#This Row],[Total hours]]*tbl_Level[[#This Row],[% Complete]]</f>
        <v>#VALUE!</v>
      </c>
      <c r="M15" s="59" t="str">
        <f>IFERROR(tbl_Level[[#This Row],[Qty Complete]]/tbl_Level[[#This Row],[Total Hours Act]]*tbl_Level[[#This Row],['# of men Act]],"")</f>
        <v/>
      </c>
      <c r="O15"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5" s="71" t="str">
        <f>IFERROR((tbl_Level[[#This Row],[Adj. Total Hours]]+tbl_Level[[#This Row],[Est. Hours]])/(tbl_Level[[#This Row],[Total Hours Act]]+tbl_Level[[#This Row],[Act. Hours]]),"")</f>
        <v/>
      </c>
      <c r="S15" s="63"/>
      <c r="T15" s="63"/>
      <c r="U15" s="63"/>
      <c r="V15" s="63"/>
      <c r="W15" s="63"/>
    </row>
    <row r="16" spans="1:23" ht="25" customHeight="1">
      <c r="F16" s="53"/>
      <c r="H16" s="55" t="e">
        <f>tbl_Level[[#This Row],[Qty Complete]]/tbl_Level[[#This Row],[Qty Required]]</f>
        <v>#DIV/0!</v>
      </c>
      <c r="K16" s="57" t="str">
        <f>IFERROR(tbl_Level[[#This Row],[Qty Required]]/tbl_Level[[#This Row],[PPH]]*tbl_Level[[#This Row],['# of men]],"")</f>
        <v/>
      </c>
      <c r="L16" s="58" t="e">
        <f>tbl_Level[[#This Row],[Total hours]]*tbl_Level[[#This Row],[% Complete]]</f>
        <v>#VALUE!</v>
      </c>
      <c r="M16" s="59" t="str">
        <f>IFERROR(tbl_Level[[#This Row],[Qty Complete]]/tbl_Level[[#This Row],[Total Hours Act]]*tbl_Level[[#This Row],['# of men Act]],"")</f>
        <v/>
      </c>
      <c r="O16"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6" s="71" t="str">
        <f>IFERROR((tbl_Level[[#This Row],[Adj. Total Hours]]+tbl_Level[[#This Row],[Est. Hours]])/(tbl_Level[[#This Row],[Total Hours Act]]+tbl_Level[[#This Row],[Act. Hours]]),"")</f>
        <v/>
      </c>
      <c r="S16" s="63"/>
      <c r="T16" s="63"/>
      <c r="U16" s="63"/>
      <c r="V16" s="63"/>
      <c r="W16" s="63"/>
    </row>
    <row r="17" spans="6:23" ht="25" customHeight="1">
      <c r="F17" s="53"/>
      <c r="H17" s="55" t="e">
        <f>tbl_Level[[#This Row],[Qty Complete]]/tbl_Level[[#This Row],[Qty Required]]</f>
        <v>#DIV/0!</v>
      </c>
      <c r="K17" s="57" t="str">
        <f>IFERROR(tbl_Level[[#This Row],[Qty Required]]/tbl_Level[[#This Row],[PPH]]*tbl_Level[[#This Row],['# of men]],"")</f>
        <v/>
      </c>
      <c r="L17" s="58" t="e">
        <f>tbl_Level[[#This Row],[Total hours]]*tbl_Level[[#This Row],[% Complete]]</f>
        <v>#VALUE!</v>
      </c>
      <c r="M17" s="59" t="str">
        <f>IFERROR(tbl_Level[[#This Row],[Qty Complete]]/tbl_Level[[#This Row],[Total Hours Act]]*tbl_Level[[#This Row],['# of men Act]],"")</f>
        <v/>
      </c>
      <c r="O17"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7" s="71" t="str">
        <f>IFERROR((tbl_Level[[#This Row],[Adj. Total Hours]]+tbl_Level[[#This Row],[Est. Hours]])/(tbl_Level[[#This Row],[Total Hours Act]]+tbl_Level[[#This Row],[Act. Hours]]),"")</f>
        <v/>
      </c>
      <c r="S17" s="63"/>
      <c r="T17" s="63"/>
      <c r="U17" s="63"/>
      <c r="V17" s="63"/>
      <c r="W17" s="63"/>
    </row>
    <row r="18" spans="6:23" ht="25" customHeight="1">
      <c r="F18" s="53"/>
      <c r="H18" s="55" t="e">
        <f>tbl_Level[[#This Row],[Qty Complete]]/tbl_Level[[#This Row],[Qty Required]]</f>
        <v>#DIV/0!</v>
      </c>
      <c r="K18" s="57" t="str">
        <f>IFERROR(tbl_Level[[#This Row],[Qty Required]]/tbl_Level[[#This Row],[PPH]]*tbl_Level[[#This Row],['# of men]],"")</f>
        <v/>
      </c>
      <c r="L18" s="58" t="e">
        <f>tbl_Level[[#This Row],[Total hours]]*tbl_Level[[#This Row],[% Complete]]</f>
        <v>#VALUE!</v>
      </c>
      <c r="M18" s="59" t="str">
        <f>IFERROR(tbl_Level[[#This Row],[Qty Complete]]/tbl_Level[[#This Row],[Total Hours Act]]*tbl_Level[[#This Row],['# of men Act]],"")</f>
        <v/>
      </c>
      <c r="O18"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8" s="71" t="str">
        <f>IFERROR((tbl_Level[[#This Row],[Adj. Total Hours]]+tbl_Level[[#This Row],[Est. Hours]])/(tbl_Level[[#This Row],[Total Hours Act]]+tbl_Level[[#This Row],[Act. Hours]]),"")</f>
        <v/>
      </c>
      <c r="S18" s="63"/>
      <c r="T18" s="63"/>
      <c r="U18" s="63"/>
      <c r="V18" s="63"/>
      <c r="W18" s="63"/>
    </row>
    <row r="19" spans="6:23" ht="25" customHeight="1">
      <c r="F19" s="53"/>
      <c r="H19" s="55" t="e">
        <f>tbl_Level[[#This Row],[Qty Complete]]/tbl_Level[[#This Row],[Qty Required]]</f>
        <v>#DIV/0!</v>
      </c>
      <c r="K19" s="57" t="str">
        <f>IFERROR(tbl_Level[[#This Row],[Qty Required]]/tbl_Level[[#This Row],[PPH]]*tbl_Level[[#This Row],['# of men]],"")</f>
        <v/>
      </c>
      <c r="L19" s="58" t="e">
        <f>tbl_Level[[#This Row],[Total hours]]*tbl_Level[[#This Row],[% Complete]]</f>
        <v>#VALUE!</v>
      </c>
      <c r="M19" s="59" t="str">
        <f>IFERROR(tbl_Level[[#This Row],[Qty Complete]]/tbl_Level[[#This Row],[Total Hours Act]]*tbl_Level[[#This Row],['# of men Act]],"")</f>
        <v/>
      </c>
      <c r="O19"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9" s="71" t="str">
        <f>IFERROR((tbl_Level[[#This Row],[Adj. Total Hours]]+tbl_Level[[#This Row],[Est. Hours]])/(tbl_Level[[#This Row],[Total Hours Act]]+tbl_Level[[#This Row],[Act. Hours]]),"")</f>
        <v/>
      </c>
      <c r="S19" s="63"/>
      <c r="T19" s="63"/>
      <c r="U19" s="63"/>
      <c r="V19" s="63"/>
      <c r="W19" s="63"/>
    </row>
    <row r="20" spans="6:23" ht="25" customHeight="1">
      <c r="F20" s="53"/>
      <c r="H20" s="55" t="e">
        <f>tbl_Level[[#This Row],[Qty Complete]]/tbl_Level[[#This Row],[Qty Required]]</f>
        <v>#DIV/0!</v>
      </c>
      <c r="K20" s="57" t="str">
        <f>IFERROR(tbl_Level[[#This Row],[Qty Required]]/tbl_Level[[#This Row],[PPH]]*tbl_Level[[#This Row],['# of men]],"")</f>
        <v/>
      </c>
      <c r="L20" s="58" t="e">
        <f>tbl_Level[[#This Row],[Total hours]]*tbl_Level[[#This Row],[% Complete]]</f>
        <v>#VALUE!</v>
      </c>
      <c r="M20" s="59" t="str">
        <f>IFERROR(tbl_Level[[#This Row],[Qty Complete]]/tbl_Level[[#This Row],[Total Hours Act]]*tbl_Level[[#This Row],['# of men Act]],"")</f>
        <v/>
      </c>
      <c r="O20"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0" s="71" t="str">
        <f>IFERROR((tbl_Level[[#This Row],[Adj. Total Hours]]+tbl_Level[[#This Row],[Est. Hours]])/(tbl_Level[[#This Row],[Total Hours Act]]+tbl_Level[[#This Row],[Act. Hours]]),"")</f>
        <v/>
      </c>
      <c r="S20" s="63"/>
      <c r="T20" s="63"/>
      <c r="U20" s="63"/>
      <c r="V20" s="63"/>
      <c r="W20" s="63"/>
    </row>
    <row r="21" spans="6:23" ht="25" customHeight="1">
      <c r="F21" s="53"/>
      <c r="H21" s="55" t="e">
        <f>tbl_Level[[#This Row],[Qty Complete]]/tbl_Level[[#This Row],[Qty Required]]</f>
        <v>#DIV/0!</v>
      </c>
      <c r="K21" s="57" t="str">
        <f>IFERROR(tbl_Level[[#This Row],[Qty Required]]/tbl_Level[[#This Row],[PPH]]*tbl_Level[[#This Row],['# of men]],"")</f>
        <v/>
      </c>
      <c r="L21" s="58" t="e">
        <f>tbl_Level[[#This Row],[Total hours]]*tbl_Level[[#This Row],[% Complete]]</f>
        <v>#VALUE!</v>
      </c>
      <c r="M21" s="59" t="str">
        <f>IFERROR(tbl_Level[[#This Row],[Qty Complete]]/tbl_Level[[#This Row],[Total Hours Act]]*tbl_Level[[#This Row],['# of men Act]],"")</f>
        <v/>
      </c>
      <c r="O21"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1" s="71" t="str">
        <f>IFERROR((tbl_Level[[#This Row],[Adj. Total Hours]]+tbl_Level[[#This Row],[Est. Hours]])/(tbl_Level[[#This Row],[Total Hours Act]]+tbl_Level[[#This Row],[Act. Hours]]),"")</f>
        <v/>
      </c>
      <c r="S21" s="63"/>
      <c r="T21" s="63"/>
      <c r="U21" s="63"/>
      <c r="V21" s="63"/>
      <c r="W21" s="63"/>
    </row>
    <row r="22" spans="6:23" ht="25" customHeight="1">
      <c r="F22" s="53"/>
      <c r="H22" s="55" t="e">
        <f>tbl_Level[[#This Row],[Qty Complete]]/tbl_Level[[#This Row],[Qty Required]]</f>
        <v>#DIV/0!</v>
      </c>
      <c r="K22" s="57" t="str">
        <f>IFERROR(tbl_Level[[#This Row],[Qty Required]]/tbl_Level[[#This Row],[PPH]]*tbl_Level[[#This Row],['# of men]],"")</f>
        <v/>
      </c>
      <c r="L22" s="58" t="e">
        <f>tbl_Level[[#This Row],[Total hours]]*tbl_Level[[#This Row],[% Complete]]</f>
        <v>#VALUE!</v>
      </c>
      <c r="M22" s="59" t="str">
        <f>IFERROR(tbl_Level[[#This Row],[Qty Complete]]/tbl_Level[[#This Row],[Total Hours Act]]*tbl_Level[[#This Row],['# of men Act]],"")</f>
        <v/>
      </c>
      <c r="O22"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2" s="71" t="str">
        <f>IFERROR((tbl_Level[[#This Row],[Adj. Total Hours]]+tbl_Level[[#This Row],[Est. Hours]])/(tbl_Level[[#This Row],[Total Hours Act]]+tbl_Level[[#This Row],[Act. Hours]]),"")</f>
        <v/>
      </c>
      <c r="S22" s="63"/>
      <c r="T22" s="63"/>
      <c r="U22" s="63"/>
      <c r="V22" s="63"/>
      <c r="W22" s="63"/>
    </row>
    <row r="23" spans="6:23" ht="25" customHeight="1">
      <c r="F23" s="53"/>
      <c r="H23" s="55" t="e">
        <f>tbl_Level[[#This Row],[Qty Complete]]/tbl_Level[[#This Row],[Qty Required]]</f>
        <v>#DIV/0!</v>
      </c>
      <c r="K23" s="57" t="str">
        <f>IFERROR(tbl_Level[[#This Row],[Qty Required]]/tbl_Level[[#This Row],[PPH]]*tbl_Level[[#This Row],['# of men]],"")</f>
        <v/>
      </c>
      <c r="L23" s="58" t="e">
        <f>tbl_Level[[#This Row],[Total hours]]*tbl_Level[[#This Row],[% Complete]]</f>
        <v>#VALUE!</v>
      </c>
      <c r="M23" s="59" t="str">
        <f>IFERROR(tbl_Level[[#This Row],[Qty Complete]]/tbl_Level[[#This Row],[Total Hours Act]]*tbl_Level[[#This Row],['# of men Act]],"")</f>
        <v/>
      </c>
      <c r="O23"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3" s="71" t="str">
        <f>IFERROR((tbl_Level[[#This Row],[Adj. Total Hours]]+tbl_Level[[#This Row],[Est. Hours]])/(tbl_Level[[#This Row],[Total Hours Act]]+tbl_Level[[#This Row],[Act. Hours]]),"")</f>
        <v/>
      </c>
      <c r="S23" s="63"/>
      <c r="T23" s="63"/>
      <c r="U23" s="63"/>
      <c r="V23" s="63"/>
      <c r="W23" s="63"/>
    </row>
    <row r="24" spans="6:23" ht="25" customHeight="1">
      <c r="F24" s="53"/>
      <c r="H24" s="55" t="e">
        <f>tbl_Level[[#This Row],[Qty Complete]]/tbl_Level[[#This Row],[Qty Required]]</f>
        <v>#DIV/0!</v>
      </c>
      <c r="K24" s="57" t="str">
        <f>IFERROR(tbl_Level[[#This Row],[Qty Required]]/tbl_Level[[#This Row],[PPH]]*tbl_Level[[#This Row],['# of men]],"")</f>
        <v/>
      </c>
      <c r="L24" s="58" t="e">
        <f>tbl_Level[[#This Row],[Total hours]]*tbl_Level[[#This Row],[% Complete]]</f>
        <v>#VALUE!</v>
      </c>
      <c r="M24" s="59" t="str">
        <f>IFERROR(tbl_Level[[#This Row],[Qty Complete]]/tbl_Level[[#This Row],[Total Hours Act]]*tbl_Level[[#This Row],['# of men Act]],"")</f>
        <v/>
      </c>
      <c r="O24"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4" s="71" t="str">
        <f>IFERROR((tbl_Level[[#This Row],[Adj. Total Hours]]+tbl_Level[[#This Row],[Est. Hours]])/(tbl_Level[[#This Row],[Total Hours Act]]+tbl_Level[[#This Row],[Act. Hours]]),"")</f>
        <v/>
      </c>
      <c r="S24" s="63"/>
      <c r="T24" s="63"/>
      <c r="U24" s="63"/>
      <c r="V24" s="63"/>
      <c r="W24" s="63"/>
    </row>
    <row r="25" spans="6:23" ht="25" customHeight="1">
      <c r="F25" s="53"/>
      <c r="H25" s="55" t="e">
        <f>tbl_Level[[#This Row],[Qty Complete]]/tbl_Level[[#This Row],[Qty Required]]</f>
        <v>#DIV/0!</v>
      </c>
      <c r="K25" s="57" t="str">
        <f>IFERROR(tbl_Level[[#This Row],[Qty Required]]/tbl_Level[[#This Row],[PPH]]*tbl_Level[[#This Row],['# of men]],"")</f>
        <v/>
      </c>
      <c r="L25" s="58" t="e">
        <f>tbl_Level[[#This Row],[Total hours]]*tbl_Level[[#This Row],[% Complete]]</f>
        <v>#VALUE!</v>
      </c>
      <c r="M25" s="59" t="str">
        <f>IFERROR(tbl_Level[[#This Row],[Qty Complete]]/tbl_Level[[#This Row],[Total Hours Act]]*tbl_Level[[#This Row],['# of men Act]],"")</f>
        <v/>
      </c>
      <c r="O25"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5" s="71" t="str">
        <f>IFERROR((tbl_Level[[#This Row],[Adj. Total Hours]]+tbl_Level[[#This Row],[Est. Hours]])/(tbl_Level[[#This Row],[Total Hours Act]]+tbl_Level[[#This Row],[Act. Hours]]),"")</f>
        <v/>
      </c>
      <c r="S25" s="63"/>
      <c r="T25" s="63"/>
      <c r="U25" s="63"/>
      <c r="V25" s="63"/>
      <c r="W25" s="63"/>
    </row>
    <row r="26" spans="6:23" ht="25" customHeight="1">
      <c r="F26" s="53"/>
      <c r="H26" s="55" t="e">
        <f>tbl_Level[[#This Row],[Qty Complete]]/tbl_Level[[#This Row],[Qty Required]]</f>
        <v>#DIV/0!</v>
      </c>
      <c r="K26" s="57" t="str">
        <f>IFERROR(tbl_Level[[#This Row],[Qty Required]]/tbl_Level[[#This Row],[PPH]]*tbl_Level[[#This Row],['# of men]],"")</f>
        <v/>
      </c>
      <c r="L26" s="58" t="e">
        <f>tbl_Level[[#This Row],[Total hours]]*tbl_Level[[#This Row],[% Complete]]</f>
        <v>#VALUE!</v>
      </c>
      <c r="M26" s="59" t="str">
        <f>IFERROR(tbl_Level[[#This Row],[Qty Complete]]/tbl_Level[[#This Row],[Total Hours Act]]*tbl_Level[[#This Row],['# of men Act]],"")</f>
        <v/>
      </c>
      <c r="O26"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6" s="71" t="str">
        <f>IFERROR((tbl_Level[[#This Row],[Adj. Total Hours]]+tbl_Level[[#This Row],[Est. Hours]])/(tbl_Level[[#This Row],[Total Hours Act]]+tbl_Level[[#This Row],[Act. Hours]]),"")</f>
        <v/>
      </c>
      <c r="S26" s="63"/>
      <c r="T26" s="63"/>
      <c r="U26" s="63"/>
      <c r="V26" s="63"/>
      <c r="W26" s="63"/>
    </row>
    <row r="27" spans="6:23" ht="25" customHeight="1">
      <c r="F27" s="53"/>
      <c r="H27" s="55" t="e">
        <f>tbl_Level[[#This Row],[Qty Complete]]/tbl_Level[[#This Row],[Qty Required]]</f>
        <v>#DIV/0!</v>
      </c>
      <c r="K27" s="57" t="str">
        <f>IFERROR(tbl_Level[[#This Row],[Qty Required]]/tbl_Level[[#This Row],[PPH]]*tbl_Level[[#This Row],['# of men]],"")</f>
        <v/>
      </c>
      <c r="L27" s="58" t="e">
        <f>tbl_Level[[#This Row],[Total hours]]*tbl_Level[[#This Row],[% Complete]]</f>
        <v>#VALUE!</v>
      </c>
      <c r="M27" s="59" t="str">
        <f>IFERROR(tbl_Level[[#This Row],[Qty Complete]]/tbl_Level[[#This Row],[Total Hours Act]]*tbl_Level[[#This Row],['# of men Act]],"")</f>
        <v/>
      </c>
      <c r="O27"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7" s="71" t="str">
        <f>IFERROR((tbl_Level[[#This Row],[Adj. Total Hours]]+tbl_Level[[#This Row],[Est. Hours]])/(tbl_Level[[#This Row],[Total Hours Act]]+tbl_Level[[#This Row],[Act. Hours]]),"")</f>
        <v/>
      </c>
      <c r="S27" s="63"/>
      <c r="T27" s="63"/>
      <c r="U27" s="63"/>
      <c r="V27" s="63"/>
      <c r="W27" s="63"/>
    </row>
    <row r="28" spans="6:23" ht="25" customHeight="1">
      <c r="F28" s="53"/>
      <c r="H28" s="55" t="e">
        <f>tbl_Level[[#This Row],[Qty Complete]]/tbl_Level[[#This Row],[Qty Required]]</f>
        <v>#DIV/0!</v>
      </c>
      <c r="K28" s="57" t="str">
        <f>IFERROR(tbl_Level[[#This Row],[Qty Required]]/tbl_Level[[#This Row],[PPH]]*tbl_Level[[#This Row],['# of men]],"")</f>
        <v/>
      </c>
      <c r="L28" s="58" t="e">
        <f>tbl_Level[[#This Row],[Total hours]]*tbl_Level[[#This Row],[% Complete]]</f>
        <v>#VALUE!</v>
      </c>
      <c r="M28" s="59" t="str">
        <f>IFERROR(tbl_Level[[#This Row],[Qty Complete]]/tbl_Level[[#This Row],[Total Hours Act]]*tbl_Level[[#This Row],['# of men Act]],"")</f>
        <v/>
      </c>
      <c r="O28"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8" s="71" t="str">
        <f>IFERROR((tbl_Level[[#This Row],[Adj. Total Hours]]+tbl_Level[[#This Row],[Est. Hours]])/(tbl_Level[[#This Row],[Total Hours Act]]+tbl_Level[[#This Row],[Act. Hours]]),"")</f>
        <v/>
      </c>
      <c r="S28" s="63"/>
      <c r="T28" s="63"/>
      <c r="U28" s="63"/>
      <c r="V28" s="63"/>
      <c r="W28" s="63"/>
    </row>
    <row r="29" spans="6:23" ht="25" customHeight="1">
      <c r="F29" s="53"/>
      <c r="H29" s="55" t="e">
        <f>tbl_Level[[#This Row],[Qty Complete]]/tbl_Level[[#This Row],[Qty Required]]</f>
        <v>#DIV/0!</v>
      </c>
      <c r="K29" s="57" t="str">
        <f>IFERROR(tbl_Level[[#This Row],[Qty Required]]/tbl_Level[[#This Row],[PPH]]*tbl_Level[[#This Row],['# of men]],"")</f>
        <v/>
      </c>
      <c r="L29" s="58" t="e">
        <f>tbl_Level[[#This Row],[Total hours]]*tbl_Level[[#This Row],[% Complete]]</f>
        <v>#VALUE!</v>
      </c>
      <c r="M29" s="59" t="str">
        <f>IFERROR(tbl_Level[[#This Row],[Qty Complete]]/tbl_Level[[#This Row],[Total Hours Act]]*tbl_Level[[#This Row],['# of men Act]],"")</f>
        <v/>
      </c>
      <c r="O29"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9" s="71" t="str">
        <f>IFERROR((tbl_Level[[#This Row],[Adj. Total Hours]]+tbl_Level[[#This Row],[Est. Hours]])/(tbl_Level[[#This Row],[Total Hours Act]]+tbl_Level[[#This Row],[Act. Hours]]),"")</f>
        <v/>
      </c>
      <c r="S29" s="63"/>
      <c r="T29" s="63"/>
      <c r="U29" s="63"/>
      <c r="V29" s="63"/>
      <c r="W29" s="63"/>
    </row>
    <row r="30" spans="6:23" ht="25" customHeight="1">
      <c r="F30" s="53"/>
      <c r="H30" s="55" t="e">
        <f>tbl_Level[[#This Row],[Qty Complete]]/tbl_Level[[#This Row],[Qty Required]]</f>
        <v>#DIV/0!</v>
      </c>
      <c r="K30" s="57" t="str">
        <f>IFERROR(tbl_Level[[#This Row],[Qty Required]]/tbl_Level[[#This Row],[PPH]]*tbl_Level[[#This Row],['# of men]],"")</f>
        <v/>
      </c>
      <c r="L30" s="58" t="e">
        <f>tbl_Level[[#This Row],[Total hours]]*tbl_Level[[#This Row],[% Complete]]</f>
        <v>#VALUE!</v>
      </c>
      <c r="M30" s="59" t="str">
        <f>IFERROR(tbl_Level[[#This Row],[Qty Complete]]/tbl_Level[[#This Row],[Total Hours Act]]*tbl_Level[[#This Row],['# of men Act]],"")</f>
        <v/>
      </c>
      <c r="O30"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30" s="71" t="str">
        <f>IFERROR((tbl_Level[[#This Row],[Adj. Total Hours]]+tbl_Level[[#This Row],[Est. Hours]])/(tbl_Level[[#This Row],[Total Hours Act]]+tbl_Level[[#This Row],[Act. Hours]]),"")</f>
        <v/>
      </c>
      <c r="S30" s="63"/>
      <c r="T30" s="63"/>
      <c r="U30" s="63"/>
      <c r="V30" s="63"/>
      <c r="W30" s="63"/>
    </row>
    <row r="31" spans="6:23" ht="25" customHeight="1">
      <c r="F31" s="53"/>
      <c r="H31" s="55" t="e">
        <f>tbl_Level[[#This Row],[Qty Complete]]/tbl_Level[[#This Row],[Qty Required]]</f>
        <v>#DIV/0!</v>
      </c>
      <c r="K31" s="57" t="str">
        <f>IFERROR(tbl_Level[[#This Row],[Qty Required]]/tbl_Level[[#This Row],[PPH]]*tbl_Level[[#This Row],['# of men]],"")</f>
        <v/>
      </c>
      <c r="L31" s="58" t="e">
        <f>tbl_Level[[#This Row],[Total hours]]*tbl_Level[[#This Row],[% Complete]]</f>
        <v>#VALUE!</v>
      </c>
      <c r="M31" s="59" t="str">
        <f>IFERROR(tbl_Level[[#This Row],[Qty Complete]]/tbl_Level[[#This Row],[Total Hours Act]]*tbl_Level[[#This Row],['# of men Act]],"")</f>
        <v/>
      </c>
      <c r="O31"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31" s="71" t="str">
        <f>IFERROR((tbl_Level[[#This Row],[Adj. Total Hours]]+tbl_Level[[#This Row],[Est. Hours]])/(tbl_Level[[#This Row],[Total Hours Act]]+tbl_Level[[#This Row],[Act. Hours]]),"")</f>
        <v/>
      </c>
      <c r="S31" s="63"/>
      <c r="T31" s="63"/>
      <c r="U31" s="63"/>
      <c r="V31" s="63"/>
      <c r="W31" s="63"/>
    </row>
    <row r="32" spans="6:23" ht="25" customHeight="1">
      <c r="F32" s="53"/>
      <c r="H32" s="55" t="e">
        <f>tbl_Level[[#This Row],[Qty Complete]]/tbl_Level[[#This Row],[Qty Required]]</f>
        <v>#DIV/0!</v>
      </c>
      <c r="K32" s="57" t="str">
        <f>IFERROR(tbl_Level[[#This Row],[Qty Required]]/tbl_Level[[#This Row],[PPH]]*tbl_Level[[#This Row],['# of men]],"")</f>
        <v/>
      </c>
      <c r="L32" s="58" t="e">
        <f>tbl_Level[[#This Row],[Total hours]]*tbl_Level[[#This Row],[% Complete]]</f>
        <v>#VALUE!</v>
      </c>
      <c r="M32" s="59" t="str">
        <f>IFERROR(tbl_Level[[#This Row],[Qty Complete]]/tbl_Level[[#This Row],[Total Hours Act]]*tbl_Level[[#This Row],['# of men Act]],"")</f>
        <v/>
      </c>
      <c r="O32"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32" s="71" t="str">
        <f>IFERROR((tbl_Level[[#This Row],[Adj. Total Hours]]+tbl_Level[[#This Row],[Est. Hours]])/(tbl_Level[[#This Row],[Total Hours Act]]+tbl_Level[[#This Row],[Act. Hours]]),"")</f>
        <v/>
      </c>
      <c r="S32" s="63"/>
      <c r="T32" s="63"/>
      <c r="U32" s="63"/>
      <c r="V32" s="63"/>
      <c r="W32" s="63"/>
    </row>
    <row r="33" spans="6:23" ht="25" customHeight="1">
      <c r="F33" s="53"/>
      <c r="H33" s="55" t="e">
        <f>tbl_Level[[#This Row],[Qty Complete]]/tbl_Level[[#This Row],[Qty Required]]</f>
        <v>#DIV/0!</v>
      </c>
      <c r="K33" s="57" t="str">
        <f>IFERROR(tbl_Level[[#This Row],[Qty Required]]/tbl_Level[[#This Row],[PPH]]*tbl_Level[[#This Row],['# of men]],"")</f>
        <v/>
      </c>
      <c r="L33" s="58" t="e">
        <f>tbl_Level[[#This Row],[Total hours]]*tbl_Level[[#This Row],[% Complete]]</f>
        <v>#VALUE!</v>
      </c>
      <c r="M33" s="59" t="str">
        <f>IFERROR(tbl_Level[[#This Row],[Qty Complete]]/tbl_Level[[#This Row],[Total Hours Act]]*tbl_Level[[#This Row],['# of men Act]],"")</f>
        <v/>
      </c>
      <c r="O33"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33" s="71" t="str">
        <f>IFERROR((tbl_Level[[#This Row],[Adj. Total Hours]]+tbl_Level[[#This Row],[Est. Hours]])/(tbl_Level[[#This Row],[Total Hours Act]]+tbl_Level[[#This Row],[Act. Hours]]),"")</f>
        <v/>
      </c>
      <c r="S33" s="63"/>
      <c r="T33" s="63"/>
      <c r="U33" s="63"/>
      <c r="V33" s="63"/>
      <c r="W33" s="63"/>
    </row>
    <row r="34" spans="6:23" ht="25" customHeight="1">
      <c r="F34" s="53"/>
      <c r="H34" s="55" t="e">
        <f>tbl_Level[[#This Row],[Qty Complete]]/tbl_Level[[#This Row],[Qty Required]]</f>
        <v>#DIV/0!</v>
      </c>
      <c r="K34" s="57" t="str">
        <f>IFERROR(tbl_Level[[#This Row],[Qty Required]]/tbl_Level[[#This Row],[PPH]]*tbl_Level[[#This Row],['# of men]],"")</f>
        <v/>
      </c>
      <c r="L34" s="58" t="e">
        <f>tbl_Level[[#This Row],[Total hours]]*tbl_Level[[#This Row],[% Complete]]</f>
        <v>#VALUE!</v>
      </c>
      <c r="M34" s="59" t="str">
        <f>IFERROR(tbl_Level[[#This Row],[Qty Complete]]/tbl_Level[[#This Row],[Total Hours Act]]*tbl_Level[[#This Row],['# of men Act]],"")</f>
        <v/>
      </c>
      <c r="O34"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34" s="71" t="str">
        <f>IFERROR((tbl_Level[[#This Row],[Adj. Total Hours]]+tbl_Level[[#This Row],[Est. Hours]])/(tbl_Level[[#This Row],[Total Hours Act]]+tbl_Level[[#This Row],[Act. Hours]]),"")</f>
        <v/>
      </c>
      <c r="S34" s="63"/>
      <c r="T34" s="63"/>
      <c r="U34" s="63"/>
      <c r="V34" s="63"/>
      <c r="W34" s="63"/>
    </row>
    <row r="35" spans="6:23" ht="25" customHeight="1">
      <c r="F35" s="53"/>
      <c r="H35" s="55" t="e">
        <f>tbl_Level[[#This Row],[Qty Complete]]/tbl_Level[[#This Row],[Qty Required]]</f>
        <v>#DIV/0!</v>
      </c>
      <c r="K35" s="57" t="str">
        <f>IFERROR(tbl_Level[[#This Row],[Qty Required]]/tbl_Level[[#This Row],[PPH]]*tbl_Level[[#This Row],['# of men]],"")</f>
        <v/>
      </c>
      <c r="L35" s="58" t="e">
        <f>tbl_Level[[#This Row],[Total hours]]*tbl_Level[[#This Row],[% Complete]]</f>
        <v>#VALUE!</v>
      </c>
      <c r="M35" s="59" t="str">
        <f>IFERROR(tbl_Level[[#This Row],[Qty Complete]]/tbl_Level[[#This Row],[Total Hours Act]]*tbl_Level[[#This Row],['# of men Act]],"")</f>
        <v/>
      </c>
      <c r="O35"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35" s="71" t="str">
        <f>IFERROR((tbl_Level[[#This Row],[Adj. Total Hours]]+tbl_Level[[#This Row],[Est. Hours]])/(tbl_Level[[#This Row],[Total Hours Act]]+tbl_Level[[#This Row],[Act. Hours]]),"")</f>
        <v/>
      </c>
      <c r="S35" s="63"/>
      <c r="T35" s="63"/>
      <c r="U35" s="63"/>
      <c r="V35" s="63"/>
      <c r="W35" s="63"/>
    </row>
    <row r="36" spans="6:23" ht="25" customHeight="1">
      <c r="F36" s="53"/>
      <c r="H36" s="55" t="e">
        <f>tbl_Level[[#This Row],[Qty Complete]]/tbl_Level[[#This Row],[Qty Required]]</f>
        <v>#DIV/0!</v>
      </c>
      <c r="K36" s="57" t="str">
        <f>IFERROR(tbl_Level[[#This Row],[Qty Required]]/tbl_Level[[#This Row],[PPH]]*tbl_Level[[#This Row],['# of men]],"")</f>
        <v/>
      </c>
      <c r="L36" s="58" t="e">
        <f>tbl_Level[[#This Row],[Total hours]]*tbl_Level[[#This Row],[% Complete]]</f>
        <v>#VALUE!</v>
      </c>
      <c r="M36" s="59" t="str">
        <f>IFERROR(tbl_Level[[#This Row],[Qty Complete]]/tbl_Level[[#This Row],[Total Hours Act]]*tbl_Level[[#This Row],['# of men Act]],"")</f>
        <v/>
      </c>
      <c r="O36"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36" s="71" t="str">
        <f>IFERROR((tbl_Level[[#This Row],[Adj. Total Hours]]+tbl_Level[[#This Row],[Est. Hours]])/(tbl_Level[[#This Row],[Total Hours Act]]+tbl_Level[[#This Row],[Act. Hours]]),"")</f>
        <v/>
      </c>
      <c r="S36" s="63"/>
      <c r="T36" s="63"/>
      <c r="U36" s="63"/>
      <c r="V36" s="63"/>
      <c r="W36" s="63"/>
    </row>
    <row r="37" spans="6:23" ht="25" customHeight="1">
      <c r="F37" s="53"/>
      <c r="H37" s="55" t="e">
        <f>tbl_Level[[#This Row],[Qty Complete]]/tbl_Level[[#This Row],[Qty Required]]</f>
        <v>#DIV/0!</v>
      </c>
      <c r="K37" s="57" t="str">
        <f>IFERROR(tbl_Level[[#This Row],[Qty Required]]/tbl_Level[[#This Row],[PPH]]*tbl_Level[[#This Row],['# of men]],"")</f>
        <v/>
      </c>
      <c r="L37" s="58" t="e">
        <f>tbl_Level[[#This Row],[Total hours]]*tbl_Level[[#This Row],[% Complete]]</f>
        <v>#VALUE!</v>
      </c>
      <c r="M37" s="59" t="str">
        <f>IFERROR(tbl_Level[[#This Row],[Qty Complete]]/tbl_Level[[#This Row],[Total Hours Act]]*tbl_Level[[#This Row],['# of men Act]],"")</f>
        <v/>
      </c>
      <c r="O37"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37" s="71" t="str">
        <f>IFERROR((tbl_Level[[#This Row],[Adj. Total Hours]]+tbl_Level[[#This Row],[Est. Hours]])/(tbl_Level[[#This Row],[Total Hours Act]]+tbl_Level[[#This Row],[Act. Hours]]),"")</f>
        <v/>
      </c>
      <c r="S37" s="63"/>
      <c r="T37" s="63"/>
      <c r="U37" s="63"/>
      <c r="V37" s="63"/>
      <c r="W37" s="63"/>
    </row>
    <row r="38" spans="6:23" ht="25" customHeight="1">
      <c r="F38" s="53"/>
      <c r="H38" s="55" t="e">
        <f>tbl_Level[[#This Row],[Qty Complete]]/tbl_Level[[#This Row],[Qty Required]]</f>
        <v>#DIV/0!</v>
      </c>
      <c r="K38" s="57" t="str">
        <f>IFERROR(tbl_Level[[#This Row],[Qty Required]]/tbl_Level[[#This Row],[PPH]]*tbl_Level[[#This Row],['# of men]],"")</f>
        <v/>
      </c>
      <c r="L38" s="58" t="e">
        <f>tbl_Level[[#This Row],[Total hours]]*tbl_Level[[#This Row],[% Complete]]</f>
        <v>#VALUE!</v>
      </c>
      <c r="M38" s="59" t="str">
        <f>IFERROR(tbl_Level[[#This Row],[Qty Complete]]/tbl_Level[[#This Row],[Total Hours Act]]*tbl_Level[[#This Row],['# of men Act]],"")</f>
        <v/>
      </c>
      <c r="O38"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38" s="71" t="str">
        <f>IFERROR((tbl_Level[[#This Row],[Adj. Total Hours]]+tbl_Level[[#This Row],[Est. Hours]])/(tbl_Level[[#This Row],[Total Hours Act]]+tbl_Level[[#This Row],[Act. Hours]]),"")</f>
        <v/>
      </c>
      <c r="S38" s="63"/>
      <c r="T38" s="63"/>
      <c r="U38" s="63"/>
      <c r="V38" s="63"/>
      <c r="W38" s="63"/>
    </row>
    <row r="39" spans="6:23" ht="25" customHeight="1">
      <c r="F39" s="53"/>
      <c r="H39" s="55" t="e">
        <f>tbl_Level[[#This Row],[Qty Complete]]/tbl_Level[[#This Row],[Qty Required]]</f>
        <v>#DIV/0!</v>
      </c>
      <c r="K39" s="57" t="str">
        <f>IFERROR(tbl_Level[[#This Row],[Qty Required]]/tbl_Level[[#This Row],[PPH]]*tbl_Level[[#This Row],['# of men]],"")</f>
        <v/>
      </c>
      <c r="L39" s="58" t="e">
        <f>tbl_Level[[#This Row],[Total hours]]*tbl_Level[[#This Row],[% Complete]]</f>
        <v>#VALUE!</v>
      </c>
      <c r="M39" s="59" t="str">
        <f>IFERROR(tbl_Level[[#This Row],[Qty Complete]]/tbl_Level[[#This Row],[Total Hours Act]]*tbl_Level[[#This Row],['# of men Act]],"")</f>
        <v/>
      </c>
      <c r="O39"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39" s="71" t="str">
        <f>IFERROR((tbl_Level[[#This Row],[Adj. Total Hours]]+tbl_Level[[#This Row],[Est. Hours]])/(tbl_Level[[#This Row],[Total Hours Act]]+tbl_Level[[#This Row],[Act. Hours]]),"")</f>
        <v/>
      </c>
      <c r="S39" s="63"/>
      <c r="T39" s="63"/>
      <c r="U39" s="63"/>
      <c r="V39" s="63"/>
      <c r="W39" s="63"/>
    </row>
    <row r="40" spans="6:23" ht="25" customHeight="1">
      <c r="F40" s="53"/>
      <c r="H40" s="55" t="e">
        <f>tbl_Level[[#This Row],[Qty Complete]]/tbl_Level[[#This Row],[Qty Required]]</f>
        <v>#DIV/0!</v>
      </c>
      <c r="K40" s="57" t="str">
        <f>IFERROR(tbl_Level[[#This Row],[Qty Required]]/tbl_Level[[#This Row],[PPH]]*tbl_Level[[#This Row],['# of men]],"")</f>
        <v/>
      </c>
      <c r="L40" s="58" t="e">
        <f>tbl_Level[[#This Row],[Total hours]]*tbl_Level[[#This Row],[% Complete]]</f>
        <v>#VALUE!</v>
      </c>
      <c r="M40" s="59" t="str">
        <f>IFERROR(tbl_Level[[#This Row],[Qty Complete]]/tbl_Level[[#This Row],[Total Hours Act]]*tbl_Level[[#This Row],['# of men Act]],"")</f>
        <v/>
      </c>
      <c r="O40"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40" s="71" t="str">
        <f>IFERROR((tbl_Level[[#This Row],[Adj. Total Hours]]+tbl_Level[[#This Row],[Est. Hours]])/(tbl_Level[[#This Row],[Total Hours Act]]+tbl_Level[[#This Row],[Act. Hours]]),"")</f>
        <v/>
      </c>
      <c r="S40" s="63"/>
      <c r="T40" s="63"/>
      <c r="U40" s="63"/>
      <c r="V40" s="63"/>
      <c r="W40" s="63"/>
    </row>
    <row r="41" spans="6:23" ht="25" customHeight="1">
      <c r="F41" s="53"/>
      <c r="H41" s="55" t="e">
        <f>tbl_Level[[#This Row],[Qty Complete]]/tbl_Level[[#This Row],[Qty Required]]</f>
        <v>#DIV/0!</v>
      </c>
      <c r="K41" s="57" t="str">
        <f>IFERROR(tbl_Level[[#This Row],[Qty Required]]/tbl_Level[[#This Row],[PPH]]*tbl_Level[[#This Row],['# of men]],"")</f>
        <v/>
      </c>
      <c r="L41" s="58" t="e">
        <f>tbl_Level[[#This Row],[Total hours]]*tbl_Level[[#This Row],[% Complete]]</f>
        <v>#VALUE!</v>
      </c>
      <c r="M41" s="59" t="str">
        <f>IFERROR(tbl_Level[[#This Row],[Qty Complete]]/tbl_Level[[#This Row],[Total Hours Act]]*tbl_Level[[#This Row],['# of men Act]],"")</f>
        <v/>
      </c>
      <c r="O41"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41" s="71" t="str">
        <f>IFERROR((tbl_Level[[#This Row],[Adj. Total Hours]]+tbl_Level[[#This Row],[Est. Hours]])/(tbl_Level[[#This Row],[Total Hours Act]]+tbl_Level[[#This Row],[Act. Hours]]),"")</f>
        <v/>
      </c>
      <c r="S41" s="63"/>
      <c r="T41" s="63"/>
      <c r="U41" s="63"/>
      <c r="V41" s="63"/>
      <c r="W41" s="63"/>
    </row>
    <row r="42" spans="6:23" ht="25" customHeight="1">
      <c r="F42" s="53"/>
      <c r="H42" s="55" t="e">
        <f>tbl_Level[[#This Row],[Qty Complete]]/tbl_Level[[#This Row],[Qty Required]]</f>
        <v>#DIV/0!</v>
      </c>
      <c r="K42" s="57" t="str">
        <f>IFERROR(tbl_Level[[#This Row],[Qty Required]]/tbl_Level[[#This Row],[PPH]]*tbl_Level[[#This Row],['# of men]],"")</f>
        <v/>
      </c>
      <c r="L42" s="58" t="e">
        <f>tbl_Level[[#This Row],[Total hours]]*tbl_Level[[#This Row],[% Complete]]</f>
        <v>#VALUE!</v>
      </c>
      <c r="M42" s="59" t="str">
        <f>IFERROR(tbl_Level[[#This Row],[Qty Complete]]/tbl_Level[[#This Row],[Total Hours Act]]*tbl_Level[[#This Row],['# of men Act]],"")</f>
        <v/>
      </c>
      <c r="O42"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42" s="71" t="str">
        <f>IFERROR((tbl_Level[[#This Row],[Adj. Total Hours]]+tbl_Level[[#This Row],[Est. Hours]])/(tbl_Level[[#This Row],[Total Hours Act]]+tbl_Level[[#This Row],[Act. Hours]]),"")</f>
        <v/>
      </c>
      <c r="S42" s="63"/>
      <c r="T42" s="63"/>
      <c r="U42" s="63"/>
      <c r="V42" s="63"/>
      <c r="W42" s="63"/>
    </row>
    <row r="43" spans="6:23" ht="25" customHeight="1">
      <c r="F43" s="53"/>
      <c r="H43" s="55" t="e">
        <f>tbl_Level[[#This Row],[Qty Complete]]/tbl_Level[[#This Row],[Qty Required]]</f>
        <v>#DIV/0!</v>
      </c>
      <c r="K43" s="57" t="str">
        <f>IFERROR(tbl_Level[[#This Row],[Qty Required]]/tbl_Level[[#This Row],[PPH]]*tbl_Level[[#This Row],['# of men]],"")</f>
        <v/>
      </c>
      <c r="L43" s="58" t="e">
        <f>tbl_Level[[#This Row],[Total hours]]*tbl_Level[[#This Row],[% Complete]]</f>
        <v>#VALUE!</v>
      </c>
      <c r="M43" s="59" t="str">
        <f>IFERROR(tbl_Level[[#This Row],[Qty Complete]]/tbl_Level[[#This Row],[Total Hours Act]]*tbl_Level[[#This Row],['# of men Act]],"")</f>
        <v/>
      </c>
      <c r="O43"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43" s="71" t="str">
        <f>IFERROR((tbl_Level[[#This Row],[Adj. Total Hours]]+tbl_Level[[#This Row],[Est. Hours]])/(tbl_Level[[#This Row],[Total Hours Act]]+tbl_Level[[#This Row],[Act. Hours]]),"")</f>
        <v/>
      </c>
      <c r="S43" s="63"/>
      <c r="T43" s="63"/>
      <c r="U43" s="63"/>
      <c r="V43" s="63"/>
      <c r="W43" s="63"/>
    </row>
    <row r="44" spans="6:23" ht="25" customHeight="1">
      <c r="F44" s="53"/>
      <c r="H44" s="55" t="e">
        <f>tbl_Level[[#This Row],[Qty Complete]]/tbl_Level[[#This Row],[Qty Required]]</f>
        <v>#DIV/0!</v>
      </c>
      <c r="K44" s="57" t="str">
        <f>IFERROR(tbl_Level[[#This Row],[Qty Required]]/tbl_Level[[#This Row],[PPH]]*tbl_Level[[#This Row],['# of men]],"")</f>
        <v/>
      </c>
      <c r="L44" s="58" t="e">
        <f>tbl_Level[[#This Row],[Total hours]]*tbl_Level[[#This Row],[% Complete]]</f>
        <v>#VALUE!</v>
      </c>
      <c r="M44" s="59" t="str">
        <f>IFERROR(tbl_Level[[#This Row],[Qty Complete]]/tbl_Level[[#This Row],[Total Hours Act]]*tbl_Level[[#This Row],['# of men Act]],"")</f>
        <v/>
      </c>
      <c r="O44"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44" s="71" t="str">
        <f>IFERROR((tbl_Level[[#This Row],[Adj. Total Hours]]+tbl_Level[[#This Row],[Est. Hours]])/(tbl_Level[[#This Row],[Total Hours Act]]+tbl_Level[[#This Row],[Act. Hours]]),"")</f>
        <v/>
      </c>
      <c r="S44" s="63"/>
      <c r="T44" s="63"/>
      <c r="U44" s="63"/>
      <c r="V44" s="63"/>
      <c r="W44" s="63"/>
    </row>
    <row r="45" spans="6:23" ht="25" customHeight="1">
      <c r="F45" s="53"/>
      <c r="H45" s="55" t="e">
        <f>tbl_Level[[#This Row],[Qty Complete]]/tbl_Level[[#This Row],[Qty Required]]</f>
        <v>#DIV/0!</v>
      </c>
      <c r="K45" s="57" t="str">
        <f>IFERROR(tbl_Level[[#This Row],[Qty Required]]/tbl_Level[[#This Row],[PPH]]*tbl_Level[[#This Row],['# of men]],"")</f>
        <v/>
      </c>
      <c r="L45" s="58" t="e">
        <f>tbl_Level[[#This Row],[Total hours]]*tbl_Level[[#This Row],[% Complete]]</f>
        <v>#VALUE!</v>
      </c>
      <c r="M45" s="59" t="str">
        <f>IFERROR(tbl_Level[[#This Row],[Qty Complete]]/tbl_Level[[#This Row],[Total Hours Act]]*tbl_Level[[#This Row],['# of men Act]],"")</f>
        <v/>
      </c>
      <c r="O45"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45" s="71" t="str">
        <f>IFERROR((tbl_Level[[#This Row],[Adj. Total Hours]]+tbl_Level[[#This Row],[Est. Hours]])/(tbl_Level[[#This Row],[Total Hours Act]]+tbl_Level[[#This Row],[Act. Hours]]),"")</f>
        <v/>
      </c>
      <c r="S45" s="63"/>
      <c r="T45" s="63"/>
      <c r="U45" s="63"/>
      <c r="V45" s="63"/>
      <c r="W45" s="63"/>
    </row>
    <row r="46" spans="6:23" ht="25" customHeight="1">
      <c r="F46" s="53"/>
      <c r="H46" s="55" t="e">
        <f>tbl_Level[[#This Row],[Qty Complete]]/tbl_Level[[#This Row],[Qty Required]]</f>
        <v>#DIV/0!</v>
      </c>
      <c r="K46" s="57" t="str">
        <f>IFERROR(tbl_Level[[#This Row],[Qty Required]]/tbl_Level[[#This Row],[PPH]]*tbl_Level[[#This Row],['# of men]],"")</f>
        <v/>
      </c>
      <c r="L46" s="58" t="e">
        <f>tbl_Level[[#This Row],[Total hours]]*tbl_Level[[#This Row],[% Complete]]</f>
        <v>#VALUE!</v>
      </c>
      <c r="M46" s="59" t="str">
        <f>IFERROR(tbl_Level[[#This Row],[Qty Complete]]/tbl_Level[[#This Row],[Total Hours Act]]*tbl_Level[[#This Row],['# of men Act]],"")</f>
        <v/>
      </c>
      <c r="O46"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46" s="71" t="str">
        <f>IFERROR((tbl_Level[[#This Row],[Adj. Total Hours]]+tbl_Level[[#This Row],[Est. Hours]])/(tbl_Level[[#This Row],[Total Hours Act]]+tbl_Level[[#This Row],[Act. Hours]]),"")</f>
        <v/>
      </c>
      <c r="S46" s="63"/>
      <c r="T46" s="63"/>
      <c r="U46" s="63"/>
      <c r="V46" s="63"/>
      <c r="W46" s="63"/>
    </row>
    <row r="47" spans="6:23" ht="25" customHeight="1">
      <c r="F47" s="53"/>
      <c r="H47" s="55" t="e">
        <f>tbl_Level[[#This Row],[Qty Complete]]/tbl_Level[[#This Row],[Qty Required]]</f>
        <v>#DIV/0!</v>
      </c>
      <c r="K47" s="57" t="str">
        <f>IFERROR(tbl_Level[[#This Row],[Qty Required]]/tbl_Level[[#This Row],[PPH]]*tbl_Level[[#This Row],['# of men]],"")</f>
        <v/>
      </c>
      <c r="L47" s="58" t="e">
        <f>tbl_Level[[#This Row],[Total hours]]*tbl_Level[[#This Row],[% Complete]]</f>
        <v>#VALUE!</v>
      </c>
      <c r="M47" s="59" t="str">
        <f>IFERROR(tbl_Level[[#This Row],[Qty Complete]]/tbl_Level[[#This Row],[Total Hours Act]]*tbl_Level[[#This Row],['# of men Act]],"")</f>
        <v/>
      </c>
      <c r="O47"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47" s="71" t="str">
        <f>IFERROR((tbl_Level[[#This Row],[Adj. Total Hours]]+tbl_Level[[#This Row],[Est. Hours]])/(tbl_Level[[#This Row],[Total Hours Act]]+tbl_Level[[#This Row],[Act. Hours]]),"")</f>
        <v/>
      </c>
      <c r="S47" s="63"/>
      <c r="T47" s="63"/>
      <c r="U47" s="63"/>
      <c r="V47" s="63"/>
      <c r="W47" s="63"/>
    </row>
    <row r="48" spans="6:23" ht="25" customHeight="1">
      <c r="F48" s="53"/>
      <c r="H48" s="55" t="e">
        <f>tbl_Level[[#This Row],[Qty Complete]]/tbl_Level[[#This Row],[Qty Required]]</f>
        <v>#DIV/0!</v>
      </c>
      <c r="K48" s="57" t="str">
        <f>IFERROR(tbl_Level[[#This Row],[Qty Required]]/tbl_Level[[#This Row],[PPH]]*tbl_Level[[#This Row],['# of men]],"")</f>
        <v/>
      </c>
      <c r="L48" s="58" t="e">
        <f>tbl_Level[[#This Row],[Total hours]]*tbl_Level[[#This Row],[% Complete]]</f>
        <v>#VALUE!</v>
      </c>
      <c r="M48" s="59" t="str">
        <f>IFERROR(tbl_Level[[#This Row],[Qty Complete]]/tbl_Level[[#This Row],[Total Hours Act]]*tbl_Level[[#This Row],['# of men Act]],"")</f>
        <v/>
      </c>
      <c r="O48"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48" s="71" t="str">
        <f>IFERROR((tbl_Level[[#This Row],[Adj. Total Hours]]+tbl_Level[[#This Row],[Est. Hours]])/(tbl_Level[[#This Row],[Total Hours Act]]+tbl_Level[[#This Row],[Act. Hours]]),"")</f>
        <v/>
      </c>
      <c r="S48" s="63"/>
      <c r="T48" s="63"/>
      <c r="U48" s="63"/>
      <c r="V48" s="63"/>
      <c r="W48" s="63"/>
    </row>
    <row r="49" spans="6:23" ht="25" customHeight="1">
      <c r="F49" s="53"/>
      <c r="H49" s="55" t="e">
        <f>tbl_Level[[#This Row],[Qty Complete]]/tbl_Level[[#This Row],[Qty Required]]</f>
        <v>#DIV/0!</v>
      </c>
      <c r="K49" s="57" t="str">
        <f>IFERROR(tbl_Level[[#This Row],[Qty Required]]/tbl_Level[[#This Row],[PPH]]*tbl_Level[[#This Row],['# of men]],"")</f>
        <v/>
      </c>
      <c r="L49" s="58" t="e">
        <f>tbl_Level[[#This Row],[Total hours]]*tbl_Level[[#This Row],[% Complete]]</f>
        <v>#VALUE!</v>
      </c>
      <c r="M49" s="59" t="str">
        <f>IFERROR(tbl_Level[[#This Row],[Qty Complete]]/tbl_Level[[#This Row],[Total Hours Act]]*tbl_Level[[#This Row],['# of men Act]],"")</f>
        <v/>
      </c>
      <c r="O49"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49" s="71" t="str">
        <f>IFERROR((tbl_Level[[#This Row],[Adj. Total Hours]]+tbl_Level[[#This Row],[Est. Hours]])/(tbl_Level[[#This Row],[Total Hours Act]]+tbl_Level[[#This Row],[Act. Hours]]),"")</f>
        <v/>
      </c>
      <c r="S49" s="63"/>
      <c r="T49" s="63"/>
      <c r="U49" s="63"/>
      <c r="V49" s="63"/>
      <c r="W49" s="63"/>
    </row>
    <row r="50" spans="6:23" ht="25" customHeight="1">
      <c r="F50" s="53"/>
      <c r="H50" s="55" t="e">
        <f>tbl_Level[[#This Row],[Qty Complete]]/tbl_Level[[#This Row],[Qty Required]]</f>
        <v>#DIV/0!</v>
      </c>
      <c r="K50" s="57" t="str">
        <f>IFERROR(tbl_Level[[#This Row],[Qty Required]]/tbl_Level[[#This Row],[PPH]]*tbl_Level[[#This Row],['# of men]],"")</f>
        <v/>
      </c>
      <c r="L50" s="58" t="e">
        <f>tbl_Level[[#This Row],[Total hours]]*tbl_Level[[#This Row],[% Complete]]</f>
        <v>#VALUE!</v>
      </c>
      <c r="M50" s="59" t="str">
        <f>IFERROR(tbl_Level[[#This Row],[Qty Complete]]/tbl_Level[[#This Row],[Total Hours Act]]*tbl_Level[[#This Row],['# of men Act]],"")</f>
        <v/>
      </c>
      <c r="O50"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50" s="71" t="str">
        <f>IFERROR((tbl_Level[[#This Row],[Adj. Total Hours]]+tbl_Level[[#This Row],[Est. Hours]])/(tbl_Level[[#This Row],[Total Hours Act]]+tbl_Level[[#This Row],[Act. Hours]]),"")</f>
        <v/>
      </c>
      <c r="S50" s="63"/>
      <c r="T50" s="63"/>
      <c r="U50" s="63"/>
      <c r="V50" s="63"/>
      <c r="W50" s="63"/>
    </row>
    <row r="51" spans="6:23" ht="25" customHeight="1">
      <c r="F51" s="53"/>
      <c r="H51" s="55" t="e">
        <f>tbl_Level[[#This Row],[Qty Complete]]/tbl_Level[[#This Row],[Qty Required]]</f>
        <v>#DIV/0!</v>
      </c>
      <c r="K51" s="57" t="str">
        <f>IFERROR(tbl_Level[[#This Row],[Qty Required]]/tbl_Level[[#This Row],[PPH]]*tbl_Level[[#This Row],['# of men]],"")</f>
        <v/>
      </c>
      <c r="L51" s="58" t="e">
        <f>tbl_Level[[#This Row],[Total hours]]*tbl_Level[[#This Row],[% Complete]]</f>
        <v>#VALUE!</v>
      </c>
      <c r="M51" s="59" t="str">
        <f>IFERROR(tbl_Level[[#This Row],[Qty Complete]]/tbl_Level[[#This Row],[Total Hours Act]]*tbl_Level[[#This Row],['# of men Act]],"")</f>
        <v/>
      </c>
      <c r="O51"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51" s="71" t="str">
        <f>IFERROR((tbl_Level[[#This Row],[Adj. Total Hours]]+tbl_Level[[#This Row],[Est. Hours]])/(tbl_Level[[#This Row],[Total Hours Act]]+tbl_Level[[#This Row],[Act. Hours]]),"")</f>
        <v/>
      </c>
      <c r="S51" s="63"/>
      <c r="T51" s="63"/>
      <c r="U51" s="63"/>
      <c r="V51" s="63"/>
      <c r="W51" s="63"/>
    </row>
    <row r="52" spans="6:23" ht="25" customHeight="1">
      <c r="F52" s="53"/>
      <c r="H52" s="55" t="e">
        <f>tbl_Level[[#This Row],[Qty Complete]]/tbl_Level[[#This Row],[Qty Required]]</f>
        <v>#DIV/0!</v>
      </c>
      <c r="K52" s="57" t="str">
        <f>IFERROR(tbl_Level[[#This Row],[Qty Required]]/tbl_Level[[#This Row],[PPH]]*tbl_Level[[#This Row],['# of men]],"")</f>
        <v/>
      </c>
      <c r="L52" s="58" t="e">
        <f>tbl_Level[[#This Row],[Total hours]]*tbl_Level[[#This Row],[% Complete]]</f>
        <v>#VALUE!</v>
      </c>
      <c r="M52" s="59" t="str">
        <f>IFERROR(tbl_Level[[#This Row],[Qty Complete]]/tbl_Level[[#This Row],[Total Hours Act]]*tbl_Level[[#This Row],['# of men Act]],"")</f>
        <v/>
      </c>
      <c r="O52"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52" s="71" t="str">
        <f>IFERROR((tbl_Level[[#This Row],[Adj. Total Hours]]+tbl_Level[[#This Row],[Est. Hours]])/(tbl_Level[[#This Row],[Total Hours Act]]+tbl_Level[[#This Row],[Act. Hours]]),"")</f>
        <v/>
      </c>
      <c r="S52" s="63"/>
      <c r="T52" s="63"/>
      <c r="U52" s="63"/>
      <c r="V52" s="63"/>
      <c r="W52" s="63"/>
    </row>
    <row r="53" spans="6:23" ht="25" customHeight="1">
      <c r="F53" s="53"/>
      <c r="H53" s="55" t="e">
        <f>tbl_Level[[#This Row],[Qty Complete]]/tbl_Level[[#This Row],[Qty Required]]</f>
        <v>#DIV/0!</v>
      </c>
      <c r="K53" s="57" t="str">
        <f>IFERROR(tbl_Level[[#This Row],[Qty Required]]/tbl_Level[[#This Row],[PPH]]*tbl_Level[[#This Row],['# of men]],"")</f>
        <v/>
      </c>
      <c r="L53" s="58" t="e">
        <f>tbl_Level[[#This Row],[Total hours]]*tbl_Level[[#This Row],[% Complete]]</f>
        <v>#VALUE!</v>
      </c>
      <c r="M53" s="59" t="str">
        <f>IFERROR(tbl_Level[[#This Row],[Qty Complete]]/tbl_Level[[#This Row],[Total Hours Act]]*tbl_Level[[#This Row],['# of men Act]],"")</f>
        <v/>
      </c>
      <c r="O53"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53" s="71" t="str">
        <f>IFERROR((tbl_Level[[#This Row],[Adj. Total Hours]]+tbl_Level[[#This Row],[Est. Hours]])/(tbl_Level[[#This Row],[Total Hours Act]]+tbl_Level[[#This Row],[Act. Hours]]),"")</f>
        <v/>
      </c>
      <c r="S53" s="63"/>
      <c r="T53" s="63"/>
      <c r="U53" s="63"/>
      <c r="V53" s="63"/>
      <c r="W53" s="63"/>
    </row>
    <row r="54" spans="6:23" ht="25" customHeight="1">
      <c r="F54" s="53"/>
      <c r="H54" s="55" t="e">
        <f>tbl_Level[[#This Row],[Qty Complete]]/tbl_Level[[#This Row],[Qty Required]]</f>
        <v>#DIV/0!</v>
      </c>
      <c r="K54" s="57" t="str">
        <f>IFERROR(tbl_Level[[#This Row],[Qty Required]]/tbl_Level[[#This Row],[PPH]]*tbl_Level[[#This Row],['# of men]],"")</f>
        <v/>
      </c>
      <c r="L54" s="58" t="e">
        <f>tbl_Level[[#This Row],[Total hours]]*tbl_Level[[#This Row],[% Complete]]</f>
        <v>#VALUE!</v>
      </c>
      <c r="M54" s="59" t="str">
        <f>IFERROR(tbl_Level[[#This Row],[Qty Complete]]/tbl_Level[[#This Row],[Total Hours Act]]*tbl_Level[[#This Row],['# of men Act]],"")</f>
        <v/>
      </c>
      <c r="O54"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54" s="71" t="str">
        <f>IFERROR((tbl_Level[[#This Row],[Adj. Total Hours]]+tbl_Level[[#This Row],[Est. Hours]])/(tbl_Level[[#This Row],[Total Hours Act]]+tbl_Level[[#This Row],[Act. Hours]]),"")</f>
        <v/>
      </c>
      <c r="S54" s="63"/>
      <c r="T54" s="63"/>
      <c r="U54" s="63"/>
      <c r="V54" s="63"/>
      <c r="W54" s="63"/>
    </row>
    <row r="55" spans="6:23" ht="25" customHeight="1">
      <c r="F55" s="53"/>
      <c r="H55" s="55" t="e">
        <f>tbl_Level[[#This Row],[Qty Complete]]/tbl_Level[[#This Row],[Qty Required]]</f>
        <v>#DIV/0!</v>
      </c>
      <c r="K55" s="57" t="str">
        <f>IFERROR(tbl_Level[[#This Row],[Qty Required]]/tbl_Level[[#This Row],[PPH]]*tbl_Level[[#This Row],['# of men]],"")</f>
        <v/>
      </c>
      <c r="L55" s="58" t="e">
        <f>tbl_Level[[#This Row],[Total hours]]*tbl_Level[[#This Row],[% Complete]]</f>
        <v>#VALUE!</v>
      </c>
      <c r="M55" s="59" t="str">
        <f>IFERROR(tbl_Level[[#This Row],[Qty Complete]]/tbl_Level[[#This Row],[Total Hours Act]]*tbl_Level[[#This Row],['# of men Act]],"")</f>
        <v/>
      </c>
      <c r="O55"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55" s="71" t="str">
        <f>IFERROR((tbl_Level[[#This Row],[Adj. Total Hours]]+tbl_Level[[#This Row],[Est. Hours]])/(tbl_Level[[#This Row],[Total Hours Act]]+tbl_Level[[#This Row],[Act. Hours]]),"")</f>
        <v/>
      </c>
      <c r="S55" s="63"/>
      <c r="T55" s="63"/>
      <c r="U55" s="63"/>
      <c r="V55" s="63"/>
      <c r="W55" s="63"/>
    </row>
    <row r="56" spans="6:23" ht="25" customHeight="1">
      <c r="F56" s="53"/>
      <c r="H56" s="55" t="e">
        <f>tbl_Level[[#This Row],[Qty Complete]]/tbl_Level[[#This Row],[Qty Required]]</f>
        <v>#DIV/0!</v>
      </c>
      <c r="K56" s="57" t="str">
        <f>IFERROR(tbl_Level[[#This Row],[Qty Required]]/tbl_Level[[#This Row],[PPH]]*tbl_Level[[#This Row],['# of men]],"")</f>
        <v/>
      </c>
      <c r="L56" s="58" t="e">
        <f>tbl_Level[[#This Row],[Total hours]]*tbl_Level[[#This Row],[% Complete]]</f>
        <v>#VALUE!</v>
      </c>
      <c r="M56" s="59" t="str">
        <f>IFERROR(tbl_Level[[#This Row],[Qty Complete]]/tbl_Level[[#This Row],[Total Hours Act]]*tbl_Level[[#This Row],['# of men Act]],"")</f>
        <v/>
      </c>
      <c r="O56"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56" s="71" t="str">
        <f>IFERROR((tbl_Level[[#This Row],[Adj. Total Hours]]+tbl_Level[[#This Row],[Est. Hours]])/(tbl_Level[[#This Row],[Total Hours Act]]+tbl_Level[[#This Row],[Act. Hours]]),"")</f>
        <v/>
      </c>
      <c r="S56" s="63"/>
      <c r="T56" s="63"/>
      <c r="U56" s="63"/>
      <c r="V56" s="63"/>
      <c r="W56" s="63"/>
    </row>
    <row r="57" spans="6:23" ht="25" customHeight="1">
      <c r="F57" s="53"/>
      <c r="H57" s="55" t="e">
        <f>tbl_Level[[#This Row],[Qty Complete]]/tbl_Level[[#This Row],[Qty Required]]</f>
        <v>#DIV/0!</v>
      </c>
      <c r="K57" s="57" t="str">
        <f>IFERROR(tbl_Level[[#This Row],[Qty Required]]/tbl_Level[[#This Row],[PPH]]*tbl_Level[[#This Row],['# of men]],"")</f>
        <v/>
      </c>
      <c r="L57" s="58" t="e">
        <f>tbl_Level[[#This Row],[Total hours]]*tbl_Level[[#This Row],[% Complete]]</f>
        <v>#VALUE!</v>
      </c>
      <c r="M57" s="59" t="str">
        <f>IFERROR(tbl_Level[[#This Row],[Qty Complete]]/tbl_Level[[#This Row],[Total Hours Act]]*tbl_Level[[#This Row],['# of men Act]],"")</f>
        <v/>
      </c>
      <c r="O57"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57" s="71" t="str">
        <f>IFERROR((tbl_Level[[#This Row],[Adj. Total Hours]]+tbl_Level[[#This Row],[Est. Hours]])/(tbl_Level[[#This Row],[Total Hours Act]]+tbl_Level[[#This Row],[Act. Hours]]),"")</f>
        <v/>
      </c>
      <c r="S57" s="63"/>
      <c r="T57" s="63"/>
      <c r="U57" s="63"/>
      <c r="V57" s="63"/>
      <c r="W57" s="63"/>
    </row>
    <row r="58" spans="6:23" ht="25" customHeight="1">
      <c r="F58" s="53"/>
      <c r="H58" s="55" t="e">
        <f>tbl_Level[[#This Row],[Qty Complete]]/tbl_Level[[#This Row],[Qty Required]]</f>
        <v>#DIV/0!</v>
      </c>
      <c r="K58" s="57" t="str">
        <f>IFERROR(tbl_Level[[#This Row],[Qty Required]]/tbl_Level[[#This Row],[PPH]]*tbl_Level[[#This Row],['# of men]],"")</f>
        <v/>
      </c>
      <c r="L58" s="58" t="e">
        <f>tbl_Level[[#This Row],[Total hours]]*tbl_Level[[#This Row],[% Complete]]</f>
        <v>#VALUE!</v>
      </c>
      <c r="M58" s="59" t="str">
        <f>IFERROR(tbl_Level[[#This Row],[Qty Complete]]/tbl_Level[[#This Row],[Total Hours Act]]*tbl_Level[[#This Row],['# of men Act]],"")</f>
        <v/>
      </c>
      <c r="O58"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58" s="71" t="str">
        <f>IFERROR((tbl_Level[[#This Row],[Adj. Total Hours]]+tbl_Level[[#This Row],[Est. Hours]])/(tbl_Level[[#This Row],[Total Hours Act]]+tbl_Level[[#This Row],[Act. Hours]]),"")</f>
        <v/>
      </c>
      <c r="S58" s="63"/>
      <c r="T58" s="63"/>
      <c r="U58" s="63"/>
      <c r="V58" s="63"/>
      <c r="W58" s="63"/>
    </row>
    <row r="59" spans="6:23" ht="25" customHeight="1">
      <c r="F59" s="53"/>
      <c r="H59" s="55" t="e">
        <f>tbl_Level[[#This Row],[Qty Complete]]/tbl_Level[[#This Row],[Qty Required]]</f>
        <v>#DIV/0!</v>
      </c>
      <c r="K59" s="57" t="str">
        <f>IFERROR(tbl_Level[[#This Row],[Qty Required]]/tbl_Level[[#This Row],[PPH]]*tbl_Level[[#This Row],['# of men]],"")</f>
        <v/>
      </c>
      <c r="L59" s="58" t="e">
        <f>tbl_Level[[#This Row],[Total hours]]*tbl_Level[[#This Row],[% Complete]]</f>
        <v>#VALUE!</v>
      </c>
      <c r="M59" s="59" t="str">
        <f>IFERROR(tbl_Level[[#This Row],[Qty Complete]]/tbl_Level[[#This Row],[Total Hours Act]]*tbl_Level[[#This Row],['# of men Act]],"")</f>
        <v/>
      </c>
      <c r="O59"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59" s="71" t="str">
        <f>IFERROR((tbl_Level[[#This Row],[Adj. Total Hours]]+tbl_Level[[#This Row],[Est. Hours]])/(tbl_Level[[#This Row],[Total Hours Act]]+tbl_Level[[#This Row],[Act. Hours]]),"")</f>
        <v/>
      </c>
      <c r="S59" s="63"/>
      <c r="T59" s="63"/>
      <c r="U59" s="63"/>
      <c r="V59" s="63"/>
      <c r="W59" s="63"/>
    </row>
    <row r="60" spans="6:23" ht="25" customHeight="1">
      <c r="F60" s="53"/>
      <c r="H60" s="55" t="e">
        <f>tbl_Level[[#This Row],[Qty Complete]]/tbl_Level[[#This Row],[Qty Required]]</f>
        <v>#DIV/0!</v>
      </c>
      <c r="K60" s="57" t="str">
        <f>IFERROR(tbl_Level[[#This Row],[Qty Required]]/tbl_Level[[#This Row],[PPH]]*tbl_Level[[#This Row],['# of men]],"")</f>
        <v/>
      </c>
      <c r="L60" s="58" t="e">
        <f>tbl_Level[[#This Row],[Total hours]]*tbl_Level[[#This Row],[% Complete]]</f>
        <v>#VALUE!</v>
      </c>
      <c r="M60" s="59" t="str">
        <f>IFERROR(tbl_Level[[#This Row],[Qty Complete]]/tbl_Level[[#This Row],[Total Hours Act]]*tbl_Level[[#This Row],['# of men Act]],"")</f>
        <v/>
      </c>
      <c r="O60"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60" s="71" t="str">
        <f>IFERROR((tbl_Level[[#This Row],[Adj. Total Hours]]+tbl_Level[[#This Row],[Est. Hours]])/(tbl_Level[[#This Row],[Total Hours Act]]+tbl_Level[[#This Row],[Act. Hours]]),"")</f>
        <v/>
      </c>
      <c r="S60" s="63"/>
      <c r="T60" s="63"/>
      <c r="U60" s="63"/>
      <c r="V60" s="63"/>
      <c r="W60" s="63"/>
    </row>
    <row r="61" spans="6:23" ht="25" customHeight="1">
      <c r="F61" s="53"/>
      <c r="H61" s="55" t="e">
        <f>tbl_Level[[#This Row],[Qty Complete]]/tbl_Level[[#This Row],[Qty Required]]</f>
        <v>#DIV/0!</v>
      </c>
      <c r="K61" s="57" t="str">
        <f>IFERROR(tbl_Level[[#This Row],[Qty Required]]/tbl_Level[[#This Row],[PPH]]*tbl_Level[[#This Row],['# of men]],"")</f>
        <v/>
      </c>
      <c r="L61" s="58" t="e">
        <f>tbl_Level[[#This Row],[Total hours]]*tbl_Level[[#This Row],[% Complete]]</f>
        <v>#VALUE!</v>
      </c>
      <c r="M61" s="59" t="str">
        <f>IFERROR(tbl_Level[[#This Row],[Qty Complete]]/tbl_Level[[#This Row],[Total Hours Act]]*tbl_Level[[#This Row],['# of men Act]],"")</f>
        <v/>
      </c>
      <c r="O61"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61" s="71" t="str">
        <f>IFERROR((tbl_Level[[#This Row],[Adj. Total Hours]]+tbl_Level[[#This Row],[Est. Hours]])/(tbl_Level[[#This Row],[Total Hours Act]]+tbl_Level[[#This Row],[Act. Hours]]),"")</f>
        <v/>
      </c>
      <c r="S61" s="63"/>
      <c r="T61" s="63"/>
      <c r="U61" s="63"/>
      <c r="V61" s="63"/>
      <c r="W61" s="63"/>
    </row>
    <row r="62" spans="6:23" ht="25" customHeight="1">
      <c r="F62" s="53"/>
      <c r="H62" s="55" t="e">
        <f>tbl_Level[[#This Row],[Qty Complete]]/tbl_Level[[#This Row],[Qty Required]]</f>
        <v>#DIV/0!</v>
      </c>
      <c r="K62" s="57" t="str">
        <f>IFERROR(tbl_Level[[#This Row],[Qty Required]]/tbl_Level[[#This Row],[PPH]]*tbl_Level[[#This Row],['# of men]],"")</f>
        <v/>
      </c>
      <c r="L62" s="58" t="e">
        <f>tbl_Level[[#This Row],[Total hours]]*tbl_Level[[#This Row],[% Complete]]</f>
        <v>#VALUE!</v>
      </c>
      <c r="M62" s="59" t="str">
        <f>IFERROR(tbl_Level[[#This Row],[Qty Complete]]/tbl_Level[[#This Row],[Total Hours Act]]*tbl_Level[[#This Row],['# of men Act]],"")</f>
        <v/>
      </c>
      <c r="O62"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62" s="71" t="str">
        <f>IFERROR((tbl_Level[[#This Row],[Adj. Total Hours]]+tbl_Level[[#This Row],[Est. Hours]])/(tbl_Level[[#This Row],[Total Hours Act]]+tbl_Level[[#This Row],[Act. Hours]]),"")</f>
        <v/>
      </c>
      <c r="S62" s="63"/>
      <c r="T62" s="63"/>
      <c r="U62" s="63"/>
      <c r="V62" s="63"/>
      <c r="W62" s="63"/>
    </row>
    <row r="63" spans="6:23" ht="25" customHeight="1">
      <c r="F63" s="53"/>
      <c r="H63" s="55" t="e">
        <f>tbl_Level[[#This Row],[Qty Complete]]/tbl_Level[[#This Row],[Qty Required]]</f>
        <v>#DIV/0!</v>
      </c>
      <c r="K63" s="57" t="str">
        <f>IFERROR(tbl_Level[[#This Row],[Qty Required]]/tbl_Level[[#This Row],[PPH]]*tbl_Level[[#This Row],['# of men]],"")</f>
        <v/>
      </c>
      <c r="L63" s="58" t="e">
        <f>tbl_Level[[#This Row],[Total hours]]*tbl_Level[[#This Row],[% Complete]]</f>
        <v>#VALUE!</v>
      </c>
      <c r="M63" s="59" t="str">
        <f>IFERROR(tbl_Level[[#This Row],[Qty Complete]]/tbl_Level[[#This Row],[Total Hours Act]]*tbl_Level[[#This Row],['# of men Act]],"")</f>
        <v/>
      </c>
      <c r="O63"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63" s="71" t="str">
        <f>IFERROR((tbl_Level[[#This Row],[Adj. Total Hours]]+tbl_Level[[#This Row],[Est. Hours]])/(tbl_Level[[#This Row],[Total Hours Act]]+tbl_Level[[#This Row],[Act. Hours]]),"")</f>
        <v/>
      </c>
      <c r="S63" s="63"/>
      <c r="T63" s="63"/>
      <c r="U63" s="63"/>
      <c r="V63" s="63"/>
      <c r="W63" s="63"/>
    </row>
    <row r="64" spans="6:23" ht="25" customHeight="1">
      <c r="F64" s="53"/>
      <c r="H64" s="55" t="e">
        <f>tbl_Level[[#This Row],[Qty Complete]]/tbl_Level[[#This Row],[Qty Required]]</f>
        <v>#DIV/0!</v>
      </c>
      <c r="K64" s="57" t="str">
        <f>IFERROR(tbl_Level[[#This Row],[Qty Required]]/tbl_Level[[#This Row],[PPH]]*tbl_Level[[#This Row],['# of men]],"")</f>
        <v/>
      </c>
      <c r="L64" s="58" t="e">
        <f>tbl_Level[[#This Row],[Total hours]]*tbl_Level[[#This Row],[% Complete]]</f>
        <v>#VALUE!</v>
      </c>
      <c r="M64" s="59" t="str">
        <f>IFERROR(tbl_Level[[#This Row],[Qty Complete]]/tbl_Level[[#This Row],[Total Hours Act]]*tbl_Level[[#This Row],['# of men Act]],"")</f>
        <v/>
      </c>
      <c r="O64"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64" s="71" t="str">
        <f>IFERROR((tbl_Level[[#This Row],[Adj. Total Hours]]+tbl_Level[[#This Row],[Est. Hours]])/(tbl_Level[[#This Row],[Total Hours Act]]+tbl_Level[[#This Row],[Act. Hours]]),"")</f>
        <v/>
      </c>
      <c r="S64" s="63"/>
      <c r="T64" s="63"/>
      <c r="U64" s="63"/>
      <c r="V64" s="63"/>
      <c r="W64" s="63"/>
    </row>
    <row r="65" spans="6:23" ht="25" customHeight="1">
      <c r="F65" s="53"/>
      <c r="H65" s="55" t="e">
        <f>tbl_Level[[#This Row],[Qty Complete]]/tbl_Level[[#This Row],[Qty Required]]</f>
        <v>#DIV/0!</v>
      </c>
      <c r="K65" s="57" t="str">
        <f>IFERROR(tbl_Level[[#This Row],[Qty Required]]/tbl_Level[[#This Row],[PPH]]*tbl_Level[[#This Row],['# of men]],"")</f>
        <v/>
      </c>
      <c r="L65" s="58" t="e">
        <f>tbl_Level[[#This Row],[Total hours]]*tbl_Level[[#This Row],[% Complete]]</f>
        <v>#VALUE!</v>
      </c>
      <c r="M65" s="59" t="str">
        <f>IFERROR(tbl_Level[[#This Row],[Qty Complete]]/tbl_Level[[#This Row],[Total Hours Act]]*tbl_Level[[#This Row],['# of men Act]],"")</f>
        <v/>
      </c>
      <c r="O65"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65" s="71" t="str">
        <f>IFERROR((tbl_Level[[#This Row],[Adj. Total Hours]]+tbl_Level[[#This Row],[Est. Hours]])/(tbl_Level[[#This Row],[Total Hours Act]]+tbl_Level[[#This Row],[Act. Hours]]),"")</f>
        <v/>
      </c>
      <c r="S65" s="63"/>
      <c r="T65" s="63"/>
      <c r="U65" s="63"/>
      <c r="V65" s="63"/>
      <c r="W65" s="63"/>
    </row>
    <row r="66" spans="6:23" ht="25" customHeight="1">
      <c r="F66" s="53"/>
      <c r="H66" s="55" t="e">
        <f>tbl_Level[[#This Row],[Qty Complete]]/tbl_Level[[#This Row],[Qty Required]]</f>
        <v>#DIV/0!</v>
      </c>
      <c r="K66" s="57" t="str">
        <f>IFERROR(tbl_Level[[#This Row],[Qty Required]]/tbl_Level[[#This Row],[PPH]]*tbl_Level[[#This Row],['# of men]],"")</f>
        <v/>
      </c>
      <c r="L66" s="58" t="e">
        <f>tbl_Level[[#This Row],[Total hours]]*tbl_Level[[#This Row],[% Complete]]</f>
        <v>#VALUE!</v>
      </c>
      <c r="M66" s="59" t="str">
        <f>IFERROR(tbl_Level[[#This Row],[Qty Complete]]/tbl_Level[[#This Row],[Total Hours Act]]*tbl_Level[[#This Row],['# of men Act]],"")</f>
        <v/>
      </c>
      <c r="O66"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66" s="71" t="str">
        <f>IFERROR((tbl_Level[[#This Row],[Adj. Total Hours]]+tbl_Level[[#This Row],[Est. Hours]])/(tbl_Level[[#This Row],[Total Hours Act]]+tbl_Level[[#This Row],[Act. Hours]]),"")</f>
        <v/>
      </c>
      <c r="S66" s="63"/>
      <c r="T66" s="63"/>
      <c r="U66" s="63"/>
      <c r="V66" s="63"/>
      <c r="W66" s="63"/>
    </row>
    <row r="67" spans="6:23" ht="25" customHeight="1">
      <c r="F67" s="53"/>
      <c r="H67" s="55" t="e">
        <f>tbl_Level[[#This Row],[Qty Complete]]/tbl_Level[[#This Row],[Qty Required]]</f>
        <v>#DIV/0!</v>
      </c>
      <c r="K67" s="57" t="str">
        <f>IFERROR(tbl_Level[[#This Row],[Qty Required]]/tbl_Level[[#This Row],[PPH]]*tbl_Level[[#This Row],['# of men]],"")</f>
        <v/>
      </c>
      <c r="L67" s="58" t="e">
        <f>tbl_Level[[#This Row],[Total hours]]*tbl_Level[[#This Row],[% Complete]]</f>
        <v>#VALUE!</v>
      </c>
      <c r="M67" s="59" t="str">
        <f>IFERROR(tbl_Level[[#This Row],[Qty Complete]]/tbl_Level[[#This Row],[Total Hours Act]]*tbl_Level[[#This Row],['# of men Act]],"")</f>
        <v/>
      </c>
      <c r="O67"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67" s="71" t="str">
        <f>IFERROR((tbl_Level[[#This Row],[Adj. Total Hours]]+tbl_Level[[#This Row],[Est. Hours]])/(tbl_Level[[#This Row],[Total Hours Act]]+tbl_Level[[#This Row],[Act. Hours]]),"")</f>
        <v/>
      </c>
      <c r="S67" s="63"/>
      <c r="T67" s="63"/>
      <c r="U67" s="63"/>
      <c r="V67" s="63"/>
      <c r="W67" s="63"/>
    </row>
    <row r="68" spans="6:23" ht="25" customHeight="1">
      <c r="F68" s="53"/>
      <c r="H68" s="55" t="e">
        <f>tbl_Level[[#This Row],[Qty Complete]]/tbl_Level[[#This Row],[Qty Required]]</f>
        <v>#DIV/0!</v>
      </c>
      <c r="K68" s="57" t="str">
        <f>IFERROR(tbl_Level[[#This Row],[Qty Required]]/tbl_Level[[#This Row],[PPH]]*tbl_Level[[#This Row],['# of men]],"")</f>
        <v/>
      </c>
      <c r="L68" s="58" t="e">
        <f>tbl_Level[[#This Row],[Total hours]]*tbl_Level[[#This Row],[% Complete]]</f>
        <v>#VALUE!</v>
      </c>
      <c r="M68" s="59" t="str">
        <f>IFERROR(tbl_Level[[#This Row],[Qty Complete]]/tbl_Level[[#This Row],[Total Hours Act]]*tbl_Level[[#This Row],['# of men Act]],"")</f>
        <v/>
      </c>
      <c r="O68"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68" s="71" t="str">
        <f>IFERROR((tbl_Level[[#This Row],[Adj. Total Hours]]+tbl_Level[[#This Row],[Est. Hours]])/(tbl_Level[[#This Row],[Total Hours Act]]+tbl_Level[[#This Row],[Act. Hours]]),"")</f>
        <v/>
      </c>
      <c r="S68" s="63"/>
      <c r="T68" s="63"/>
      <c r="U68" s="63"/>
      <c r="V68" s="63"/>
      <c r="W68" s="63"/>
    </row>
    <row r="69" spans="6:23" ht="25" customHeight="1">
      <c r="F69" s="53"/>
      <c r="H69" s="55" t="e">
        <f>tbl_Level[[#This Row],[Qty Complete]]/tbl_Level[[#This Row],[Qty Required]]</f>
        <v>#DIV/0!</v>
      </c>
      <c r="K69" s="57" t="str">
        <f>IFERROR(tbl_Level[[#This Row],[Qty Required]]/tbl_Level[[#This Row],[PPH]]*tbl_Level[[#This Row],['# of men]],"")</f>
        <v/>
      </c>
      <c r="L69" s="58" t="e">
        <f>tbl_Level[[#This Row],[Total hours]]*tbl_Level[[#This Row],[% Complete]]</f>
        <v>#VALUE!</v>
      </c>
      <c r="M69" s="59" t="str">
        <f>IFERROR(tbl_Level[[#This Row],[Qty Complete]]/tbl_Level[[#This Row],[Total Hours Act]]*tbl_Level[[#This Row],['# of men Act]],"")</f>
        <v/>
      </c>
      <c r="O69"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69" s="71" t="str">
        <f>IFERROR((tbl_Level[[#This Row],[Adj. Total Hours]]+tbl_Level[[#This Row],[Est. Hours]])/(tbl_Level[[#This Row],[Total Hours Act]]+tbl_Level[[#This Row],[Act. Hours]]),"")</f>
        <v/>
      </c>
      <c r="S69" s="63"/>
      <c r="T69" s="63"/>
      <c r="U69" s="63"/>
      <c r="V69" s="63"/>
      <c r="W69" s="63"/>
    </row>
    <row r="70" spans="6:23" ht="25" customHeight="1">
      <c r="F70" s="53"/>
      <c r="H70" s="55" t="e">
        <f>tbl_Level[[#This Row],[Qty Complete]]/tbl_Level[[#This Row],[Qty Required]]</f>
        <v>#DIV/0!</v>
      </c>
      <c r="K70" s="57" t="str">
        <f>IFERROR(tbl_Level[[#This Row],[Qty Required]]/tbl_Level[[#This Row],[PPH]]*tbl_Level[[#This Row],['# of men]],"")</f>
        <v/>
      </c>
      <c r="L70" s="58" t="e">
        <f>tbl_Level[[#This Row],[Total hours]]*tbl_Level[[#This Row],[% Complete]]</f>
        <v>#VALUE!</v>
      </c>
      <c r="M70" s="59" t="str">
        <f>IFERROR(tbl_Level[[#This Row],[Qty Complete]]/tbl_Level[[#This Row],[Total Hours Act]]*tbl_Level[[#This Row],['# of men Act]],"")</f>
        <v/>
      </c>
      <c r="O70"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70" s="71" t="str">
        <f>IFERROR((tbl_Level[[#This Row],[Adj. Total Hours]]+tbl_Level[[#This Row],[Est. Hours]])/(tbl_Level[[#This Row],[Total Hours Act]]+tbl_Level[[#This Row],[Act. Hours]]),"")</f>
        <v/>
      </c>
      <c r="S70" s="63"/>
      <c r="T70" s="63"/>
      <c r="U70" s="63"/>
      <c r="V70" s="63"/>
      <c r="W70" s="63"/>
    </row>
    <row r="71" spans="6:23" ht="25" customHeight="1">
      <c r="F71" s="53"/>
      <c r="H71" s="55" t="e">
        <f>tbl_Level[[#This Row],[Qty Complete]]/tbl_Level[[#This Row],[Qty Required]]</f>
        <v>#DIV/0!</v>
      </c>
      <c r="K71" s="57" t="str">
        <f>IFERROR(tbl_Level[[#This Row],[Qty Required]]/tbl_Level[[#This Row],[PPH]]*tbl_Level[[#This Row],['# of men]],"")</f>
        <v/>
      </c>
      <c r="L71" s="58" t="e">
        <f>tbl_Level[[#This Row],[Total hours]]*tbl_Level[[#This Row],[% Complete]]</f>
        <v>#VALUE!</v>
      </c>
      <c r="M71" s="59" t="str">
        <f>IFERROR(tbl_Level[[#This Row],[Qty Complete]]/tbl_Level[[#This Row],[Total Hours Act]]*tbl_Level[[#This Row],['# of men Act]],"")</f>
        <v/>
      </c>
      <c r="O71"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71" s="71" t="str">
        <f>IFERROR((tbl_Level[[#This Row],[Adj. Total Hours]]+tbl_Level[[#This Row],[Est. Hours]])/(tbl_Level[[#This Row],[Total Hours Act]]+tbl_Level[[#This Row],[Act. Hours]]),"")</f>
        <v/>
      </c>
      <c r="S71" s="63"/>
      <c r="T71" s="63"/>
      <c r="U71" s="63"/>
      <c r="V71" s="63"/>
      <c r="W71" s="63"/>
    </row>
    <row r="72" spans="6:23" ht="25" customHeight="1">
      <c r="F72" s="53"/>
      <c r="H72" s="55" t="e">
        <f>tbl_Level[[#This Row],[Qty Complete]]/tbl_Level[[#This Row],[Qty Required]]</f>
        <v>#DIV/0!</v>
      </c>
      <c r="K72" s="57" t="str">
        <f>IFERROR(tbl_Level[[#This Row],[Qty Required]]/tbl_Level[[#This Row],[PPH]]*tbl_Level[[#This Row],['# of men]],"")</f>
        <v/>
      </c>
      <c r="L72" s="58" t="e">
        <f>tbl_Level[[#This Row],[Total hours]]*tbl_Level[[#This Row],[% Complete]]</f>
        <v>#VALUE!</v>
      </c>
      <c r="M72" s="59" t="str">
        <f>IFERROR(tbl_Level[[#This Row],[Qty Complete]]/tbl_Level[[#This Row],[Total Hours Act]]*tbl_Level[[#This Row],['# of men Act]],"")</f>
        <v/>
      </c>
      <c r="O72"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72" s="71" t="str">
        <f>IFERROR((tbl_Level[[#This Row],[Adj. Total Hours]]+tbl_Level[[#This Row],[Est. Hours]])/(tbl_Level[[#This Row],[Total Hours Act]]+tbl_Level[[#This Row],[Act. Hours]]),"")</f>
        <v/>
      </c>
      <c r="S72" s="63"/>
      <c r="T72" s="63"/>
      <c r="U72" s="63"/>
      <c r="V72" s="63"/>
      <c r="W72" s="63"/>
    </row>
    <row r="73" spans="6:23" ht="25" customHeight="1">
      <c r="F73" s="53"/>
      <c r="H73" s="55" t="e">
        <f>tbl_Level[[#This Row],[Qty Complete]]/tbl_Level[[#This Row],[Qty Required]]</f>
        <v>#DIV/0!</v>
      </c>
      <c r="K73" s="57" t="str">
        <f>IFERROR(tbl_Level[[#This Row],[Qty Required]]/tbl_Level[[#This Row],[PPH]]*tbl_Level[[#This Row],['# of men]],"")</f>
        <v/>
      </c>
      <c r="L73" s="58" t="e">
        <f>tbl_Level[[#This Row],[Total hours]]*tbl_Level[[#This Row],[% Complete]]</f>
        <v>#VALUE!</v>
      </c>
      <c r="M73" s="59" t="str">
        <f>IFERROR(tbl_Level[[#This Row],[Qty Complete]]/tbl_Level[[#This Row],[Total Hours Act]]*tbl_Level[[#This Row],['# of men Act]],"")</f>
        <v/>
      </c>
      <c r="O73"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73" s="71" t="str">
        <f>IFERROR((tbl_Level[[#This Row],[Adj. Total Hours]]+tbl_Level[[#This Row],[Est. Hours]])/(tbl_Level[[#This Row],[Total Hours Act]]+tbl_Level[[#This Row],[Act. Hours]]),"")</f>
        <v/>
      </c>
      <c r="S73" s="63"/>
      <c r="T73" s="63"/>
      <c r="U73" s="63"/>
      <c r="V73" s="63"/>
      <c r="W73" s="63"/>
    </row>
    <row r="74" spans="6:23" ht="25" customHeight="1">
      <c r="F74" s="53"/>
      <c r="H74" s="55" t="e">
        <f>tbl_Level[[#This Row],[Qty Complete]]/tbl_Level[[#This Row],[Qty Required]]</f>
        <v>#DIV/0!</v>
      </c>
      <c r="K74" s="57" t="str">
        <f>IFERROR(tbl_Level[[#This Row],[Qty Required]]/tbl_Level[[#This Row],[PPH]]*tbl_Level[[#This Row],['# of men]],"")</f>
        <v/>
      </c>
      <c r="L74" s="58" t="e">
        <f>tbl_Level[[#This Row],[Total hours]]*tbl_Level[[#This Row],[% Complete]]</f>
        <v>#VALUE!</v>
      </c>
      <c r="M74" s="59" t="str">
        <f>IFERROR(tbl_Level[[#This Row],[Qty Complete]]/tbl_Level[[#This Row],[Total Hours Act]]*tbl_Level[[#This Row],['# of men Act]],"")</f>
        <v/>
      </c>
      <c r="O74"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74" s="71" t="str">
        <f>IFERROR((tbl_Level[[#This Row],[Adj. Total Hours]]+tbl_Level[[#This Row],[Est. Hours]])/(tbl_Level[[#This Row],[Total Hours Act]]+tbl_Level[[#This Row],[Act. Hours]]),"")</f>
        <v/>
      </c>
      <c r="S74" s="63"/>
      <c r="T74" s="63"/>
      <c r="U74" s="63"/>
      <c r="V74" s="63"/>
      <c r="W74" s="63"/>
    </row>
    <row r="75" spans="6:23" ht="25" customHeight="1">
      <c r="F75" s="53"/>
      <c r="H75" s="55" t="e">
        <f>tbl_Level[[#This Row],[Qty Complete]]/tbl_Level[[#This Row],[Qty Required]]</f>
        <v>#DIV/0!</v>
      </c>
      <c r="K75" s="57" t="str">
        <f>IFERROR(tbl_Level[[#This Row],[Qty Required]]/tbl_Level[[#This Row],[PPH]]*tbl_Level[[#This Row],['# of men]],"")</f>
        <v/>
      </c>
      <c r="L75" s="58" t="e">
        <f>tbl_Level[[#This Row],[Total hours]]*tbl_Level[[#This Row],[% Complete]]</f>
        <v>#VALUE!</v>
      </c>
      <c r="M75" s="59" t="str">
        <f>IFERROR(tbl_Level[[#This Row],[Qty Complete]]/tbl_Level[[#This Row],[Total Hours Act]]*tbl_Level[[#This Row],['# of men Act]],"")</f>
        <v/>
      </c>
      <c r="O75"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75" s="71" t="str">
        <f>IFERROR((tbl_Level[[#This Row],[Adj. Total Hours]]+tbl_Level[[#This Row],[Est. Hours]])/(tbl_Level[[#This Row],[Total Hours Act]]+tbl_Level[[#This Row],[Act. Hours]]),"")</f>
        <v/>
      </c>
      <c r="S75" s="63"/>
      <c r="T75" s="63"/>
      <c r="U75" s="63"/>
      <c r="V75" s="63"/>
      <c r="W75" s="63"/>
    </row>
    <row r="76" spans="6:23" ht="25" customHeight="1">
      <c r="F76" s="53"/>
      <c r="H76" s="55" t="e">
        <f>tbl_Level[[#This Row],[Qty Complete]]/tbl_Level[[#This Row],[Qty Required]]</f>
        <v>#DIV/0!</v>
      </c>
      <c r="K76" s="57" t="str">
        <f>IFERROR(tbl_Level[[#This Row],[Qty Required]]/tbl_Level[[#This Row],[PPH]]*tbl_Level[[#This Row],['# of men]],"")</f>
        <v/>
      </c>
      <c r="L76" s="58" t="e">
        <f>tbl_Level[[#This Row],[Total hours]]*tbl_Level[[#This Row],[% Complete]]</f>
        <v>#VALUE!</v>
      </c>
      <c r="M76" s="59" t="str">
        <f>IFERROR(tbl_Level[[#This Row],[Qty Complete]]/tbl_Level[[#This Row],[Total Hours Act]]*tbl_Level[[#This Row],['# of men Act]],"")</f>
        <v/>
      </c>
      <c r="O76"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76" s="71" t="str">
        <f>IFERROR((tbl_Level[[#This Row],[Adj. Total Hours]]+tbl_Level[[#This Row],[Est. Hours]])/(tbl_Level[[#This Row],[Total Hours Act]]+tbl_Level[[#This Row],[Act. Hours]]),"")</f>
        <v/>
      </c>
      <c r="S76" s="63"/>
      <c r="T76" s="63"/>
      <c r="U76" s="63"/>
      <c r="V76" s="63"/>
      <c r="W76" s="63"/>
    </row>
    <row r="77" spans="6:23" ht="25" customHeight="1">
      <c r="F77" s="53"/>
      <c r="H77" s="55" t="e">
        <f>tbl_Level[[#This Row],[Qty Complete]]/tbl_Level[[#This Row],[Qty Required]]</f>
        <v>#DIV/0!</v>
      </c>
      <c r="K77" s="57" t="str">
        <f>IFERROR(tbl_Level[[#This Row],[Qty Required]]/tbl_Level[[#This Row],[PPH]]*tbl_Level[[#This Row],['# of men]],"")</f>
        <v/>
      </c>
      <c r="L77" s="58" t="e">
        <f>tbl_Level[[#This Row],[Total hours]]*tbl_Level[[#This Row],[% Complete]]</f>
        <v>#VALUE!</v>
      </c>
      <c r="M77" s="59" t="str">
        <f>IFERROR(tbl_Level[[#This Row],[Qty Complete]]/tbl_Level[[#This Row],[Total Hours Act]]*tbl_Level[[#This Row],['# of men Act]],"")</f>
        <v/>
      </c>
      <c r="O77"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77" s="71" t="str">
        <f>IFERROR((tbl_Level[[#This Row],[Adj. Total Hours]]+tbl_Level[[#This Row],[Est. Hours]])/(tbl_Level[[#This Row],[Total Hours Act]]+tbl_Level[[#This Row],[Act. Hours]]),"")</f>
        <v/>
      </c>
      <c r="S77" s="63"/>
      <c r="T77" s="63"/>
      <c r="U77" s="63"/>
      <c r="V77" s="63"/>
      <c r="W77" s="63"/>
    </row>
    <row r="78" spans="6:23" ht="25" customHeight="1">
      <c r="F78" s="53"/>
      <c r="H78" s="55" t="e">
        <f>tbl_Level[[#This Row],[Qty Complete]]/tbl_Level[[#This Row],[Qty Required]]</f>
        <v>#DIV/0!</v>
      </c>
      <c r="K78" s="57" t="str">
        <f>IFERROR(tbl_Level[[#This Row],[Qty Required]]/tbl_Level[[#This Row],[PPH]]*tbl_Level[[#This Row],['# of men]],"")</f>
        <v/>
      </c>
      <c r="L78" s="58" t="e">
        <f>tbl_Level[[#This Row],[Total hours]]*tbl_Level[[#This Row],[% Complete]]</f>
        <v>#VALUE!</v>
      </c>
      <c r="M78" s="59" t="str">
        <f>IFERROR(tbl_Level[[#This Row],[Qty Complete]]/tbl_Level[[#This Row],[Total Hours Act]]*tbl_Level[[#This Row],['# of men Act]],"")</f>
        <v/>
      </c>
      <c r="O78"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78" s="71" t="str">
        <f>IFERROR((tbl_Level[[#This Row],[Adj. Total Hours]]+tbl_Level[[#This Row],[Est. Hours]])/(tbl_Level[[#This Row],[Total Hours Act]]+tbl_Level[[#This Row],[Act. Hours]]),"")</f>
        <v/>
      </c>
      <c r="S78" s="63"/>
      <c r="T78" s="63"/>
      <c r="U78" s="63"/>
      <c r="V78" s="63"/>
      <c r="W78" s="63"/>
    </row>
    <row r="79" spans="6:23" ht="25" customHeight="1">
      <c r="F79" s="53"/>
      <c r="H79" s="55" t="e">
        <f>tbl_Level[[#This Row],[Qty Complete]]/tbl_Level[[#This Row],[Qty Required]]</f>
        <v>#DIV/0!</v>
      </c>
      <c r="K79" s="57" t="str">
        <f>IFERROR(tbl_Level[[#This Row],[Qty Required]]/tbl_Level[[#This Row],[PPH]]*tbl_Level[[#This Row],['# of men]],"")</f>
        <v/>
      </c>
      <c r="L79" s="58" t="e">
        <f>tbl_Level[[#This Row],[Total hours]]*tbl_Level[[#This Row],[% Complete]]</f>
        <v>#VALUE!</v>
      </c>
      <c r="M79" s="59" t="str">
        <f>IFERROR(tbl_Level[[#This Row],[Qty Complete]]/tbl_Level[[#This Row],[Total Hours Act]]*tbl_Level[[#This Row],['# of men Act]],"")</f>
        <v/>
      </c>
      <c r="O79"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79" s="71" t="str">
        <f>IFERROR((tbl_Level[[#This Row],[Adj. Total Hours]]+tbl_Level[[#This Row],[Est. Hours]])/(tbl_Level[[#This Row],[Total Hours Act]]+tbl_Level[[#This Row],[Act. Hours]]),"")</f>
        <v/>
      </c>
      <c r="S79" s="63"/>
      <c r="T79" s="63"/>
      <c r="U79" s="63"/>
      <c r="V79" s="63"/>
      <c r="W79" s="63"/>
    </row>
    <row r="80" spans="6:23" ht="25" customHeight="1">
      <c r="F80" s="53"/>
      <c r="H80" s="55" t="e">
        <f>tbl_Level[[#This Row],[Qty Complete]]/tbl_Level[[#This Row],[Qty Required]]</f>
        <v>#DIV/0!</v>
      </c>
      <c r="K80" s="57" t="str">
        <f>IFERROR(tbl_Level[[#This Row],[Qty Required]]/tbl_Level[[#This Row],[PPH]]*tbl_Level[[#This Row],['# of men]],"")</f>
        <v/>
      </c>
      <c r="L80" s="58" t="e">
        <f>tbl_Level[[#This Row],[Total hours]]*tbl_Level[[#This Row],[% Complete]]</f>
        <v>#VALUE!</v>
      </c>
      <c r="M80" s="59" t="str">
        <f>IFERROR(tbl_Level[[#This Row],[Qty Complete]]/tbl_Level[[#This Row],[Total Hours Act]]*tbl_Level[[#This Row],['# of men Act]],"")</f>
        <v/>
      </c>
      <c r="O80"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80" s="71" t="str">
        <f>IFERROR((tbl_Level[[#This Row],[Adj. Total Hours]]+tbl_Level[[#This Row],[Est. Hours]])/(tbl_Level[[#This Row],[Total Hours Act]]+tbl_Level[[#This Row],[Act. Hours]]),"")</f>
        <v/>
      </c>
      <c r="S80" s="63"/>
      <c r="T80" s="63"/>
      <c r="U80" s="63"/>
      <c r="V80" s="63"/>
      <c r="W80" s="63"/>
    </row>
    <row r="81" spans="6:23" ht="25" customHeight="1">
      <c r="F81" s="53"/>
      <c r="H81" s="55" t="e">
        <f>tbl_Level[[#This Row],[Qty Complete]]/tbl_Level[[#This Row],[Qty Required]]</f>
        <v>#DIV/0!</v>
      </c>
      <c r="K81" s="57" t="str">
        <f>IFERROR(tbl_Level[[#This Row],[Qty Required]]/tbl_Level[[#This Row],[PPH]]*tbl_Level[[#This Row],['# of men]],"")</f>
        <v/>
      </c>
      <c r="L81" s="58" t="e">
        <f>tbl_Level[[#This Row],[Total hours]]*tbl_Level[[#This Row],[% Complete]]</f>
        <v>#VALUE!</v>
      </c>
      <c r="M81" s="59" t="str">
        <f>IFERROR(tbl_Level[[#This Row],[Qty Complete]]/tbl_Level[[#This Row],[Total Hours Act]]*tbl_Level[[#This Row],['# of men Act]],"")</f>
        <v/>
      </c>
      <c r="O81"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81" s="71" t="str">
        <f>IFERROR((tbl_Level[[#This Row],[Adj. Total Hours]]+tbl_Level[[#This Row],[Est. Hours]])/(tbl_Level[[#This Row],[Total Hours Act]]+tbl_Level[[#This Row],[Act. Hours]]),"")</f>
        <v/>
      </c>
      <c r="S81" s="63"/>
      <c r="T81" s="63"/>
      <c r="U81" s="63"/>
      <c r="V81" s="63"/>
      <c r="W81" s="63"/>
    </row>
    <row r="82" spans="6:23" ht="25" customHeight="1">
      <c r="F82" s="53"/>
      <c r="H82" s="55" t="e">
        <f>tbl_Level[[#This Row],[Qty Complete]]/tbl_Level[[#This Row],[Qty Required]]</f>
        <v>#DIV/0!</v>
      </c>
      <c r="K82" s="57" t="str">
        <f>IFERROR(tbl_Level[[#This Row],[Qty Required]]/tbl_Level[[#This Row],[PPH]]*tbl_Level[[#This Row],['# of men]],"")</f>
        <v/>
      </c>
      <c r="L82" s="58" t="e">
        <f>tbl_Level[[#This Row],[Total hours]]*tbl_Level[[#This Row],[% Complete]]</f>
        <v>#VALUE!</v>
      </c>
      <c r="M82" s="59" t="str">
        <f>IFERROR(tbl_Level[[#This Row],[Qty Complete]]/tbl_Level[[#This Row],[Total Hours Act]]*tbl_Level[[#This Row],['# of men Act]],"")</f>
        <v/>
      </c>
      <c r="O82"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82" s="71" t="str">
        <f>IFERROR((tbl_Level[[#This Row],[Adj. Total Hours]]+tbl_Level[[#This Row],[Est. Hours]])/(tbl_Level[[#This Row],[Total Hours Act]]+tbl_Level[[#This Row],[Act. Hours]]),"")</f>
        <v/>
      </c>
      <c r="S82" s="63"/>
      <c r="T82" s="63"/>
      <c r="U82" s="63"/>
      <c r="V82" s="63"/>
      <c r="W82" s="63"/>
    </row>
    <row r="83" spans="6:23" ht="25" customHeight="1">
      <c r="F83" s="53"/>
      <c r="H83" s="55" t="e">
        <f>tbl_Level[[#This Row],[Qty Complete]]/tbl_Level[[#This Row],[Qty Required]]</f>
        <v>#DIV/0!</v>
      </c>
      <c r="K83" s="57" t="str">
        <f>IFERROR(tbl_Level[[#This Row],[Qty Required]]/tbl_Level[[#This Row],[PPH]]*tbl_Level[[#This Row],['# of men]],"")</f>
        <v/>
      </c>
      <c r="L83" s="58" t="e">
        <f>tbl_Level[[#This Row],[Total hours]]*tbl_Level[[#This Row],[% Complete]]</f>
        <v>#VALUE!</v>
      </c>
      <c r="M83" s="59" t="str">
        <f>IFERROR(tbl_Level[[#This Row],[Qty Complete]]/tbl_Level[[#This Row],[Total Hours Act]]*tbl_Level[[#This Row],['# of men Act]],"")</f>
        <v/>
      </c>
      <c r="O83"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83" s="71" t="str">
        <f>IFERROR((tbl_Level[[#This Row],[Adj. Total Hours]]+tbl_Level[[#This Row],[Est. Hours]])/(tbl_Level[[#This Row],[Total Hours Act]]+tbl_Level[[#This Row],[Act. Hours]]),"")</f>
        <v/>
      </c>
      <c r="S83" s="63"/>
      <c r="T83" s="63"/>
      <c r="U83" s="63"/>
      <c r="V83" s="63"/>
      <c r="W83" s="63"/>
    </row>
    <row r="84" spans="6:23" ht="25" customHeight="1">
      <c r="F84" s="53"/>
      <c r="H84" s="55" t="e">
        <f>tbl_Level[[#This Row],[Qty Complete]]/tbl_Level[[#This Row],[Qty Required]]</f>
        <v>#DIV/0!</v>
      </c>
      <c r="K84" s="57" t="str">
        <f>IFERROR(tbl_Level[[#This Row],[Qty Required]]/tbl_Level[[#This Row],[PPH]]*tbl_Level[[#This Row],['# of men]],"")</f>
        <v/>
      </c>
      <c r="L84" s="58" t="e">
        <f>tbl_Level[[#This Row],[Total hours]]*tbl_Level[[#This Row],[% Complete]]</f>
        <v>#VALUE!</v>
      </c>
      <c r="M84" s="59" t="str">
        <f>IFERROR(tbl_Level[[#This Row],[Qty Complete]]/tbl_Level[[#This Row],[Total Hours Act]]*tbl_Level[[#This Row],['# of men Act]],"")</f>
        <v/>
      </c>
      <c r="O84"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84" s="71" t="str">
        <f>IFERROR((tbl_Level[[#This Row],[Adj. Total Hours]]+tbl_Level[[#This Row],[Est. Hours]])/(tbl_Level[[#This Row],[Total Hours Act]]+tbl_Level[[#This Row],[Act. Hours]]),"")</f>
        <v/>
      </c>
      <c r="S84" s="63"/>
      <c r="T84" s="63"/>
      <c r="U84" s="63"/>
      <c r="V84" s="63"/>
      <c r="W84" s="63"/>
    </row>
    <row r="85" spans="6:23" ht="25" customHeight="1">
      <c r="F85" s="53"/>
      <c r="H85" s="55" t="e">
        <f>tbl_Level[[#This Row],[Qty Complete]]/tbl_Level[[#This Row],[Qty Required]]</f>
        <v>#DIV/0!</v>
      </c>
      <c r="K85" s="57" t="str">
        <f>IFERROR(tbl_Level[[#This Row],[Qty Required]]/tbl_Level[[#This Row],[PPH]]*tbl_Level[[#This Row],['# of men]],"")</f>
        <v/>
      </c>
      <c r="L85" s="58" t="e">
        <f>tbl_Level[[#This Row],[Total hours]]*tbl_Level[[#This Row],[% Complete]]</f>
        <v>#VALUE!</v>
      </c>
      <c r="M85" s="59" t="str">
        <f>IFERROR(tbl_Level[[#This Row],[Qty Complete]]/tbl_Level[[#This Row],[Total Hours Act]]*tbl_Level[[#This Row],['# of men Act]],"")</f>
        <v/>
      </c>
      <c r="O85"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85" s="71" t="str">
        <f>IFERROR((tbl_Level[[#This Row],[Adj. Total Hours]]+tbl_Level[[#This Row],[Est. Hours]])/(tbl_Level[[#This Row],[Total Hours Act]]+tbl_Level[[#This Row],[Act. Hours]]),"")</f>
        <v/>
      </c>
      <c r="S85" s="63"/>
      <c r="T85" s="63"/>
      <c r="U85" s="63"/>
      <c r="V85" s="63"/>
      <c r="W85" s="63"/>
    </row>
    <row r="86" spans="6:23" ht="25" customHeight="1">
      <c r="F86" s="53"/>
      <c r="H86" s="55" t="e">
        <f>tbl_Level[[#This Row],[Qty Complete]]/tbl_Level[[#This Row],[Qty Required]]</f>
        <v>#DIV/0!</v>
      </c>
      <c r="K86" s="57" t="str">
        <f>IFERROR(tbl_Level[[#This Row],[Qty Required]]/tbl_Level[[#This Row],[PPH]]*tbl_Level[[#This Row],['# of men]],"")</f>
        <v/>
      </c>
      <c r="L86" s="58" t="e">
        <f>tbl_Level[[#This Row],[Total hours]]*tbl_Level[[#This Row],[% Complete]]</f>
        <v>#VALUE!</v>
      </c>
      <c r="M86" s="59" t="str">
        <f>IFERROR(tbl_Level[[#This Row],[Qty Complete]]/tbl_Level[[#This Row],[Total Hours Act]]*tbl_Level[[#This Row],['# of men Act]],"")</f>
        <v/>
      </c>
      <c r="O86"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86" s="71" t="str">
        <f>IFERROR((tbl_Level[[#This Row],[Adj. Total Hours]]+tbl_Level[[#This Row],[Est. Hours]])/(tbl_Level[[#This Row],[Total Hours Act]]+tbl_Level[[#This Row],[Act. Hours]]),"")</f>
        <v/>
      </c>
      <c r="S86" s="63"/>
      <c r="T86" s="63"/>
      <c r="U86" s="63"/>
      <c r="V86" s="63"/>
      <c r="W86" s="63"/>
    </row>
    <row r="87" spans="6:23" ht="25" customHeight="1">
      <c r="F87" s="53"/>
      <c r="H87" s="55" t="e">
        <f>tbl_Level[[#This Row],[Qty Complete]]/tbl_Level[[#This Row],[Qty Required]]</f>
        <v>#DIV/0!</v>
      </c>
      <c r="K87" s="57" t="str">
        <f>IFERROR(tbl_Level[[#This Row],[Qty Required]]/tbl_Level[[#This Row],[PPH]]*tbl_Level[[#This Row],['# of men]],"")</f>
        <v/>
      </c>
      <c r="L87" s="58" t="e">
        <f>tbl_Level[[#This Row],[Total hours]]*tbl_Level[[#This Row],[% Complete]]</f>
        <v>#VALUE!</v>
      </c>
      <c r="M87" s="59" t="str">
        <f>IFERROR(tbl_Level[[#This Row],[Qty Complete]]/tbl_Level[[#This Row],[Total Hours Act]]*tbl_Level[[#This Row],['# of men Act]],"")</f>
        <v/>
      </c>
      <c r="O87"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87" s="71" t="str">
        <f>IFERROR((tbl_Level[[#This Row],[Adj. Total Hours]]+tbl_Level[[#This Row],[Est. Hours]])/(tbl_Level[[#This Row],[Total Hours Act]]+tbl_Level[[#This Row],[Act. Hours]]),"")</f>
        <v/>
      </c>
      <c r="S87" s="63"/>
      <c r="T87" s="63"/>
      <c r="U87" s="63"/>
      <c r="V87" s="63"/>
      <c r="W87" s="63"/>
    </row>
    <row r="88" spans="6:23" ht="25" customHeight="1">
      <c r="F88" s="53"/>
      <c r="H88" s="55" t="e">
        <f>tbl_Level[[#This Row],[Qty Complete]]/tbl_Level[[#This Row],[Qty Required]]</f>
        <v>#DIV/0!</v>
      </c>
      <c r="K88" s="57" t="str">
        <f>IFERROR(tbl_Level[[#This Row],[Qty Required]]/tbl_Level[[#This Row],[PPH]]*tbl_Level[[#This Row],['# of men]],"")</f>
        <v/>
      </c>
      <c r="L88" s="58" t="e">
        <f>tbl_Level[[#This Row],[Total hours]]*tbl_Level[[#This Row],[% Complete]]</f>
        <v>#VALUE!</v>
      </c>
      <c r="M88" s="59" t="str">
        <f>IFERROR(tbl_Level[[#This Row],[Qty Complete]]/tbl_Level[[#This Row],[Total Hours Act]]*tbl_Level[[#This Row],['# of men Act]],"")</f>
        <v/>
      </c>
      <c r="O88"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88" s="71" t="str">
        <f>IFERROR((tbl_Level[[#This Row],[Adj. Total Hours]]+tbl_Level[[#This Row],[Est. Hours]])/(tbl_Level[[#This Row],[Total Hours Act]]+tbl_Level[[#This Row],[Act. Hours]]),"")</f>
        <v/>
      </c>
      <c r="S88" s="63"/>
      <c r="T88" s="63"/>
      <c r="U88" s="63"/>
      <c r="V88" s="63"/>
      <c r="W88" s="63"/>
    </row>
    <row r="89" spans="6:23" ht="25" customHeight="1">
      <c r="F89" s="53"/>
      <c r="H89" s="55" t="e">
        <f>tbl_Level[[#This Row],[Qty Complete]]/tbl_Level[[#This Row],[Qty Required]]</f>
        <v>#DIV/0!</v>
      </c>
      <c r="K89" s="57" t="str">
        <f>IFERROR(tbl_Level[[#This Row],[Qty Required]]/tbl_Level[[#This Row],[PPH]]*tbl_Level[[#This Row],['# of men]],"")</f>
        <v/>
      </c>
      <c r="L89" s="58" t="e">
        <f>tbl_Level[[#This Row],[Total hours]]*tbl_Level[[#This Row],[% Complete]]</f>
        <v>#VALUE!</v>
      </c>
      <c r="M89" s="59" t="str">
        <f>IFERROR(tbl_Level[[#This Row],[Qty Complete]]/tbl_Level[[#This Row],[Total Hours Act]]*tbl_Level[[#This Row],['# of men Act]],"")</f>
        <v/>
      </c>
      <c r="O89"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89" s="71" t="str">
        <f>IFERROR((tbl_Level[[#This Row],[Adj. Total Hours]]+tbl_Level[[#This Row],[Est. Hours]])/(tbl_Level[[#This Row],[Total Hours Act]]+tbl_Level[[#This Row],[Act. Hours]]),"")</f>
        <v/>
      </c>
      <c r="S89" s="63"/>
      <c r="T89" s="63"/>
      <c r="U89" s="63"/>
      <c r="V89" s="63"/>
      <c r="W89" s="63"/>
    </row>
    <row r="90" spans="6:23" ht="25" customHeight="1">
      <c r="F90" s="53"/>
      <c r="H90" s="55" t="e">
        <f>tbl_Level[[#This Row],[Qty Complete]]/tbl_Level[[#This Row],[Qty Required]]</f>
        <v>#DIV/0!</v>
      </c>
      <c r="K90" s="57" t="str">
        <f>IFERROR(tbl_Level[[#This Row],[Qty Required]]/tbl_Level[[#This Row],[PPH]]*tbl_Level[[#This Row],['# of men]],"")</f>
        <v/>
      </c>
      <c r="L90" s="58" t="e">
        <f>tbl_Level[[#This Row],[Total hours]]*tbl_Level[[#This Row],[% Complete]]</f>
        <v>#VALUE!</v>
      </c>
      <c r="M90" s="59" t="str">
        <f>IFERROR(tbl_Level[[#This Row],[Qty Complete]]/tbl_Level[[#This Row],[Total Hours Act]]*tbl_Level[[#This Row],['# of men Act]],"")</f>
        <v/>
      </c>
      <c r="O90"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90" s="71" t="str">
        <f>IFERROR((tbl_Level[[#This Row],[Adj. Total Hours]]+tbl_Level[[#This Row],[Est. Hours]])/(tbl_Level[[#This Row],[Total Hours Act]]+tbl_Level[[#This Row],[Act. Hours]]),"")</f>
        <v/>
      </c>
      <c r="S90" s="63"/>
      <c r="T90" s="63"/>
      <c r="U90" s="63"/>
      <c r="V90" s="63"/>
      <c r="W90" s="63"/>
    </row>
    <row r="91" spans="6:23" ht="25" customHeight="1">
      <c r="F91" s="53"/>
      <c r="H91" s="55" t="e">
        <f>tbl_Level[[#This Row],[Qty Complete]]/tbl_Level[[#This Row],[Qty Required]]</f>
        <v>#DIV/0!</v>
      </c>
      <c r="K91" s="57" t="str">
        <f>IFERROR(tbl_Level[[#This Row],[Qty Required]]/tbl_Level[[#This Row],[PPH]]*tbl_Level[[#This Row],['# of men]],"")</f>
        <v/>
      </c>
      <c r="L91" s="58" t="e">
        <f>tbl_Level[[#This Row],[Total hours]]*tbl_Level[[#This Row],[% Complete]]</f>
        <v>#VALUE!</v>
      </c>
      <c r="M91" s="59" t="str">
        <f>IFERROR(tbl_Level[[#This Row],[Qty Complete]]/tbl_Level[[#This Row],[Total Hours Act]]*tbl_Level[[#This Row],['# of men Act]],"")</f>
        <v/>
      </c>
      <c r="O91"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91" s="71" t="str">
        <f>IFERROR((tbl_Level[[#This Row],[Adj. Total Hours]]+tbl_Level[[#This Row],[Est. Hours]])/(tbl_Level[[#This Row],[Total Hours Act]]+tbl_Level[[#This Row],[Act. Hours]]),"")</f>
        <v/>
      </c>
      <c r="S91" s="63"/>
      <c r="T91" s="63"/>
      <c r="U91" s="63"/>
      <c r="V91" s="63"/>
      <c r="W91" s="63"/>
    </row>
    <row r="92" spans="6:23" ht="25" customHeight="1">
      <c r="F92" s="53"/>
      <c r="H92" s="55" t="e">
        <f>tbl_Level[[#This Row],[Qty Complete]]/tbl_Level[[#This Row],[Qty Required]]</f>
        <v>#DIV/0!</v>
      </c>
      <c r="K92" s="57" t="str">
        <f>IFERROR(tbl_Level[[#This Row],[Qty Required]]/tbl_Level[[#This Row],[PPH]]*tbl_Level[[#This Row],['# of men]],"")</f>
        <v/>
      </c>
      <c r="L92" s="58" t="e">
        <f>tbl_Level[[#This Row],[Total hours]]*tbl_Level[[#This Row],[% Complete]]</f>
        <v>#VALUE!</v>
      </c>
      <c r="M92" s="59" t="str">
        <f>IFERROR(tbl_Level[[#This Row],[Qty Complete]]/tbl_Level[[#This Row],[Total Hours Act]]*tbl_Level[[#This Row],['# of men Act]],"")</f>
        <v/>
      </c>
      <c r="O92"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92" s="71" t="str">
        <f>IFERROR((tbl_Level[[#This Row],[Adj. Total Hours]]+tbl_Level[[#This Row],[Est. Hours]])/(tbl_Level[[#This Row],[Total Hours Act]]+tbl_Level[[#This Row],[Act. Hours]]),"")</f>
        <v/>
      </c>
      <c r="S92" s="63"/>
      <c r="T92" s="63"/>
      <c r="U92" s="63"/>
      <c r="V92" s="63"/>
      <c r="W92" s="63"/>
    </row>
    <row r="93" spans="6:23" ht="25" customHeight="1">
      <c r="F93" s="53"/>
      <c r="H93" s="55" t="e">
        <f>tbl_Level[[#This Row],[Qty Complete]]/tbl_Level[[#This Row],[Qty Required]]</f>
        <v>#DIV/0!</v>
      </c>
      <c r="K93" s="57" t="str">
        <f>IFERROR(tbl_Level[[#This Row],[Qty Required]]/tbl_Level[[#This Row],[PPH]]*tbl_Level[[#This Row],['# of men]],"")</f>
        <v/>
      </c>
      <c r="L93" s="58" t="e">
        <f>tbl_Level[[#This Row],[Total hours]]*tbl_Level[[#This Row],[% Complete]]</f>
        <v>#VALUE!</v>
      </c>
      <c r="M93" s="59" t="str">
        <f>IFERROR(tbl_Level[[#This Row],[Qty Complete]]/tbl_Level[[#This Row],[Total Hours Act]]*tbl_Level[[#This Row],['# of men Act]],"")</f>
        <v/>
      </c>
      <c r="O93"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93" s="71" t="str">
        <f>IFERROR((tbl_Level[[#This Row],[Adj. Total Hours]]+tbl_Level[[#This Row],[Est. Hours]])/(tbl_Level[[#This Row],[Total Hours Act]]+tbl_Level[[#This Row],[Act. Hours]]),"")</f>
        <v/>
      </c>
      <c r="S93" s="63"/>
      <c r="T93" s="63"/>
      <c r="U93" s="63"/>
      <c r="V93" s="63"/>
      <c r="W93" s="63"/>
    </row>
    <row r="94" spans="6:23" ht="25" customHeight="1">
      <c r="F94" s="53"/>
      <c r="H94" s="55" t="e">
        <f>tbl_Level[[#This Row],[Qty Complete]]/tbl_Level[[#This Row],[Qty Required]]</f>
        <v>#DIV/0!</v>
      </c>
      <c r="K94" s="57" t="str">
        <f>IFERROR(tbl_Level[[#This Row],[Qty Required]]/tbl_Level[[#This Row],[PPH]]*tbl_Level[[#This Row],['# of men]],"")</f>
        <v/>
      </c>
      <c r="L94" s="58" t="e">
        <f>tbl_Level[[#This Row],[Total hours]]*tbl_Level[[#This Row],[% Complete]]</f>
        <v>#VALUE!</v>
      </c>
      <c r="M94" s="59" t="str">
        <f>IFERROR(tbl_Level[[#This Row],[Qty Complete]]/tbl_Level[[#This Row],[Total Hours Act]]*tbl_Level[[#This Row],['# of men Act]],"")</f>
        <v/>
      </c>
      <c r="O94"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94" s="71" t="str">
        <f>IFERROR((tbl_Level[[#This Row],[Adj. Total Hours]]+tbl_Level[[#This Row],[Est. Hours]])/(tbl_Level[[#This Row],[Total Hours Act]]+tbl_Level[[#This Row],[Act. Hours]]),"")</f>
        <v/>
      </c>
      <c r="S94" s="63"/>
      <c r="T94" s="63"/>
      <c r="U94" s="63"/>
      <c r="V94" s="63"/>
      <c r="W94" s="63"/>
    </row>
    <row r="95" spans="6:23" ht="25" customHeight="1">
      <c r="F95" s="53"/>
      <c r="H95" s="55" t="e">
        <f>tbl_Level[[#This Row],[Qty Complete]]/tbl_Level[[#This Row],[Qty Required]]</f>
        <v>#DIV/0!</v>
      </c>
      <c r="K95" s="57" t="str">
        <f>IFERROR(tbl_Level[[#This Row],[Qty Required]]/tbl_Level[[#This Row],[PPH]]*tbl_Level[[#This Row],['# of men]],"")</f>
        <v/>
      </c>
      <c r="L95" s="58" t="e">
        <f>tbl_Level[[#This Row],[Total hours]]*tbl_Level[[#This Row],[% Complete]]</f>
        <v>#VALUE!</v>
      </c>
      <c r="M95" s="59" t="str">
        <f>IFERROR(tbl_Level[[#This Row],[Qty Complete]]/tbl_Level[[#This Row],[Total Hours Act]]*tbl_Level[[#This Row],['# of men Act]],"")</f>
        <v/>
      </c>
      <c r="O95"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95" s="71" t="str">
        <f>IFERROR((tbl_Level[[#This Row],[Adj. Total Hours]]+tbl_Level[[#This Row],[Est. Hours]])/(tbl_Level[[#This Row],[Total Hours Act]]+tbl_Level[[#This Row],[Act. Hours]]),"")</f>
        <v/>
      </c>
      <c r="S95" s="63"/>
      <c r="T95" s="63"/>
      <c r="U95" s="63"/>
      <c r="V95" s="63"/>
      <c r="W95" s="63"/>
    </row>
    <row r="96" spans="6:23" ht="25" customHeight="1">
      <c r="F96" s="53"/>
      <c r="H96" s="55" t="e">
        <f>tbl_Level[[#This Row],[Qty Complete]]/tbl_Level[[#This Row],[Qty Required]]</f>
        <v>#DIV/0!</v>
      </c>
      <c r="K96" s="57" t="str">
        <f>IFERROR(tbl_Level[[#This Row],[Qty Required]]/tbl_Level[[#This Row],[PPH]]*tbl_Level[[#This Row],['# of men]],"")</f>
        <v/>
      </c>
      <c r="L96" s="58" t="e">
        <f>tbl_Level[[#This Row],[Total hours]]*tbl_Level[[#This Row],[% Complete]]</f>
        <v>#VALUE!</v>
      </c>
      <c r="M96" s="59" t="str">
        <f>IFERROR(tbl_Level[[#This Row],[Qty Complete]]/tbl_Level[[#This Row],[Total Hours Act]]*tbl_Level[[#This Row],['# of men Act]],"")</f>
        <v/>
      </c>
      <c r="O96"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96" s="71" t="str">
        <f>IFERROR((tbl_Level[[#This Row],[Adj. Total Hours]]+tbl_Level[[#This Row],[Est. Hours]])/(tbl_Level[[#This Row],[Total Hours Act]]+tbl_Level[[#This Row],[Act. Hours]]),"")</f>
        <v/>
      </c>
      <c r="S96" s="63"/>
      <c r="T96" s="63"/>
      <c r="U96" s="63"/>
      <c r="V96" s="63"/>
      <c r="W96" s="63"/>
    </row>
    <row r="97" spans="6:23" ht="25" customHeight="1">
      <c r="F97" s="53"/>
      <c r="H97" s="55" t="e">
        <f>tbl_Level[[#This Row],[Qty Complete]]/tbl_Level[[#This Row],[Qty Required]]</f>
        <v>#DIV/0!</v>
      </c>
      <c r="K97" s="57" t="str">
        <f>IFERROR(tbl_Level[[#This Row],[Qty Required]]/tbl_Level[[#This Row],[PPH]]*tbl_Level[[#This Row],['# of men]],"")</f>
        <v/>
      </c>
      <c r="L97" s="58" t="e">
        <f>tbl_Level[[#This Row],[Total hours]]*tbl_Level[[#This Row],[% Complete]]</f>
        <v>#VALUE!</v>
      </c>
      <c r="M97" s="59" t="str">
        <f>IFERROR(tbl_Level[[#This Row],[Qty Complete]]/tbl_Level[[#This Row],[Total Hours Act]]*tbl_Level[[#This Row],['# of men Act]],"")</f>
        <v/>
      </c>
      <c r="O97"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97" s="71" t="str">
        <f>IFERROR((tbl_Level[[#This Row],[Adj. Total Hours]]+tbl_Level[[#This Row],[Est. Hours]])/(tbl_Level[[#This Row],[Total Hours Act]]+tbl_Level[[#This Row],[Act. Hours]]),"")</f>
        <v/>
      </c>
      <c r="S97" s="63"/>
      <c r="T97" s="63"/>
      <c r="U97" s="63"/>
      <c r="V97" s="63"/>
      <c r="W97" s="63"/>
    </row>
    <row r="98" spans="6:23" ht="25" customHeight="1">
      <c r="F98" s="53"/>
      <c r="H98" s="55" t="e">
        <f>tbl_Level[[#This Row],[Qty Complete]]/tbl_Level[[#This Row],[Qty Required]]</f>
        <v>#DIV/0!</v>
      </c>
      <c r="K98" s="57" t="str">
        <f>IFERROR(tbl_Level[[#This Row],[Qty Required]]/tbl_Level[[#This Row],[PPH]]*tbl_Level[[#This Row],['# of men]],"")</f>
        <v/>
      </c>
      <c r="L98" s="58" t="e">
        <f>tbl_Level[[#This Row],[Total hours]]*tbl_Level[[#This Row],[% Complete]]</f>
        <v>#VALUE!</v>
      </c>
      <c r="M98" s="59" t="str">
        <f>IFERROR(tbl_Level[[#This Row],[Qty Complete]]/tbl_Level[[#This Row],[Total Hours Act]]*tbl_Level[[#This Row],['# of men Act]],"")</f>
        <v/>
      </c>
      <c r="O98"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98" s="71" t="str">
        <f>IFERROR((tbl_Level[[#This Row],[Adj. Total Hours]]+tbl_Level[[#This Row],[Est. Hours]])/(tbl_Level[[#This Row],[Total Hours Act]]+tbl_Level[[#This Row],[Act. Hours]]),"")</f>
        <v/>
      </c>
      <c r="S98" s="63"/>
      <c r="T98" s="63"/>
      <c r="U98" s="63"/>
      <c r="V98" s="63"/>
      <c r="W98" s="63"/>
    </row>
    <row r="99" spans="6:23" ht="25" customHeight="1">
      <c r="F99" s="53"/>
      <c r="H99" s="55" t="e">
        <f>tbl_Level[[#This Row],[Qty Complete]]/tbl_Level[[#This Row],[Qty Required]]</f>
        <v>#DIV/0!</v>
      </c>
      <c r="K99" s="57" t="str">
        <f>IFERROR(tbl_Level[[#This Row],[Qty Required]]/tbl_Level[[#This Row],[PPH]]*tbl_Level[[#This Row],['# of men]],"")</f>
        <v/>
      </c>
      <c r="L99" s="58" t="e">
        <f>tbl_Level[[#This Row],[Total hours]]*tbl_Level[[#This Row],[% Complete]]</f>
        <v>#VALUE!</v>
      </c>
      <c r="M99" s="59" t="str">
        <f>IFERROR(tbl_Level[[#This Row],[Qty Complete]]/tbl_Level[[#This Row],[Total Hours Act]]*tbl_Level[[#This Row],['# of men Act]],"")</f>
        <v/>
      </c>
      <c r="O99"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99" s="71" t="str">
        <f>IFERROR((tbl_Level[[#This Row],[Adj. Total Hours]]+tbl_Level[[#This Row],[Est. Hours]])/(tbl_Level[[#This Row],[Total Hours Act]]+tbl_Level[[#This Row],[Act. Hours]]),"")</f>
        <v/>
      </c>
      <c r="S99" s="63"/>
      <c r="T99" s="63"/>
      <c r="U99" s="63"/>
      <c r="V99" s="63"/>
      <c r="W99" s="63"/>
    </row>
    <row r="100" spans="6:23" ht="25" customHeight="1">
      <c r="F100" s="53"/>
      <c r="H100" s="55" t="e">
        <f>tbl_Level[[#This Row],[Qty Complete]]/tbl_Level[[#This Row],[Qty Required]]</f>
        <v>#DIV/0!</v>
      </c>
      <c r="K100" s="57" t="str">
        <f>IFERROR(tbl_Level[[#This Row],[Qty Required]]/tbl_Level[[#This Row],[PPH]]*tbl_Level[[#This Row],['# of men]],"")</f>
        <v/>
      </c>
      <c r="L100" s="58" t="e">
        <f>tbl_Level[[#This Row],[Total hours]]*tbl_Level[[#This Row],[% Complete]]</f>
        <v>#VALUE!</v>
      </c>
      <c r="M100" s="59" t="str">
        <f>IFERROR(tbl_Level[[#This Row],[Qty Complete]]/tbl_Level[[#This Row],[Total Hours Act]]*tbl_Level[[#This Row],['# of men Act]],"")</f>
        <v/>
      </c>
      <c r="O100"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00" s="71" t="str">
        <f>IFERROR((tbl_Level[[#This Row],[Adj. Total Hours]]+tbl_Level[[#This Row],[Est. Hours]])/(tbl_Level[[#This Row],[Total Hours Act]]+tbl_Level[[#This Row],[Act. Hours]]),"")</f>
        <v/>
      </c>
      <c r="S100" s="63"/>
      <c r="T100" s="63"/>
      <c r="U100" s="63"/>
      <c r="V100" s="63"/>
      <c r="W100" s="63"/>
    </row>
    <row r="101" spans="6:23" ht="25" customHeight="1">
      <c r="F101" s="53"/>
      <c r="H101" s="55" t="e">
        <f>tbl_Level[[#This Row],[Qty Complete]]/tbl_Level[[#This Row],[Qty Required]]</f>
        <v>#DIV/0!</v>
      </c>
      <c r="K101" s="57" t="str">
        <f>IFERROR(tbl_Level[[#This Row],[Qty Required]]/tbl_Level[[#This Row],[PPH]]*tbl_Level[[#This Row],['# of men]],"")</f>
        <v/>
      </c>
      <c r="L101" s="58" t="e">
        <f>tbl_Level[[#This Row],[Total hours]]*tbl_Level[[#This Row],[% Complete]]</f>
        <v>#VALUE!</v>
      </c>
      <c r="M101" s="59" t="str">
        <f>IFERROR(tbl_Level[[#This Row],[Qty Complete]]/tbl_Level[[#This Row],[Total Hours Act]]*tbl_Level[[#This Row],['# of men Act]],"")</f>
        <v/>
      </c>
      <c r="O101"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01" s="71" t="str">
        <f>IFERROR((tbl_Level[[#This Row],[Adj. Total Hours]]+tbl_Level[[#This Row],[Est. Hours]])/(tbl_Level[[#This Row],[Total Hours Act]]+tbl_Level[[#This Row],[Act. Hours]]),"")</f>
        <v/>
      </c>
      <c r="S101" s="63"/>
      <c r="T101" s="63"/>
      <c r="U101" s="63"/>
      <c r="V101" s="63"/>
      <c r="W101" s="63"/>
    </row>
    <row r="102" spans="6:23" ht="25" customHeight="1">
      <c r="F102" s="53"/>
      <c r="H102" s="55" t="e">
        <f>tbl_Level[[#This Row],[Qty Complete]]/tbl_Level[[#This Row],[Qty Required]]</f>
        <v>#DIV/0!</v>
      </c>
      <c r="K102" s="57" t="str">
        <f>IFERROR(tbl_Level[[#This Row],[Qty Required]]/tbl_Level[[#This Row],[PPH]]*tbl_Level[[#This Row],['# of men]],"")</f>
        <v/>
      </c>
      <c r="L102" s="58" t="e">
        <f>tbl_Level[[#This Row],[Total hours]]*tbl_Level[[#This Row],[% Complete]]</f>
        <v>#VALUE!</v>
      </c>
      <c r="M102" s="59" t="str">
        <f>IFERROR(tbl_Level[[#This Row],[Qty Complete]]/tbl_Level[[#This Row],[Total Hours Act]]*tbl_Level[[#This Row],['# of men Act]],"")</f>
        <v/>
      </c>
      <c r="O102"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02" s="71" t="str">
        <f>IFERROR((tbl_Level[[#This Row],[Adj. Total Hours]]+tbl_Level[[#This Row],[Est. Hours]])/(tbl_Level[[#This Row],[Total Hours Act]]+tbl_Level[[#This Row],[Act. Hours]]),"")</f>
        <v/>
      </c>
      <c r="S102" s="63"/>
      <c r="T102" s="63"/>
      <c r="U102" s="63"/>
      <c r="V102" s="63"/>
      <c r="W102" s="63"/>
    </row>
    <row r="103" spans="6:23" ht="25" customHeight="1">
      <c r="F103" s="53"/>
      <c r="H103" s="55" t="e">
        <f>tbl_Level[[#This Row],[Qty Complete]]/tbl_Level[[#This Row],[Qty Required]]</f>
        <v>#DIV/0!</v>
      </c>
      <c r="K103" s="57" t="str">
        <f>IFERROR(tbl_Level[[#This Row],[Qty Required]]/tbl_Level[[#This Row],[PPH]]*tbl_Level[[#This Row],['# of men]],"")</f>
        <v/>
      </c>
      <c r="L103" s="58" t="e">
        <f>tbl_Level[[#This Row],[Total hours]]*tbl_Level[[#This Row],[% Complete]]</f>
        <v>#VALUE!</v>
      </c>
      <c r="M103" s="59" t="str">
        <f>IFERROR(tbl_Level[[#This Row],[Qty Complete]]/tbl_Level[[#This Row],[Total Hours Act]]*tbl_Level[[#This Row],['# of men Act]],"")</f>
        <v/>
      </c>
      <c r="O103"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03" s="71" t="str">
        <f>IFERROR((tbl_Level[[#This Row],[Adj. Total Hours]]+tbl_Level[[#This Row],[Est. Hours]])/(tbl_Level[[#This Row],[Total Hours Act]]+tbl_Level[[#This Row],[Act. Hours]]),"")</f>
        <v/>
      </c>
      <c r="S103" s="63"/>
      <c r="T103" s="63"/>
      <c r="U103" s="63"/>
      <c r="V103" s="63"/>
      <c r="W103" s="63"/>
    </row>
    <row r="104" spans="6:23" ht="25" customHeight="1">
      <c r="F104" s="53"/>
      <c r="H104" s="55" t="e">
        <f>tbl_Level[[#This Row],[Qty Complete]]/tbl_Level[[#This Row],[Qty Required]]</f>
        <v>#DIV/0!</v>
      </c>
      <c r="K104" s="57" t="str">
        <f>IFERROR(tbl_Level[[#This Row],[Qty Required]]/tbl_Level[[#This Row],[PPH]]*tbl_Level[[#This Row],['# of men]],"")</f>
        <v/>
      </c>
      <c r="L104" s="58" t="e">
        <f>tbl_Level[[#This Row],[Total hours]]*tbl_Level[[#This Row],[% Complete]]</f>
        <v>#VALUE!</v>
      </c>
      <c r="M104" s="59" t="str">
        <f>IFERROR(tbl_Level[[#This Row],[Qty Complete]]/tbl_Level[[#This Row],[Total Hours Act]]*tbl_Level[[#This Row],['# of men Act]],"")</f>
        <v/>
      </c>
      <c r="O104"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04" s="71" t="str">
        <f>IFERROR((tbl_Level[[#This Row],[Adj. Total Hours]]+tbl_Level[[#This Row],[Est. Hours]])/(tbl_Level[[#This Row],[Total Hours Act]]+tbl_Level[[#This Row],[Act. Hours]]),"")</f>
        <v/>
      </c>
      <c r="S104" s="63"/>
      <c r="T104" s="63"/>
      <c r="U104" s="63"/>
      <c r="V104" s="63"/>
      <c r="W104" s="63"/>
    </row>
    <row r="105" spans="6:23" ht="25" customHeight="1">
      <c r="F105" s="53"/>
      <c r="H105" s="55" t="e">
        <f>tbl_Level[[#This Row],[Qty Complete]]/tbl_Level[[#This Row],[Qty Required]]</f>
        <v>#DIV/0!</v>
      </c>
      <c r="K105" s="57" t="str">
        <f>IFERROR(tbl_Level[[#This Row],[Qty Required]]/tbl_Level[[#This Row],[PPH]]*tbl_Level[[#This Row],['# of men]],"")</f>
        <v/>
      </c>
      <c r="L105" s="58" t="e">
        <f>tbl_Level[[#This Row],[Total hours]]*tbl_Level[[#This Row],[% Complete]]</f>
        <v>#VALUE!</v>
      </c>
      <c r="M105" s="59" t="str">
        <f>IFERROR(tbl_Level[[#This Row],[Qty Complete]]/tbl_Level[[#This Row],[Total Hours Act]]*tbl_Level[[#This Row],['# of men Act]],"")</f>
        <v/>
      </c>
      <c r="O105"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05" s="71" t="str">
        <f>IFERROR((tbl_Level[[#This Row],[Adj. Total Hours]]+tbl_Level[[#This Row],[Est. Hours]])/(tbl_Level[[#This Row],[Total Hours Act]]+tbl_Level[[#This Row],[Act. Hours]]),"")</f>
        <v/>
      </c>
      <c r="S105" s="63"/>
      <c r="T105" s="63"/>
      <c r="U105" s="63"/>
      <c r="V105" s="63"/>
      <c r="W105" s="63"/>
    </row>
    <row r="106" spans="6:23" ht="25" customHeight="1">
      <c r="F106" s="53"/>
      <c r="H106" s="55" t="e">
        <f>tbl_Level[[#This Row],[Qty Complete]]/tbl_Level[[#This Row],[Qty Required]]</f>
        <v>#DIV/0!</v>
      </c>
      <c r="K106" s="57" t="str">
        <f>IFERROR(tbl_Level[[#This Row],[Qty Required]]/tbl_Level[[#This Row],[PPH]]*tbl_Level[[#This Row],['# of men]],"")</f>
        <v/>
      </c>
      <c r="L106" s="58" t="e">
        <f>tbl_Level[[#This Row],[Total hours]]*tbl_Level[[#This Row],[% Complete]]</f>
        <v>#VALUE!</v>
      </c>
      <c r="M106" s="59" t="str">
        <f>IFERROR(tbl_Level[[#This Row],[Qty Complete]]/tbl_Level[[#This Row],[Total Hours Act]]*tbl_Level[[#This Row],['# of men Act]],"")</f>
        <v/>
      </c>
      <c r="O106"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06" s="71" t="str">
        <f>IFERROR((tbl_Level[[#This Row],[Adj. Total Hours]]+tbl_Level[[#This Row],[Est. Hours]])/(tbl_Level[[#This Row],[Total Hours Act]]+tbl_Level[[#This Row],[Act. Hours]]),"")</f>
        <v/>
      </c>
      <c r="S106" s="63"/>
      <c r="T106" s="63"/>
      <c r="U106" s="63"/>
      <c r="V106" s="63"/>
      <c r="W106" s="63"/>
    </row>
    <row r="107" spans="6:23" ht="25" customHeight="1">
      <c r="F107" s="53"/>
      <c r="H107" s="55" t="e">
        <f>tbl_Level[[#This Row],[Qty Complete]]/tbl_Level[[#This Row],[Qty Required]]</f>
        <v>#DIV/0!</v>
      </c>
      <c r="K107" s="57" t="str">
        <f>IFERROR(tbl_Level[[#This Row],[Qty Required]]/tbl_Level[[#This Row],[PPH]]*tbl_Level[[#This Row],['# of men]],"")</f>
        <v/>
      </c>
      <c r="L107" s="58" t="e">
        <f>tbl_Level[[#This Row],[Total hours]]*tbl_Level[[#This Row],[% Complete]]</f>
        <v>#VALUE!</v>
      </c>
      <c r="M107" s="59" t="str">
        <f>IFERROR(tbl_Level[[#This Row],[Qty Complete]]/tbl_Level[[#This Row],[Total Hours Act]]*tbl_Level[[#This Row],['# of men Act]],"")</f>
        <v/>
      </c>
      <c r="O107"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07" s="71" t="str">
        <f>IFERROR((tbl_Level[[#This Row],[Adj. Total Hours]]+tbl_Level[[#This Row],[Est. Hours]])/(tbl_Level[[#This Row],[Total Hours Act]]+tbl_Level[[#This Row],[Act. Hours]]),"")</f>
        <v/>
      </c>
      <c r="S107" s="63"/>
      <c r="T107" s="63"/>
      <c r="U107" s="63"/>
      <c r="V107" s="63"/>
      <c r="W107" s="63"/>
    </row>
    <row r="108" spans="6:23" ht="25" customHeight="1">
      <c r="F108" s="53"/>
      <c r="H108" s="55" t="e">
        <f>tbl_Level[[#This Row],[Qty Complete]]/tbl_Level[[#This Row],[Qty Required]]</f>
        <v>#DIV/0!</v>
      </c>
      <c r="K108" s="57" t="str">
        <f>IFERROR(tbl_Level[[#This Row],[Qty Required]]/tbl_Level[[#This Row],[PPH]]*tbl_Level[[#This Row],['# of men]],"")</f>
        <v/>
      </c>
      <c r="L108" s="58" t="e">
        <f>tbl_Level[[#This Row],[Total hours]]*tbl_Level[[#This Row],[% Complete]]</f>
        <v>#VALUE!</v>
      </c>
      <c r="M108" s="59" t="str">
        <f>IFERROR(tbl_Level[[#This Row],[Qty Complete]]/tbl_Level[[#This Row],[Total Hours Act]]*tbl_Level[[#This Row],['# of men Act]],"")</f>
        <v/>
      </c>
      <c r="O108"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08" s="71" t="str">
        <f>IFERROR((tbl_Level[[#This Row],[Adj. Total Hours]]+tbl_Level[[#This Row],[Est. Hours]])/(tbl_Level[[#This Row],[Total Hours Act]]+tbl_Level[[#This Row],[Act. Hours]]),"")</f>
        <v/>
      </c>
      <c r="S108" s="63"/>
      <c r="T108" s="63"/>
      <c r="U108" s="63"/>
      <c r="V108" s="63"/>
      <c r="W108" s="63"/>
    </row>
    <row r="109" spans="6:23" ht="25" customHeight="1">
      <c r="F109" s="53"/>
      <c r="H109" s="55" t="e">
        <f>tbl_Level[[#This Row],[Qty Complete]]/tbl_Level[[#This Row],[Qty Required]]</f>
        <v>#DIV/0!</v>
      </c>
      <c r="K109" s="57" t="str">
        <f>IFERROR(tbl_Level[[#This Row],[Qty Required]]/tbl_Level[[#This Row],[PPH]]*tbl_Level[[#This Row],['# of men]],"")</f>
        <v/>
      </c>
      <c r="L109" s="58" t="e">
        <f>tbl_Level[[#This Row],[Total hours]]*tbl_Level[[#This Row],[% Complete]]</f>
        <v>#VALUE!</v>
      </c>
      <c r="M109" s="59" t="str">
        <f>IFERROR(tbl_Level[[#This Row],[Qty Complete]]/tbl_Level[[#This Row],[Total Hours Act]]*tbl_Level[[#This Row],['# of men Act]],"")</f>
        <v/>
      </c>
      <c r="O109"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09" s="71" t="str">
        <f>IFERROR((tbl_Level[[#This Row],[Adj. Total Hours]]+tbl_Level[[#This Row],[Est. Hours]])/(tbl_Level[[#This Row],[Total Hours Act]]+tbl_Level[[#This Row],[Act. Hours]]),"")</f>
        <v/>
      </c>
      <c r="S109" s="63"/>
      <c r="T109" s="63"/>
      <c r="U109" s="63"/>
      <c r="V109" s="63"/>
      <c r="W109" s="63"/>
    </row>
    <row r="110" spans="6:23" ht="25" customHeight="1">
      <c r="F110" s="53"/>
      <c r="H110" s="55" t="e">
        <f>tbl_Level[[#This Row],[Qty Complete]]/tbl_Level[[#This Row],[Qty Required]]</f>
        <v>#DIV/0!</v>
      </c>
      <c r="K110" s="57" t="str">
        <f>IFERROR(tbl_Level[[#This Row],[Qty Required]]/tbl_Level[[#This Row],[PPH]]*tbl_Level[[#This Row],['# of men]],"")</f>
        <v/>
      </c>
      <c r="L110" s="58" t="e">
        <f>tbl_Level[[#This Row],[Total hours]]*tbl_Level[[#This Row],[% Complete]]</f>
        <v>#VALUE!</v>
      </c>
      <c r="M110" s="59" t="str">
        <f>IFERROR(tbl_Level[[#This Row],[Qty Complete]]/tbl_Level[[#This Row],[Total Hours Act]]*tbl_Level[[#This Row],['# of men Act]],"")</f>
        <v/>
      </c>
      <c r="O110"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10" s="71" t="str">
        <f>IFERROR((tbl_Level[[#This Row],[Adj. Total Hours]]+tbl_Level[[#This Row],[Est. Hours]])/(tbl_Level[[#This Row],[Total Hours Act]]+tbl_Level[[#This Row],[Act. Hours]]),"")</f>
        <v/>
      </c>
      <c r="S110" s="63"/>
      <c r="T110" s="63"/>
      <c r="U110" s="63"/>
      <c r="V110" s="63"/>
      <c r="W110" s="63"/>
    </row>
    <row r="111" spans="6:23" ht="25" customHeight="1">
      <c r="F111" s="53"/>
      <c r="H111" s="55" t="e">
        <f>tbl_Level[[#This Row],[Qty Complete]]/tbl_Level[[#This Row],[Qty Required]]</f>
        <v>#DIV/0!</v>
      </c>
      <c r="K111" s="57" t="str">
        <f>IFERROR(tbl_Level[[#This Row],[Qty Required]]/tbl_Level[[#This Row],[PPH]]*tbl_Level[[#This Row],['# of men]],"")</f>
        <v/>
      </c>
      <c r="L111" s="58" t="e">
        <f>tbl_Level[[#This Row],[Total hours]]*tbl_Level[[#This Row],[% Complete]]</f>
        <v>#VALUE!</v>
      </c>
      <c r="M111" s="59" t="str">
        <f>IFERROR(tbl_Level[[#This Row],[Qty Complete]]/tbl_Level[[#This Row],[Total Hours Act]]*tbl_Level[[#This Row],['# of men Act]],"")</f>
        <v/>
      </c>
      <c r="O111"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11" s="71" t="str">
        <f>IFERROR((tbl_Level[[#This Row],[Adj. Total Hours]]+tbl_Level[[#This Row],[Est. Hours]])/(tbl_Level[[#This Row],[Total Hours Act]]+tbl_Level[[#This Row],[Act. Hours]]),"")</f>
        <v/>
      </c>
      <c r="S111" s="63"/>
      <c r="T111" s="63"/>
      <c r="U111" s="63"/>
      <c r="V111" s="63"/>
      <c r="W111" s="63"/>
    </row>
    <row r="112" spans="6:23" ht="25" customHeight="1">
      <c r="F112" s="53"/>
      <c r="H112" s="55" t="e">
        <f>tbl_Level[[#This Row],[Qty Complete]]/tbl_Level[[#This Row],[Qty Required]]</f>
        <v>#DIV/0!</v>
      </c>
      <c r="K112" s="57" t="str">
        <f>IFERROR(tbl_Level[[#This Row],[Qty Required]]/tbl_Level[[#This Row],[PPH]]*tbl_Level[[#This Row],['# of men]],"")</f>
        <v/>
      </c>
      <c r="L112" s="58" t="e">
        <f>tbl_Level[[#This Row],[Total hours]]*tbl_Level[[#This Row],[% Complete]]</f>
        <v>#VALUE!</v>
      </c>
      <c r="M112" s="59" t="str">
        <f>IFERROR(tbl_Level[[#This Row],[Qty Complete]]/tbl_Level[[#This Row],[Total Hours Act]]*tbl_Level[[#This Row],['# of men Act]],"")</f>
        <v/>
      </c>
      <c r="O112"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12" s="71" t="str">
        <f>IFERROR((tbl_Level[[#This Row],[Adj. Total Hours]]+tbl_Level[[#This Row],[Est. Hours]])/(tbl_Level[[#This Row],[Total Hours Act]]+tbl_Level[[#This Row],[Act. Hours]]),"")</f>
        <v/>
      </c>
      <c r="S112" s="63"/>
      <c r="T112" s="63"/>
      <c r="U112" s="63"/>
      <c r="V112" s="63"/>
      <c r="W112" s="63"/>
    </row>
    <row r="113" spans="6:23" ht="25" customHeight="1">
      <c r="F113" s="53"/>
      <c r="H113" s="55" t="e">
        <f>tbl_Level[[#This Row],[Qty Complete]]/tbl_Level[[#This Row],[Qty Required]]</f>
        <v>#DIV/0!</v>
      </c>
      <c r="K113" s="57" t="str">
        <f>IFERROR(tbl_Level[[#This Row],[Qty Required]]/tbl_Level[[#This Row],[PPH]]*tbl_Level[[#This Row],['# of men]],"")</f>
        <v/>
      </c>
      <c r="L113" s="58" t="e">
        <f>tbl_Level[[#This Row],[Total hours]]*tbl_Level[[#This Row],[% Complete]]</f>
        <v>#VALUE!</v>
      </c>
      <c r="M113" s="59" t="str">
        <f>IFERROR(tbl_Level[[#This Row],[Qty Complete]]/tbl_Level[[#This Row],[Total Hours Act]]*tbl_Level[[#This Row],['# of men Act]],"")</f>
        <v/>
      </c>
      <c r="O113"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13" s="71" t="str">
        <f>IFERROR((tbl_Level[[#This Row],[Adj. Total Hours]]+tbl_Level[[#This Row],[Est. Hours]])/(tbl_Level[[#This Row],[Total Hours Act]]+tbl_Level[[#This Row],[Act. Hours]]),"")</f>
        <v/>
      </c>
      <c r="S113" s="63"/>
      <c r="T113" s="63"/>
      <c r="U113" s="63"/>
      <c r="V113" s="63"/>
      <c r="W113" s="63"/>
    </row>
    <row r="114" spans="6:23" ht="25" customHeight="1">
      <c r="F114" s="53"/>
      <c r="H114" s="55" t="e">
        <f>tbl_Level[[#This Row],[Qty Complete]]/tbl_Level[[#This Row],[Qty Required]]</f>
        <v>#DIV/0!</v>
      </c>
      <c r="K114" s="57" t="str">
        <f>IFERROR(tbl_Level[[#This Row],[Qty Required]]/tbl_Level[[#This Row],[PPH]]*tbl_Level[[#This Row],['# of men]],"")</f>
        <v/>
      </c>
      <c r="L114" s="58" t="e">
        <f>tbl_Level[[#This Row],[Total hours]]*tbl_Level[[#This Row],[% Complete]]</f>
        <v>#VALUE!</v>
      </c>
      <c r="M114" s="59" t="str">
        <f>IFERROR(tbl_Level[[#This Row],[Qty Complete]]/tbl_Level[[#This Row],[Total Hours Act]]*tbl_Level[[#This Row],['# of men Act]],"")</f>
        <v/>
      </c>
      <c r="O114"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14" s="71" t="str">
        <f>IFERROR((tbl_Level[[#This Row],[Adj. Total Hours]]+tbl_Level[[#This Row],[Est. Hours]])/(tbl_Level[[#This Row],[Total Hours Act]]+tbl_Level[[#This Row],[Act. Hours]]),"")</f>
        <v/>
      </c>
      <c r="S114" s="63"/>
      <c r="T114" s="63"/>
      <c r="U114" s="63"/>
      <c r="V114" s="63"/>
      <c r="W114" s="63"/>
    </row>
    <row r="115" spans="6:23" ht="25" customHeight="1">
      <c r="F115" s="53"/>
      <c r="H115" s="55" t="e">
        <f>tbl_Level[[#This Row],[Qty Complete]]/tbl_Level[[#This Row],[Qty Required]]</f>
        <v>#DIV/0!</v>
      </c>
      <c r="K115" s="57" t="str">
        <f>IFERROR(tbl_Level[[#This Row],[Qty Required]]/tbl_Level[[#This Row],[PPH]]*tbl_Level[[#This Row],['# of men]],"")</f>
        <v/>
      </c>
      <c r="L115" s="58" t="e">
        <f>tbl_Level[[#This Row],[Total hours]]*tbl_Level[[#This Row],[% Complete]]</f>
        <v>#VALUE!</v>
      </c>
      <c r="M115" s="59" t="str">
        <f>IFERROR(tbl_Level[[#This Row],[Qty Complete]]/tbl_Level[[#This Row],[Total Hours Act]]*tbl_Level[[#This Row],['# of men Act]],"")</f>
        <v/>
      </c>
      <c r="O115"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15" s="71" t="str">
        <f>IFERROR((tbl_Level[[#This Row],[Adj. Total Hours]]+tbl_Level[[#This Row],[Est. Hours]])/(tbl_Level[[#This Row],[Total Hours Act]]+tbl_Level[[#This Row],[Act. Hours]]),"")</f>
        <v/>
      </c>
      <c r="S115" s="63"/>
      <c r="T115" s="63"/>
      <c r="U115" s="63"/>
      <c r="V115" s="63"/>
      <c r="W115" s="63"/>
    </row>
    <row r="116" spans="6:23" ht="25" customHeight="1">
      <c r="F116" s="53"/>
      <c r="H116" s="55" t="e">
        <f>tbl_Level[[#This Row],[Qty Complete]]/tbl_Level[[#This Row],[Qty Required]]</f>
        <v>#DIV/0!</v>
      </c>
      <c r="K116" s="57" t="str">
        <f>IFERROR(tbl_Level[[#This Row],[Qty Required]]/tbl_Level[[#This Row],[PPH]]*tbl_Level[[#This Row],['# of men]],"")</f>
        <v/>
      </c>
      <c r="L116" s="58" t="e">
        <f>tbl_Level[[#This Row],[Total hours]]*tbl_Level[[#This Row],[% Complete]]</f>
        <v>#VALUE!</v>
      </c>
      <c r="M116" s="59" t="str">
        <f>IFERROR(tbl_Level[[#This Row],[Qty Complete]]/tbl_Level[[#This Row],[Total Hours Act]]*tbl_Level[[#This Row],['# of men Act]],"")</f>
        <v/>
      </c>
      <c r="O116"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16" s="71" t="str">
        <f>IFERROR((tbl_Level[[#This Row],[Adj. Total Hours]]+tbl_Level[[#This Row],[Est. Hours]])/(tbl_Level[[#This Row],[Total Hours Act]]+tbl_Level[[#This Row],[Act. Hours]]),"")</f>
        <v/>
      </c>
      <c r="S116" s="63"/>
      <c r="T116" s="63"/>
      <c r="U116" s="63"/>
      <c r="V116" s="63"/>
      <c r="W116" s="63"/>
    </row>
    <row r="117" spans="6:23" ht="25" customHeight="1">
      <c r="F117" s="53"/>
      <c r="H117" s="55" t="e">
        <f>tbl_Level[[#This Row],[Qty Complete]]/tbl_Level[[#This Row],[Qty Required]]</f>
        <v>#DIV/0!</v>
      </c>
      <c r="K117" s="57" t="str">
        <f>IFERROR(tbl_Level[[#This Row],[Qty Required]]/tbl_Level[[#This Row],[PPH]]*tbl_Level[[#This Row],['# of men]],"")</f>
        <v/>
      </c>
      <c r="L117" s="58" t="e">
        <f>tbl_Level[[#This Row],[Total hours]]*tbl_Level[[#This Row],[% Complete]]</f>
        <v>#VALUE!</v>
      </c>
      <c r="M117" s="59" t="str">
        <f>IFERROR(tbl_Level[[#This Row],[Qty Complete]]/tbl_Level[[#This Row],[Total Hours Act]]*tbl_Level[[#This Row],['# of men Act]],"")</f>
        <v/>
      </c>
      <c r="O117"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17" s="71" t="str">
        <f>IFERROR((tbl_Level[[#This Row],[Adj. Total Hours]]+tbl_Level[[#This Row],[Est. Hours]])/(tbl_Level[[#This Row],[Total Hours Act]]+tbl_Level[[#This Row],[Act. Hours]]),"")</f>
        <v/>
      </c>
      <c r="S117" s="63"/>
      <c r="T117" s="63"/>
      <c r="U117" s="63"/>
      <c r="V117" s="63"/>
      <c r="W117" s="63"/>
    </row>
    <row r="118" spans="6:23" ht="25" customHeight="1">
      <c r="F118" s="53"/>
      <c r="H118" s="55" t="e">
        <f>tbl_Level[[#This Row],[Qty Complete]]/tbl_Level[[#This Row],[Qty Required]]</f>
        <v>#DIV/0!</v>
      </c>
      <c r="K118" s="57" t="str">
        <f>IFERROR(tbl_Level[[#This Row],[Qty Required]]/tbl_Level[[#This Row],[PPH]]*tbl_Level[[#This Row],['# of men]],"")</f>
        <v/>
      </c>
      <c r="L118" s="58" t="e">
        <f>tbl_Level[[#This Row],[Total hours]]*tbl_Level[[#This Row],[% Complete]]</f>
        <v>#VALUE!</v>
      </c>
      <c r="M118" s="59" t="str">
        <f>IFERROR(tbl_Level[[#This Row],[Qty Complete]]/tbl_Level[[#This Row],[Total Hours Act]]*tbl_Level[[#This Row],['# of men Act]],"")</f>
        <v/>
      </c>
      <c r="O118"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18" s="71" t="str">
        <f>IFERROR((tbl_Level[[#This Row],[Adj. Total Hours]]+tbl_Level[[#This Row],[Est. Hours]])/(tbl_Level[[#This Row],[Total Hours Act]]+tbl_Level[[#This Row],[Act. Hours]]),"")</f>
        <v/>
      </c>
      <c r="S118" s="63"/>
      <c r="T118" s="63"/>
      <c r="U118" s="63"/>
      <c r="V118" s="63"/>
      <c r="W118" s="63"/>
    </row>
    <row r="119" spans="6:23" ht="25" customHeight="1">
      <c r="F119" s="53"/>
      <c r="H119" s="55" t="e">
        <f>tbl_Level[[#This Row],[Qty Complete]]/tbl_Level[[#This Row],[Qty Required]]</f>
        <v>#DIV/0!</v>
      </c>
      <c r="K119" s="57" t="str">
        <f>IFERROR(tbl_Level[[#This Row],[Qty Required]]/tbl_Level[[#This Row],[PPH]]*tbl_Level[[#This Row],['# of men]],"")</f>
        <v/>
      </c>
      <c r="L119" s="58" t="e">
        <f>tbl_Level[[#This Row],[Total hours]]*tbl_Level[[#This Row],[% Complete]]</f>
        <v>#VALUE!</v>
      </c>
      <c r="M119" s="59" t="str">
        <f>IFERROR(tbl_Level[[#This Row],[Qty Complete]]/tbl_Level[[#This Row],[Total Hours Act]]*tbl_Level[[#This Row],['# of men Act]],"")</f>
        <v/>
      </c>
      <c r="O119"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19" s="71" t="str">
        <f>IFERROR((tbl_Level[[#This Row],[Adj. Total Hours]]+tbl_Level[[#This Row],[Est. Hours]])/(tbl_Level[[#This Row],[Total Hours Act]]+tbl_Level[[#This Row],[Act. Hours]]),"")</f>
        <v/>
      </c>
      <c r="S119" s="63"/>
      <c r="T119" s="63"/>
      <c r="U119" s="63"/>
      <c r="V119" s="63"/>
      <c r="W119" s="63"/>
    </row>
    <row r="120" spans="6:23" ht="25" customHeight="1">
      <c r="F120" s="53"/>
      <c r="H120" s="55" t="e">
        <f>tbl_Level[[#This Row],[Qty Complete]]/tbl_Level[[#This Row],[Qty Required]]</f>
        <v>#DIV/0!</v>
      </c>
      <c r="K120" s="57" t="str">
        <f>IFERROR(tbl_Level[[#This Row],[Qty Required]]/tbl_Level[[#This Row],[PPH]]*tbl_Level[[#This Row],['# of men]],"")</f>
        <v/>
      </c>
      <c r="L120" s="58" t="e">
        <f>tbl_Level[[#This Row],[Total hours]]*tbl_Level[[#This Row],[% Complete]]</f>
        <v>#VALUE!</v>
      </c>
      <c r="M120" s="59" t="str">
        <f>IFERROR(tbl_Level[[#This Row],[Qty Complete]]/tbl_Level[[#This Row],[Total Hours Act]]*tbl_Level[[#This Row],['# of men Act]],"")</f>
        <v/>
      </c>
      <c r="O120"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20" s="71" t="str">
        <f>IFERROR((tbl_Level[[#This Row],[Adj. Total Hours]]+tbl_Level[[#This Row],[Est. Hours]])/(tbl_Level[[#This Row],[Total Hours Act]]+tbl_Level[[#This Row],[Act. Hours]]),"")</f>
        <v/>
      </c>
      <c r="S120" s="63"/>
      <c r="T120" s="63"/>
      <c r="U120" s="63"/>
      <c r="V120" s="63"/>
      <c r="W120" s="63"/>
    </row>
    <row r="121" spans="6:23" ht="25" customHeight="1">
      <c r="F121" s="53"/>
      <c r="H121" s="55" t="e">
        <f>tbl_Level[[#This Row],[Qty Complete]]/tbl_Level[[#This Row],[Qty Required]]</f>
        <v>#DIV/0!</v>
      </c>
      <c r="K121" s="57" t="str">
        <f>IFERROR(tbl_Level[[#This Row],[Qty Required]]/tbl_Level[[#This Row],[PPH]]*tbl_Level[[#This Row],['# of men]],"")</f>
        <v/>
      </c>
      <c r="L121" s="58" t="e">
        <f>tbl_Level[[#This Row],[Total hours]]*tbl_Level[[#This Row],[% Complete]]</f>
        <v>#VALUE!</v>
      </c>
      <c r="M121" s="59" t="str">
        <f>IFERROR(tbl_Level[[#This Row],[Qty Complete]]/tbl_Level[[#This Row],[Total Hours Act]]*tbl_Level[[#This Row],['# of men Act]],"")</f>
        <v/>
      </c>
      <c r="O121"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21" s="71" t="str">
        <f>IFERROR((tbl_Level[[#This Row],[Adj. Total Hours]]+tbl_Level[[#This Row],[Est. Hours]])/(tbl_Level[[#This Row],[Total Hours Act]]+tbl_Level[[#This Row],[Act. Hours]]),"")</f>
        <v/>
      </c>
      <c r="S121" s="63"/>
      <c r="T121" s="63"/>
      <c r="U121" s="63"/>
      <c r="V121" s="63"/>
      <c r="W121" s="63"/>
    </row>
    <row r="122" spans="6:23" ht="25" customHeight="1">
      <c r="F122" s="53"/>
      <c r="H122" s="55" t="e">
        <f>tbl_Level[[#This Row],[Qty Complete]]/tbl_Level[[#This Row],[Qty Required]]</f>
        <v>#DIV/0!</v>
      </c>
      <c r="K122" s="57" t="str">
        <f>IFERROR(tbl_Level[[#This Row],[Qty Required]]/tbl_Level[[#This Row],[PPH]]*tbl_Level[[#This Row],['# of men]],"")</f>
        <v/>
      </c>
      <c r="L122" s="58" t="e">
        <f>tbl_Level[[#This Row],[Total hours]]*tbl_Level[[#This Row],[% Complete]]</f>
        <v>#VALUE!</v>
      </c>
      <c r="M122" s="59" t="str">
        <f>IFERROR(tbl_Level[[#This Row],[Qty Complete]]/tbl_Level[[#This Row],[Total Hours Act]]*tbl_Level[[#This Row],['# of men Act]],"")</f>
        <v/>
      </c>
      <c r="O122"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22" s="71" t="str">
        <f>IFERROR((tbl_Level[[#This Row],[Adj. Total Hours]]+tbl_Level[[#This Row],[Est. Hours]])/(tbl_Level[[#This Row],[Total Hours Act]]+tbl_Level[[#This Row],[Act. Hours]]),"")</f>
        <v/>
      </c>
      <c r="S122" s="63"/>
      <c r="T122" s="63"/>
      <c r="U122" s="63"/>
      <c r="V122" s="63"/>
      <c r="W122" s="63"/>
    </row>
    <row r="123" spans="6:23" ht="25" customHeight="1">
      <c r="F123" s="53"/>
      <c r="H123" s="55" t="e">
        <f>tbl_Level[[#This Row],[Qty Complete]]/tbl_Level[[#This Row],[Qty Required]]</f>
        <v>#DIV/0!</v>
      </c>
      <c r="K123" s="57" t="str">
        <f>IFERROR(tbl_Level[[#This Row],[Qty Required]]/tbl_Level[[#This Row],[PPH]]*tbl_Level[[#This Row],['# of men]],"")</f>
        <v/>
      </c>
      <c r="L123" s="58" t="e">
        <f>tbl_Level[[#This Row],[Total hours]]*tbl_Level[[#This Row],[% Complete]]</f>
        <v>#VALUE!</v>
      </c>
      <c r="M123" s="59" t="str">
        <f>IFERROR(tbl_Level[[#This Row],[Qty Complete]]/tbl_Level[[#This Row],[Total Hours Act]]*tbl_Level[[#This Row],['# of men Act]],"")</f>
        <v/>
      </c>
      <c r="O123"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23" s="71" t="str">
        <f>IFERROR((tbl_Level[[#This Row],[Adj. Total Hours]]+tbl_Level[[#This Row],[Est. Hours]])/(tbl_Level[[#This Row],[Total Hours Act]]+tbl_Level[[#This Row],[Act. Hours]]),"")</f>
        <v/>
      </c>
      <c r="S123" s="63"/>
      <c r="T123" s="63"/>
      <c r="U123" s="63"/>
      <c r="V123" s="63"/>
      <c r="W123" s="63"/>
    </row>
    <row r="124" spans="6:23" ht="25" customHeight="1">
      <c r="F124" s="53"/>
      <c r="H124" s="55" t="e">
        <f>tbl_Level[[#This Row],[Qty Complete]]/tbl_Level[[#This Row],[Qty Required]]</f>
        <v>#DIV/0!</v>
      </c>
      <c r="K124" s="57" t="str">
        <f>IFERROR(tbl_Level[[#This Row],[Qty Required]]/tbl_Level[[#This Row],[PPH]]*tbl_Level[[#This Row],['# of men]],"")</f>
        <v/>
      </c>
      <c r="L124" s="58" t="e">
        <f>tbl_Level[[#This Row],[Total hours]]*tbl_Level[[#This Row],[% Complete]]</f>
        <v>#VALUE!</v>
      </c>
      <c r="M124" s="59" t="str">
        <f>IFERROR(tbl_Level[[#This Row],[Qty Complete]]/tbl_Level[[#This Row],[Total Hours Act]]*tbl_Level[[#This Row],['# of men Act]],"")</f>
        <v/>
      </c>
      <c r="O124"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24" s="71" t="str">
        <f>IFERROR((tbl_Level[[#This Row],[Adj. Total Hours]]+tbl_Level[[#This Row],[Est. Hours]])/(tbl_Level[[#This Row],[Total Hours Act]]+tbl_Level[[#This Row],[Act. Hours]]),"")</f>
        <v/>
      </c>
      <c r="S124" s="63"/>
      <c r="T124" s="63"/>
      <c r="U124" s="63"/>
      <c r="V124" s="63"/>
      <c r="W124" s="63"/>
    </row>
    <row r="125" spans="6:23" ht="25" customHeight="1">
      <c r="F125" s="53"/>
      <c r="H125" s="55" t="e">
        <f>tbl_Level[[#This Row],[Qty Complete]]/tbl_Level[[#This Row],[Qty Required]]</f>
        <v>#DIV/0!</v>
      </c>
      <c r="K125" s="57" t="str">
        <f>IFERROR(tbl_Level[[#This Row],[Qty Required]]/tbl_Level[[#This Row],[PPH]]*tbl_Level[[#This Row],['# of men]],"")</f>
        <v/>
      </c>
      <c r="L125" s="58" t="e">
        <f>tbl_Level[[#This Row],[Total hours]]*tbl_Level[[#This Row],[% Complete]]</f>
        <v>#VALUE!</v>
      </c>
      <c r="M125" s="59" t="str">
        <f>IFERROR(tbl_Level[[#This Row],[Qty Complete]]/tbl_Level[[#This Row],[Total Hours Act]]*tbl_Level[[#This Row],['# of men Act]],"")</f>
        <v/>
      </c>
      <c r="O125"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25" s="71" t="str">
        <f>IFERROR((tbl_Level[[#This Row],[Adj. Total Hours]]+tbl_Level[[#This Row],[Est. Hours]])/(tbl_Level[[#This Row],[Total Hours Act]]+tbl_Level[[#This Row],[Act. Hours]]),"")</f>
        <v/>
      </c>
      <c r="S125" s="63"/>
      <c r="T125" s="63"/>
      <c r="U125" s="63"/>
      <c r="V125" s="63"/>
      <c r="W125" s="63"/>
    </row>
    <row r="126" spans="6:23" ht="25" customHeight="1">
      <c r="F126" s="53"/>
      <c r="H126" s="55" t="e">
        <f>tbl_Level[[#This Row],[Qty Complete]]/tbl_Level[[#This Row],[Qty Required]]</f>
        <v>#DIV/0!</v>
      </c>
      <c r="K126" s="57" t="str">
        <f>IFERROR(tbl_Level[[#This Row],[Qty Required]]/tbl_Level[[#This Row],[PPH]]*tbl_Level[[#This Row],['# of men]],"")</f>
        <v/>
      </c>
      <c r="L126" s="58" t="e">
        <f>tbl_Level[[#This Row],[Total hours]]*tbl_Level[[#This Row],[% Complete]]</f>
        <v>#VALUE!</v>
      </c>
      <c r="M126" s="59" t="str">
        <f>IFERROR(tbl_Level[[#This Row],[Qty Complete]]/tbl_Level[[#This Row],[Total Hours Act]]*tbl_Level[[#This Row],['# of men Act]],"")</f>
        <v/>
      </c>
      <c r="O126"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26" s="71" t="str">
        <f>IFERROR((tbl_Level[[#This Row],[Adj. Total Hours]]+tbl_Level[[#This Row],[Est. Hours]])/(tbl_Level[[#This Row],[Total Hours Act]]+tbl_Level[[#This Row],[Act. Hours]]),"")</f>
        <v/>
      </c>
      <c r="S126" s="63"/>
      <c r="T126" s="63"/>
      <c r="U126" s="63"/>
      <c r="V126" s="63"/>
      <c r="W126" s="63"/>
    </row>
    <row r="127" spans="6:23" ht="25" customHeight="1">
      <c r="F127" s="53"/>
      <c r="H127" s="55" t="e">
        <f>tbl_Level[[#This Row],[Qty Complete]]/tbl_Level[[#This Row],[Qty Required]]</f>
        <v>#DIV/0!</v>
      </c>
      <c r="K127" s="57" t="str">
        <f>IFERROR(tbl_Level[[#This Row],[Qty Required]]/tbl_Level[[#This Row],[PPH]]*tbl_Level[[#This Row],['# of men]],"")</f>
        <v/>
      </c>
      <c r="L127" s="58" t="e">
        <f>tbl_Level[[#This Row],[Total hours]]*tbl_Level[[#This Row],[% Complete]]</f>
        <v>#VALUE!</v>
      </c>
      <c r="M127" s="59" t="str">
        <f>IFERROR(tbl_Level[[#This Row],[Qty Complete]]/tbl_Level[[#This Row],[Total Hours Act]]*tbl_Level[[#This Row],['# of men Act]],"")</f>
        <v/>
      </c>
      <c r="O127"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27" s="71" t="str">
        <f>IFERROR((tbl_Level[[#This Row],[Adj. Total Hours]]+tbl_Level[[#This Row],[Est. Hours]])/(tbl_Level[[#This Row],[Total Hours Act]]+tbl_Level[[#This Row],[Act. Hours]]),"")</f>
        <v/>
      </c>
      <c r="S127" s="63"/>
      <c r="T127" s="63"/>
      <c r="U127" s="63"/>
      <c r="V127" s="63"/>
      <c r="W127" s="63"/>
    </row>
    <row r="128" spans="6:23" ht="25" customHeight="1">
      <c r="F128" s="53"/>
      <c r="H128" s="55" t="e">
        <f>tbl_Level[[#This Row],[Qty Complete]]/tbl_Level[[#This Row],[Qty Required]]</f>
        <v>#DIV/0!</v>
      </c>
      <c r="K128" s="57" t="str">
        <f>IFERROR(tbl_Level[[#This Row],[Qty Required]]/tbl_Level[[#This Row],[PPH]]*tbl_Level[[#This Row],['# of men]],"")</f>
        <v/>
      </c>
      <c r="L128" s="58" t="e">
        <f>tbl_Level[[#This Row],[Total hours]]*tbl_Level[[#This Row],[% Complete]]</f>
        <v>#VALUE!</v>
      </c>
      <c r="M128" s="59" t="str">
        <f>IFERROR(tbl_Level[[#This Row],[Qty Complete]]/tbl_Level[[#This Row],[Total Hours Act]]*tbl_Level[[#This Row],['# of men Act]],"")</f>
        <v/>
      </c>
      <c r="O128"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28" s="71" t="str">
        <f>IFERROR((tbl_Level[[#This Row],[Adj. Total Hours]]+tbl_Level[[#This Row],[Est. Hours]])/(tbl_Level[[#This Row],[Total Hours Act]]+tbl_Level[[#This Row],[Act. Hours]]),"")</f>
        <v/>
      </c>
      <c r="S128" s="63"/>
      <c r="T128" s="63"/>
      <c r="U128" s="63"/>
      <c r="V128" s="63"/>
      <c r="W128" s="63"/>
    </row>
    <row r="129" spans="6:23" ht="25" customHeight="1">
      <c r="F129" s="53"/>
      <c r="H129" s="55" t="e">
        <f>tbl_Level[[#This Row],[Qty Complete]]/tbl_Level[[#This Row],[Qty Required]]</f>
        <v>#DIV/0!</v>
      </c>
      <c r="K129" s="57" t="str">
        <f>IFERROR(tbl_Level[[#This Row],[Qty Required]]/tbl_Level[[#This Row],[PPH]]*tbl_Level[[#This Row],['# of men]],"")</f>
        <v/>
      </c>
      <c r="L129" s="58" t="e">
        <f>tbl_Level[[#This Row],[Total hours]]*tbl_Level[[#This Row],[% Complete]]</f>
        <v>#VALUE!</v>
      </c>
      <c r="M129" s="59" t="str">
        <f>IFERROR(tbl_Level[[#This Row],[Qty Complete]]/tbl_Level[[#This Row],[Total Hours Act]]*tbl_Level[[#This Row],['# of men Act]],"")</f>
        <v/>
      </c>
      <c r="O129"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29" s="71" t="str">
        <f>IFERROR((tbl_Level[[#This Row],[Adj. Total Hours]]+tbl_Level[[#This Row],[Est. Hours]])/(tbl_Level[[#This Row],[Total Hours Act]]+tbl_Level[[#This Row],[Act. Hours]]),"")</f>
        <v/>
      </c>
      <c r="S129" s="63"/>
      <c r="T129" s="63"/>
      <c r="U129" s="63"/>
      <c r="V129" s="63"/>
      <c r="W129" s="63"/>
    </row>
    <row r="130" spans="6:23" ht="25" customHeight="1">
      <c r="F130" s="53"/>
      <c r="H130" s="55" t="e">
        <f>tbl_Level[[#This Row],[Qty Complete]]/tbl_Level[[#This Row],[Qty Required]]</f>
        <v>#DIV/0!</v>
      </c>
      <c r="K130" s="57" t="str">
        <f>IFERROR(tbl_Level[[#This Row],[Qty Required]]/tbl_Level[[#This Row],[PPH]]*tbl_Level[[#This Row],['# of men]],"")</f>
        <v/>
      </c>
      <c r="L130" s="58" t="e">
        <f>tbl_Level[[#This Row],[Total hours]]*tbl_Level[[#This Row],[% Complete]]</f>
        <v>#VALUE!</v>
      </c>
      <c r="M130" s="59" t="str">
        <f>IFERROR(tbl_Level[[#This Row],[Qty Complete]]/tbl_Level[[#This Row],[Total Hours Act]]*tbl_Level[[#This Row],['# of men Act]],"")</f>
        <v/>
      </c>
      <c r="O130"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30" s="71" t="str">
        <f>IFERROR((tbl_Level[[#This Row],[Adj. Total Hours]]+tbl_Level[[#This Row],[Est. Hours]])/(tbl_Level[[#This Row],[Total Hours Act]]+tbl_Level[[#This Row],[Act. Hours]]),"")</f>
        <v/>
      </c>
      <c r="S130" s="63"/>
      <c r="T130" s="63"/>
      <c r="U130" s="63"/>
      <c r="V130" s="63"/>
      <c r="W130" s="63"/>
    </row>
    <row r="131" spans="6:23" ht="25" customHeight="1">
      <c r="F131" s="53"/>
      <c r="H131" s="55" t="e">
        <f>tbl_Level[[#This Row],[Qty Complete]]/tbl_Level[[#This Row],[Qty Required]]</f>
        <v>#DIV/0!</v>
      </c>
      <c r="K131" s="57" t="str">
        <f>IFERROR(tbl_Level[[#This Row],[Qty Required]]/tbl_Level[[#This Row],[PPH]]*tbl_Level[[#This Row],['# of men]],"")</f>
        <v/>
      </c>
      <c r="L131" s="58" t="e">
        <f>tbl_Level[[#This Row],[Total hours]]*tbl_Level[[#This Row],[% Complete]]</f>
        <v>#VALUE!</v>
      </c>
      <c r="M131" s="59" t="str">
        <f>IFERROR(tbl_Level[[#This Row],[Qty Complete]]/tbl_Level[[#This Row],[Total Hours Act]]*tbl_Level[[#This Row],['# of men Act]],"")</f>
        <v/>
      </c>
      <c r="O131"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31" s="71" t="str">
        <f>IFERROR((tbl_Level[[#This Row],[Adj. Total Hours]]+tbl_Level[[#This Row],[Est. Hours]])/(tbl_Level[[#This Row],[Total Hours Act]]+tbl_Level[[#This Row],[Act. Hours]]),"")</f>
        <v/>
      </c>
      <c r="S131" s="63"/>
      <c r="T131" s="63"/>
      <c r="U131" s="63"/>
      <c r="V131" s="63"/>
      <c r="W131" s="63"/>
    </row>
    <row r="132" spans="6:23" ht="25" customHeight="1">
      <c r="F132" s="53"/>
      <c r="H132" s="55" t="e">
        <f>tbl_Level[[#This Row],[Qty Complete]]/tbl_Level[[#This Row],[Qty Required]]</f>
        <v>#DIV/0!</v>
      </c>
      <c r="K132" s="57" t="str">
        <f>IFERROR(tbl_Level[[#This Row],[Qty Required]]/tbl_Level[[#This Row],[PPH]]*tbl_Level[[#This Row],['# of men]],"")</f>
        <v/>
      </c>
      <c r="L132" s="58" t="e">
        <f>tbl_Level[[#This Row],[Total hours]]*tbl_Level[[#This Row],[% Complete]]</f>
        <v>#VALUE!</v>
      </c>
      <c r="M132" s="59" t="str">
        <f>IFERROR(tbl_Level[[#This Row],[Qty Complete]]/tbl_Level[[#This Row],[Total Hours Act]]*tbl_Level[[#This Row],['# of men Act]],"")</f>
        <v/>
      </c>
      <c r="O132"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32" s="71" t="str">
        <f>IFERROR((tbl_Level[[#This Row],[Adj. Total Hours]]+tbl_Level[[#This Row],[Est. Hours]])/(tbl_Level[[#This Row],[Total Hours Act]]+tbl_Level[[#This Row],[Act. Hours]]),"")</f>
        <v/>
      </c>
      <c r="S132" s="63"/>
      <c r="T132" s="63"/>
      <c r="U132" s="63"/>
      <c r="V132" s="63"/>
      <c r="W132" s="63"/>
    </row>
    <row r="133" spans="6:23" ht="25" customHeight="1">
      <c r="F133" s="53"/>
      <c r="H133" s="55" t="e">
        <f>tbl_Level[[#This Row],[Qty Complete]]/tbl_Level[[#This Row],[Qty Required]]</f>
        <v>#DIV/0!</v>
      </c>
      <c r="K133" s="57" t="str">
        <f>IFERROR(tbl_Level[[#This Row],[Qty Required]]/tbl_Level[[#This Row],[PPH]]*tbl_Level[[#This Row],['# of men]],"")</f>
        <v/>
      </c>
      <c r="L133" s="58" t="e">
        <f>tbl_Level[[#This Row],[Total hours]]*tbl_Level[[#This Row],[% Complete]]</f>
        <v>#VALUE!</v>
      </c>
      <c r="M133" s="59" t="str">
        <f>IFERROR(tbl_Level[[#This Row],[Qty Complete]]/tbl_Level[[#This Row],[Total Hours Act]]*tbl_Level[[#This Row],['# of men Act]],"")</f>
        <v/>
      </c>
      <c r="O133"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33" s="71" t="str">
        <f>IFERROR((tbl_Level[[#This Row],[Adj. Total Hours]]+tbl_Level[[#This Row],[Est. Hours]])/(tbl_Level[[#This Row],[Total Hours Act]]+tbl_Level[[#This Row],[Act. Hours]]),"")</f>
        <v/>
      </c>
      <c r="S133" s="63"/>
      <c r="T133" s="63"/>
      <c r="U133" s="63"/>
      <c r="V133" s="63"/>
      <c r="W133" s="63"/>
    </row>
    <row r="134" spans="6:23" ht="25" customHeight="1">
      <c r="F134" s="53"/>
      <c r="H134" s="55" t="e">
        <f>tbl_Level[[#This Row],[Qty Complete]]/tbl_Level[[#This Row],[Qty Required]]</f>
        <v>#DIV/0!</v>
      </c>
      <c r="K134" s="57" t="str">
        <f>IFERROR(tbl_Level[[#This Row],[Qty Required]]/tbl_Level[[#This Row],[PPH]]*tbl_Level[[#This Row],['# of men]],"")</f>
        <v/>
      </c>
      <c r="L134" s="58" t="e">
        <f>tbl_Level[[#This Row],[Total hours]]*tbl_Level[[#This Row],[% Complete]]</f>
        <v>#VALUE!</v>
      </c>
      <c r="M134" s="59" t="str">
        <f>IFERROR(tbl_Level[[#This Row],[Qty Complete]]/tbl_Level[[#This Row],[Total Hours Act]]*tbl_Level[[#This Row],['# of men Act]],"")</f>
        <v/>
      </c>
      <c r="O134"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34" s="71" t="str">
        <f>IFERROR((tbl_Level[[#This Row],[Adj. Total Hours]]+tbl_Level[[#This Row],[Est. Hours]])/(tbl_Level[[#This Row],[Total Hours Act]]+tbl_Level[[#This Row],[Act. Hours]]),"")</f>
        <v/>
      </c>
      <c r="S134" s="63"/>
      <c r="T134" s="63"/>
      <c r="U134" s="63"/>
      <c r="V134" s="63"/>
      <c r="W134" s="63"/>
    </row>
    <row r="135" spans="6:23" ht="25" customHeight="1">
      <c r="F135" s="53"/>
      <c r="H135" s="55" t="e">
        <f>tbl_Level[[#This Row],[Qty Complete]]/tbl_Level[[#This Row],[Qty Required]]</f>
        <v>#DIV/0!</v>
      </c>
      <c r="K135" s="57" t="str">
        <f>IFERROR(tbl_Level[[#This Row],[Qty Required]]/tbl_Level[[#This Row],[PPH]]*tbl_Level[[#This Row],['# of men]],"")</f>
        <v/>
      </c>
      <c r="L135" s="58" t="e">
        <f>tbl_Level[[#This Row],[Total hours]]*tbl_Level[[#This Row],[% Complete]]</f>
        <v>#VALUE!</v>
      </c>
      <c r="M135" s="59" t="str">
        <f>IFERROR(tbl_Level[[#This Row],[Qty Complete]]/tbl_Level[[#This Row],[Total Hours Act]]*tbl_Level[[#This Row],['# of men Act]],"")</f>
        <v/>
      </c>
      <c r="O135"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35" s="71" t="str">
        <f>IFERROR((tbl_Level[[#This Row],[Adj. Total Hours]]+tbl_Level[[#This Row],[Est. Hours]])/(tbl_Level[[#This Row],[Total Hours Act]]+tbl_Level[[#This Row],[Act. Hours]]),"")</f>
        <v/>
      </c>
      <c r="S135" s="63"/>
      <c r="T135" s="63"/>
      <c r="U135" s="63"/>
      <c r="V135" s="63"/>
      <c r="W135" s="63"/>
    </row>
    <row r="136" spans="6:23" ht="25" customHeight="1">
      <c r="F136" s="53"/>
      <c r="H136" s="55" t="e">
        <f>tbl_Level[[#This Row],[Qty Complete]]/tbl_Level[[#This Row],[Qty Required]]</f>
        <v>#DIV/0!</v>
      </c>
      <c r="K136" s="57" t="str">
        <f>IFERROR(tbl_Level[[#This Row],[Qty Required]]/tbl_Level[[#This Row],[PPH]]*tbl_Level[[#This Row],['# of men]],"")</f>
        <v/>
      </c>
      <c r="L136" s="58" t="e">
        <f>tbl_Level[[#This Row],[Total hours]]*tbl_Level[[#This Row],[% Complete]]</f>
        <v>#VALUE!</v>
      </c>
      <c r="M136" s="59" t="str">
        <f>IFERROR(tbl_Level[[#This Row],[Qty Complete]]/tbl_Level[[#This Row],[Total Hours Act]]*tbl_Level[[#This Row],['# of men Act]],"")</f>
        <v/>
      </c>
      <c r="O136"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36" s="71" t="str">
        <f>IFERROR((tbl_Level[[#This Row],[Adj. Total Hours]]+tbl_Level[[#This Row],[Est. Hours]])/(tbl_Level[[#This Row],[Total Hours Act]]+tbl_Level[[#This Row],[Act. Hours]]),"")</f>
        <v/>
      </c>
      <c r="S136" s="63"/>
      <c r="T136" s="63"/>
      <c r="U136" s="63"/>
      <c r="V136" s="63"/>
      <c r="W136" s="63"/>
    </row>
    <row r="137" spans="6:23" ht="25" customHeight="1">
      <c r="F137" s="53"/>
      <c r="H137" s="55" t="e">
        <f>tbl_Level[[#This Row],[Qty Complete]]/tbl_Level[[#This Row],[Qty Required]]</f>
        <v>#DIV/0!</v>
      </c>
      <c r="K137" s="57" t="str">
        <f>IFERROR(tbl_Level[[#This Row],[Qty Required]]/tbl_Level[[#This Row],[PPH]]*tbl_Level[[#This Row],['# of men]],"")</f>
        <v/>
      </c>
      <c r="L137" s="58" t="e">
        <f>tbl_Level[[#This Row],[Total hours]]*tbl_Level[[#This Row],[% Complete]]</f>
        <v>#VALUE!</v>
      </c>
      <c r="M137" s="59" t="str">
        <f>IFERROR(tbl_Level[[#This Row],[Qty Complete]]/tbl_Level[[#This Row],[Total Hours Act]]*tbl_Level[[#This Row],['# of men Act]],"")</f>
        <v/>
      </c>
      <c r="O137"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37" s="71" t="str">
        <f>IFERROR((tbl_Level[[#This Row],[Adj. Total Hours]]+tbl_Level[[#This Row],[Est. Hours]])/(tbl_Level[[#This Row],[Total Hours Act]]+tbl_Level[[#This Row],[Act. Hours]]),"")</f>
        <v/>
      </c>
      <c r="S137" s="63"/>
      <c r="T137" s="63"/>
      <c r="U137" s="63"/>
      <c r="V137" s="63"/>
      <c r="W137" s="63"/>
    </row>
    <row r="138" spans="6:23" ht="25" customHeight="1">
      <c r="F138" s="53"/>
      <c r="H138" s="55" t="e">
        <f>tbl_Level[[#This Row],[Qty Complete]]/tbl_Level[[#This Row],[Qty Required]]</f>
        <v>#DIV/0!</v>
      </c>
      <c r="K138" s="57" t="str">
        <f>IFERROR(tbl_Level[[#This Row],[Qty Required]]/tbl_Level[[#This Row],[PPH]]*tbl_Level[[#This Row],['# of men]],"")</f>
        <v/>
      </c>
      <c r="L138" s="58" t="e">
        <f>tbl_Level[[#This Row],[Total hours]]*tbl_Level[[#This Row],[% Complete]]</f>
        <v>#VALUE!</v>
      </c>
      <c r="M138" s="59" t="str">
        <f>IFERROR(tbl_Level[[#This Row],[Qty Complete]]/tbl_Level[[#This Row],[Total Hours Act]]*tbl_Level[[#This Row],['# of men Act]],"")</f>
        <v/>
      </c>
      <c r="O138"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38" s="71" t="str">
        <f>IFERROR((tbl_Level[[#This Row],[Adj. Total Hours]]+tbl_Level[[#This Row],[Est. Hours]])/(tbl_Level[[#This Row],[Total Hours Act]]+tbl_Level[[#This Row],[Act. Hours]]),"")</f>
        <v/>
      </c>
      <c r="S138" s="63"/>
      <c r="T138" s="63"/>
      <c r="U138" s="63"/>
      <c r="V138" s="63"/>
      <c r="W138" s="63"/>
    </row>
    <row r="139" spans="6:23" ht="25" customHeight="1">
      <c r="F139" s="53"/>
      <c r="H139" s="55" t="e">
        <f>tbl_Level[[#This Row],[Qty Complete]]/tbl_Level[[#This Row],[Qty Required]]</f>
        <v>#DIV/0!</v>
      </c>
      <c r="K139" s="57" t="str">
        <f>IFERROR(tbl_Level[[#This Row],[Qty Required]]/tbl_Level[[#This Row],[PPH]]*tbl_Level[[#This Row],['# of men]],"")</f>
        <v/>
      </c>
      <c r="L139" s="58" t="e">
        <f>tbl_Level[[#This Row],[Total hours]]*tbl_Level[[#This Row],[% Complete]]</f>
        <v>#VALUE!</v>
      </c>
      <c r="M139" s="59" t="str">
        <f>IFERROR(tbl_Level[[#This Row],[Qty Complete]]/tbl_Level[[#This Row],[Total Hours Act]]*tbl_Level[[#This Row],['# of men Act]],"")</f>
        <v/>
      </c>
      <c r="O139"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39" s="71" t="str">
        <f>IFERROR((tbl_Level[[#This Row],[Adj. Total Hours]]+tbl_Level[[#This Row],[Est. Hours]])/(tbl_Level[[#This Row],[Total Hours Act]]+tbl_Level[[#This Row],[Act. Hours]]),"")</f>
        <v/>
      </c>
      <c r="S139" s="63"/>
      <c r="T139" s="63"/>
      <c r="U139" s="63"/>
      <c r="V139" s="63"/>
      <c r="W139" s="63"/>
    </row>
    <row r="140" spans="6:23" ht="25" customHeight="1">
      <c r="F140" s="53"/>
      <c r="H140" s="55" t="e">
        <f>tbl_Level[[#This Row],[Qty Complete]]/tbl_Level[[#This Row],[Qty Required]]</f>
        <v>#DIV/0!</v>
      </c>
      <c r="K140" s="57" t="str">
        <f>IFERROR(tbl_Level[[#This Row],[Qty Required]]/tbl_Level[[#This Row],[PPH]]*tbl_Level[[#This Row],['# of men]],"")</f>
        <v/>
      </c>
      <c r="L140" s="58" t="e">
        <f>tbl_Level[[#This Row],[Total hours]]*tbl_Level[[#This Row],[% Complete]]</f>
        <v>#VALUE!</v>
      </c>
      <c r="M140" s="59" t="str">
        <f>IFERROR(tbl_Level[[#This Row],[Qty Complete]]/tbl_Level[[#This Row],[Total Hours Act]]*tbl_Level[[#This Row],['# of men Act]],"")</f>
        <v/>
      </c>
      <c r="O140"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40" s="71" t="str">
        <f>IFERROR((tbl_Level[[#This Row],[Adj. Total Hours]]+tbl_Level[[#This Row],[Est. Hours]])/(tbl_Level[[#This Row],[Total Hours Act]]+tbl_Level[[#This Row],[Act. Hours]]),"")</f>
        <v/>
      </c>
      <c r="S140" s="63"/>
      <c r="T140" s="63"/>
      <c r="U140" s="63"/>
      <c r="V140" s="63"/>
      <c r="W140" s="63"/>
    </row>
    <row r="141" spans="6:23" ht="25" customHeight="1">
      <c r="F141" s="53"/>
      <c r="H141" s="55" t="e">
        <f>tbl_Level[[#This Row],[Qty Complete]]/tbl_Level[[#This Row],[Qty Required]]</f>
        <v>#DIV/0!</v>
      </c>
      <c r="K141" s="57" t="str">
        <f>IFERROR(tbl_Level[[#This Row],[Qty Required]]/tbl_Level[[#This Row],[PPH]]*tbl_Level[[#This Row],['# of men]],"")</f>
        <v/>
      </c>
      <c r="L141" s="58" t="e">
        <f>tbl_Level[[#This Row],[Total hours]]*tbl_Level[[#This Row],[% Complete]]</f>
        <v>#VALUE!</v>
      </c>
      <c r="M141" s="59" t="str">
        <f>IFERROR(tbl_Level[[#This Row],[Qty Complete]]/tbl_Level[[#This Row],[Total Hours Act]]*tbl_Level[[#This Row],['# of men Act]],"")</f>
        <v/>
      </c>
      <c r="O141"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41" s="71" t="str">
        <f>IFERROR((tbl_Level[[#This Row],[Adj. Total Hours]]+tbl_Level[[#This Row],[Est. Hours]])/(tbl_Level[[#This Row],[Total Hours Act]]+tbl_Level[[#This Row],[Act. Hours]]),"")</f>
        <v/>
      </c>
      <c r="S141" s="63"/>
      <c r="T141" s="63"/>
      <c r="U141" s="63"/>
      <c r="V141" s="63"/>
      <c r="W141" s="63"/>
    </row>
    <row r="142" spans="6:23" ht="25" customHeight="1">
      <c r="F142" s="53"/>
      <c r="H142" s="55" t="e">
        <f>tbl_Level[[#This Row],[Qty Complete]]/tbl_Level[[#This Row],[Qty Required]]</f>
        <v>#DIV/0!</v>
      </c>
      <c r="K142" s="57" t="str">
        <f>IFERROR(tbl_Level[[#This Row],[Qty Required]]/tbl_Level[[#This Row],[PPH]]*tbl_Level[[#This Row],['# of men]],"")</f>
        <v/>
      </c>
      <c r="L142" s="58" t="e">
        <f>tbl_Level[[#This Row],[Total hours]]*tbl_Level[[#This Row],[% Complete]]</f>
        <v>#VALUE!</v>
      </c>
      <c r="M142" s="59" t="str">
        <f>IFERROR(tbl_Level[[#This Row],[Qty Complete]]/tbl_Level[[#This Row],[Total Hours Act]]*tbl_Level[[#This Row],['# of men Act]],"")</f>
        <v/>
      </c>
      <c r="O142"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42" s="71" t="str">
        <f>IFERROR((tbl_Level[[#This Row],[Adj. Total Hours]]+tbl_Level[[#This Row],[Est. Hours]])/(tbl_Level[[#This Row],[Total Hours Act]]+tbl_Level[[#This Row],[Act. Hours]]),"")</f>
        <v/>
      </c>
      <c r="S142" s="63"/>
      <c r="T142" s="63"/>
      <c r="U142" s="63"/>
      <c r="V142" s="63"/>
      <c r="W142" s="63"/>
    </row>
    <row r="143" spans="6:23" ht="25" customHeight="1">
      <c r="F143" s="53"/>
      <c r="H143" s="55" t="e">
        <f>tbl_Level[[#This Row],[Qty Complete]]/tbl_Level[[#This Row],[Qty Required]]</f>
        <v>#DIV/0!</v>
      </c>
      <c r="K143" s="57" t="str">
        <f>IFERROR(tbl_Level[[#This Row],[Qty Required]]/tbl_Level[[#This Row],[PPH]]*tbl_Level[[#This Row],['# of men]],"")</f>
        <v/>
      </c>
      <c r="L143" s="58" t="e">
        <f>tbl_Level[[#This Row],[Total hours]]*tbl_Level[[#This Row],[% Complete]]</f>
        <v>#VALUE!</v>
      </c>
      <c r="M143" s="59" t="str">
        <f>IFERROR(tbl_Level[[#This Row],[Qty Complete]]/tbl_Level[[#This Row],[Total Hours Act]]*tbl_Level[[#This Row],['# of men Act]],"")</f>
        <v/>
      </c>
      <c r="O143"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43" s="71" t="str">
        <f>IFERROR((tbl_Level[[#This Row],[Adj. Total Hours]]+tbl_Level[[#This Row],[Est. Hours]])/(tbl_Level[[#This Row],[Total Hours Act]]+tbl_Level[[#This Row],[Act. Hours]]),"")</f>
        <v/>
      </c>
      <c r="S143" s="63"/>
      <c r="T143" s="63"/>
      <c r="U143" s="63"/>
      <c r="V143" s="63"/>
      <c r="W143" s="63"/>
    </row>
    <row r="144" spans="6:23" ht="25" customHeight="1">
      <c r="F144" s="53"/>
      <c r="H144" s="55" t="e">
        <f>tbl_Level[[#This Row],[Qty Complete]]/tbl_Level[[#This Row],[Qty Required]]</f>
        <v>#DIV/0!</v>
      </c>
      <c r="K144" s="57" t="str">
        <f>IFERROR(tbl_Level[[#This Row],[Qty Required]]/tbl_Level[[#This Row],[PPH]]*tbl_Level[[#This Row],['# of men]],"")</f>
        <v/>
      </c>
      <c r="L144" s="58" t="e">
        <f>tbl_Level[[#This Row],[Total hours]]*tbl_Level[[#This Row],[% Complete]]</f>
        <v>#VALUE!</v>
      </c>
      <c r="M144" s="59" t="str">
        <f>IFERROR(tbl_Level[[#This Row],[Qty Complete]]/tbl_Level[[#This Row],[Total Hours Act]]*tbl_Level[[#This Row],['# of men Act]],"")</f>
        <v/>
      </c>
      <c r="O144"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44" s="71" t="str">
        <f>IFERROR((tbl_Level[[#This Row],[Adj. Total Hours]]+tbl_Level[[#This Row],[Est. Hours]])/(tbl_Level[[#This Row],[Total Hours Act]]+tbl_Level[[#This Row],[Act. Hours]]),"")</f>
        <v/>
      </c>
      <c r="S144" s="63"/>
      <c r="T144" s="63"/>
      <c r="U144" s="63"/>
      <c r="V144" s="63"/>
      <c r="W144" s="63"/>
    </row>
    <row r="145" spans="6:23" ht="25" customHeight="1">
      <c r="F145" s="53"/>
      <c r="H145" s="55" t="e">
        <f>tbl_Level[[#This Row],[Qty Complete]]/tbl_Level[[#This Row],[Qty Required]]</f>
        <v>#DIV/0!</v>
      </c>
      <c r="K145" s="57" t="str">
        <f>IFERROR(tbl_Level[[#This Row],[Qty Required]]/tbl_Level[[#This Row],[PPH]]*tbl_Level[[#This Row],['# of men]],"")</f>
        <v/>
      </c>
      <c r="L145" s="58" t="e">
        <f>tbl_Level[[#This Row],[Total hours]]*tbl_Level[[#This Row],[% Complete]]</f>
        <v>#VALUE!</v>
      </c>
      <c r="M145" s="59" t="str">
        <f>IFERROR(tbl_Level[[#This Row],[Qty Complete]]/tbl_Level[[#This Row],[Total Hours Act]]*tbl_Level[[#This Row],['# of men Act]],"")</f>
        <v/>
      </c>
      <c r="O145"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45" s="71" t="str">
        <f>IFERROR((tbl_Level[[#This Row],[Adj. Total Hours]]+tbl_Level[[#This Row],[Est. Hours]])/(tbl_Level[[#This Row],[Total Hours Act]]+tbl_Level[[#This Row],[Act. Hours]]),"")</f>
        <v/>
      </c>
      <c r="S145" s="63"/>
      <c r="T145" s="63"/>
      <c r="U145" s="63"/>
      <c r="V145" s="63"/>
      <c r="W145" s="63"/>
    </row>
    <row r="146" spans="6:23" ht="25" customHeight="1">
      <c r="F146" s="53"/>
      <c r="H146" s="55" t="e">
        <f>tbl_Level[[#This Row],[Qty Complete]]/tbl_Level[[#This Row],[Qty Required]]</f>
        <v>#DIV/0!</v>
      </c>
      <c r="K146" s="57" t="str">
        <f>IFERROR(tbl_Level[[#This Row],[Qty Required]]/tbl_Level[[#This Row],[PPH]]*tbl_Level[[#This Row],['# of men]],"")</f>
        <v/>
      </c>
      <c r="L146" s="58" t="e">
        <f>tbl_Level[[#This Row],[Total hours]]*tbl_Level[[#This Row],[% Complete]]</f>
        <v>#VALUE!</v>
      </c>
      <c r="M146" s="59" t="str">
        <f>IFERROR(tbl_Level[[#This Row],[Qty Complete]]/tbl_Level[[#This Row],[Total Hours Act]]*tbl_Level[[#This Row],['# of men Act]],"")</f>
        <v/>
      </c>
      <c r="O146"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46" s="71" t="str">
        <f>IFERROR((tbl_Level[[#This Row],[Adj. Total Hours]]+tbl_Level[[#This Row],[Est. Hours]])/(tbl_Level[[#This Row],[Total Hours Act]]+tbl_Level[[#This Row],[Act. Hours]]),"")</f>
        <v/>
      </c>
      <c r="S146" s="63"/>
      <c r="T146" s="63"/>
      <c r="U146" s="63"/>
      <c r="V146" s="63"/>
      <c r="W146" s="63"/>
    </row>
    <row r="147" spans="6:23" ht="25" customHeight="1">
      <c r="F147" s="53"/>
      <c r="H147" s="55" t="e">
        <f>tbl_Level[[#This Row],[Qty Complete]]/tbl_Level[[#This Row],[Qty Required]]</f>
        <v>#DIV/0!</v>
      </c>
      <c r="K147" s="57" t="str">
        <f>IFERROR(tbl_Level[[#This Row],[Qty Required]]/tbl_Level[[#This Row],[PPH]]*tbl_Level[[#This Row],['# of men]],"")</f>
        <v/>
      </c>
      <c r="L147" s="58" t="e">
        <f>tbl_Level[[#This Row],[Total hours]]*tbl_Level[[#This Row],[% Complete]]</f>
        <v>#VALUE!</v>
      </c>
      <c r="M147" s="59" t="str">
        <f>IFERROR(tbl_Level[[#This Row],[Qty Complete]]/tbl_Level[[#This Row],[Total Hours Act]]*tbl_Level[[#This Row],['# of men Act]],"")</f>
        <v/>
      </c>
      <c r="O147"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47" s="71" t="str">
        <f>IFERROR((tbl_Level[[#This Row],[Adj. Total Hours]]+tbl_Level[[#This Row],[Est. Hours]])/(tbl_Level[[#This Row],[Total Hours Act]]+tbl_Level[[#This Row],[Act. Hours]]),"")</f>
        <v/>
      </c>
      <c r="S147" s="63"/>
      <c r="T147" s="63"/>
      <c r="U147" s="63"/>
      <c r="V147" s="63"/>
      <c r="W147" s="63"/>
    </row>
    <row r="148" spans="6:23" ht="25" customHeight="1">
      <c r="F148" s="53"/>
      <c r="H148" s="55" t="e">
        <f>tbl_Level[[#This Row],[Qty Complete]]/tbl_Level[[#This Row],[Qty Required]]</f>
        <v>#DIV/0!</v>
      </c>
      <c r="K148" s="57" t="str">
        <f>IFERROR(tbl_Level[[#This Row],[Qty Required]]/tbl_Level[[#This Row],[PPH]]*tbl_Level[[#This Row],['# of men]],"")</f>
        <v/>
      </c>
      <c r="L148" s="58" t="e">
        <f>tbl_Level[[#This Row],[Total hours]]*tbl_Level[[#This Row],[% Complete]]</f>
        <v>#VALUE!</v>
      </c>
      <c r="M148" s="59" t="str">
        <f>IFERROR(tbl_Level[[#This Row],[Qty Complete]]/tbl_Level[[#This Row],[Total Hours Act]]*tbl_Level[[#This Row],['# of men Act]],"")</f>
        <v/>
      </c>
      <c r="O148"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48" s="71" t="str">
        <f>IFERROR((tbl_Level[[#This Row],[Adj. Total Hours]]+tbl_Level[[#This Row],[Est. Hours]])/(tbl_Level[[#This Row],[Total Hours Act]]+tbl_Level[[#This Row],[Act. Hours]]),"")</f>
        <v/>
      </c>
      <c r="S148" s="63"/>
      <c r="T148" s="63"/>
      <c r="U148" s="63"/>
      <c r="V148" s="63"/>
      <c r="W148" s="63"/>
    </row>
    <row r="149" spans="6:23" ht="25" customHeight="1">
      <c r="F149" s="53"/>
      <c r="H149" s="55" t="e">
        <f>tbl_Level[[#This Row],[Qty Complete]]/tbl_Level[[#This Row],[Qty Required]]</f>
        <v>#DIV/0!</v>
      </c>
      <c r="K149" s="57" t="str">
        <f>IFERROR(tbl_Level[[#This Row],[Qty Required]]/tbl_Level[[#This Row],[PPH]]*tbl_Level[[#This Row],['# of men]],"")</f>
        <v/>
      </c>
      <c r="L149" s="58" t="e">
        <f>tbl_Level[[#This Row],[Total hours]]*tbl_Level[[#This Row],[% Complete]]</f>
        <v>#VALUE!</v>
      </c>
      <c r="M149" s="59" t="str">
        <f>IFERROR(tbl_Level[[#This Row],[Qty Complete]]/tbl_Level[[#This Row],[Total Hours Act]]*tbl_Level[[#This Row],['# of men Act]],"")</f>
        <v/>
      </c>
      <c r="O149"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49" s="71" t="str">
        <f>IFERROR((tbl_Level[[#This Row],[Adj. Total Hours]]+tbl_Level[[#This Row],[Est. Hours]])/(tbl_Level[[#This Row],[Total Hours Act]]+tbl_Level[[#This Row],[Act. Hours]]),"")</f>
        <v/>
      </c>
      <c r="S149" s="63"/>
      <c r="T149" s="63"/>
      <c r="U149" s="63"/>
      <c r="V149" s="63"/>
      <c r="W149" s="63"/>
    </row>
    <row r="150" spans="6:23" ht="25" customHeight="1">
      <c r="F150" s="53"/>
      <c r="H150" s="55" t="e">
        <f>tbl_Level[[#This Row],[Qty Complete]]/tbl_Level[[#This Row],[Qty Required]]</f>
        <v>#DIV/0!</v>
      </c>
      <c r="K150" s="57" t="str">
        <f>IFERROR(tbl_Level[[#This Row],[Qty Required]]/tbl_Level[[#This Row],[PPH]]*tbl_Level[[#This Row],['# of men]],"")</f>
        <v/>
      </c>
      <c r="L150" s="58" t="e">
        <f>tbl_Level[[#This Row],[Total hours]]*tbl_Level[[#This Row],[% Complete]]</f>
        <v>#VALUE!</v>
      </c>
      <c r="M150" s="59" t="str">
        <f>IFERROR(tbl_Level[[#This Row],[Qty Complete]]/tbl_Level[[#This Row],[Total Hours Act]]*tbl_Level[[#This Row],['# of men Act]],"")</f>
        <v/>
      </c>
      <c r="O150"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50" s="71" t="str">
        <f>IFERROR((tbl_Level[[#This Row],[Adj. Total Hours]]+tbl_Level[[#This Row],[Est. Hours]])/(tbl_Level[[#This Row],[Total Hours Act]]+tbl_Level[[#This Row],[Act. Hours]]),"")</f>
        <v/>
      </c>
      <c r="S150" s="63"/>
      <c r="T150" s="63"/>
      <c r="U150" s="63"/>
      <c r="V150" s="63"/>
      <c r="W150" s="63"/>
    </row>
    <row r="151" spans="6:23" ht="25" customHeight="1">
      <c r="F151" s="53"/>
      <c r="H151" s="55" t="e">
        <f>tbl_Level[[#This Row],[Qty Complete]]/tbl_Level[[#This Row],[Qty Required]]</f>
        <v>#DIV/0!</v>
      </c>
      <c r="K151" s="57" t="str">
        <f>IFERROR(tbl_Level[[#This Row],[Qty Required]]/tbl_Level[[#This Row],[PPH]]*tbl_Level[[#This Row],['# of men]],"")</f>
        <v/>
      </c>
      <c r="L151" s="58" t="e">
        <f>tbl_Level[[#This Row],[Total hours]]*tbl_Level[[#This Row],[% Complete]]</f>
        <v>#VALUE!</v>
      </c>
      <c r="M151" s="59" t="str">
        <f>IFERROR(tbl_Level[[#This Row],[Qty Complete]]/tbl_Level[[#This Row],[Total Hours Act]]*tbl_Level[[#This Row],['# of men Act]],"")</f>
        <v/>
      </c>
      <c r="O151"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51" s="71" t="str">
        <f>IFERROR((tbl_Level[[#This Row],[Adj. Total Hours]]+tbl_Level[[#This Row],[Est. Hours]])/(tbl_Level[[#This Row],[Total Hours Act]]+tbl_Level[[#This Row],[Act. Hours]]),"")</f>
        <v/>
      </c>
      <c r="S151" s="63"/>
      <c r="T151" s="63"/>
      <c r="U151" s="63"/>
      <c r="V151" s="63"/>
      <c r="W151" s="63"/>
    </row>
    <row r="152" spans="6:23" ht="25" customHeight="1">
      <c r="F152" s="53"/>
      <c r="H152" s="55" t="e">
        <f>tbl_Level[[#This Row],[Qty Complete]]/tbl_Level[[#This Row],[Qty Required]]</f>
        <v>#DIV/0!</v>
      </c>
      <c r="K152" s="57" t="str">
        <f>IFERROR(tbl_Level[[#This Row],[Qty Required]]/tbl_Level[[#This Row],[PPH]]*tbl_Level[[#This Row],['# of men]],"")</f>
        <v/>
      </c>
      <c r="L152" s="58" t="e">
        <f>tbl_Level[[#This Row],[Total hours]]*tbl_Level[[#This Row],[% Complete]]</f>
        <v>#VALUE!</v>
      </c>
      <c r="M152" s="59" t="str">
        <f>IFERROR(tbl_Level[[#This Row],[Qty Complete]]/tbl_Level[[#This Row],[Total Hours Act]]*tbl_Level[[#This Row],['# of men Act]],"")</f>
        <v/>
      </c>
      <c r="O152"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52" s="71" t="str">
        <f>IFERROR((tbl_Level[[#This Row],[Adj. Total Hours]]+tbl_Level[[#This Row],[Est. Hours]])/(tbl_Level[[#This Row],[Total Hours Act]]+tbl_Level[[#This Row],[Act. Hours]]),"")</f>
        <v/>
      </c>
      <c r="S152" s="63"/>
      <c r="T152" s="63"/>
      <c r="U152" s="63"/>
      <c r="V152" s="63"/>
      <c r="W152" s="63"/>
    </row>
    <row r="153" spans="6:23" ht="25" customHeight="1">
      <c r="F153" s="53"/>
      <c r="H153" s="55" t="e">
        <f>tbl_Level[[#This Row],[Qty Complete]]/tbl_Level[[#This Row],[Qty Required]]</f>
        <v>#DIV/0!</v>
      </c>
      <c r="K153" s="57" t="str">
        <f>IFERROR(tbl_Level[[#This Row],[Qty Required]]/tbl_Level[[#This Row],[PPH]]*tbl_Level[[#This Row],['# of men]],"")</f>
        <v/>
      </c>
      <c r="L153" s="58" t="e">
        <f>tbl_Level[[#This Row],[Total hours]]*tbl_Level[[#This Row],[% Complete]]</f>
        <v>#VALUE!</v>
      </c>
      <c r="M153" s="59" t="str">
        <f>IFERROR(tbl_Level[[#This Row],[Qty Complete]]/tbl_Level[[#This Row],[Total Hours Act]]*tbl_Level[[#This Row],['# of men Act]],"")</f>
        <v/>
      </c>
      <c r="O153"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53" s="71" t="str">
        <f>IFERROR((tbl_Level[[#This Row],[Adj. Total Hours]]+tbl_Level[[#This Row],[Est. Hours]])/(tbl_Level[[#This Row],[Total Hours Act]]+tbl_Level[[#This Row],[Act. Hours]]),"")</f>
        <v/>
      </c>
      <c r="S153" s="63"/>
      <c r="T153" s="63"/>
      <c r="U153" s="63"/>
      <c r="V153" s="63"/>
      <c r="W153" s="63"/>
    </row>
    <row r="154" spans="6:23" ht="25" customHeight="1">
      <c r="F154" s="53"/>
      <c r="H154" s="55" t="e">
        <f>tbl_Level[[#This Row],[Qty Complete]]/tbl_Level[[#This Row],[Qty Required]]</f>
        <v>#DIV/0!</v>
      </c>
      <c r="K154" s="57" t="str">
        <f>IFERROR(tbl_Level[[#This Row],[Qty Required]]/tbl_Level[[#This Row],[PPH]]*tbl_Level[[#This Row],['# of men]],"")</f>
        <v/>
      </c>
      <c r="L154" s="58" t="e">
        <f>tbl_Level[[#This Row],[Total hours]]*tbl_Level[[#This Row],[% Complete]]</f>
        <v>#VALUE!</v>
      </c>
      <c r="M154" s="59" t="str">
        <f>IFERROR(tbl_Level[[#This Row],[Qty Complete]]/tbl_Level[[#This Row],[Total Hours Act]]*tbl_Level[[#This Row],['# of men Act]],"")</f>
        <v/>
      </c>
      <c r="O154"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54" s="71" t="str">
        <f>IFERROR((tbl_Level[[#This Row],[Adj. Total Hours]]+tbl_Level[[#This Row],[Est. Hours]])/(tbl_Level[[#This Row],[Total Hours Act]]+tbl_Level[[#This Row],[Act. Hours]]),"")</f>
        <v/>
      </c>
      <c r="S154" s="63"/>
      <c r="T154" s="63"/>
      <c r="U154" s="63"/>
      <c r="V154" s="63"/>
      <c r="W154" s="63"/>
    </row>
    <row r="155" spans="6:23" ht="25" customHeight="1">
      <c r="F155" s="53"/>
      <c r="H155" s="55" t="e">
        <f>tbl_Level[[#This Row],[Qty Complete]]/tbl_Level[[#This Row],[Qty Required]]</f>
        <v>#DIV/0!</v>
      </c>
      <c r="K155" s="57" t="str">
        <f>IFERROR(tbl_Level[[#This Row],[Qty Required]]/tbl_Level[[#This Row],[PPH]]*tbl_Level[[#This Row],['# of men]],"")</f>
        <v/>
      </c>
      <c r="L155" s="58" t="e">
        <f>tbl_Level[[#This Row],[Total hours]]*tbl_Level[[#This Row],[% Complete]]</f>
        <v>#VALUE!</v>
      </c>
      <c r="M155" s="59" t="str">
        <f>IFERROR(tbl_Level[[#This Row],[Qty Complete]]/tbl_Level[[#This Row],[Total Hours Act]]*tbl_Level[[#This Row],['# of men Act]],"")</f>
        <v/>
      </c>
      <c r="O155"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55" s="71" t="str">
        <f>IFERROR((tbl_Level[[#This Row],[Adj. Total Hours]]+tbl_Level[[#This Row],[Est. Hours]])/(tbl_Level[[#This Row],[Total Hours Act]]+tbl_Level[[#This Row],[Act. Hours]]),"")</f>
        <v/>
      </c>
      <c r="S155" s="63"/>
      <c r="T155" s="63"/>
      <c r="U155" s="63"/>
      <c r="V155" s="63"/>
      <c r="W155" s="63"/>
    </row>
    <row r="156" spans="6:23" ht="25" customHeight="1">
      <c r="F156" s="53"/>
      <c r="H156" s="55" t="e">
        <f>tbl_Level[[#This Row],[Qty Complete]]/tbl_Level[[#This Row],[Qty Required]]</f>
        <v>#DIV/0!</v>
      </c>
      <c r="K156" s="57" t="str">
        <f>IFERROR(tbl_Level[[#This Row],[Qty Required]]/tbl_Level[[#This Row],[PPH]]*tbl_Level[[#This Row],['# of men]],"")</f>
        <v/>
      </c>
      <c r="L156" s="58" t="e">
        <f>tbl_Level[[#This Row],[Total hours]]*tbl_Level[[#This Row],[% Complete]]</f>
        <v>#VALUE!</v>
      </c>
      <c r="M156" s="59" t="str">
        <f>IFERROR(tbl_Level[[#This Row],[Qty Complete]]/tbl_Level[[#This Row],[Total Hours Act]]*tbl_Level[[#This Row],['# of men Act]],"")</f>
        <v/>
      </c>
      <c r="O156"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56" s="71" t="str">
        <f>IFERROR((tbl_Level[[#This Row],[Adj. Total Hours]]+tbl_Level[[#This Row],[Est. Hours]])/(tbl_Level[[#This Row],[Total Hours Act]]+tbl_Level[[#This Row],[Act. Hours]]),"")</f>
        <v/>
      </c>
      <c r="S156" s="63"/>
      <c r="T156" s="63"/>
      <c r="U156" s="63"/>
      <c r="V156" s="63"/>
      <c r="W156" s="63"/>
    </row>
    <row r="157" spans="6:23" ht="25" customHeight="1">
      <c r="F157" s="53"/>
      <c r="H157" s="55" t="e">
        <f>tbl_Level[[#This Row],[Qty Complete]]/tbl_Level[[#This Row],[Qty Required]]</f>
        <v>#DIV/0!</v>
      </c>
      <c r="K157" s="57" t="str">
        <f>IFERROR(tbl_Level[[#This Row],[Qty Required]]/tbl_Level[[#This Row],[PPH]]*tbl_Level[[#This Row],['# of men]],"")</f>
        <v/>
      </c>
      <c r="L157" s="58" t="e">
        <f>tbl_Level[[#This Row],[Total hours]]*tbl_Level[[#This Row],[% Complete]]</f>
        <v>#VALUE!</v>
      </c>
      <c r="M157" s="59" t="str">
        <f>IFERROR(tbl_Level[[#This Row],[Qty Complete]]/tbl_Level[[#This Row],[Total Hours Act]]*tbl_Level[[#This Row],['# of men Act]],"")</f>
        <v/>
      </c>
      <c r="O157"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57" s="71" t="str">
        <f>IFERROR((tbl_Level[[#This Row],[Adj. Total Hours]]+tbl_Level[[#This Row],[Est. Hours]])/(tbl_Level[[#This Row],[Total Hours Act]]+tbl_Level[[#This Row],[Act. Hours]]),"")</f>
        <v/>
      </c>
      <c r="S157" s="63"/>
      <c r="T157" s="63"/>
      <c r="U157" s="63"/>
      <c r="V157" s="63"/>
      <c r="W157" s="63"/>
    </row>
    <row r="158" spans="6:23" ht="25" customHeight="1">
      <c r="F158" s="53"/>
      <c r="H158" s="55" t="e">
        <f>tbl_Level[[#This Row],[Qty Complete]]/tbl_Level[[#This Row],[Qty Required]]</f>
        <v>#DIV/0!</v>
      </c>
      <c r="K158" s="57" t="str">
        <f>IFERROR(tbl_Level[[#This Row],[Qty Required]]/tbl_Level[[#This Row],[PPH]]*tbl_Level[[#This Row],['# of men]],"")</f>
        <v/>
      </c>
      <c r="L158" s="58" t="e">
        <f>tbl_Level[[#This Row],[Total hours]]*tbl_Level[[#This Row],[% Complete]]</f>
        <v>#VALUE!</v>
      </c>
      <c r="M158" s="59" t="str">
        <f>IFERROR(tbl_Level[[#This Row],[Qty Complete]]/tbl_Level[[#This Row],[Total Hours Act]]*tbl_Level[[#This Row],['# of men Act]],"")</f>
        <v/>
      </c>
      <c r="O158"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58" s="71" t="str">
        <f>IFERROR((tbl_Level[[#This Row],[Adj. Total Hours]]+tbl_Level[[#This Row],[Est. Hours]])/(tbl_Level[[#This Row],[Total Hours Act]]+tbl_Level[[#This Row],[Act. Hours]]),"")</f>
        <v/>
      </c>
      <c r="S158" s="63"/>
      <c r="T158" s="63"/>
      <c r="U158" s="63"/>
      <c r="V158" s="63"/>
      <c r="W158" s="63"/>
    </row>
    <row r="159" spans="6:23" ht="25" customHeight="1">
      <c r="F159" s="53"/>
      <c r="H159" s="55" t="e">
        <f>tbl_Level[[#This Row],[Qty Complete]]/tbl_Level[[#This Row],[Qty Required]]</f>
        <v>#DIV/0!</v>
      </c>
      <c r="K159" s="57" t="str">
        <f>IFERROR(tbl_Level[[#This Row],[Qty Required]]/tbl_Level[[#This Row],[PPH]]*tbl_Level[[#This Row],['# of men]],"")</f>
        <v/>
      </c>
      <c r="L159" s="58" t="e">
        <f>tbl_Level[[#This Row],[Total hours]]*tbl_Level[[#This Row],[% Complete]]</f>
        <v>#VALUE!</v>
      </c>
      <c r="M159" s="59" t="str">
        <f>IFERROR(tbl_Level[[#This Row],[Qty Complete]]/tbl_Level[[#This Row],[Total Hours Act]]*tbl_Level[[#This Row],['# of men Act]],"")</f>
        <v/>
      </c>
      <c r="O159"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59" s="71" t="str">
        <f>IFERROR((tbl_Level[[#This Row],[Adj. Total Hours]]+tbl_Level[[#This Row],[Est. Hours]])/(tbl_Level[[#This Row],[Total Hours Act]]+tbl_Level[[#This Row],[Act. Hours]]),"")</f>
        <v/>
      </c>
      <c r="S159" s="63"/>
      <c r="T159" s="63"/>
      <c r="U159" s="63"/>
      <c r="V159" s="63"/>
      <c r="W159" s="63"/>
    </row>
    <row r="160" spans="6:23" ht="25" customHeight="1">
      <c r="F160" s="53"/>
      <c r="H160" s="55" t="e">
        <f>tbl_Level[[#This Row],[Qty Complete]]/tbl_Level[[#This Row],[Qty Required]]</f>
        <v>#DIV/0!</v>
      </c>
      <c r="K160" s="57" t="str">
        <f>IFERROR(tbl_Level[[#This Row],[Qty Required]]/tbl_Level[[#This Row],[PPH]]*tbl_Level[[#This Row],['# of men]],"")</f>
        <v/>
      </c>
      <c r="L160" s="58" t="e">
        <f>tbl_Level[[#This Row],[Total hours]]*tbl_Level[[#This Row],[% Complete]]</f>
        <v>#VALUE!</v>
      </c>
      <c r="M160" s="59" t="str">
        <f>IFERROR(tbl_Level[[#This Row],[Qty Complete]]/tbl_Level[[#This Row],[Total Hours Act]]*tbl_Level[[#This Row],['# of men Act]],"")</f>
        <v/>
      </c>
      <c r="O160"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60" s="71" t="str">
        <f>IFERROR((tbl_Level[[#This Row],[Adj. Total Hours]]+tbl_Level[[#This Row],[Est. Hours]])/(tbl_Level[[#This Row],[Total Hours Act]]+tbl_Level[[#This Row],[Act. Hours]]),"")</f>
        <v/>
      </c>
      <c r="S160" s="63"/>
      <c r="T160" s="63"/>
      <c r="U160" s="63"/>
      <c r="V160" s="63"/>
      <c r="W160" s="63"/>
    </row>
    <row r="161" spans="6:23" ht="25" customHeight="1">
      <c r="F161" s="53"/>
      <c r="H161" s="55" t="e">
        <f>tbl_Level[[#This Row],[Qty Complete]]/tbl_Level[[#This Row],[Qty Required]]</f>
        <v>#DIV/0!</v>
      </c>
      <c r="K161" s="57" t="str">
        <f>IFERROR(tbl_Level[[#This Row],[Qty Required]]/tbl_Level[[#This Row],[PPH]]*tbl_Level[[#This Row],['# of men]],"")</f>
        <v/>
      </c>
      <c r="L161" s="58" t="e">
        <f>tbl_Level[[#This Row],[Total hours]]*tbl_Level[[#This Row],[% Complete]]</f>
        <v>#VALUE!</v>
      </c>
      <c r="M161" s="59" t="str">
        <f>IFERROR(tbl_Level[[#This Row],[Qty Complete]]/tbl_Level[[#This Row],[Total Hours Act]]*tbl_Level[[#This Row],['# of men Act]],"")</f>
        <v/>
      </c>
      <c r="O161"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61" s="71" t="str">
        <f>IFERROR((tbl_Level[[#This Row],[Adj. Total Hours]]+tbl_Level[[#This Row],[Est. Hours]])/(tbl_Level[[#This Row],[Total Hours Act]]+tbl_Level[[#This Row],[Act. Hours]]),"")</f>
        <v/>
      </c>
      <c r="S161" s="63"/>
      <c r="T161" s="63"/>
      <c r="U161" s="63"/>
      <c r="V161" s="63"/>
      <c r="W161" s="63"/>
    </row>
    <row r="162" spans="6:23" ht="25" customHeight="1">
      <c r="F162" s="53"/>
      <c r="H162" s="55" t="e">
        <f>tbl_Level[[#This Row],[Qty Complete]]/tbl_Level[[#This Row],[Qty Required]]</f>
        <v>#DIV/0!</v>
      </c>
      <c r="K162" s="57" t="str">
        <f>IFERROR(tbl_Level[[#This Row],[Qty Required]]/tbl_Level[[#This Row],[PPH]]*tbl_Level[[#This Row],['# of men]],"")</f>
        <v/>
      </c>
      <c r="L162" s="58" t="e">
        <f>tbl_Level[[#This Row],[Total hours]]*tbl_Level[[#This Row],[% Complete]]</f>
        <v>#VALUE!</v>
      </c>
      <c r="M162" s="59" t="str">
        <f>IFERROR(tbl_Level[[#This Row],[Qty Complete]]/tbl_Level[[#This Row],[Total Hours Act]]*tbl_Level[[#This Row],['# of men Act]],"")</f>
        <v/>
      </c>
      <c r="O162"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62" s="71" t="str">
        <f>IFERROR((tbl_Level[[#This Row],[Adj. Total Hours]]+tbl_Level[[#This Row],[Est. Hours]])/(tbl_Level[[#This Row],[Total Hours Act]]+tbl_Level[[#This Row],[Act. Hours]]),"")</f>
        <v/>
      </c>
      <c r="S162" s="63"/>
      <c r="T162" s="63"/>
      <c r="U162" s="63"/>
      <c r="V162" s="63"/>
      <c r="W162" s="63"/>
    </row>
    <row r="163" spans="6:23" ht="25" customHeight="1">
      <c r="F163" s="53"/>
      <c r="H163" s="55" t="e">
        <f>tbl_Level[[#This Row],[Qty Complete]]/tbl_Level[[#This Row],[Qty Required]]</f>
        <v>#DIV/0!</v>
      </c>
      <c r="K163" s="57" t="str">
        <f>IFERROR(tbl_Level[[#This Row],[Qty Required]]/tbl_Level[[#This Row],[PPH]]*tbl_Level[[#This Row],['# of men]],"")</f>
        <v/>
      </c>
      <c r="L163" s="58" t="e">
        <f>tbl_Level[[#This Row],[Total hours]]*tbl_Level[[#This Row],[% Complete]]</f>
        <v>#VALUE!</v>
      </c>
      <c r="M163" s="59" t="str">
        <f>IFERROR(tbl_Level[[#This Row],[Qty Complete]]/tbl_Level[[#This Row],[Total Hours Act]]*tbl_Level[[#This Row],['# of men Act]],"")</f>
        <v/>
      </c>
      <c r="O163"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63" s="71" t="str">
        <f>IFERROR((tbl_Level[[#This Row],[Adj. Total Hours]]+tbl_Level[[#This Row],[Est. Hours]])/(tbl_Level[[#This Row],[Total Hours Act]]+tbl_Level[[#This Row],[Act. Hours]]),"")</f>
        <v/>
      </c>
      <c r="S163" s="63"/>
      <c r="T163" s="63"/>
      <c r="U163" s="63"/>
      <c r="V163" s="63"/>
      <c r="W163" s="63"/>
    </row>
    <row r="164" spans="6:23" ht="25" customHeight="1">
      <c r="F164" s="53"/>
      <c r="H164" s="55" t="e">
        <f>tbl_Level[[#This Row],[Qty Complete]]/tbl_Level[[#This Row],[Qty Required]]</f>
        <v>#DIV/0!</v>
      </c>
      <c r="K164" s="57" t="str">
        <f>IFERROR(tbl_Level[[#This Row],[Qty Required]]/tbl_Level[[#This Row],[PPH]]*tbl_Level[[#This Row],['# of men]],"")</f>
        <v/>
      </c>
      <c r="L164" s="58" t="e">
        <f>tbl_Level[[#This Row],[Total hours]]*tbl_Level[[#This Row],[% Complete]]</f>
        <v>#VALUE!</v>
      </c>
      <c r="M164" s="59" t="str">
        <f>IFERROR(tbl_Level[[#This Row],[Qty Complete]]/tbl_Level[[#This Row],[Total Hours Act]]*tbl_Level[[#This Row],['# of men Act]],"")</f>
        <v/>
      </c>
      <c r="O164"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64" s="71" t="str">
        <f>IFERROR((tbl_Level[[#This Row],[Adj. Total Hours]]+tbl_Level[[#This Row],[Est. Hours]])/(tbl_Level[[#This Row],[Total Hours Act]]+tbl_Level[[#This Row],[Act. Hours]]),"")</f>
        <v/>
      </c>
      <c r="S164" s="63"/>
      <c r="T164" s="63"/>
      <c r="U164" s="63"/>
      <c r="V164" s="63"/>
      <c r="W164" s="63"/>
    </row>
    <row r="165" spans="6:23" ht="25" customHeight="1">
      <c r="F165" s="53"/>
      <c r="H165" s="55" t="e">
        <f>tbl_Level[[#This Row],[Qty Complete]]/tbl_Level[[#This Row],[Qty Required]]</f>
        <v>#DIV/0!</v>
      </c>
      <c r="K165" s="57" t="str">
        <f>IFERROR(tbl_Level[[#This Row],[Qty Required]]/tbl_Level[[#This Row],[PPH]]*tbl_Level[[#This Row],['# of men]],"")</f>
        <v/>
      </c>
      <c r="L165" s="58" t="e">
        <f>tbl_Level[[#This Row],[Total hours]]*tbl_Level[[#This Row],[% Complete]]</f>
        <v>#VALUE!</v>
      </c>
      <c r="M165" s="59" t="str">
        <f>IFERROR(tbl_Level[[#This Row],[Qty Complete]]/tbl_Level[[#This Row],[Total Hours Act]]*tbl_Level[[#This Row],['# of men Act]],"")</f>
        <v/>
      </c>
      <c r="O165"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65" s="71" t="str">
        <f>IFERROR((tbl_Level[[#This Row],[Adj. Total Hours]]+tbl_Level[[#This Row],[Est. Hours]])/(tbl_Level[[#This Row],[Total Hours Act]]+tbl_Level[[#This Row],[Act. Hours]]),"")</f>
        <v/>
      </c>
      <c r="S165" s="63"/>
      <c r="T165" s="63"/>
      <c r="U165" s="63"/>
      <c r="V165" s="63"/>
      <c r="W165" s="63"/>
    </row>
    <row r="166" spans="6:23" ht="25" customHeight="1">
      <c r="F166" s="53"/>
      <c r="H166" s="55" t="e">
        <f>tbl_Level[[#This Row],[Qty Complete]]/tbl_Level[[#This Row],[Qty Required]]</f>
        <v>#DIV/0!</v>
      </c>
      <c r="K166" s="57" t="str">
        <f>IFERROR(tbl_Level[[#This Row],[Qty Required]]/tbl_Level[[#This Row],[PPH]]*tbl_Level[[#This Row],['# of men]],"")</f>
        <v/>
      </c>
      <c r="L166" s="58" t="e">
        <f>tbl_Level[[#This Row],[Total hours]]*tbl_Level[[#This Row],[% Complete]]</f>
        <v>#VALUE!</v>
      </c>
      <c r="M166" s="59" t="str">
        <f>IFERROR(tbl_Level[[#This Row],[Qty Complete]]/tbl_Level[[#This Row],[Total Hours Act]]*tbl_Level[[#This Row],['# of men Act]],"")</f>
        <v/>
      </c>
      <c r="O166"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66" s="71" t="str">
        <f>IFERROR((tbl_Level[[#This Row],[Adj. Total Hours]]+tbl_Level[[#This Row],[Est. Hours]])/(tbl_Level[[#This Row],[Total Hours Act]]+tbl_Level[[#This Row],[Act. Hours]]),"")</f>
        <v/>
      </c>
      <c r="S166" s="63"/>
      <c r="T166" s="63"/>
      <c r="U166" s="63"/>
      <c r="V166" s="63"/>
      <c r="W166" s="63"/>
    </row>
    <row r="167" spans="6:23" ht="25" customHeight="1">
      <c r="F167" s="53"/>
      <c r="H167" s="55" t="e">
        <f>tbl_Level[[#This Row],[Qty Complete]]/tbl_Level[[#This Row],[Qty Required]]</f>
        <v>#DIV/0!</v>
      </c>
      <c r="K167" s="57" t="str">
        <f>IFERROR(tbl_Level[[#This Row],[Qty Required]]/tbl_Level[[#This Row],[PPH]]*tbl_Level[[#This Row],['# of men]],"")</f>
        <v/>
      </c>
      <c r="L167" s="58" t="e">
        <f>tbl_Level[[#This Row],[Total hours]]*tbl_Level[[#This Row],[% Complete]]</f>
        <v>#VALUE!</v>
      </c>
      <c r="M167" s="59" t="str">
        <f>IFERROR(tbl_Level[[#This Row],[Qty Complete]]/tbl_Level[[#This Row],[Total Hours Act]]*tbl_Level[[#This Row],['# of men Act]],"")</f>
        <v/>
      </c>
      <c r="O167"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67" s="71" t="str">
        <f>IFERROR((tbl_Level[[#This Row],[Adj. Total Hours]]+tbl_Level[[#This Row],[Est. Hours]])/(tbl_Level[[#This Row],[Total Hours Act]]+tbl_Level[[#This Row],[Act. Hours]]),"")</f>
        <v/>
      </c>
      <c r="S167" s="63"/>
      <c r="T167" s="63"/>
      <c r="U167" s="63"/>
      <c r="V167" s="63"/>
      <c r="W167" s="63"/>
    </row>
    <row r="168" spans="6:23" ht="25" customHeight="1">
      <c r="F168" s="53"/>
      <c r="H168" s="55" t="e">
        <f>tbl_Level[[#This Row],[Qty Complete]]/tbl_Level[[#This Row],[Qty Required]]</f>
        <v>#DIV/0!</v>
      </c>
      <c r="K168" s="57" t="str">
        <f>IFERROR(tbl_Level[[#This Row],[Qty Required]]/tbl_Level[[#This Row],[PPH]]*tbl_Level[[#This Row],['# of men]],"")</f>
        <v/>
      </c>
      <c r="L168" s="58" t="e">
        <f>tbl_Level[[#This Row],[Total hours]]*tbl_Level[[#This Row],[% Complete]]</f>
        <v>#VALUE!</v>
      </c>
      <c r="M168" s="59" t="str">
        <f>IFERROR(tbl_Level[[#This Row],[Qty Complete]]/tbl_Level[[#This Row],[Total Hours Act]]*tbl_Level[[#This Row],['# of men Act]],"")</f>
        <v/>
      </c>
      <c r="O168"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68" s="71" t="str">
        <f>IFERROR((tbl_Level[[#This Row],[Adj. Total Hours]]+tbl_Level[[#This Row],[Est. Hours]])/(tbl_Level[[#This Row],[Total Hours Act]]+tbl_Level[[#This Row],[Act. Hours]]),"")</f>
        <v/>
      </c>
      <c r="S168" s="63"/>
      <c r="T168" s="63"/>
      <c r="U168" s="63"/>
      <c r="V168" s="63"/>
      <c r="W168" s="63"/>
    </row>
    <row r="169" spans="6:23" ht="25" customHeight="1">
      <c r="F169" s="53"/>
      <c r="H169" s="55" t="e">
        <f>tbl_Level[[#This Row],[Qty Complete]]/tbl_Level[[#This Row],[Qty Required]]</f>
        <v>#DIV/0!</v>
      </c>
      <c r="K169" s="57" t="str">
        <f>IFERROR(tbl_Level[[#This Row],[Qty Required]]/tbl_Level[[#This Row],[PPH]]*tbl_Level[[#This Row],['# of men]],"")</f>
        <v/>
      </c>
      <c r="L169" s="58" t="e">
        <f>tbl_Level[[#This Row],[Total hours]]*tbl_Level[[#This Row],[% Complete]]</f>
        <v>#VALUE!</v>
      </c>
      <c r="M169" s="59" t="str">
        <f>IFERROR(tbl_Level[[#This Row],[Qty Complete]]/tbl_Level[[#This Row],[Total Hours Act]]*tbl_Level[[#This Row],['# of men Act]],"")</f>
        <v/>
      </c>
      <c r="O169"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69" s="71" t="str">
        <f>IFERROR((tbl_Level[[#This Row],[Adj. Total Hours]]+tbl_Level[[#This Row],[Est. Hours]])/(tbl_Level[[#This Row],[Total Hours Act]]+tbl_Level[[#This Row],[Act. Hours]]),"")</f>
        <v/>
      </c>
      <c r="S169" s="63"/>
      <c r="T169" s="63"/>
      <c r="U169" s="63"/>
      <c r="V169" s="63"/>
      <c r="W169" s="63"/>
    </row>
    <row r="170" spans="6:23" ht="25" customHeight="1">
      <c r="F170" s="53"/>
      <c r="H170" s="55" t="e">
        <f>tbl_Level[[#This Row],[Qty Complete]]/tbl_Level[[#This Row],[Qty Required]]</f>
        <v>#DIV/0!</v>
      </c>
      <c r="K170" s="57" t="str">
        <f>IFERROR(tbl_Level[[#This Row],[Qty Required]]/tbl_Level[[#This Row],[PPH]]*tbl_Level[[#This Row],['# of men]],"")</f>
        <v/>
      </c>
      <c r="L170" s="58" t="e">
        <f>tbl_Level[[#This Row],[Total hours]]*tbl_Level[[#This Row],[% Complete]]</f>
        <v>#VALUE!</v>
      </c>
      <c r="M170" s="59" t="str">
        <f>IFERROR(tbl_Level[[#This Row],[Qty Complete]]/tbl_Level[[#This Row],[Total Hours Act]]*tbl_Level[[#This Row],['# of men Act]],"")</f>
        <v/>
      </c>
      <c r="O170"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70" s="71" t="str">
        <f>IFERROR((tbl_Level[[#This Row],[Adj. Total Hours]]+tbl_Level[[#This Row],[Est. Hours]])/(tbl_Level[[#This Row],[Total Hours Act]]+tbl_Level[[#This Row],[Act. Hours]]),"")</f>
        <v/>
      </c>
      <c r="S170" s="63"/>
      <c r="T170" s="63"/>
      <c r="U170" s="63"/>
      <c r="V170" s="63"/>
      <c r="W170" s="63"/>
    </row>
    <row r="171" spans="6:23" ht="25" customHeight="1">
      <c r="F171" s="53"/>
      <c r="H171" s="55" t="e">
        <f>tbl_Level[[#This Row],[Qty Complete]]/tbl_Level[[#This Row],[Qty Required]]</f>
        <v>#DIV/0!</v>
      </c>
      <c r="K171" s="57" t="str">
        <f>IFERROR(tbl_Level[[#This Row],[Qty Required]]/tbl_Level[[#This Row],[PPH]]*tbl_Level[[#This Row],['# of men]],"")</f>
        <v/>
      </c>
      <c r="L171" s="58" t="e">
        <f>tbl_Level[[#This Row],[Total hours]]*tbl_Level[[#This Row],[% Complete]]</f>
        <v>#VALUE!</v>
      </c>
      <c r="M171" s="59" t="str">
        <f>IFERROR(tbl_Level[[#This Row],[Qty Complete]]/tbl_Level[[#This Row],[Total Hours Act]]*tbl_Level[[#This Row],['# of men Act]],"")</f>
        <v/>
      </c>
      <c r="O171"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71" s="71" t="str">
        <f>IFERROR((tbl_Level[[#This Row],[Adj. Total Hours]]+tbl_Level[[#This Row],[Est. Hours]])/(tbl_Level[[#This Row],[Total Hours Act]]+tbl_Level[[#This Row],[Act. Hours]]),"")</f>
        <v/>
      </c>
      <c r="S171" s="63"/>
      <c r="T171" s="63"/>
      <c r="U171" s="63"/>
      <c r="V171" s="63"/>
      <c r="W171" s="63"/>
    </row>
    <row r="172" spans="6:23" ht="25" customHeight="1">
      <c r="F172" s="53"/>
      <c r="H172" s="55" t="e">
        <f>tbl_Level[[#This Row],[Qty Complete]]/tbl_Level[[#This Row],[Qty Required]]</f>
        <v>#DIV/0!</v>
      </c>
      <c r="K172" s="57" t="str">
        <f>IFERROR(tbl_Level[[#This Row],[Qty Required]]/tbl_Level[[#This Row],[PPH]]*tbl_Level[[#This Row],['# of men]],"")</f>
        <v/>
      </c>
      <c r="L172" s="58" t="e">
        <f>tbl_Level[[#This Row],[Total hours]]*tbl_Level[[#This Row],[% Complete]]</f>
        <v>#VALUE!</v>
      </c>
      <c r="M172" s="59" t="str">
        <f>IFERROR(tbl_Level[[#This Row],[Qty Complete]]/tbl_Level[[#This Row],[Total Hours Act]]*tbl_Level[[#This Row],['# of men Act]],"")</f>
        <v/>
      </c>
      <c r="O172"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72" s="71" t="str">
        <f>IFERROR((tbl_Level[[#This Row],[Adj. Total Hours]]+tbl_Level[[#This Row],[Est. Hours]])/(tbl_Level[[#This Row],[Total Hours Act]]+tbl_Level[[#This Row],[Act. Hours]]),"")</f>
        <v/>
      </c>
      <c r="S172" s="63"/>
      <c r="T172" s="63"/>
      <c r="U172" s="63"/>
      <c r="V172" s="63"/>
      <c r="W172" s="63"/>
    </row>
    <row r="173" spans="6:23" ht="25" customHeight="1">
      <c r="F173" s="53"/>
      <c r="H173" s="55" t="e">
        <f>tbl_Level[[#This Row],[Qty Complete]]/tbl_Level[[#This Row],[Qty Required]]</f>
        <v>#DIV/0!</v>
      </c>
      <c r="K173" s="57" t="str">
        <f>IFERROR(tbl_Level[[#This Row],[Qty Required]]/tbl_Level[[#This Row],[PPH]]*tbl_Level[[#This Row],['# of men]],"")</f>
        <v/>
      </c>
      <c r="L173" s="58" t="e">
        <f>tbl_Level[[#This Row],[Total hours]]*tbl_Level[[#This Row],[% Complete]]</f>
        <v>#VALUE!</v>
      </c>
      <c r="M173" s="59" t="str">
        <f>IFERROR(tbl_Level[[#This Row],[Qty Complete]]/tbl_Level[[#This Row],[Total Hours Act]]*tbl_Level[[#This Row],['# of men Act]],"")</f>
        <v/>
      </c>
      <c r="O173"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73" s="71" t="str">
        <f>IFERROR((tbl_Level[[#This Row],[Adj. Total Hours]]+tbl_Level[[#This Row],[Est. Hours]])/(tbl_Level[[#This Row],[Total Hours Act]]+tbl_Level[[#This Row],[Act. Hours]]),"")</f>
        <v/>
      </c>
      <c r="S173" s="63"/>
      <c r="T173" s="63"/>
      <c r="U173" s="63"/>
      <c r="V173" s="63"/>
      <c r="W173" s="63"/>
    </row>
    <row r="174" spans="6:23" ht="25" customHeight="1">
      <c r="F174" s="53"/>
      <c r="H174" s="55" t="e">
        <f>tbl_Level[[#This Row],[Qty Complete]]/tbl_Level[[#This Row],[Qty Required]]</f>
        <v>#DIV/0!</v>
      </c>
      <c r="K174" s="57" t="str">
        <f>IFERROR(tbl_Level[[#This Row],[Qty Required]]/tbl_Level[[#This Row],[PPH]]*tbl_Level[[#This Row],['# of men]],"")</f>
        <v/>
      </c>
      <c r="L174" s="58" t="e">
        <f>tbl_Level[[#This Row],[Total hours]]*tbl_Level[[#This Row],[% Complete]]</f>
        <v>#VALUE!</v>
      </c>
      <c r="M174" s="59" t="str">
        <f>IFERROR(tbl_Level[[#This Row],[Qty Complete]]/tbl_Level[[#This Row],[Total Hours Act]]*tbl_Level[[#This Row],['# of men Act]],"")</f>
        <v/>
      </c>
      <c r="O174"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74" s="71" t="str">
        <f>IFERROR((tbl_Level[[#This Row],[Adj. Total Hours]]+tbl_Level[[#This Row],[Est. Hours]])/(tbl_Level[[#This Row],[Total Hours Act]]+tbl_Level[[#This Row],[Act. Hours]]),"")</f>
        <v/>
      </c>
      <c r="S174" s="63"/>
      <c r="T174" s="63"/>
      <c r="U174" s="63"/>
      <c r="V174" s="63"/>
      <c r="W174" s="63"/>
    </row>
    <row r="175" spans="6:23" ht="25" customHeight="1">
      <c r="F175" s="53"/>
      <c r="H175" s="55" t="e">
        <f>tbl_Level[[#This Row],[Qty Complete]]/tbl_Level[[#This Row],[Qty Required]]</f>
        <v>#DIV/0!</v>
      </c>
      <c r="K175" s="57" t="str">
        <f>IFERROR(tbl_Level[[#This Row],[Qty Required]]/tbl_Level[[#This Row],[PPH]]*tbl_Level[[#This Row],['# of men]],"")</f>
        <v/>
      </c>
      <c r="L175" s="58" t="e">
        <f>tbl_Level[[#This Row],[Total hours]]*tbl_Level[[#This Row],[% Complete]]</f>
        <v>#VALUE!</v>
      </c>
      <c r="M175" s="59" t="str">
        <f>IFERROR(tbl_Level[[#This Row],[Qty Complete]]/tbl_Level[[#This Row],[Total Hours Act]]*tbl_Level[[#This Row],['# of men Act]],"")</f>
        <v/>
      </c>
      <c r="O175"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75" s="71" t="str">
        <f>IFERROR((tbl_Level[[#This Row],[Adj. Total Hours]]+tbl_Level[[#This Row],[Est. Hours]])/(tbl_Level[[#This Row],[Total Hours Act]]+tbl_Level[[#This Row],[Act. Hours]]),"")</f>
        <v/>
      </c>
      <c r="S175" s="63"/>
      <c r="T175" s="63"/>
      <c r="U175" s="63"/>
      <c r="V175" s="63"/>
      <c r="W175" s="63"/>
    </row>
    <row r="176" spans="6:23" ht="25" customHeight="1">
      <c r="F176" s="53"/>
      <c r="H176" s="55" t="e">
        <f>tbl_Level[[#This Row],[Qty Complete]]/tbl_Level[[#This Row],[Qty Required]]</f>
        <v>#DIV/0!</v>
      </c>
      <c r="K176" s="57" t="str">
        <f>IFERROR(tbl_Level[[#This Row],[Qty Required]]/tbl_Level[[#This Row],[PPH]]*tbl_Level[[#This Row],['# of men]],"")</f>
        <v/>
      </c>
      <c r="L176" s="58" t="e">
        <f>tbl_Level[[#This Row],[Total hours]]*tbl_Level[[#This Row],[% Complete]]</f>
        <v>#VALUE!</v>
      </c>
      <c r="M176" s="59" t="str">
        <f>IFERROR(tbl_Level[[#This Row],[Qty Complete]]/tbl_Level[[#This Row],[Total Hours Act]]*tbl_Level[[#This Row],['# of men Act]],"")</f>
        <v/>
      </c>
      <c r="O176"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76" s="71" t="str">
        <f>IFERROR((tbl_Level[[#This Row],[Adj. Total Hours]]+tbl_Level[[#This Row],[Est. Hours]])/(tbl_Level[[#This Row],[Total Hours Act]]+tbl_Level[[#This Row],[Act. Hours]]),"")</f>
        <v/>
      </c>
      <c r="S176" s="63"/>
      <c r="T176" s="63"/>
      <c r="U176" s="63"/>
      <c r="V176" s="63"/>
      <c r="W176" s="63"/>
    </row>
    <row r="177" spans="6:23" ht="25" customHeight="1">
      <c r="F177" s="53"/>
      <c r="H177" s="55" t="e">
        <f>tbl_Level[[#This Row],[Qty Complete]]/tbl_Level[[#This Row],[Qty Required]]</f>
        <v>#DIV/0!</v>
      </c>
      <c r="K177" s="57" t="str">
        <f>IFERROR(tbl_Level[[#This Row],[Qty Required]]/tbl_Level[[#This Row],[PPH]]*tbl_Level[[#This Row],['# of men]],"")</f>
        <v/>
      </c>
      <c r="L177" s="58" t="e">
        <f>tbl_Level[[#This Row],[Total hours]]*tbl_Level[[#This Row],[% Complete]]</f>
        <v>#VALUE!</v>
      </c>
      <c r="M177" s="59" t="str">
        <f>IFERROR(tbl_Level[[#This Row],[Qty Complete]]/tbl_Level[[#This Row],[Total Hours Act]]*tbl_Level[[#This Row],['# of men Act]],"")</f>
        <v/>
      </c>
      <c r="O177"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77" s="71" t="str">
        <f>IFERROR((tbl_Level[[#This Row],[Adj. Total Hours]]+tbl_Level[[#This Row],[Est. Hours]])/(tbl_Level[[#This Row],[Total Hours Act]]+tbl_Level[[#This Row],[Act. Hours]]),"")</f>
        <v/>
      </c>
      <c r="S177" s="63"/>
      <c r="T177" s="63"/>
      <c r="U177" s="63"/>
      <c r="V177" s="63"/>
      <c r="W177" s="63"/>
    </row>
    <row r="178" spans="6:23" ht="25" customHeight="1">
      <c r="F178" s="53"/>
      <c r="H178" s="55" t="e">
        <f>tbl_Level[[#This Row],[Qty Complete]]/tbl_Level[[#This Row],[Qty Required]]</f>
        <v>#DIV/0!</v>
      </c>
      <c r="K178" s="57" t="str">
        <f>IFERROR(tbl_Level[[#This Row],[Qty Required]]/tbl_Level[[#This Row],[PPH]]*tbl_Level[[#This Row],['# of men]],"")</f>
        <v/>
      </c>
      <c r="L178" s="58" t="e">
        <f>tbl_Level[[#This Row],[Total hours]]*tbl_Level[[#This Row],[% Complete]]</f>
        <v>#VALUE!</v>
      </c>
      <c r="M178" s="59" t="str">
        <f>IFERROR(tbl_Level[[#This Row],[Qty Complete]]/tbl_Level[[#This Row],[Total Hours Act]]*tbl_Level[[#This Row],['# of men Act]],"")</f>
        <v/>
      </c>
      <c r="O178"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78" s="71" t="str">
        <f>IFERROR((tbl_Level[[#This Row],[Adj. Total Hours]]+tbl_Level[[#This Row],[Est. Hours]])/(tbl_Level[[#This Row],[Total Hours Act]]+tbl_Level[[#This Row],[Act. Hours]]),"")</f>
        <v/>
      </c>
      <c r="S178" s="63"/>
      <c r="T178" s="63"/>
      <c r="U178" s="63"/>
      <c r="V178" s="63"/>
      <c r="W178" s="63"/>
    </row>
    <row r="179" spans="6:23" ht="25" customHeight="1">
      <c r="F179" s="53"/>
      <c r="H179" s="55" t="e">
        <f>tbl_Level[[#This Row],[Qty Complete]]/tbl_Level[[#This Row],[Qty Required]]</f>
        <v>#DIV/0!</v>
      </c>
      <c r="K179" s="57" t="str">
        <f>IFERROR(tbl_Level[[#This Row],[Qty Required]]/tbl_Level[[#This Row],[PPH]]*tbl_Level[[#This Row],['# of men]],"")</f>
        <v/>
      </c>
      <c r="L179" s="58" t="e">
        <f>tbl_Level[[#This Row],[Total hours]]*tbl_Level[[#This Row],[% Complete]]</f>
        <v>#VALUE!</v>
      </c>
      <c r="M179" s="59" t="str">
        <f>IFERROR(tbl_Level[[#This Row],[Qty Complete]]/tbl_Level[[#This Row],[Total Hours Act]]*tbl_Level[[#This Row],['# of men Act]],"")</f>
        <v/>
      </c>
      <c r="O179"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79" s="71" t="str">
        <f>IFERROR((tbl_Level[[#This Row],[Adj. Total Hours]]+tbl_Level[[#This Row],[Est. Hours]])/(tbl_Level[[#This Row],[Total Hours Act]]+tbl_Level[[#This Row],[Act. Hours]]),"")</f>
        <v/>
      </c>
      <c r="S179" s="63"/>
      <c r="T179" s="63"/>
      <c r="U179" s="63"/>
      <c r="V179" s="63"/>
      <c r="W179" s="63"/>
    </row>
    <row r="180" spans="6:23" ht="25" customHeight="1">
      <c r="F180" s="53"/>
      <c r="H180" s="55" t="e">
        <f>tbl_Level[[#This Row],[Qty Complete]]/tbl_Level[[#This Row],[Qty Required]]</f>
        <v>#DIV/0!</v>
      </c>
      <c r="K180" s="57" t="str">
        <f>IFERROR(tbl_Level[[#This Row],[Qty Required]]/tbl_Level[[#This Row],[PPH]]*tbl_Level[[#This Row],['# of men]],"")</f>
        <v/>
      </c>
      <c r="L180" s="58" t="e">
        <f>tbl_Level[[#This Row],[Total hours]]*tbl_Level[[#This Row],[% Complete]]</f>
        <v>#VALUE!</v>
      </c>
      <c r="M180" s="59" t="str">
        <f>IFERROR(tbl_Level[[#This Row],[Qty Complete]]/tbl_Level[[#This Row],[Total Hours Act]]*tbl_Level[[#This Row],['# of men Act]],"")</f>
        <v/>
      </c>
      <c r="O180"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80" s="71" t="str">
        <f>IFERROR((tbl_Level[[#This Row],[Adj. Total Hours]]+tbl_Level[[#This Row],[Est. Hours]])/(tbl_Level[[#This Row],[Total Hours Act]]+tbl_Level[[#This Row],[Act. Hours]]),"")</f>
        <v/>
      </c>
      <c r="S180" s="63"/>
      <c r="T180" s="63"/>
      <c r="U180" s="63"/>
      <c r="V180" s="63"/>
      <c r="W180" s="63"/>
    </row>
    <row r="181" spans="6:23" ht="25" customHeight="1">
      <c r="F181" s="53"/>
      <c r="H181" s="55" t="e">
        <f>tbl_Level[[#This Row],[Qty Complete]]/tbl_Level[[#This Row],[Qty Required]]</f>
        <v>#DIV/0!</v>
      </c>
      <c r="K181" s="57" t="str">
        <f>IFERROR(tbl_Level[[#This Row],[Qty Required]]/tbl_Level[[#This Row],[PPH]]*tbl_Level[[#This Row],['# of men]],"")</f>
        <v/>
      </c>
      <c r="L181" s="58" t="e">
        <f>tbl_Level[[#This Row],[Total hours]]*tbl_Level[[#This Row],[% Complete]]</f>
        <v>#VALUE!</v>
      </c>
      <c r="M181" s="59" t="str">
        <f>IFERROR(tbl_Level[[#This Row],[Qty Complete]]/tbl_Level[[#This Row],[Total Hours Act]]*tbl_Level[[#This Row],['# of men Act]],"")</f>
        <v/>
      </c>
      <c r="O181"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81" s="71" t="str">
        <f>IFERROR((tbl_Level[[#This Row],[Adj. Total Hours]]+tbl_Level[[#This Row],[Est. Hours]])/(tbl_Level[[#This Row],[Total Hours Act]]+tbl_Level[[#This Row],[Act. Hours]]),"")</f>
        <v/>
      </c>
      <c r="S181" s="63"/>
      <c r="T181" s="63"/>
      <c r="U181" s="63"/>
      <c r="V181" s="63"/>
      <c r="W181" s="63"/>
    </row>
    <row r="182" spans="6:23" ht="25" customHeight="1">
      <c r="F182" s="53"/>
      <c r="H182" s="55" t="e">
        <f>tbl_Level[[#This Row],[Qty Complete]]/tbl_Level[[#This Row],[Qty Required]]</f>
        <v>#DIV/0!</v>
      </c>
      <c r="K182" s="57" t="str">
        <f>IFERROR(tbl_Level[[#This Row],[Qty Required]]/tbl_Level[[#This Row],[PPH]]*tbl_Level[[#This Row],['# of men]],"")</f>
        <v/>
      </c>
      <c r="L182" s="58" t="e">
        <f>tbl_Level[[#This Row],[Total hours]]*tbl_Level[[#This Row],[% Complete]]</f>
        <v>#VALUE!</v>
      </c>
      <c r="M182" s="59" t="str">
        <f>IFERROR(tbl_Level[[#This Row],[Qty Complete]]/tbl_Level[[#This Row],[Total Hours Act]]*tbl_Level[[#This Row],['# of men Act]],"")</f>
        <v/>
      </c>
      <c r="O182"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82" s="71" t="str">
        <f>IFERROR((tbl_Level[[#This Row],[Adj. Total Hours]]+tbl_Level[[#This Row],[Est. Hours]])/(tbl_Level[[#This Row],[Total Hours Act]]+tbl_Level[[#This Row],[Act. Hours]]),"")</f>
        <v/>
      </c>
      <c r="S182" s="63"/>
      <c r="T182" s="63"/>
      <c r="U182" s="63"/>
      <c r="V182" s="63"/>
      <c r="W182" s="63"/>
    </row>
    <row r="183" spans="6:23" ht="25" customHeight="1">
      <c r="F183" s="53"/>
      <c r="H183" s="55" t="e">
        <f>tbl_Level[[#This Row],[Qty Complete]]/tbl_Level[[#This Row],[Qty Required]]</f>
        <v>#DIV/0!</v>
      </c>
      <c r="K183" s="57" t="str">
        <f>IFERROR(tbl_Level[[#This Row],[Qty Required]]/tbl_Level[[#This Row],[PPH]]*tbl_Level[[#This Row],['# of men]],"")</f>
        <v/>
      </c>
      <c r="L183" s="58" t="e">
        <f>tbl_Level[[#This Row],[Total hours]]*tbl_Level[[#This Row],[% Complete]]</f>
        <v>#VALUE!</v>
      </c>
      <c r="M183" s="59" t="str">
        <f>IFERROR(tbl_Level[[#This Row],[Qty Complete]]/tbl_Level[[#This Row],[Total Hours Act]]*tbl_Level[[#This Row],['# of men Act]],"")</f>
        <v/>
      </c>
      <c r="O183"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83" s="71" t="str">
        <f>IFERROR((tbl_Level[[#This Row],[Adj. Total Hours]]+tbl_Level[[#This Row],[Est. Hours]])/(tbl_Level[[#This Row],[Total Hours Act]]+tbl_Level[[#This Row],[Act. Hours]]),"")</f>
        <v/>
      </c>
      <c r="S183" s="63"/>
      <c r="T183" s="63"/>
      <c r="U183" s="63"/>
      <c r="V183" s="63"/>
      <c r="W183" s="63"/>
    </row>
    <row r="184" spans="6:23" ht="25" customHeight="1">
      <c r="F184" s="53"/>
      <c r="H184" s="55" t="e">
        <f>tbl_Level[[#This Row],[Qty Complete]]/tbl_Level[[#This Row],[Qty Required]]</f>
        <v>#DIV/0!</v>
      </c>
      <c r="K184" s="57" t="str">
        <f>IFERROR(tbl_Level[[#This Row],[Qty Required]]/tbl_Level[[#This Row],[PPH]]*tbl_Level[[#This Row],['# of men]],"")</f>
        <v/>
      </c>
      <c r="L184" s="58" t="e">
        <f>tbl_Level[[#This Row],[Total hours]]*tbl_Level[[#This Row],[% Complete]]</f>
        <v>#VALUE!</v>
      </c>
      <c r="M184" s="59" t="str">
        <f>IFERROR(tbl_Level[[#This Row],[Qty Complete]]/tbl_Level[[#This Row],[Total Hours Act]]*tbl_Level[[#This Row],['# of men Act]],"")</f>
        <v/>
      </c>
      <c r="O184"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84" s="71" t="str">
        <f>IFERROR((tbl_Level[[#This Row],[Adj. Total Hours]]+tbl_Level[[#This Row],[Est. Hours]])/(tbl_Level[[#This Row],[Total Hours Act]]+tbl_Level[[#This Row],[Act. Hours]]),"")</f>
        <v/>
      </c>
      <c r="S184" s="63"/>
      <c r="T184" s="63"/>
      <c r="U184" s="63"/>
      <c r="V184" s="63"/>
      <c r="W184" s="63"/>
    </row>
    <row r="185" spans="6:23" ht="25" customHeight="1">
      <c r="F185" s="53"/>
      <c r="H185" s="55" t="e">
        <f>tbl_Level[[#This Row],[Qty Complete]]/tbl_Level[[#This Row],[Qty Required]]</f>
        <v>#DIV/0!</v>
      </c>
      <c r="K185" s="57" t="str">
        <f>IFERROR(tbl_Level[[#This Row],[Qty Required]]/tbl_Level[[#This Row],[PPH]]*tbl_Level[[#This Row],['# of men]],"")</f>
        <v/>
      </c>
      <c r="L185" s="58" t="e">
        <f>tbl_Level[[#This Row],[Total hours]]*tbl_Level[[#This Row],[% Complete]]</f>
        <v>#VALUE!</v>
      </c>
      <c r="M185" s="59" t="str">
        <f>IFERROR(tbl_Level[[#This Row],[Qty Complete]]/tbl_Level[[#This Row],[Total Hours Act]]*tbl_Level[[#This Row],['# of men Act]],"")</f>
        <v/>
      </c>
      <c r="O185"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85" s="71" t="str">
        <f>IFERROR((tbl_Level[[#This Row],[Adj. Total Hours]]+tbl_Level[[#This Row],[Est. Hours]])/(tbl_Level[[#This Row],[Total Hours Act]]+tbl_Level[[#This Row],[Act. Hours]]),"")</f>
        <v/>
      </c>
      <c r="S185" s="63"/>
      <c r="T185" s="63"/>
      <c r="U185" s="63"/>
      <c r="V185" s="63"/>
      <c r="W185" s="63"/>
    </row>
    <row r="186" spans="6:23" ht="25" customHeight="1">
      <c r="F186" s="53"/>
      <c r="H186" s="55" t="e">
        <f>tbl_Level[[#This Row],[Qty Complete]]/tbl_Level[[#This Row],[Qty Required]]</f>
        <v>#DIV/0!</v>
      </c>
      <c r="K186" s="57" t="str">
        <f>IFERROR(tbl_Level[[#This Row],[Qty Required]]/tbl_Level[[#This Row],[PPH]]*tbl_Level[[#This Row],['# of men]],"")</f>
        <v/>
      </c>
      <c r="L186" s="58" t="e">
        <f>tbl_Level[[#This Row],[Total hours]]*tbl_Level[[#This Row],[% Complete]]</f>
        <v>#VALUE!</v>
      </c>
      <c r="M186" s="59" t="str">
        <f>IFERROR(tbl_Level[[#This Row],[Qty Complete]]/tbl_Level[[#This Row],[Total Hours Act]]*tbl_Level[[#This Row],['# of men Act]],"")</f>
        <v/>
      </c>
      <c r="O186"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86" s="71" t="str">
        <f>IFERROR((tbl_Level[[#This Row],[Adj. Total Hours]]+tbl_Level[[#This Row],[Est. Hours]])/(tbl_Level[[#This Row],[Total Hours Act]]+tbl_Level[[#This Row],[Act. Hours]]),"")</f>
        <v/>
      </c>
      <c r="S186" s="63"/>
      <c r="T186" s="63"/>
      <c r="U186" s="63"/>
      <c r="V186" s="63"/>
      <c r="W186" s="63"/>
    </row>
    <row r="187" spans="6:23" ht="25" customHeight="1">
      <c r="F187" s="53"/>
      <c r="H187" s="55" t="e">
        <f>tbl_Level[[#This Row],[Qty Complete]]/tbl_Level[[#This Row],[Qty Required]]</f>
        <v>#DIV/0!</v>
      </c>
      <c r="K187" s="57" t="str">
        <f>IFERROR(tbl_Level[[#This Row],[Qty Required]]/tbl_Level[[#This Row],[PPH]]*tbl_Level[[#This Row],['# of men]],"")</f>
        <v/>
      </c>
      <c r="L187" s="58" t="e">
        <f>tbl_Level[[#This Row],[Total hours]]*tbl_Level[[#This Row],[% Complete]]</f>
        <v>#VALUE!</v>
      </c>
      <c r="M187" s="59" t="str">
        <f>IFERROR(tbl_Level[[#This Row],[Qty Complete]]/tbl_Level[[#This Row],[Total Hours Act]]*tbl_Level[[#This Row],['# of men Act]],"")</f>
        <v/>
      </c>
      <c r="O187"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87" s="71" t="str">
        <f>IFERROR((tbl_Level[[#This Row],[Adj. Total Hours]]+tbl_Level[[#This Row],[Est. Hours]])/(tbl_Level[[#This Row],[Total Hours Act]]+tbl_Level[[#This Row],[Act. Hours]]),"")</f>
        <v/>
      </c>
      <c r="S187" s="63"/>
      <c r="T187" s="63"/>
      <c r="U187" s="63"/>
      <c r="V187" s="63"/>
      <c r="W187" s="63"/>
    </row>
    <row r="188" spans="6:23" ht="25" customHeight="1">
      <c r="F188" s="53"/>
      <c r="H188" s="55" t="e">
        <f>tbl_Level[[#This Row],[Qty Complete]]/tbl_Level[[#This Row],[Qty Required]]</f>
        <v>#DIV/0!</v>
      </c>
      <c r="K188" s="57" t="str">
        <f>IFERROR(tbl_Level[[#This Row],[Qty Required]]/tbl_Level[[#This Row],[PPH]]*tbl_Level[[#This Row],['# of men]],"")</f>
        <v/>
      </c>
      <c r="L188" s="58" t="e">
        <f>tbl_Level[[#This Row],[Total hours]]*tbl_Level[[#This Row],[% Complete]]</f>
        <v>#VALUE!</v>
      </c>
      <c r="M188" s="59" t="str">
        <f>IFERROR(tbl_Level[[#This Row],[Qty Complete]]/tbl_Level[[#This Row],[Total Hours Act]]*tbl_Level[[#This Row],['# of men Act]],"")</f>
        <v/>
      </c>
      <c r="O188"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88" s="71" t="str">
        <f>IFERROR((tbl_Level[[#This Row],[Adj. Total Hours]]+tbl_Level[[#This Row],[Est. Hours]])/(tbl_Level[[#This Row],[Total Hours Act]]+tbl_Level[[#This Row],[Act. Hours]]),"")</f>
        <v/>
      </c>
      <c r="S188" s="63"/>
      <c r="T188" s="63"/>
      <c r="U188" s="63"/>
      <c r="V188" s="63"/>
      <c r="W188" s="63"/>
    </row>
    <row r="189" spans="6:23" ht="25" customHeight="1">
      <c r="F189" s="53"/>
      <c r="H189" s="55" t="e">
        <f>tbl_Level[[#This Row],[Qty Complete]]/tbl_Level[[#This Row],[Qty Required]]</f>
        <v>#DIV/0!</v>
      </c>
      <c r="K189" s="57" t="str">
        <f>IFERROR(tbl_Level[[#This Row],[Qty Required]]/tbl_Level[[#This Row],[PPH]]*tbl_Level[[#This Row],['# of men]],"")</f>
        <v/>
      </c>
      <c r="L189" s="58" t="e">
        <f>tbl_Level[[#This Row],[Total hours]]*tbl_Level[[#This Row],[% Complete]]</f>
        <v>#VALUE!</v>
      </c>
      <c r="M189" s="59" t="str">
        <f>IFERROR(tbl_Level[[#This Row],[Qty Complete]]/tbl_Level[[#This Row],[Total Hours Act]]*tbl_Level[[#This Row],['# of men Act]],"")</f>
        <v/>
      </c>
      <c r="O189"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89" s="71" t="str">
        <f>IFERROR((tbl_Level[[#This Row],[Adj. Total Hours]]+tbl_Level[[#This Row],[Est. Hours]])/(tbl_Level[[#This Row],[Total Hours Act]]+tbl_Level[[#This Row],[Act. Hours]]),"")</f>
        <v/>
      </c>
      <c r="S189" s="63"/>
      <c r="T189" s="63"/>
      <c r="U189" s="63"/>
      <c r="V189" s="63"/>
      <c r="W189" s="63"/>
    </row>
    <row r="190" spans="6:23" ht="25" customHeight="1">
      <c r="F190" s="53"/>
      <c r="H190" s="55" t="e">
        <f>tbl_Level[[#This Row],[Qty Complete]]/tbl_Level[[#This Row],[Qty Required]]</f>
        <v>#DIV/0!</v>
      </c>
      <c r="K190" s="57" t="str">
        <f>IFERROR(tbl_Level[[#This Row],[Qty Required]]/tbl_Level[[#This Row],[PPH]]*tbl_Level[[#This Row],['# of men]],"")</f>
        <v/>
      </c>
      <c r="L190" s="58" t="e">
        <f>tbl_Level[[#This Row],[Total hours]]*tbl_Level[[#This Row],[% Complete]]</f>
        <v>#VALUE!</v>
      </c>
      <c r="M190" s="59" t="str">
        <f>IFERROR(tbl_Level[[#This Row],[Qty Complete]]/tbl_Level[[#This Row],[Total Hours Act]]*tbl_Level[[#This Row],['# of men Act]],"")</f>
        <v/>
      </c>
      <c r="O190"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90" s="71" t="str">
        <f>IFERROR((tbl_Level[[#This Row],[Adj. Total Hours]]+tbl_Level[[#This Row],[Est. Hours]])/(tbl_Level[[#This Row],[Total Hours Act]]+tbl_Level[[#This Row],[Act. Hours]]),"")</f>
        <v/>
      </c>
      <c r="S190" s="63"/>
      <c r="T190" s="63"/>
      <c r="U190" s="63"/>
      <c r="V190" s="63"/>
      <c r="W190" s="63"/>
    </row>
    <row r="191" spans="6:23" ht="25" customHeight="1">
      <c r="F191" s="53"/>
      <c r="H191" s="55" t="e">
        <f>tbl_Level[[#This Row],[Qty Complete]]/tbl_Level[[#This Row],[Qty Required]]</f>
        <v>#DIV/0!</v>
      </c>
      <c r="K191" s="57" t="str">
        <f>IFERROR(tbl_Level[[#This Row],[Qty Required]]/tbl_Level[[#This Row],[PPH]]*tbl_Level[[#This Row],['# of men]],"")</f>
        <v/>
      </c>
      <c r="L191" s="58" t="e">
        <f>tbl_Level[[#This Row],[Total hours]]*tbl_Level[[#This Row],[% Complete]]</f>
        <v>#VALUE!</v>
      </c>
      <c r="M191" s="59" t="str">
        <f>IFERROR(tbl_Level[[#This Row],[Qty Complete]]/tbl_Level[[#This Row],[Total Hours Act]]*tbl_Level[[#This Row],['# of men Act]],"")</f>
        <v/>
      </c>
      <c r="O191"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91" s="71" t="str">
        <f>IFERROR((tbl_Level[[#This Row],[Adj. Total Hours]]+tbl_Level[[#This Row],[Est. Hours]])/(tbl_Level[[#This Row],[Total Hours Act]]+tbl_Level[[#This Row],[Act. Hours]]),"")</f>
        <v/>
      </c>
      <c r="S191" s="63"/>
      <c r="T191" s="63"/>
      <c r="U191" s="63"/>
      <c r="V191" s="63"/>
      <c r="W191" s="63"/>
    </row>
    <row r="192" spans="6:23" ht="25" customHeight="1">
      <c r="F192" s="53"/>
      <c r="H192" s="55" t="e">
        <f>tbl_Level[[#This Row],[Qty Complete]]/tbl_Level[[#This Row],[Qty Required]]</f>
        <v>#DIV/0!</v>
      </c>
      <c r="K192" s="57" t="str">
        <f>IFERROR(tbl_Level[[#This Row],[Qty Required]]/tbl_Level[[#This Row],[PPH]]*tbl_Level[[#This Row],['# of men]],"")</f>
        <v/>
      </c>
      <c r="L192" s="58" t="e">
        <f>tbl_Level[[#This Row],[Total hours]]*tbl_Level[[#This Row],[% Complete]]</f>
        <v>#VALUE!</v>
      </c>
      <c r="M192" s="59" t="str">
        <f>IFERROR(tbl_Level[[#This Row],[Qty Complete]]/tbl_Level[[#This Row],[Total Hours Act]]*tbl_Level[[#This Row],['# of men Act]],"")</f>
        <v/>
      </c>
      <c r="O192"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92" s="71" t="str">
        <f>IFERROR((tbl_Level[[#This Row],[Adj. Total Hours]]+tbl_Level[[#This Row],[Est. Hours]])/(tbl_Level[[#This Row],[Total Hours Act]]+tbl_Level[[#This Row],[Act. Hours]]),"")</f>
        <v/>
      </c>
      <c r="S192" s="63"/>
      <c r="T192" s="63"/>
      <c r="U192" s="63"/>
      <c r="V192" s="63"/>
      <c r="W192" s="63"/>
    </row>
    <row r="193" spans="6:23" ht="25" customHeight="1">
      <c r="F193" s="53"/>
      <c r="H193" s="55" t="e">
        <f>tbl_Level[[#This Row],[Qty Complete]]/tbl_Level[[#This Row],[Qty Required]]</f>
        <v>#DIV/0!</v>
      </c>
      <c r="K193" s="57" t="str">
        <f>IFERROR(tbl_Level[[#This Row],[Qty Required]]/tbl_Level[[#This Row],[PPH]]*tbl_Level[[#This Row],['# of men]],"")</f>
        <v/>
      </c>
      <c r="L193" s="58" t="e">
        <f>tbl_Level[[#This Row],[Total hours]]*tbl_Level[[#This Row],[% Complete]]</f>
        <v>#VALUE!</v>
      </c>
      <c r="M193" s="59" t="str">
        <f>IFERROR(tbl_Level[[#This Row],[Qty Complete]]/tbl_Level[[#This Row],[Total Hours Act]]*tbl_Level[[#This Row],['# of men Act]],"")</f>
        <v/>
      </c>
      <c r="O193"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93" s="71" t="str">
        <f>IFERROR((tbl_Level[[#This Row],[Adj. Total Hours]]+tbl_Level[[#This Row],[Est. Hours]])/(tbl_Level[[#This Row],[Total Hours Act]]+tbl_Level[[#This Row],[Act. Hours]]),"")</f>
        <v/>
      </c>
      <c r="S193" s="63"/>
      <c r="T193" s="63"/>
      <c r="U193" s="63"/>
      <c r="V193" s="63"/>
      <c r="W193" s="63"/>
    </row>
    <row r="194" spans="6:23" ht="25" customHeight="1">
      <c r="F194" s="53"/>
      <c r="H194" s="55" t="e">
        <f>tbl_Level[[#This Row],[Qty Complete]]/tbl_Level[[#This Row],[Qty Required]]</f>
        <v>#DIV/0!</v>
      </c>
      <c r="K194" s="57" t="str">
        <f>IFERROR(tbl_Level[[#This Row],[Qty Required]]/tbl_Level[[#This Row],[PPH]]*tbl_Level[[#This Row],['# of men]],"")</f>
        <v/>
      </c>
      <c r="L194" s="58" t="e">
        <f>tbl_Level[[#This Row],[Total hours]]*tbl_Level[[#This Row],[% Complete]]</f>
        <v>#VALUE!</v>
      </c>
      <c r="M194" s="59" t="str">
        <f>IFERROR(tbl_Level[[#This Row],[Qty Complete]]/tbl_Level[[#This Row],[Total Hours Act]]*tbl_Level[[#This Row],['# of men Act]],"")</f>
        <v/>
      </c>
      <c r="O194"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94" s="71" t="str">
        <f>IFERROR((tbl_Level[[#This Row],[Adj. Total Hours]]+tbl_Level[[#This Row],[Est. Hours]])/(tbl_Level[[#This Row],[Total Hours Act]]+tbl_Level[[#This Row],[Act. Hours]]),"")</f>
        <v/>
      </c>
      <c r="S194" s="63"/>
      <c r="T194" s="63"/>
      <c r="U194" s="63"/>
      <c r="V194" s="63"/>
      <c r="W194" s="63"/>
    </row>
    <row r="195" spans="6:23" ht="25" customHeight="1">
      <c r="F195" s="53"/>
      <c r="H195" s="55" t="e">
        <f>tbl_Level[[#This Row],[Qty Complete]]/tbl_Level[[#This Row],[Qty Required]]</f>
        <v>#DIV/0!</v>
      </c>
      <c r="K195" s="57" t="str">
        <f>IFERROR(tbl_Level[[#This Row],[Qty Required]]/tbl_Level[[#This Row],[PPH]]*tbl_Level[[#This Row],['# of men]],"")</f>
        <v/>
      </c>
      <c r="L195" s="58" t="e">
        <f>tbl_Level[[#This Row],[Total hours]]*tbl_Level[[#This Row],[% Complete]]</f>
        <v>#VALUE!</v>
      </c>
      <c r="M195" s="59" t="str">
        <f>IFERROR(tbl_Level[[#This Row],[Qty Complete]]/tbl_Level[[#This Row],[Total Hours Act]]*tbl_Level[[#This Row],['# of men Act]],"")</f>
        <v/>
      </c>
      <c r="O195"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95" s="71" t="str">
        <f>IFERROR((tbl_Level[[#This Row],[Adj. Total Hours]]+tbl_Level[[#This Row],[Est. Hours]])/(tbl_Level[[#This Row],[Total Hours Act]]+tbl_Level[[#This Row],[Act. Hours]]),"")</f>
        <v/>
      </c>
      <c r="S195" s="63"/>
      <c r="T195" s="63"/>
      <c r="U195" s="63"/>
      <c r="V195" s="63"/>
      <c r="W195" s="63"/>
    </row>
    <row r="196" spans="6:23" ht="25" customHeight="1">
      <c r="F196" s="53"/>
      <c r="H196" s="55" t="e">
        <f>tbl_Level[[#This Row],[Qty Complete]]/tbl_Level[[#This Row],[Qty Required]]</f>
        <v>#DIV/0!</v>
      </c>
      <c r="K196" s="57" t="str">
        <f>IFERROR(tbl_Level[[#This Row],[Qty Required]]/tbl_Level[[#This Row],[PPH]]*tbl_Level[[#This Row],['# of men]],"")</f>
        <v/>
      </c>
      <c r="L196" s="58" t="e">
        <f>tbl_Level[[#This Row],[Total hours]]*tbl_Level[[#This Row],[% Complete]]</f>
        <v>#VALUE!</v>
      </c>
      <c r="M196" s="59" t="str">
        <f>IFERROR(tbl_Level[[#This Row],[Qty Complete]]/tbl_Level[[#This Row],[Total Hours Act]]*tbl_Level[[#This Row],['# of men Act]],"")</f>
        <v/>
      </c>
      <c r="O196"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96" s="71" t="str">
        <f>IFERROR((tbl_Level[[#This Row],[Adj. Total Hours]]+tbl_Level[[#This Row],[Est. Hours]])/(tbl_Level[[#This Row],[Total Hours Act]]+tbl_Level[[#This Row],[Act. Hours]]),"")</f>
        <v/>
      </c>
      <c r="S196" s="63"/>
      <c r="T196" s="63"/>
      <c r="U196" s="63"/>
      <c r="V196" s="63"/>
      <c r="W196" s="63"/>
    </row>
    <row r="197" spans="6:23" ht="25" customHeight="1">
      <c r="F197" s="53"/>
      <c r="H197" s="55" t="e">
        <f>tbl_Level[[#This Row],[Qty Complete]]/tbl_Level[[#This Row],[Qty Required]]</f>
        <v>#DIV/0!</v>
      </c>
      <c r="K197" s="57" t="str">
        <f>IFERROR(tbl_Level[[#This Row],[Qty Required]]/tbl_Level[[#This Row],[PPH]]*tbl_Level[[#This Row],['# of men]],"")</f>
        <v/>
      </c>
      <c r="L197" s="58" t="e">
        <f>tbl_Level[[#This Row],[Total hours]]*tbl_Level[[#This Row],[% Complete]]</f>
        <v>#VALUE!</v>
      </c>
      <c r="M197" s="59" t="str">
        <f>IFERROR(tbl_Level[[#This Row],[Qty Complete]]/tbl_Level[[#This Row],[Total Hours Act]]*tbl_Level[[#This Row],['# of men Act]],"")</f>
        <v/>
      </c>
      <c r="O197"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97" s="71" t="str">
        <f>IFERROR((tbl_Level[[#This Row],[Adj. Total Hours]]+tbl_Level[[#This Row],[Est. Hours]])/(tbl_Level[[#This Row],[Total Hours Act]]+tbl_Level[[#This Row],[Act. Hours]]),"")</f>
        <v/>
      </c>
      <c r="S197" s="63"/>
      <c r="T197" s="63"/>
      <c r="U197" s="63"/>
      <c r="V197" s="63"/>
      <c r="W197" s="63"/>
    </row>
    <row r="198" spans="6:23" ht="25" customHeight="1">
      <c r="F198" s="53"/>
      <c r="H198" s="55" t="e">
        <f>tbl_Level[[#This Row],[Qty Complete]]/tbl_Level[[#This Row],[Qty Required]]</f>
        <v>#DIV/0!</v>
      </c>
      <c r="K198" s="57" t="str">
        <f>IFERROR(tbl_Level[[#This Row],[Qty Required]]/tbl_Level[[#This Row],[PPH]]*tbl_Level[[#This Row],['# of men]],"")</f>
        <v/>
      </c>
      <c r="L198" s="58" t="e">
        <f>tbl_Level[[#This Row],[Total hours]]*tbl_Level[[#This Row],[% Complete]]</f>
        <v>#VALUE!</v>
      </c>
      <c r="M198" s="59" t="str">
        <f>IFERROR(tbl_Level[[#This Row],[Qty Complete]]/tbl_Level[[#This Row],[Total Hours Act]]*tbl_Level[[#This Row],['# of men Act]],"")</f>
        <v/>
      </c>
      <c r="O198"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98" s="71" t="str">
        <f>IFERROR((tbl_Level[[#This Row],[Adj. Total Hours]]+tbl_Level[[#This Row],[Est. Hours]])/(tbl_Level[[#This Row],[Total Hours Act]]+tbl_Level[[#This Row],[Act. Hours]]),"")</f>
        <v/>
      </c>
      <c r="S198" s="63"/>
      <c r="T198" s="63"/>
      <c r="U198" s="63"/>
      <c r="V198" s="63"/>
      <c r="W198" s="63"/>
    </row>
    <row r="199" spans="6:23" ht="25" customHeight="1">
      <c r="F199" s="53"/>
      <c r="H199" s="55" t="e">
        <f>tbl_Level[[#This Row],[Qty Complete]]/tbl_Level[[#This Row],[Qty Required]]</f>
        <v>#DIV/0!</v>
      </c>
      <c r="K199" s="57" t="str">
        <f>IFERROR(tbl_Level[[#This Row],[Qty Required]]/tbl_Level[[#This Row],[PPH]]*tbl_Level[[#This Row],['# of men]],"")</f>
        <v/>
      </c>
      <c r="L199" s="58" t="e">
        <f>tbl_Level[[#This Row],[Total hours]]*tbl_Level[[#This Row],[% Complete]]</f>
        <v>#VALUE!</v>
      </c>
      <c r="M199" s="59" t="str">
        <f>IFERROR(tbl_Level[[#This Row],[Qty Complete]]/tbl_Level[[#This Row],[Total Hours Act]]*tbl_Level[[#This Row],['# of men Act]],"")</f>
        <v/>
      </c>
      <c r="O199"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199" s="71" t="str">
        <f>IFERROR((tbl_Level[[#This Row],[Adj. Total Hours]]+tbl_Level[[#This Row],[Est. Hours]])/(tbl_Level[[#This Row],[Total Hours Act]]+tbl_Level[[#This Row],[Act. Hours]]),"")</f>
        <v/>
      </c>
      <c r="S199" s="63"/>
      <c r="T199" s="63"/>
      <c r="U199" s="63"/>
      <c r="V199" s="63"/>
      <c r="W199" s="63"/>
    </row>
    <row r="200" spans="6:23" ht="25" customHeight="1">
      <c r="F200" s="53"/>
      <c r="H200" s="55" t="e">
        <f>tbl_Level[[#This Row],[Qty Complete]]/tbl_Level[[#This Row],[Qty Required]]</f>
        <v>#DIV/0!</v>
      </c>
      <c r="K200" s="57" t="str">
        <f>IFERROR(tbl_Level[[#This Row],[Qty Required]]/tbl_Level[[#This Row],[PPH]]*tbl_Level[[#This Row],['# of men]],"")</f>
        <v/>
      </c>
      <c r="L200" s="58" t="e">
        <f>tbl_Level[[#This Row],[Total hours]]*tbl_Level[[#This Row],[% Complete]]</f>
        <v>#VALUE!</v>
      </c>
      <c r="M200" s="59" t="str">
        <f>IFERROR(tbl_Level[[#This Row],[Qty Complete]]/tbl_Level[[#This Row],[Total Hours Act]]*tbl_Level[[#This Row],['# of men Act]],"")</f>
        <v/>
      </c>
      <c r="O200"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00" s="71" t="str">
        <f>IFERROR((tbl_Level[[#This Row],[Adj. Total Hours]]+tbl_Level[[#This Row],[Est. Hours]])/(tbl_Level[[#This Row],[Total Hours Act]]+tbl_Level[[#This Row],[Act. Hours]]),"")</f>
        <v/>
      </c>
      <c r="S200" s="63"/>
      <c r="T200" s="63"/>
      <c r="U200" s="63"/>
      <c r="V200" s="63"/>
      <c r="W200" s="63"/>
    </row>
    <row r="201" spans="6:23" ht="25" customHeight="1">
      <c r="F201" s="53"/>
      <c r="H201" s="55" t="e">
        <f>tbl_Level[[#This Row],[Qty Complete]]/tbl_Level[[#This Row],[Qty Required]]</f>
        <v>#DIV/0!</v>
      </c>
      <c r="K201" s="57" t="str">
        <f>IFERROR(tbl_Level[[#This Row],[Qty Required]]/tbl_Level[[#This Row],[PPH]]*tbl_Level[[#This Row],['# of men]],"")</f>
        <v/>
      </c>
      <c r="L201" s="58" t="e">
        <f>tbl_Level[[#This Row],[Total hours]]*tbl_Level[[#This Row],[% Complete]]</f>
        <v>#VALUE!</v>
      </c>
      <c r="M201" s="59" t="str">
        <f>IFERROR(tbl_Level[[#This Row],[Qty Complete]]/tbl_Level[[#This Row],[Total Hours Act]]*tbl_Level[[#This Row],['# of men Act]],"")</f>
        <v/>
      </c>
      <c r="O201"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01" s="71" t="str">
        <f>IFERROR((tbl_Level[[#This Row],[Adj. Total Hours]]+tbl_Level[[#This Row],[Est. Hours]])/(tbl_Level[[#This Row],[Total Hours Act]]+tbl_Level[[#This Row],[Act. Hours]]),"")</f>
        <v/>
      </c>
      <c r="S201" s="63"/>
      <c r="T201" s="63"/>
      <c r="U201" s="63"/>
      <c r="V201" s="63"/>
      <c r="W201" s="63"/>
    </row>
    <row r="202" spans="6:23" ht="25" customHeight="1">
      <c r="F202" s="53"/>
      <c r="H202" s="55" t="e">
        <f>tbl_Level[[#This Row],[Qty Complete]]/tbl_Level[[#This Row],[Qty Required]]</f>
        <v>#DIV/0!</v>
      </c>
      <c r="K202" s="57" t="str">
        <f>IFERROR(tbl_Level[[#This Row],[Qty Required]]/tbl_Level[[#This Row],[PPH]]*tbl_Level[[#This Row],['# of men]],"")</f>
        <v/>
      </c>
      <c r="L202" s="58" t="e">
        <f>tbl_Level[[#This Row],[Total hours]]*tbl_Level[[#This Row],[% Complete]]</f>
        <v>#VALUE!</v>
      </c>
      <c r="M202" s="59" t="str">
        <f>IFERROR(tbl_Level[[#This Row],[Qty Complete]]/tbl_Level[[#This Row],[Total Hours Act]]*tbl_Level[[#This Row],['# of men Act]],"")</f>
        <v/>
      </c>
      <c r="O202"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02" s="71" t="str">
        <f>IFERROR((tbl_Level[[#This Row],[Adj. Total Hours]]+tbl_Level[[#This Row],[Est. Hours]])/(tbl_Level[[#This Row],[Total Hours Act]]+tbl_Level[[#This Row],[Act. Hours]]),"")</f>
        <v/>
      </c>
      <c r="S202" s="63"/>
      <c r="T202" s="63"/>
      <c r="U202" s="63"/>
      <c r="V202" s="63"/>
      <c r="W202" s="63"/>
    </row>
    <row r="203" spans="6:23" ht="25" customHeight="1">
      <c r="F203" s="53"/>
      <c r="H203" s="55" t="e">
        <f>tbl_Level[[#This Row],[Qty Complete]]/tbl_Level[[#This Row],[Qty Required]]</f>
        <v>#DIV/0!</v>
      </c>
      <c r="K203" s="57" t="str">
        <f>IFERROR(tbl_Level[[#This Row],[Qty Required]]/tbl_Level[[#This Row],[PPH]]*tbl_Level[[#This Row],['# of men]],"")</f>
        <v/>
      </c>
      <c r="L203" s="58" t="e">
        <f>tbl_Level[[#This Row],[Total hours]]*tbl_Level[[#This Row],[% Complete]]</f>
        <v>#VALUE!</v>
      </c>
      <c r="M203" s="59" t="str">
        <f>IFERROR(tbl_Level[[#This Row],[Qty Complete]]/tbl_Level[[#This Row],[Total Hours Act]]*tbl_Level[[#This Row],['# of men Act]],"")</f>
        <v/>
      </c>
      <c r="O203"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03" s="71" t="str">
        <f>IFERROR((tbl_Level[[#This Row],[Adj. Total Hours]]+tbl_Level[[#This Row],[Est. Hours]])/(tbl_Level[[#This Row],[Total Hours Act]]+tbl_Level[[#This Row],[Act. Hours]]),"")</f>
        <v/>
      </c>
      <c r="S203" s="63"/>
      <c r="T203" s="63"/>
      <c r="U203" s="63"/>
      <c r="V203" s="63"/>
      <c r="W203" s="63"/>
    </row>
    <row r="204" spans="6:23" ht="25" customHeight="1">
      <c r="F204" s="53"/>
      <c r="H204" s="55" t="e">
        <f>tbl_Level[[#This Row],[Qty Complete]]/tbl_Level[[#This Row],[Qty Required]]</f>
        <v>#DIV/0!</v>
      </c>
      <c r="K204" s="57" t="str">
        <f>IFERROR(tbl_Level[[#This Row],[Qty Required]]/tbl_Level[[#This Row],[PPH]]*tbl_Level[[#This Row],['# of men]],"")</f>
        <v/>
      </c>
      <c r="L204" s="58" t="e">
        <f>tbl_Level[[#This Row],[Total hours]]*tbl_Level[[#This Row],[% Complete]]</f>
        <v>#VALUE!</v>
      </c>
      <c r="M204" s="59" t="str">
        <f>IFERROR(tbl_Level[[#This Row],[Qty Complete]]/tbl_Level[[#This Row],[Total Hours Act]]*tbl_Level[[#This Row],['# of men Act]],"")</f>
        <v/>
      </c>
      <c r="O204"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04" s="71" t="str">
        <f>IFERROR((tbl_Level[[#This Row],[Adj. Total Hours]]+tbl_Level[[#This Row],[Est. Hours]])/(tbl_Level[[#This Row],[Total Hours Act]]+tbl_Level[[#This Row],[Act. Hours]]),"")</f>
        <v/>
      </c>
      <c r="S204" s="63"/>
      <c r="T204" s="63"/>
      <c r="U204" s="63"/>
      <c r="V204" s="63"/>
      <c r="W204" s="63"/>
    </row>
    <row r="205" spans="6:23" ht="25" customHeight="1">
      <c r="F205" s="53"/>
      <c r="H205" s="55" t="e">
        <f>tbl_Level[[#This Row],[Qty Complete]]/tbl_Level[[#This Row],[Qty Required]]</f>
        <v>#DIV/0!</v>
      </c>
      <c r="K205" s="57" t="str">
        <f>IFERROR(tbl_Level[[#This Row],[Qty Required]]/tbl_Level[[#This Row],[PPH]]*tbl_Level[[#This Row],['# of men]],"")</f>
        <v/>
      </c>
      <c r="L205" s="58" t="e">
        <f>tbl_Level[[#This Row],[Total hours]]*tbl_Level[[#This Row],[% Complete]]</f>
        <v>#VALUE!</v>
      </c>
      <c r="M205" s="59" t="str">
        <f>IFERROR(tbl_Level[[#This Row],[Qty Complete]]/tbl_Level[[#This Row],[Total Hours Act]]*tbl_Level[[#This Row],['# of men Act]],"")</f>
        <v/>
      </c>
      <c r="O205"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05" s="71" t="str">
        <f>IFERROR((tbl_Level[[#This Row],[Adj. Total Hours]]+tbl_Level[[#This Row],[Est. Hours]])/(tbl_Level[[#This Row],[Total Hours Act]]+tbl_Level[[#This Row],[Act. Hours]]),"")</f>
        <v/>
      </c>
      <c r="S205" s="63"/>
      <c r="T205" s="63"/>
      <c r="U205" s="63"/>
      <c r="V205" s="63"/>
      <c r="W205" s="63"/>
    </row>
    <row r="206" spans="6:23" ht="25" customHeight="1">
      <c r="F206" s="53"/>
      <c r="H206" s="55" t="e">
        <f>tbl_Level[[#This Row],[Qty Complete]]/tbl_Level[[#This Row],[Qty Required]]</f>
        <v>#DIV/0!</v>
      </c>
      <c r="K206" s="57" t="str">
        <f>IFERROR(tbl_Level[[#This Row],[Qty Required]]/tbl_Level[[#This Row],[PPH]]*tbl_Level[[#This Row],['# of men]],"")</f>
        <v/>
      </c>
      <c r="L206" s="58" t="e">
        <f>tbl_Level[[#This Row],[Total hours]]*tbl_Level[[#This Row],[% Complete]]</f>
        <v>#VALUE!</v>
      </c>
      <c r="M206" s="59" t="str">
        <f>IFERROR(tbl_Level[[#This Row],[Qty Complete]]/tbl_Level[[#This Row],[Total Hours Act]]*tbl_Level[[#This Row],['# of men Act]],"")</f>
        <v/>
      </c>
      <c r="O206"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06" s="71" t="str">
        <f>IFERROR((tbl_Level[[#This Row],[Adj. Total Hours]]+tbl_Level[[#This Row],[Est. Hours]])/(tbl_Level[[#This Row],[Total Hours Act]]+tbl_Level[[#This Row],[Act. Hours]]),"")</f>
        <v/>
      </c>
      <c r="S206" s="63"/>
      <c r="T206" s="63"/>
      <c r="U206" s="63"/>
      <c r="V206" s="63"/>
      <c r="W206" s="63"/>
    </row>
    <row r="207" spans="6:23" ht="25" customHeight="1">
      <c r="F207" s="53"/>
      <c r="H207" s="55" t="e">
        <f>tbl_Level[[#This Row],[Qty Complete]]/tbl_Level[[#This Row],[Qty Required]]</f>
        <v>#DIV/0!</v>
      </c>
      <c r="K207" s="57" t="str">
        <f>IFERROR(tbl_Level[[#This Row],[Qty Required]]/tbl_Level[[#This Row],[PPH]]*tbl_Level[[#This Row],['# of men]],"")</f>
        <v/>
      </c>
      <c r="L207" s="58" t="e">
        <f>tbl_Level[[#This Row],[Total hours]]*tbl_Level[[#This Row],[% Complete]]</f>
        <v>#VALUE!</v>
      </c>
      <c r="M207" s="59" t="str">
        <f>IFERROR(tbl_Level[[#This Row],[Qty Complete]]/tbl_Level[[#This Row],[Total Hours Act]]*tbl_Level[[#This Row],['# of men Act]],"")</f>
        <v/>
      </c>
      <c r="O207"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07" s="71" t="str">
        <f>IFERROR((tbl_Level[[#This Row],[Adj. Total Hours]]+tbl_Level[[#This Row],[Est. Hours]])/(tbl_Level[[#This Row],[Total Hours Act]]+tbl_Level[[#This Row],[Act. Hours]]),"")</f>
        <v/>
      </c>
      <c r="S207" s="63"/>
      <c r="T207" s="63"/>
      <c r="U207" s="63"/>
      <c r="V207" s="63"/>
      <c r="W207" s="63"/>
    </row>
    <row r="208" spans="6:23" ht="25" customHeight="1">
      <c r="F208" s="53"/>
      <c r="H208" s="55" t="e">
        <f>tbl_Level[[#This Row],[Qty Complete]]/tbl_Level[[#This Row],[Qty Required]]</f>
        <v>#DIV/0!</v>
      </c>
      <c r="K208" s="57" t="str">
        <f>IFERROR(tbl_Level[[#This Row],[Qty Required]]/tbl_Level[[#This Row],[PPH]]*tbl_Level[[#This Row],['# of men]],"")</f>
        <v/>
      </c>
      <c r="L208" s="58" t="e">
        <f>tbl_Level[[#This Row],[Total hours]]*tbl_Level[[#This Row],[% Complete]]</f>
        <v>#VALUE!</v>
      </c>
      <c r="M208" s="59" t="str">
        <f>IFERROR(tbl_Level[[#This Row],[Qty Complete]]/tbl_Level[[#This Row],[Total Hours Act]]*tbl_Level[[#This Row],['# of men Act]],"")</f>
        <v/>
      </c>
      <c r="O208"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08" s="71" t="str">
        <f>IFERROR((tbl_Level[[#This Row],[Adj. Total Hours]]+tbl_Level[[#This Row],[Est. Hours]])/(tbl_Level[[#This Row],[Total Hours Act]]+tbl_Level[[#This Row],[Act. Hours]]),"")</f>
        <v/>
      </c>
      <c r="S208" s="63"/>
      <c r="T208" s="63"/>
      <c r="U208" s="63"/>
      <c r="V208" s="63"/>
      <c r="W208" s="63"/>
    </row>
    <row r="209" spans="6:23" ht="25" customHeight="1">
      <c r="F209" s="53"/>
      <c r="H209" s="55" t="e">
        <f>tbl_Level[[#This Row],[Qty Complete]]/tbl_Level[[#This Row],[Qty Required]]</f>
        <v>#DIV/0!</v>
      </c>
      <c r="K209" s="57" t="str">
        <f>IFERROR(tbl_Level[[#This Row],[Qty Required]]/tbl_Level[[#This Row],[PPH]]*tbl_Level[[#This Row],['# of men]],"")</f>
        <v/>
      </c>
      <c r="L209" s="58" t="e">
        <f>tbl_Level[[#This Row],[Total hours]]*tbl_Level[[#This Row],[% Complete]]</f>
        <v>#VALUE!</v>
      </c>
      <c r="M209" s="59" t="str">
        <f>IFERROR(tbl_Level[[#This Row],[Qty Complete]]/tbl_Level[[#This Row],[Total Hours Act]]*tbl_Level[[#This Row],['# of men Act]],"")</f>
        <v/>
      </c>
      <c r="O209"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09" s="71" t="str">
        <f>IFERROR((tbl_Level[[#This Row],[Adj. Total Hours]]+tbl_Level[[#This Row],[Est. Hours]])/(tbl_Level[[#This Row],[Total Hours Act]]+tbl_Level[[#This Row],[Act. Hours]]),"")</f>
        <v/>
      </c>
      <c r="S209" s="63"/>
      <c r="T209" s="63"/>
      <c r="U209" s="63"/>
      <c r="V209" s="63"/>
      <c r="W209" s="63"/>
    </row>
    <row r="210" spans="6:23" ht="25" customHeight="1">
      <c r="F210" s="53"/>
      <c r="H210" s="55" t="e">
        <f>tbl_Level[[#This Row],[Qty Complete]]/tbl_Level[[#This Row],[Qty Required]]</f>
        <v>#DIV/0!</v>
      </c>
      <c r="K210" s="57" t="str">
        <f>IFERROR(tbl_Level[[#This Row],[Qty Required]]/tbl_Level[[#This Row],[PPH]]*tbl_Level[[#This Row],['# of men]],"")</f>
        <v/>
      </c>
      <c r="L210" s="58" t="e">
        <f>tbl_Level[[#This Row],[Total hours]]*tbl_Level[[#This Row],[% Complete]]</f>
        <v>#VALUE!</v>
      </c>
      <c r="M210" s="59" t="str">
        <f>IFERROR(tbl_Level[[#This Row],[Qty Complete]]/tbl_Level[[#This Row],[Total Hours Act]]*tbl_Level[[#This Row],['# of men Act]],"")</f>
        <v/>
      </c>
      <c r="O210"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10" s="71" t="str">
        <f>IFERROR((tbl_Level[[#This Row],[Adj. Total Hours]]+tbl_Level[[#This Row],[Est. Hours]])/(tbl_Level[[#This Row],[Total Hours Act]]+tbl_Level[[#This Row],[Act. Hours]]),"")</f>
        <v/>
      </c>
      <c r="S210" s="63"/>
      <c r="T210" s="63"/>
      <c r="U210" s="63"/>
      <c r="V210" s="63"/>
      <c r="W210" s="63"/>
    </row>
    <row r="211" spans="6:23" ht="25" customHeight="1">
      <c r="F211" s="53"/>
      <c r="H211" s="55" t="e">
        <f>tbl_Level[[#This Row],[Qty Complete]]/tbl_Level[[#This Row],[Qty Required]]</f>
        <v>#DIV/0!</v>
      </c>
      <c r="K211" s="57" t="str">
        <f>IFERROR(tbl_Level[[#This Row],[Qty Required]]/tbl_Level[[#This Row],[PPH]]*tbl_Level[[#This Row],['# of men]],"")</f>
        <v/>
      </c>
      <c r="L211" s="58" t="e">
        <f>tbl_Level[[#This Row],[Total hours]]*tbl_Level[[#This Row],[% Complete]]</f>
        <v>#VALUE!</v>
      </c>
      <c r="M211" s="59" t="str">
        <f>IFERROR(tbl_Level[[#This Row],[Qty Complete]]/tbl_Level[[#This Row],[Total Hours Act]]*tbl_Level[[#This Row],['# of men Act]],"")</f>
        <v/>
      </c>
      <c r="O211"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11" s="71" t="str">
        <f>IFERROR((tbl_Level[[#This Row],[Adj. Total Hours]]+tbl_Level[[#This Row],[Est. Hours]])/(tbl_Level[[#This Row],[Total Hours Act]]+tbl_Level[[#This Row],[Act. Hours]]),"")</f>
        <v/>
      </c>
      <c r="S211" s="63"/>
      <c r="T211" s="63"/>
      <c r="U211" s="63"/>
      <c r="V211" s="63"/>
      <c r="W211" s="63"/>
    </row>
    <row r="212" spans="6:23" ht="25" customHeight="1">
      <c r="F212" s="53"/>
      <c r="H212" s="55" t="e">
        <f>tbl_Level[[#This Row],[Qty Complete]]/tbl_Level[[#This Row],[Qty Required]]</f>
        <v>#DIV/0!</v>
      </c>
      <c r="K212" s="57" t="str">
        <f>IFERROR(tbl_Level[[#This Row],[Qty Required]]/tbl_Level[[#This Row],[PPH]]*tbl_Level[[#This Row],['# of men]],"")</f>
        <v/>
      </c>
      <c r="L212" s="58" t="e">
        <f>tbl_Level[[#This Row],[Total hours]]*tbl_Level[[#This Row],[% Complete]]</f>
        <v>#VALUE!</v>
      </c>
      <c r="M212" s="59" t="str">
        <f>IFERROR(tbl_Level[[#This Row],[Qty Complete]]/tbl_Level[[#This Row],[Total Hours Act]]*tbl_Level[[#This Row],['# of men Act]],"")</f>
        <v/>
      </c>
      <c r="O212"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12" s="71" t="str">
        <f>IFERROR((tbl_Level[[#This Row],[Adj. Total Hours]]+tbl_Level[[#This Row],[Est. Hours]])/(tbl_Level[[#This Row],[Total Hours Act]]+tbl_Level[[#This Row],[Act. Hours]]),"")</f>
        <v/>
      </c>
      <c r="S212" s="63"/>
      <c r="T212" s="63"/>
      <c r="U212" s="63"/>
      <c r="V212" s="63"/>
      <c r="W212" s="63"/>
    </row>
    <row r="213" spans="6:23" ht="25" customHeight="1">
      <c r="F213" s="53"/>
      <c r="H213" s="55" t="e">
        <f>tbl_Level[[#This Row],[Qty Complete]]/tbl_Level[[#This Row],[Qty Required]]</f>
        <v>#DIV/0!</v>
      </c>
      <c r="K213" s="57" t="str">
        <f>IFERROR(tbl_Level[[#This Row],[Qty Required]]/tbl_Level[[#This Row],[PPH]]*tbl_Level[[#This Row],['# of men]],"")</f>
        <v/>
      </c>
      <c r="L213" s="58" t="e">
        <f>tbl_Level[[#This Row],[Total hours]]*tbl_Level[[#This Row],[% Complete]]</f>
        <v>#VALUE!</v>
      </c>
      <c r="M213" s="59" t="str">
        <f>IFERROR(tbl_Level[[#This Row],[Qty Complete]]/tbl_Level[[#This Row],[Total Hours Act]]*tbl_Level[[#This Row],['# of men Act]],"")</f>
        <v/>
      </c>
      <c r="O213"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13" s="71" t="str">
        <f>IFERROR((tbl_Level[[#This Row],[Adj. Total Hours]]+tbl_Level[[#This Row],[Est. Hours]])/(tbl_Level[[#This Row],[Total Hours Act]]+tbl_Level[[#This Row],[Act. Hours]]),"")</f>
        <v/>
      </c>
      <c r="S213" s="63"/>
      <c r="T213" s="63"/>
      <c r="U213" s="63"/>
      <c r="V213" s="63"/>
      <c r="W213" s="63"/>
    </row>
    <row r="214" spans="6:23" ht="25" customHeight="1">
      <c r="F214" s="53"/>
      <c r="H214" s="55" t="e">
        <f>tbl_Level[[#This Row],[Qty Complete]]/tbl_Level[[#This Row],[Qty Required]]</f>
        <v>#DIV/0!</v>
      </c>
      <c r="K214" s="57" t="str">
        <f>IFERROR(tbl_Level[[#This Row],[Qty Required]]/tbl_Level[[#This Row],[PPH]]*tbl_Level[[#This Row],['# of men]],"")</f>
        <v/>
      </c>
      <c r="L214" s="58" t="e">
        <f>tbl_Level[[#This Row],[Total hours]]*tbl_Level[[#This Row],[% Complete]]</f>
        <v>#VALUE!</v>
      </c>
      <c r="M214" s="59" t="str">
        <f>IFERROR(tbl_Level[[#This Row],[Qty Complete]]/tbl_Level[[#This Row],[Total Hours Act]]*tbl_Level[[#This Row],['# of men Act]],"")</f>
        <v/>
      </c>
      <c r="O214"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14" s="71" t="str">
        <f>IFERROR((tbl_Level[[#This Row],[Adj. Total Hours]]+tbl_Level[[#This Row],[Est. Hours]])/(tbl_Level[[#This Row],[Total Hours Act]]+tbl_Level[[#This Row],[Act. Hours]]),"")</f>
        <v/>
      </c>
      <c r="S214" s="63"/>
      <c r="T214" s="63"/>
      <c r="U214" s="63"/>
      <c r="V214" s="63"/>
      <c r="W214" s="63"/>
    </row>
    <row r="215" spans="6:23" ht="25" customHeight="1">
      <c r="F215" s="53"/>
      <c r="H215" s="55" t="e">
        <f>tbl_Level[[#This Row],[Qty Complete]]/tbl_Level[[#This Row],[Qty Required]]</f>
        <v>#DIV/0!</v>
      </c>
      <c r="K215" s="57" t="str">
        <f>IFERROR(tbl_Level[[#This Row],[Qty Required]]/tbl_Level[[#This Row],[PPH]]*tbl_Level[[#This Row],['# of men]],"")</f>
        <v/>
      </c>
      <c r="L215" s="58" t="e">
        <f>tbl_Level[[#This Row],[Total hours]]*tbl_Level[[#This Row],[% Complete]]</f>
        <v>#VALUE!</v>
      </c>
      <c r="M215" s="59" t="str">
        <f>IFERROR(tbl_Level[[#This Row],[Qty Complete]]/tbl_Level[[#This Row],[Total Hours Act]]*tbl_Level[[#This Row],['# of men Act]],"")</f>
        <v/>
      </c>
      <c r="O215"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15" s="71" t="str">
        <f>IFERROR((tbl_Level[[#This Row],[Adj. Total Hours]]+tbl_Level[[#This Row],[Est. Hours]])/(tbl_Level[[#This Row],[Total Hours Act]]+tbl_Level[[#This Row],[Act. Hours]]),"")</f>
        <v/>
      </c>
      <c r="S215" s="63"/>
      <c r="T215" s="63"/>
      <c r="U215" s="63"/>
      <c r="V215" s="63"/>
      <c r="W215" s="63"/>
    </row>
    <row r="216" spans="6:23" ht="25" customHeight="1">
      <c r="F216" s="53"/>
      <c r="H216" s="55" t="e">
        <f>tbl_Level[[#This Row],[Qty Complete]]/tbl_Level[[#This Row],[Qty Required]]</f>
        <v>#DIV/0!</v>
      </c>
      <c r="K216" s="57" t="str">
        <f>IFERROR(tbl_Level[[#This Row],[Qty Required]]/tbl_Level[[#This Row],[PPH]]*tbl_Level[[#This Row],['# of men]],"")</f>
        <v/>
      </c>
      <c r="L216" s="58" t="e">
        <f>tbl_Level[[#This Row],[Total hours]]*tbl_Level[[#This Row],[% Complete]]</f>
        <v>#VALUE!</v>
      </c>
      <c r="M216" s="59" t="str">
        <f>IFERROR(tbl_Level[[#This Row],[Qty Complete]]/tbl_Level[[#This Row],[Total Hours Act]]*tbl_Level[[#This Row],['# of men Act]],"")</f>
        <v/>
      </c>
      <c r="O216"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16" s="71" t="str">
        <f>IFERROR((tbl_Level[[#This Row],[Adj. Total Hours]]+tbl_Level[[#This Row],[Est. Hours]])/(tbl_Level[[#This Row],[Total Hours Act]]+tbl_Level[[#This Row],[Act. Hours]]),"")</f>
        <v/>
      </c>
      <c r="S216" s="63"/>
      <c r="T216" s="63"/>
      <c r="U216" s="63"/>
      <c r="V216" s="63"/>
      <c r="W216" s="63"/>
    </row>
    <row r="217" spans="6:23" ht="25" customHeight="1">
      <c r="F217" s="53"/>
      <c r="H217" s="55" t="e">
        <f>tbl_Level[[#This Row],[Qty Complete]]/tbl_Level[[#This Row],[Qty Required]]</f>
        <v>#DIV/0!</v>
      </c>
      <c r="K217" s="57" t="str">
        <f>IFERROR(tbl_Level[[#This Row],[Qty Required]]/tbl_Level[[#This Row],[PPH]]*tbl_Level[[#This Row],['# of men]],"")</f>
        <v/>
      </c>
      <c r="L217" s="58" t="e">
        <f>tbl_Level[[#This Row],[Total hours]]*tbl_Level[[#This Row],[% Complete]]</f>
        <v>#VALUE!</v>
      </c>
      <c r="M217" s="59" t="str">
        <f>IFERROR(tbl_Level[[#This Row],[Qty Complete]]/tbl_Level[[#This Row],[Total Hours Act]]*tbl_Level[[#This Row],['# of men Act]],"")</f>
        <v/>
      </c>
      <c r="O217"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17" s="71" t="str">
        <f>IFERROR((tbl_Level[[#This Row],[Adj. Total Hours]]+tbl_Level[[#This Row],[Est. Hours]])/(tbl_Level[[#This Row],[Total Hours Act]]+tbl_Level[[#This Row],[Act. Hours]]),"")</f>
        <v/>
      </c>
      <c r="S217" s="63"/>
      <c r="T217" s="63"/>
      <c r="U217" s="63"/>
      <c r="V217" s="63"/>
      <c r="W217" s="63"/>
    </row>
    <row r="218" spans="6:23" ht="25" customHeight="1">
      <c r="F218" s="53"/>
      <c r="H218" s="55" t="e">
        <f>tbl_Level[[#This Row],[Qty Complete]]/tbl_Level[[#This Row],[Qty Required]]</f>
        <v>#DIV/0!</v>
      </c>
      <c r="K218" s="57" t="str">
        <f>IFERROR(tbl_Level[[#This Row],[Qty Required]]/tbl_Level[[#This Row],[PPH]]*tbl_Level[[#This Row],['# of men]],"")</f>
        <v/>
      </c>
      <c r="L218" s="58" t="e">
        <f>tbl_Level[[#This Row],[Total hours]]*tbl_Level[[#This Row],[% Complete]]</f>
        <v>#VALUE!</v>
      </c>
      <c r="M218" s="59" t="str">
        <f>IFERROR(tbl_Level[[#This Row],[Qty Complete]]/tbl_Level[[#This Row],[Total Hours Act]]*tbl_Level[[#This Row],['# of men Act]],"")</f>
        <v/>
      </c>
      <c r="O218"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18" s="71" t="str">
        <f>IFERROR((tbl_Level[[#This Row],[Adj. Total Hours]]+tbl_Level[[#This Row],[Est. Hours]])/(tbl_Level[[#This Row],[Total Hours Act]]+tbl_Level[[#This Row],[Act. Hours]]),"")</f>
        <v/>
      </c>
      <c r="S218" s="63"/>
      <c r="T218" s="63"/>
      <c r="U218" s="63"/>
      <c r="V218" s="63"/>
      <c r="W218" s="63"/>
    </row>
    <row r="219" spans="6:23" ht="25" customHeight="1">
      <c r="F219" s="53"/>
      <c r="H219" s="55" t="e">
        <f>tbl_Level[[#This Row],[Qty Complete]]/tbl_Level[[#This Row],[Qty Required]]</f>
        <v>#DIV/0!</v>
      </c>
      <c r="K219" s="57" t="str">
        <f>IFERROR(tbl_Level[[#This Row],[Qty Required]]/tbl_Level[[#This Row],[PPH]]*tbl_Level[[#This Row],['# of men]],"")</f>
        <v/>
      </c>
      <c r="L219" s="58" t="e">
        <f>tbl_Level[[#This Row],[Total hours]]*tbl_Level[[#This Row],[% Complete]]</f>
        <v>#VALUE!</v>
      </c>
      <c r="M219" s="59" t="str">
        <f>IFERROR(tbl_Level[[#This Row],[Qty Complete]]/tbl_Level[[#This Row],[Total Hours Act]]*tbl_Level[[#This Row],['# of men Act]],"")</f>
        <v/>
      </c>
      <c r="O219"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19" s="71" t="str">
        <f>IFERROR((tbl_Level[[#This Row],[Adj. Total Hours]]+tbl_Level[[#This Row],[Est. Hours]])/(tbl_Level[[#This Row],[Total Hours Act]]+tbl_Level[[#This Row],[Act. Hours]]),"")</f>
        <v/>
      </c>
      <c r="S219" s="63"/>
      <c r="T219" s="63"/>
      <c r="U219" s="63"/>
      <c r="V219" s="63"/>
      <c r="W219" s="63"/>
    </row>
    <row r="220" spans="6:23" ht="25" customHeight="1">
      <c r="F220" s="53"/>
      <c r="H220" s="55" t="e">
        <f>tbl_Level[[#This Row],[Qty Complete]]/tbl_Level[[#This Row],[Qty Required]]</f>
        <v>#DIV/0!</v>
      </c>
      <c r="K220" s="57" t="str">
        <f>IFERROR(tbl_Level[[#This Row],[Qty Required]]/tbl_Level[[#This Row],[PPH]]*tbl_Level[[#This Row],['# of men]],"")</f>
        <v/>
      </c>
      <c r="L220" s="58" t="e">
        <f>tbl_Level[[#This Row],[Total hours]]*tbl_Level[[#This Row],[% Complete]]</f>
        <v>#VALUE!</v>
      </c>
      <c r="M220" s="59" t="str">
        <f>IFERROR(tbl_Level[[#This Row],[Qty Complete]]/tbl_Level[[#This Row],[Total Hours Act]]*tbl_Level[[#This Row],['# of men Act]],"")</f>
        <v/>
      </c>
      <c r="O220"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20" s="71" t="str">
        <f>IFERROR((tbl_Level[[#This Row],[Adj. Total Hours]]+tbl_Level[[#This Row],[Est. Hours]])/(tbl_Level[[#This Row],[Total Hours Act]]+tbl_Level[[#This Row],[Act. Hours]]),"")</f>
        <v/>
      </c>
      <c r="S220" s="63"/>
      <c r="T220" s="63"/>
      <c r="U220" s="63"/>
      <c r="V220" s="63"/>
      <c r="W220" s="63"/>
    </row>
    <row r="221" spans="6:23" ht="25" customHeight="1">
      <c r="F221" s="53"/>
      <c r="H221" s="55" t="e">
        <f>tbl_Level[[#This Row],[Qty Complete]]/tbl_Level[[#This Row],[Qty Required]]</f>
        <v>#DIV/0!</v>
      </c>
      <c r="K221" s="57" t="str">
        <f>IFERROR(tbl_Level[[#This Row],[Qty Required]]/tbl_Level[[#This Row],[PPH]]*tbl_Level[[#This Row],['# of men]],"")</f>
        <v/>
      </c>
      <c r="L221" s="58" t="e">
        <f>tbl_Level[[#This Row],[Total hours]]*tbl_Level[[#This Row],[% Complete]]</f>
        <v>#VALUE!</v>
      </c>
      <c r="M221" s="59" t="str">
        <f>IFERROR(tbl_Level[[#This Row],[Qty Complete]]/tbl_Level[[#This Row],[Total Hours Act]]*tbl_Level[[#This Row],['# of men Act]],"")</f>
        <v/>
      </c>
      <c r="O221"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21" s="71" t="str">
        <f>IFERROR((tbl_Level[[#This Row],[Adj. Total Hours]]+tbl_Level[[#This Row],[Est. Hours]])/(tbl_Level[[#This Row],[Total Hours Act]]+tbl_Level[[#This Row],[Act. Hours]]),"")</f>
        <v/>
      </c>
      <c r="S221" s="63"/>
      <c r="T221" s="63"/>
      <c r="U221" s="63"/>
      <c r="V221" s="63"/>
      <c r="W221" s="63"/>
    </row>
    <row r="222" spans="6:23" ht="25" customHeight="1">
      <c r="F222" s="53"/>
      <c r="H222" s="55" t="e">
        <f>tbl_Level[[#This Row],[Qty Complete]]/tbl_Level[[#This Row],[Qty Required]]</f>
        <v>#DIV/0!</v>
      </c>
      <c r="K222" s="57" t="str">
        <f>IFERROR(tbl_Level[[#This Row],[Qty Required]]/tbl_Level[[#This Row],[PPH]]*tbl_Level[[#This Row],['# of men]],"")</f>
        <v/>
      </c>
      <c r="L222" s="58" t="e">
        <f>tbl_Level[[#This Row],[Total hours]]*tbl_Level[[#This Row],[% Complete]]</f>
        <v>#VALUE!</v>
      </c>
      <c r="M222" s="59" t="str">
        <f>IFERROR(tbl_Level[[#This Row],[Qty Complete]]/tbl_Level[[#This Row],[Total Hours Act]]*tbl_Level[[#This Row],['# of men Act]],"")</f>
        <v/>
      </c>
      <c r="O222"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22" s="71" t="str">
        <f>IFERROR((tbl_Level[[#This Row],[Adj. Total Hours]]+tbl_Level[[#This Row],[Est. Hours]])/(tbl_Level[[#This Row],[Total Hours Act]]+tbl_Level[[#This Row],[Act. Hours]]),"")</f>
        <v/>
      </c>
      <c r="S222" s="63"/>
      <c r="T222" s="63"/>
      <c r="U222" s="63"/>
      <c r="V222" s="63"/>
      <c r="W222" s="63"/>
    </row>
    <row r="223" spans="6:23" ht="25" customHeight="1">
      <c r="F223" s="53"/>
      <c r="H223" s="55" t="e">
        <f>tbl_Level[[#This Row],[Qty Complete]]/tbl_Level[[#This Row],[Qty Required]]</f>
        <v>#DIV/0!</v>
      </c>
      <c r="K223" s="57" t="str">
        <f>IFERROR(tbl_Level[[#This Row],[Qty Required]]/tbl_Level[[#This Row],[PPH]]*tbl_Level[[#This Row],['# of men]],"")</f>
        <v/>
      </c>
      <c r="L223" s="58" t="e">
        <f>tbl_Level[[#This Row],[Total hours]]*tbl_Level[[#This Row],[% Complete]]</f>
        <v>#VALUE!</v>
      </c>
      <c r="M223" s="59" t="str">
        <f>IFERROR(tbl_Level[[#This Row],[Qty Complete]]/tbl_Level[[#This Row],[Total Hours Act]]*tbl_Level[[#This Row],['# of men Act]],"")</f>
        <v/>
      </c>
      <c r="O223"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23" s="71" t="str">
        <f>IFERROR((tbl_Level[[#This Row],[Adj. Total Hours]]+tbl_Level[[#This Row],[Est. Hours]])/(tbl_Level[[#This Row],[Total Hours Act]]+tbl_Level[[#This Row],[Act. Hours]]),"")</f>
        <v/>
      </c>
      <c r="S223" s="63"/>
      <c r="T223" s="63"/>
      <c r="U223" s="63"/>
      <c r="V223" s="63"/>
      <c r="W223" s="63"/>
    </row>
    <row r="224" spans="6:23" ht="25" customHeight="1">
      <c r="F224" s="53"/>
      <c r="H224" s="55" t="e">
        <f>tbl_Level[[#This Row],[Qty Complete]]/tbl_Level[[#This Row],[Qty Required]]</f>
        <v>#DIV/0!</v>
      </c>
      <c r="K224" s="57" t="str">
        <f>IFERROR(tbl_Level[[#This Row],[Qty Required]]/tbl_Level[[#This Row],[PPH]]*tbl_Level[[#This Row],['# of men]],"")</f>
        <v/>
      </c>
      <c r="L224" s="58" t="e">
        <f>tbl_Level[[#This Row],[Total hours]]*tbl_Level[[#This Row],[% Complete]]</f>
        <v>#VALUE!</v>
      </c>
      <c r="M224" s="59" t="str">
        <f>IFERROR(tbl_Level[[#This Row],[Qty Complete]]/tbl_Level[[#This Row],[Total Hours Act]]*tbl_Level[[#This Row],['# of men Act]],"")</f>
        <v/>
      </c>
      <c r="O224"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24" s="71" t="str">
        <f>IFERROR((tbl_Level[[#This Row],[Adj. Total Hours]]+tbl_Level[[#This Row],[Est. Hours]])/(tbl_Level[[#This Row],[Total Hours Act]]+tbl_Level[[#This Row],[Act. Hours]]),"")</f>
        <v/>
      </c>
      <c r="S224" s="63"/>
      <c r="T224" s="63"/>
      <c r="U224" s="63"/>
      <c r="V224" s="63"/>
      <c r="W224" s="63"/>
    </row>
    <row r="225" spans="6:23" ht="25" customHeight="1">
      <c r="F225" s="53"/>
      <c r="H225" s="55" t="e">
        <f>tbl_Level[[#This Row],[Qty Complete]]/tbl_Level[[#This Row],[Qty Required]]</f>
        <v>#DIV/0!</v>
      </c>
      <c r="K225" s="57" t="str">
        <f>IFERROR(tbl_Level[[#This Row],[Qty Required]]/tbl_Level[[#This Row],[PPH]]*tbl_Level[[#This Row],['# of men]],"")</f>
        <v/>
      </c>
      <c r="L225" s="58" t="e">
        <f>tbl_Level[[#This Row],[Total hours]]*tbl_Level[[#This Row],[% Complete]]</f>
        <v>#VALUE!</v>
      </c>
      <c r="M225" s="59" t="str">
        <f>IFERROR(tbl_Level[[#This Row],[Qty Complete]]/tbl_Level[[#This Row],[Total Hours Act]]*tbl_Level[[#This Row],['# of men Act]],"")</f>
        <v/>
      </c>
      <c r="O225"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25" s="71" t="str">
        <f>IFERROR((tbl_Level[[#This Row],[Adj. Total Hours]]+tbl_Level[[#This Row],[Est. Hours]])/(tbl_Level[[#This Row],[Total Hours Act]]+tbl_Level[[#This Row],[Act. Hours]]),"")</f>
        <v/>
      </c>
      <c r="S225" s="63"/>
      <c r="T225" s="63"/>
      <c r="U225" s="63"/>
      <c r="V225" s="63"/>
      <c r="W225" s="63"/>
    </row>
    <row r="226" spans="6:23" ht="25" customHeight="1">
      <c r="F226" s="53"/>
      <c r="H226" s="55" t="e">
        <f>tbl_Level[[#This Row],[Qty Complete]]/tbl_Level[[#This Row],[Qty Required]]</f>
        <v>#DIV/0!</v>
      </c>
      <c r="K226" s="57" t="str">
        <f>IFERROR(tbl_Level[[#This Row],[Qty Required]]/tbl_Level[[#This Row],[PPH]]*tbl_Level[[#This Row],['# of men]],"")</f>
        <v/>
      </c>
      <c r="L226" s="58" t="e">
        <f>tbl_Level[[#This Row],[Total hours]]*tbl_Level[[#This Row],[% Complete]]</f>
        <v>#VALUE!</v>
      </c>
      <c r="M226" s="59" t="str">
        <f>IFERROR(tbl_Level[[#This Row],[Qty Complete]]/tbl_Level[[#This Row],[Total Hours Act]]*tbl_Level[[#This Row],['# of men Act]],"")</f>
        <v/>
      </c>
      <c r="O226"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26" s="71" t="str">
        <f>IFERROR((tbl_Level[[#This Row],[Adj. Total Hours]]+tbl_Level[[#This Row],[Est. Hours]])/(tbl_Level[[#This Row],[Total Hours Act]]+tbl_Level[[#This Row],[Act. Hours]]),"")</f>
        <v/>
      </c>
      <c r="S226" s="63"/>
      <c r="T226" s="63"/>
      <c r="U226" s="63"/>
      <c r="V226" s="63"/>
      <c r="W226" s="63"/>
    </row>
    <row r="227" spans="6:23" ht="25" customHeight="1">
      <c r="F227" s="53"/>
      <c r="H227" s="55" t="e">
        <f>tbl_Level[[#This Row],[Qty Complete]]/tbl_Level[[#This Row],[Qty Required]]</f>
        <v>#DIV/0!</v>
      </c>
      <c r="K227" s="57" t="str">
        <f>IFERROR(tbl_Level[[#This Row],[Qty Required]]/tbl_Level[[#This Row],[PPH]]*tbl_Level[[#This Row],['# of men]],"")</f>
        <v/>
      </c>
      <c r="L227" s="58" t="e">
        <f>tbl_Level[[#This Row],[Total hours]]*tbl_Level[[#This Row],[% Complete]]</f>
        <v>#VALUE!</v>
      </c>
      <c r="M227" s="59" t="str">
        <f>IFERROR(tbl_Level[[#This Row],[Qty Complete]]/tbl_Level[[#This Row],[Total Hours Act]]*tbl_Level[[#This Row],['# of men Act]],"")</f>
        <v/>
      </c>
      <c r="O227"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27" s="71" t="str">
        <f>IFERROR((tbl_Level[[#This Row],[Adj. Total Hours]]+tbl_Level[[#This Row],[Est. Hours]])/(tbl_Level[[#This Row],[Total Hours Act]]+tbl_Level[[#This Row],[Act. Hours]]),"")</f>
        <v/>
      </c>
      <c r="S227" s="63"/>
      <c r="T227" s="63"/>
      <c r="U227" s="63"/>
      <c r="V227" s="63"/>
      <c r="W227" s="63"/>
    </row>
    <row r="228" spans="6:23" ht="25" customHeight="1">
      <c r="F228" s="53"/>
      <c r="H228" s="55" t="e">
        <f>tbl_Level[[#This Row],[Qty Complete]]/tbl_Level[[#This Row],[Qty Required]]</f>
        <v>#DIV/0!</v>
      </c>
      <c r="K228" s="57" t="str">
        <f>IFERROR(tbl_Level[[#This Row],[Qty Required]]/tbl_Level[[#This Row],[PPH]]*tbl_Level[[#This Row],['# of men]],"")</f>
        <v/>
      </c>
      <c r="L228" s="58" t="e">
        <f>tbl_Level[[#This Row],[Total hours]]*tbl_Level[[#This Row],[% Complete]]</f>
        <v>#VALUE!</v>
      </c>
      <c r="M228" s="59" t="str">
        <f>IFERROR(tbl_Level[[#This Row],[Qty Complete]]/tbl_Level[[#This Row],[Total Hours Act]]*tbl_Level[[#This Row],['# of men Act]],"")</f>
        <v/>
      </c>
      <c r="O228"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28" s="71" t="str">
        <f>IFERROR((tbl_Level[[#This Row],[Adj. Total Hours]]+tbl_Level[[#This Row],[Est. Hours]])/(tbl_Level[[#This Row],[Total Hours Act]]+tbl_Level[[#This Row],[Act. Hours]]),"")</f>
        <v/>
      </c>
      <c r="S228" s="63"/>
      <c r="T228" s="63"/>
      <c r="U228" s="63"/>
      <c r="V228" s="63"/>
      <c r="W228" s="63"/>
    </row>
    <row r="229" spans="6:23" ht="25" customHeight="1">
      <c r="F229" s="53"/>
      <c r="H229" s="55" t="e">
        <f>tbl_Level[[#This Row],[Qty Complete]]/tbl_Level[[#This Row],[Qty Required]]</f>
        <v>#DIV/0!</v>
      </c>
      <c r="K229" s="57" t="str">
        <f>IFERROR(tbl_Level[[#This Row],[Qty Required]]/tbl_Level[[#This Row],[PPH]]*tbl_Level[[#This Row],['# of men]],"")</f>
        <v/>
      </c>
      <c r="L229" s="58" t="e">
        <f>tbl_Level[[#This Row],[Total hours]]*tbl_Level[[#This Row],[% Complete]]</f>
        <v>#VALUE!</v>
      </c>
      <c r="M229" s="59" t="str">
        <f>IFERROR(tbl_Level[[#This Row],[Qty Complete]]/tbl_Level[[#This Row],[Total Hours Act]]*tbl_Level[[#This Row],['# of men Act]],"")</f>
        <v/>
      </c>
      <c r="O229"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29" s="71" t="str">
        <f>IFERROR((tbl_Level[[#This Row],[Adj. Total Hours]]+tbl_Level[[#This Row],[Est. Hours]])/(tbl_Level[[#This Row],[Total Hours Act]]+tbl_Level[[#This Row],[Act. Hours]]),"")</f>
        <v/>
      </c>
      <c r="S229" s="63"/>
      <c r="T229" s="63"/>
      <c r="U229" s="63"/>
      <c r="V229" s="63"/>
      <c r="W229" s="63"/>
    </row>
    <row r="230" spans="6:23" ht="25" customHeight="1">
      <c r="F230" s="53"/>
      <c r="H230" s="55" t="e">
        <f>tbl_Level[[#This Row],[Qty Complete]]/tbl_Level[[#This Row],[Qty Required]]</f>
        <v>#DIV/0!</v>
      </c>
      <c r="K230" s="57" t="str">
        <f>IFERROR(tbl_Level[[#This Row],[Qty Required]]/tbl_Level[[#This Row],[PPH]]*tbl_Level[[#This Row],['# of men]],"")</f>
        <v/>
      </c>
      <c r="L230" s="58" t="e">
        <f>tbl_Level[[#This Row],[Total hours]]*tbl_Level[[#This Row],[% Complete]]</f>
        <v>#VALUE!</v>
      </c>
      <c r="M230" s="59" t="str">
        <f>IFERROR(tbl_Level[[#This Row],[Qty Complete]]/tbl_Level[[#This Row],[Total Hours Act]]*tbl_Level[[#This Row],['# of men Act]],"")</f>
        <v/>
      </c>
      <c r="O230"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30" s="71" t="str">
        <f>IFERROR((tbl_Level[[#This Row],[Adj. Total Hours]]+tbl_Level[[#This Row],[Est. Hours]])/(tbl_Level[[#This Row],[Total Hours Act]]+tbl_Level[[#This Row],[Act. Hours]]),"")</f>
        <v/>
      </c>
      <c r="S230" s="63"/>
      <c r="T230" s="63"/>
      <c r="U230" s="63"/>
      <c r="V230" s="63"/>
      <c r="W230" s="63"/>
    </row>
    <row r="231" spans="6:23" ht="25" customHeight="1">
      <c r="F231" s="53"/>
      <c r="H231" s="55" t="e">
        <f>tbl_Level[[#This Row],[Qty Complete]]/tbl_Level[[#This Row],[Qty Required]]</f>
        <v>#DIV/0!</v>
      </c>
      <c r="K231" s="57" t="str">
        <f>IFERROR(tbl_Level[[#This Row],[Qty Required]]/tbl_Level[[#This Row],[PPH]]*tbl_Level[[#This Row],['# of men]],"")</f>
        <v/>
      </c>
      <c r="L231" s="58" t="e">
        <f>tbl_Level[[#This Row],[Total hours]]*tbl_Level[[#This Row],[% Complete]]</f>
        <v>#VALUE!</v>
      </c>
      <c r="M231" s="59" t="str">
        <f>IFERROR(tbl_Level[[#This Row],[Qty Complete]]/tbl_Level[[#This Row],[Total Hours Act]]*tbl_Level[[#This Row],['# of men Act]],"")</f>
        <v/>
      </c>
      <c r="O231"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31" s="71" t="str">
        <f>IFERROR((tbl_Level[[#This Row],[Adj. Total Hours]]+tbl_Level[[#This Row],[Est. Hours]])/(tbl_Level[[#This Row],[Total Hours Act]]+tbl_Level[[#This Row],[Act. Hours]]),"")</f>
        <v/>
      </c>
      <c r="S231" s="63"/>
      <c r="T231" s="63"/>
      <c r="U231" s="63"/>
      <c r="V231" s="63"/>
      <c r="W231" s="63"/>
    </row>
    <row r="232" spans="6:23" ht="25" customHeight="1">
      <c r="F232" s="53"/>
      <c r="H232" s="55" t="e">
        <f>tbl_Level[[#This Row],[Qty Complete]]/tbl_Level[[#This Row],[Qty Required]]</f>
        <v>#DIV/0!</v>
      </c>
      <c r="K232" s="57" t="str">
        <f>IFERROR(tbl_Level[[#This Row],[Qty Required]]/tbl_Level[[#This Row],[PPH]]*tbl_Level[[#This Row],['# of men]],"")</f>
        <v/>
      </c>
      <c r="L232" s="58" t="e">
        <f>tbl_Level[[#This Row],[Total hours]]*tbl_Level[[#This Row],[% Complete]]</f>
        <v>#VALUE!</v>
      </c>
      <c r="M232" s="59" t="str">
        <f>IFERROR(tbl_Level[[#This Row],[Qty Complete]]/tbl_Level[[#This Row],[Total Hours Act]]*tbl_Level[[#This Row],['# of men Act]],"")</f>
        <v/>
      </c>
      <c r="O232"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32" s="71" t="str">
        <f>IFERROR((tbl_Level[[#This Row],[Adj. Total Hours]]+tbl_Level[[#This Row],[Est. Hours]])/(tbl_Level[[#This Row],[Total Hours Act]]+tbl_Level[[#This Row],[Act. Hours]]),"")</f>
        <v/>
      </c>
      <c r="S232" s="63"/>
      <c r="T232" s="63"/>
      <c r="U232" s="63"/>
      <c r="V232" s="63"/>
      <c r="W232" s="63"/>
    </row>
    <row r="233" spans="6:23" ht="25" customHeight="1">
      <c r="F233" s="53"/>
      <c r="H233" s="55" t="e">
        <f>tbl_Level[[#This Row],[Qty Complete]]/tbl_Level[[#This Row],[Qty Required]]</f>
        <v>#DIV/0!</v>
      </c>
      <c r="K233" s="57" t="str">
        <f>IFERROR(tbl_Level[[#This Row],[Qty Required]]/tbl_Level[[#This Row],[PPH]]*tbl_Level[[#This Row],['# of men]],"")</f>
        <v/>
      </c>
      <c r="L233" s="58" t="e">
        <f>tbl_Level[[#This Row],[Total hours]]*tbl_Level[[#This Row],[% Complete]]</f>
        <v>#VALUE!</v>
      </c>
      <c r="M233" s="59" t="str">
        <f>IFERROR(tbl_Level[[#This Row],[Qty Complete]]/tbl_Level[[#This Row],[Total Hours Act]]*tbl_Level[[#This Row],['# of men Act]],"")</f>
        <v/>
      </c>
      <c r="O233"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33" s="71" t="str">
        <f>IFERROR((tbl_Level[[#This Row],[Adj. Total Hours]]+tbl_Level[[#This Row],[Est. Hours]])/(tbl_Level[[#This Row],[Total Hours Act]]+tbl_Level[[#This Row],[Act. Hours]]),"")</f>
        <v/>
      </c>
      <c r="S233" s="63"/>
      <c r="T233" s="63"/>
      <c r="U233" s="63"/>
      <c r="V233" s="63"/>
      <c r="W233" s="63"/>
    </row>
    <row r="234" spans="6:23" ht="25" customHeight="1">
      <c r="F234" s="53"/>
      <c r="H234" s="55" t="e">
        <f>tbl_Level[[#This Row],[Qty Complete]]/tbl_Level[[#This Row],[Qty Required]]</f>
        <v>#DIV/0!</v>
      </c>
      <c r="K234" s="57" t="str">
        <f>IFERROR(tbl_Level[[#This Row],[Qty Required]]/tbl_Level[[#This Row],[PPH]]*tbl_Level[[#This Row],['# of men]],"")</f>
        <v/>
      </c>
      <c r="L234" s="58" t="e">
        <f>tbl_Level[[#This Row],[Total hours]]*tbl_Level[[#This Row],[% Complete]]</f>
        <v>#VALUE!</v>
      </c>
      <c r="M234" s="59" t="str">
        <f>IFERROR(tbl_Level[[#This Row],[Qty Complete]]/tbl_Level[[#This Row],[Total Hours Act]]*tbl_Level[[#This Row],['# of men Act]],"")</f>
        <v/>
      </c>
      <c r="O234"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34" s="71" t="str">
        <f>IFERROR((tbl_Level[[#This Row],[Adj. Total Hours]]+tbl_Level[[#This Row],[Est. Hours]])/(tbl_Level[[#This Row],[Total Hours Act]]+tbl_Level[[#This Row],[Act. Hours]]),"")</f>
        <v/>
      </c>
      <c r="S234" s="63"/>
      <c r="T234" s="63"/>
      <c r="U234" s="63"/>
      <c r="V234" s="63"/>
      <c r="W234" s="63"/>
    </row>
    <row r="235" spans="6:23" ht="25" customHeight="1">
      <c r="F235" s="53"/>
      <c r="H235" s="55" t="e">
        <f>tbl_Level[[#This Row],[Qty Complete]]/tbl_Level[[#This Row],[Qty Required]]</f>
        <v>#DIV/0!</v>
      </c>
      <c r="K235" s="57" t="str">
        <f>IFERROR(tbl_Level[[#This Row],[Qty Required]]/tbl_Level[[#This Row],[PPH]]*tbl_Level[[#This Row],['# of men]],"")</f>
        <v/>
      </c>
      <c r="L235" s="58" t="e">
        <f>tbl_Level[[#This Row],[Total hours]]*tbl_Level[[#This Row],[% Complete]]</f>
        <v>#VALUE!</v>
      </c>
      <c r="M235" s="59" t="str">
        <f>IFERROR(tbl_Level[[#This Row],[Qty Complete]]/tbl_Level[[#This Row],[Total Hours Act]]*tbl_Level[[#This Row],['# of men Act]],"")</f>
        <v/>
      </c>
      <c r="O235"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35" s="71" t="str">
        <f>IFERROR((tbl_Level[[#This Row],[Adj. Total Hours]]+tbl_Level[[#This Row],[Est. Hours]])/(tbl_Level[[#This Row],[Total Hours Act]]+tbl_Level[[#This Row],[Act. Hours]]),"")</f>
        <v/>
      </c>
      <c r="S235" s="63"/>
      <c r="T235" s="63"/>
      <c r="U235" s="63"/>
      <c r="V235" s="63"/>
      <c r="W235" s="63"/>
    </row>
    <row r="236" spans="6:23" ht="25" customHeight="1">
      <c r="F236" s="53"/>
      <c r="H236" s="55" t="e">
        <f>tbl_Level[[#This Row],[Qty Complete]]/tbl_Level[[#This Row],[Qty Required]]</f>
        <v>#DIV/0!</v>
      </c>
      <c r="K236" s="57" t="str">
        <f>IFERROR(tbl_Level[[#This Row],[Qty Required]]/tbl_Level[[#This Row],[PPH]]*tbl_Level[[#This Row],['# of men]],"")</f>
        <v/>
      </c>
      <c r="L236" s="58" t="e">
        <f>tbl_Level[[#This Row],[Total hours]]*tbl_Level[[#This Row],[% Complete]]</f>
        <v>#VALUE!</v>
      </c>
      <c r="M236" s="59" t="str">
        <f>IFERROR(tbl_Level[[#This Row],[Qty Complete]]/tbl_Level[[#This Row],[Total Hours Act]]*tbl_Level[[#This Row],['# of men Act]],"")</f>
        <v/>
      </c>
      <c r="O236"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36" s="71" t="str">
        <f>IFERROR((tbl_Level[[#This Row],[Adj. Total Hours]]+tbl_Level[[#This Row],[Est. Hours]])/(tbl_Level[[#This Row],[Total Hours Act]]+tbl_Level[[#This Row],[Act. Hours]]),"")</f>
        <v/>
      </c>
      <c r="S236" s="63"/>
      <c r="T236" s="63"/>
      <c r="U236" s="63"/>
      <c r="V236" s="63"/>
      <c r="W236" s="63"/>
    </row>
    <row r="237" spans="6:23" ht="25" customHeight="1">
      <c r="F237" s="53"/>
      <c r="H237" s="55" t="e">
        <f>tbl_Level[[#This Row],[Qty Complete]]/tbl_Level[[#This Row],[Qty Required]]</f>
        <v>#DIV/0!</v>
      </c>
      <c r="K237" s="57" t="str">
        <f>IFERROR(tbl_Level[[#This Row],[Qty Required]]/tbl_Level[[#This Row],[PPH]]*tbl_Level[[#This Row],['# of men]],"")</f>
        <v/>
      </c>
      <c r="L237" s="58" t="e">
        <f>tbl_Level[[#This Row],[Total hours]]*tbl_Level[[#This Row],[% Complete]]</f>
        <v>#VALUE!</v>
      </c>
      <c r="M237" s="59" t="str">
        <f>IFERROR(tbl_Level[[#This Row],[Qty Complete]]/tbl_Level[[#This Row],[Total Hours Act]]*tbl_Level[[#This Row],['# of men Act]],"")</f>
        <v/>
      </c>
      <c r="O237"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37" s="71" t="str">
        <f>IFERROR((tbl_Level[[#This Row],[Adj. Total Hours]]+tbl_Level[[#This Row],[Est. Hours]])/(tbl_Level[[#This Row],[Total Hours Act]]+tbl_Level[[#This Row],[Act. Hours]]),"")</f>
        <v/>
      </c>
      <c r="S237" s="63"/>
      <c r="T237" s="63"/>
      <c r="U237" s="63"/>
      <c r="V237" s="63"/>
      <c r="W237" s="63"/>
    </row>
    <row r="238" spans="6:23" ht="25" customHeight="1">
      <c r="F238" s="53"/>
      <c r="H238" s="55" t="e">
        <f>tbl_Level[[#This Row],[Qty Complete]]/tbl_Level[[#This Row],[Qty Required]]</f>
        <v>#DIV/0!</v>
      </c>
      <c r="K238" s="57" t="str">
        <f>IFERROR(tbl_Level[[#This Row],[Qty Required]]/tbl_Level[[#This Row],[PPH]]*tbl_Level[[#This Row],['# of men]],"")</f>
        <v/>
      </c>
      <c r="L238" s="58" t="e">
        <f>tbl_Level[[#This Row],[Total hours]]*tbl_Level[[#This Row],[% Complete]]</f>
        <v>#VALUE!</v>
      </c>
      <c r="M238" s="59" t="str">
        <f>IFERROR(tbl_Level[[#This Row],[Qty Complete]]/tbl_Level[[#This Row],[Total Hours Act]]*tbl_Level[[#This Row],['# of men Act]],"")</f>
        <v/>
      </c>
      <c r="O238"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38" s="71" t="str">
        <f>IFERROR((tbl_Level[[#This Row],[Adj. Total Hours]]+tbl_Level[[#This Row],[Est. Hours]])/(tbl_Level[[#This Row],[Total Hours Act]]+tbl_Level[[#This Row],[Act. Hours]]),"")</f>
        <v/>
      </c>
      <c r="S238" s="63"/>
      <c r="T238" s="63"/>
      <c r="U238" s="63"/>
      <c r="V238" s="63"/>
      <c r="W238" s="63"/>
    </row>
    <row r="239" spans="6:23" ht="25" customHeight="1">
      <c r="F239" s="53"/>
      <c r="H239" s="55" t="e">
        <f>tbl_Level[[#This Row],[Qty Complete]]/tbl_Level[[#This Row],[Qty Required]]</f>
        <v>#DIV/0!</v>
      </c>
      <c r="K239" s="57" t="str">
        <f>IFERROR(tbl_Level[[#This Row],[Qty Required]]/tbl_Level[[#This Row],[PPH]]*tbl_Level[[#This Row],['# of men]],"")</f>
        <v/>
      </c>
      <c r="L239" s="58" t="e">
        <f>tbl_Level[[#This Row],[Total hours]]*tbl_Level[[#This Row],[% Complete]]</f>
        <v>#VALUE!</v>
      </c>
      <c r="M239" s="59" t="str">
        <f>IFERROR(tbl_Level[[#This Row],[Qty Complete]]/tbl_Level[[#This Row],[Total Hours Act]]*tbl_Level[[#This Row],['# of men Act]],"")</f>
        <v/>
      </c>
      <c r="O239"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39" s="71" t="str">
        <f>IFERROR((tbl_Level[[#This Row],[Adj. Total Hours]]+tbl_Level[[#This Row],[Est. Hours]])/(tbl_Level[[#This Row],[Total Hours Act]]+tbl_Level[[#This Row],[Act. Hours]]),"")</f>
        <v/>
      </c>
      <c r="S239" s="63"/>
      <c r="T239" s="63"/>
      <c r="U239" s="63"/>
      <c r="V239" s="63"/>
      <c r="W239" s="63"/>
    </row>
    <row r="240" spans="6:23" ht="25" customHeight="1">
      <c r="F240" s="53"/>
      <c r="H240" s="55" t="e">
        <f>tbl_Level[[#This Row],[Qty Complete]]/tbl_Level[[#This Row],[Qty Required]]</f>
        <v>#DIV/0!</v>
      </c>
      <c r="K240" s="57" t="str">
        <f>IFERROR(tbl_Level[[#This Row],[Qty Required]]/tbl_Level[[#This Row],[PPH]]*tbl_Level[[#This Row],['# of men]],"")</f>
        <v/>
      </c>
      <c r="L240" s="58" t="e">
        <f>tbl_Level[[#This Row],[Total hours]]*tbl_Level[[#This Row],[% Complete]]</f>
        <v>#VALUE!</v>
      </c>
      <c r="M240" s="59" t="str">
        <f>IFERROR(tbl_Level[[#This Row],[Qty Complete]]/tbl_Level[[#This Row],[Total Hours Act]]*tbl_Level[[#This Row],['# of men Act]],"")</f>
        <v/>
      </c>
      <c r="O240"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40" s="71" t="str">
        <f>IFERROR((tbl_Level[[#This Row],[Adj. Total Hours]]+tbl_Level[[#This Row],[Est. Hours]])/(tbl_Level[[#This Row],[Total Hours Act]]+tbl_Level[[#This Row],[Act. Hours]]),"")</f>
        <v/>
      </c>
      <c r="S240" s="63"/>
      <c r="T240" s="63"/>
      <c r="U240" s="63"/>
      <c r="V240" s="63"/>
      <c r="W240" s="63"/>
    </row>
    <row r="241" spans="6:23" ht="25" customHeight="1">
      <c r="F241" s="53"/>
      <c r="H241" s="55" t="e">
        <f>tbl_Level[[#This Row],[Qty Complete]]/tbl_Level[[#This Row],[Qty Required]]</f>
        <v>#DIV/0!</v>
      </c>
      <c r="K241" s="57" t="str">
        <f>IFERROR(tbl_Level[[#This Row],[Qty Required]]/tbl_Level[[#This Row],[PPH]]*tbl_Level[[#This Row],['# of men]],"")</f>
        <v/>
      </c>
      <c r="L241" s="58" t="e">
        <f>tbl_Level[[#This Row],[Total hours]]*tbl_Level[[#This Row],[% Complete]]</f>
        <v>#VALUE!</v>
      </c>
      <c r="M241" s="59" t="str">
        <f>IFERROR(tbl_Level[[#This Row],[Qty Complete]]/tbl_Level[[#This Row],[Total Hours Act]]*tbl_Level[[#This Row],['# of men Act]],"")</f>
        <v/>
      </c>
      <c r="O241"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41" s="71" t="str">
        <f>IFERROR((tbl_Level[[#This Row],[Adj. Total Hours]]+tbl_Level[[#This Row],[Est. Hours]])/(tbl_Level[[#This Row],[Total Hours Act]]+tbl_Level[[#This Row],[Act. Hours]]),"")</f>
        <v/>
      </c>
      <c r="S241" s="63"/>
      <c r="T241" s="63"/>
      <c r="U241" s="63"/>
      <c r="V241" s="63"/>
      <c r="W241" s="63"/>
    </row>
    <row r="242" spans="6:23" ht="25" customHeight="1">
      <c r="F242" s="53"/>
      <c r="H242" s="55" t="e">
        <f>tbl_Level[[#This Row],[Qty Complete]]/tbl_Level[[#This Row],[Qty Required]]</f>
        <v>#DIV/0!</v>
      </c>
      <c r="K242" s="57" t="str">
        <f>IFERROR(tbl_Level[[#This Row],[Qty Required]]/tbl_Level[[#This Row],[PPH]]*tbl_Level[[#This Row],['# of men]],"")</f>
        <v/>
      </c>
      <c r="L242" s="58" t="e">
        <f>tbl_Level[[#This Row],[Total hours]]*tbl_Level[[#This Row],[% Complete]]</f>
        <v>#VALUE!</v>
      </c>
      <c r="M242" s="59" t="str">
        <f>IFERROR(tbl_Level[[#This Row],[Qty Complete]]/tbl_Level[[#This Row],[Total Hours Act]]*tbl_Level[[#This Row],['# of men Act]],"")</f>
        <v/>
      </c>
      <c r="O242"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42" s="71" t="str">
        <f>IFERROR((tbl_Level[[#This Row],[Adj. Total Hours]]+tbl_Level[[#This Row],[Est. Hours]])/(tbl_Level[[#This Row],[Total Hours Act]]+tbl_Level[[#This Row],[Act. Hours]]),"")</f>
        <v/>
      </c>
      <c r="S242" s="63"/>
      <c r="T242" s="63"/>
      <c r="U242" s="63"/>
      <c r="V242" s="63"/>
      <c r="W242" s="63"/>
    </row>
    <row r="243" spans="6:23" ht="25" customHeight="1">
      <c r="F243" s="53"/>
      <c r="H243" s="55" t="e">
        <f>tbl_Level[[#This Row],[Qty Complete]]/tbl_Level[[#This Row],[Qty Required]]</f>
        <v>#DIV/0!</v>
      </c>
      <c r="K243" s="57" t="str">
        <f>IFERROR(tbl_Level[[#This Row],[Qty Required]]/tbl_Level[[#This Row],[PPH]]*tbl_Level[[#This Row],['# of men]],"")</f>
        <v/>
      </c>
      <c r="L243" s="58" t="e">
        <f>tbl_Level[[#This Row],[Total hours]]*tbl_Level[[#This Row],[% Complete]]</f>
        <v>#VALUE!</v>
      </c>
      <c r="M243" s="59" t="str">
        <f>IFERROR(tbl_Level[[#This Row],[Qty Complete]]/tbl_Level[[#This Row],[Total Hours Act]]*tbl_Level[[#This Row],['# of men Act]],"")</f>
        <v/>
      </c>
      <c r="O243"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43" s="71" t="str">
        <f>IFERROR((tbl_Level[[#This Row],[Adj. Total Hours]]+tbl_Level[[#This Row],[Est. Hours]])/(tbl_Level[[#This Row],[Total Hours Act]]+tbl_Level[[#This Row],[Act. Hours]]),"")</f>
        <v/>
      </c>
      <c r="S243" s="63"/>
      <c r="T243" s="63"/>
      <c r="U243" s="63"/>
      <c r="V243" s="63"/>
      <c r="W243" s="63"/>
    </row>
    <row r="244" spans="6:23" ht="25" customHeight="1">
      <c r="F244" s="53"/>
      <c r="H244" s="55" t="e">
        <f>tbl_Level[[#This Row],[Qty Complete]]/tbl_Level[[#This Row],[Qty Required]]</f>
        <v>#DIV/0!</v>
      </c>
      <c r="K244" s="57" t="str">
        <f>IFERROR(tbl_Level[[#This Row],[Qty Required]]/tbl_Level[[#This Row],[PPH]]*tbl_Level[[#This Row],['# of men]],"")</f>
        <v/>
      </c>
      <c r="L244" s="58" t="e">
        <f>tbl_Level[[#This Row],[Total hours]]*tbl_Level[[#This Row],[% Complete]]</f>
        <v>#VALUE!</v>
      </c>
      <c r="M244" s="59" t="str">
        <f>IFERROR(tbl_Level[[#This Row],[Qty Complete]]/tbl_Level[[#This Row],[Total Hours Act]]*tbl_Level[[#This Row],['# of men Act]],"")</f>
        <v/>
      </c>
      <c r="O244"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44" s="71" t="str">
        <f>IFERROR((tbl_Level[[#This Row],[Adj. Total Hours]]+tbl_Level[[#This Row],[Est. Hours]])/(tbl_Level[[#This Row],[Total Hours Act]]+tbl_Level[[#This Row],[Act. Hours]]),"")</f>
        <v/>
      </c>
      <c r="S244" s="63"/>
      <c r="T244" s="63"/>
      <c r="U244" s="63"/>
      <c r="V244" s="63"/>
      <c r="W244" s="63"/>
    </row>
    <row r="245" spans="6:23" ht="25" customHeight="1">
      <c r="F245" s="53"/>
      <c r="H245" s="55" t="e">
        <f>tbl_Level[[#This Row],[Qty Complete]]/tbl_Level[[#This Row],[Qty Required]]</f>
        <v>#DIV/0!</v>
      </c>
      <c r="K245" s="57" t="str">
        <f>IFERROR(tbl_Level[[#This Row],[Qty Required]]/tbl_Level[[#This Row],[PPH]]*tbl_Level[[#This Row],['# of men]],"")</f>
        <v/>
      </c>
      <c r="L245" s="58" t="e">
        <f>tbl_Level[[#This Row],[Total hours]]*tbl_Level[[#This Row],[% Complete]]</f>
        <v>#VALUE!</v>
      </c>
      <c r="M245" s="59" t="str">
        <f>IFERROR(tbl_Level[[#This Row],[Qty Complete]]/tbl_Level[[#This Row],[Total Hours Act]]*tbl_Level[[#This Row],['# of men Act]],"")</f>
        <v/>
      </c>
      <c r="O245"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45" s="71" t="str">
        <f>IFERROR((tbl_Level[[#This Row],[Adj. Total Hours]]+tbl_Level[[#This Row],[Est. Hours]])/(tbl_Level[[#This Row],[Total Hours Act]]+tbl_Level[[#This Row],[Act. Hours]]),"")</f>
        <v/>
      </c>
      <c r="S245" s="63"/>
      <c r="T245" s="63"/>
      <c r="U245" s="63"/>
      <c r="V245" s="63"/>
      <c r="W245" s="63"/>
    </row>
    <row r="246" spans="6:23" ht="25" customHeight="1">
      <c r="F246" s="53"/>
      <c r="H246" s="55" t="e">
        <f>tbl_Level[[#This Row],[Qty Complete]]/tbl_Level[[#This Row],[Qty Required]]</f>
        <v>#DIV/0!</v>
      </c>
      <c r="K246" s="57" t="str">
        <f>IFERROR(tbl_Level[[#This Row],[Qty Required]]/tbl_Level[[#This Row],[PPH]]*tbl_Level[[#This Row],['# of men]],"")</f>
        <v/>
      </c>
      <c r="L246" s="58" t="e">
        <f>tbl_Level[[#This Row],[Total hours]]*tbl_Level[[#This Row],[% Complete]]</f>
        <v>#VALUE!</v>
      </c>
      <c r="M246" s="59" t="str">
        <f>IFERROR(tbl_Level[[#This Row],[Qty Complete]]/tbl_Level[[#This Row],[Total Hours Act]]*tbl_Level[[#This Row],['# of men Act]],"")</f>
        <v/>
      </c>
      <c r="O246"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46" s="71" t="str">
        <f>IFERROR((tbl_Level[[#This Row],[Adj. Total Hours]]+tbl_Level[[#This Row],[Est. Hours]])/(tbl_Level[[#This Row],[Total Hours Act]]+tbl_Level[[#This Row],[Act. Hours]]),"")</f>
        <v/>
      </c>
      <c r="S246" s="63"/>
      <c r="T246" s="63"/>
      <c r="U246" s="63"/>
      <c r="V246" s="63"/>
      <c r="W246" s="63"/>
    </row>
    <row r="247" spans="6:23" ht="25" customHeight="1">
      <c r="F247" s="53"/>
      <c r="H247" s="55" t="e">
        <f>tbl_Level[[#This Row],[Qty Complete]]/tbl_Level[[#This Row],[Qty Required]]</f>
        <v>#DIV/0!</v>
      </c>
      <c r="K247" s="57" t="str">
        <f>IFERROR(tbl_Level[[#This Row],[Qty Required]]/tbl_Level[[#This Row],[PPH]]*tbl_Level[[#This Row],['# of men]],"")</f>
        <v/>
      </c>
      <c r="L247" s="58" t="e">
        <f>tbl_Level[[#This Row],[Total hours]]*tbl_Level[[#This Row],[% Complete]]</f>
        <v>#VALUE!</v>
      </c>
      <c r="M247" s="59" t="str">
        <f>IFERROR(tbl_Level[[#This Row],[Qty Complete]]/tbl_Level[[#This Row],[Total Hours Act]]*tbl_Level[[#This Row],['# of men Act]],"")</f>
        <v/>
      </c>
      <c r="O247"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47" s="71" t="str">
        <f>IFERROR((tbl_Level[[#This Row],[Adj. Total Hours]]+tbl_Level[[#This Row],[Est. Hours]])/(tbl_Level[[#This Row],[Total Hours Act]]+tbl_Level[[#This Row],[Act. Hours]]),"")</f>
        <v/>
      </c>
      <c r="S247" s="63"/>
      <c r="T247" s="63"/>
      <c r="U247" s="63"/>
      <c r="V247" s="63"/>
      <c r="W247" s="63"/>
    </row>
    <row r="248" spans="6:23" ht="25" customHeight="1">
      <c r="F248" s="53"/>
      <c r="H248" s="55" t="e">
        <f>tbl_Level[[#This Row],[Qty Complete]]/tbl_Level[[#This Row],[Qty Required]]</f>
        <v>#DIV/0!</v>
      </c>
      <c r="K248" s="57" t="str">
        <f>IFERROR(tbl_Level[[#This Row],[Qty Required]]/tbl_Level[[#This Row],[PPH]]*tbl_Level[[#This Row],['# of men]],"")</f>
        <v/>
      </c>
      <c r="L248" s="58" t="e">
        <f>tbl_Level[[#This Row],[Total hours]]*tbl_Level[[#This Row],[% Complete]]</f>
        <v>#VALUE!</v>
      </c>
      <c r="M248" s="59" t="str">
        <f>IFERROR(tbl_Level[[#This Row],[Qty Complete]]/tbl_Level[[#This Row],[Total Hours Act]]*tbl_Level[[#This Row],['# of men Act]],"")</f>
        <v/>
      </c>
      <c r="O248"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48" s="71" t="str">
        <f>IFERROR((tbl_Level[[#This Row],[Adj. Total Hours]]+tbl_Level[[#This Row],[Est. Hours]])/(tbl_Level[[#This Row],[Total Hours Act]]+tbl_Level[[#This Row],[Act. Hours]]),"")</f>
        <v/>
      </c>
      <c r="S248" s="63"/>
      <c r="T248" s="63"/>
      <c r="U248" s="63"/>
      <c r="V248" s="63"/>
      <c r="W248" s="63"/>
    </row>
    <row r="249" spans="6:23" ht="25" customHeight="1">
      <c r="F249" s="53"/>
      <c r="H249" s="55" t="e">
        <f>tbl_Level[[#This Row],[Qty Complete]]/tbl_Level[[#This Row],[Qty Required]]</f>
        <v>#DIV/0!</v>
      </c>
      <c r="K249" s="57" t="str">
        <f>IFERROR(tbl_Level[[#This Row],[Qty Required]]/tbl_Level[[#This Row],[PPH]]*tbl_Level[[#This Row],['# of men]],"")</f>
        <v/>
      </c>
      <c r="L249" s="58" t="e">
        <f>tbl_Level[[#This Row],[Total hours]]*tbl_Level[[#This Row],[% Complete]]</f>
        <v>#VALUE!</v>
      </c>
      <c r="M249" s="59" t="str">
        <f>IFERROR(tbl_Level[[#This Row],[Qty Complete]]/tbl_Level[[#This Row],[Total Hours Act]]*tbl_Level[[#This Row],['# of men Act]],"")</f>
        <v/>
      </c>
      <c r="O249"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49" s="71" t="str">
        <f>IFERROR((tbl_Level[[#This Row],[Adj. Total Hours]]+tbl_Level[[#This Row],[Est. Hours]])/(tbl_Level[[#This Row],[Total Hours Act]]+tbl_Level[[#This Row],[Act. Hours]]),"")</f>
        <v/>
      </c>
      <c r="S249" s="63"/>
      <c r="T249" s="63"/>
      <c r="U249" s="63"/>
      <c r="V249" s="63"/>
      <c r="W249" s="63"/>
    </row>
    <row r="250" spans="6:23" ht="25" customHeight="1">
      <c r="F250" s="53"/>
      <c r="H250" s="55" t="e">
        <f>tbl_Level[[#This Row],[Qty Complete]]/tbl_Level[[#This Row],[Qty Required]]</f>
        <v>#DIV/0!</v>
      </c>
      <c r="K250" s="57" t="str">
        <f>IFERROR(tbl_Level[[#This Row],[Qty Required]]/tbl_Level[[#This Row],[PPH]]*tbl_Level[[#This Row],['# of men]],"")</f>
        <v/>
      </c>
      <c r="L250" s="58" t="e">
        <f>tbl_Level[[#This Row],[Total hours]]*tbl_Level[[#This Row],[% Complete]]</f>
        <v>#VALUE!</v>
      </c>
      <c r="M250" s="59" t="str">
        <f>IFERROR(tbl_Level[[#This Row],[Qty Complete]]/tbl_Level[[#This Row],[Total Hours Act]]*tbl_Level[[#This Row],['# of men Act]],"")</f>
        <v/>
      </c>
      <c r="O250" s="60">
        <f>(MOD(tbl_Level[[#This Row],[End Time]]-tbl_Level[[#This Row],[Start Time]],1)*24*tbl_Level[[#This Row],['# of men Act]])-
(
IF(AND(tbl_Level[[#This Row],[Start Time]]&lt;=Data!$B$2+(Data!$B$2&lt;tbl_Level[[#This Row],[Start Time]]),tbl_Level[[#This Row],[Start Time]]+MOD(tbl_Level[[#This Row],[End Time]]-tbl_Level[[#This Row],[Start Time]],1)&gt;=Data!$C$2+(Data!$C$2&lt;tbl_Level[[#This Row],[Start Time]])),0.5*tbl_Level[[#This Row],['# of men Act]],0)
+
IF(AND(tbl_Level[[#This Row],[Start Time]]&lt;=Data!$B$3+(Data!$B$3&lt;tbl_Level[[#This Row],[Start Time]]),tbl_Level[[#This Row],[Start Time]]+MOD(tbl_Level[[#This Row],[End Time]]-tbl_Level[[#This Row],[Start Time]],1)&gt;=Data!$C$3+(Data!$C$3&lt;tbl_Level[[#This Row],[Start Time]])),0.5*tbl_Level[[#This Row],['# of men Act]],0)
)</f>
        <v>0</v>
      </c>
      <c r="R250" s="71" t="str">
        <f>IFERROR((tbl_Level[[#This Row],[Adj. Total Hours]]+tbl_Level[[#This Row],[Est. Hours]])/(tbl_Level[[#This Row],[Total Hours Act]]+tbl_Level[[#This Row],[Act. Hours]]),"")</f>
        <v/>
      </c>
      <c r="S250" s="63"/>
      <c r="T250" s="63"/>
      <c r="U250" s="63"/>
      <c r="V250" s="63"/>
      <c r="W250" s="63"/>
    </row>
  </sheetData>
  <sheetProtection sheet="1" objects="1" scenarios="1"/>
  <protectedRanges>
    <protectedRange sqref="A1:G1048576 I1:J1048576 N1:N1048576 P1:Q1048576 S1:W1048576" name="Range1"/>
  </protectedRanges>
  <mergeCells count="1">
    <mergeCell ref="P1:Q1"/>
  </mergeCells>
  <conditionalFormatting sqref="R3:R3852">
    <cfRule type="expression" dxfId="38" priority="1">
      <formula>AND(R3&gt;0.85,R3&lt;&gt;"")</formula>
    </cfRule>
    <cfRule type="expression" dxfId="37" priority="2">
      <formula>AND(R3&gt;=0.7,R3&lt;=0.85,R3&lt;&gt;"")</formula>
    </cfRule>
    <cfRule type="expression" dxfId="36" priority="3">
      <formula>AND(R3&lt;0.7,R3&lt;&gt;"")</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0FDF4-B204-47A0-970F-04F0FA67729A}">
  <dimension ref="A1:W250"/>
  <sheetViews>
    <sheetView workbookViewId="0">
      <pane ySplit="2" topLeftCell="A3" activePane="bottomLeft" state="frozen"/>
      <selection pane="bottomLeft" activeCell="A3" sqref="A3"/>
    </sheetView>
  </sheetViews>
  <sheetFormatPr defaultColWidth="9.1796875" defaultRowHeight="25" customHeight="1"/>
  <cols>
    <col min="1" max="1" width="11.54296875" style="52" customWidth="1"/>
    <col min="2" max="2" width="13.1796875" style="53" customWidth="1"/>
    <col min="3" max="3" width="14.1796875" style="53" customWidth="1"/>
    <col min="4" max="4" width="15.54296875" style="54" bestFit="1" customWidth="1"/>
    <col min="5" max="5" width="14.7265625" style="54" bestFit="1" customWidth="1"/>
    <col min="6" max="6" width="18.26953125" style="54" bestFit="1" customWidth="1"/>
    <col min="7" max="7" width="19" style="53" bestFit="1" customWidth="1"/>
    <col min="8" max="8" width="19" style="53" hidden="1" customWidth="1"/>
    <col min="9" max="9" width="10.1796875" style="56" bestFit="1" customWidth="1"/>
    <col min="10" max="10" width="14" style="53" bestFit="1" customWidth="1"/>
    <col min="11" max="11" width="16.453125" style="66" bestFit="1" customWidth="1"/>
    <col min="12" max="12" width="16.453125" style="47" hidden="1" customWidth="1"/>
    <col min="13" max="13" width="13.453125" style="67" bestFit="1" customWidth="1"/>
    <col min="14" max="14" width="17.26953125" style="53" bestFit="1" customWidth="1"/>
    <col min="15" max="15" width="20.1796875" style="68" bestFit="1" customWidth="1"/>
    <col min="16" max="17" width="15.7265625" style="61" bestFit="1" customWidth="1"/>
    <col min="18" max="18" width="15.1796875" style="69" bestFit="1" customWidth="1"/>
    <col min="19" max="19" width="55.26953125" style="53" customWidth="1"/>
    <col min="20" max="23" width="16.81640625" style="53" bestFit="1" customWidth="1"/>
    <col min="24" max="16384" width="9.1796875" style="47"/>
  </cols>
  <sheetData>
    <row r="1" spans="1:23" ht="47.25" customHeight="1" thickBot="1">
      <c r="A1" s="8"/>
      <c r="B1" s="7"/>
      <c r="C1" s="7"/>
      <c r="D1" s="9"/>
      <c r="E1" s="9"/>
      <c r="F1" s="9"/>
      <c r="G1" s="7"/>
      <c r="H1" s="7"/>
      <c r="I1" s="13"/>
      <c r="J1" s="40" t="s">
        <v>0</v>
      </c>
      <c r="K1" s="46"/>
      <c r="L1" s="46"/>
      <c r="M1" s="4"/>
      <c r="N1" s="41" t="s">
        <v>1</v>
      </c>
      <c r="O1" s="5"/>
      <c r="P1" s="113" t="s">
        <v>2</v>
      </c>
      <c r="Q1" s="114"/>
      <c r="R1" s="39" t="s">
        <v>3</v>
      </c>
      <c r="S1" s="7"/>
      <c r="T1" s="7"/>
      <c r="U1" s="7"/>
      <c r="V1" s="7"/>
      <c r="W1" s="7"/>
    </row>
    <row r="2" spans="1:23" ht="17.5" thickTop="1">
      <c r="A2" s="10" t="s">
        <v>4</v>
      </c>
      <c r="B2" s="6" t="s">
        <v>5</v>
      </c>
      <c r="C2" s="6" t="s">
        <v>7</v>
      </c>
      <c r="D2" s="11" t="s">
        <v>8</v>
      </c>
      <c r="E2" s="11" t="s">
        <v>9</v>
      </c>
      <c r="F2" s="11" t="s">
        <v>10</v>
      </c>
      <c r="G2" s="6" t="s">
        <v>11</v>
      </c>
      <c r="H2" s="48" t="s">
        <v>12</v>
      </c>
      <c r="I2" s="12" t="s">
        <v>13</v>
      </c>
      <c r="J2" s="6" t="s">
        <v>14</v>
      </c>
      <c r="K2" s="49" t="s">
        <v>15</v>
      </c>
      <c r="L2" s="50" t="s">
        <v>16</v>
      </c>
      <c r="M2" s="2" t="s">
        <v>21</v>
      </c>
      <c r="N2" s="6" t="s">
        <v>22</v>
      </c>
      <c r="O2" s="3" t="s">
        <v>23</v>
      </c>
      <c r="P2" s="25" t="s">
        <v>25</v>
      </c>
      <c r="Q2" s="25" t="s">
        <v>26</v>
      </c>
      <c r="R2" s="51" t="s">
        <v>27</v>
      </c>
      <c r="S2" s="6" t="s">
        <v>31</v>
      </c>
      <c r="T2" s="6" t="s">
        <v>32</v>
      </c>
      <c r="U2" s="6" t="s">
        <v>33</v>
      </c>
      <c r="V2" s="6" t="s">
        <v>34</v>
      </c>
      <c r="W2" s="6" t="s">
        <v>35</v>
      </c>
    </row>
    <row r="3" spans="1:23" ht="25" customHeight="1">
      <c r="F3" s="53"/>
      <c r="H3" s="55" t="e">
        <f>tbl_Finish[[#This Row],[Qty Complete]]/tbl_Finish[[#This Row],[Qty Required]]</f>
        <v>#DIV/0!</v>
      </c>
      <c r="K3" s="57" t="str">
        <f>IFERROR(tbl_Finish[[#This Row],[Qty Required]]/tbl_Finish[[#This Row],[PPH]]*tbl_Finish[[#This Row],['# of men]],"")</f>
        <v/>
      </c>
      <c r="L3" s="58" t="e">
        <f>tbl_Finish[[#This Row],[Total hours]]*tbl_Finish[[#This Row],[% Complete]]</f>
        <v>#VALUE!</v>
      </c>
      <c r="M3" s="59" t="str">
        <f>IFERROR(tbl_Finish[[#This Row],[Qty Complete]]/tbl_Finish[[#This Row],[Total Hours Act]]*tbl_Finish[[#This Row],['# of men Act]],"")</f>
        <v/>
      </c>
      <c r="O3"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3" s="62" t="str">
        <f>IFERROR((tbl_Finish[[#This Row],[Adj. Total Hours]]+tbl_Finish[[#This Row],[Est. Hours]])/(tbl_Finish[[#This Row],[Total Hours Act]]+tbl_Finish[[#This Row],[Act. Hours]]),"")</f>
        <v/>
      </c>
      <c r="S3" s="63"/>
      <c r="T3" s="64"/>
      <c r="U3" s="65"/>
      <c r="V3" s="63"/>
      <c r="W3" s="63"/>
    </row>
    <row r="4" spans="1:23" ht="25" customHeight="1">
      <c r="F4" s="53"/>
      <c r="H4" s="55" t="e">
        <f>tbl_Finish[[#This Row],[Qty Complete]]/tbl_Finish[[#This Row],[Qty Required]]</f>
        <v>#DIV/0!</v>
      </c>
      <c r="K4" s="57" t="str">
        <f>IFERROR(tbl_Finish[[#This Row],[Qty Required]]/tbl_Finish[[#This Row],[PPH]]*tbl_Finish[[#This Row],['# of men]],"")</f>
        <v/>
      </c>
      <c r="L4" s="58" t="e">
        <f>tbl_Finish[[#This Row],[Total hours]]*tbl_Finish[[#This Row],[% Complete]]</f>
        <v>#VALUE!</v>
      </c>
      <c r="M4" s="59" t="str">
        <f>IFERROR(tbl_Finish[[#This Row],[Qty Complete]]/tbl_Finish[[#This Row],[Total Hours Act]]*tbl_Finish[[#This Row],['# of men Act]],"")</f>
        <v/>
      </c>
      <c r="O4"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4" s="71" t="str">
        <f>IFERROR((tbl_Finish[[#This Row],[Adj. Total Hours]]+tbl_Finish[[#This Row],[Est. Hours]])/(tbl_Finish[[#This Row],[Total Hours Act]]+tbl_Finish[[#This Row],[Act. Hours]]),"")</f>
        <v/>
      </c>
      <c r="S4" s="63"/>
      <c r="T4" s="63"/>
      <c r="U4" s="63"/>
      <c r="V4" s="63"/>
      <c r="W4" s="63"/>
    </row>
    <row r="5" spans="1:23" ht="25" customHeight="1">
      <c r="F5" s="53"/>
      <c r="H5" s="55" t="e">
        <f>tbl_Finish[[#This Row],[Qty Complete]]/tbl_Finish[[#This Row],[Qty Required]]</f>
        <v>#DIV/0!</v>
      </c>
      <c r="K5" s="57" t="str">
        <f>IFERROR(tbl_Finish[[#This Row],[Qty Required]]/tbl_Finish[[#This Row],[PPH]]*tbl_Finish[[#This Row],['# of men]],"")</f>
        <v/>
      </c>
      <c r="L5" s="58" t="e">
        <f>tbl_Finish[[#This Row],[Total hours]]*tbl_Finish[[#This Row],[% Complete]]</f>
        <v>#VALUE!</v>
      </c>
      <c r="M5" s="59" t="str">
        <f>IFERROR(tbl_Finish[[#This Row],[Qty Complete]]/tbl_Finish[[#This Row],[Total Hours Act]]*tbl_Finish[[#This Row],['# of men Act]],"")</f>
        <v/>
      </c>
      <c r="O5"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5" s="71" t="str">
        <f>IFERROR((tbl_Finish[[#This Row],[Adj. Total Hours]]+tbl_Finish[[#This Row],[Est. Hours]])/(tbl_Finish[[#This Row],[Total Hours Act]]+tbl_Finish[[#This Row],[Act. Hours]]),"")</f>
        <v/>
      </c>
      <c r="S5" s="63"/>
      <c r="T5" s="63"/>
      <c r="U5" s="63"/>
      <c r="V5" s="63"/>
      <c r="W5" s="63"/>
    </row>
    <row r="6" spans="1:23" ht="25" customHeight="1">
      <c r="F6" s="53"/>
      <c r="H6" s="55" t="e">
        <f>tbl_Finish[[#This Row],[Qty Complete]]/tbl_Finish[[#This Row],[Qty Required]]</f>
        <v>#DIV/0!</v>
      </c>
      <c r="K6" s="57" t="str">
        <f>IFERROR(tbl_Finish[[#This Row],[Qty Required]]/tbl_Finish[[#This Row],[PPH]]*tbl_Finish[[#This Row],['# of men]],"")</f>
        <v/>
      </c>
      <c r="L6" s="58" t="e">
        <f>tbl_Finish[[#This Row],[Total hours]]*tbl_Finish[[#This Row],[% Complete]]</f>
        <v>#VALUE!</v>
      </c>
      <c r="M6" s="59" t="str">
        <f>IFERROR(tbl_Finish[[#This Row],[Qty Complete]]/tbl_Finish[[#This Row],[Total Hours Act]]*tbl_Finish[[#This Row],['# of men Act]],"")</f>
        <v/>
      </c>
      <c r="O6"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6" s="71" t="str">
        <f>IFERROR((tbl_Finish[[#This Row],[Adj. Total Hours]]+tbl_Finish[[#This Row],[Est. Hours]])/(tbl_Finish[[#This Row],[Total Hours Act]]+tbl_Finish[[#This Row],[Act. Hours]]),"")</f>
        <v/>
      </c>
      <c r="S6" s="63"/>
      <c r="T6" s="63"/>
      <c r="U6" s="63"/>
      <c r="V6" s="63"/>
      <c r="W6" s="63"/>
    </row>
    <row r="7" spans="1:23" ht="25" customHeight="1">
      <c r="F7" s="53"/>
      <c r="H7" s="55" t="e">
        <f>tbl_Finish[[#This Row],[Qty Complete]]/tbl_Finish[[#This Row],[Qty Required]]</f>
        <v>#DIV/0!</v>
      </c>
      <c r="K7" s="57" t="str">
        <f>IFERROR(tbl_Finish[[#This Row],[Qty Required]]/tbl_Finish[[#This Row],[PPH]]*tbl_Finish[[#This Row],['# of men]],"")</f>
        <v/>
      </c>
      <c r="L7" s="58" t="e">
        <f>tbl_Finish[[#This Row],[Total hours]]*tbl_Finish[[#This Row],[% Complete]]</f>
        <v>#VALUE!</v>
      </c>
      <c r="M7" s="59" t="str">
        <f>IFERROR(tbl_Finish[[#This Row],[Qty Complete]]/tbl_Finish[[#This Row],[Total Hours Act]]*tbl_Finish[[#This Row],['# of men Act]],"")</f>
        <v/>
      </c>
      <c r="O7"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7" s="71" t="str">
        <f>IFERROR((tbl_Finish[[#This Row],[Adj. Total Hours]]+tbl_Finish[[#This Row],[Est. Hours]])/(tbl_Finish[[#This Row],[Total Hours Act]]+tbl_Finish[[#This Row],[Act. Hours]]),"")</f>
        <v/>
      </c>
      <c r="S7" s="63"/>
      <c r="T7" s="63"/>
      <c r="U7" s="63"/>
      <c r="V7" s="63"/>
      <c r="W7" s="63"/>
    </row>
    <row r="8" spans="1:23" ht="25" customHeight="1">
      <c r="F8" s="53"/>
      <c r="H8" s="55" t="e">
        <f>tbl_Finish[[#This Row],[Qty Complete]]/tbl_Finish[[#This Row],[Qty Required]]</f>
        <v>#DIV/0!</v>
      </c>
      <c r="K8" s="57" t="str">
        <f>IFERROR(tbl_Finish[[#This Row],[Qty Required]]/tbl_Finish[[#This Row],[PPH]]*tbl_Finish[[#This Row],['# of men]],"")</f>
        <v/>
      </c>
      <c r="L8" s="58" t="e">
        <f>tbl_Finish[[#This Row],[Total hours]]*tbl_Finish[[#This Row],[% Complete]]</f>
        <v>#VALUE!</v>
      </c>
      <c r="M8" s="59" t="str">
        <f>IFERROR(tbl_Finish[[#This Row],[Qty Complete]]/tbl_Finish[[#This Row],[Total Hours Act]]*tbl_Finish[[#This Row],['# of men Act]],"")</f>
        <v/>
      </c>
      <c r="O8"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8" s="71" t="str">
        <f>IFERROR((tbl_Finish[[#This Row],[Adj. Total Hours]]+tbl_Finish[[#This Row],[Est. Hours]])/(tbl_Finish[[#This Row],[Total Hours Act]]+tbl_Finish[[#This Row],[Act. Hours]]),"")</f>
        <v/>
      </c>
      <c r="S8" s="63"/>
      <c r="T8" s="63"/>
      <c r="U8" s="63"/>
      <c r="V8" s="63"/>
      <c r="W8" s="63"/>
    </row>
    <row r="9" spans="1:23" ht="25" customHeight="1">
      <c r="F9" s="53"/>
      <c r="H9" s="55" t="e">
        <f>tbl_Finish[[#This Row],[Qty Complete]]/tbl_Finish[[#This Row],[Qty Required]]</f>
        <v>#DIV/0!</v>
      </c>
      <c r="K9" s="57" t="str">
        <f>IFERROR(tbl_Finish[[#This Row],[Qty Required]]/tbl_Finish[[#This Row],[PPH]]*tbl_Finish[[#This Row],['# of men]],"")</f>
        <v/>
      </c>
      <c r="L9" s="58" t="e">
        <f>tbl_Finish[[#This Row],[Total hours]]*tbl_Finish[[#This Row],[% Complete]]</f>
        <v>#VALUE!</v>
      </c>
      <c r="M9" s="59" t="str">
        <f>IFERROR(tbl_Finish[[#This Row],[Qty Complete]]/tbl_Finish[[#This Row],[Total Hours Act]]*tbl_Finish[[#This Row],['# of men Act]],"")</f>
        <v/>
      </c>
      <c r="O9"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9" s="71" t="str">
        <f>IFERROR((tbl_Finish[[#This Row],[Adj. Total Hours]]+tbl_Finish[[#This Row],[Est. Hours]])/(tbl_Finish[[#This Row],[Total Hours Act]]+tbl_Finish[[#This Row],[Act. Hours]]),"")</f>
        <v/>
      </c>
      <c r="S9" s="63"/>
      <c r="T9" s="63"/>
      <c r="U9" s="63"/>
      <c r="V9" s="63"/>
      <c r="W9" s="63"/>
    </row>
    <row r="10" spans="1:23" ht="25" customHeight="1">
      <c r="F10" s="53"/>
      <c r="H10" s="55" t="e">
        <f>tbl_Finish[[#This Row],[Qty Complete]]/tbl_Finish[[#This Row],[Qty Required]]</f>
        <v>#DIV/0!</v>
      </c>
      <c r="K10" s="57" t="str">
        <f>IFERROR(tbl_Finish[[#This Row],[Qty Required]]/tbl_Finish[[#This Row],[PPH]]*tbl_Finish[[#This Row],['# of men]],"")</f>
        <v/>
      </c>
      <c r="L10" s="58" t="e">
        <f>tbl_Finish[[#This Row],[Total hours]]*tbl_Finish[[#This Row],[% Complete]]</f>
        <v>#VALUE!</v>
      </c>
      <c r="M10" s="59" t="str">
        <f>IFERROR(tbl_Finish[[#This Row],[Qty Complete]]/tbl_Finish[[#This Row],[Total Hours Act]]*tbl_Finish[[#This Row],['# of men Act]],"")</f>
        <v/>
      </c>
      <c r="O10"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0" s="71" t="str">
        <f>IFERROR((tbl_Finish[[#This Row],[Adj. Total Hours]]+tbl_Finish[[#This Row],[Est. Hours]])/(tbl_Finish[[#This Row],[Total Hours Act]]+tbl_Finish[[#This Row],[Act. Hours]]),"")</f>
        <v/>
      </c>
      <c r="S10" s="63"/>
      <c r="T10" s="63"/>
      <c r="U10" s="63"/>
      <c r="V10" s="63"/>
      <c r="W10" s="63"/>
    </row>
    <row r="11" spans="1:23" ht="25" customHeight="1">
      <c r="F11" s="53"/>
      <c r="H11" s="55" t="e">
        <f>tbl_Finish[[#This Row],[Qty Complete]]/tbl_Finish[[#This Row],[Qty Required]]</f>
        <v>#DIV/0!</v>
      </c>
      <c r="K11" s="57" t="str">
        <f>IFERROR(tbl_Finish[[#This Row],[Qty Required]]/tbl_Finish[[#This Row],[PPH]]*tbl_Finish[[#This Row],['# of men]],"")</f>
        <v/>
      </c>
      <c r="L11" s="58" t="e">
        <f>tbl_Finish[[#This Row],[Total hours]]*tbl_Finish[[#This Row],[% Complete]]</f>
        <v>#VALUE!</v>
      </c>
      <c r="M11" s="59" t="str">
        <f>IFERROR(tbl_Finish[[#This Row],[Qty Complete]]/tbl_Finish[[#This Row],[Total Hours Act]]*tbl_Finish[[#This Row],['# of men Act]],"")</f>
        <v/>
      </c>
      <c r="O11"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1" s="71" t="str">
        <f>IFERROR((tbl_Finish[[#This Row],[Adj. Total Hours]]+tbl_Finish[[#This Row],[Est. Hours]])/(tbl_Finish[[#This Row],[Total Hours Act]]+tbl_Finish[[#This Row],[Act. Hours]]),"")</f>
        <v/>
      </c>
      <c r="S11" s="63"/>
      <c r="T11" s="63"/>
      <c r="U11" s="63"/>
      <c r="V11" s="63"/>
      <c r="W11" s="63"/>
    </row>
    <row r="12" spans="1:23" ht="25" customHeight="1">
      <c r="F12" s="53"/>
      <c r="H12" s="55" t="e">
        <f>tbl_Finish[[#This Row],[Qty Complete]]/tbl_Finish[[#This Row],[Qty Required]]</f>
        <v>#DIV/0!</v>
      </c>
      <c r="K12" s="57" t="str">
        <f>IFERROR(tbl_Finish[[#This Row],[Qty Required]]/tbl_Finish[[#This Row],[PPH]]*tbl_Finish[[#This Row],['# of men]],"")</f>
        <v/>
      </c>
      <c r="L12" s="58" t="e">
        <f>tbl_Finish[[#This Row],[Total hours]]*tbl_Finish[[#This Row],[% Complete]]</f>
        <v>#VALUE!</v>
      </c>
      <c r="M12" s="59" t="str">
        <f>IFERROR(tbl_Finish[[#This Row],[Qty Complete]]/tbl_Finish[[#This Row],[Total Hours Act]]*tbl_Finish[[#This Row],['# of men Act]],"")</f>
        <v/>
      </c>
      <c r="O12"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2" s="71" t="str">
        <f>IFERROR((tbl_Finish[[#This Row],[Adj. Total Hours]]+tbl_Finish[[#This Row],[Est. Hours]])/(tbl_Finish[[#This Row],[Total Hours Act]]+tbl_Finish[[#This Row],[Act. Hours]]),"")</f>
        <v/>
      </c>
      <c r="S12" s="63"/>
      <c r="T12" s="63"/>
      <c r="U12" s="63"/>
      <c r="V12" s="63"/>
      <c r="W12" s="63"/>
    </row>
    <row r="13" spans="1:23" ht="25" customHeight="1">
      <c r="F13" s="53"/>
      <c r="H13" s="55" t="e">
        <f>tbl_Finish[[#This Row],[Qty Complete]]/tbl_Finish[[#This Row],[Qty Required]]</f>
        <v>#DIV/0!</v>
      </c>
      <c r="K13" s="57" t="str">
        <f>IFERROR(tbl_Finish[[#This Row],[Qty Required]]/tbl_Finish[[#This Row],[PPH]]*tbl_Finish[[#This Row],['# of men]],"")</f>
        <v/>
      </c>
      <c r="L13" s="58" t="e">
        <f>tbl_Finish[[#This Row],[Total hours]]*tbl_Finish[[#This Row],[% Complete]]</f>
        <v>#VALUE!</v>
      </c>
      <c r="M13" s="59" t="str">
        <f>IFERROR(tbl_Finish[[#This Row],[Qty Complete]]/tbl_Finish[[#This Row],[Total Hours Act]]*tbl_Finish[[#This Row],['# of men Act]],"")</f>
        <v/>
      </c>
      <c r="O13"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3" s="71" t="str">
        <f>IFERROR((tbl_Finish[[#This Row],[Adj. Total Hours]]+tbl_Finish[[#This Row],[Est. Hours]])/(tbl_Finish[[#This Row],[Total Hours Act]]+tbl_Finish[[#This Row],[Act. Hours]]),"")</f>
        <v/>
      </c>
      <c r="S13" s="63"/>
      <c r="T13" s="63"/>
      <c r="U13" s="63"/>
      <c r="V13" s="63"/>
      <c r="W13" s="63"/>
    </row>
    <row r="14" spans="1:23" ht="25" customHeight="1">
      <c r="F14" s="53"/>
      <c r="H14" s="55" t="e">
        <f>tbl_Finish[[#This Row],[Qty Complete]]/tbl_Finish[[#This Row],[Qty Required]]</f>
        <v>#DIV/0!</v>
      </c>
      <c r="K14" s="57" t="str">
        <f>IFERROR(tbl_Finish[[#This Row],[Qty Required]]/tbl_Finish[[#This Row],[PPH]]*tbl_Finish[[#This Row],['# of men]],"")</f>
        <v/>
      </c>
      <c r="L14" s="58" t="e">
        <f>tbl_Finish[[#This Row],[Total hours]]*tbl_Finish[[#This Row],[% Complete]]</f>
        <v>#VALUE!</v>
      </c>
      <c r="M14" s="59" t="str">
        <f>IFERROR(tbl_Finish[[#This Row],[Qty Complete]]/tbl_Finish[[#This Row],[Total Hours Act]]*tbl_Finish[[#This Row],['# of men Act]],"")</f>
        <v/>
      </c>
      <c r="O14"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4" s="71" t="str">
        <f>IFERROR((tbl_Finish[[#This Row],[Adj. Total Hours]]+tbl_Finish[[#This Row],[Est. Hours]])/(tbl_Finish[[#This Row],[Total Hours Act]]+tbl_Finish[[#This Row],[Act. Hours]]),"")</f>
        <v/>
      </c>
      <c r="S14" s="63"/>
      <c r="T14" s="63"/>
      <c r="U14" s="63"/>
      <c r="V14" s="63"/>
      <c r="W14" s="63"/>
    </row>
    <row r="15" spans="1:23" ht="25" customHeight="1">
      <c r="F15" s="53"/>
      <c r="H15" s="55" t="e">
        <f>tbl_Finish[[#This Row],[Qty Complete]]/tbl_Finish[[#This Row],[Qty Required]]</f>
        <v>#DIV/0!</v>
      </c>
      <c r="K15" s="57" t="str">
        <f>IFERROR(tbl_Finish[[#This Row],[Qty Required]]/tbl_Finish[[#This Row],[PPH]]*tbl_Finish[[#This Row],['# of men]],"")</f>
        <v/>
      </c>
      <c r="L15" s="58" t="e">
        <f>tbl_Finish[[#This Row],[Total hours]]*tbl_Finish[[#This Row],[% Complete]]</f>
        <v>#VALUE!</v>
      </c>
      <c r="M15" s="59" t="str">
        <f>IFERROR(tbl_Finish[[#This Row],[Qty Complete]]/tbl_Finish[[#This Row],[Total Hours Act]]*tbl_Finish[[#This Row],['# of men Act]],"")</f>
        <v/>
      </c>
      <c r="O15"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5" s="71" t="str">
        <f>IFERROR((tbl_Finish[[#This Row],[Adj. Total Hours]]+tbl_Finish[[#This Row],[Est. Hours]])/(tbl_Finish[[#This Row],[Total Hours Act]]+tbl_Finish[[#This Row],[Act. Hours]]),"")</f>
        <v/>
      </c>
      <c r="S15" s="63"/>
      <c r="T15" s="63"/>
      <c r="U15" s="63"/>
      <c r="V15" s="63"/>
      <c r="W15" s="63"/>
    </row>
    <row r="16" spans="1:23" ht="25" customHeight="1">
      <c r="F16" s="53"/>
      <c r="H16" s="55" t="e">
        <f>tbl_Finish[[#This Row],[Qty Complete]]/tbl_Finish[[#This Row],[Qty Required]]</f>
        <v>#DIV/0!</v>
      </c>
      <c r="K16" s="57" t="str">
        <f>IFERROR(tbl_Finish[[#This Row],[Qty Required]]/tbl_Finish[[#This Row],[PPH]]*tbl_Finish[[#This Row],['# of men]],"")</f>
        <v/>
      </c>
      <c r="L16" s="58" t="e">
        <f>tbl_Finish[[#This Row],[Total hours]]*tbl_Finish[[#This Row],[% Complete]]</f>
        <v>#VALUE!</v>
      </c>
      <c r="M16" s="59" t="str">
        <f>IFERROR(tbl_Finish[[#This Row],[Qty Complete]]/tbl_Finish[[#This Row],[Total Hours Act]]*tbl_Finish[[#This Row],['# of men Act]],"")</f>
        <v/>
      </c>
      <c r="O16"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6" s="71" t="str">
        <f>IFERROR((tbl_Finish[[#This Row],[Adj. Total Hours]]+tbl_Finish[[#This Row],[Est. Hours]])/(tbl_Finish[[#This Row],[Total Hours Act]]+tbl_Finish[[#This Row],[Act. Hours]]),"")</f>
        <v/>
      </c>
      <c r="S16" s="63"/>
      <c r="T16" s="63"/>
      <c r="U16" s="63"/>
      <c r="V16" s="63"/>
      <c r="W16" s="63"/>
    </row>
    <row r="17" spans="6:23" ht="25" customHeight="1">
      <c r="F17" s="53"/>
      <c r="H17" s="55" t="e">
        <f>tbl_Finish[[#This Row],[Qty Complete]]/tbl_Finish[[#This Row],[Qty Required]]</f>
        <v>#DIV/0!</v>
      </c>
      <c r="K17" s="57" t="str">
        <f>IFERROR(tbl_Finish[[#This Row],[Qty Required]]/tbl_Finish[[#This Row],[PPH]]*tbl_Finish[[#This Row],['# of men]],"")</f>
        <v/>
      </c>
      <c r="L17" s="58" t="e">
        <f>tbl_Finish[[#This Row],[Total hours]]*tbl_Finish[[#This Row],[% Complete]]</f>
        <v>#VALUE!</v>
      </c>
      <c r="M17" s="59" t="str">
        <f>IFERROR(tbl_Finish[[#This Row],[Qty Complete]]/tbl_Finish[[#This Row],[Total Hours Act]]*tbl_Finish[[#This Row],['# of men Act]],"")</f>
        <v/>
      </c>
      <c r="O17"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7" s="71" t="str">
        <f>IFERROR((tbl_Finish[[#This Row],[Adj. Total Hours]]+tbl_Finish[[#This Row],[Est. Hours]])/(tbl_Finish[[#This Row],[Total Hours Act]]+tbl_Finish[[#This Row],[Act. Hours]]),"")</f>
        <v/>
      </c>
      <c r="S17" s="63"/>
      <c r="T17" s="63"/>
      <c r="U17" s="63"/>
      <c r="V17" s="63"/>
      <c r="W17" s="63"/>
    </row>
    <row r="18" spans="6:23" ht="25" customHeight="1">
      <c r="F18" s="53"/>
      <c r="H18" s="55" t="e">
        <f>tbl_Finish[[#This Row],[Qty Complete]]/tbl_Finish[[#This Row],[Qty Required]]</f>
        <v>#DIV/0!</v>
      </c>
      <c r="K18" s="57" t="str">
        <f>IFERROR(tbl_Finish[[#This Row],[Qty Required]]/tbl_Finish[[#This Row],[PPH]]*tbl_Finish[[#This Row],['# of men]],"")</f>
        <v/>
      </c>
      <c r="L18" s="58" t="e">
        <f>tbl_Finish[[#This Row],[Total hours]]*tbl_Finish[[#This Row],[% Complete]]</f>
        <v>#VALUE!</v>
      </c>
      <c r="M18" s="59" t="str">
        <f>IFERROR(tbl_Finish[[#This Row],[Qty Complete]]/tbl_Finish[[#This Row],[Total Hours Act]]*tbl_Finish[[#This Row],['# of men Act]],"")</f>
        <v/>
      </c>
      <c r="O18"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8" s="71" t="str">
        <f>IFERROR((tbl_Finish[[#This Row],[Adj. Total Hours]]+tbl_Finish[[#This Row],[Est. Hours]])/(tbl_Finish[[#This Row],[Total Hours Act]]+tbl_Finish[[#This Row],[Act. Hours]]),"")</f>
        <v/>
      </c>
      <c r="S18" s="63"/>
      <c r="T18" s="63"/>
      <c r="U18" s="63"/>
      <c r="V18" s="63"/>
      <c r="W18" s="63"/>
    </row>
    <row r="19" spans="6:23" ht="25" customHeight="1">
      <c r="F19" s="53"/>
      <c r="H19" s="55" t="e">
        <f>tbl_Finish[[#This Row],[Qty Complete]]/tbl_Finish[[#This Row],[Qty Required]]</f>
        <v>#DIV/0!</v>
      </c>
      <c r="K19" s="57" t="str">
        <f>IFERROR(tbl_Finish[[#This Row],[Qty Required]]/tbl_Finish[[#This Row],[PPH]]*tbl_Finish[[#This Row],['# of men]],"")</f>
        <v/>
      </c>
      <c r="L19" s="58" t="e">
        <f>tbl_Finish[[#This Row],[Total hours]]*tbl_Finish[[#This Row],[% Complete]]</f>
        <v>#VALUE!</v>
      </c>
      <c r="M19" s="59" t="str">
        <f>IFERROR(tbl_Finish[[#This Row],[Qty Complete]]/tbl_Finish[[#This Row],[Total Hours Act]]*tbl_Finish[[#This Row],['# of men Act]],"")</f>
        <v/>
      </c>
      <c r="O19"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9" s="71" t="str">
        <f>IFERROR((tbl_Finish[[#This Row],[Adj. Total Hours]]+tbl_Finish[[#This Row],[Est. Hours]])/(tbl_Finish[[#This Row],[Total Hours Act]]+tbl_Finish[[#This Row],[Act. Hours]]),"")</f>
        <v/>
      </c>
      <c r="S19" s="63"/>
      <c r="T19" s="63"/>
      <c r="U19" s="63"/>
      <c r="V19" s="63"/>
      <c r="W19" s="63"/>
    </row>
    <row r="20" spans="6:23" ht="25" customHeight="1">
      <c r="F20" s="53"/>
      <c r="H20" s="55" t="e">
        <f>tbl_Finish[[#This Row],[Qty Complete]]/tbl_Finish[[#This Row],[Qty Required]]</f>
        <v>#DIV/0!</v>
      </c>
      <c r="K20" s="57" t="str">
        <f>IFERROR(tbl_Finish[[#This Row],[Qty Required]]/tbl_Finish[[#This Row],[PPH]]*tbl_Finish[[#This Row],['# of men]],"")</f>
        <v/>
      </c>
      <c r="L20" s="58" t="e">
        <f>tbl_Finish[[#This Row],[Total hours]]*tbl_Finish[[#This Row],[% Complete]]</f>
        <v>#VALUE!</v>
      </c>
      <c r="M20" s="59" t="str">
        <f>IFERROR(tbl_Finish[[#This Row],[Qty Complete]]/tbl_Finish[[#This Row],[Total Hours Act]]*tbl_Finish[[#This Row],['# of men Act]],"")</f>
        <v/>
      </c>
      <c r="O20"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0" s="71" t="str">
        <f>IFERROR((tbl_Finish[[#This Row],[Adj. Total Hours]]+tbl_Finish[[#This Row],[Est. Hours]])/(tbl_Finish[[#This Row],[Total Hours Act]]+tbl_Finish[[#This Row],[Act. Hours]]),"")</f>
        <v/>
      </c>
      <c r="S20" s="63"/>
      <c r="T20" s="63"/>
      <c r="U20" s="63"/>
      <c r="V20" s="63"/>
      <c r="W20" s="63"/>
    </row>
    <row r="21" spans="6:23" ht="25" customHeight="1">
      <c r="F21" s="53"/>
      <c r="H21" s="55" t="e">
        <f>tbl_Finish[[#This Row],[Qty Complete]]/tbl_Finish[[#This Row],[Qty Required]]</f>
        <v>#DIV/0!</v>
      </c>
      <c r="K21" s="57" t="str">
        <f>IFERROR(tbl_Finish[[#This Row],[Qty Required]]/tbl_Finish[[#This Row],[PPH]]*tbl_Finish[[#This Row],['# of men]],"")</f>
        <v/>
      </c>
      <c r="L21" s="58" t="e">
        <f>tbl_Finish[[#This Row],[Total hours]]*tbl_Finish[[#This Row],[% Complete]]</f>
        <v>#VALUE!</v>
      </c>
      <c r="M21" s="59" t="str">
        <f>IFERROR(tbl_Finish[[#This Row],[Qty Complete]]/tbl_Finish[[#This Row],[Total Hours Act]]*tbl_Finish[[#This Row],['# of men Act]],"")</f>
        <v/>
      </c>
      <c r="O21"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1" s="71" t="str">
        <f>IFERROR((tbl_Finish[[#This Row],[Adj. Total Hours]]+tbl_Finish[[#This Row],[Est. Hours]])/(tbl_Finish[[#This Row],[Total Hours Act]]+tbl_Finish[[#This Row],[Act. Hours]]),"")</f>
        <v/>
      </c>
      <c r="S21" s="63"/>
      <c r="T21" s="63"/>
      <c r="U21" s="63"/>
      <c r="V21" s="63"/>
      <c r="W21" s="63"/>
    </row>
    <row r="22" spans="6:23" ht="25" customHeight="1">
      <c r="F22" s="53"/>
      <c r="H22" s="55" t="e">
        <f>tbl_Finish[[#This Row],[Qty Complete]]/tbl_Finish[[#This Row],[Qty Required]]</f>
        <v>#DIV/0!</v>
      </c>
      <c r="K22" s="57" t="str">
        <f>IFERROR(tbl_Finish[[#This Row],[Qty Required]]/tbl_Finish[[#This Row],[PPH]]*tbl_Finish[[#This Row],['# of men]],"")</f>
        <v/>
      </c>
      <c r="L22" s="58" t="e">
        <f>tbl_Finish[[#This Row],[Total hours]]*tbl_Finish[[#This Row],[% Complete]]</f>
        <v>#VALUE!</v>
      </c>
      <c r="M22" s="59" t="str">
        <f>IFERROR(tbl_Finish[[#This Row],[Qty Complete]]/tbl_Finish[[#This Row],[Total Hours Act]]*tbl_Finish[[#This Row],['# of men Act]],"")</f>
        <v/>
      </c>
      <c r="O22"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2" s="71" t="str">
        <f>IFERROR((tbl_Finish[[#This Row],[Adj. Total Hours]]+tbl_Finish[[#This Row],[Est. Hours]])/(tbl_Finish[[#This Row],[Total Hours Act]]+tbl_Finish[[#This Row],[Act. Hours]]),"")</f>
        <v/>
      </c>
      <c r="S22" s="63"/>
      <c r="T22" s="63"/>
      <c r="U22" s="63"/>
      <c r="V22" s="63"/>
      <c r="W22" s="63"/>
    </row>
    <row r="23" spans="6:23" ht="25" customHeight="1">
      <c r="F23" s="53"/>
      <c r="H23" s="55" t="e">
        <f>tbl_Finish[[#This Row],[Qty Complete]]/tbl_Finish[[#This Row],[Qty Required]]</f>
        <v>#DIV/0!</v>
      </c>
      <c r="K23" s="57" t="str">
        <f>IFERROR(tbl_Finish[[#This Row],[Qty Required]]/tbl_Finish[[#This Row],[PPH]]*tbl_Finish[[#This Row],['# of men]],"")</f>
        <v/>
      </c>
      <c r="L23" s="58" t="e">
        <f>tbl_Finish[[#This Row],[Total hours]]*tbl_Finish[[#This Row],[% Complete]]</f>
        <v>#VALUE!</v>
      </c>
      <c r="M23" s="59" t="str">
        <f>IFERROR(tbl_Finish[[#This Row],[Qty Complete]]/tbl_Finish[[#This Row],[Total Hours Act]]*tbl_Finish[[#This Row],['# of men Act]],"")</f>
        <v/>
      </c>
      <c r="O23"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3" s="71" t="str">
        <f>IFERROR((tbl_Finish[[#This Row],[Adj. Total Hours]]+tbl_Finish[[#This Row],[Est. Hours]])/(tbl_Finish[[#This Row],[Total Hours Act]]+tbl_Finish[[#This Row],[Act. Hours]]),"")</f>
        <v/>
      </c>
      <c r="S23" s="63"/>
      <c r="T23" s="63"/>
      <c r="U23" s="63"/>
      <c r="V23" s="63"/>
      <c r="W23" s="63"/>
    </row>
    <row r="24" spans="6:23" ht="25" customHeight="1">
      <c r="F24" s="53"/>
      <c r="H24" s="55" t="e">
        <f>tbl_Finish[[#This Row],[Qty Complete]]/tbl_Finish[[#This Row],[Qty Required]]</f>
        <v>#DIV/0!</v>
      </c>
      <c r="K24" s="57" t="str">
        <f>IFERROR(tbl_Finish[[#This Row],[Qty Required]]/tbl_Finish[[#This Row],[PPH]]*tbl_Finish[[#This Row],['# of men]],"")</f>
        <v/>
      </c>
      <c r="L24" s="58" t="e">
        <f>tbl_Finish[[#This Row],[Total hours]]*tbl_Finish[[#This Row],[% Complete]]</f>
        <v>#VALUE!</v>
      </c>
      <c r="M24" s="59" t="str">
        <f>IFERROR(tbl_Finish[[#This Row],[Qty Complete]]/tbl_Finish[[#This Row],[Total Hours Act]]*tbl_Finish[[#This Row],['# of men Act]],"")</f>
        <v/>
      </c>
      <c r="O24"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4" s="71" t="str">
        <f>IFERROR((tbl_Finish[[#This Row],[Adj. Total Hours]]+tbl_Finish[[#This Row],[Est. Hours]])/(tbl_Finish[[#This Row],[Total Hours Act]]+tbl_Finish[[#This Row],[Act. Hours]]),"")</f>
        <v/>
      </c>
      <c r="S24" s="63"/>
      <c r="T24" s="63"/>
      <c r="U24" s="63"/>
      <c r="V24" s="63"/>
      <c r="W24" s="63"/>
    </row>
    <row r="25" spans="6:23" ht="25" customHeight="1">
      <c r="F25" s="53"/>
      <c r="H25" s="55" t="e">
        <f>tbl_Finish[[#This Row],[Qty Complete]]/tbl_Finish[[#This Row],[Qty Required]]</f>
        <v>#DIV/0!</v>
      </c>
      <c r="K25" s="57" t="str">
        <f>IFERROR(tbl_Finish[[#This Row],[Qty Required]]/tbl_Finish[[#This Row],[PPH]]*tbl_Finish[[#This Row],['# of men]],"")</f>
        <v/>
      </c>
      <c r="L25" s="58" t="e">
        <f>tbl_Finish[[#This Row],[Total hours]]*tbl_Finish[[#This Row],[% Complete]]</f>
        <v>#VALUE!</v>
      </c>
      <c r="M25" s="59" t="str">
        <f>IFERROR(tbl_Finish[[#This Row],[Qty Complete]]/tbl_Finish[[#This Row],[Total Hours Act]]*tbl_Finish[[#This Row],['# of men Act]],"")</f>
        <v/>
      </c>
      <c r="O25"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5" s="71" t="str">
        <f>IFERROR((tbl_Finish[[#This Row],[Adj. Total Hours]]+tbl_Finish[[#This Row],[Est. Hours]])/(tbl_Finish[[#This Row],[Total Hours Act]]+tbl_Finish[[#This Row],[Act. Hours]]),"")</f>
        <v/>
      </c>
      <c r="S25" s="63"/>
      <c r="T25" s="63"/>
      <c r="U25" s="63"/>
      <c r="V25" s="63"/>
      <c r="W25" s="63"/>
    </row>
    <row r="26" spans="6:23" ht="25" customHeight="1">
      <c r="F26" s="53"/>
      <c r="H26" s="55" t="e">
        <f>tbl_Finish[[#This Row],[Qty Complete]]/tbl_Finish[[#This Row],[Qty Required]]</f>
        <v>#DIV/0!</v>
      </c>
      <c r="K26" s="57" t="str">
        <f>IFERROR(tbl_Finish[[#This Row],[Qty Required]]/tbl_Finish[[#This Row],[PPH]]*tbl_Finish[[#This Row],['# of men]],"")</f>
        <v/>
      </c>
      <c r="L26" s="58" t="e">
        <f>tbl_Finish[[#This Row],[Total hours]]*tbl_Finish[[#This Row],[% Complete]]</f>
        <v>#VALUE!</v>
      </c>
      <c r="M26" s="59" t="str">
        <f>IFERROR(tbl_Finish[[#This Row],[Qty Complete]]/tbl_Finish[[#This Row],[Total Hours Act]]*tbl_Finish[[#This Row],['# of men Act]],"")</f>
        <v/>
      </c>
      <c r="O26"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6" s="71" t="str">
        <f>IFERROR((tbl_Finish[[#This Row],[Adj. Total Hours]]+tbl_Finish[[#This Row],[Est. Hours]])/(tbl_Finish[[#This Row],[Total Hours Act]]+tbl_Finish[[#This Row],[Act. Hours]]),"")</f>
        <v/>
      </c>
      <c r="S26" s="63"/>
      <c r="T26" s="63"/>
      <c r="U26" s="63"/>
      <c r="V26" s="63"/>
      <c r="W26" s="63"/>
    </row>
    <row r="27" spans="6:23" ht="25" customHeight="1">
      <c r="F27" s="53"/>
      <c r="H27" s="55" t="e">
        <f>tbl_Finish[[#This Row],[Qty Complete]]/tbl_Finish[[#This Row],[Qty Required]]</f>
        <v>#DIV/0!</v>
      </c>
      <c r="K27" s="57" t="str">
        <f>IFERROR(tbl_Finish[[#This Row],[Qty Required]]/tbl_Finish[[#This Row],[PPH]]*tbl_Finish[[#This Row],['# of men]],"")</f>
        <v/>
      </c>
      <c r="L27" s="58" t="e">
        <f>tbl_Finish[[#This Row],[Total hours]]*tbl_Finish[[#This Row],[% Complete]]</f>
        <v>#VALUE!</v>
      </c>
      <c r="M27" s="59" t="str">
        <f>IFERROR(tbl_Finish[[#This Row],[Qty Complete]]/tbl_Finish[[#This Row],[Total Hours Act]]*tbl_Finish[[#This Row],['# of men Act]],"")</f>
        <v/>
      </c>
      <c r="O27"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7" s="71" t="str">
        <f>IFERROR((tbl_Finish[[#This Row],[Adj. Total Hours]]+tbl_Finish[[#This Row],[Est. Hours]])/(tbl_Finish[[#This Row],[Total Hours Act]]+tbl_Finish[[#This Row],[Act. Hours]]),"")</f>
        <v/>
      </c>
      <c r="S27" s="63"/>
      <c r="T27" s="63"/>
      <c r="U27" s="63"/>
      <c r="V27" s="63"/>
      <c r="W27" s="63"/>
    </row>
    <row r="28" spans="6:23" ht="25" customHeight="1">
      <c r="F28" s="53"/>
      <c r="H28" s="55" t="e">
        <f>tbl_Finish[[#This Row],[Qty Complete]]/tbl_Finish[[#This Row],[Qty Required]]</f>
        <v>#DIV/0!</v>
      </c>
      <c r="K28" s="57" t="str">
        <f>IFERROR(tbl_Finish[[#This Row],[Qty Required]]/tbl_Finish[[#This Row],[PPH]]*tbl_Finish[[#This Row],['# of men]],"")</f>
        <v/>
      </c>
      <c r="L28" s="58" t="e">
        <f>tbl_Finish[[#This Row],[Total hours]]*tbl_Finish[[#This Row],[% Complete]]</f>
        <v>#VALUE!</v>
      </c>
      <c r="M28" s="59" t="str">
        <f>IFERROR(tbl_Finish[[#This Row],[Qty Complete]]/tbl_Finish[[#This Row],[Total Hours Act]]*tbl_Finish[[#This Row],['# of men Act]],"")</f>
        <v/>
      </c>
      <c r="O28"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8" s="71" t="str">
        <f>IFERROR((tbl_Finish[[#This Row],[Adj. Total Hours]]+tbl_Finish[[#This Row],[Est. Hours]])/(tbl_Finish[[#This Row],[Total Hours Act]]+tbl_Finish[[#This Row],[Act. Hours]]),"")</f>
        <v/>
      </c>
      <c r="S28" s="63"/>
      <c r="T28" s="63"/>
      <c r="U28" s="63"/>
      <c r="V28" s="63"/>
      <c r="W28" s="63"/>
    </row>
    <row r="29" spans="6:23" ht="25" customHeight="1">
      <c r="F29" s="53"/>
      <c r="H29" s="55" t="e">
        <f>tbl_Finish[[#This Row],[Qty Complete]]/tbl_Finish[[#This Row],[Qty Required]]</f>
        <v>#DIV/0!</v>
      </c>
      <c r="K29" s="57" t="str">
        <f>IFERROR(tbl_Finish[[#This Row],[Qty Required]]/tbl_Finish[[#This Row],[PPH]]*tbl_Finish[[#This Row],['# of men]],"")</f>
        <v/>
      </c>
      <c r="L29" s="58" t="e">
        <f>tbl_Finish[[#This Row],[Total hours]]*tbl_Finish[[#This Row],[% Complete]]</f>
        <v>#VALUE!</v>
      </c>
      <c r="M29" s="59" t="str">
        <f>IFERROR(tbl_Finish[[#This Row],[Qty Complete]]/tbl_Finish[[#This Row],[Total Hours Act]]*tbl_Finish[[#This Row],['# of men Act]],"")</f>
        <v/>
      </c>
      <c r="O29"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9" s="71" t="str">
        <f>IFERROR((tbl_Finish[[#This Row],[Adj. Total Hours]]+tbl_Finish[[#This Row],[Est. Hours]])/(tbl_Finish[[#This Row],[Total Hours Act]]+tbl_Finish[[#This Row],[Act. Hours]]),"")</f>
        <v/>
      </c>
      <c r="S29" s="63"/>
      <c r="T29" s="63"/>
      <c r="U29" s="63"/>
      <c r="V29" s="63"/>
      <c r="W29" s="63"/>
    </row>
    <row r="30" spans="6:23" ht="25" customHeight="1">
      <c r="F30" s="53"/>
      <c r="H30" s="55" t="e">
        <f>tbl_Finish[[#This Row],[Qty Complete]]/tbl_Finish[[#This Row],[Qty Required]]</f>
        <v>#DIV/0!</v>
      </c>
      <c r="K30" s="57" t="str">
        <f>IFERROR(tbl_Finish[[#This Row],[Qty Required]]/tbl_Finish[[#This Row],[PPH]]*tbl_Finish[[#This Row],['# of men]],"")</f>
        <v/>
      </c>
      <c r="L30" s="58" t="e">
        <f>tbl_Finish[[#This Row],[Total hours]]*tbl_Finish[[#This Row],[% Complete]]</f>
        <v>#VALUE!</v>
      </c>
      <c r="M30" s="59" t="str">
        <f>IFERROR(tbl_Finish[[#This Row],[Qty Complete]]/tbl_Finish[[#This Row],[Total Hours Act]]*tbl_Finish[[#This Row],['# of men Act]],"")</f>
        <v/>
      </c>
      <c r="O30"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30" s="71" t="str">
        <f>IFERROR((tbl_Finish[[#This Row],[Adj. Total Hours]]+tbl_Finish[[#This Row],[Est. Hours]])/(tbl_Finish[[#This Row],[Total Hours Act]]+tbl_Finish[[#This Row],[Act. Hours]]),"")</f>
        <v/>
      </c>
      <c r="S30" s="63"/>
      <c r="T30" s="63"/>
      <c r="U30" s="63"/>
      <c r="V30" s="63"/>
      <c r="W30" s="63"/>
    </row>
    <row r="31" spans="6:23" ht="25" customHeight="1">
      <c r="F31" s="53"/>
      <c r="H31" s="55" t="e">
        <f>tbl_Finish[[#This Row],[Qty Complete]]/tbl_Finish[[#This Row],[Qty Required]]</f>
        <v>#DIV/0!</v>
      </c>
      <c r="K31" s="57" t="str">
        <f>IFERROR(tbl_Finish[[#This Row],[Qty Required]]/tbl_Finish[[#This Row],[PPH]]*tbl_Finish[[#This Row],['# of men]],"")</f>
        <v/>
      </c>
      <c r="L31" s="58" t="e">
        <f>tbl_Finish[[#This Row],[Total hours]]*tbl_Finish[[#This Row],[% Complete]]</f>
        <v>#VALUE!</v>
      </c>
      <c r="M31" s="59" t="str">
        <f>IFERROR(tbl_Finish[[#This Row],[Qty Complete]]/tbl_Finish[[#This Row],[Total Hours Act]]*tbl_Finish[[#This Row],['# of men Act]],"")</f>
        <v/>
      </c>
      <c r="O31"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31" s="71" t="str">
        <f>IFERROR((tbl_Finish[[#This Row],[Adj. Total Hours]]+tbl_Finish[[#This Row],[Est. Hours]])/(tbl_Finish[[#This Row],[Total Hours Act]]+tbl_Finish[[#This Row],[Act. Hours]]),"")</f>
        <v/>
      </c>
      <c r="S31" s="63"/>
      <c r="T31" s="63"/>
      <c r="U31" s="63"/>
      <c r="V31" s="63"/>
      <c r="W31" s="63"/>
    </row>
    <row r="32" spans="6:23" ht="25" customHeight="1">
      <c r="F32" s="53"/>
      <c r="H32" s="55" t="e">
        <f>tbl_Finish[[#This Row],[Qty Complete]]/tbl_Finish[[#This Row],[Qty Required]]</f>
        <v>#DIV/0!</v>
      </c>
      <c r="K32" s="57" t="str">
        <f>IFERROR(tbl_Finish[[#This Row],[Qty Required]]/tbl_Finish[[#This Row],[PPH]]*tbl_Finish[[#This Row],['# of men]],"")</f>
        <v/>
      </c>
      <c r="L32" s="58" t="e">
        <f>tbl_Finish[[#This Row],[Total hours]]*tbl_Finish[[#This Row],[% Complete]]</f>
        <v>#VALUE!</v>
      </c>
      <c r="M32" s="59" t="str">
        <f>IFERROR(tbl_Finish[[#This Row],[Qty Complete]]/tbl_Finish[[#This Row],[Total Hours Act]]*tbl_Finish[[#This Row],['# of men Act]],"")</f>
        <v/>
      </c>
      <c r="O32"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32" s="71" t="str">
        <f>IFERROR((tbl_Finish[[#This Row],[Adj. Total Hours]]+tbl_Finish[[#This Row],[Est. Hours]])/(tbl_Finish[[#This Row],[Total Hours Act]]+tbl_Finish[[#This Row],[Act. Hours]]),"")</f>
        <v/>
      </c>
      <c r="S32" s="63"/>
      <c r="T32" s="63"/>
      <c r="U32" s="63"/>
      <c r="V32" s="63"/>
      <c r="W32" s="63"/>
    </row>
    <row r="33" spans="6:23" ht="25" customHeight="1">
      <c r="F33" s="53"/>
      <c r="H33" s="55" t="e">
        <f>tbl_Finish[[#This Row],[Qty Complete]]/tbl_Finish[[#This Row],[Qty Required]]</f>
        <v>#DIV/0!</v>
      </c>
      <c r="K33" s="57" t="str">
        <f>IFERROR(tbl_Finish[[#This Row],[Qty Required]]/tbl_Finish[[#This Row],[PPH]]*tbl_Finish[[#This Row],['# of men]],"")</f>
        <v/>
      </c>
      <c r="L33" s="58" t="e">
        <f>tbl_Finish[[#This Row],[Total hours]]*tbl_Finish[[#This Row],[% Complete]]</f>
        <v>#VALUE!</v>
      </c>
      <c r="M33" s="59" t="str">
        <f>IFERROR(tbl_Finish[[#This Row],[Qty Complete]]/tbl_Finish[[#This Row],[Total Hours Act]]*tbl_Finish[[#This Row],['# of men Act]],"")</f>
        <v/>
      </c>
      <c r="O33"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33" s="71" t="str">
        <f>IFERROR((tbl_Finish[[#This Row],[Adj. Total Hours]]+tbl_Finish[[#This Row],[Est. Hours]])/(tbl_Finish[[#This Row],[Total Hours Act]]+tbl_Finish[[#This Row],[Act. Hours]]),"")</f>
        <v/>
      </c>
      <c r="S33" s="63"/>
      <c r="T33" s="63"/>
      <c r="U33" s="63"/>
      <c r="V33" s="63"/>
      <c r="W33" s="63"/>
    </row>
    <row r="34" spans="6:23" ht="25" customHeight="1">
      <c r="F34" s="53"/>
      <c r="H34" s="55" t="e">
        <f>tbl_Finish[[#This Row],[Qty Complete]]/tbl_Finish[[#This Row],[Qty Required]]</f>
        <v>#DIV/0!</v>
      </c>
      <c r="K34" s="57" t="str">
        <f>IFERROR(tbl_Finish[[#This Row],[Qty Required]]/tbl_Finish[[#This Row],[PPH]]*tbl_Finish[[#This Row],['# of men]],"")</f>
        <v/>
      </c>
      <c r="L34" s="58" t="e">
        <f>tbl_Finish[[#This Row],[Total hours]]*tbl_Finish[[#This Row],[% Complete]]</f>
        <v>#VALUE!</v>
      </c>
      <c r="M34" s="59" t="str">
        <f>IFERROR(tbl_Finish[[#This Row],[Qty Complete]]/tbl_Finish[[#This Row],[Total Hours Act]]*tbl_Finish[[#This Row],['# of men Act]],"")</f>
        <v/>
      </c>
      <c r="O34"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34" s="71" t="str">
        <f>IFERROR((tbl_Finish[[#This Row],[Adj. Total Hours]]+tbl_Finish[[#This Row],[Est. Hours]])/(tbl_Finish[[#This Row],[Total Hours Act]]+tbl_Finish[[#This Row],[Act. Hours]]),"")</f>
        <v/>
      </c>
      <c r="S34" s="63"/>
      <c r="T34" s="63"/>
      <c r="U34" s="63"/>
      <c r="V34" s="63"/>
      <c r="W34" s="63"/>
    </row>
    <row r="35" spans="6:23" ht="25" customHeight="1">
      <c r="F35" s="53"/>
      <c r="H35" s="55" t="e">
        <f>tbl_Finish[[#This Row],[Qty Complete]]/tbl_Finish[[#This Row],[Qty Required]]</f>
        <v>#DIV/0!</v>
      </c>
      <c r="K35" s="57" t="str">
        <f>IFERROR(tbl_Finish[[#This Row],[Qty Required]]/tbl_Finish[[#This Row],[PPH]]*tbl_Finish[[#This Row],['# of men]],"")</f>
        <v/>
      </c>
      <c r="L35" s="58" t="e">
        <f>tbl_Finish[[#This Row],[Total hours]]*tbl_Finish[[#This Row],[% Complete]]</f>
        <v>#VALUE!</v>
      </c>
      <c r="M35" s="59" t="str">
        <f>IFERROR(tbl_Finish[[#This Row],[Qty Complete]]/tbl_Finish[[#This Row],[Total Hours Act]]*tbl_Finish[[#This Row],['# of men Act]],"")</f>
        <v/>
      </c>
      <c r="O35"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35" s="71" t="str">
        <f>IFERROR((tbl_Finish[[#This Row],[Adj. Total Hours]]+tbl_Finish[[#This Row],[Est. Hours]])/(tbl_Finish[[#This Row],[Total Hours Act]]+tbl_Finish[[#This Row],[Act. Hours]]),"")</f>
        <v/>
      </c>
      <c r="S35" s="63"/>
      <c r="T35" s="63"/>
      <c r="U35" s="63"/>
      <c r="V35" s="63"/>
      <c r="W35" s="63"/>
    </row>
    <row r="36" spans="6:23" ht="25" customHeight="1">
      <c r="F36" s="53"/>
      <c r="H36" s="55" t="e">
        <f>tbl_Finish[[#This Row],[Qty Complete]]/tbl_Finish[[#This Row],[Qty Required]]</f>
        <v>#DIV/0!</v>
      </c>
      <c r="K36" s="57" t="str">
        <f>IFERROR(tbl_Finish[[#This Row],[Qty Required]]/tbl_Finish[[#This Row],[PPH]]*tbl_Finish[[#This Row],['# of men]],"")</f>
        <v/>
      </c>
      <c r="L36" s="58" t="e">
        <f>tbl_Finish[[#This Row],[Total hours]]*tbl_Finish[[#This Row],[% Complete]]</f>
        <v>#VALUE!</v>
      </c>
      <c r="M36" s="59" t="str">
        <f>IFERROR(tbl_Finish[[#This Row],[Qty Complete]]/tbl_Finish[[#This Row],[Total Hours Act]]*tbl_Finish[[#This Row],['# of men Act]],"")</f>
        <v/>
      </c>
      <c r="O36"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36" s="71" t="str">
        <f>IFERROR((tbl_Finish[[#This Row],[Adj. Total Hours]]+tbl_Finish[[#This Row],[Est. Hours]])/(tbl_Finish[[#This Row],[Total Hours Act]]+tbl_Finish[[#This Row],[Act. Hours]]),"")</f>
        <v/>
      </c>
      <c r="S36" s="63"/>
      <c r="T36" s="63"/>
      <c r="U36" s="63"/>
      <c r="V36" s="63"/>
      <c r="W36" s="63"/>
    </row>
    <row r="37" spans="6:23" ht="25" customHeight="1">
      <c r="F37" s="53"/>
      <c r="H37" s="55" t="e">
        <f>tbl_Finish[[#This Row],[Qty Complete]]/tbl_Finish[[#This Row],[Qty Required]]</f>
        <v>#DIV/0!</v>
      </c>
      <c r="K37" s="57" t="str">
        <f>IFERROR(tbl_Finish[[#This Row],[Qty Required]]/tbl_Finish[[#This Row],[PPH]]*tbl_Finish[[#This Row],['# of men]],"")</f>
        <v/>
      </c>
      <c r="L37" s="58" t="e">
        <f>tbl_Finish[[#This Row],[Total hours]]*tbl_Finish[[#This Row],[% Complete]]</f>
        <v>#VALUE!</v>
      </c>
      <c r="M37" s="59" t="str">
        <f>IFERROR(tbl_Finish[[#This Row],[Qty Complete]]/tbl_Finish[[#This Row],[Total Hours Act]]*tbl_Finish[[#This Row],['# of men Act]],"")</f>
        <v/>
      </c>
      <c r="O37"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37" s="71" t="str">
        <f>IFERROR((tbl_Finish[[#This Row],[Adj. Total Hours]]+tbl_Finish[[#This Row],[Est. Hours]])/(tbl_Finish[[#This Row],[Total Hours Act]]+tbl_Finish[[#This Row],[Act. Hours]]),"")</f>
        <v/>
      </c>
      <c r="S37" s="63"/>
      <c r="T37" s="63"/>
      <c r="U37" s="63"/>
      <c r="V37" s="63"/>
      <c r="W37" s="63"/>
    </row>
    <row r="38" spans="6:23" ht="25" customHeight="1">
      <c r="F38" s="53"/>
      <c r="H38" s="55" t="e">
        <f>tbl_Finish[[#This Row],[Qty Complete]]/tbl_Finish[[#This Row],[Qty Required]]</f>
        <v>#DIV/0!</v>
      </c>
      <c r="K38" s="57" t="str">
        <f>IFERROR(tbl_Finish[[#This Row],[Qty Required]]/tbl_Finish[[#This Row],[PPH]]*tbl_Finish[[#This Row],['# of men]],"")</f>
        <v/>
      </c>
      <c r="L38" s="58" t="e">
        <f>tbl_Finish[[#This Row],[Total hours]]*tbl_Finish[[#This Row],[% Complete]]</f>
        <v>#VALUE!</v>
      </c>
      <c r="M38" s="59" t="str">
        <f>IFERROR(tbl_Finish[[#This Row],[Qty Complete]]/tbl_Finish[[#This Row],[Total Hours Act]]*tbl_Finish[[#This Row],['# of men Act]],"")</f>
        <v/>
      </c>
      <c r="O38"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38" s="71" t="str">
        <f>IFERROR((tbl_Finish[[#This Row],[Adj. Total Hours]]+tbl_Finish[[#This Row],[Est. Hours]])/(tbl_Finish[[#This Row],[Total Hours Act]]+tbl_Finish[[#This Row],[Act. Hours]]),"")</f>
        <v/>
      </c>
      <c r="S38" s="63"/>
      <c r="T38" s="63"/>
      <c r="U38" s="63"/>
      <c r="V38" s="63"/>
      <c r="W38" s="63"/>
    </row>
    <row r="39" spans="6:23" ht="25" customHeight="1">
      <c r="F39" s="53"/>
      <c r="H39" s="55" t="e">
        <f>tbl_Finish[[#This Row],[Qty Complete]]/tbl_Finish[[#This Row],[Qty Required]]</f>
        <v>#DIV/0!</v>
      </c>
      <c r="K39" s="57" t="str">
        <f>IFERROR(tbl_Finish[[#This Row],[Qty Required]]/tbl_Finish[[#This Row],[PPH]]*tbl_Finish[[#This Row],['# of men]],"")</f>
        <v/>
      </c>
      <c r="L39" s="58" t="e">
        <f>tbl_Finish[[#This Row],[Total hours]]*tbl_Finish[[#This Row],[% Complete]]</f>
        <v>#VALUE!</v>
      </c>
      <c r="M39" s="59" t="str">
        <f>IFERROR(tbl_Finish[[#This Row],[Qty Complete]]/tbl_Finish[[#This Row],[Total Hours Act]]*tbl_Finish[[#This Row],['# of men Act]],"")</f>
        <v/>
      </c>
      <c r="O39"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39" s="71" t="str">
        <f>IFERROR((tbl_Finish[[#This Row],[Adj. Total Hours]]+tbl_Finish[[#This Row],[Est. Hours]])/(tbl_Finish[[#This Row],[Total Hours Act]]+tbl_Finish[[#This Row],[Act. Hours]]),"")</f>
        <v/>
      </c>
      <c r="S39" s="63"/>
      <c r="T39" s="63"/>
      <c r="U39" s="63"/>
      <c r="V39" s="63"/>
      <c r="W39" s="63"/>
    </row>
    <row r="40" spans="6:23" ht="25" customHeight="1">
      <c r="F40" s="53"/>
      <c r="H40" s="55" t="e">
        <f>tbl_Finish[[#This Row],[Qty Complete]]/tbl_Finish[[#This Row],[Qty Required]]</f>
        <v>#DIV/0!</v>
      </c>
      <c r="K40" s="57" t="str">
        <f>IFERROR(tbl_Finish[[#This Row],[Qty Required]]/tbl_Finish[[#This Row],[PPH]]*tbl_Finish[[#This Row],['# of men]],"")</f>
        <v/>
      </c>
      <c r="L40" s="58" t="e">
        <f>tbl_Finish[[#This Row],[Total hours]]*tbl_Finish[[#This Row],[% Complete]]</f>
        <v>#VALUE!</v>
      </c>
      <c r="M40" s="59" t="str">
        <f>IFERROR(tbl_Finish[[#This Row],[Qty Complete]]/tbl_Finish[[#This Row],[Total Hours Act]]*tbl_Finish[[#This Row],['# of men Act]],"")</f>
        <v/>
      </c>
      <c r="O40"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40" s="71" t="str">
        <f>IFERROR((tbl_Finish[[#This Row],[Adj. Total Hours]]+tbl_Finish[[#This Row],[Est. Hours]])/(tbl_Finish[[#This Row],[Total Hours Act]]+tbl_Finish[[#This Row],[Act. Hours]]),"")</f>
        <v/>
      </c>
      <c r="S40" s="63"/>
      <c r="T40" s="63"/>
      <c r="U40" s="63"/>
      <c r="V40" s="63"/>
      <c r="W40" s="63"/>
    </row>
    <row r="41" spans="6:23" ht="25" customHeight="1">
      <c r="F41" s="53"/>
      <c r="H41" s="55" t="e">
        <f>tbl_Finish[[#This Row],[Qty Complete]]/tbl_Finish[[#This Row],[Qty Required]]</f>
        <v>#DIV/0!</v>
      </c>
      <c r="K41" s="57" t="str">
        <f>IFERROR(tbl_Finish[[#This Row],[Qty Required]]/tbl_Finish[[#This Row],[PPH]]*tbl_Finish[[#This Row],['# of men]],"")</f>
        <v/>
      </c>
      <c r="L41" s="58" t="e">
        <f>tbl_Finish[[#This Row],[Total hours]]*tbl_Finish[[#This Row],[% Complete]]</f>
        <v>#VALUE!</v>
      </c>
      <c r="M41" s="59" t="str">
        <f>IFERROR(tbl_Finish[[#This Row],[Qty Complete]]/tbl_Finish[[#This Row],[Total Hours Act]]*tbl_Finish[[#This Row],['# of men Act]],"")</f>
        <v/>
      </c>
      <c r="O41"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41" s="71" t="str">
        <f>IFERROR((tbl_Finish[[#This Row],[Adj. Total Hours]]+tbl_Finish[[#This Row],[Est. Hours]])/(tbl_Finish[[#This Row],[Total Hours Act]]+tbl_Finish[[#This Row],[Act. Hours]]),"")</f>
        <v/>
      </c>
      <c r="S41" s="63"/>
      <c r="T41" s="63"/>
      <c r="U41" s="63"/>
      <c r="V41" s="63"/>
      <c r="W41" s="63"/>
    </row>
    <row r="42" spans="6:23" ht="25" customHeight="1">
      <c r="F42" s="53"/>
      <c r="H42" s="55" t="e">
        <f>tbl_Finish[[#This Row],[Qty Complete]]/tbl_Finish[[#This Row],[Qty Required]]</f>
        <v>#DIV/0!</v>
      </c>
      <c r="K42" s="57" t="str">
        <f>IFERROR(tbl_Finish[[#This Row],[Qty Required]]/tbl_Finish[[#This Row],[PPH]]*tbl_Finish[[#This Row],['# of men]],"")</f>
        <v/>
      </c>
      <c r="L42" s="58" t="e">
        <f>tbl_Finish[[#This Row],[Total hours]]*tbl_Finish[[#This Row],[% Complete]]</f>
        <v>#VALUE!</v>
      </c>
      <c r="M42" s="59" t="str">
        <f>IFERROR(tbl_Finish[[#This Row],[Qty Complete]]/tbl_Finish[[#This Row],[Total Hours Act]]*tbl_Finish[[#This Row],['# of men Act]],"")</f>
        <v/>
      </c>
      <c r="O42"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42" s="71" t="str">
        <f>IFERROR((tbl_Finish[[#This Row],[Adj. Total Hours]]+tbl_Finish[[#This Row],[Est. Hours]])/(tbl_Finish[[#This Row],[Total Hours Act]]+tbl_Finish[[#This Row],[Act. Hours]]),"")</f>
        <v/>
      </c>
      <c r="S42" s="63"/>
      <c r="T42" s="63"/>
      <c r="U42" s="63"/>
      <c r="V42" s="63"/>
      <c r="W42" s="63"/>
    </row>
    <row r="43" spans="6:23" ht="25" customHeight="1">
      <c r="F43" s="53"/>
      <c r="H43" s="55" t="e">
        <f>tbl_Finish[[#This Row],[Qty Complete]]/tbl_Finish[[#This Row],[Qty Required]]</f>
        <v>#DIV/0!</v>
      </c>
      <c r="K43" s="57" t="str">
        <f>IFERROR(tbl_Finish[[#This Row],[Qty Required]]/tbl_Finish[[#This Row],[PPH]]*tbl_Finish[[#This Row],['# of men]],"")</f>
        <v/>
      </c>
      <c r="L43" s="58" t="e">
        <f>tbl_Finish[[#This Row],[Total hours]]*tbl_Finish[[#This Row],[% Complete]]</f>
        <v>#VALUE!</v>
      </c>
      <c r="M43" s="59" t="str">
        <f>IFERROR(tbl_Finish[[#This Row],[Qty Complete]]/tbl_Finish[[#This Row],[Total Hours Act]]*tbl_Finish[[#This Row],['# of men Act]],"")</f>
        <v/>
      </c>
      <c r="O43"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43" s="71" t="str">
        <f>IFERROR((tbl_Finish[[#This Row],[Adj. Total Hours]]+tbl_Finish[[#This Row],[Est. Hours]])/(tbl_Finish[[#This Row],[Total Hours Act]]+tbl_Finish[[#This Row],[Act. Hours]]),"")</f>
        <v/>
      </c>
      <c r="S43" s="63"/>
      <c r="T43" s="63"/>
      <c r="U43" s="63"/>
      <c r="V43" s="63"/>
      <c r="W43" s="63"/>
    </row>
    <row r="44" spans="6:23" ht="25" customHeight="1">
      <c r="F44" s="53"/>
      <c r="H44" s="55" t="e">
        <f>tbl_Finish[[#This Row],[Qty Complete]]/tbl_Finish[[#This Row],[Qty Required]]</f>
        <v>#DIV/0!</v>
      </c>
      <c r="K44" s="57" t="str">
        <f>IFERROR(tbl_Finish[[#This Row],[Qty Required]]/tbl_Finish[[#This Row],[PPH]]*tbl_Finish[[#This Row],['# of men]],"")</f>
        <v/>
      </c>
      <c r="L44" s="58" t="e">
        <f>tbl_Finish[[#This Row],[Total hours]]*tbl_Finish[[#This Row],[% Complete]]</f>
        <v>#VALUE!</v>
      </c>
      <c r="M44" s="59" t="str">
        <f>IFERROR(tbl_Finish[[#This Row],[Qty Complete]]/tbl_Finish[[#This Row],[Total Hours Act]]*tbl_Finish[[#This Row],['# of men Act]],"")</f>
        <v/>
      </c>
      <c r="O44"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44" s="71" t="str">
        <f>IFERROR((tbl_Finish[[#This Row],[Adj. Total Hours]]+tbl_Finish[[#This Row],[Est. Hours]])/(tbl_Finish[[#This Row],[Total Hours Act]]+tbl_Finish[[#This Row],[Act. Hours]]),"")</f>
        <v/>
      </c>
      <c r="S44" s="63"/>
      <c r="T44" s="63"/>
      <c r="U44" s="63"/>
      <c r="V44" s="63"/>
      <c r="W44" s="63"/>
    </row>
    <row r="45" spans="6:23" ht="25" customHeight="1">
      <c r="F45" s="53"/>
      <c r="H45" s="55" t="e">
        <f>tbl_Finish[[#This Row],[Qty Complete]]/tbl_Finish[[#This Row],[Qty Required]]</f>
        <v>#DIV/0!</v>
      </c>
      <c r="K45" s="57" t="str">
        <f>IFERROR(tbl_Finish[[#This Row],[Qty Required]]/tbl_Finish[[#This Row],[PPH]]*tbl_Finish[[#This Row],['# of men]],"")</f>
        <v/>
      </c>
      <c r="L45" s="58" t="e">
        <f>tbl_Finish[[#This Row],[Total hours]]*tbl_Finish[[#This Row],[% Complete]]</f>
        <v>#VALUE!</v>
      </c>
      <c r="M45" s="59" t="str">
        <f>IFERROR(tbl_Finish[[#This Row],[Qty Complete]]/tbl_Finish[[#This Row],[Total Hours Act]]*tbl_Finish[[#This Row],['# of men Act]],"")</f>
        <v/>
      </c>
      <c r="O45"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45" s="71" t="str">
        <f>IFERROR((tbl_Finish[[#This Row],[Adj. Total Hours]]+tbl_Finish[[#This Row],[Est. Hours]])/(tbl_Finish[[#This Row],[Total Hours Act]]+tbl_Finish[[#This Row],[Act. Hours]]),"")</f>
        <v/>
      </c>
      <c r="S45" s="63"/>
      <c r="T45" s="63"/>
      <c r="U45" s="63"/>
      <c r="V45" s="63"/>
      <c r="W45" s="63"/>
    </row>
    <row r="46" spans="6:23" ht="25" customHeight="1">
      <c r="F46" s="53"/>
      <c r="H46" s="55" t="e">
        <f>tbl_Finish[[#This Row],[Qty Complete]]/tbl_Finish[[#This Row],[Qty Required]]</f>
        <v>#DIV/0!</v>
      </c>
      <c r="K46" s="57" t="str">
        <f>IFERROR(tbl_Finish[[#This Row],[Qty Required]]/tbl_Finish[[#This Row],[PPH]]*tbl_Finish[[#This Row],['# of men]],"")</f>
        <v/>
      </c>
      <c r="L46" s="58" t="e">
        <f>tbl_Finish[[#This Row],[Total hours]]*tbl_Finish[[#This Row],[% Complete]]</f>
        <v>#VALUE!</v>
      </c>
      <c r="M46" s="59" t="str">
        <f>IFERROR(tbl_Finish[[#This Row],[Qty Complete]]/tbl_Finish[[#This Row],[Total Hours Act]]*tbl_Finish[[#This Row],['# of men Act]],"")</f>
        <v/>
      </c>
      <c r="O46"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46" s="71" t="str">
        <f>IFERROR((tbl_Finish[[#This Row],[Adj. Total Hours]]+tbl_Finish[[#This Row],[Est. Hours]])/(tbl_Finish[[#This Row],[Total Hours Act]]+tbl_Finish[[#This Row],[Act. Hours]]),"")</f>
        <v/>
      </c>
      <c r="S46" s="63"/>
      <c r="T46" s="63"/>
      <c r="U46" s="63"/>
      <c r="V46" s="63"/>
      <c r="W46" s="63"/>
    </row>
    <row r="47" spans="6:23" ht="25" customHeight="1">
      <c r="F47" s="53"/>
      <c r="H47" s="55" t="e">
        <f>tbl_Finish[[#This Row],[Qty Complete]]/tbl_Finish[[#This Row],[Qty Required]]</f>
        <v>#DIV/0!</v>
      </c>
      <c r="K47" s="57" t="str">
        <f>IFERROR(tbl_Finish[[#This Row],[Qty Required]]/tbl_Finish[[#This Row],[PPH]]*tbl_Finish[[#This Row],['# of men]],"")</f>
        <v/>
      </c>
      <c r="L47" s="58" t="e">
        <f>tbl_Finish[[#This Row],[Total hours]]*tbl_Finish[[#This Row],[% Complete]]</f>
        <v>#VALUE!</v>
      </c>
      <c r="M47" s="59" t="str">
        <f>IFERROR(tbl_Finish[[#This Row],[Qty Complete]]/tbl_Finish[[#This Row],[Total Hours Act]]*tbl_Finish[[#This Row],['# of men Act]],"")</f>
        <v/>
      </c>
      <c r="O47"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47" s="71" t="str">
        <f>IFERROR((tbl_Finish[[#This Row],[Adj. Total Hours]]+tbl_Finish[[#This Row],[Est. Hours]])/(tbl_Finish[[#This Row],[Total Hours Act]]+tbl_Finish[[#This Row],[Act. Hours]]),"")</f>
        <v/>
      </c>
      <c r="S47" s="63"/>
      <c r="T47" s="63"/>
      <c r="U47" s="63"/>
      <c r="V47" s="63"/>
      <c r="W47" s="63"/>
    </row>
    <row r="48" spans="6:23" ht="25" customHeight="1">
      <c r="F48" s="53"/>
      <c r="H48" s="55" t="e">
        <f>tbl_Finish[[#This Row],[Qty Complete]]/tbl_Finish[[#This Row],[Qty Required]]</f>
        <v>#DIV/0!</v>
      </c>
      <c r="K48" s="57" t="str">
        <f>IFERROR(tbl_Finish[[#This Row],[Qty Required]]/tbl_Finish[[#This Row],[PPH]]*tbl_Finish[[#This Row],['# of men]],"")</f>
        <v/>
      </c>
      <c r="L48" s="58" t="e">
        <f>tbl_Finish[[#This Row],[Total hours]]*tbl_Finish[[#This Row],[% Complete]]</f>
        <v>#VALUE!</v>
      </c>
      <c r="M48" s="59" t="str">
        <f>IFERROR(tbl_Finish[[#This Row],[Qty Complete]]/tbl_Finish[[#This Row],[Total Hours Act]]*tbl_Finish[[#This Row],['# of men Act]],"")</f>
        <v/>
      </c>
      <c r="O48"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48" s="71" t="str">
        <f>IFERROR((tbl_Finish[[#This Row],[Adj. Total Hours]]+tbl_Finish[[#This Row],[Est. Hours]])/(tbl_Finish[[#This Row],[Total Hours Act]]+tbl_Finish[[#This Row],[Act. Hours]]),"")</f>
        <v/>
      </c>
      <c r="S48" s="63"/>
      <c r="T48" s="63"/>
      <c r="U48" s="63"/>
      <c r="V48" s="63"/>
      <c r="W48" s="63"/>
    </row>
    <row r="49" spans="6:23" ht="25" customHeight="1">
      <c r="F49" s="53"/>
      <c r="H49" s="55" t="e">
        <f>tbl_Finish[[#This Row],[Qty Complete]]/tbl_Finish[[#This Row],[Qty Required]]</f>
        <v>#DIV/0!</v>
      </c>
      <c r="K49" s="57" t="str">
        <f>IFERROR(tbl_Finish[[#This Row],[Qty Required]]/tbl_Finish[[#This Row],[PPH]]*tbl_Finish[[#This Row],['# of men]],"")</f>
        <v/>
      </c>
      <c r="L49" s="58" t="e">
        <f>tbl_Finish[[#This Row],[Total hours]]*tbl_Finish[[#This Row],[% Complete]]</f>
        <v>#VALUE!</v>
      </c>
      <c r="M49" s="59" t="str">
        <f>IFERROR(tbl_Finish[[#This Row],[Qty Complete]]/tbl_Finish[[#This Row],[Total Hours Act]]*tbl_Finish[[#This Row],['# of men Act]],"")</f>
        <v/>
      </c>
      <c r="O49"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49" s="71" t="str">
        <f>IFERROR((tbl_Finish[[#This Row],[Adj. Total Hours]]+tbl_Finish[[#This Row],[Est. Hours]])/(tbl_Finish[[#This Row],[Total Hours Act]]+tbl_Finish[[#This Row],[Act. Hours]]),"")</f>
        <v/>
      </c>
      <c r="S49" s="63"/>
      <c r="T49" s="63"/>
      <c r="U49" s="63"/>
      <c r="V49" s="63"/>
      <c r="W49" s="63"/>
    </row>
    <row r="50" spans="6:23" ht="25" customHeight="1">
      <c r="F50" s="53"/>
      <c r="H50" s="55" t="e">
        <f>tbl_Finish[[#This Row],[Qty Complete]]/tbl_Finish[[#This Row],[Qty Required]]</f>
        <v>#DIV/0!</v>
      </c>
      <c r="K50" s="57" t="str">
        <f>IFERROR(tbl_Finish[[#This Row],[Qty Required]]/tbl_Finish[[#This Row],[PPH]]*tbl_Finish[[#This Row],['# of men]],"")</f>
        <v/>
      </c>
      <c r="L50" s="58" t="e">
        <f>tbl_Finish[[#This Row],[Total hours]]*tbl_Finish[[#This Row],[% Complete]]</f>
        <v>#VALUE!</v>
      </c>
      <c r="M50" s="59" t="str">
        <f>IFERROR(tbl_Finish[[#This Row],[Qty Complete]]/tbl_Finish[[#This Row],[Total Hours Act]]*tbl_Finish[[#This Row],['# of men Act]],"")</f>
        <v/>
      </c>
      <c r="O50"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50" s="71" t="str">
        <f>IFERROR((tbl_Finish[[#This Row],[Adj. Total Hours]]+tbl_Finish[[#This Row],[Est. Hours]])/(tbl_Finish[[#This Row],[Total Hours Act]]+tbl_Finish[[#This Row],[Act. Hours]]),"")</f>
        <v/>
      </c>
      <c r="S50" s="63"/>
      <c r="T50" s="63"/>
      <c r="U50" s="63"/>
      <c r="V50" s="63"/>
      <c r="W50" s="63"/>
    </row>
    <row r="51" spans="6:23" ht="25" customHeight="1">
      <c r="F51" s="53"/>
      <c r="H51" s="55" t="e">
        <f>tbl_Finish[[#This Row],[Qty Complete]]/tbl_Finish[[#This Row],[Qty Required]]</f>
        <v>#DIV/0!</v>
      </c>
      <c r="K51" s="57" t="str">
        <f>IFERROR(tbl_Finish[[#This Row],[Qty Required]]/tbl_Finish[[#This Row],[PPH]]*tbl_Finish[[#This Row],['# of men]],"")</f>
        <v/>
      </c>
      <c r="L51" s="58" t="e">
        <f>tbl_Finish[[#This Row],[Total hours]]*tbl_Finish[[#This Row],[% Complete]]</f>
        <v>#VALUE!</v>
      </c>
      <c r="M51" s="59" t="str">
        <f>IFERROR(tbl_Finish[[#This Row],[Qty Complete]]/tbl_Finish[[#This Row],[Total Hours Act]]*tbl_Finish[[#This Row],['# of men Act]],"")</f>
        <v/>
      </c>
      <c r="O51"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51" s="71" t="str">
        <f>IFERROR((tbl_Finish[[#This Row],[Adj. Total Hours]]+tbl_Finish[[#This Row],[Est. Hours]])/(tbl_Finish[[#This Row],[Total Hours Act]]+tbl_Finish[[#This Row],[Act. Hours]]),"")</f>
        <v/>
      </c>
      <c r="S51" s="63"/>
      <c r="T51" s="63"/>
      <c r="U51" s="63"/>
      <c r="V51" s="63"/>
      <c r="W51" s="63"/>
    </row>
    <row r="52" spans="6:23" ht="25" customHeight="1">
      <c r="F52" s="53"/>
      <c r="H52" s="55" t="e">
        <f>tbl_Finish[[#This Row],[Qty Complete]]/tbl_Finish[[#This Row],[Qty Required]]</f>
        <v>#DIV/0!</v>
      </c>
      <c r="K52" s="57" t="str">
        <f>IFERROR(tbl_Finish[[#This Row],[Qty Required]]/tbl_Finish[[#This Row],[PPH]]*tbl_Finish[[#This Row],['# of men]],"")</f>
        <v/>
      </c>
      <c r="L52" s="58" t="e">
        <f>tbl_Finish[[#This Row],[Total hours]]*tbl_Finish[[#This Row],[% Complete]]</f>
        <v>#VALUE!</v>
      </c>
      <c r="M52" s="59" t="str">
        <f>IFERROR(tbl_Finish[[#This Row],[Qty Complete]]/tbl_Finish[[#This Row],[Total Hours Act]]*tbl_Finish[[#This Row],['# of men Act]],"")</f>
        <v/>
      </c>
      <c r="O52"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52" s="71" t="str">
        <f>IFERROR((tbl_Finish[[#This Row],[Adj. Total Hours]]+tbl_Finish[[#This Row],[Est. Hours]])/(tbl_Finish[[#This Row],[Total Hours Act]]+tbl_Finish[[#This Row],[Act. Hours]]),"")</f>
        <v/>
      </c>
      <c r="S52" s="63"/>
      <c r="T52" s="63"/>
      <c r="U52" s="63"/>
      <c r="V52" s="63"/>
      <c r="W52" s="63"/>
    </row>
    <row r="53" spans="6:23" ht="25" customHeight="1">
      <c r="F53" s="53"/>
      <c r="H53" s="55" t="e">
        <f>tbl_Finish[[#This Row],[Qty Complete]]/tbl_Finish[[#This Row],[Qty Required]]</f>
        <v>#DIV/0!</v>
      </c>
      <c r="K53" s="57" t="str">
        <f>IFERROR(tbl_Finish[[#This Row],[Qty Required]]/tbl_Finish[[#This Row],[PPH]]*tbl_Finish[[#This Row],['# of men]],"")</f>
        <v/>
      </c>
      <c r="L53" s="58" t="e">
        <f>tbl_Finish[[#This Row],[Total hours]]*tbl_Finish[[#This Row],[% Complete]]</f>
        <v>#VALUE!</v>
      </c>
      <c r="M53" s="59" t="str">
        <f>IFERROR(tbl_Finish[[#This Row],[Qty Complete]]/tbl_Finish[[#This Row],[Total Hours Act]]*tbl_Finish[[#This Row],['# of men Act]],"")</f>
        <v/>
      </c>
      <c r="O53"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53" s="71" t="str">
        <f>IFERROR((tbl_Finish[[#This Row],[Adj. Total Hours]]+tbl_Finish[[#This Row],[Est. Hours]])/(tbl_Finish[[#This Row],[Total Hours Act]]+tbl_Finish[[#This Row],[Act. Hours]]),"")</f>
        <v/>
      </c>
      <c r="S53" s="63"/>
      <c r="T53" s="63"/>
      <c r="U53" s="63"/>
      <c r="V53" s="63"/>
      <c r="W53" s="63"/>
    </row>
    <row r="54" spans="6:23" ht="25" customHeight="1">
      <c r="F54" s="53"/>
      <c r="H54" s="55" t="e">
        <f>tbl_Finish[[#This Row],[Qty Complete]]/tbl_Finish[[#This Row],[Qty Required]]</f>
        <v>#DIV/0!</v>
      </c>
      <c r="K54" s="57" t="str">
        <f>IFERROR(tbl_Finish[[#This Row],[Qty Required]]/tbl_Finish[[#This Row],[PPH]]*tbl_Finish[[#This Row],['# of men]],"")</f>
        <v/>
      </c>
      <c r="L54" s="58" t="e">
        <f>tbl_Finish[[#This Row],[Total hours]]*tbl_Finish[[#This Row],[% Complete]]</f>
        <v>#VALUE!</v>
      </c>
      <c r="M54" s="59" t="str">
        <f>IFERROR(tbl_Finish[[#This Row],[Qty Complete]]/tbl_Finish[[#This Row],[Total Hours Act]]*tbl_Finish[[#This Row],['# of men Act]],"")</f>
        <v/>
      </c>
      <c r="O54"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54" s="71" t="str">
        <f>IFERROR((tbl_Finish[[#This Row],[Adj. Total Hours]]+tbl_Finish[[#This Row],[Est. Hours]])/(tbl_Finish[[#This Row],[Total Hours Act]]+tbl_Finish[[#This Row],[Act. Hours]]),"")</f>
        <v/>
      </c>
      <c r="S54" s="63"/>
      <c r="T54" s="63"/>
      <c r="U54" s="63"/>
      <c r="V54" s="63"/>
      <c r="W54" s="63"/>
    </row>
    <row r="55" spans="6:23" ht="25" customHeight="1">
      <c r="F55" s="53"/>
      <c r="H55" s="55" t="e">
        <f>tbl_Finish[[#This Row],[Qty Complete]]/tbl_Finish[[#This Row],[Qty Required]]</f>
        <v>#DIV/0!</v>
      </c>
      <c r="K55" s="57" t="str">
        <f>IFERROR(tbl_Finish[[#This Row],[Qty Required]]/tbl_Finish[[#This Row],[PPH]]*tbl_Finish[[#This Row],['# of men]],"")</f>
        <v/>
      </c>
      <c r="L55" s="58" t="e">
        <f>tbl_Finish[[#This Row],[Total hours]]*tbl_Finish[[#This Row],[% Complete]]</f>
        <v>#VALUE!</v>
      </c>
      <c r="M55" s="59" t="str">
        <f>IFERROR(tbl_Finish[[#This Row],[Qty Complete]]/tbl_Finish[[#This Row],[Total Hours Act]]*tbl_Finish[[#This Row],['# of men Act]],"")</f>
        <v/>
      </c>
      <c r="O55"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55" s="71" t="str">
        <f>IFERROR((tbl_Finish[[#This Row],[Adj. Total Hours]]+tbl_Finish[[#This Row],[Est. Hours]])/(tbl_Finish[[#This Row],[Total Hours Act]]+tbl_Finish[[#This Row],[Act. Hours]]),"")</f>
        <v/>
      </c>
      <c r="S55" s="63"/>
      <c r="T55" s="63"/>
      <c r="U55" s="63"/>
      <c r="V55" s="63"/>
      <c r="W55" s="63"/>
    </row>
    <row r="56" spans="6:23" ht="25" customHeight="1">
      <c r="F56" s="53"/>
      <c r="H56" s="55" t="e">
        <f>tbl_Finish[[#This Row],[Qty Complete]]/tbl_Finish[[#This Row],[Qty Required]]</f>
        <v>#DIV/0!</v>
      </c>
      <c r="K56" s="57" t="str">
        <f>IFERROR(tbl_Finish[[#This Row],[Qty Required]]/tbl_Finish[[#This Row],[PPH]]*tbl_Finish[[#This Row],['# of men]],"")</f>
        <v/>
      </c>
      <c r="L56" s="58" t="e">
        <f>tbl_Finish[[#This Row],[Total hours]]*tbl_Finish[[#This Row],[% Complete]]</f>
        <v>#VALUE!</v>
      </c>
      <c r="M56" s="59" t="str">
        <f>IFERROR(tbl_Finish[[#This Row],[Qty Complete]]/tbl_Finish[[#This Row],[Total Hours Act]]*tbl_Finish[[#This Row],['# of men Act]],"")</f>
        <v/>
      </c>
      <c r="O56"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56" s="71" t="str">
        <f>IFERROR((tbl_Finish[[#This Row],[Adj. Total Hours]]+tbl_Finish[[#This Row],[Est. Hours]])/(tbl_Finish[[#This Row],[Total Hours Act]]+tbl_Finish[[#This Row],[Act. Hours]]),"")</f>
        <v/>
      </c>
      <c r="S56" s="63"/>
      <c r="T56" s="63"/>
      <c r="U56" s="63"/>
      <c r="V56" s="63"/>
      <c r="W56" s="63"/>
    </row>
    <row r="57" spans="6:23" ht="25" customHeight="1">
      <c r="F57" s="53"/>
      <c r="H57" s="55" t="e">
        <f>tbl_Finish[[#This Row],[Qty Complete]]/tbl_Finish[[#This Row],[Qty Required]]</f>
        <v>#DIV/0!</v>
      </c>
      <c r="K57" s="57" t="str">
        <f>IFERROR(tbl_Finish[[#This Row],[Qty Required]]/tbl_Finish[[#This Row],[PPH]]*tbl_Finish[[#This Row],['# of men]],"")</f>
        <v/>
      </c>
      <c r="L57" s="58" t="e">
        <f>tbl_Finish[[#This Row],[Total hours]]*tbl_Finish[[#This Row],[% Complete]]</f>
        <v>#VALUE!</v>
      </c>
      <c r="M57" s="59" t="str">
        <f>IFERROR(tbl_Finish[[#This Row],[Qty Complete]]/tbl_Finish[[#This Row],[Total Hours Act]]*tbl_Finish[[#This Row],['# of men Act]],"")</f>
        <v/>
      </c>
      <c r="O57"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57" s="71" t="str">
        <f>IFERROR((tbl_Finish[[#This Row],[Adj. Total Hours]]+tbl_Finish[[#This Row],[Est. Hours]])/(tbl_Finish[[#This Row],[Total Hours Act]]+tbl_Finish[[#This Row],[Act. Hours]]),"")</f>
        <v/>
      </c>
      <c r="S57" s="63"/>
      <c r="T57" s="63"/>
      <c r="U57" s="63"/>
      <c r="V57" s="63"/>
      <c r="W57" s="63"/>
    </row>
    <row r="58" spans="6:23" ht="25" customHeight="1">
      <c r="F58" s="53"/>
      <c r="H58" s="55" t="e">
        <f>tbl_Finish[[#This Row],[Qty Complete]]/tbl_Finish[[#This Row],[Qty Required]]</f>
        <v>#DIV/0!</v>
      </c>
      <c r="K58" s="57" t="str">
        <f>IFERROR(tbl_Finish[[#This Row],[Qty Required]]/tbl_Finish[[#This Row],[PPH]]*tbl_Finish[[#This Row],['# of men]],"")</f>
        <v/>
      </c>
      <c r="L58" s="58" t="e">
        <f>tbl_Finish[[#This Row],[Total hours]]*tbl_Finish[[#This Row],[% Complete]]</f>
        <v>#VALUE!</v>
      </c>
      <c r="M58" s="59" t="str">
        <f>IFERROR(tbl_Finish[[#This Row],[Qty Complete]]/tbl_Finish[[#This Row],[Total Hours Act]]*tbl_Finish[[#This Row],['# of men Act]],"")</f>
        <v/>
      </c>
      <c r="O58"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58" s="71" t="str">
        <f>IFERROR((tbl_Finish[[#This Row],[Adj. Total Hours]]+tbl_Finish[[#This Row],[Est. Hours]])/(tbl_Finish[[#This Row],[Total Hours Act]]+tbl_Finish[[#This Row],[Act. Hours]]),"")</f>
        <v/>
      </c>
      <c r="S58" s="63"/>
      <c r="T58" s="63"/>
      <c r="U58" s="63"/>
      <c r="V58" s="63"/>
      <c r="W58" s="63"/>
    </row>
    <row r="59" spans="6:23" ht="25" customHeight="1">
      <c r="F59" s="53"/>
      <c r="H59" s="55" t="e">
        <f>tbl_Finish[[#This Row],[Qty Complete]]/tbl_Finish[[#This Row],[Qty Required]]</f>
        <v>#DIV/0!</v>
      </c>
      <c r="K59" s="57" t="str">
        <f>IFERROR(tbl_Finish[[#This Row],[Qty Required]]/tbl_Finish[[#This Row],[PPH]]*tbl_Finish[[#This Row],['# of men]],"")</f>
        <v/>
      </c>
      <c r="L59" s="58" t="e">
        <f>tbl_Finish[[#This Row],[Total hours]]*tbl_Finish[[#This Row],[% Complete]]</f>
        <v>#VALUE!</v>
      </c>
      <c r="M59" s="59" t="str">
        <f>IFERROR(tbl_Finish[[#This Row],[Qty Complete]]/tbl_Finish[[#This Row],[Total Hours Act]]*tbl_Finish[[#This Row],['# of men Act]],"")</f>
        <v/>
      </c>
      <c r="O59"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59" s="71" t="str">
        <f>IFERROR((tbl_Finish[[#This Row],[Adj. Total Hours]]+tbl_Finish[[#This Row],[Est. Hours]])/(tbl_Finish[[#This Row],[Total Hours Act]]+tbl_Finish[[#This Row],[Act. Hours]]),"")</f>
        <v/>
      </c>
      <c r="S59" s="63"/>
      <c r="T59" s="63"/>
      <c r="U59" s="63"/>
      <c r="V59" s="63"/>
      <c r="W59" s="63"/>
    </row>
    <row r="60" spans="6:23" ht="25" customHeight="1">
      <c r="F60" s="53"/>
      <c r="H60" s="55" t="e">
        <f>tbl_Finish[[#This Row],[Qty Complete]]/tbl_Finish[[#This Row],[Qty Required]]</f>
        <v>#DIV/0!</v>
      </c>
      <c r="K60" s="57" t="str">
        <f>IFERROR(tbl_Finish[[#This Row],[Qty Required]]/tbl_Finish[[#This Row],[PPH]]*tbl_Finish[[#This Row],['# of men]],"")</f>
        <v/>
      </c>
      <c r="L60" s="58" t="e">
        <f>tbl_Finish[[#This Row],[Total hours]]*tbl_Finish[[#This Row],[% Complete]]</f>
        <v>#VALUE!</v>
      </c>
      <c r="M60" s="59" t="str">
        <f>IFERROR(tbl_Finish[[#This Row],[Qty Complete]]/tbl_Finish[[#This Row],[Total Hours Act]]*tbl_Finish[[#This Row],['# of men Act]],"")</f>
        <v/>
      </c>
      <c r="O60"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60" s="71" t="str">
        <f>IFERROR((tbl_Finish[[#This Row],[Adj. Total Hours]]+tbl_Finish[[#This Row],[Est. Hours]])/(tbl_Finish[[#This Row],[Total Hours Act]]+tbl_Finish[[#This Row],[Act. Hours]]),"")</f>
        <v/>
      </c>
      <c r="S60" s="63"/>
      <c r="T60" s="63"/>
      <c r="U60" s="63"/>
      <c r="V60" s="63"/>
      <c r="W60" s="63"/>
    </row>
    <row r="61" spans="6:23" ht="25" customHeight="1">
      <c r="F61" s="53"/>
      <c r="H61" s="55" t="e">
        <f>tbl_Finish[[#This Row],[Qty Complete]]/tbl_Finish[[#This Row],[Qty Required]]</f>
        <v>#DIV/0!</v>
      </c>
      <c r="K61" s="57" t="str">
        <f>IFERROR(tbl_Finish[[#This Row],[Qty Required]]/tbl_Finish[[#This Row],[PPH]]*tbl_Finish[[#This Row],['# of men]],"")</f>
        <v/>
      </c>
      <c r="L61" s="58" t="e">
        <f>tbl_Finish[[#This Row],[Total hours]]*tbl_Finish[[#This Row],[% Complete]]</f>
        <v>#VALUE!</v>
      </c>
      <c r="M61" s="59" t="str">
        <f>IFERROR(tbl_Finish[[#This Row],[Qty Complete]]/tbl_Finish[[#This Row],[Total Hours Act]]*tbl_Finish[[#This Row],['# of men Act]],"")</f>
        <v/>
      </c>
      <c r="O61"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61" s="71" t="str">
        <f>IFERROR((tbl_Finish[[#This Row],[Adj. Total Hours]]+tbl_Finish[[#This Row],[Est. Hours]])/(tbl_Finish[[#This Row],[Total Hours Act]]+tbl_Finish[[#This Row],[Act. Hours]]),"")</f>
        <v/>
      </c>
      <c r="S61" s="63"/>
      <c r="T61" s="63"/>
      <c r="U61" s="63"/>
      <c r="V61" s="63"/>
      <c r="W61" s="63"/>
    </row>
    <row r="62" spans="6:23" ht="25" customHeight="1">
      <c r="F62" s="53"/>
      <c r="H62" s="55" t="e">
        <f>tbl_Finish[[#This Row],[Qty Complete]]/tbl_Finish[[#This Row],[Qty Required]]</f>
        <v>#DIV/0!</v>
      </c>
      <c r="K62" s="57" t="str">
        <f>IFERROR(tbl_Finish[[#This Row],[Qty Required]]/tbl_Finish[[#This Row],[PPH]]*tbl_Finish[[#This Row],['# of men]],"")</f>
        <v/>
      </c>
      <c r="L62" s="58" t="e">
        <f>tbl_Finish[[#This Row],[Total hours]]*tbl_Finish[[#This Row],[% Complete]]</f>
        <v>#VALUE!</v>
      </c>
      <c r="M62" s="59" t="str">
        <f>IFERROR(tbl_Finish[[#This Row],[Qty Complete]]/tbl_Finish[[#This Row],[Total Hours Act]]*tbl_Finish[[#This Row],['# of men Act]],"")</f>
        <v/>
      </c>
      <c r="O62"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62" s="71" t="str">
        <f>IFERROR((tbl_Finish[[#This Row],[Adj. Total Hours]]+tbl_Finish[[#This Row],[Est. Hours]])/(tbl_Finish[[#This Row],[Total Hours Act]]+tbl_Finish[[#This Row],[Act. Hours]]),"")</f>
        <v/>
      </c>
      <c r="S62" s="63"/>
      <c r="T62" s="63"/>
      <c r="U62" s="63"/>
      <c r="V62" s="63"/>
      <c r="W62" s="63"/>
    </row>
    <row r="63" spans="6:23" ht="25" customHeight="1">
      <c r="F63" s="53"/>
      <c r="H63" s="55" t="e">
        <f>tbl_Finish[[#This Row],[Qty Complete]]/tbl_Finish[[#This Row],[Qty Required]]</f>
        <v>#DIV/0!</v>
      </c>
      <c r="K63" s="57" t="str">
        <f>IFERROR(tbl_Finish[[#This Row],[Qty Required]]/tbl_Finish[[#This Row],[PPH]]*tbl_Finish[[#This Row],['# of men]],"")</f>
        <v/>
      </c>
      <c r="L63" s="58" t="e">
        <f>tbl_Finish[[#This Row],[Total hours]]*tbl_Finish[[#This Row],[% Complete]]</f>
        <v>#VALUE!</v>
      </c>
      <c r="M63" s="59" t="str">
        <f>IFERROR(tbl_Finish[[#This Row],[Qty Complete]]/tbl_Finish[[#This Row],[Total Hours Act]]*tbl_Finish[[#This Row],['# of men Act]],"")</f>
        <v/>
      </c>
      <c r="O63"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63" s="71" t="str">
        <f>IFERROR((tbl_Finish[[#This Row],[Adj. Total Hours]]+tbl_Finish[[#This Row],[Est. Hours]])/(tbl_Finish[[#This Row],[Total Hours Act]]+tbl_Finish[[#This Row],[Act. Hours]]),"")</f>
        <v/>
      </c>
      <c r="S63" s="63"/>
      <c r="T63" s="63"/>
      <c r="U63" s="63"/>
      <c r="V63" s="63"/>
      <c r="W63" s="63"/>
    </row>
    <row r="64" spans="6:23" ht="25" customHeight="1">
      <c r="F64" s="53"/>
      <c r="H64" s="55" t="e">
        <f>tbl_Finish[[#This Row],[Qty Complete]]/tbl_Finish[[#This Row],[Qty Required]]</f>
        <v>#DIV/0!</v>
      </c>
      <c r="K64" s="57" t="str">
        <f>IFERROR(tbl_Finish[[#This Row],[Qty Required]]/tbl_Finish[[#This Row],[PPH]]*tbl_Finish[[#This Row],['# of men]],"")</f>
        <v/>
      </c>
      <c r="L64" s="58" t="e">
        <f>tbl_Finish[[#This Row],[Total hours]]*tbl_Finish[[#This Row],[% Complete]]</f>
        <v>#VALUE!</v>
      </c>
      <c r="M64" s="59" t="str">
        <f>IFERROR(tbl_Finish[[#This Row],[Qty Complete]]/tbl_Finish[[#This Row],[Total Hours Act]]*tbl_Finish[[#This Row],['# of men Act]],"")</f>
        <v/>
      </c>
      <c r="O64"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64" s="71" t="str">
        <f>IFERROR((tbl_Finish[[#This Row],[Adj. Total Hours]]+tbl_Finish[[#This Row],[Est. Hours]])/(tbl_Finish[[#This Row],[Total Hours Act]]+tbl_Finish[[#This Row],[Act. Hours]]),"")</f>
        <v/>
      </c>
      <c r="S64" s="63"/>
      <c r="T64" s="63"/>
      <c r="U64" s="63"/>
      <c r="V64" s="63"/>
      <c r="W64" s="63"/>
    </row>
    <row r="65" spans="6:23" ht="25" customHeight="1">
      <c r="F65" s="53"/>
      <c r="H65" s="55" t="e">
        <f>tbl_Finish[[#This Row],[Qty Complete]]/tbl_Finish[[#This Row],[Qty Required]]</f>
        <v>#DIV/0!</v>
      </c>
      <c r="K65" s="57" t="str">
        <f>IFERROR(tbl_Finish[[#This Row],[Qty Required]]/tbl_Finish[[#This Row],[PPH]]*tbl_Finish[[#This Row],['# of men]],"")</f>
        <v/>
      </c>
      <c r="L65" s="58" t="e">
        <f>tbl_Finish[[#This Row],[Total hours]]*tbl_Finish[[#This Row],[% Complete]]</f>
        <v>#VALUE!</v>
      </c>
      <c r="M65" s="59" t="str">
        <f>IFERROR(tbl_Finish[[#This Row],[Qty Complete]]/tbl_Finish[[#This Row],[Total Hours Act]]*tbl_Finish[[#This Row],['# of men Act]],"")</f>
        <v/>
      </c>
      <c r="O65"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65" s="71" t="str">
        <f>IFERROR((tbl_Finish[[#This Row],[Adj. Total Hours]]+tbl_Finish[[#This Row],[Est. Hours]])/(tbl_Finish[[#This Row],[Total Hours Act]]+tbl_Finish[[#This Row],[Act. Hours]]),"")</f>
        <v/>
      </c>
      <c r="S65" s="63"/>
      <c r="T65" s="63"/>
      <c r="U65" s="63"/>
      <c r="V65" s="63"/>
      <c r="W65" s="63"/>
    </row>
    <row r="66" spans="6:23" ht="25" customHeight="1">
      <c r="F66" s="53"/>
      <c r="H66" s="55" t="e">
        <f>tbl_Finish[[#This Row],[Qty Complete]]/tbl_Finish[[#This Row],[Qty Required]]</f>
        <v>#DIV/0!</v>
      </c>
      <c r="K66" s="57" t="str">
        <f>IFERROR(tbl_Finish[[#This Row],[Qty Required]]/tbl_Finish[[#This Row],[PPH]]*tbl_Finish[[#This Row],['# of men]],"")</f>
        <v/>
      </c>
      <c r="L66" s="58" t="e">
        <f>tbl_Finish[[#This Row],[Total hours]]*tbl_Finish[[#This Row],[% Complete]]</f>
        <v>#VALUE!</v>
      </c>
      <c r="M66" s="59" t="str">
        <f>IFERROR(tbl_Finish[[#This Row],[Qty Complete]]/tbl_Finish[[#This Row],[Total Hours Act]]*tbl_Finish[[#This Row],['# of men Act]],"")</f>
        <v/>
      </c>
      <c r="O66"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66" s="71" t="str">
        <f>IFERROR((tbl_Finish[[#This Row],[Adj. Total Hours]]+tbl_Finish[[#This Row],[Est. Hours]])/(tbl_Finish[[#This Row],[Total Hours Act]]+tbl_Finish[[#This Row],[Act. Hours]]),"")</f>
        <v/>
      </c>
      <c r="S66" s="63"/>
      <c r="T66" s="63"/>
      <c r="U66" s="63"/>
      <c r="V66" s="63"/>
      <c r="W66" s="63"/>
    </row>
    <row r="67" spans="6:23" ht="25" customHeight="1">
      <c r="F67" s="53"/>
      <c r="H67" s="55" t="e">
        <f>tbl_Finish[[#This Row],[Qty Complete]]/tbl_Finish[[#This Row],[Qty Required]]</f>
        <v>#DIV/0!</v>
      </c>
      <c r="K67" s="57" t="str">
        <f>IFERROR(tbl_Finish[[#This Row],[Qty Required]]/tbl_Finish[[#This Row],[PPH]]*tbl_Finish[[#This Row],['# of men]],"")</f>
        <v/>
      </c>
      <c r="L67" s="58" t="e">
        <f>tbl_Finish[[#This Row],[Total hours]]*tbl_Finish[[#This Row],[% Complete]]</f>
        <v>#VALUE!</v>
      </c>
      <c r="M67" s="59" t="str">
        <f>IFERROR(tbl_Finish[[#This Row],[Qty Complete]]/tbl_Finish[[#This Row],[Total Hours Act]]*tbl_Finish[[#This Row],['# of men Act]],"")</f>
        <v/>
      </c>
      <c r="O67"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67" s="71" t="str">
        <f>IFERROR((tbl_Finish[[#This Row],[Adj. Total Hours]]+tbl_Finish[[#This Row],[Est. Hours]])/(tbl_Finish[[#This Row],[Total Hours Act]]+tbl_Finish[[#This Row],[Act. Hours]]),"")</f>
        <v/>
      </c>
      <c r="S67" s="63"/>
      <c r="T67" s="63"/>
      <c r="U67" s="63"/>
      <c r="V67" s="63"/>
      <c r="W67" s="63"/>
    </row>
    <row r="68" spans="6:23" ht="25" customHeight="1">
      <c r="F68" s="53"/>
      <c r="H68" s="55" t="e">
        <f>tbl_Finish[[#This Row],[Qty Complete]]/tbl_Finish[[#This Row],[Qty Required]]</f>
        <v>#DIV/0!</v>
      </c>
      <c r="K68" s="57" t="str">
        <f>IFERROR(tbl_Finish[[#This Row],[Qty Required]]/tbl_Finish[[#This Row],[PPH]]*tbl_Finish[[#This Row],['# of men]],"")</f>
        <v/>
      </c>
      <c r="L68" s="58" t="e">
        <f>tbl_Finish[[#This Row],[Total hours]]*tbl_Finish[[#This Row],[% Complete]]</f>
        <v>#VALUE!</v>
      </c>
      <c r="M68" s="59" t="str">
        <f>IFERROR(tbl_Finish[[#This Row],[Qty Complete]]/tbl_Finish[[#This Row],[Total Hours Act]]*tbl_Finish[[#This Row],['# of men Act]],"")</f>
        <v/>
      </c>
      <c r="O68"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68" s="71" t="str">
        <f>IFERROR((tbl_Finish[[#This Row],[Adj. Total Hours]]+tbl_Finish[[#This Row],[Est. Hours]])/(tbl_Finish[[#This Row],[Total Hours Act]]+tbl_Finish[[#This Row],[Act. Hours]]),"")</f>
        <v/>
      </c>
      <c r="S68" s="63"/>
      <c r="T68" s="63"/>
      <c r="U68" s="63"/>
      <c r="V68" s="63"/>
      <c r="W68" s="63"/>
    </row>
    <row r="69" spans="6:23" ht="25" customHeight="1">
      <c r="F69" s="53"/>
      <c r="H69" s="55" t="e">
        <f>tbl_Finish[[#This Row],[Qty Complete]]/tbl_Finish[[#This Row],[Qty Required]]</f>
        <v>#DIV/0!</v>
      </c>
      <c r="K69" s="57" t="str">
        <f>IFERROR(tbl_Finish[[#This Row],[Qty Required]]/tbl_Finish[[#This Row],[PPH]]*tbl_Finish[[#This Row],['# of men]],"")</f>
        <v/>
      </c>
      <c r="L69" s="58" t="e">
        <f>tbl_Finish[[#This Row],[Total hours]]*tbl_Finish[[#This Row],[% Complete]]</f>
        <v>#VALUE!</v>
      </c>
      <c r="M69" s="59" t="str">
        <f>IFERROR(tbl_Finish[[#This Row],[Qty Complete]]/tbl_Finish[[#This Row],[Total Hours Act]]*tbl_Finish[[#This Row],['# of men Act]],"")</f>
        <v/>
      </c>
      <c r="O69"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69" s="71" t="str">
        <f>IFERROR((tbl_Finish[[#This Row],[Adj. Total Hours]]+tbl_Finish[[#This Row],[Est. Hours]])/(tbl_Finish[[#This Row],[Total Hours Act]]+tbl_Finish[[#This Row],[Act. Hours]]),"")</f>
        <v/>
      </c>
      <c r="S69" s="63"/>
      <c r="T69" s="63"/>
      <c r="U69" s="63"/>
      <c r="V69" s="63"/>
      <c r="W69" s="63"/>
    </row>
    <row r="70" spans="6:23" ht="25" customHeight="1">
      <c r="F70" s="53"/>
      <c r="H70" s="55" t="e">
        <f>tbl_Finish[[#This Row],[Qty Complete]]/tbl_Finish[[#This Row],[Qty Required]]</f>
        <v>#DIV/0!</v>
      </c>
      <c r="K70" s="57" t="str">
        <f>IFERROR(tbl_Finish[[#This Row],[Qty Required]]/tbl_Finish[[#This Row],[PPH]]*tbl_Finish[[#This Row],['# of men]],"")</f>
        <v/>
      </c>
      <c r="L70" s="58" t="e">
        <f>tbl_Finish[[#This Row],[Total hours]]*tbl_Finish[[#This Row],[% Complete]]</f>
        <v>#VALUE!</v>
      </c>
      <c r="M70" s="59" t="str">
        <f>IFERROR(tbl_Finish[[#This Row],[Qty Complete]]/tbl_Finish[[#This Row],[Total Hours Act]]*tbl_Finish[[#This Row],['# of men Act]],"")</f>
        <v/>
      </c>
      <c r="O70"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70" s="71" t="str">
        <f>IFERROR((tbl_Finish[[#This Row],[Adj. Total Hours]]+tbl_Finish[[#This Row],[Est. Hours]])/(tbl_Finish[[#This Row],[Total Hours Act]]+tbl_Finish[[#This Row],[Act. Hours]]),"")</f>
        <v/>
      </c>
      <c r="S70" s="63"/>
      <c r="T70" s="63"/>
      <c r="U70" s="63"/>
      <c r="V70" s="63"/>
      <c r="W70" s="63"/>
    </row>
    <row r="71" spans="6:23" ht="25" customHeight="1">
      <c r="F71" s="53"/>
      <c r="H71" s="55" t="e">
        <f>tbl_Finish[[#This Row],[Qty Complete]]/tbl_Finish[[#This Row],[Qty Required]]</f>
        <v>#DIV/0!</v>
      </c>
      <c r="K71" s="57" t="str">
        <f>IFERROR(tbl_Finish[[#This Row],[Qty Required]]/tbl_Finish[[#This Row],[PPH]]*tbl_Finish[[#This Row],['# of men]],"")</f>
        <v/>
      </c>
      <c r="L71" s="58" t="e">
        <f>tbl_Finish[[#This Row],[Total hours]]*tbl_Finish[[#This Row],[% Complete]]</f>
        <v>#VALUE!</v>
      </c>
      <c r="M71" s="59" t="str">
        <f>IFERROR(tbl_Finish[[#This Row],[Qty Complete]]/tbl_Finish[[#This Row],[Total Hours Act]]*tbl_Finish[[#This Row],['# of men Act]],"")</f>
        <v/>
      </c>
      <c r="O71"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71" s="71" t="str">
        <f>IFERROR((tbl_Finish[[#This Row],[Adj. Total Hours]]+tbl_Finish[[#This Row],[Est. Hours]])/(tbl_Finish[[#This Row],[Total Hours Act]]+tbl_Finish[[#This Row],[Act. Hours]]),"")</f>
        <v/>
      </c>
      <c r="S71" s="63"/>
      <c r="T71" s="63"/>
      <c r="U71" s="63"/>
      <c r="V71" s="63"/>
      <c r="W71" s="63"/>
    </row>
    <row r="72" spans="6:23" ht="25" customHeight="1">
      <c r="F72" s="53"/>
      <c r="H72" s="55" t="e">
        <f>tbl_Finish[[#This Row],[Qty Complete]]/tbl_Finish[[#This Row],[Qty Required]]</f>
        <v>#DIV/0!</v>
      </c>
      <c r="K72" s="57" t="str">
        <f>IFERROR(tbl_Finish[[#This Row],[Qty Required]]/tbl_Finish[[#This Row],[PPH]]*tbl_Finish[[#This Row],['# of men]],"")</f>
        <v/>
      </c>
      <c r="L72" s="58" t="e">
        <f>tbl_Finish[[#This Row],[Total hours]]*tbl_Finish[[#This Row],[% Complete]]</f>
        <v>#VALUE!</v>
      </c>
      <c r="M72" s="59" t="str">
        <f>IFERROR(tbl_Finish[[#This Row],[Qty Complete]]/tbl_Finish[[#This Row],[Total Hours Act]]*tbl_Finish[[#This Row],['# of men Act]],"")</f>
        <v/>
      </c>
      <c r="O72"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72" s="71" t="str">
        <f>IFERROR((tbl_Finish[[#This Row],[Adj. Total Hours]]+tbl_Finish[[#This Row],[Est. Hours]])/(tbl_Finish[[#This Row],[Total Hours Act]]+tbl_Finish[[#This Row],[Act. Hours]]),"")</f>
        <v/>
      </c>
      <c r="S72" s="63"/>
      <c r="T72" s="63"/>
      <c r="U72" s="63"/>
      <c r="V72" s="63"/>
      <c r="W72" s="63"/>
    </row>
    <row r="73" spans="6:23" ht="25" customHeight="1">
      <c r="F73" s="53"/>
      <c r="H73" s="55" t="e">
        <f>tbl_Finish[[#This Row],[Qty Complete]]/tbl_Finish[[#This Row],[Qty Required]]</f>
        <v>#DIV/0!</v>
      </c>
      <c r="K73" s="57" t="str">
        <f>IFERROR(tbl_Finish[[#This Row],[Qty Required]]/tbl_Finish[[#This Row],[PPH]]*tbl_Finish[[#This Row],['# of men]],"")</f>
        <v/>
      </c>
      <c r="L73" s="58" t="e">
        <f>tbl_Finish[[#This Row],[Total hours]]*tbl_Finish[[#This Row],[% Complete]]</f>
        <v>#VALUE!</v>
      </c>
      <c r="M73" s="59" t="str">
        <f>IFERROR(tbl_Finish[[#This Row],[Qty Complete]]/tbl_Finish[[#This Row],[Total Hours Act]]*tbl_Finish[[#This Row],['# of men Act]],"")</f>
        <v/>
      </c>
      <c r="O73"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73" s="71" t="str">
        <f>IFERROR((tbl_Finish[[#This Row],[Adj. Total Hours]]+tbl_Finish[[#This Row],[Est. Hours]])/(tbl_Finish[[#This Row],[Total Hours Act]]+tbl_Finish[[#This Row],[Act. Hours]]),"")</f>
        <v/>
      </c>
      <c r="S73" s="63"/>
      <c r="T73" s="63"/>
      <c r="U73" s="63"/>
      <c r="V73" s="63"/>
      <c r="W73" s="63"/>
    </row>
    <row r="74" spans="6:23" ht="25" customHeight="1">
      <c r="F74" s="53"/>
      <c r="H74" s="55" t="e">
        <f>tbl_Finish[[#This Row],[Qty Complete]]/tbl_Finish[[#This Row],[Qty Required]]</f>
        <v>#DIV/0!</v>
      </c>
      <c r="K74" s="57" t="str">
        <f>IFERROR(tbl_Finish[[#This Row],[Qty Required]]/tbl_Finish[[#This Row],[PPH]]*tbl_Finish[[#This Row],['# of men]],"")</f>
        <v/>
      </c>
      <c r="L74" s="58" t="e">
        <f>tbl_Finish[[#This Row],[Total hours]]*tbl_Finish[[#This Row],[% Complete]]</f>
        <v>#VALUE!</v>
      </c>
      <c r="M74" s="59" t="str">
        <f>IFERROR(tbl_Finish[[#This Row],[Qty Complete]]/tbl_Finish[[#This Row],[Total Hours Act]]*tbl_Finish[[#This Row],['# of men Act]],"")</f>
        <v/>
      </c>
      <c r="O74"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74" s="71" t="str">
        <f>IFERROR((tbl_Finish[[#This Row],[Adj. Total Hours]]+tbl_Finish[[#This Row],[Est. Hours]])/(tbl_Finish[[#This Row],[Total Hours Act]]+tbl_Finish[[#This Row],[Act. Hours]]),"")</f>
        <v/>
      </c>
      <c r="S74" s="63"/>
      <c r="T74" s="63"/>
      <c r="U74" s="63"/>
      <c r="V74" s="63"/>
      <c r="W74" s="63"/>
    </row>
    <row r="75" spans="6:23" ht="25" customHeight="1">
      <c r="F75" s="53"/>
      <c r="H75" s="55" t="e">
        <f>tbl_Finish[[#This Row],[Qty Complete]]/tbl_Finish[[#This Row],[Qty Required]]</f>
        <v>#DIV/0!</v>
      </c>
      <c r="K75" s="57" t="str">
        <f>IFERROR(tbl_Finish[[#This Row],[Qty Required]]/tbl_Finish[[#This Row],[PPH]]*tbl_Finish[[#This Row],['# of men]],"")</f>
        <v/>
      </c>
      <c r="L75" s="58" t="e">
        <f>tbl_Finish[[#This Row],[Total hours]]*tbl_Finish[[#This Row],[% Complete]]</f>
        <v>#VALUE!</v>
      </c>
      <c r="M75" s="59" t="str">
        <f>IFERROR(tbl_Finish[[#This Row],[Qty Complete]]/tbl_Finish[[#This Row],[Total Hours Act]]*tbl_Finish[[#This Row],['# of men Act]],"")</f>
        <v/>
      </c>
      <c r="O75"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75" s="71" t="str">
        <f>IFERROR((tbl_Finish[[#This Row],[Adj. Total Hours]]+tbl_Finish[[#This Row],[Est. Hours]])/(tbl_Finish[[#This Row],[Total Hours Act]]+tbl_Finish[[#This Row],[Act. Hours]]),"")</f>
        <v/>
      </c>
      <c r="S75" s="63"/>
      <c r="T75" s="63"/>
      <c r="U75" s="63"/>
      <c r="V75" s="63"/>
      <c r="W75" s="63"/>
    </row>
    <row r="76" spans="6:23" ht="25" customHeight="1">
      <c r="F76" s="53"/>
      <c r="H76" s="55" t="e">
        <f>tbl_Finish[[#This Row],[Qty Complete]]/tbl_Finish[[#This Row],[Qty Required]]</f>
        <v>#DIV/0!</v>
      </c>
      <c r="K76" s="57" t="str">
        <f>IFERROR(tbl_Finish[[#This Row],[Qty Required]]/tbl_Finish[[#This Row],[PPH]]*tbl_Finish[[#This Row],['# of men]],"")</f>
        <v/>
      </c>
      <c r="L76" s="58" t="e">
        <f>tbl_Finish[[#This Row],[Total hours]]*tbl_Finish[[#This Row],[% Complete]]</f>
        <v>#VALUE!</v>
      </c>
      <c r="M76" s="59" t="str">
        <f>IFERROR(tbl_Finish[[#This Row],[Qty Complete]]/tbl_Finish[[#This Row],[Total Hours Act]]*tbl_Finish[[#This Row],['# of men Act]],"")</f>
        <v/>
      </c>
      <c r="O76"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76" s="71" t="str">
        <f>IFERROR((tbl_Finish[[#This Row],[Adj. Total Hours]]+tbl_Finish[[#This Row],[Est. Hours]])/(tbl_Finish[[#This Row],[Total Hours Act]]+tbl_Finish[[#This Row],[Act. Hours]]),"")</f>
        <v/>
      </c>
      <c r="S76" s="63"/>
      <c r="T76" s="63"/>
      <c r="U76" s="63"/>
      <c r="V76" s="63"/>
      <c r="W76" s="63"/>
    </row>
    <row r="77" spans="6:23" ht="25" customHeight="1">
      <c r="F77" s="53"/>
      <c r="H77" s="55" t="e">
        <f>tbl_Finish[[#This Row],[Qty Complete]]/tbl_Finish[[#This Row],[Qty Required]]</f>
        <v>#DIV/0!</v>
      </c>
      <c r="K77" s="57" t="str">
        <f>IFERROR(tbl_Finish[[#This Row],[Qty Required]]/tbl_Finish[[#This Row],[PPH]]*tbl_Finish[[#This Row],['# of men]],"")</f>
        <v/>
      </c>
      <c r="L77" s="58" t="e">
        <f>tbl_Finish[[#This Row],[Total hours]]*tbl_Finish[[#This Row],[% Complete]]</f>
        <v>#VALUE!</v>
      </c>
      <c r="M77" s="59" t="str">
        <f>IFERROR(tbl_Finish[[#This Row],[Qty Complete]]/tbl_Finish[[#This Row],[Total Hours Act]]*tbl_Finish[[#This Row],['# of men Act]],"")</f>
        <v/>
      </c>
      <c r="O77"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77" s="71" t="str">
        <f>IFERROR((tbl_Finish[[#This Row],[Adj. Total Hours]]+tbl_Finish[[#This Row],[Est. Hours]])/(tbl_Finish[[#This Row],[Total Hours Act]]+tbl_Finish[[#This Row],[Act. Hours]]),"")</f>
        <v/>
      </c>
      <c r="S77" s="63"/>
      <c r="T77" s="63"/>
      <c r="U77" s="63"/>
      <c r="V77" s="63"/>
      <c r="W77" s="63"/>
    </row>
    <row r="78" spans="6:23" ht="25" customHeight="1">
      <c r="F78" s="53"/>
      <c r="H78" s="55" t="e">
        <f>tbl_Finish[[#This Row],[Qty Complete]]/tbl_Finish[[#This Row],[Qty Required]]</f>
        <v>#DIV/0!</v>
      </c>
      <c r="K78" s="57" t="str">
        <f>IFERROR(tbl_Finish[[#This Row],[Qty Required]]/tbl_Finish[[#This Row],[PPH]]*tbl_Finish[[#This Row],['# of men]],"")</f>
        <v/>
      </c>
      <c r="L78" s="58" t="e">
        <f>tbl_Finish[[#This Row],[Total hours]]*tbl_Finish[[#This Row],[% Complete]]</f>
        <v>#VALUE!</v>
      </c>
      <c r="M78" s="59" t="str">
        <f>IFERROR(tbl_Finish[[#This Row],[Qty Complete]]/tbl_Finish[[#This Row],[Total Hours Act]]*tbl_Finish[[#This Row],['# of men Act]],"")</f>
        <v/>
      </c>
      <c r="O78"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78" s="71" t="str">
        <f>IFERROR((tbl_Finish[[#This Row],[Adj. Total Hours]]+tbl_Finish[[#This Row],[Est. Hours]])/(tbl_Finish[[#This Row],[Total Hours Act]]+tbl_Finish[[#This Row],[Act. Hours]]),"")</f>
        <v/>
      </c>
      <c r="S78" s="63"/>
      <c r="T78" s="63"/>
      <c r="U78" s="63"/>
      <c r="V78" s="63"/>
      <c r="W78" s="63"/>
    </row>
    <row r="79" spans="6:23" ht="25" customHeight="1">
      <c r="F79" s="53"/>
      <c r="H79" s="55" t="e">
        <f>tbl_Finish[[#This Row],[Qty Complete]]/tbl_Finish[[#This Row],[Qty Required]]</f>
        <v>#DIV/0!</v>
      </c>
      <c r="K79" s="57" t="str">
        <f>IFERROR(tbl_Finish[[#This Row],[Qty Required]]/tbl_Finish[[#This Row],[PPH]]*tbl_Finish[[#This Row],['# of men]],"")</f>
        <v/>
      </c>
      <c r="L79" s="58" t="e">
        <f>tbl_Finish[[#This Row],[Total hours]]*tbl_Finish[[#This Row],[% Complete]]</f>
        <v>#VALUE!</v>
      </c>
      <c r="M79" s="59" t="str">
        <f>IFERROR(tbl_Finish[[#This Row],[Qty Complete]]/tbl_Finish[[#This Row],[Total Hours Act]]*tbl_Finish[[#This Row],['# of men Act]],"")</f>
        <v/>
      </c>
      <c r="O79"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79" s="71" t="str">
        <f>IFERROR((tbl_Finish[[#This Row],[Adj. Total Hours]]+tbl_Finish[[#This Row],[Est. Hours]])/(tbl_Finish[[#This Row],[Total Hours Act]]+tbl_Finish[[#This Row],[Act. Hours]]),"")</f>
        <v/>
      </c>
      <c r="S79" s="63"/>
      <c r="T79" s="63"/>
      <c r="U79" s="63"/>
      <c r="V79" s="63"/>
      <c r="W79" s="63"/>
    </row>
    <row r="80" spans="6:23" ht="25" customHeight="1">
      <c r="F80" s="53"/>
      <c r="H80" s="55" t="e">
        <f>tbl_Finish[[#This Row],[Qty Complete]]/tbl_Finish[[#This Row],[Qty Required]]</f>
        <v>#DIV/0!</v>
      </c>
      <c r="K80" s="57" t="str">
        <f>IFERROR(tbl_Finish[[#This Row],[Qty Required]]/tbl_Finish[[#This Row],[PPH]]*tbl_Finish[[#This Row],['# of men]],"")</f>
        <v/>
      </c>
      <c r="L80" s="58" t="e">
        <f>tbl_Finish[[#This Row],[Total hours]]*tbl_Finish[[#This Row],[% Complete]]</f>
        <v>#VALUE!</v>
      </c>
      <c r="M80" s="59" t="str">
        <f>IFERROR(tbl_Finish[[#This Row],[Qty Complete]]/tbl_Finish[[#This Row],[Total Hours Act]]*tbl_Finish[[#This Row],['# of men Act]],"")</f>
        <v/>
      </c>
      <c r="O80"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80" s="71" t="str">
        <f>IFERROR((tbl_Finish[[#This Row],[Adj. Total Hours]]+tbl_Finish[[#This Row],[Est. Hours]])/(tbl_Finish[[#This Row],[Total Hours Act]]+tbl_Finish[[#This Row],[Act. Hours]]),"")</f>
        <v/>
      </c>
      <c r="S80" s="63"/>
      <c r="T80" s="63"/>
      <c r="U80" s="63"/>
      <c r="V80" s="63"/>
      <c r="W80" s="63"/>
    </row>
    <row r="81" spans="6:23" ht="25" customHeight="1">
      <c r="F81" s="53"/>
      <c r="H81" s="55" t="e">
        <f>tbl_Finish[[#This Row],[Qty Complete]]/tbl_Finish[[#This Row],[Qty Required]]</f>
        <v>#DIV/0!</v>
      </c>
      <c r="K81" s="57" t="str">
        <f>IFERROR(tbl_Finish[[#This Row],[Qty Required]]/tbl_Finish[[#This Row],[PPH]]*tbl_Finish[[#This Row],['# of men]],"")</f>
        <v/>
      </c>
      <c r="L81" s="58" t="e">
        <f>tbl_Finish[[#This Row],[Total hours]]*tbl_Finish[[#This Row],[% Complete]]</f>
        <v>#VALUE!</v>
      </c>
      <c r="M81" s="59" t="str">
        <f>IFERROR(tbl_Finish[[#This Row],[Qty Complete]]/tbl_Finish[[#This Row],[Total Hours Act]]*tbl_Finish[[#This Row],['# of men Act]],"")</f>
        <v/>
      </c>
      <c r="O81"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81" s="71" t="str">
        <f>IFERROR((tbl_Finish[[#This Row],[Adj. Total Hours]]+tbl_Finish[[#This Row],[Est. Hours]])/(tbl_Finish[[#This Row],[Total Hours Act]]+tbl_Finish[[#This Row],[Act. Hours]]),"")</f>
        <v/>
      </c>
      <c r="S81" s="63"/>
      <c r="T81" s="63"/>
      <c r="U81" s="63"/>
      <c r="V81" s="63"/>
      <c r="W81" s="63"/>
    </row>
    <row r="82" spans="6:23" ht="25" customHeight="1">
      <c r="F82" s="53"/>
      <c r="H82" s="55" t="e">
        <f>tbl_Finish[[#This Row],[Qty Complete]]/tbl_Finish[[#This Row],[Qty Required]]</f>
        <v>#DIV/0!</v>
      </c>
      <c r="K82" s="57" t="str">
        <f>IFERROR(tbl_Finish[[#This Row],[Qty Required]]/tbl_Finish[[#This Row],[PPH]]*tbl_Finish[[#This Row],['# of men]],"")</f>
        <v/>
      </c>
      <c r="L82" s="58" t="e">
        <f>tbl_Finish[[#This Row],[Total hours]]*tbl_Finish[[#This Row],[% Complete]]</f>
        <v>#VALUE!</v>
      </c>
      <c r="M82" s="59" t="str">
        <f>IFERROR(tbl_Finish[[#This Row],[Qty Complete]]/tbl_Finish[[#This Row],[Total Hours Act]]*tbl_Finish[[#This Row],['# of men Act]],"")</f>
        <v/>
      </c>
      <c r="O82"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82" s="71" t="str">
        <f>IFERROR((tbl_Finish[[#This Row],[Adj. Total Hours]]+tbl_Finish[[#This Row],[Est. Hours]])/(tbl_Finish[[#This Row],[Total Hours Act]]+tbl_Finish[[#This Row],[Act. Hours]]),"")</f>
        <v/>
      </c>
      <c r="S82" s="63"/>
      <c r="T82" s="63"/>
      <c r="U82" s="63"/>
      <c r="V82" s="63"/>
      <c r="W82" s="63"/>
    </row>
    <row r="83" spans="6:23" ht="25" customHeight="1">
      <c r="F83" s="53"/>
      <c r="H83" s="55" t="e">
        <f>tbl_Finish[[#This Row],[Qty Complete]]/tbl_Finish[[#This Row],[Qty Required]]</f>
        <v>#DIV/0!</v>
      </c>
      <c r="K83" s="57" t="str">
        <f>IFERROR(tbl_Finish[[#This Row],[Qty Required]]/tbl_Finish[[#This Row],[PPH]]*tbl_Finish[[#This Row],['# of men]],"")</f>
        <v/>
      </c>
      <c r="L83" s="58" t="e">
        <f>tbl_Finish[[#This Row],[Total hours]]*tbl_Finish[[#This Row],[% Complete]]</f>
        <v>#VALUE!</v>
      </c>
      <c r="M83" s="59" t="str">
        <f>IFERROR(tbl_Finish[[#This Row],[Qty Complete]]/tbl_Finish[[#This Row],[Total Hours Act]]*tbl_Finish[[#This Row],['# of men Act]],"")</f>
        <v/>
      </c>
      <c r="O83"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83" s="71" t="str">
        <f>IFERROR((tbl_Finish[[#This Row],[Adj. Total Hours]]+tbl_Finish[[#This Row],[Est. Hours]])/(tbl_Finish[[#This Row],[Total Hours Act]]+tbl_Finish[[#This Row],[Act. Hours]]),"")</f>
        <v/>
      </c>
      <c r="S83" s="63"/>
      <c r="T83" s="63"/>
      <c r="U83" s="63"/>
      <c r="V83" s="63"/>
      <c r="W83" s="63"/>
    </row>
    <row r="84" spans="6:23" ht="25" customHeight="1">
      <c r="F84" s="53"/>
      <c r="H84" s="55" t="e">
        <f>tbl_Finish[[#This Row],[Qty Complete]]/tbl_Finish[[#This Row],[Qty Required]]</f>
        <v>#DIV/0!</v>
      </c>
      <c r="K84" s="57" t="str">
        <f>IFERROR(tbl_Finish[[#This Row],[Qty Required]]/tbl_Finish[[#This Row],[PPH]]*tbl_Finish[[#This Row],['# of men]],"")</f>
        <v/>
      </c>
      <c r="L84" s="58" t="e">
        <f>tbl_Finish[[#This Row],[Total hours]]*tbl_Finish[[#This Row],[% Complete]]</f>
        <v>#VALUE!</v>
      </c>
      <c r="M84" s="59" t="str">
        <f>IFERROR(tbl_Finish[[#This Row],[Qty Complete]]/tbl_Finish[[#This Row],[Total Hours Act]]*tbl_Finish[[#This Row],['# of men Act]],"")</f>
        <v/>
      </c>
      <c r="O84"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84" s="71" t="str">
        <f>IFERROR((tbl_Finish[[#This Row],[Adj. Total Hours]]+tbl_Finish[[#This Row],[Est. Hours]])/(tbl_Finish[[#This Row],[Total Hours Act]]+tbl_Finish[[#This Row],[Act. Hours]]),"")</f>
        <v/>
      </c>
      <c r="S84" s="63"/>
      <c r="T84" s="63"/>
      <c r="U84" s="63"/>
      <c r="V84" s="63"/>
      <c r="W84" s="63"/>
    </row>
    <row r="85" spans="6:23" ht="25" customHeight="1">
      <c r="F85" s="53"/>
      <c r="H85" s="55" t="e">
        <f>tbl_Finish[[#This Row],[Qty Complete]]/tbl_Finish[[#This Row],[Qty Required]]</f>
        <v>#DIV/0!</v>
      </c>
      <c r="K85" s="57" t="str">
        <f>IFERROR(tbl_Finish[[#This Row],[Qty Required]]/tbl_Finish[[#This Row],[PPH]]*tbl_Finish[[#This Row],['# of men]],"")</f>
        <v/>
      </c>
      <c r="L85" s="58" t="e">
        <f>tbl_Finish[[#This Row],[Total hours]]*tbl_Finish[[#This Row],[% Complete]]</f>
        <v>#VALUE!</v>
      </c>
      <c r="M85" s="59" t="str">
        <f>IFERROR(tbl_Finish[[#This Row],[Qty Complete]]/tbl_Finish[[#This Row],[Total Hours Act]]*tbl_Finish[[#This Row],['# of men Act]],"")</f>
        <v/>
      </c>
      <c r="O85"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85" s="71" t="str">
        <f>IFERROR((tbl_Finish[[#This Row],[Adj. Total Hours]]+tbl_Finish[[#This Row],[Est. Hours]])/(tbl_Finish[[#This Row],[Total Hours Act]]+tbl_Finish[[#This Row],[Act. Hours]]),"")</f>
        <v/>
      </c>
      <c r="S85" s="63"/>
      <c r="T85" s="63"/>
      <c r="U85" s="63"/>
      <c r="V85" s="63"/>
      <c r="W85" s="63"/>
    </row>
    <row r="86" spans="6:23" ht="25" customHeight="1">
      <c r="F86" s="53"/>
      <c r="H86" s="55" t="e">
        <f>tbl_Finish[[#This Row],[Qty Complete]]/tbl_Finish[[#This Row],[Qty Required]]</f>
        <v>#DIV/0!</v>
      </c>
      <c r="K86" s="57" t="str">
        <f>IFERROR(tbl_Finish[[#This Row],[Qty Required]]/tbl_Finish[[#This Row],[PPH]]*tbl_Finish[[#This Row],['# of men]],"")</f>
        <v/>
      </c>
      <c r="L86" s="58" t="e">
        <f>tbl_Finish[[#This Row],[Total hours]]*tbl_Finish[[#This Row],[% Complete]]</f>
        <v>#VALUE!</v>
      </c>
      <c r="M86" s="59" t="str">
        <f>IFERROR(tbl_Finish[[#This Row],[Qty Complete]]/tbl_Finish[[#This Row],[Total Hours Act]]*tbl_Finish[[#This Row],['# of men Act]],"")</f>
        <v/>
      </c>
      <c r="O86"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86" s="71" t="str">
        <f>IFERROR((tbl_Finish[[#This Row],[Adj. Total Hours]]+tbl_Finish[[#This Row],[Est. Hours]])/(tbl_Finish[[#This Row],[Total Hours Act]]+tbl_Finish[[#This Row],[Act. Hours]]),"")</f>
        <v/>
      </c>
      <c r="S86" s="63"/>
      <c r="T86" s="63"/>
      <c r="U86" s="63"/>
      <c r="V86" s="63"/>
      <c r="W86" s="63"/>
    </row>
    <row r="87" spans="6:23" ht="25" customHeight="1">
      <c r="F87" s="53"/>
      <c r="H87" s="55" t="e">
        <f>tbl_Finish[[#This Row],[Qty Complete]]/tbl_Finish[[#This Row],[Qty Required]]</f>
        <v>#DIV/0!</v>
      </c>
      <c r="K87" s="57" t="str">
        <f>IFERROR(tbl_Finish[[#This Row],[Qty Required]]/tbl_Finish[[#This Row],[PPH]]*tbl_Finish[[#This Row],['# of men]],"")</f>
        <v/>
      </c>
      <c r="L87" s="58" t="e">
        <f>tbl_Finish[[#This Row],[Total hours]]*tbl_Finish[[#This Row],[% Complete]]</f>
        <v>#VALUE!</v>
      </c>
      <c r="M87" s="59" t="str">
        <f>IFERROR(tbl_Finish[[#This Row],[Qty Complete]]/tbl_Finish[[#This Row],[Total Hours Act]]*tbl_Finish[[#This Row],['# of men Act]],"")</f>
        <v/>
      </c>
      <c r="O87"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87" s="71" t="str">
        <f>IFERROR((tbl_Finish[[#This Row],[Adj. Total Hours]]+tbl_Finish[[#This Row],[Est. Hours]])/(tbl_Finish[[#This Row],[Total Hours Act]]+tbl_Finish[[#This Row],[Act. Hours]]),"")</f>
        <v/>
      </c>
      <c r="S87" s="63"/>
      <c r="T87" s="63"/>
      <c r="U87" s="63"/>
      <c r="V87" s="63"/>
      <c r="W87" s="63"/>
    </row>
    <row r="88" spans="6:23" ht="25" customHeight="1">
      <c r="F88" s="53"/>
      <c r="H88" s="55" t="e">
        <f>tbl_Finish[[#This Row],[Qty Complete]]/tbl_Finish[[#This Row],[Qty Required]]</f>
        <v>#DIV/0!</v>
      </c>
      <c r="K88" s="57" t="str">
        <f>IFERROR(tbl_Finish[[#This Row],[Qty Required]]/tbl_Finish[[#This Row],[PPH]]*tbl_Finish[[#This Row],['# of men]],"")</f>
        <v/>
      </c>
      <c r="L88" s="58" t="e">
        <f>tbl_Finish[[#This Row],[Total hours]]*tbl_Finish[[#This Row],[% Complete]]</f>
        <v>#VALUE!</v>
      </c>
      <c r="M88" s="59" t="str">
        <f>IFERROR(tbl_Finish[[#This Row],[Qty Complete]]/tbl_Finish[[#This Row],[Total Hours Act]]*tbl_Finish[[#This Row],['# of men Act]],"")</f>
        <v/>
      </c>
      <c r="O88"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88" s="71" t="str">
        <f>IFERROR((tbl_Finish[[#This Row],[Adj. Total Hours]]+tbl_Finish[[#This Row],[Est. Hours]])/(tbl_Finish[[#This Row],[Total Hours Act]]+tbl_Finish[[#This Row],[Act. Hours]]),"")</f>
        <v/>
      </c>
      <c r="S88" s="63"/>
      <c r="T88" s="63"/>
      <c r="U88" s="63"/>
      <c r="V88" s="63"/>
      <c r="W88" s="63"/>
    </row>
    <row r="89" spans="6:23" ht="25" customHeight="1">
      <c r="F89" s="53"/>
      <c r="H89" s="55" t="e">
        <f>tbl_Finish[[#This Row],[Qty Complete]]/tbl_Finish[[#This Row],[Qty Required]]</f>
        <v>#DIV/0!</v>
      </c>
      <c r="K89" s="57" t="str">
        <f>IFERROR(tbl_Finish[[#This Row],[Qty Required]]/tbl_Finish[[#This Row],[PPH]]*tbl_Finish[[#This Row],['# of men]],"")</f>
        <v/>
      </c>
      <c r="L89" s="58" t="e">
        <f>tbl_Finish[[#This Row],[Total hours]]*tbl_Finish[[#This Row],[% Complete]]</f>
        <v>#VALUE!</v>
      </c>
      <c r="M89" s="59" t="str">
        <f>IFERROR(tbl_Finish[[#This Row],[Qty Complete]]/tbl_Finish[[#This Row],[Total Hours Act]]*tbl_Finish[[#This Row],['# of men Act]],"")</f>
        <v/>
      </c>
      <c r="O89"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89" s="71" t="str">
        <f>IFERROR((tbl_Finish[[#This Row],[Adj. Total Hours]]+tbl_Finish[[#This Row],[Est. Hours]])/(tbl_Finish[[#This Row],[Total Hours Act]]+tbl_Finish[[#This Row],[Act. Hours]]),"")</f>
        <v/>
      </c>
      <c r="S89" s="63"/>
      <c r="T89" s="63"/>
      <c r="U89" s="63"/>
      <c r="V89" s="63"/>
      <c r="W89" s="63"/>
    </row>
    <row r="90" spans="6:23" ht="25" customHeight="1">
      <c r="F90" s="53"/>
      <c r="H90" s="55" t="e">
        <f>tbl_Finish[[#This Row],[Qty Complete]]/tbl_Finish[[#This Row],[Qty Required]]</f>
        <v>#DIV/0!</v>
      </c>
      <c r="K90" s="57" t="str">
        <f>IFERROR(tbl_Finish[[#This Row],[Qty Required]]/tbl_Finish[[#This Row],[PPH]]*tbl_Finish[[#This Row],['# of men]],"")</f>
        <v/>
      </c>
      <c r="L90" s="58" t="e">
        <f>tbl_Finish[[#This Row],[Total hours]]*tbl_Finish[[#This Row],[% Complete]]</f>
        <v>#VALUE!</v>
      </c>
      <c r="M90" s="59" t="str">
        <f>IFERROR(tbl_Finish[[#This Row],[Qty Complete]]/tbl_Finish[[#This Row],[Total Hours Act]]*tbl_Finish[[#This Row],['# of men Act]],"")</f>
        <v/>
      </c>
      <c r="O90"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90" s="71" t="str">
        <f>IFERROR((tbl_Finish[[#This Row],[Adj. Total Hours]]+tbl_Finish[[#This Row],[Est. Hours]])/(tbl_Finish[[#This Row],[Total Hours Act]]+tbl_Finish[[#This Row],[Act. Hours]]),"")</f>
        <v/>
      </c>
      <c r="S90" s="63"/>
      <c r="T90" s="63"/>
      <c r="U90" s="63"/>
      <c r="V90" s="63"/>
      <c r="W90" s="63"/>
    </row>
    <row r="91" spans="6:23" ht="25" customHeight="1">
      <c r="F91" s="53"/>
      <c r="H91" s="55" t="e">
        <f>tbl_Finish[[#This Row],[Qty Complete]]/tbl_Finish[[#This Row],[Qty Required]]</f>
        <v>#DIV/0!</v>
      </c>
      <c r="K91" s="57" t="str">
        <f>IFERROR(tbl_Finish[[#This Row],[Qty Required]]/tbl_Finish[[#This Row],[PPH]]*tbl_Finish[[#This Row],['# of men]],"")</f>
        <v/>
      </c>
      <c r="L91" s="58" t="e">
        <f>tbl_Finish[[#This Row],[Total hours]]*tbl_Finish[[#This Row],[% Complete]]</f>
        <v>#VALUE!</v>
      </c>
      <c r="M91" s="59" t="str">
        <f>IFERROR(tbl_Finish[[#This Row],[Qty Complete]]/tbl_Finish[[#This Row],[Total Hours Act]]*tbl_Finish[[#This Row],['# of men Act]],"")</f>
        <v/>
      </c>
      <c r="O91"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91" s="71" t="str">
        <f>IFERROR((tbl_Finish[[#This Row],[Adj. Total Hours]]+tbl_Finish[[#This Row],[Est. Hours]])/(tbl_Finish[[#This Row],[Total Hours Act]]+tbl_Finish[[#This Row],[Act. Hours]]),"")</f>
        <v/>
      </c>
      <c r="S91" s="63"/>
      <c r="T91" s="63"/>
      <c r="U91" s="63"/>
      <c r="V91" s="63"/>
      <c r="W91" s="63"/>
    </row>
    <row r="92" spans="6:23" ht="25" customHeight="1">
      <c r="F92" s="53"/>
      <c r="H92" s="55" t="e">
        <f>tbl_Finish[[#This Row],[Qty Complete]]/tbl_Finish[[#This Row],[Qty Required]]</f>
        <v>#DIV/0!</v>
      </c>
      <c r="K92" s="57" t="str">
        <f>IFERROR(tbl_Finish[[#This Row],[Qty Required]]/tbl_Finish[[#This Row],[PPH]]*tbl_Finish[[#This Row],['# of men]],"")</f>
        <v/>
      </c>
      <c r="L92" s="58" t="e">
        <f>tbl_Finish[[#This Row],[Total hours]]*tbl_Finish[[#This Row],[% Complete]]</f>
        <v>#VALUE!</v>
      </c>
      <c r="M92" s="59" t="str">
        <f>IFERROR(tbl_Finish[[#This Row],[Qty Complete]]/tbl_Finish[[#This Row],[Total Hours Act]]*tbl_Finish[[#This Row],['# of men Act]],"")</f>
        <v/>
      </c>
      <c r="O92"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92" s="71" t="str">
        <f>IFERROR((tbl_Finish[[#This Row],[Adj. Total Hours]]+tbl_Finish[[#This Row],[Est. Hours]])/(tbl_Finish[[#This Row],[Total Hours Act]]+tbl_Finish[[#This Row],[Act. Hours]]),"")</f>
        <v/>
      </c>
      <c r="S92" s="63"/>
      <c r="T92" s="63"/>
      <c r="U92" s="63"/>
      <c r="V92" s="63"/>
      <c r="W92" s="63"/>
    </row>
    <row r="93" spans="6:23" ht="25" customHeight="1">
      <c r="F93" s="53"/>
      <c r="H93" s="55" t="e">
        <f>tbl_Finish[[#This Row],[Qty Complete]]/tbl_Finish[[#This Row],[Qty Required]]</f>
        <v>#DIV/0!</v>
      </c>
      <c r="K93" s="57" t="str">
        <f>IFERROR(tbl_Finish[[#This Row],[Qty Required]]/tbl_Finish[[#This Row],[PPH]]*tbl_Finish[[#This Row],['# of men]],"")</f>
        <v/>
      </c>
      <c r="L93" s="58" t="e">
        <f>tbl_Finish[[#This Row],[Total hours]]*tbl_Finish[[#This Row],[% Complete]]</f>
        <v>#VALUE!</v>
      </c>
      <c r="M93" s="59" t="str">
        <f>IFERROR(tbl_Finish[[#This Row],[Qty Complete]]/tbl_Finish[[#This Row],[Total Hours Act]]*tbl_Finish[[#This Row],['# of men Act]],"")</f>
        <v/>
      </c>
      <c r="O93"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93" s="71" t="str">
        <f>IFERROR((tbl_Finish[[#This Row],[Adj. Total Hours]]+tbl_Finish[[#This Row],[Est. Hours]])/(tbl_Finish[[#This Row],[Total Hours Act]]+tbl_Finish[[#This Row],[Act. Hours]]),"")</f>
        <v/>
      </c>
      <c r="S93" s="63"/>
      <c r="T93" s="63"/>
      <c r="U93" s="63"/>
      <c r="V93" s="63"/>
      <c r="W93" s="63"/>
    </row>
    <row r="94" spans="6:23" ht="25" customHeight="1">
      <c r="F94" s="53"/>
      <c r="H94" s="55" t="e">
        <f>tbl_Finish[[#This Row],[Qty Complete]]/tbl_Finish[[#This Row],[Qty Required]]</f>
        <v>#DIV/0!</v>
      </c>
      <c r="K94" s="57" t="str">
        <f>IFERROR(tbl_Finish[[#This Row],[Qty Required]]/tbl_Finish[[#This Row],[PPH]]*tbl_Finish[[#This Row],['# of men]],"")</f>
        <v/>
      </c>
      <c r="L94" s="58" t="e">
        <f>tbl_Finish[[#This Row],[Total hours]]*tbl_Finish[[#This Row],[% Complete]]</f>
        <v>#VALUE!</v>
      </c>
      <c r="M94" s="59" t="str">
        <f>IFERROR(tbl_Finish[[#This Row],[Qty Complete]]/tbl_Finish[[#This Row],[Total Hours Act]]*tbl_Finish[[#This Row],['# of men Act]],"")</f>
        <v/>
      </c>
      <c r="O94"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94" s="71" t="str">
        <f>IFERROR((tbl_Finish[[#This Row],[Adj. Total Hours]]+tbl_Finish[[#This Row],[Est. Hours]])/(tbl_Finish[[#This Row],[Total Hours Act]]+tbl_Finish[[#This Row],[Act. Hours]]),"")</f>
        <v/>
      </c>
      <c r="S94" s="63"/>
      <c r="T94" s="63"/>
      <c r="U94" s="63"/>
      <c r="V94" s="63"/>
      <c r="W94" s="63"/>
    </row>
    <row r="95" spans="6:23" ht="25" customHeight="1">
      <c r="F95" s="53"/>
      <c r="H95" s="55" t="e">
        <f>tbl_Finish[[#This Row],[Qty Complete]]/tbl_Finish[[#This Row],[Qty Required]]</f>
        <v>#DIV/0!</v>
      </c>
      <c r="K95" s="57" t="str">
        <f>IFERROR(tbl_Finish[[#This Row],[Qty Required]]/tbl_Finish[[#This Row],[PPH]]*tbl_Finish[[#This Row],['# of men]],"")</f>
        <v/>
      </c>
      <c r="L95" s="58" t="e">
        <f>tbl_Finish[[#This Row],[Total hours]]*tbl_Finish[[#This Row],[% Complete]]</f>
        <v>#VALUE!</v>
      </c>
      <c r="M95" s="59" t="str">
        <f>IFERROR(tbl_Finish[[#This Row],[Qty Complete]]/tbl_Finish[[#This Row],[Total Hours Act]]*tbl_Finish[[#This Row],['# of men Act]],"")</f>
        <v/>
      </c>
      <c r="O95"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95" s="71" t="str">
        <f>IFERROR((tbl_Finish[[#This Row],[Adj. Total Hours]]+tbl_Finish[[#This Row],[Est. Hours]])/(tbl_Finish[[#This Row],[Total Hours Act]]+tbl_Finish[[#This Row],[Act. Hours]]),"")</f>
        <v/>
      </c>
      <c r="S95" s="63"/>
      <c r="T95" s="63"/>
      <c r="U95" s="63"/>
      <c r="V95" s="63"/>
      <c r="W95" s="63"/>
    </row>
    <row r="96" spans="6:23" ht="25" customHeight="1">
      <c r="F96" s="53"/>
      <c r="H96" s="55" t="e">
        <f>tbl_Finish[[#This Row],[Qty Complete]]/tbl_Finish[[#This Row],[Qty Required]]</f>
        <v>#DIV/0!</v>
      </c>
      <c r="K96" s="57" t="str">
        <f>IFERROR(tbl_Finish[[#This Row],[Qty Required]]/tbl_Finish[[#This Row],[PPH]]*tbl_Finish[[#This Row],['# of men]],"")</f>
        <v/>
      </c>
      <c r="L96" s="58" t="e">
        <f>tbl_Finish[[#This Row],[Total hours]]*tbl_Finish[[#This Row],[% Complete]]</f>
        <v>#VALUE!</v>
      </c>
      <c r="M96" s="59" t="str">
        <f>IFERROR(tbl_Finish[[#This Row],[Qty Complete]]/tbl_Finish[[#This Row],[Total Hours Act]]*tbl_Finish[[#This Row],['# of men Act]],"")</f>
        <v/>
      </c>
      <c r="O96"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96" s="71" t="str">
        <f>IFERROR((tbl_Finish[[#This Row],[Adj. Total Hours]]+tbl_Finish[[#This Row],[Est. Hours]])/(tbl_Finish[[#This Row],[Total Hours Act]]+tbl_Finish[[#This Row],[Act. Hours]]),"")</f>
        <v/>
      </c>
      <c r="S96" s="63"/>
      <c r="T96" s="63"/>
      <c r="U96" s="63"/>
      <c r="V96" s="63"/>
      <c r="W96" s="63"/>
    </row>
    <row r="97" spans="6:23" ht="25" customHeight="1">
      <c r="F97" s="53"/>
      <c r="H97" s="55" t="e">
        <f>tbl_Finish[[#This Row],[Qty Complete]]/tbl_Finish[[#This Row],[Qty Required]]</f>
        <v>#DIV/0!</v>
      </c>
      <c r="K97" s="57" t="str">
        <f>IFERROR(tbl_Finish[[#This Row],[Qty Required]]/tbl_Finish[[#This Row],[PPH]]*tbl_Finish[[#This Row],['# of men]],"")</f>
        <v/>
      </c>
      <c r="L97" s="58" t="e">
        <f>tbl_Finish[[#This Row],[Total hours]]*tbl_Finish[[#This Row],[% Complete]]</f>
        <v>#VALUE!</v>
      </c>
      <c r="M97" s="59" t="str">
        <f>IFERROR(tbl_Finish[[#This Row],[Qty Complete]]/tbl_Finish[[#This Row],[Total Hours Act]]*tbl_Finish[[#This Row],['# of men Act]],"")</f>
        <v/>
      </c>
      <c r="O97"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97" s="71" t="str">
        <f>IFERROR((tbl_Finish[[#This Row],[Adj. Total Hours]]+tbl_Finish[[#This Row],[Est. Hours]])/(tbl_Finish[[#This Row],[Total Hours Act]]+tbl_Finish[[#This Row],[Act. Hours]]),"")</f>
        <v/>
      </c>
      <c r="S97" s="63"/>
      <c r="T97" s="63"/>
      <c r="U97" s="63"/>
      <c r="V97" s="63"/>
      <c r="W97" s="63"/>
    </row>
    <row r="98" spans="6:23" ht="25" customHeight="1">
      <c r="F98" s="53"/>
      <c r="H98" s="55" t="e">
        <f>tbl_Finish[[#This Row],[Qty Complete]]/tbl_Finish[[#This Row],[Qty Required]]</f>
        <v>#DIV/0!</v>
      </c>
      <c r="K98" s="57" t="str">
        <f>IFERROR(tbl_Finish[[#This Row],[Qty Required]]/tbl_Finish[[#This Row],[PPH]]*tbl_Finish[[#This Row],['# of men]],"")</f>
        <v/>
      </c>
      <c r="L98" s="58" t="e">
        <f>tbl_Finish[[#This Row],[Total hours]]*tbl_Finish[[#This Row],[% Complete]]</f>
        <v>#VALUE!</v>
      </c>
      <c r="M98" s="59" t="str">
        <f>IFERROR(tbl_Finish[[#This Row],[Qty Complete]]/tbl_Finish[[#This Row],[Total Hours Act]]*tbl_Finish[[#This Row],['# of men Act]],"")</f>
        <v/>
      </c>
      <c r="O98"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98" s="71" t="str">
        <f>IFERROR((tbl_Finish[[#This Row],[Adj. Total Hours]]+tbl_Finish[[#This Row],[Est. Hours]])/(tbl_Finish[[#This Row],[Total Hours Act]]+tbl_Finish[[#This Row],[Act. Hours]]),"")</f>
        <v/>
      </c>
      <c r="S98" s="63"/>
      <c r="T98" s="63"/>
      <c r="U98" s="63"/>
      <c r="V98" s="63"/>
      <c r="W98" s="63"/>
    </row>
    <row r="99" spans="6:23" ht="25" customHeight="1">
      <c r="F99" s="53"/>
      <c r="H99" s="55" t="e">
        <f>tbl_Finish[[#This Row],[Qty Complete]]/tbl_Finish[[#This Row],[Qty Required]]</f>
        <v>#DIV/0!</v>
      </c>
      <c r="K99" s="57" t="str">
        <f>IFERROR(tbl_Finish[[#This Row],[Qty Required]]/tbl_Finish[[#This Row],[PPH]]*tbl_Finish[[#This Row],['# of men]],"")</f>
        <v/>
      </c>
      <c r="L99" s="58" t="e">
        <f>tbl_Finish[[#This Row],[Total hours]]*tbl_Finish[[#This Row],[% Complete]]</f>
        <v>#VALUE!</v>
      </c>
      <c r="M99" s="59" t="str">
        <f>IFERROR(tbl_Finish[[#This Row],[Qty Complete]]/tbl_Finish[[#This Row],[Total Hours Act]]*tbl_Finish[[#This Row],['# of men Act]],"")</f>
        <v/>
      </c>
      <c r="O99"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99" s="71" t="str">
        <f>IFERROR((tbl_Finish[[#This Row],[Adj. Total Hours]]+tbl_Finish[[#This Row],[Est. Hours]])/(tbl_Finish[[#This Row],[Total Hours Act]]+tbl_Finish[[#This Row],[Act. Hours]]),"")</f>
        <v/>
      </c>
      <c r="S99" s="63"/>
      <c r="T99" s="63"/>
      <c r="U99" s="63"/>
      <c r="V99" s="63"/>
      <c r="W99" s="63"/>
    </row>
    <row r="100" spans="6:23" ht="25" customHeight="1">
      <c r="F100" s="53"/>
      <c r="H100" s="55" t="e">
        <f>tbl_Finish[[#This Row],[Qty Complete]]/tbl_Finish[[#This Row],[Qty Required]]</f>
        <v>#DIV/0!</v>
      </c>
      <c r="K100" s="57" t="str">
        <f>IFERROR(tbl_Finish[[#This Row],[Qty Required]]/tbl_Finish[[#This Row],[PPH]]*tbl_Finish[[#This Row],['# of men]],"")</f>
        <v/>
      </c>
      <c r="L100" s="58" t="e">
        <f>tbl_Finish[[#This Row],[Total hours]]*tbl_Finish[[#This Row],[% Complete]]</f>
        <v>#VALUE!</v>
      </c>
      <c r="M100" s="59" t="str">
        <f>IFERROR(tbl_Finish[[#This Row],[Qty Complete]]/tbl_Finish[[#This Row],[Total Hours Act]]*tbl_Finish[[#This Row],['# of men Act]],"")</f>
        <v/>
      </c>
      <c r="O100"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00" s="71" t="str">
        <f>IFERROR((tbl_Finish[[#This Row],[Adj. Total Hours]]+tbl_Finish[[#This Row],[Est. Hours]])/(tbl_Finish[[#This Row],[Total Hours Act]]+tbl_Finish[[#This Row],[Act. Hours]]),"")</f>
        <v/>
      </c>
      <c r="S100" s="63"/>
      <c r="T100" s="63"/>
      <c r="U100" s="63"/>
      <c r="V100" s="63"/>
      <c r="W100" s="63"/>
    </row>
    <row r="101" spans="6:23" ht="25" customHeight="1">
      <c r="F101" s="53"/>
      <c r="H101" s="55" t="e">
        <f>tbl_Finish[[#This Row],[Qty Complete]]/tbl_Finish[[#This Row],[Qty Required]]</f>
        <v>#DIV/0!</v>
      </c>
      <c r="K101" s="57" t="str">
        <f>IFERROR(tbl_Finish[[#This Row],[Qty Required]]/tbl_Finish[[#This Row],[PPH]]*tbl_Finish[[#This Row],['# of men]],"")</f>
        <v/>
      </c>
      <c r="L101" s="58" t="e">
        <f>tbl_Finish[[#This Row],[Total hours]]*tbl_Finish[[#This Row],[% Complete]]</f>
        <v>#VALUE!</v>
      </c>
      <c r="M101" s="59" t="str">
        <f>IFERROR(tbl_Finish[[#This Row],[Qty Complete]]/tbl_Finish[[#This Row],[Total Hours Act]]*tbl_Finish[[#This Row],['# of men Act]],"")</f>
        <v/>
      </c>
      <c r="O101"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01" s="71" t="str">
        <f>IFERROR((tbl_Finish[[#This Row],[Adj. Total Hours]]+tbl_Finish[[#This Row],[Est. Hours]])/(tbl_Finish[[#This Row],[Total Hours Act]]+tbl_Finish[[#This Row],[Act. Hours]]),"")</f>
        <v/>
      </c>
      <c r="S101" s="63"/>
      <c r="T101" s="63"/>
      <c r="U101" s="63"/>
      <c r="V101" s="63"/>
      <c r="W101" s="63"/>
    </row>
    <row r="102" spans="6:23" ht="25" customHeight="1">
      <c r="F102" s="53"/>
      <c r="H102" s="55" t="e">
        <f>tbl_Finish[[#This Row],[Qty Complete]]/tbl_Finish[[#This Row],[Qty Required]]</f>
        <v>#DIV/0!</v>
      </c>
      <c r="K102" s="57" t="str">
        <f>IFERROR(tbl_Finish[[#This Row],[Qty Required]]/tbl_Finish[[#This Row],[PPH]]*tbl_Finish[[#This Row],['# of men]],"")</f>
        <v/>
      </c>
      <c r="L102" s="58" t="e">
        <f>tbl_Finish[[#This Row],[Total hours]]*tbl_Finish[[#This Row],[% Complete]]</f>
        <v>#VALUE!</v>
      </c>
      <c r="M102" s="59" t="str">
        <f>IFERROR(tbl_Finish[[#This Row],[Qty Complete]]/tbl_Finish[[#This Row],[Total Hours Act]]*tbl_Finish[[#This Row],['# of men Act]],"")</f>
        <v/>
      </c>
      <c r="O102"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02" s="71" t="str">
        <f>IFERROR((tbl_Finish[[#This Row],[Adj. Total Hours]]+tbl_Finish[[#This Row],[Est. Hours]])/(tbl_Finish[[#This Row],[Total Hours Act]]+tbl_Finish[[#This Row],[Act. Hours]]),"")</f>
        <v/>
      </c>
      <c r="S102" s="63"/>
      <c r="T102" s="63"/>
      <c r="U102" s="63"/>
      <c r="V102" s="63"/>
      <c r="W102" s="63"/>
    </row>
    <row r="103" spans="6:23" ht="25" customHeight="1">
      <c r="F103" s="53"/>
      <c r="H103" s="55" t="e">
        <f>tbl_Finish[[#This Row],[Qty Complete]]/tbl_Finish[[#This Row],[Qty Required]]</f>
        <v>#DIV/0!</v>
      </c>
      <c r="K103" s="57" t="str">
        <f>IFERROR(tbl_Finish[[#This Row],[Qty Required]]/tbl_Finish[[#This Row],[PPH]]*tbl_Finish[[#This Row],['# of men]],"")</f>
        <v/>
      </c>
      <c r="L103" s="58" t="e">
        <f>tbl_Finish[[#This Row],[Total hours]]*tbl_Finish[[#This Row],[% Complete]]</f>
        <v>#VALUE!</v>
      </c>
      <c r="M103" s="59" t="str">
        <f>IFERROR(tbl_Finish[[#This Row],[Qty Complete]]/tbl_Finish[[#This Row],[Total Hours Act]]*tbl_Finish[[#This Row],['# of men Act]],"")</f>
        <v/>
      </c>
      <c r="O103"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03" s="71" t="str">
        <f>IFERROR((tbl_Finish[[#This Row],[Adj. Total Hours]]+tbl_Finish[[#This Row],[Est. Hours]])/(tbl_Finish[[#This Row],[Total Hours Act]]+tbl_Finish[[#This Row],[Act. Hours]]),"")</f>
        <v/>
      </c>
      <c r="S103" s="63"/>
      <c r="T103" s="63"/>
      <c r="U103" s="63"/>
      <c r="V103" s="63"/>
      <c r="W103" s="63"/>
    </row>
    <row r="104" spans="6:23" ht="25" customHeight="1">
      <c r="F104" s="53"/>
      <c r="H104" s="55" t="e">
        <f>tbl_Finish[[#This Row],[Qty Complete]]/tbl_Finish[[#This Row],[Qty Required]]</f>
        <v>#DIV/0!</v>
      </c>
      <c r="K104" s="57" t="str">
        <f>IFERROR(tbl_Finish[[#This Row],[Qty Required]]/tbl_Finish[[#This Row],[PPH]]*tbl_Finish[[#This Row],['# of men]],"")</f>
        <v/>
      </c>
      <c r="L104" s="58" t="e">
        <f>tbl_Finish[[#This Row],[Total hours]]*tbl_Finish[[#This Row],[% Complete]]</f>
        <v>#VALUE!</v>
      </c>
      <c r="M104" s="59" t="str">
        <f>IFERROR(tbl_Finish[[#This Row],[Qty Complete]]/tbl_Finish[[#This Row],[Total Hours Act]]*tbl_Finish[[#This Row],['# of men Act]],"")</f>
        <v/>
      </c>
      <c r="O104"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04" s="71" t="str">
        <f>IFERROR((tbl_Finish[[#This Row],[Adj. Total Hours]]+tbl_Finish[[#This Row],[Est. Hours]])/(tbl_Finish[[#This Row],[Total Hours Act]]+tbl_Finish[[#This Row],[Act. Hours]]),"")</f>
        <v/>
      </c>
      <c r="S104" s="63"/>
      <c r="T104" s="63"/>
      <c r="U104" s="63"/>
      <c r="V104" s="63"/>
      <c r="W104" s="63"/>
    </row>
    <row r="105" spans="6:23" ht="25" customHeight="1">
      <c r="F105" s="53"/>
      <c r="H105" s="55" t="e">
        <f>tbl_Finish[[#This Row],[Qty Complete]]/tbl_Finish[[#This Row],[Qty Required]]</f>
        <v>#DIV/0!</v>
      </c>
      <c r="K105" s="57" t="str">
        <f>IFERROR(tbl_Finish[[#This Row],[Qty Required]]/tbl_Finish[[#This Row],[PPH]]*tbl_Finish[[#This Row],['# of men]],"")</f>
        <v/>
      </c>
      <c r="L105" s="58" t="e">
        <f>tbl_Finish[[#This Row],[Total hours]]*tbl_Finish[[#This Row],[% Complete]]</f>
        <v>#VALUE!</v>
      </c>
      <c r="M105" s="59" t="str">
        <f>IFERROR(tbl_Finish[[#This Row],[Qty Complete]]/tbl_Finish[[#This Row],[Total Hours Act]]*tbl_Finish[[#This Row],['# of men Act]],"")</f>
        <v/>
      </c>
      <c r="O105"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05" s="71" t="str">
        <f>IFERROR((tbl_Finish[[#This Row],[Adj. Total Hours]]+tbl_Finish[[#This Row],[Est. Hours]])/(tbl_Finish[[#This Row],[Total Hours Act]]+tbl_Finish[[#This Row],[Act. Hours]]),"")</f>
        <v/>
      </c>
      <c r="S105" s="63"/>
      <c r="T105" s="63"/>
      <c r="U105" s="63"/>
      <c r="V105" s="63"/>
      <c r="W105" s="63"/>
    </row>
    <row r="106" spans="6:23" ht="25" customHeight="1">
      <c r="F106" s="53"/>
      <c r="H106" s="55" t="e">
        <f>tbl_Finish[[#This Row],[Qty Complete]]/tbl_Finish[[#This Row],[Qty Required]]</f>
        <v>#DIV/0!</v>
      </c>
      <c r="K106" s="57" t="str">
        <f>IFERROR(tbl_Finish[[#This Row],[Qty Required]]/tbl_Finish[[#This Row],[PPH]]*tbl_Finish[[#This Row],['# of men]],"")</f>
        <v/>
      </c>
      <c r="L106" s="58" t="e">
        <f>tbl_Finish[[#This Row],[Total hours]]*tbl_Finish[[#This Row],[% Complete]]</f>
        <v>#VALUE!</v>
      </c>
      <c r="M106" s="59" t="str">
        <f>IFERROR(tbl_Finish[[#This Row],[Qty Complete]]/tbl_Finish[[#This Row],[Total Hours Act]]*tbl_Finish[[#This Row],['# of men Act]],"")</f>
        <v/>
      </c>
      <c r="O106"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06" s="71" t="str">
        <f>IFERROR((tbl_Finish[[#This Row],[Adj. Total Hours]]+tbl_Finish[[#This Row],[Est. Hours]])/(tbl_Finish[[#This Row],[Total Hours Act]]+tbl_Finish[[#This Row],[Act. Hours]]),"")</f>
        <v/>
      </c>
      <c r="S106" s="63"/>
      <c r="T106" s="63"/>
      <c r="U106" s="63"/>
      <c r="V106" s="63"/>
      <c r="W106" s="63"/>
    </row>
    <row r="107" spans="6:23" ht="25" customHeight="1">
      <c r="F107" s="53"/>
      <c r="H107" s="55" t="e">
        <f>tbl_Finish[[#This Row],[Qty Complete]]/tbl_Finish[[#This Row],[Qty Required]]</f>
        <v>#DIV/0!</v>
      </c>
      <c r="K107" s="57" t="str">
        <f>IFERROR(tbl_Finish[[#This Row],[Qty Required]]/tbl_Finish[[#This Row],[PPH]]*tbl_Finish[[#This Row],['# of men]],"")</f>
        <v/>
      </c>
      <c r="L107" s="58" t="e">
        <f>tbl_Finish[[#This Row],[Total hours]]*tbl_Finish[[#This Row],[% Complete]]</f>
        <v>#VALUE!</v>
      </c>
      <c r="M107" s="59" t="str">
        <f>IFERROR(tbl_Finish[[#This Row],[Qty Complete]]/tbl_Finish[[#This Row],[Total Hours Act]]*tbl_Finish[[#This Row],['# of men Act]],"")</f>
        <v/>
      </c>
      <c r="O107"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07" s="71" t="str">
        <f>IFERROR((tbl_Finish[[#This Row],[Adj. Total Hours]]+tbl_Finish[[#This Row],[Est. Hours]])/(tbl_Finish[[#This Row],[Total Hours Act]]+tbl_Finish[[#This Row],[Act. Hours]]),"")</f>
        <v/>
      </c>
      <c r="S107" s="63"/>
      <c r="T107" s="63"/>
      <c r="U107" s="63"/>
      <c r="V107" s="63"/>
      <c r="W107" s="63"/>
    </row>
    <row r="108" spans="6:23" ht="25" customHeight="1">
      <c r="F108" s="53"/>
      <c r="H108" s="55" t="e">
        <f>tbl_Finish[[#This Row],[Qty Complete]]/tbl_Finish[[#This Row],[Qty Required]]</f>
        <v>#DIV/0!</v>
      </c>
      <c r="K108" s="57" t="str">
        <f>IFERROR(tbl_Finish[[#This Row],[Qty Required]]/tbl_Finish[[#This Row],[PPH]]*tbl_Finish[[#This Row],['# of men]],"")</f>
        <v/>
      </c>
      <c r="L108" s="58" t="e">
        <f>tbl_Finish[[#This Row],[Total hours]]*tbl_Finish[[#This Row],[% Complete]]</f>
        <v>#VALUE!</v>
      </c>
      <c r="M108" s="59" t="str">
        <f>IFERROR(tbl_Finish[[#This Row],[Qty Complete]]/tbl_Finish[[#This Row],[Total Hours Act]]*tbl_Finish[[#This Row],['# of men Act]],"")</f>
        <v/>
      </c>
      <c r="O108"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08" s="71" t="str">
        <f>IFERROR((tbl_Finish[[#This Row],[Adj. Total Hours]]+tbl_Finish[[#This Row],[Est. Hours]])/(tbl_Finish[[#This Row],[Total Hours Act]]+tbl_Finish[[#This Row],[Act. Hours]]),"")</f>
        <v/>
      </c>
      <c r="S108" s="63"/>
      <c r="T108" s="63"/>
      <c r="U108" s="63"/>
      <c r="V108" s="63"/>
      <c r="W108" s="63"/>
    </row>
    <row r="109" spans="6:23" ht="25" customHeight="1">
      <c r="F109" s="53"/>
      <c r="H109" s="55" t="e">
        <f>tbl_Finish[[#This Row],[Qty Complete]]/tbl_Finish[[#This Row],[Qty Required]]</f>
        <v>#DIV/0!</v>
      </c>
      <c r="K109" s="57" t="str">
        <f>IFERROR(tbl_Finish[[#This Row],[Qty Required]]/tbl_Finish[[#This Row],[PPH]]*tbl_Finish[[#This Row],['# of men]],"")</f>
        <v/>
      </c>
      <c r="L109" s="58" t="e">
        <f>tbl_Finish[[#This Row],[Total hours]]*tbl_Finish[[#This Row],[% Complete]]</f>
        <v>#VALUE!</v>
      </c>
      <c r="M109" s="59" t="str">
        <f>IFERROR(tbl_Finish[[#This Row],[Qty Complete]]/tbl_Finish[[#This Row],[Total Hours Act]]*tbl_Finish[[#This Row],['# of men Act]],"")</f>
        <v/>
      </c>
      <c r="O109"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09" s="71" t="str">
        <f>IFERROR((tbl_Finish[[#This Row],[Adj. Total Hours]]+tbl_Finish[[#This Row],[Est. Hours]])/(tbl_Finish[[#This Row],[Total Hours Act]]+tbl_Finish[[#This Row],[Act. Hours]]),"")</f>
        <v/>
      </c>
      <c r="S109" s="63"/>
      <c r="T109" s="63"/>
      <c r="U109" s="63"/>
      <c r="V109" s="63"/>
      <c r="W109" s="63"/>
    </row>
    <row r="110" spans="6:23" ht="25" customHeight="1">
      <c r="F110" s="53"/>
      <c r="H110" s="55" t="e">
        <f>tbl_Finish[[#This Row],[Qty Complete]]/tbl_Finish[[#This Row],[Qty Required]]</f>
        <v>#DIV/0!</v>
      </c>
      <c r="K110" s="57" t="str">
        <f>IFERROR(tbl_Finish[[#This Row],[Qty Required]]/tbl_Finish[[#This Row],[PPH]]*tbl_Finish[[#This Row],['# of men]],"")</f>
        <v/>
      </c>
      <c r="L110" s="58" t="e">
        <f>tbl_Finish[[#This Row],[Total hours]]*tbl_Finish[[#This Row],[% Complete]]</f>
        <v>#VALUE!</v>
      </c>
      <c r="M110" s="59" t="str">
        <f>IFERROR(tbl_Finish[[#This Row],[Qty Complete]]/tbl_Finish[[#This Row],[Total Hours Act]]*tbl_Finish[[#This Row],['# of men Act]],"")</f>
        <v/>
      </c>
      <c r="O110"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10" s="71" t="str">
        <f>IFERROR((tbl_Finish[[#This Row],[Adj. Total Hours]]+tbl_Finish[[#This Row],[Est. Hours]])/(tbl_Finish[[#This Row],[Total Hours Act]]+tbl_Finish[[#This Row],[Act. Hours]]),"")</f>
        <v/>
      </c>
      <c r="S110" s="63"/>
      <c r="T110" s="63"/>
      <c r="U110" s="63"/>
      <c r="V110" s="63"/>
      <c r="W110" s="63"/>
    </row>
    <row r="111" spans="6:23" ht="25" customHeight="1">
      <c r="F111" s="53"/>
      <c r="H111" s="55" t="e">
        <f>tbl_Finish[[#This Row],[Qty Complete]]/tbl_Finish[[#This Row],[Qty Required]]</f>
        <v>#DIV/0!</v>
      </c>
      <c r="K111" s="57" t="str">
        <f>IFERROR(tbl_Finish[[#This Row],[Qty Required]]/tbl_Finish[[#This Row],[PPH]]*tbl_Finish[[#This Row],['# of men]],"")</f>
        <v/>
      </c>
      <c r="L111" s="58" t="e">
        <f>tbl_Finish[[#This Row],[Total hours]]*tbl_Finish[[#This Row],[% Complete]]</f>
        <v>#VALUE!</v>
      </c>
      <c r="M111" s="59" t="str">
        <f>IFERROR(tbl_Finish[[#This Row],[Qty Complete]]/tbl_Finish[[#This Row],[Total Hours Act]]*tbl_Finish[[#This Row],['# of men Act]],"")</f>
        <v/>
      </c>
      <c r="O111"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11" s="71" t="str">
        <f>IFERROR((tbl_Finish[[#This Row],[Adj. Total Hours]]+tbl_Finish[[#This Row],[Est. Hours]])/(tbl_Finish[[#This Row],[Total Hours Act]]+tbl_Finish[[#This Row],[Act. Hours]]),"")</f>
        <v/>
      </c>
      <c r="S111" s="63"/>
      <c r="T111" s="63"/>
      <c r="U111" s="63"/>
      <c r="V111" s="63"/>
      <c r="W111" s="63"/>
    </row>
    <row r="112" spans="6:23" ht="25" customHeight="1">
      <c r="F112" s="53"/>
      <c r="H112" s="55" t="e">
        <f>tbl_Finish[[#This Row],[Qty Complete]]/tbl_Finish[[#This Row],[Qty Required]]</f>
        <v>#DIV/0!</v>
      </c>
      <c r="K112" s="57" t="str">
        <f>IFERROR(tbl_Finish[[#This Row],[Qty Required]]/tbl_Finish[[#This Row],[PPH]]*tbl_Finish[[#This Row],['# of men]],"")</f>
        <v/>
      </c>
      <c r="L112" s="58" t="e">
        <f>tbl_Finish[[#This Row],[Total hours]]*tbl_Finish[[#This Row],[% Complete]]</f>
        <v>#VALUE!</v>
      </c>
      <c r="M112" s="59" t="str">
        <f>IFERROR(tbl_Finish[[#This Row],[Qty Complete]]/tbl_Finish[[#This Row],[Total Hours Act]]*tbl_Finish[[#This Row],['# of men Act]],"")</f>
        <v/>
      </c>
      <c r="O112"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12" s="71" t="str">
        <f>IFERROR((tbl_Finish[[#This Row],[Adj. Total Hours]]+tbl_Finish[[#This Row],[Est. Hours]])/(tbl_Finish[[#This Row],[Total Hours Act]]+tbl_Finish[[#This Row],[Act. Hours]]),"")</f>
        <v/>
      </c>
      <c r="S112" s="63"/>
      <c r="T112" s="63"/>
      <c r="U112" s="63"/>
      <c r="V112" s="63"/>
      <c r="W112" s="63"/>
    </row>
    <row r="113" spans="6:23" ht="25" customHeight="1">
      <c r="F113" s="53"/>
      <c r="H113" s="55" t="e">
        <f>tbl_Finish[[#This Row],[Qty Complete]]/tbl_Finish[[#This Row],[Qty Required]]</f>
        <v>#DIV/0!</v>
      </c>
      <c r="K113" s="57" t="str">
        <f>IFERROR(tbl_Finish[[#This Row],[Qty Required]]/tbl_Finish[[#This Row],[PPH]]*tbl_Finish[[#This Row],['# of men]],"")</f>
        <v/>
      </c>
      <c r="L113" s="58" t="e">
        <f>tbl_Finish[[#This Row],[Total hours]]*tbl_Finish[[#This Row],[% Complete]]</f>
        <v>#VALUE!</v>
      </c>
      <c r="M113" s="59" t="str">
        <f>IFERROR(tbl_Finish[[#This Row],[Qty Complete]]/tbl_Finish[[#This Row],[Total Hours Act]]*tbl_Finish[[#This Row],['# of men Act]],"")</f>
        <v/>
      </c>
      <c r="O113"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13" s="71" t="str">
        <f>IFERROR((tbl_Finish[[#This Row],[Adj. Total Hours]]+tbl_Finish[[#This Row],[Est. Hours]])/(tbl_Finish[[#This Row],[Total Hours Act]]+tbl_Finish[[#This Row],[Act. Hours]]),"")</f>
        <v/>
      </c>
      <c r="S113" s="63"/>
      <c r="T113" s="63"/>
      <c r="U113" s="63"/>
      <c r="V113" s="63"/>
      <c r="W113" s="63"/>
    </row>
    <row r="114" spans="6:23" ht="25" customHeight="1">
      <c r="F114" s="53"/>
      <c r="H114" s="55" t="e">
        <f>tbl_Finish[[#This Row],[Qty Complete]]/tbl_Finish[[#This Row],[Qty Required]]</f>
        <v>#DIV/0!</v>
      </c>
      <c r="K114" s="57" t="str">
        <f>IFERROR(tbl_Finish[[#This Row],[Qty Required]]/tbl_Finish[[#This Row],[PPH]]*tbl_Finish[[#This Row],['# of men]],"")</f>
        <v/>
      </c>
      <c r="L114" s="58" t="e">
        <f>tbl_Finish[[#This Row],[Total hours]]*tbl_Finish[[#This Row],[% Complete]]</f>
        <v>#VALUE!</v>
      </c>
      <c r="M114" s="59" t="str">
        <f>IFERROR(tbl_Finish[[#This Row],[Qty Complete]]/tbl_Finish[[#This Row],[Total Hours Act]]*tbl_Finish[[#This Row],['# of men Act]],"")</f>
        <v/>
      </c>
      <c r="O114"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14" s="71" t="str">
        <f>IFERROR((tbl_Finish[[#This Row],[Adj. Total Hours]]+tbl_Finish[[#This Row],[Est. Hours]])/(tbl_Finish[[#This Row],[Total Hours Act]]+tbl_Finish[[#This Row],[Act. Hours]]),"")</f>
        <v/>
      </c>
      <c r="S114" s="63"/>
      <c r="T114" s="63"/>
      <c r="U114" s="63"/>
      <c r="V114" s="63"/>
      <c r="W114" s="63"/>
    </row>
    <row r="115" spans="6:23" ht="25" customHeight="1">
      <c r="F115" s="53"/>
      <c r="H115" s="55" t="e">
        <f>tbl_Finish[[#This Row],[Qty Complete]]/tbl_Finish[[#This Row],[Qty Required]]</f>
        <v>#DIV/0!</v>
      </c>
      <c r="K115" s="57" t="str">
        <f>IFERROR(tbl_Finish[[#This Row],[Qty Required]]/tbl_Finish[[#This Row],[PPH]]*tbl_Finish[[#This Row],['# of men]],"")</f>
        <v/>
      </c>
      <c r="L115" s="58" t="e">
        <f>tbl_Finish[[#This Row],[Total hours]]*tbl_Finish[[#This Row],[% Complete]]</f>
        <v>#VALUE!</v>
      </c>
      <c r="M115" s="59" t="str">
        <f>IFERROR(tbl_Finish[[#This Row],[Qty Complete]]/tbl_Finish[[#This Row],[Total Hours Act]]*tbl_Finish[[#This Row],['# of men Act]],"")</f>
        <v/>
      </c>
      <c r="O115"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15" s="71" t="str">
        <f>IFERROR((tbl_Finish[[#This Row],[Adj. Total Hours]]+tbl_Finish[[#This Row],[Est. Hours]])/(tbl_Finish[[#This Row],[Total Hours Act]]+tbl_Finish[[#This Row],[Act. Hours]]),"")</f>
        <v/>
      </c>
      <c r="S115" s="63"/>
      <c r="T115" s="63"/>
      <c r="U115" s="63"/>
      <c r="V115" s="63"/>
      <c r="W115" s="63"/>
    </row>
    <row r="116" spans="6:23" ht="25" customHeight="1">
      <c r="F116" s="53"/>
      <c r="H116" s="55" t="e">
        <f>tbl_Finish[[#This Row],[Qty Complete]]/tbl_Finish[[#This Row],[Qty Required]]</f>
        <v>#DIV/0!</v>
      </c>
      <c r="K116" s="57" t="str">
        <f>IFERROR(tbl_Finish[[#This Row],[Qty Required]]/tbl_Finish[[#This Row],[PPH]]*tbl_Finish[[#This Row],['# of men]],"")</f>
        <v/>
      </c>
      <c r="L116" s="58" t="e">
        <f>tbl_Finish[[#This Row],[Total hours]]*tbl_Finish[[#This Row],[% Complete]]</f>
        <v>#VALUE!</v>
      </c>
      <c r="M116" s="59" t="str">
        <f>IFERROR(tbl_Finish[[#This Row],[Qty Complete]]/tbl_Finish[[#This Row],[Total Hours Act]]*tbl_Finish[[#This Row],['# of men Act]],"")</f>
        <v/>
      </c>
      <c r="O116"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16" s="71" t="str">
        <f>IFERROR((tbl_Finish[[#This Row],[Adj. Total Hours]]+tbl_Finish[[#This Row],[Est. Hours]])/(tbl_Finish[[#This Row],[Total Hours Act]]+tbl_Finish[[#This Row],[Act. Hours]]),"")</f>
        <v/>
      </c>
      <c r="S116" s="63"/>
      <c r="T116" s="63"/>
      <c r="U116" s="63"/>
      <c r="V116" s="63"/>
      <c r="W116" s="63"/>
    </row>
    <row r="117" spans="6:23" ht="25" customHeight="1">
      <c r="F117" s="53"/>
      <c r="H117" s="55" t="e">
        <f>tbl_Finish[[#This Row],[Qty Complete]]/tbl_Finish[[#This Row],[Qty Required]]</f>
        <v>#DIV/0!</v>
      </c>
      <c r="K117" s="57" t="str">
        <f>IFERROR(tbl_Finish[[#This Row],[Qty Required]]/tbl_Finish[[#This Row],[PPH]]*tbl_Finish[[#This Row],['# of men]],"")</f>
        <v/>
      </c>
      <c r="L117" s="58" t="e">
        <f>tbl_Finish[[#This Row],[Total hours]]*tbl_Finish[[#This Row],[% Complete]]</f>
        <v>#VALUE!</v>
      </c>
      <c r="M117" s="59" t="str">
        <f>IFERROR(tbl_Finish[[#This Row],[Qty Complete]]/tbl_Finish[[#This Row],[Total Hours Act]]*tbl_Finish[[#This Row],['# of men Act]],"")</f>
        <v/>
      </c>
      <c r="O117"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17" s="71" t="str">
        <f>IFERROR((tbl_Finish[[#This Row],[Adj. Total Hours]]+tbl_Finish[[#This Row],[Est. Hours]])/(tbl_Finish[[#This Row],[Total Hours Act]]+tbl_Finish[[#This Row],[Act. Hours]]),"")</f>
        <v/>
      </c>
      <c r="S117" s="63"/>
      <c r="T117" s="63"/>
      <c r="U117" s="63"/>
      <c r="V117" s="63"/>
      <c r="W117" s="63"/>
    </row>
    <row r="118" spans="6:23" ht="25" customHeight="1">
      <c r="F118" s="53"/>
      <c r="H118" s="55" t="e">
        <f>tbl_Finish[[#This Row],[Qty Complete]]/tbl_Finish[[#This Row],[Qty Required]]</f>
        <v>#DIV/0!</v>
      </c>
      <c r="K118" s="57" t="str">
        <f>IFERROR(tbl_Finish[[#This Row],[Qty Required]]/tbl_Finish[[#This Row],[PPH]]*tbl_Finish[[#This Row],['# of men]],"")</f>
        <v/>
      </c>
      <c r="L118" s="58" t="e">
        <f>tbl_Finish[[#This Row],[Total hours]]*tbl_Finish[[#This Row],[% Complete]]</f>
        <v>#VALUE!</v>
      </c>
      <c r="M118" s="59" t="str">
        <f>IFERROR(tbl_Finish[[#This Row],[Qty Complete]]/tbl_Finish[[#This Row],[Total Hours Act]]*tbl_Finish[[#This Row],['# of men Act]],"")</f>
        <v/>
      </c>
      <c r="O118"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18" s="71" t="str">
        <f>IFERROR((tbl_Finish[[#This Row],[Adj. Total Hours]]+tbl_Finish[[#This Row],[Est. Hours]])/(tbl_Finish[[#This Row],[Total Hours Act]]+tbl_Finish[[#This Row],[Act. Hours]]),"")</f>
        <v/>
      </c>
      <c r="S118" s="63"/>
      <c r="T118" s="63"/>
      <c r="U118" s="63"/>
      <c r="V118" s="63"/>
      <c r="W118" s="63"/>
    </row>
    <row r="119" spans="6:23" ht="25" customHeight="1">
      <c r="F119" s="53"/>
      <c r="H119" s="55" t="e">
        <f>tbl_Finish[[#This Row],[Qty Complete]]/tbl_Finish[[#This Row],[Qty Required]]</f>
        <v>#DIV/0!</v>
      </c>
      <c r="K119" s="57" t="str">
        <f>IFERROR(tbl_Finish[[#This Row],[Qty Required]]/tbl_Finish[[#This Row],[PPH]]*tbl_Finish[[#This Row],['# of men]],"")</f>
        <v/>
      </c>
      <c r="L119" s="58" t="e">
        <f>tbl_Finish[[#This Row],[Total hours]]*tbl_Finish[[#This Row],[% Complete]]</f>
        <v>#VALUE!</v>
      </c>
      <c r="M119" s="59" t="str">
        <f>IFERROR(tbl_Finish[[#This Row],[Qty Complete]]/tbl_Finish[[#This Row],[Total Hours Act]]*tbl_Finish[[#This Row],['# of men Act]],"")</f>
        <v/>
      </c>
      <c r="O119"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19" s="71" t="str">
        <f>IFERROR((tbl_Finish[[#This Row],[Adj. Total Hours]]+tbl_Finish[[#This Row],[Est. Hours]])/(tbl_Finish[[#This Row],[Total Hours Act]]+tbl_Finish[[#This Row],[Act. Hours]]),"")</f>
        <v/>
      </c>
      <c r="S119" s="63"/>
      <c r="T119" s="63"/>
      <c r="U119" s="63"/>
      <c r="V119" s="63"/>
      <c r="W119" s="63"/>
    </row>
    <row r="120" spans="6:23" ht="25" customHeight="1">
      <c r="F120" s="53"/>
      <c r="H120" s="55" t="e">
        <f>tbl_Finish[[#This Row],[Qty Complete]]/tbl_Finish[[#This Row],[Qty Required]]</f>
        <v>#DIV/0!</v>
      </c>
      <c r="K120" s="57" t="str">
        <f>IFERROR(tbl_Finish[[#This Row],[Qty Required]]/tbl_Finish[[#This Row],[PPH]]*tbl_Finish[[#This Row],['# of men]],"")</f>
        <v/>
      </c>
      <c r="L120" s="58" t="e">
        <f>tbl_Finish[[#This Row],[Total hours]]*tbl_Finish[[#This Row],[% Complete]]</f>
        <v>#VALUE!</v>
      </c>
      <c r="M120" s="59" t="str">
        <f>IFERROR(tbl_Finish[[#This Row],[Qty Complete]]/tbl_Finish[[#This Row],[Total Hours Act]]*tbl_Finish[[#This Row],['# of men Act]],"")</f>
        <v/>
      </c>
      <c r="O120"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20" s="71" t="str">
        <f>IFERROR((tbl_Finish[[#This Row],[Adj. Total Hours]]+tbl_Finish[[#This Row],[Est. Hours]])/(tbl_Finish[[#This Row],[Total Hours Act]]+tbl_Finish[[#This Row],[Act. Hours]]),"")</f>
        <v/>
      </c>
      <c r="S120" s="63"/>
      <c r="T120" s="63"/>
      <c r="U120" s="63"/>
      <c r="V120" s="63"/>
      <c r="W120" s="63"/>
    </row>
    <row r="121" spans="6:23" ht="25" customHeight="1">
      <c r="F121" s="53"/>
      <c r="H121" s="55" t="e">
        <f>tbl_Finish[[#This Row],[Qty Complete]]/tbl_Finish[[#This Row],[Qty Required]]</f>
        <v>#DIV/0!</v>
      </c>
      <c r="K121" s="57" t="str">
        <f>IFERROR(tbl_Finish[[#This Row],[Qty Required]]/tbl_Finish[[#This Row],[PPH]]*tbl_Finish[[#This Row],['# of men]],"")</f>
        <v/>
      </c>
      <c r="L121" s="58" t="e">
        <f>tbl_Finish[[#This Row],[Total hours]]*tbl_Finish[[#This Row],[% Complete]]</f>
        <v>#VALUE!</v>
      </c>
      <c r="M121" s="59" t="str">
        <f>IFERROR(tbl_Finish[[#This Row],[Qty Complete]]/tbl_Finish[[#This Row],[Total Hours Act]]*tbl_Finish[[#This Row],['# of men Act]],"")</f>
        <v/>
      </c>
      <c r="O121"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21" s="71" t="str">
        <f>IFERROR((tbl_Finish[[#This Row],[Adj. Total Hours]]+tbl_Finish[[#This Row],[Est. Hours]])/(tbl_Finish[[#This Row],[Total Hours Act]]+tbl_Finish[[#This Row],[Act. Hours]]),"")</f>
        <v/>
      </c>
      <c r="S121" s="63"/>
      <c r="T121" s="63"/>
      <c r="U121" s="63"/>
      <c r="V121" s="63"/>
      <c r="W121" s="63"/>
    </row>
    <row r="122" spans="6:23" ht="25" customHeight="1">
      <c r="F122" s="53"/>
      <c r="H122" s="55" t="e">
        <f>tbl_Finish[[#This Row],[Qty Complete]]/tbl_Finish[[#This Row],[Qty Required]]</f>
        <v>#DIV/0!</v>
      </c>
      <c r="K122" s="57" t="str">
        <f>IFERROR(tbl_Finish[[#This Row],[Qty Required]]/tbl_Finish[[#This Row],[PPH]]*tbl_Finish[[#This Row],['# of men]],"")</f>
        <v/>
      </c>
      <c r="L122" s="58" t="e">
        <f>tbl_Finish[[#This Row],[Total hours]]*tbl_Finish[[#This Row],[% Complete]]</f>
        <v>#VALUE!</v>
      </c>
      <c r="M122" s="59" t="str">
        <f>IFERROR(tbl_Finish[[#This Row],[Qty Complete]]/tbl_Finish[[#This Row],[Total Hours Act]]*tbl_Finish[[#This Row],['# of men Act]],"")</f>
        <v/>
      </c>
      <c r="O122"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22" s="71" t="str">
        <f>IFERROR((tbl_Finish[[#This Row],[Adj. Total Hours]]+tbl_Finish[[#This Row],[Est. Hours]])/(tbl_Finish[[#This Row],[Total Hours Act]]+tbl_Finish[[#This Row],[Act. Hours]]),"")</f>
        <v/>
      </c>
      <c r="S122" s="63"/>
      <c r="T122" s="63"/>
      <c r="U122" s="63"/>
      <c r="V122" s="63"/>
      <c r="W122" s="63"/>
    </row>
    <row r="123" spans="6:23" ht="25" customHeight="1">
      <c r="F123" s="53"/>
      <c r="H123" s="55" t="e">
        <f>tbl_Finish[[#This Row],[Qty Complete]]/tbl_Finish[[#This Row],[Qty Required]]</f>
        <v>#DIV/0!</v>
      </c>
      <c r="K123" s="57" t="str">
        <f>IFERROR(tbl_Finish[[#This Row],[Qty Required]]/tbl_Finish[[#This Row],[PPH]]*tbl_Finish[[#This Row],['# of men]],"")</f>
        <v/>
      </c>
      <c r="L123" s="58" t="e">
        <f>tbl_Finish[[#This Row],[Total hours]]*tbl_Finish[[#This Row],[% Complete]]</f>
        <v>#VALUE!</v>
      </c>
      <c r="M123" s="59" t="str">
        <f>IFERROR(tbl_Finish[[#This Row],[Qty Complete]]/tbl_Finish[[#This Row],[Total Hours Act]]*tbl_Finish[[#This Row],['# of men Act]],"")</f>
        <v/>
      </c>
      <c r="O123"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23" s="71" t="str">
        <f>IFERROR((tbl_Finish[[#This Row],[Adj. Total Hours]]+tbl_Finish[[#This Row],[Est. Hours]])/(tbl_Finish[[#This Row],[Total Hours Act]]+tbl_Finish[[#This Row],[Act. Hours]]),"")</f>
        <v/>
      </c>
      <c r="S123" s="63"/>
      <c r="T123" s="63"/>
      <c r="U123" s="63"/>
      <c r="V123" s="63"/>
      <c r="W123" s="63"/>
    </row>
    <row r="124" spans="6:23" ht="25" customHeight="1">
      <c r="F124" s="53"/>
      <c r="H124" s="55" t="e">
        <f>tbl_Finish[[#This Row],[Qty Complete]]/tbl_Finish[[#This Row],[Qty Required]]</f>
        <v>#DIV/0!</v>
      </c>
      <c r="K124" s="57" t="str">
        <f>IFERROR(tbl_Finish[[#This Row],[Qty Required]]/tbl_Finish[[#This Row],[PPH]]*tbl_Finish[[#This Row],['# of men]],"")</f>
        <v/>
      </c>
      <c r="L124" s="58" t="e">
        <f>tbl_Finish[[#This Row],[Total hours]]*tbl_Finish[[#This Row],[% Complete]]</f>
        <v>#VALUE!</v>
      </c>
      <c r="M124" s="59" t="str">
        <f>IFERROR(tbl_Finish[[#This Row],[Qty Complete]]/tbl_Finish[[#This Row],[Total Hours Act]]*tbl_Finish[[#This Row],['# of men Act]],"")</f>
        <v/>
      </c>
      <c r="O124"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24" s="71" t="str">
        <f>IFERROR((tbl_Finish[[#This Row],[Adj. Total Hours]]+tbl_Finish[[#This Row],[Est. Hours]])/(tbl_Finish[[#This Row],[Total Hours Act]]+tbl_Finish[[#This Row],[Act. Hours]]),"")</f>
        <v/>
      </c>
      <c r="S124" s="63"/>
      <c r="T124" s="63"/>
      <c r="U124" s="63"/>
      <c r="V124" s="63"/>
      <c r="W124" s="63"/>
    </row>
    <row r="125" spans="6:23" ht="25" customHeight="1">
      <c r="F125" s="53"/>
      <c r="H125" s="55" t="e">
        <f>tbl_Finish[[#This Row],[Qty Complete]]/tbl_Finish[[#This Row],[Qty Required]]</f>
        <v>#DIV/0!</v>
      </c>
      <c r="K125" s="57" t="str">
        <f>IFERROR(tbl_Finish[[#This Row],[Qty Required]]/tbl_Finish[[#This Row],[PPH]]*tbl_Finish[[#This Row],['# of men]],"")</f>
        <v/>
      </c>
      <c r="L125" s="58" t="e">
        <f>tbl_Finish[[#This Row],[Total hours]]*tbl_Finish[[#This Row],[% Complete]]</f>
        <v>#VALUE!</v>
      </c>
      <c r="M125" s="59" t="str">
        <f>IFERROR(tbl_Finish[[#This Row],[Qty Complete]]/tbl_Finish[[#This Row],[Total Hours Act]]*tbl_Finish[[#This Row],['# of men Act]],"")</f>
        <v/>
      </c>
      <c r="O125"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25" s="71" t="str">
        <f>IFERROR((tbl_Finish[[#This Row],[Adj. Total Hours]]+tbl_Finish[[#This Row],[Est. Hours]])/(tbl_Finish[[#This Row],[Total Hours Act]]+tbl_Finish[[#This Row],[Act. Hours]]),"")</f>
        <v/>
      </c>
      <c r="S125" s="63"/>
      <c r="T125" s="63"/>
      <c r="U125" s="63"/>
      <c r="V125" s="63"/>
      <c r="W125" s="63"/>
    </row>
    <row r="126" spans="6:23" ht="25" customHeight="1">
      <c r="F126" s="53"/>
      <c r="H126" s="55" t="e">
        <f>tbl_Finish[[#This Row],[Qty Complete]]/tbl_Finish[[#This Row],[Qty Required]]</f>
        <v>#DIV/0!</v>
      </c>
      <c r="K126" s="57" t="str">
        <f>IFERROR(tbl_Finish[[#This Row],[Qty Required]]/tbl_Finish[[#This Row],[PPH]]*tbl_Finish[[#This Row],['# of men]],"")</f>
        <v/>
      </c>
      <c r="L126" s="58" t="e">
        <f>tbl_Finish[[#This Row],[Total hours]]*tbl_Finish[[#This Row],[% Complete]]</f>
        <v>#VALUE!</v>
      </c>
      <c r="M126" s="59" t="str">
        <f>IFERROR(tbl_Finish[[#This Row],[Qty Complete]]/tbl_Finish[[#This Row],[Total Hours Act]]*tbl_Finish[[#This Row],['# of men Act]],"")</f>
        <v/>
      </c>
      <c r="O126"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26" s="71" t="str">
        <f>IFERROR((tbl_Finish[[#This Row],[Adj. Total Hours]]+tbl_Finish[[#This Row],[Est. Hours]])/(tbl_Finish[[#This Row],[Total Hours Act]]+tbl_Finish[[#This Row],[Act. Hours]]),"")</f>
        <v/>
      </c>
      <c r="S126" s="63"/>
      <c r="T126" s="63"/>
      <c r="U126" s="63"/>
      <c r="V126" s="63"/>
      <c r="W126" s="63"/>
    </row>
    <row r="127" spans="6:23" ht="25" customHeight="1">
      <c r="F127" s="53"/>
      <c r="H127" s="55" t="e">
        <f>tbl_Finish[[#This Row],[Qty Complete]]/tbl_Finish[[#This Row],[Qty Required]]</f>
        <v>#DIV/0!</v>
      </c>
      <c r="K127" s="57" t="str">
        <f>IFERROR(tbl_Finish[[#This Row],[Qty Required]]/tbl_Finish[[#This Row],[PPH]]*tbl_Finish[[#This Row],['# of men]],"")</f>
        <v/>
      </c>
      <c r="L127" s="58" t="e">
        <f>tbl_Finish[[#This Row],[Total hours]]*tbl_Finish[[#This Row],[% Complete]]</f>
        <v>#VALUE!</v>
      </c>
      <c r="M127" s="59" t="str">
        <f>IFERROR(tbl_Finish[[#This Row],[Qty Complete]]/tbl_Finish[[#This Row],[Total Hours Act]]*tbl_Finish[[#This Row],['# of men Act]],"")</f>
        <v/>
      </c>
      <c r="O127"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27" s="71" t="str">
        <f>IFERROR((tbl_Finish[[#This Row],[Adj. Total Hours]]+tbl_Finish[[#This Row],[Est. Hours]])/(tbl_Finish[[#This Row],[Total Hours Act]]+tbl_Finish[[#This Row],[Act. Hours]]),"")</f>
        <v/>
      </c>
      <c r="S127" s="63"/>
      <c r="T127" s="63"/>
      <c r="U127" s="63"/>
      <c r="V127" s="63"/>
      <c r="W127" s="63"/>
    </row>
    <row r="128" spans="6:23" ht="25" customHeight="1">
      <c r="F128" s="53"/>
      <c r="H128" s="55" t="e">
        <f>tbl_Finish[[#This Row],[Qty Complete]]/tbl_Finish[[#This Row],[Qty Required]]</f>
        <v>#DIV/0!</v>
      </c>
      <c r="K128" s="57" t="str">
        <f>IFERROR(tbl_Finish[[#This Row],[Qty Required]]/tbl_Finish[[#This Row],[PPH]]*tbl_Finish[[#This Row],['# of men]],"")</f>
        <v/>
      </c>
      <c r="L128" s="58" t="e">
        <f>tbl_Finish[[#This Row],[Total hours]]*tbl_Finish[[#This Row],[% Complete]]</f>
        <v>#VALUE!</v>
      </c>
      <c r="M128" s="59" t="str">
        <f>IFERROR(tbl_Finish[[#This Row],[Qty Complete]]/tbl_Finish[[#This Row],[Total Hours Act]]*tbl_Finish[[#This Row],['# of men Act]],"")</f>
        <v/>
      </c>
      <c r="O128"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28" s="71" t="str">
        <f>IFERROR((tbl_Finish[[#This Row],[Adj. Total Hours]]+tbl_Finish[[#This Row],[Est. Hours]])/(tbl_Finish[[#This Row],[Total Hours Act]]+tbl_Finish[[#This Row],[Act. Hours]]),"")</f>
        <v/>
      </c>
      <c r="S128" s="63"/>
      <c r="T128" s="63"/>
      <c r="U128" s="63"/>
      <c r="V128" s="63"/>
      <c r="W128" s="63"/>
    </row>
    <row r="129" spans="6:23" ht="25" customHeight="1">
      <c r="F129" s="53"/>
      <c r="H129" s="55" t="e">
        <f>tbl_Finish[[#This Row],[Qty Complete]]/tbl_Finish[[#This Row],[Qty Required]]</f>
        <v>#DIV/0!</v>
      </c>
      <c r="K129" s="57" t="str">
        <f>IFERROR(tbl_Finish[[#This Row],[Qty Required]]/tbl_Finish[[#This Row],[PPH]]*tbl_Finish[[#This Row],['# of men]],"")</f>
        <v/>
      </c>
      <c r="L129" s="58" t="e">
        <f>tbl_Finish[[#This Row],[Total hours]]*tbl_Finish[[#This Row],[% Complete]]</f>
        <v>#VALUE!</v>
      </c>
      <c r="M129" s="59" t="str">
        <f>IFERROR(tbl_Finish[[#This Row],[Qty Complete]]/tbl_Finish[[#This Row],[Total Hours Act]]*tbl_Finish[[#This Row],['# of men Act]],"")</f>
        <v/>
      </c>
      <c r="O129"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29" s="71" t="str">
        <f>IFERROR((tbl_Finish[[#This Row],[Adj. Total Hours]]+tbl_Finish[[#This Row],[Est. Hours]])/(tbl_Finish[[#This Row],[Total Hours Act]]+tbl_Finish[[#This Row],[Act. Hours]]),"")</f>
        <v/>
      </c>
      <c r="S129" s="63"/>
      <c r="T129" s="63"/>
      <c r="U129" s="63"/>
      <c r="V129" s="63"/>
      <c r="W129" s="63"/>
    </row>
    <row r="130" spans="6:23" ht="25" customHeight="1">
      <c r="F130" s="53"/>
      <c r="H130" s="55" t="e">
        <f>tbl_Finish[[#This Row],[Qty Complete]]/tbl_Finish[[#This Row],[Qty Required]]</f>
        <v>#DIV/0!</v>
      </c>
      <c r="K130" s="57" t="str">
        <f>IFERROR(tbl_Finish[[#This Row],[Qty Required]]/tbl_Finish[[#This Row],[PPH]]*tbl_Finish[[#This Row],['# of men]],"")</f>
        <v/>
      </c>
      <c r="L130" s="58" t="e">
        <f>tbl_Finish[[#This Row],[Total hours]]*tbl_Finish[[#This Row],[% Complete]]</f>
        <v>#VALUE!</v>
      </c>
      <c r="M130" s="59" t="str">
        <f>IFERROR(tbl_Finish[[#This Row],[Qty Complete]]/tbl_Finish[[#This Row],[Total Hours Act]]*tbl_Finish[[#This Row],['# of men Act]],"")</f>
        <v/>
      </c>
      <c r="O130"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30" s="71" t="str">
        <f>IFERROR((tbl_Finish[[#This Row],[Adj. Total Hours]]+tbl_Finish[[#This Row],[Est. Hours]])/(tbl_Finish[[#This Row],[Total Hours Act]]+tbl_Finish[[#This Row],[Act. Hours]]),"")</f>
        <v/>
      </c>
      <c r="S130" s="63"/>
      <c r="T130" s="63"/>
      <c r="U130" s="63"/>
      <c r="V130" s="63"/>
      <c r="W130" s="63"/>
    </row>
    <row r="131" spans="6:23" ht="25" customHeight="1">
      <c r="F131" s="53"/>
      <c r="H131" s="55" t="e">
        <f>tbl_Finish[[#This Row],[Qty Complete]]/tbl_Finish[[#This Row],[Qty Required]]</f>
        <v>#DIV/0!</v>
      </c>
      <c r="K131" s="57" t="str">
        <f>IFERROR(tbl_Finish[[#This Row],[Qty Required]]/tbl_Finish[[#This Row],[PPH]]*tbl_Finish[[#This Row],['# of men]],"")</f>
        <v/>
      </c>
      <c r="L131" s="58" t="e">
        <f>tbl_Finish[[#This Row],[Total hours]]*tbl_Finish[[#This Row],[% Complete]]</f>
        <v>#VALUE!</v>
      </c>
      <c r="M131" s="59" t="str">
        <f>IFERROR(tbl_Finish[[#This Row],[Qty Complete]]/tbl_Finish[[#This Row],[Total Hours Act]]*tbl_Finish[[#This Row],['# of men Act]],"")</f>
        <v/>
      </c>
      <c r="O131"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31" s="71" t="str">
        <f>IFERROR((tbl_Finish[[#This Row],[Adj. Total Hours]]+tbl_Finish[[#This Row],[Est. Hours]])/(tbl_Finish[[#This Row],[Total Hours Act]]+tbl_Finish[[#This Row],[Act. Hours]]),"")</f>
        <v/>
      </c>
      <c r="S131" s="63"/>
      <c r="T131" s="63"/>
      <c r="U131" s="63"/>
      <c r="V131" s="63"/>
      <c r="W131" s="63"/>
    </row>
    <row r="132" spans="6:23" ht="25" customHeight="1">
      <c r="F132" s="53"/>
      <c r="H132" s="55" t="e">
        <f>tbl_Finish[[#This Row],[Qty Complete]]/tbl_Finish[[#This Row],[Qty Required]]</f>
        <v>#DIV/0!</v>
      </c>
      <c r="K132" s="57" t="str">
        <f>IFERROR(tbl_Finish[[#This Row],[Qty Required]]/tbl_Finish[[#This Row],[PPH]]*tbl_Finish[[#This Row],['# of men]],"")</f>
        <v/>
      </c>
      <c r="L132" s="58" t="e">
        <f>tbl_Finish[[#This Row],[Total hours]]*tbl_Finish[[#This Row],[% Complete]]</f>
        <v>#VALUE!</v>
      </c>
      <c r="M132" s="59" t="str">
        <f>IFERROR(tbl_Finish[[#This Row],[Qty Complete]]/tbl_Finish[[#This Row],[Total Hours Act]]*tbl_Finish[[#This Row],['# of men Act]],"")</f>
        <v/>
      </c>
      <c r="O132"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32" s="71" t="str">
        <f>IFERROR((tbl_Finish[[#This Row],[Adj. Total Hours]]+tbl_Finish[[#This Row],[Est. Hours]])/(tbl_Finish[[#This Row],[Total Hours Act]]+tbl_Finish[[#This Row],[Act. Hours]]),"")</f>
        <v/>
      </c>
      <c r="S132" s="63"/>
      <c r="T132" s="63"/>
      <c r="U132" s="63"/>
      <c r="V132" s="63"/>
      <c r="W132" s="63"/>
    </row>
    <row r="133" spans="6:23" ht="25" customHeight="1">
      <c r="F133" s="53"/>
      <c r="H133" s="55" t="e">
        <f>tbl_Finish[[#This Row],[Qty Complete]]/tbl_Finish[[#This Row],[Qty Required]]</f>
        <v>#DIV/0!</v>
      </c>
      <c r="K133" s="57" t="str">
        <f>IFERROR(tbl_Finish[[#This Row],[Qty Required]]/tbl_Finish[[#This Row],[PPH]]*tbl_Finish[[#This Row],['# of men]],"")</f>
        <v/>
      </c>
      <c r="L133" s="58" t="e">
        <f>tbl_Finish[[#This Row],[Total hours]]*tbl_Finish[[#This Row],[% Complete]]</f>
        <v>#VALUE!</v>
      </c>
      <c r="M133" s="59" t="str">
        <f>IFERROR(tbl_Finish[[#This Row],[Qty Complete]]/tbl_Finish[[#This Row],[Total Hours Act]]*tbl_Finish[[#This Row],['# of men Act]],"")</f>
        <v/>
      </c>
      <c r="O133"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33" s="71" t="str">
        <f>IFERROR((tbl_Finish[[#This Row],[Adj. Total Hours]]+tbl_Finish[[#This Row],[Est. Hours]])/(tbl_Finish[[#This Row],[Total Hours Act]]+tbl_Finish[[#This Row],[Act. Hours]]),"")</f>
        <v/>
      </c>
      <c r="S133" s="63"/>
      <c r="T133" s="63"/>
      <c r="U133" s="63"/>
      <c r="V133" s="63"/>
      <c r="W133" s="63"/>
    </row>
    <row r="134" spans="6:23" ht="25" customHeight="1">
      <c r="F134" s="53"/>
      <c r="H134" s="55" t="e">
        <f>tbl_Finish[[#This Row],[Qty Complete]]/tbl_Finish[[#This Row],[Qty Required]]</f>
        <v>#DIV/0!</v>
      </c>
      <c r="K134" s="57" t="str">
        <f>IFERROR(tbl_Finish[[#This Row],[Qty Required]]/tbl_Finish[[#This Row],[PPH]]*tbl_Finish[[#This Row],['# of men]],"")</f>
        <v/>
      </c>
      <c r="L134" s="58" t="e">
        <f>tbl_Finish[[#This Row],[Total hours]]*tbl_Finish[[#This Row],[% Complete]]</f>
        <v>#VALUE!</v>
      </c>
      <c r="M134" s="59" t="str">
        <f>IFERROR(tbl_Finish[[#This Row],[Qty Complete]]/tbl_Finish[[#This Row],[Total Hours Act]]*tbl_Finish[[#This Row],['# of men Act]],"")</f>
        <v/>
      </c>
      <c r="O134"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34" s="71" t="str">
        <f>IFERROR((tbl_Finish[[#This Row],[Adj. Total Hours]]+tbl_Finish[[#This Row],[Est. Hours]])/(tbl_Finish[[#This Row],[Total Hours Act]]+tbl_Finish[[#This Row],[Act. Hours]]),"")</f>
        <v/>
      </c>
      <c r="S134" s="63"/>
      <c r="T134" s="63"/>
      <c r="U134" s="63"/>
      <c r="V134" s="63"/>
      <c r="W134" s="63"/>
    </row>
    <row r="135" spans="6:23" ht="25" customHeight="1">
      <c r="F135" s="53"/>
      <c r="H135" s="55" t="e">
        <f>tbl_Finish[[#This Row],[Qty Complete]]/tbl_Finish[[#This Row],[Qty Required]]</f>
        <v>#DIV/0!</v>
      </c>
      <c r="K135" s="57" t="str">
        <f>IFERROR(tbl_Finish[[#This Row],[Qty Required]]/tbl_Finish[[#This Row],[PPH]]*tbl_Finish[[#This Row],['# of men]],"")</f>
        <v/>
      </c>
      <c r="L135" s="58" t="e">
        <f>tbl_Finish[[#This Row],[Total hours]]*tbl_Finish[[#This Row],[% Complete]]</f>
        <v>#VALUE!</v>
      </c>
      <c r="M135" s="59" t="str">
        <f>IFERROR(tbl_Finish[[#This Row],[Qty Complete]]/tbl_Finish[[#This Row],[Total Hours Act]]*tbl_Finish[[#This Row],['# of men Act]],"")</f>
        <v/>
      </c>
      <c r="O135"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35" s="71" t="str">
        <f>IFERROR((tbl_Finish[[#This Row],[Adj. Total Hours]]+tbl_Finish[[#This Row],[Est. Hours]])/(tbl_Finish[[#This Row],[Total Hours Act]]+tbl_Finish[[#This Row],[Act. Hours]]),"")</f>
        <v/>
      </c>
      <c r="S135" s="63"/>
      <c r="T135" s="63"/>
      <c r="U135" s="63"/>
      <c r="V135" s="63"/>
      <c r="W135" s="63"/>
    </row>
    <row r="136" spans="6:23" ht="25" customHeight="1">
      <c r="F136" s="53"/>
      <c r="H136" s="55" t="e">
        <f>tbl_Finish[[#This Row],[Qty Complete]]/tbl_Finish[[#This Row],[Qty Required]]</f>
        <v>#DIV/0!</v>
      </c>
      <c r="K136" s="57" t="str">
        <f>IFERROR(tbl_Finish[[#This Row],[Qty Required]]/tbl_Finish[[#This Row],[PPH]]*tbl_Finish[[#This Row],['# of men]],"")</f>
        <v/>
      </c>
      <c r="L136" s="58" t="e">
        <f>tbl_Finish[[#This Row],[Total hours]]*tbl_Finish[[#This Row],[% Complete]]</f>
        <v>#VALUE!</v>
      </c>
      <c r="M136" s="59" t="str">
        <f>IFERROR(tbl_Finish[[#This Row],[Qty Complete]]/tbl_Finish[[#This Row],[Total Hours Act]]*tbl_Finish[[#This Row],['# of men Act]],"")</f>
        <v/>
      </c>
      <c r="O136"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36" s="71" t="str">
        <f>IFERROR((tbl_Finish[[#This Row],[Adj. Total Hours]]+tbl_Finish[[#This Row],[Est. Hours]])/(tbl_Finish[[#This Row],[Total Hours Act]]+tbl_Finish[[#This Row],[Act. Hours]]),"")</f>
        <v/>
      </c>
      <c r="S136" s="63"/>
      <c r="T136" s="63"/>
      <c r="U136" s="63"/>
      <c r="V136" s="63"/>
      <c r="W136" s="63"/>
    </row>
    <row r="137" spans="6:23" ht="25" customHeight="1">
      <c r="F137" s="53"/>
      <c r="H137" s="55" t="e">
        <f>tbl_Finish[[#This Row],[Qty Complete]]/tbl_Finish[[#This Row],[Qty Required]]</f>
        <v>#DIV/0!</v>
      </c>
      <c r="K137" s="57" t="str">
        <f>IFERROR(tbl_Finish[[#This Row],[Qty Required]]/tbl_Finish[[#This Row],[PPH]]*tbl_Finish[[#This Row],['# of men]],"")</f>
        <v/>
      </c>
      <c r="L137" s="58" t="e">
        <f>tbl_Finish[[#This Row],[Total hours]]*tbl_Finish[[#This Row],[% Complete]]</f>
        <v>#VALUE!</v>
      </c>
      <c r="M137" s="59" t="str">
        <f>IFERROR(tbl_Finish[[#This Row],[Qty Complete]]/tbl_Finish[[#This Row],[Total Hours Act]]*tbl_Finish[[#This Row],['# of men Act]],"")</f>
        <v/>
      </c>
      <c r="O137"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37" s="71" t="str">
        <f>IFERROR((tbl_Finish[[#This Row],[Adj. Total Hours]]+tbl_Finish[[#This Row],[Est. Hours]])/(tbl_Finish[[#This Row],[Total Hours Act]]+tbl_Finish[[#This Row],[Act. Hours]]),"")</f>
        <v/>
      </c>
      <c r="S137" s="63"/>
      <c r="T137" s="63"/>
      <c r="U137" s="63"/>
      <c r="V137" s="63"/>
      <c r="W137" s="63"/>
    </row>
    <row r="138" spans="6:23" ht="25" customHeight="1">
      <c r="F138" s="53"/>
      <c r="H138" s="55" t="e">
        <f>tbl_Finish[[#This Row],[Qty Complete]]/tbl_Finish[[#This Row],[Qty Required]]</f>
        <v>#DIV/0!</v>
      </c>
      <c r="K138" s="57" t="str">
        <f>IFERROR(tbl_Finish[[#This Row],[Qty Required]]/tbl_Finish[[#This Row],[PPH]]*tbl_Finish[[#This Row],['# of men]],"")</f>
        <v/>
      </c>
      <c r="L138" s="58" t="e">
        <f>tbl_Finish[[#This Row],[Total hours]]*tbl_Finish[[#This Row],[% Complete]]</f>
        <v>#VALUE!</v>
      </c>
      <c r="M138" s="59" t="str">
        <f>IFERROR(tbl_Finish[[#This Row],[Qty Complete]]/tbl_Finish[[#This Row],[Total Hours Act]]*tbl_Finish[[#This Row],['# of men Act]],"")</f>
        <v/>
      </c>
      <c r="O138"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38" s="71" t="str">
        <f>IFERROR((tbl_Finish[[#This Row],[Adj. Total Hours]]+tbl_Finish[[#This Row],[Est. Hours]])/(tbl_Finish[[#This Row],[Total Hours Act]]+tbl_Finish[[#This Row],[Act. Hours]]),"")</f>
        <v/>
      </c>
      <c r="S138" s="63"/>
      <c r="T138" s="63"/>
      <c r="U138" s="63"/>
      <c r="V138" s="63"/>
      <c r="W138" s="63"/>
    </row>
    <row r="139" spans="6:23" ht="25" customHeight="1">
      <c r="F139" s="53"/>
      <c r="H139" s="55" t="e">
        <f>tbl_Finish[[#This Row],[Qty Complete]]/tbl_Finish[[#This Row],[Qty Required]]</f>
        <v>#DIV/0!</v>
      </c>
      <c r="K139" s="57" t="str">
        <f>IFERROR(tbl_Finish[[#This Row],[Qty Required]]/tbl_Finish[[#This Row],[PPH]]*tbl_Finish[[#This Row],['# of men]],"")</f>
        <v/>
      </c>
      <c r="L139" s="58" t="e">
        <f>tbl_Finish[[#This Row],[Total hours]]*tbl_Finish[[#This Row],[% Complete]]</f>
        <v>#VALUE!</v>
      </c>
      <c r="M139" s="59" t="str">
        <f>IFERROR(tbl_Finish[[#This Row],[Qty Complete]]/tbl_Finish[[#This Row],[Total Hours Act]]*tbl_Finish[[#This Row],['# of men Act]],"")</f>
        <v/>
      </c>
      <c r="O139"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39" s="71" t="str">
        <f>IFERROR((tbl_Finish[[#This Row],[Adj. Total Hours]]+tbl_Finish[[#This Row],[Est. Hours]])/(tbl_Finish[[#This Row],[Total Hours Act]]+tbl_Finish[[#This Row],[Act. Hours]]),"")</f>
        <v/>
      </c>
      <c r="S139" s="63"/>
      <c r="T139" s="63"/>
      <c r="U139" s="63"/>
      <c r="V139" s="63"/>
      <c r="W139" s="63"/>
    </row>
    <row r="140" spans="6:23" ht="25" customHeight="1">
      <c r="F140" s="53"/>
      <c r="H140" s="55" t="e">
        <f>tbl_Finish[[#This Row],[Qty Complete]]/tbl_Finish[[#This Row],[Qty Required]]</f>
        <v>#DIV/0!</v>
      </c>
      <c r="K140" s="57" t="str">
        <f>IFERROR(tbl_Finish[[#This Row],[Qty Required]]/tbl_Finish[[#This Row],[PPH]]*tbl_Finish[[#This Row],['# of men]],"")</f>
        <v/>
      </c>
      <c r="L140" s="58" t="e">
        <f>tbl_Finish[[#This Row],[Total hours]]*tbl_Finish[[#This Row],[% Complete]]</f>
        <v>#VALUE!</v>
      </c>
      <c r="M140" s="59" t="str">
        <f>IFERROR(tbl_Finish[[#This Row],[Qty Complete]]/tbl_Finish[[#This Row],[Total Hours Act]]*tbl_Finish[[#This Row],['# of men Act]],"")</f>
        <v/>
      </c>
      <c r="O140"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40" s="71" t="str">
        <f>IFERROR((tbl_Finish[[#This Row],[Adj. Total Hours]]+tbl_Finish[[#This Row],[Est. Hours]])/(tbl_Finish[[#This Row],[Total Hours Act]]+tbl_Finish[[#This Row],[Act. Hours]]),"")</f>
        <v/>
      </c>
      <c r="S140" s="63"/>
      <c r="T140" s="63"/>
      <c r="U140" s="63"/>
      <c r="V140" s="63"/>
      <c r="W140" s="63"/>
    </row>
    <row r="141" spans="6:23" ht="25" customHeight="1">
      <c r="F141" s="53"/>
      <c r="H141" s="55" t="e">
        <f>tbl_Finish[[#This Row],[Qty Complete]]/tbl_Finish[[#This Row],[Qty Required]]</f>
        <v>#DIV/0!</v>
      </c>
      <c r="K141" s="57" t="str">
        <f>IFERROR(tbl_Finish[[#This Row],[Qty Required]]/tbl_Finish[[#This Row],[PPH]]*tbl_Finish[[#This Row],['# of men]],"")</f>
        <v/>
      </c>
      <c r="L141" s="58" t="e">
        <f>tbl_Finish[[#This Row],[Total hours]]*tbl_Finish[[#This Row],[% Complete]]</f>
        <v>#VALUE!</v>
      </c>
      <c r="M141" s="59" t="str">
        <f>IFERROR(tbl_Finish[[#This Row],[Qty Complete]]/tbl_Finish[[#This Row],[Total Hours Act]]*tbl_Finish[[#This Row],['# of men Act]],"")</f>
        <v/>
      </c>
      <c r="O141"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41" s="71" t="str">
        <f>IFERROR((tbl_Finish[[#This Row],[Adj. Total Hours]]+tbl_Finish[[#This Row],[Est. Hours]])/(tbl_Finish[[#This Row],[Total Hours Act]]+tbl_Finish[[#This Row],[Act. Hours]]),"")</f>
        <v/>
      </c>
      <c r="S141" s="63"/>
      <c r="T141" s="63"/>
      <c r="U141" s="63"/>
      <c r="V141" s="63"/>
      <c r="W141" s="63"/>
    </row>
    <row r="142" spans="6:23" ht="25" customHeight="1">
      <c r="F142" s="53"/>
      <c r="H142" s="55" t="e">
        <f>tbl_Finish[[#This Row],[Qty Complete]]/tbl_Finish[[#This Row],[Qty Required]]</f>
        <v>#DIV/0!</v>
      </c>
      <c r="K142" s="57" t="str">
        <f>IFERROR(tbl_Finish[[#This Row],[Qty Required]]/tbl_Finish[[#This Row],[PPH]]*tbl_Finish[[#This Row],['# of men]],"")</f>
        <v/>
      </c>
      <c r="L142" s="58" t="e">
        <f>tbl_Finish[[#This Row],[Total hours]]*tbl_Finish[[#This Row],[% Complete]]</f>
        <v>#VALUE!</v>
      </c>
      <c r="M142" s="59" t="str">
        <f>IFERROR(tbl_Finish[[#This Row],[Qty Complete]]/tbl_Finish[[#This Row],[Total Hours Act]]*tbl_Finish[[#This Row],['# of men Act]],"")</f>
        <v/>
      </c>
      <c r="O142"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42" s="71" t="str">
        <f>IFERROR((tbl_Finish[[#This Row],[Adj. Total Hours]]+tbl_Finish[[#This Row],[Est. Hours]])/(tbl_Finish[[#This Row],[Total Hours Act]]+tbl_Finish[[#This Row],[Act. Hours]]),"")</f>
        <v/>
      </c>
      <c r="S142" s="63"/>
      <c r="T142" s="63"/>
      <c r="U142" s="63"/>
      <c r="V142" s="63"/>
      <c r="W142" s="63"/>
    </row>
    <row r="143" spans="6:23" ht="25" customHeight="1">
      <c r="F143" s="53"/>
      <c r="H143" s="55" t="e">
        <f>tbl_Finish[[#This Row],[Qty Complete]]/tbl_Finish[[#This Row],[Qty Required]]</f>
        <v>#DIV/0!</v>
      </c>
      <c r="K143" s="57" t="str">
        <f>IFERROR(tbl_Finish[[#This Row],[Qty Required]]/tbl_Finish[[#This Row],[PPH]]*tbl_Finish[[#This Row],['# of men]],"")</f>
        <v/>
      </c>
      <c r="L143" s="58" t="e">
        <f>tbl_Finish[[#This Row],[Total hours]]*tbl_Finish[[#This Row],[% Complete]]</f>
        <v>#VALUE!</v>
      </c>
      <c r="M143" s="59" t="str">
        <f>IFERROR(tbl_Finish[[#This Row],[Qty Complete]]/tbl_Finish[[#This Row],[Total Hours Act]]*tbl_Finish[[#This Row],['# of men Act]],"")</f>
        <v/>
      </c>
      <c r="O143"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43" s="71" t="str">
        <f>IFERROR((tbl_Finish[[#This Row],[Adj. Total Hours]]+tbl_Finish[[#This Row],[Est. Hours]])/(tbl_Finish[[#This Row],[Total Hours Act]]+tbl_Finish[[#This Row],[Act. Hours]]),"")</f>
        <v/>
      </c>
      <c r="S143" s="63"/>
      <c r="T143" s="63"/>
      <c r="U143" s="63"/>
      <c r="V143" s="63"/>
      <c r="W143" s="63"/>
    </row>
    <row r="144" spans="6:23" ht="25" customHeight="1">
      <c r="F144" s="53"/>
      <c r="H144" s="55" t="e">
        <f>tbl_Finish[[#This Row],[Qty Complete]]/tbl_Finish[[#This Row],[Qty Required]]</f>
        <v>#DIV/0!</v>
      </c>
      <c r="K144" s="57" t="str">
        <f>IFERROR(tbl_Finish[[#This Row],[Qty Required]]/tbl_Finish[[#This Row],[PPH]]*tbl_Finish[[#This Row],['# of men]],"")</f>
        <v/>
      </c>
      <c r="L144" s="58" t="e">
        <f>tbl_Finish[[#This Row],[Total hours]]*tbl_Finish[[#This Row],[% Complete]]</f>
        <v>#VALUE!</v>
      </c>
      <c r="M144" s="59" t="str">
        <f>IFERROR(tbl_Finish[[#This Row],[Qty Complete]]/tbl_Finish[[#This Row],[Total Hours Act]]*tbl_Finish[[#This Row],['# of men Act]],"")</f>
        <v/>
      </c>
      <c r="O144"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44" s="71" t="str">
        <f>IFERROR((tbl_Finish[[#This Row],[Adj. Total Hours]]+tbl_Finish[[#This Row],[Est. Hours]])/(tbl_Finish[[#This Row],[Total Hours Act]]+tbl_Finish[[#This Row],[Act. Hours]]),"")</f>
        <v/>
      </c>
      <c r="S144" s="63"/>
      <c r="T144" s="63"/>
      <c r="U144" s="63"/>
      <c r="V144" s="63"/>
      <c r="W144" s="63"/>
    </row>
    <row r="145" spans="6:23" ht="25" customHeight="1">
      <c r="F145" s="53"/>
      <c r="H145" s="55" t="e">
        <f>tbl_Finish[[#This Row],[Qty Complete]]/tbl_Finish[[#This Row],[Qty Required]]</f>
        <v>#DIV/0!</v>
      </c>
      <c r="K145" s="57" t="str">
        <f>IFERROR(tbl_Finish[[#This Row],[Qty Required]]/tbl_Finish[[#This Row],[PPH]]*tbl_Finish[[#This Row],['# of men]],"")</f>
        <v/>
      </c>
      <c r="L145" s="58" t="e">
        <f>tbl_Finish[[#This Row],[Total hours]]*tbl_Finish[[#This Row],[% Complete]]</f>
        <v>#VALUE!</v>
      </c>
      <c r="M145" s="59" t="str">
        <f>IFERROR(tbl_Finish[[#This Row],[Qty Complete]]/tbl_Finish[[#This Row],[Total Hours Act]]*tbl_Finish[[#This Row],['# of men Act]],"")</f>
        <v/>
      </c>
      <c r="O145"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45" s="71" t="str">
        <f>IFERROR((tbl_Finish[[#This Row],[Adj. Total Hours]]+tbl_Finish[[#This Row],[Est. Hours]])/(tbl_Finish[[#This Row],[Total Hours Act]]+tbl_Finish[[#This Row],[Act. Hours]]),"")</f>
        <v/>
      </c>
      <c r="S145" s="63"/>
      <c r="T145" s="63"/>
      <c r="U145" s="63"/>
      <c r="V145" s="63"/>
      <c r="W145" s="63"/>
    </row>
    <row r="146" spans="6:23" ht="25" customHeight="1">
      <c r="F146" s="53"/>
      <c r="H146" s="55" t="e">
        <f>tbl_Finish[[#This Row],[Qty Complete]]/tbl_Finish[[#This Row],[Qty Required]]</f>
        <v>#DIV/0!</v>
      </c>
      <c r="K146" s="57" t="str">
        <f>IFERROR(tbl_Finish[[#This Row],[Qty Required]]/tbl_Finish[[#This Row],[PPH]]*tbl_Finish[[#This Row],['# of men]],"")</f>
        <v/>
      </c>
      <c r="L146" s="58" t="e">
        <f>tbl_Finish[[#This Row],[Total hours]]*tbl_Finish[[#This Row],[% Complete]]</f>
        <v>#VALUE!</v>
      </c>
      <c r="M146" s="59" t="str">
        <f>IFERROR(tbl_Finish[[#This Row],[Qty Complete]]/tbl_Finish[[#This Row],[Total Hours Act]]*tbl_Finish[[#This Row],['# of men Act]],"")</f>
        <v/>
      </c>
      <c r="O146"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46" s="71" t="str">
        <f>IFERROR((tbl_Finish[[#This Row],[Adj. Total Hours]]+tbl_Finish[[#This Row],[Est. Hours]])/(tbl_Finish[[#This Row],[Total Hours Act]]+tbl_Finish[[#This Row],[Act. Hours]]),"")</f>
        <v/>
      </c>
      <c r="S146" s="63"/>
      <c r="T146" s="63"/>
      <c r="U146" s="63"/>
      <c r="V146" s="63"/>
      <c r="W146" s="63"/>
    </row>
    <row r="147" spans="6:23" ht="25" customHeight="1">
      <c r="F147" s="53"/>
      <c r="H147" s="55" t="e">
        <f>tbl_Finish[[#This Row],[Qty Complete]]/tbl_Finish[[#This Row],[Qty Required]]</f>
        <v>#DIV/0!</v>
      </c>
      <c r="K147" s="57" t="str">
        <f>IFERROR(tbl_Finish[[#This Row],[Qty Required]]/tbl_Finish[[#This Row],[PPH]]*tbl_Finish[[#This Row],['# of men]],"")</f>
        <v/>
      </c>
      <c r="L147" s="58" t="e">
        <f>tbl_Finish[[#This Row],[Total hours]]*tbl_Finish[[#This Row],[% Complete]]</f>
        <v>#VALUE!</v>
      </c>
      <c r="M147" s="59" t="str">
        <f>IFERROR(tbl_Finish[[#This Row],[Qty Complete]]/tbl_Finish[[#This Row],[Total Hours Act]]*tbl_Finish[[#This Row],['# of men Act]],"")</f>
        <v/>
      </c>
      <c r="O147"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47" s="71" t="str">
        <f>IFERROR((tbl_Finish[[#This Row],[Adj. Total Hours]]+tbl_Finish[[#This Row],[Est. Hours]])/(tbl_Finish[[#This Row],[Total Hours Act]]+tbl_Finish[[#This Row],[Act. Hours]]),"")</f>
        <v/>
      </c>
      <c r="S147" s="63"/>
      <c r="T147" s="63"/>
      <c r="U147" s="63"/>
      <c r="V147" s="63"/>
      <c r="W147" s="63"/>
    </row>
    <row r="148" spans="6:23" ht="25" customHeight="1">
      <c r="F148" s="53"/>
      <c r="H148" s="55" t="e">
        <f>tbl_Finish[[#This Row],[Qty Complete]]/tbl_Finish[[#This Row],[Qty Required]]</f>
        <v>#DIV/0!</v>
      </c>
      <c r="K148" s="57" t="str">
        <f>IFERROR(tbl_Finish[[#This Row],[Qty Required]]/tbl_Finish[[#This Row],[PPH]]*tbl_Finish[[#This Row],['# of men]],"")</f>
        <v/>
      </c>
      <c r="L148" s="58" t="e">
        <f>tbl_Finish[[#This Row],[Total hours]]*tbl_Finish[[#This Row],[% Complete]]</f>
        <v>#VALUE!</v>
      </c>
      <c r="M148" s="59" t="str">
        <f>IFERROR(tbl_Finish[[#This Row],[Qty Complete]]/tbl_Finish[[#This Row],[Total Hours Act]]*tbl_Finish[[#This Row],['# of men Act]],"")</f>
        <v/>
      </c>
      <c r="O148"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48" s="71" t="str">
        <f>IFERROR((tbl_Finish[[#This Row],[Adj. Total Hours]]+tbl_Finish[[#This Row],[Est. Hours]])/(tbl_Finish[[#This Row],[Total Hours Act]]+tbl_Finish[[#This Row],[Act. Hours]]),"")</f>
        <v/>
      </c>
      <c r="S148" s="63"/>
      <c r="T148" s="63"/>
      <c r="U148" s="63"/>
      <c r="V148" s="63"/>
      <c r="W148" s="63"/>
    </row>
    <row r="149" spans="6:23" ht="25" customHeight="1">
      <c r="F149" s="53"/>
      <c r="H149" s="55" t="e">
        <f>tbl_Finish[[#This Row],[Qty Complete]]/tbl_Finish[[#This Row],[Qty Required]]</f>
        <v>#DIV/0!</v>
      </c>
      <c r="K149" s="57" t="str">
        <f>IFERROR(tbl_Finish[[#This Row],[Qty Required]]/tbl_Finish[[#This Row],[PPH]]*tbl_Finish[[#This Row],['# of men]],"")</f>
        <v/>
      </c>
      <c r="L149" s="58" t="e">
        <f>tbl_Finish[[#This Row],[Total hours]]*tbl_Finish[[#This Row],[% Complete]]</f>
        <v>#VALUE!</v>
      </c>
      <c r="M149" s="59" t="str">
        <f>IFERROR(tbl_Finish[[#This Row],[Qty Complete]]/tbl_Finish[[#This Row],[Total Hours Act]]*tbl_Finish[[#This Row],['# of men Act]],"")</f>
        <v/>
      </c>
      <c r="O149"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49" s="71" t="str">
        <f>IFERROR((tbl_Finish[[#This Row],[Adj. Total Hours]]+tbl_Finish[[#This Row],[Est. Hours]])/(tbl_Finish[[#This Row],[Total Hours Act]]+tbl_Finish[[#This Row],[Act. Hours]]),"")</f>
        <v/>
      </c>
      <c r="S149" s="63"/>
      <c r="T149" s="63"/>
      <c r="U149" s="63"/>
      <c r="V149" s="63"/>
      <c r="W149" s="63"/>
    </row>
    <row r="150" spans="6:23" ht="25" customHeight="1">
      <c r="F150" s="53"/>
      <c r="H150" s="55" t="e">
        <f>tbl_Finish[[#This Row],[Qty Complete]]/tbl_Finish[[#This Row],[Qty Required]]</f>
        <v>#DIV/0!</v>
      </c>
      <c r="K150" s="57" t="str">
        <f>IFERROR(tbl_Finish[[#This Row],[Qty Required]]/tbl_Finish[[#This Row],[PPH]]*tbl_Finish[[#This Row],['# of men]],"")</f>
        <v/>
      </c>
      <c r="L150" s="58" t="e">
        <f>tbl_Finish[[#This Row],[Total hours]]*tbl_Finish[[#This Row],[% Complete]]</f>
        <v>#VALUE!</v>
      </c>
      <c r="M150" s="59" t="str">
        <f>IFERROR(tbl_Finish[[#This Row],[Qty Complete]]/tbl_Finish[[#This Row],[Total Hours Act]]*tbl_Finish[[#This Row],['# of men Act]],"")</f>
        <v/>
      </c>
      <c r="O150"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50" s="71" t="str">
        <f>IFERROR((tbl_Finish[[#This Row],[Adj. Total Hours]]+tbl_Finish[[#This Row],[Est. Hours]])/(tbl_Finish[[#This Row],[Total Hours Act]]+tbl_Finish[[#This Row],[Act. Hours]]),"")</f>
        <v/>
      </c>
      <c r="S150" s="63"/>
      <c r="T150" s="63"/>
      <c r="U150" s="63"/>
      <c r="V150" s="63"/>
      <c r="W150" s="63"/>
    </row>
    <row r="151" spans="6:23" ht="25" customHeight="1">
      <c r="F151" s="53"/>
      <c r="H151" s="55" t="e">
        <f>tbl_Finish[[#This Row],[Qty Complete]]/tbl_Finish[[#This Row],[Qty Required]]</f>
        <v>#DIV/0!</v>
      </c>
      <c r="K151" s="57" t="str">
        <f>IFERROR(tbl_Finish[[#This Row],[Qty Required]]/tbl_Finish[[#This Row],[PPH]]*tbl_Finish[[#This Row],['# of men]],"")</f>
        <v/>
      </c>
      <c r="L151" s="58" t="e">
        <f>tbl_Finish[[#This Row],[Total hours]]*tbl_Finish[[#This Row],[% Complete]]</f>
        <v>#VALUE!</v>
      </c>
      <c r="M151" s="59" t="str">
        <f>IFERROR(tbl_Finish[[#This Row],[Qty Complete]]/tbl_Finish[[#This Row],[Total Hours Act]]*tbl_Finish[[#This Row],['# of men Act]],"")</f>
        <v/>
      </c>
      <c r="O151"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51" s="71" t="str">
        <f>IFERROR((tbl_Finish[[#This Row],[Adj. Total Hours]]+tbl_Finish[[#This Row],[Est. Hours]])/(tbl_Finish[[#This Row],[Total Hours Act]]+tbl_Finish[[#This Row],[Act. Hours]]),"")</f>
        <v/>
      </c>
      <c r="S151" s="63"/>
      <c r="T151" s="63"/>
      <c r="U151" s="63"/>
      <c r="V151" s="63"/>
      <c r="W151" s="63"/>
    </row>
    <row r="152" spans="6:23" ht="25" customHeight="1">
      <c r="F152" s="53"/>
      <c r="H152" s="55" t="e">
        <f>tbl_Finish[[#This Row],[Qty Complete]]/tbl_Finish[[#This Row],[Qty Required]]</f>
        <v>#DIV/0!</v>
      </c>
      <c r="K152" s="57" t="str">
        <f>IFERROR(tbl_Finish[[#This Row],[Qty Required]]/tbl_Finish[[#This Row],[PPH]]*tbl_Finish[[#This Row],['# of men]],"")</f>
        <v/>
      </c>
      <c r="L152" s="58" t="e">
        <f>tbl_Finish[[#This Row],[Total hours]]*tbl_Finish[[#This Row],[% Complete]]</f>
        <v>#VALUE!</v>
      </c>
      <c r="M152" s="59" t="str">
        <f>IFERROR(tbl_Finish[[#This Row],[Qty Complete]]/tbl_Finish[[#This Row],[Total Hours Act]]*tbl_Finish[[#This Row],['# of men Act]],"")</f>
        <v/>
      </c>
      <c r="O152"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52" s="71" t="str">
        <f>IFERROR((tbl_Finish[[#This Row],[Adj. Total Hours]]+tbl_Finish[[#This Row],[Est. Hours]])/(tbl_Finish[[#This Row],[Total Hours Act]]+tbl_Finish[[#This Row],[Act. Hours]]),"")</f>
        <v/>
      </c>
      <c r="S152" s="63"/>
      <c r="T152" s="63"/>
      <c r="U152" s="63"/>
      <c r="V152" s="63"/>
      <c r="W152" s="63"/>
    </row>
    <row r="153" spans="6:23" ht="25" customHeight="1">
      <c r="F153" s="53"/>
      <c r="H153" s="55" t="e">
        <f>tbl_Finish[[#This Row],[Qty Complete]]/tbl_Finish[[#This Row],[Qty Required]]</f>
        <v>#DIV/0!</v>
      </c>
      <c r="K153" s="57" t="str">
        <f>IFERROR(tbl_Finish[[#This Row],[Qty Required]]/tbl_Finish[[#This Row],[PPH]]*tbl_Finish[[#This Row],['# of men]],"")</f>
        <v/>
      </c>
      <c r="L153" s="58" t="e">
        <f>tbl_Finish[[#This Row],[Total hours]]*tbl_Finish[[#This Row],[% Complete]]</f>
        <v>#VALUE!</v>
      </c>
      <c r="M153" s="59" t="str">
        <f>IFERROR(tbl_Finish[[#This Row],[Qty Complete]]/tbl_Finish[[#This Row],[Total Hours Act]]*tbl_Finish[[#This Row],['# of men Act]],"")</f>
        <v/>
      </c>
      <c r="O153"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53" s="71" t="str">
        <f>IFERROR((tbl_Finish[[#This Row],[Adj. Total Hours]]+tbl_Finish[[#This Row],[Est. Hours]])/(tbl_Finish[[#This Row],[Total Hours Act]]+tbl_Finish[[#This Row],[Act. Hours]]),"")</f>
        <v/>
      </c>
      <c r="S153" s="63"/>
      <c r="T153" s="63"/>
      <c r="U153" s="63"/>
      <c r="V153" s="63"/>
      <c r="W153" s="63"/>
    </row>
    <row r="154" spans="6:23" ht="25" customHeight="1">
      <c r="F154" s="53"/>
      <c r="H154" s="55" t="e">
        <f>tbl_Finish[[#This Row],[Qty Complete]]/tbl_Finish[[#This Row],[Qty Required]]</f>
        <v>#DIV/0!</v>
      </c>
      <c r="K154" s="57" t="str">
        <f>IFERROR(tbl_Finish[[#This Row],[Qty Required]]/tbl_Finish[[#This Row],[PPH]]*tbl_Finish[[#This Row],['# of men]],"")</f>
        <v/>
      </c>
      <c r="L154" s="58" t="e">
        <f>tbl_Finish[[#This Row],[Total hours]]*tbl_Finish[[#This Row],[% Complete]]</f>
        <v>#VALUE!</v>
      </c>
      <c r="M154" s="59" t="str">
        <f>IFERROR(tbl_Finish[[#This Row],[Qty Complete]]/tbl_Finish[[#This Row],[Total Hours Act]]*tbl_Finish[[#This Row],['# of men Act]],"")</f>
        <v/>
      </c>
      <c r="O154"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54" s="71" t="str">
        <f>IFERROR((tbl_Finish[[#This Row],[Adj. Total Hours]]+tbl_Finish[[#This Row],[Est. Hours]])/(tbl_Finish[[#This Row],[Total Hours Act]]+tbl_Finish[[#This Row],[Act. Hours]]),"")</f>
        <v/>
      </c>
      <c r="S154" s="63"/>
      <c r="T154" s="63"/>
      <c r="U154" s="63"/>
      <c r="V154" s="63"/>
      <c r="W154" s="63"/>
    </row>
    <row r="155" spans="6:23" ht="25" customHeight="1">
      <c r="F155" s="53"/>
      <c r="H155" s="55" t="e">
        <f>tbl_Finish[[#This Row],[Qty Complete]]/tbl_Finish[[#This Row],[Qty Required]]</f>
        <v>#DIV/0!</v>
      </c>
      <c r="K155" s="57" t="str">
        <f>IFERROR(tbl_Finish[[#This Row],[Qty Required]]/tbl_Finish[[#This Row],[PPH]]*tbl_Finish[[#This Row],['# of men]],"")</f>
        <v/>
      </c>
      <c r="L155" s="58" t="e">
        <f>tbl_Finish[[#This Row],[Total hours]]*tbl_Finish[[#This Row],[% Complete]]</f>
        <v>#VALUE!</v>
      </c>
      <c r="M155" s="59" t="str">
        <f>IFERROR(tbl_Finish[[#This Row],[Qty Complete]]/tbl_Finish[[#This Row],[Total Hours Act]]*tbl_Finish[[#This Row],['# of men Act]],"")</f>
        <v/>
      </c>
      <c r="O155"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55" s="71" t="str">
        <f>IFERROR((tbl_Finish[[#This Row],[Adj. Total Hours]]+tbl_Finish[[#This Row],[Est. Hours]])/(tbl_Finish[[#This Row],[Total Hours Act]]+tbl_Finish[[#This Row],[Act. Hours]]),"")</f>
        <v/>
      </c>
      <c r="S155" s="63"/>
      <c r="T155" s="63"/>
      <c r="U155" s="63"/>
      <c r="V155" s="63"/>
      <c r="W155" s="63"/>
    </row>
    <row r="156" spans="6:23" ht="25" customHeight="1">
      <c r="F156" s="53"/>
      <c r="H156" s="55" t="e">
        <f>tbl_Finish[[#This Row],[Qty Complete]]/tbl_Finish[[#This Row],[Qty Required]]</f>
        <v>#DIV/0!</v>
      </c>
      <c r="K156" s="57" t="str">
        <f>IFERROR(tbl_Finish[[#This Row],[Qty Required]]/tbl_Finish[[#This Row],[PPH]]*tbl_Finish[[#This Row],['# of men]],"")</f>
        <v/>
      </c>
      <c r="L156" s="58" t="e">
        <f>tbl_Finish[[#This Row],[Total hours]]*tbl_Finish[[#This Row],[% Complete]]</f>
        <v>#VALUE!</v>
      </c>
      <c r="M156" s="59" t="str">
        <f>IFERROR(tbl_Finish[[#This Row],[Qty Complete]]/tbl_Finish[[#This Row],[Total Hours Act]]*tbl_Finish[[#This Row],['# of men Act]],"")</f>
        <v/>
      </c>
      <c r="O156"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56" s="71" t="str">
        <f>IFERROR((tbl_Finish[[#This Row],[Adj. Total Hours]]+tbl_Finish[[#This Row],[Est. Hours]])/(tbl_Finish[[#This Row],[Total Hours Act]]+tbl_Finish[[#This Row],[Act. Hours]]),"")</f>
        <v/>
      </c>
      <c r="S156" s="63"/>
      <c r="T156" s="63"/>
      <c r="U156" s="63"/>
      <c r="V156" s="63"/>
      <c r="W156" s="63"/>
    </row>
    <row r="157" spans="6:23" ht="25" customHeight="1">
      <c r="F157" s="53"/>
      <c r="H157" s="55" t="e">
        <f>tbl_Finish[[#This Row],[Qty Complete]]/tbl_Finish[[#This Row],[Qty Required]]</f>
        <v>#DIV/0!</v>
      </c>
      <c r="K157" s="57" t="str">
        <f>IFERROR(tbl_Finish[[#This Row],[Qty Required]]/tbl_Finish[[#This Row],[PPH]]*tbl_Finish[[#This Row],['# of men]],"")</f>
        <v/>
      </c>
      <c r="L157" s="58" t="e">
        <f>tbl_Finish[[#This Row],[Total hours]]*tbl_Finish[[#This Row],[% Complete]]</f>
        <v>#VALUE!</v>
      </c>
      <c r="M157" s="59" t="str">
        <f>IFERROR(tbl_Finish[[#This Row],[Qty Complete]]/tbl_Finish[[#This Row],[Total Hours Act]]*tbl_Finish[[#This Row],['# of men Act]],"")</f>
        <v/>
      </c>
      <c r="O157"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57" s="71" t="str">
        <f>IFERROR((tbl_Finish[[#This Row],[Adj. Total Hours]]+tbl_Finish[[#This Row],[Est. Hours]])/(tbl_Finish[[#This Row],[Total Hours Act]]+tbl_Finish[[#This Row],[Act. Hours]]),"")</f>
        <v/>
      </c>
      <c r="S157" s="63"/>
      <c r="T157" s="63"/>
      <c r="U157" s="63"/>
      <c r="V157" s="63"/>
      <c r="W157" s="63"/>
    </row>
    <row r="158" spans="6:23" ht="25" customHeight="1">
      <c r="F158" s="53"/>
      <c r="H158" s="55" t="e">
        <f>tbl_Finish[[#This Row],[Qty Complete]]/tbl_Finish[[#This Row],[Qty Required]]</f>
        <v>#DIV/0!</v>
      </c>
      <c r="K158" s="57" t="str">
        <f>IFERROR(tbl_Finish[[#This Row],[Qty Required]]/tbl_Finish[[#This Row],[PPH]]*tbl_Finish[[#This Row],['# of men]],"")</f>
        <v/>
      </c>
      <c r="L158" s="58" t="e">
        <f>tbl_Finish[[#This Row],[Total hours]]*tbl_Finish[[#This Row],[% Complete]]</f>
        <v>#VALUE!</v>
      </c>
      <c r="M158" s="59" t="str">
        <f>IFERROR(tbl_Finish[[#This Row],[Qty Complete]]/tbl_Finish[[#This Row],[Total Hours Act]]*tbl_Finish[[#This Row],['# of men Act]],"")</f>
        <v/>
      </c>
      <c r="O158"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58" s="71" t="str">
        <f>IFERROR((tbl_Finish[[#This Row],[Adj. Total Hours]]+tbl_Finish[[#This Row],[Est. Hours]])/(tbl_Finish[[#This Row],[Total Hours Act]]+tbl_Finish[[#This Row],[Act. Hours]]),"")</f>
        <v/>
      </c>
      <c r="S158" s="63"/>
      <c r="T158" s="63"/>
      <c r="U158" s="63"/>
      <c r="V158" s="63"/>
      <c r="W158" s="63"/>
    </row>
    <row r="159" spans="6:23" ht="25" customHeight="1">
      <c r="F159" s="53"/>
      <c r="H159" s="55" t="e">
        <f>tbl_Finish[[#This Row],[Qty Complete]]/tbl_Finish[[#This Row],[Qty Required]]</f>
        <v>#DIV/0!</v>
      </c>
      <c r="K159" s="57" t="str">
        <f>IFERROR(tbl_Finish[[#This Row],[Qty Required]]/tbl_Finish[[#This Row],[PPH]]*tbl_Finish[[#This Row],['# of men]],"")</f>
        <v/>
      </c>
      <c r="L159" s="58" t="e">
        <f>tbl_Finish[[#This Row],[Total hours]]*tbl_Finish[[#This Row],[% Complete]]</f>
        <v>#VALUE!</v>
      </c>
      <c r="M159" s="59" t="str">
        <f>IFERROR(tbl_Finish[[#This Row],[Qty Complete]]/tbl_Finish[[#This Row],[Total Hours Act]]*tbl_Finish[[#This Row],['# of men Act]],"")</f>
        <v/>
      </c>
      <c r="O159"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59" s="71" t="str">
        <f>IFERROR((tbl_Finish[[#This Row],[Adj. Total Hours]]+tbl_Finish[[#This Row],[Est. Hours]])/(tbl_Finish[[#This Row],[Total Hours Act]]+tbl_Finish[[#This Row],[Act. Hours]]),"")</f>
        <v/>
      </c>
      <c r="S159" s="63"/>
      <c r="T159" s="63"/>
      <c r="U159" s="63"/>
      <c r="V159" s="63"/>
      <c r="W159" s="63"/>
    </row>
    <row r="160" spans="6:23" ht="25" customHeight="1">
      <c r="F160" s="53"/>
      <c r="H160" s="55" t="e">
        <f>tbl_Finish[[#This Row],[Qty Complete]]/tbl_Finish[[#This Row],[Qty Required]]</f>
        <v>#DIV/0!</v>
      </c>
      <c r="K160" s="57" t="str">
        <f>IFERROR(tbl_Finish[[#This Row],[Qty Required]]/tbl_Finish[[#This Row],[PPH]]*tbl_Finish[[#This Row],['# of men]],"")</f>
        <v/>
      </c>
      <c r="L160" s="58" t="e">
        <f>tbl_Finish[[#This Row],[Total hours]]*tbl_Finish[[#This Row],[% Complete]]</f>
        <v>#VALUE!</v>
      </c>
      <c r="M160" s="59" t="str">
        <f>IFERROR(tbl_Finish[[#This Row],[Qty Complete]]/tbl_Finish[[#This Row],[Total Hours Act]]*tbl_Finish[[#This Row],['# of men Act]],"")</f>
        <v/>
      </c>
      <c r="O160"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60" s="71" t="str">
        <f>IFERROR((tbl_Finish[[#This Row],[Adj. Total Hours]]+tbl_Finish[[#This Row],[Est. Hours]])/(tbl_Finish[[#This Row],[Total Hours Act]]+tbl_Finish[[#This Row],[Act. Hours]]),"")</f>
        <v/>
      </c>
      <c r="S160" s="63"/>
      <c r="T160" s="63"/>
      <c r="U160" s="63"/>
      <c r="V160" s="63"/>
      <c r="W160" s="63"/>
    </row>
    <row r="161" spans="6:23" ht="25" customHeight="1">
      <c r="F161" s="53"/>
      <c r="H161" s="55" t="e">
        <f>tbl_Finish[[#This Row],[Qty Complete]]/tbl_Finish[[#This Row],[Qty Required]]</f>
        <v>#DIV/0!</v>
      </c>
      <c r="K161" s="57" t="str">
        <f>IFERROR(tbl_Finish[[#This Row],[Qty Required]]/tbl_Finish[[#This Row],[PPH]]*tbl_Finish[[#This Row],['# of men]],"")</f>
        <v/>
      </c>
      <c r="L161" s="58" t="e">
        <f>tbl_Finish[[#This Row],[Total hours]]*tbl_Finish[[#This Row],[% Complete]]</f>
        <v>#VALUE!</v>
      </c>
      <c r="M161" s="59" t="str">
        <f>IFERROR(tbl_Finish[[#This Row],[Qty Complete]]/tbl_Finish[[#This Row],[Total Hours Act]]*tbl_Finish[[#This Row],['# of men Act]],"")</f>
        <v/>
      </c>
      <c r="O161"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61" s="71" t="str">
        <f>IFERROR((tbl_Finish[[#This Row],[Adj. Total Hours]]+tbl_Finish[[#This Row],[Est. Hours]])/(tbl_Finish[[#This Row],[Total Hours Act]]+tbl_Finish[[#This Row],[Act. Hours]]),"")</f>
        <v/>
      </c>
      <c r="S161" s="63"/>
      <c r="T161" s="63"/>
      <c r="U161" s="63"/>
      <c r="V161" s="63"/>
      <c r="W161" s="63"/>
    </row>
    <row r="162" spans="6:23" ht="25" customHeight="1">
      <c r="F162" s="53"/>
      <c r="H162" s="55" t="e">
        <f>tbl_Finish[[#This Row],[Qty Complete]]/tbl_Finish[[#This Row],[Qty Required]]</f>
        <v>#DIV/0!</v>
      </c>
      <c r="K162" s="57" t="str">
        <f>IFERROR(tbl_Finish[[#This Row],[Qty Required]]/tbl_Finish[[#This Row],[PPH]]*tbl_Finish[[#This Row],['# of men]],"")</f>
        <v/>
      </c>
      <c r="L162" s="58" t="e">
        <f>tbl_Finish[[#This Row],[Total hours]]*tbl_Finish[[#This Row],[% Complete]]</f>
        <v>#VALUE!</v>
      </c>
      <c r="M162" s="59" t="str">
        <f>IFERROR(tbl_Finish[[#This Row],[Qty Complete]]/tbl_Finish[[#This Row],[Total Hours Act]]*tbl_Finish[[#This Row],['# of men Act]],"")</f>
        <v/>
      </c>
      <c r="O162"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62" s="71" t="str">
        <f>IFERROR((tbl_Finish[[#This Row],[Adj. Total Hours]]+tbl_Finish[[#This Row],[Est. Hours]])/(tbl_Finish[[#This Row],[Total Hours Act]]+tbl_Finish[[#This Row],[Act. Hours]]),"")</f>
        <v/>
      </c>
      <c r="S162" s="63"/>
      <c r="T162" s="63"/>
      <c r="U162" s="63"/>
      <c r="V162" s="63"/>
      <c r="W162" s="63"/>
    </row>
    <row r="163" spans="6:23" ht="25" customHeight="1">
      <c r="F163" s="53"/>
      <c r="H163" s="55" t="e">
        <f>tbl_Finish[[#This Row],[Qty Complete]]/tbl_Finish[[#This Row],[Qty Required]]</f>
        <v>#DIV/0!</v>
      </c>
      <c r="K163" s="57" t="str">
        <f>IFERROR(tbl_Finish[[#This Row],[Qty Required]]/tbl_Finish[[#This Row],[PPH]]*tbl_Finish[[#This Row],['# of men]],"")</f>
        <v/>
      </c>
      <c r="L163" s="58" t="e">
        <f>tbl_Finish[[#This Row],[Total hours]]*tbl_Finish[[#This Row],[% Complete]]</f>
        <v>#VALUE!</v>
      </c>
      <c r="M163" s="59" t="str">
        <f>IFERROR(tbl_Finish[[#This Row],[Qty Complete]]/tbl_Finish[[#This Row],[Total Hours Act]]*tbl_Finish[[#This Row],['# of men Act]],"")</f>
        <v/>
      </c>
      <c r="O163"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63" s="71" t="str">
        <f>IFERROR((tbl_Finish[[#This Row],[Adj. Total Hours]]+tbl_Finish[[#This Row],[Est. Hours]])/(tbl_Finish[[#This Row],[Total Hours Act]]+tbl_Finish[[#This Row],[Act. Hours]]),"")</f>
        <v/>
      </c>
      <c r="S163" s="63"/>
      <c r="T163" s="63"/>
      <c r="U163" s="63"/>
      <c r="V163" s="63"/>
      <c r="W163" s="63"/>
    </row>
    <row r="164" spans="6:23" ht="25" customHeight="1">
      <c r="F164" s="53"/>
      <c r="H164" s="55" t="e">
        <f>tbl_Finish[[#This Row],[Qty Complete]]/tbl_Finish[[#This Row],[Qty Required]]</f>
        <v>#DIV/0!</v>
      </c>
      <c r="K164" s="57" t="str">
        <f>IFERROR(tbl_Finish[[#This Row],[Qty Required]]/tbl_Finish[[#This Row],[PPH]]*tbl_Finish[[#This Row],['# of men]],"")</f>
        <v/>
      </c>
      <c r="L164" s="58" t="e">
        <f>tbl_Finish[[#This Row],[Total hours]]*tbl_Finish[[#This Row],[% Complete]]</f>
        <v>#VALUE!</v>
      </c>
      <c r="M164" s="59" t="str">
        <f>IFERROR(tbl_Finish[[#This Row],[Qty Complete]]/tbl_Finish[[#This Row],[Total Hours Act]]*tbl_Finish[[#This Row],['# of men Act]],"")</f>
        <v/>
      </c>
      <c r="O164"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64" s="71" t="str">
        <f>IFERROR((tbl_Finish[[#This Row],[Adj. Total Hours]]+tbl_Finish[[#This Row],[Est. Hours]])/(tbl_Finish[[#This Row],[Total Hours Act]]+tbl_Finish[[#This Row],[Act. Hours]]),"")</f>
        <v/>
      </c>
      <c r="S164" s="63"/>
      <c r="T164" s="63"/>
      <c r="U164" s="63"/>
      <c r="V164" s="63"/>
      <c r="W164" s="63"/>
    </row>
    <row r="165" spans="6:23" ht="25" customHeight="1">
      <c r="F165" s="53"/>
      <c r="H165" s="55" t="e">
        <f>tbl_Finish[[#This Row],[Qty Complete]]/tbl_Finish[[#This Row],[Qty Required]]</f>
        <v>#DIV/0!</v>
      </c>
      <c r="K165" s="57" t="str">
        <f>IFERROR(tbl_Finish[[#This Row],[Qty Required]]/tbl_Finish[[#This Row],[PPH]]*tbl_Finish[[#This Row],['# of men]],"")</f>
        <v/>
      </c>
      <c r="L165" s="58" t="e">
        <f>tbl_Finish[[#This Row],[Total hours]]*tbl_Finish[[#This Row],[% Complete]]</f>
        <v>#VALUE!</v>
      </c>
      <c r="M165" s="59" t="str">
        <f>IFERROR(tbl_Finish[[#This Row],[Qty Complete]]/tbl_Finish[[#This Row],[Total Hours Act]]*tbl_Finish[[#This Row],['# of men Act]],"")</f>
        <v/>
      </c>
      <c r="O165"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65" s="71" t="str">
        <f>IFERROR((tbl_Finish[[#This Row],[Adj. Total Hours]]+tbl_Finish[[#This Row],[Est. Hours]])/(tbl_Finish[[#This Row],[Total Hours Act]]+tbl_Finish[[#This Row],[Act. Hours]]),"")</f>
        <v/>
      </c>
      <c r="S165" s="63"/>
      <c r="T165" s="63"/>
      <c r="U165" s="63"/>
      <c r="V165" s="63"/>
      <c r="W165" s="63"/>
    </row>
    <row r="166" spans="6:23" ht="25" customHeight="1">
      <c r="F166" s="53"/>
      <c r="H166" s="55" t="e">
        <f>tbl_Finish[[#This Row],[Qty Complete]]/tbl_Finish[[#This Row],[Qty Required]]</f>
        <v>#DIV/0!</v>
      </c>
      <c r="K166" s="57" t="str">
        <f>IFERROR(tbl_Finish[[#This Row],[Qty Required]]/tbl_Finish[[#This Row],[PPH]]*tbl_Finish[[#This Row],['# of men]],"")</f>
        <v/>
      </c>
      <c r="L166" s="58" t="e">
        <f>tbl_Finish[[#This Row],[Total hours]]*tbl_Finish[[#This Row],[% Complete]]</f>
        <v>#VALUE!</v>
      </c>
      <c r="M166" s="59" t="str">
        <f>IFERROR(tbl_Finish[[#This Row],[Qty Complete]]/tbl_Finish[[#This Row],[Total Hours Act]]*tbl_Finish[[#This Row],['# of men Act]],"")</f>
        <v/>
      </c>
      <c r="O166"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66" s="71" t="str">
        <f>IFERROR((tbl_Finish[[#This Row],[Adj. Total Hours]]+tbl_Finish[[#This Row],[Est. Hours]])/(tbl_Finish[[#This Row],[Total Hours Act]]+tbl_Finish[[#This Row],[Act. Hours]]),"")</f>
        <v/>
      </c>
      <c r="S166" s="63"/>
      <c r="T166" s="63"/>
      <c r="U166" s="63"/>
      <c r="V166" s="63"/>
      <c r="W166" s="63"/>
    </row>
    <row r="167" spans="6:23" ht="25" customHeight="1">
      <c r="F167" s="53"/>
      <c r="H167" s="55" t="e">
        <f>tbl_Finish[[#This Row],[Qty Complete]]/tbl_Finish[[#This Row],[Qty Required]]</f>
        <v>#DIV/0!</v>
      </c>
      <c r="K167" s="57" t="str">
        <f>IFERROR(tbl_Finish[[#This Row],[Qty Required]]/tbl_Finish[[#This Row],[PPH]]*tbl_Finish[[#This Row],['# of men]],"")</f>
        <v/>
      </c>
      <c r="L167" s="58" t="e">
        <f>tbl_Finish[[#This Row],[Total hours]]*tbl_Finish[[#This Row],[% Complete]]</f>
        <v>#VALUE!</v>
      </c>
      <c r="M167" s="59" t="str">
        <f>IFERROR(tbl_Finish[[#This Row],[Qty Complete]]/tbl_Finish[[#This Row],[Total Hours Act]]*tbl_Finish[[#This Row],['# of men Act]],"")</f>
        <v/>
      </c>
      <c r="O167"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67" s="71" t="str">
        <f>IFERROR((tbl_Finish[[#This Row],[Adj. Total Hours]]+tbl_Finish[[#This Row],[Est. Hours]])/(tbl_Finish[[#This Row],[Total Hours Act]]+tbl_Finish[[#This Row],[Act. Hours]]),"")</f>
        <v/>
      </c>
      <c r="S167" s="63"/>
      <c r="T167" s="63"/>
      <c r="U167" s="63"/>
      <c r="V167" s="63"/>
      <c r="W167" s="63"/>
    </row>
    <row r="168" spans="6:23" ht="25" customHeight="1">
      <c r="F168" s="53"/>
      <c r="H168" s="55" t="e">
        <f>tbl_Finish[[#This Row],[Qty Complete]]/tbl_Finish[[#This Row],[Qty Required]]</f>
        <v>#DIV/0!</v>
      </c>
      <c r="K168" s="57" t="str">
        <f>IFERROR(tbl_Finish[[#This Row],[Qty Required]]/tbl_Finish[[#This Row],[PPH]]*tbl_Finish[[#This Row],['# of men]],"")</f>
        <v/>
      </c>
      <c r="L168" s="58" t="e">
        <f>tbl_Finish[[#This Row],[Total hours]]*tbl_Finish[[#This Row],[% Complete]]</f>
        <v>#VALUE!</v>
      </c>
      <c r="M168" s="59" t="str">
        <f>IFERROR(tbl_Finish[[#This Row],[Qty Complete]]/tbl_Finish[[#This Row],[Total Hours Act]]*tbl_Finish[[#This Row],['# of men Act]],"")</f>
        <v/>
      </c>
      <c r="O168"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68" s="71" t="str">
        <f>IFERROR((tbl_Finish[[#This Row],[Adj. Total Hours]]+tbl_Finish[[#This Row],[Est. Hours]])/(tbl_Finish[[#This Row],[Total Hours Act]]+tbl_Finish[[#This Row],[Act. Hours]]),"")</f>
        <v/>
      </c>
      <c r="S168" s="63"/>
      <c r="T168" s="63"/>
      <c r="U168" s="63"/>
      <c r="V168" s="63"/>
      <c r="W168" s="63"/>
    </row>
    <row r="169" spans="6:23" ht="25" customHeight="1">
      <c r="F169" s="53"/>
      <c r="H169" s="55" t="e">
        <f>tbl_Finish[[#This Row],[Qty Complete]]/tbl_Finish[[#This Row],[Qty Required]]</f>
        <v>#DIV/0!</v>
      </c>
      <c r="K169" s="57" t="str">
        <f>IFERROR(tbl_Finish[[#This Row],[Qty Required]]/tbl_Finish[[#This Row],[PPH]]*tbl_Finish[[#This Row],['# of men]],"")</f>
        <v/>
      </c>
      <c r="L169" s="58" t="e">
        <f>tbl_Finish[[#This Row],[Total hours]]*tbl_Finish[[#This Row],[% Complete]]</f>
        <v>#VALUE!</v>
      </c>
      <c r="M169" s="59" t="str">
        <f>IFERROR(tbl_Finish[[#This Row],[Qty Complete]]/tbl_Finish[[#This Row],[Total Hours Act]]*tbl_Finish[[#This Row],['# of men Act]],"")</f>
        <v/>
      </c>
      <c r="O169"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69" s="71" t="str">
        <f>IFERROR((tbl_Finish[[#This Row],[Adj. Total Hours]]+tbl_Finish[[#This Row],[Est. Hours]])/(tbl_Finish[[#This Row],[Total Hours Act]]+tbl_Finish[[#This Row],[Act. Hours]]),"")</f>
        <v/>
      </c>
      <c r="S169" s="63"/>
      <c r="T169" s="63"/>
      <c r="U169" s="63"/>
      <c r="V169" s="63"/>
      <c r="W169" s="63"/>
    </row>
    <row r="170" spans="6:23" ht="25" customHeight="1">
      <c r="F170" s="53"/>
      <c r="H170" s="55" t="e">
        <f>tbl_Finish[[#This Row],[Qty Complete]]/tbl_Finish[[#This Row],[Qty Required]]</f>
        <v>#DIV/0!</v>
      </c>
      <c r="K170" s="57" t="str">
        <f>IFERROR(tbl_Finish[[#This Row],[Qty Required]]/tbl_Finish[[#This Row],[PPH]]*tbl_Finish[[#This Row],['# of men]],"")</f>
        <v/>
      </c>
      <c r="L170" s="58" t="e">
        <f>tbl_Finish[[#This Row],[Total hours]]*tbl_Finish[[#This Row],[% Complete]]</f>
        <v>#VALUE!</v>
      </c>
      <c r="M170" s="59" t="str">
        <f>IFERROR(tbl_Finish[[#This Row],[Qty Complete]]/tbl_Finish[[#This Row],[Total Hours Act]]*tbl_Finish[[#This Row],['# of men Act]],"")</f>
        <v/>
      </c>
      <c r="O170"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70" s="71" t="str">
        <f>IFERROR((tbl_Finish[[#This Row],[Adj. Total Hours]]+tbl_Finish[[#This Row],[Est. Hours]])/(tbl_Finish[[#This Row],[Total Hours Act]]+tbl_Finish[[#This Row],[Act. Hours]]),"")</f>
        <v/>
      </c>
      <c r="S170" s="63"/>
      <c r="T170" s="63"/>
      <c r="U170" s="63"/>
      <c r="V170" s="63"/>
      <c r="W170" s="63"/>
    </row>
    <row r="171" spans="6:23" ht="25" customHeight="1">
      <c r="F171" s="53"/>
      <c r="H171" s="55" t="e">
        <f>tbl_Finish[[#This Row],[Qty Complete]]/tbl_Finish[[#This Row],[Qty Required]]</f>
        <v>#DIV/0!</v>
      </c>
      <c r="K171" s="57" t="str">
        <f>IFERROR(tbl_Finish[[#This Row],[Qty Required]]/tbl_Finish[[#This Row],[PPH]]*tbl_Finish[[#This Row],['# of men]],"")</f>
        <v/>
      </c>
      <c r="L171" s="58" t="e">
        <f>tbl_Finish[[#This Row],[Total hours]]*tbl_Finish[[#This Row],[% Complete]]</f>
        <v>#VALUE!</v>
      </c>
      <c r="M171" s="59" t="str">
        <f>IFERROR(tbl_Finish[[#This Row],[Qty Complete]]/tbl_Finish[[#This Row],[Total Hours Act]]*tbl_Finish[[#This Row],['# of men Act]],"")</f>
        <v/>
      </c>
      <c r="O171"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71" s="71" t="str">
        <f>IFERROR((tbl_Finish[[#This Row],[Adj. Total Hours]]+tbl_Finish[[#This Row],[Est. Hours]])/(tbl_Finish[[#This Row],[Total Hours Act]]+tbl_Finish[[#This Row],[Act. Hours]]),"")</f>
        <v/>
      </c>
      <c r="S171" s="63"/>
      <c r="T171" s="63"/>
      <c r="U171" s="63"/>
      <c r="V171" s="63"/>
      <c r="W171" s="63"/>
    </row>
    <row r="172" spans="6:23" ht="25" customHeight="1">
      <c r="F172" s="53"/>
      <c r="H172" s="55" t="e">
        <f>tbl_Finish[[#This Row],[Qty Complete]]/tbl_Finish[[#This Row],[Qty Required]]</f>
        <v>#DIV/0!</v>
      </c>
      <c r="K172" s="57" t="str">
        <f>IFERROR(tbl_Finish[[#This Row],[Qty Required]]/tbl_Finish[[#This Row],[PPH]]*tbl_Finish[[#This Row],['# of men]],"")</f>
        <v/>
      </c>
      <c r="L172" s="58" t="e">
        <f>tbl_Finish[[#This Row],[Total hours]]*tbl_Finish[[#This Row],[% Complete]]</f>
        <v>#VALUE!</v>
      </c>
      <c r="M172" s="59" t="str">
        <f>IFERROR(tbl_Finish[[#This Row],[Qty Complete]]/tbl_Finish[[#This Row],[Total Hours Act]]*tbl_Finish[[#This Row],['# of men Act]],"")</f>
        <v/>
      </c>
      <c r="O172"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72" s="71" t="str">
        <f>IFERROR((tbl_Finish[[#This Row],[Adj. Total Hours]]+tbl_Finish[[#This Row],[Est. Hours]])/(tbl_Finish[[#This Row],[Total Hours Act]]+tbl_Finish[[#This Row],[Act. Hours]]),"")</f>
        <v/>
      </c>
      <c r="S172" s="63"/>
      <c r="T172" s="63"/>
      <c r="U172" s="63"/>
      <c r="V172" s="63"/>
      <c r="W172" s="63"/>
    </row>
    <row r="173" spans="6:23" ht="25" customHeight="1">
      <c r="F173" s="53"/>
      <c r="H173" s="55" t="e">
        <f>tbl_Finish[[#This Row],[Qty Complete]]/tbl_Finish[[#This Row],[Qty Required]]</f>
        <v>#DIV/0!</v>
      </c>
      <c r="K173" s="57" t="str">
        <f>IFERROR(tbl_Finish[[#This Row],[Qty Required]]/tbl_Finish[[#This Row],[PPH]]*tbl_Finish[[#This Row],['# of men]],"")</f>
        <v/>
      </c>
      <c r="L173" s="58" t="e">
        <f>tbl_Finish[[#This Row],[Total hours]]*tbl_Finish[[#This Row],[% Complete]]</f>
        <v>#VALUE!</v>
      </c>
      <c r="M173" s="59" t="str">
        <f>IFERROR(tbl_Finish[[#This Row],[Qty Complete]]/tbl_Finish[[#This Row],[Total Hours Act]]*tbl_Finish[[#This Row],['# of men Act]],"")</f>
        <v/>
      </c>
      <c r="O173"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73" s="71" t="str">
        <f>IFERROR((tbl_Finish[[#This Row],[Adj. Total Hours]]+tbl_Finish[[#This Row],[Est. Hours]])/(tbl_Finish[[#This Row],[Total Hours Act]]+tbl_Finish[[#This Row],[Act. Hours]]),"")</f>
        <v/>
      </c>
      <c r="S173" s="63"/>
      <c r="T173" s="63"/>
      <c r="U173" s="63"/>
      <c r="V173" s="63"/>
      <c r="W173" s="63"/>
    </row>
    <row r="174" spans="6:23" ht="25" customHeight="1">
      <c r="F174" s="53"/>
      <c r="H174" s="55" t="e">
        <f>tbl_Finish[[#This Row],[Qty Complete]]/tbl_Finish[[#This Row],[Qty Required]]</f>
        <v>#DIV/0!</v>
      </c>
      <c r="K174" s="57" t="str">
        <f>IFERROR(tbl_Finish[[#This Row],[Qty Required]]/tbl_Finish[[#This Row],[PPH]]*tbl_Finish[[#This Row],['# of men]],"")</f>
        <v/>
      </c>
      <c r="L174" s="58" t="e">
        <f>tbl_Finish[[#This Row],[Total hours]]*tbl_Finish[[#This Row],[% Complete]]</f>
        <v>#VALUE!</v>
      </c>
      <c r="M174" s="59" t="str">
        <f>IFERROR(tbl_Finish[[#This Row],[Qty Complete]]/tbl_Finish[[#This Row],[Total Hours Act]]*tbl_Finish[[#This Row],['# of men Act]],"")</f>
        <v/>
      </c>
      <c r="O174"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74" s="71" t="str">
        <f>IFERROR((tbl_Finish[[#This Row],[Adj. Total Hours]]+tbl_Finish[[#This Row],[Est. Hours]])/(tbl_Finish[[#This Row],[Total Hours Act]]+tbl_Finish[[#This Row],[Act. Hours]]),"")</f>
        <v/>
      </c>
      <c r="S174" s="63"/>
      <c r="T174" s="63"/>
      <c r="U174" s="63"/>
      <c r="V174" s="63"/>
      <c r="W174" s="63"/>
    </row>
    <row r="175" spans="6:23" ht="25" customHeight="1">
      <c r="F175" s="53"/>
      <c r="H175" s="55" t="e">
        <f>tbl_Finish[[#This Row],[Qty Complete]]/tbl_Finish[[#This Row],[Qty Required]]</f>
        <v>#DIV/0!</v>
      </c>
      <c r="K175" s="57" t="str">
        <f>IFERROR(tbl_Finish[[#This Row],[Qty Required]]/tbl_Finish[[#This Row],[PPH]]*tbl_Finish[[#This Row],['# of men]],"")</f>
        <v/>
      </c>
      <c r="L175" s="58" t="e">
        <f>tbl_Finish[[#This Row],[Total hours]]*tbl_Finish[[#This Row],[% Complete]]</f>
        <v>#VALUE!</v>
      </c>
      <c r="M175" s="59" t="str">
        <f>IFERROR(tbl_Finish[[#This Row],[Qty Complete]]/tbl_Finish[[#This Row],[Total Hours Act]]*tbl_Finish[[#This Row],['# of men Act]],"")</f>
        <v/>
      </c>
      <c r="O175"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75" s="71" t="str">
        <f>IFERROR((tbl_Finish[[#This Row],[Adj. Total Hours]]+tbl_Finish[[#This Row],[Est. Hours]])/(tbl_Finish[[#This Row],[Total Hours Act]]+tbl_Finish[[#This Row],[Act. Hours]]),"")</f>
        <v/>
      </c>
      <c r="S175" s="63"/>
      <c r="T175" s="63"/>
      <c r="U175" s="63"/>
      <c r="V175" s="63"/>
      <c r="W175" s="63"/>
    </row>
    <row r="176" spans="6:23" ht="25" customHeight="1">
      <c r="F176" s="53"/>
      <c r="H176" s="55" t="e">
        <f>tbl_Finish[[#This Row],[Qty Complete]]/tbl_Finish[[#This Row],[Qty Required]]</f>
        <v>#DIV/0!</v>
      </c>
      <c r="K176" s="57" t="str">
        <f>IFERROR(tbl_Finish[[#This Row],[Qty Required]]/tbl_Finish[[#This Row],[PPH]]*tbl_Finish[[#This Row],['# of men]],"")</f>
        <v/>
      </c>
      <c r="L176" s="58" t="e">
        <f>tbl_Finish[[#This Row],[Total hours]]*tbl_Finish[[#This Row],[% Complete]]</f>
        <v>#VALUE!</v>
      </c>
      <c r="M176" s="59" t="str">
        <f>IFERROR(tbl_Finish[[#This Row],[Qty Complete]]/tbl_Finish[[#This Row],[Total Hours Act]]*tbl_Finish[[#This Row],['# of men Act]],"")</f>
        <v/>
      </c>
      <c r="O176"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76" s="71" t="str">
        <f>IFERROR((tbl_Finish[[#This Row],[Adj. Total Hours]]+tbl_Finish[[#This Row],[Est. Hours]])/(tbl_Finish[[#This Row],[Total Hours Act]]+tbl_Finish[[#This Row],[Act. Hours]]),"")</f>
        <v/>
      </c>
      <c r="S176" s="63"/>
      <c r="T176" s="63"/>
      <c r="U176" s="63"/>
      <c r="V176" s="63"/>
      <c r="W176" s="63"/>
    </row>
    <row r="177" spans="6:23" ht="25" customHeight="1">
      <c r="F177" s="53"/>
      <c r="H177" s="55" t="e">
        <f>tbl_Finish[[#This Row],[Qty Complete]]/tbl_Finish[[#This Row],[Qty Required]]</f>
        <v>#DIV/0!</v>
      </c>
      <c r="K177" s="57" t="str">
        <f>IFERROR(tbl_Finish[[#This Row],[Qty Required]]/tbl_Finish[[#This Row],[PPH]]*tbl_Finish[[#This Row],['# of men]],"")</f>
        <v/>
      </c>
      <c r="L177" s="58" t="e">
        <f>tbl_Finish[[#This Row],[Total hours]]*tbl_Finish[[#This Row],[% Complete]]</f>
        <v>#VALUE!</v>
      </c>
      <c r="M177" s="59" t="str">
        <f>IFERROR(tbl_Finish[[#This Row],[Qty Complete]]/tbl_Finish[[#This Row],[Total Hours Act]]*tbl_Finish[[#This Row],['# of men Act]],"")</f>
        <v/>
      </c>
      <c r="O177"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77" s="71" t="str">
        <f>IFERROR((tbl_Finish[[#This Row],[Adj. Total Hours]]+tbl_Finish[[#This Row],[Est. Hours]])/(tbl_Finish[[#This Row],[Total Hours Act]]+tbl_Finish[[#This Row],[Act. Hours]]),"")</f>
        <v/>
      </c>
      <c r="S177" s="63"/>
      <c r="T177" s="63"/>
      <c r="U177" s="63"/>
      <c r="V177" s="63"/>
      <c r="W177" s="63"/>
    </row>
    <row r="178" spans="6:23" ht="25" customHeight="1">
      <c r="F178" s="53"/>
      <c r="H178" s="55" t="e">
        <f>tbl_Finish[[#This Row],[Qty Complete]]/tbl_Finish[[#This Row],[Qty Required]]</f>
        <v>#DIV/0!</v>
      </c>
      <c r="K178" s="57" t="str">
        <f>IFERROR(tbl_Finish[[#This Row],[Qty Required]]/tbl_Finish[[#This Row],[PPH]]*tbl_Finish[[#This Row],['# of men]],"")</f>
        <v/>
      </c>
      <c r="L178" s="58" t="e">
        <f>tbl_Finish[[#This Row],[Total hours]]*tbl_Finish[[#This Row],[% Complete]]</f>
        <v>#VALUE!</v>
      </c>
      <c r="M178" s="59" t="str">
        <f>IFERROR(tbl_Finish[[#This Row],[Qty Complete]]/tbl_Finish[[#This Row],[Total Hours Act]]*tbl_Finish[[#This Row],['# of men Act]],"")</f>
        <v/>
      </c>
      <c r="O178"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78" s="71" t="str">
        <f>IFERROR((tbl_Finish[[#This Row],[Adj. Total Hours]]+tbl_Finish[[#This Row],[Est. Hours]])/(tbl_Finish[[#This Row],[Total Hours Act]]+tbl_Finish[[#This Row],[Act. Hours]]),"")</f>
        <v/>
      </c>
      <c r="S178" s="63"/>
      <c r="T178" s="63"/>
      <c r="U178" s="63"/>
      <c r="V178" s="63"/>
      <c r="W178" s="63"/>
    </row>
    <row r="179" spans="6:23" ht="25" customHeight="1">
      <c r="F179" s="53"/>
      <c r="H179" s="55" t="e">
        <f>tbl_Finish[[#This Row],[Qty Complete]]/tbl_Finish[[#This Row],[Qty Required]]</f>
        <v>#DIV/0!</v>
      </c>
      <c r="K179" s="57" t="str">
        <f>IFERROR(tbl_Finish[[#This Row],[Qty Required]]/tbl_Finish[[#This Row],[PPH]]*tbl_Finish[[#This Row],['# of men]],"")</f>
        <v/>
      </c>
      <c r="L179" s="58" t="e">
        <f>tbl_Finish[[#This Row],[Total hours]]*tbl_Finish[[#This Row],[% Complete]]</f>
        <v>#VALUE!</v>
      </c>
      <c r="M179" s="59" t="str">
        <f>IFERROR(tbl_Finish[[#This Row],[Qty Complete]]/tbl_Finish[[#This Row],[Total Hours Act]]*tbl_Finish[[#This Row],['# of men Act]],"")</f>
        <v/>
      </c>
      <c r="O179"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79" s="71" t="str">
        <f>IFERROR((tbl_Finish[[#This Row],[Adj. Total Hours]]+tbl_Finish[[#This Row],[Est. Hours]])/(tbl_Finish[[#This Row],[Total Hours Act]]+tbl_Finish[[#This Row],[Act. Hours]]),"")</f>
        <v/>
      </c>
      <c r="S179" s="63"/>
      <c r="T179" s="63"/>
      <c r="U179" s="63"/>
      <c r="V179" s="63"/>
      <c r="W179" s="63"/>
    </row>
    <row r="180" spans="6:23" ht="25" customHeight="1">
      <c r="F180" s="53"/>
      <c r="H180" s="55" t="e">
        <f>tbl_Finish[[#This Row],[Qty Complete]]/tbl_Finish[[#This Row],[Qty Required]]</f>
        <v>#DIV/0!</v>
      </c>
      <c r="K180" s="57" t="str">
        <f>IFERROR(tbl_Finish[[#This Row],[Qty Required]]/tbl_Finish[[#This Row],[PPH]]*tbl_Finish[[#This Row],['# of men]],"")</f>
        <v/>
      </c>
      <c r="L180" s="58" t="e">
        <f>tbl_Finish[[#This Row],[Total hours]]*tbl_Finish[[#This Row],[% Complete]]</f>
        <v>#VALUE!</v>
      </c>
      <c r="M180" s="59" t="str">
        <f>IFERROR(tbl_Finish[[#This Row],[Qty Complete]]/tbl_Finish[[#This Row],[Total Hours Act]]*tbl_Finish[[#This Row],['# of men Act]],"")</f>
        <v/>
      </c>
      <c r="O180"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80" s="71" t="str">
        <f>IFERROR((tbl_Finish[[#This Row],[Adj. Total Hours]]+tbl_Finish[[#This Row],[Est. Hours]])/(tbl_Finish[[#This Row],[Total Hours Act]]+tbl_Finish[[#This Row],[Act. Hours]]),"")</f>
        <v/>
      </c>
      <c r="S180" s="63"/>
      <c r="T180" s="63"/>
      <c r="U180" s="63"/>
      <c r="V180" s="63"/>
      <c r="W180" s="63"/>
    </row>
    <row r="181" spans="6:23" ht="25" customHeight="1">
      <c r="F181" s="53"/>
      <c r="H181" s="55" t="e">
        <f>tbl_Finish[[#This Row],[Qty Complete]]/tbl_Finish[[#This Row],[Qty Required]]</f>
        <v>#DIV/0!</v>
      </c>
      <c r="K181" s="57" t="str">
        <f>IFERROR(tbl_Finish[[#This Row],[Qty Required]]/tbl_Finish[[#This Row],[PPH]]*tbl_Finish[[#This Row],['# of men]],"")</f>
        <v/>
      </c>
      <c r="L181" s="58" t="e">
        <f>tbl_Finish[[#This Row],[Total hours]]*tbl_Finish[[#This Row],[% Complete]]</f>
        <v>#VALUE!</v>
      </c>
      <c r="M181" s="59" t="str">
        <f>IFERROR(tbl_Finish[[#This Row],[Qty Complete]]/tbl_Finish[[#This Row],[Total Hours Act]]*tbl_Finish[[#This Row],['# of men Act]],"")</f>
        <v/>
      </c>
      <c r="O181"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81" s="71" t="str">
        <f>IFERROR((tbl_Finish[[#This Row],[Adj. Total Hours]]+tbl_Finish[[#This Row],[Est. Hours]])/(tbl_Finish[[#This Row],[Total Hours Act]]+tbl_Finish[[#This Row],[Act. Hours]]),"")</f>
        <v/>
      </c>
      <c r="S181" s="63"/>
      <c r="T181" s="63"/>
      <c r="U181" s="63"/>
      <c r="V181" s="63"/>
      <c r="W181" s="63"/>
    </row>
    <row r="182" spans="6:23" ht="25" customHeight="1">
      <c r="F182" s="53"/>
      <c r="H182" s="55" t="e">
        <f>tbl_Finish[[#This Row],[Qty Complete]]/tbl_Finish[[#This Row],[Qty Required]]</f>
        <v>#DIV/0!</v>
      </c>
      <c r="K182" s="57" t="str">
        <f>IFERROR(tbl_Finish[[#This Row],[Qty Required]]/tbl_Finish[[#This Row],[PPH]]*tbl_Finish[[#This Row],['# of men]],"")</f>
        <v/>
      </c>
      <c r="L182" s="58" t="e">
        <f>tbl_Finish[[#This Row],[Total hours]]*tbl_Finish[[#This Row],[% Complete]]</f>
        <v>#VALUE!</v>
      </c>
      <c r="M182" s="59" t="str">
        <f>IFERROR(tbl_Finish[[#This Row],[Qty Complete]]/tbl_Finish[[#This Row],[Total Hours Act]]*tbl_Finish[[#This Row],['# of men Act]],"")</f>
        <v/>
      </c>
      <c r="O182"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82" s="71" t="str">
        <f>IFERROR((tbl_Finish[[#This Row],[Adj. Total Hours]]+tbl_Finish[[#This Row],[Est. Hours]])/(tbl_Finish[[#This Row],[Total Hours Act]]+tbl_Finish[[#This Row],[Act. Hours]]),"")</f>
        <v/>
      </c>
      <c r="S182" s="63"/>
      <c r="T182" s="63"/>
      <c r="U182" s="63"/>
      <c r="V182" s="63"/>
      <c r="W182" s="63"/>
    </row>
    <row r="183" spans="6:23" ht="25" customHeight="1">
      <c r="F183" s="53"/>
      <c r="H183" s="55" t="e">
        <f>tbl_Finish[[#This Row],[Qty Complete]]/tbl_Finish[[#This Row],[Qty Required]]</f>
        <v>#DIV/0!</v>
      </c>
      <c r="K183" s="57" t="str">
        <f>IFERROR(tbl_Finish[[#This Row],[Qty Required]]/tbl_Finish[[#This Row],[PPH]]*tbl_Finish[[#This Row],['# of men]],"")</f>
        <v/>
      </c>
      <c r="L183" s="58" t="e">
        <f>tbl_Finish[[#This Row],[Total hours]]*tbl_Finish[[#This Row],[% Complete]]</f>
        <v>#VALUE!</v>
      </c>
      <c r="M183" s="59" t="str">
        <f>IFERROR(tbl_Finish[[#This Row],[Qty Complete]]/tbl_Finish[[#This Row],[Total Hours Act]]*tbl_Finish[[#This Row],['# of men Act]],"")</f>
        <v/>
      </c>
      <c r="O183"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83" s="71" t="str">
        <f>IFERROR((tbl_Finish[[#This Row],[Adj. Total Hours]]+tbl_Finish[[#This Row],[Est. Hours]])/(tbl_Finish[[#This Row],[Total Hours Act]]+tbl_Finish[[#This Row],[Act. Hours]]),"")</f>
        <v/>
      </c>
      <c r="S183" s="63"/>
      <c r="T183" s="63"/>
      <c r="U183" s="63"/>
      <c r="V183" s="63"/>
      <c r="W183" s="63"/>
    </row>
    <row r="184" spans="6:23" ht="25" customHeight="1">
      <c r="F184" s="53"/>
      <c r="H184" s="55" t="e">
        <f>tbl_Finish[[#This Row],[Qty Complete]]/tbl_Finish[[#This Row],[Qty Required]]</f>
        <v>#DIV/0!</v>
      </c>
      <c r="K184" s="57" t="str">
        <f>IFERROR(tbl_Finish[[#This Row],[Qty Required]]/tbl_Finish[[#This Row],[PPH]]*tbl_Finish[[#This Row],['# of men]],"")</f>
        <v/>
      </c>
      <c r="L184" s="58" t="e">
        <f>tbl_Finish[[#This Row],[Total hours]]*tbl_Finish[[#This Row],[% Complete]]</f>
        <v>#VALUE!</v>
      </c>
      <c r="M184" s="59" t="str">
        <f>IFERROR(tbl_Finish[[#This Row],[Qty Complete]]/tbl_Finish[[#This Row],[Total Hours Act]]*tbl_Finish[[#This Row],['# of men Act]],"")</f>
        <v/>
      </c>
      <c r="O184"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84" s="71" t="str">
        <f>IFERROR((tbl_Finish[[#This Row],[Adj. Total Hours]]+tbl_Finish[[#This Row],[Est. Hours]])/(tbl_Finish[[#This Row],[Total Hours Act]]+tbl_Finish[[#This Row],[Act. Hours]]),"")</f>
        <v/>
      </c>
      <c r="S184" s="63"/>
      <c r="T184" s="63"/>
      <c r="U184" s="63"/>
      <c r="V184" s="63"/>
      <c r="W184" s="63"/>
    </row>
    <row r="185" spans="6:23" ht="25" customHeight="1">
      <c r="F185" s="53"/>
      <c r="H185" s="55" t="e">
        <f>tbl_Finish[[#This Row],[Qty Complete]]/tbl_Finish[[#This Row],[Qty Required]]</f>
        <v>#DIV/0!</v>
      </c>
      <c r="K185" s="57" t="str">
        <f>IFERROR(tbl_Finish[[#This Row],[Qty Required]]/tbl_Finish[[#This Row],[PPH]]*tbl_Finish[[#This Row],['# of men]],"")</f>
        <v/>
      </c>
      <c r="L185" s="58" t="e">
        <f>tbl_Finish[[#This Row],[Total hours]]*tbl_Finish[[#This Row],[% Complete]]</f>
        <v>#VALUE!</v>
      </c>
      <c r="M185" s="59" t="str">
        <f>IFERROR(tbl_Finish[[#This Row],[Qty Complete]]/tbl_Finish[[#This Row],[Total Hours Act]]*tbl_Finish[[#This Row],['# of men Act]],"")</f>
        <v/>
      </c>
      <c r="O185"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85" s="71" t="str">
        <f>IFERROR((tbl_Finish[[#This Row],[Adj. Total Hours]]+tbl_Finish[[#This Row],[Est. Hours]])/(tbl_Finish[[#This Row],[Total Hours Act]]+tbl_Finish[[#This Row],[Act. Hours]]),"")</f>
        <v/>
      </c>
      <c r="S185" s="63"/>
      <c r="T185" s="63"/>
      <c r="U185" s="63"/>
      <c r="V185" s="63"/>
      <c r="W185" s="63"/>
    </row>
    <row r="186" spans="6:23" ht="25" customHeight="1">
      <c r="F186" s="53"/>
      <c r="H186" s="55" t="e">
        <f>tbl_Finish[[#This Row],[Qty Complete]]/tbl_Finish[[#This Row],[Qty Required]]</f>
        <v>#DIV/0!</v>
      </c>
      <c r="K186" s="57" t="str">
        <f>IFERROR(tbl_Finish[[#This Row],[Qty Required]]/tbl_Finish[[#This Row],[PPH]]*tbl_Finish[[#This Row],['# of men]],"")</f>
        <v/>
      </c>
      <c r="L186" s="58" t="e">
        <f>tbl_Finish[[#This Row],[Total hours]]*tbl_Finish[[#This Row],[% Complete]]</f>
        <v>#VALUE!</v>
      </c>
      <c r="M186" s="59" t="str">
        <f>IFERROR(tbl_Finish[[#This Row],[Qty Complete]]/tbl_Finish[[#This Row],[Total Hours Act]]*tbl_Finish[[#This Row],['# of men Act]],"")</f>
        <v/>
      </c>
      <c r="O186"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86" s="71" t="str">
        <f>IFERROR((tbl_Finish[[#This Row],[Adj. Total Hours]]+tbl_Finish[[#This Row],[Est. Hours]])/(tbl_Finish[[#This Row],[Total Hours Act]]+tbl_Finish[[#This Row],[Act. Hours]]),"")</f>
        <v/>
      </c>
      <c r="S186" s="63"/>
      <c r="T186" s="63"/>
      <c r="U186" s="63"/>
      <c r="V186" s="63"/>
      <c r="W186" s="63"/>
    </row>
    <row r="187" spans="6:23" ht="25" customHeight="1">
      <c r="F187" s="53"/>
      <c r="H187" s="55" t="e">
        <f>tbl_Finish[[#This Row],[Qty Complete]]/tbl_Finish[[#This Row],[Qty Required]]</f>
        <v>#DIV/0!</v>
      </c>
      <c r="K187" s="57" t="str">
        <f>IFERROR(tbl_Finish[[#This Row],[Qty Required]]/tbl_Finish[[#This Row],[PPH]]*tbl_Finish[[#This Row],['# of men]],"")</f>
        <v/>
      </c>
      <c r="L187" s="58" t="e">
        <f>tbl_Finish[[#This Row],[Total hours]]*tbl_Finish[[#This Row],[% Complete]]</f>
        <v>#VALUE!</v>
      </c>
      <c r="M187" s="59" t="str">
        <f>IFERROR(tbl_Finish[[#This Row],[Qty Complete]]/tbl_Finish[[#This Row],[Total Hours Act]]*tbl_Finish[[#This Row],['# of men Act]],"")</f>
        <v/>
      </c>
      <c r="O187"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87" s="71" t="str">
        <f>IFERROR((tbl_Finish[[#This Row],[Adj. Total Hours]]+tbl_Finish[[#This Row],[Est. Hours]])/(tbl_Finish[[#This Row],[Total Hours Act]]+tbl_Finish[[#This Row],[Act. Hours]]),"")</f>
        <v/>
      </c>
      <c r="S187" s="63"/>
      <c r="T187" s="63"/>
      <c r="U187" s="63"/>
      <c r="V187" s="63"/>
      <c r="W187" s="63"/>
    </row>
    <row r="188" spans="6:23" ht="25" customHeight="1">
      <c r="F188" s="53"/>
      <c r="H188" s="55" t="e">
        <f>tbl_Finish[[#This Row],[Qty Complete]]/tbl_Finish[[#This Row],[Qty Required]]</f>
        <v>#DIV/0!</v>
      </c>
      <c r="K188" s="57" t="str">
        <f>IFERROR(tbl_Finish[[#This Row],[Qty Required]]/tbl_Finish[[#This Row],[PPH]]*tbl_Finish[[#This Row],['# of men]],"")</f>
        <v/>
      </c>
      <c r="L188" s="58" t="e">
        <f>tbl_Finish[[#This Row],[Total hours]]*tbl_Finish[[#This Row],[% Complete]]</f>
        <v>#VALUE!</v>
      </c>
      <c r="M188" s="59" t="str">
        <f>IFERROR(tbl_Finish[[#This Row],[Qty Complete]]/tbl_Finish[[#This Row],[Total Hours Act]]*tbl_Finish[[#This Row],['# of men Act]],"")</f>
        <v/>
      </c>
      <c r="O188"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88" s="71" t="str">
        <f>IFERROR((tbl_Finish[[#This Row],[Adj. Total Hours]]+tbl_Finish[[#This Row],[Est. Hours]])/(tbl_Finish[[#This Row],[Total Hours Act]]+tbl_Finish[[#This Row],[Act. Hours]]),"")</f>
        <v/>
      </c>
      <c r="S188" s="63"/>
      <c r="T188" s="63"/>
      <c r="U188" s="63"/>
      <c r="V188" s="63"/>
      <c r="W188" s="63"/>
    </row>
    <row r="189" spans="6:23" ht="25" customHeight="1">
      <c r="F189" s="53"/>
      <c r="H189" s="55" t="e">
        <f>tbl_Finish[[#This Row],[Qty Complete]]/tbl_Finish[[#This Row],[Qty Required]]</f>
        <v>#DIV/0!</v>
      </c>
      <c r="K189" s="57" t="str">
        <f>IFERROR(tbl_Finish[[#This Row],[Qty Required]]/tbl_Finish[[#This Row],[PPH]]*tbl_Finish[[#This Row],['# of men]],"")</f>
        <v/>
      </c>
      <c r="L189" s="58" t="e">
        <f>tbl_Finish[[#This Row],[Total hours]]*tbl_Finish[[#This Row],[% Complete]]</f>
        <v>#VALUE!</v>
      </c>
      <c r="M189" s="59" t="str">
        <f>IFERROR(tbl_Finish[[#This Row],[Qty Complete]]/tbl_Finish[[#This Row],[Total Hours Act]]*tbl_Finish[[#This Row],['# of men Act]],"")</f>
        <v/>
      </c>
      <c r="O189"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89" s="71" t="str">
        <f>IFERROR((tbl_Finish[[#This Row],[Adj. Total Hours]]+tbl_Finish[[#This Row],[Est. Hours]])/(tbl_Finish[[#This Row],[Total Hours Act]]+tbl_Finish[[#This Row],[Act. Hours]]),"")</f>
        <v/>
      </c>
      <c r="S189" s="63"/>
      <c r="T189" s="63"/>
      <c r="U189" s="63"/>
      <c r="V189" s="63"/>
      <c r="W189" s="63"/>
    </row>
    <row r="190" spans="6:23" ht="25" customHeight="1">
      <c r="F190" s="53"/>
      <c r="H190" s="55" t="e">
        <f>tbl_Finish[[#This Row],[Qty Complete]]/tbl_Finish[[#This Row],[Qty Required]]</f>
        <v>#DIV/0!</v>
      </c>
      <c r="K190" s="57" t="str">
        <f>IFERROR(tbl_Finish[[#This Row],[Qty Required]]/tbl_Finish[[#This Row],[PPH]]*tbl_Finish[[#This Row],['# of men]],"")</f>
        <v/>
      </c>
      <c r="L190" s="58" t="e">
        <f>tbl_Finish[[#This Row],[Total hours]]*tbl_Finish[[#This Row],[% Complete]]</f>
        <v>#VALUE!</v>
      </c>
      <c r="M190" s="59" t="str">
        <f>IFERROR(tbl_Finish[[#This Row],[Qty Complete]]/tbl_Finish[[#This Row],[Total Hours Act]]*tbl_Finish[[#This Row],['# of men Act]],"")</f>
        <v/>
      </c>
      <c r="O190"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90" s="71" t="str">
        <f>IFERROR((tbl_Finish[[#This Row],[Adj. Total Hours]]+tbl_Finish[[#This Row],[Est. Hours]])/(tbl_Finish[[#This Row],[Total Hours Act]]+tbl_Finish[[#This Row],[Act. Hours]]),"")</f>
        <v/>
      </c>
      <c r="S190" s="63"/>
      <c r="T190" s="63"/>
      <c r="U190" s="63"/>
      <c r="V190" s="63"/>
      <c r="W190" s="63"/>
    </row>
    <row r="191" spans="6:23" ht="25" customHeight="1">
      <c r="F191" s="53"/>
      <c r="H191" s="55" t="e">
        <f>tbl_Finish[[#This Row],[Qty Complete]]/tbl_Finish[[#This Row],[Qty Required]]</f>
        <v>#DIV/0!</v>
      </c>
      <c r="K191" s="57" t="str">
        <f>IFERROR(tbl_Finish[[#This Row],[Qty Required]]/tbl_Finish[[#This Row],[PPH]]*tbl_Finish[[#This Row],['# of men]],"")</f>
        <v/>
      </c>
      <c r="L191" s="58" t="e">
        <f>tbl_Finish[[#This Row],[Total hours]]*tbl_Finish[[#This Row],[% Complete]]</f>
        <v>#VALUE!</v>
      </c>
      <c r="M191" s="59" t="str">
        <f>IFERROR(tbl_Finish[[#This Row],[Qty Complete]]/tbl_Finish[[#This Row],[Total Hours Act]]*tbl_Finish[[#This Row],['# of men Act]],"")</f>
        <v/>
      </c>
      <c r="O191"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91" s="71" t="str">
        <f>IFERROR((tbl_Finish[[#This Row],[Adj. Total Hours]]+tbl_Finish[[#This Row],[Est. Hours]])/(tbl_Finish[[#This Row],[Total Hours Act]]+tbl_Finish[[#This Row],[Act. Hours]]),"")</f>
        <v/>
      </c>
      <c r="S191" s="63"/>
      <c r="T191" s="63"/>
      <c r="U191" s="63"/>
      <c r="V191" s="63"/>
      <c r="W191" s="63"/>
    </row>
    <row r="192" spans="6:23" ht="25" customHeight="1">
      <c r="F192" s="53"/>
      <c r="H192" s="55" t="e">
        <f>tbl_Finish[[#This Row],[Qty Complete]]/tbl_Finish[[#This Row],[Qty Required]]</f>
        <v>#DIV/0!</v>
      </c>
      <c r="K192" s="57" t="str">
        <f>IFERROR(tbl_Finish[[#This Row],[Qty Required]]/tbl_Finish[[#This Row],[PPH]]*tbl_Finish[[#This Row],['# of men]],"")</f>
        <v/>
      </c>
      <c r="L192" s="58" t="e">
        <f>tbl_Finish[[#This Row],[Total hours]]*tbl_Finish[[#This Row],[% Complete]]</f>
        <v>#VALUE!</v>
      </c>
      <c r="M192" s="59" t="str">
        <f>IFERROR(tbl_Finish[[#This Row],[Qty Complete]]/tbl_Finish[[#This Row],[Total Hours Act]]*tbl_Finish[[#This Row],['# of men Act]],"")</f>
        <v/>
      </c>
      <c r="O192"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92" s="71" t="str">
        <f>IFERROR((tbl_Finish[[#This Row],[Adj. Total Hours]]+tbl_Finish[[#This Row],[Est. Hours]])/(tbl_Finish[[#This Row],[Total Hours Act]]+tbl_Finish[[#This Row],[Act. Hours]]),"")</f>
        <v/>
      </c>
      <c r="S192" s="63"/>
      <c r="T192" s="63"/>
      <c r="U192" s="63"/>
      <c r="V192" s="63"/>
      <c r="W192" s="63"/>
    </row>
    <row r="193" spans="6:23" ht="25" customHeight="1">
      <c r="F193" s="53"/>
      <c r="H193" s="55" t="e">
        <f>tbl_Finish[[#This Row],[Qty Complete]]/tbl_Finish[[#This Row],[Qty Required]]</f>
        <v>#DIV/0!</v>
      </c>
      <c r="K193" s="57" t="str">
        <f>IFERROR(tbl_Finish[[#This Row],[Qty Required]]/tbl_Finish[[#This Row],[PPH]]*tbl_Finish[[#This Row],['# of men]],"")</f>
        <v/>
      </c>
      <c r="L193" s="58" t="e">
        <f>tbl_Finish[[#This Row],[Total hours]]*tbl_Finish[[#This Row],[% Complete]]</f>
        <v>#VALUE!</v>
      </c>
      <c r="M193" s="59" t="str">
        <f>IFERROR(tbl_Finish[[#This Row],[Qty Complete]]/tbl_Finish[[#This Row],[Total Hours Act]]*tbl_Finish[[#This Row],['# of men Act]],"")</f>
        <v/>
      </c>
      <c r="O193"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93" s="71" t="str">
        <f>IFERROR((tbl_Finish[[#This Row],[Adj. Total Hours]]+tbl_Finish[[#This Row],[Est. Hours]])/(tbl_Finish[[#This Row],[Total Hours Act]]+tbl_Finish[[#This Row],[Act. Hours]]),"")</f>
        <v/>
      </c>
      <c r="S193" s="63"/>
      <c r="T193" s="63"/>
      <c r="U193" s="63"/>
      <c r="V193" s="63"/>
      <c r="W193" s="63"/>
    </row>
    <row r="194" spans="6:23" ht="25" customHeight="1">
      <c r="F194" s="53"/>
      <c r="H194" s="55" t="e">
        <f>tbl_Finish[[#This Row],[Qty Complete]]/tbl_Finish[[#This Row],[Qty Required]]</f>
        <v>#DIV/0!</v>
      </c>
      <c r="K194" s="57" t="str">
        <f>IFERROR(tbl_Finish[[#This Row],[Qty Required]]/tbl_Finish[[#This Row],[PPH]]*tbl_Finish[[#This Row],['# of men]],"")</f>
        <v/>
      </c>
      <c r="L194" s="58" t="e">
        <f>tbl_Finish[[#This Row],[Total hours]]*tbl_Finish[[#This Row],[% Complete]]</f>
        <v>#VALUE!</v>
      </c>
      <c r="M194" s="59" t="str">
        <f>IFERROR(tbl_Finish[[#This Row],[Qty Complete]]/tbl_Finish[[#This Row],[Total Hours Act]]*tbl_Finish[[#This Row],['# of men Act]],"")</f>
        <v/>
      </c>
      <c r="O194"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94" s="71" t="str">
        <f>IFERROR((tbl_Finish[[#This Row],[Adj. Total Hours]]+tbl_Finish[[#This Row],[Est. Hours]])/(tbl_Finish[[#This Row],[Total Hours Act]]+tbl_Finish[[#This Row],[Act. Hours]]),"")</f>
        <v/>
      </c>
      <c r="S194" s="63"/>
      <c r="T194" s="63"/>
      <c r="U194" s="63"/>
      <c r="V194" s="63"/>
      <c r="W194" s="63"/>
    </row>
    <row r="195" spans="6:23" ht="25" customHeight="1">
      <c r="F195" s="53"/>
      <c r="H195" s="55" t="e">
        <f>tbl_Finish[[#This Row],[Qty Complete]]/tbl_Finish[[#This Row],[Qty Required]]</f>
        <v>#DIV/0!</v>
      </c>
      <c r="K195" s="57" t="str">
        <f>IFERROR(tbl_Finish[[#This Row],[Qty Required]]/tbl_Finish[[#This Row],[PPH]]*tbl_Finish[[#This Row],['# of men]],"")</f>
        <v/>
      </c>
      <c r="L195" s="58" t="e">
        <f>tbl_Finish[[#This Row],[Total hours]]*tbl_Finish[[#This Row],[% Complete]]</f>
        <v>#VALUE!</v>
      </c>
      <c r="M195" s="59" t="str">
        <f>IFERROR(tbl_Finish[[#This Row],[Qty Complete]]/tbl_Finish[[#This Row],[Total Hours Act]]*tbl_Finish[[#This Row],['# of men Act]],"")</f>
        <v/>
      </c>
      <c r="O195"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95" s="71" t="str">
        <f>IFERROR((tbl_Finish[[#This Row],[Adj. Total Hours]]+tbl_Finish[[#This Row],[Est. Hours]])/(tbl_Finish[[#This Row],[Total Hours Act]]+tbl_Finish[[#This Row],[Act. Hours]]),"")</f>
        <v/>
      </c>
      <c r="S195" s="63"/>
      <c r="T195" s="63"/>
      <c r="U195" s="63"/>
      <c r="V195" s="63"/>
      <c r="W195" s="63"/>
    </row>
    <row r="196" spans="6:23" ht="25" customHeight="1">
      <c r="F196" s="53"/>
      <c r="H196" s="55" t="e">
        <f>tbl_Finish[[#This Row],[Qty Complete]]/tbl_Finish[[#This Row],[Qty Required]]</f>
        <v>#DIV/0!</v>
      </c>
      <c r="K196" s="57" t="str">
        <f>IFERROR(tbl_Finish[[#This Row],[Qty Required]]/tbl_Finish[[#This Row],[PPH]]*tbl_Finish[[#This Row],['# of men]],"")</f>
        <v/>
      </c>
      <c r="L196" s="58" t="e">
        <f>tbl_Finish[[#This Row],[Total hours]]*tbl_Finish[[#This Row],[% Complete]]</f>
        <v>#VALUE!</v>
      </c>
      <c r="M196" s="59" t="str">
        <f>IFERROR(tbl_Finish[[#This Row],[Qty Complete]]/tbl_Finish[[#This Row],[Total Hours Act]]*tbl_Finish[[#This Row],['# of men Act]],"")</f>
        <v/>
      </c>
      <c r="O196"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96" s="71" t="str">
        <f>IFERROR((tbl_Finish[[#This Row],[Adj. Total Hours]]+tbl_Finish[[#This Row],[Est. Hours]])/(tbl_Finish[[#This Row],[Total Hours Act]]+tbl_Finish[[#This Row],[Act. Hours]]),"")</f>
        <v/>
      </c>
      <c r="S196" s="63"/>
      <c r="T196" s="63"/>
      <c r="U196" s="63"/>
      <c r="V196" s="63"/>
      <c r="W196" s="63"/>
    </row>
    <row r="197" spans="6:23" ht="25" customHeight="1">
      <c r="F197" s="53"/>
      <c r="H197" s="55" t="e">
        <f>tbl_Finish[[#This Row],[Qty Complete]]/tbl_Finish[[#This Row],[Qty Required]]</f>
        <v>#DIV/0!</v>
      </c>
      <c r="K197" s="57" t="str">
        <f>IFERROR(tbl_Finish[[#This Row],[Qty Required]]/tbl_Finish[[#This Row],[PPH]]*tbl_Finish[[#This Row],['# of men]],"")</f>
        <v/>
      </c>
      <c r="L197" s="58" t="e">
        <f>tbl_Finish[[#This Row],[Total hours]]*tbl_Finish[[#This Row],[% Complete]]</f>
        <v>#VALUE!</v>
      </c>
      <c r="M197" s="59" t="str">
        <f>IFERROR(tbl_Finish[[#This Row],[Qty Complete]]/tbl_Finish[[#This Row],[Total Hours Act]]*tbl_Finish[[#This Row],['# of men Act]],"")</f>
        <v/>
      </c>
      <c r="O197"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97" s="71" t="str">
        <f>IFERROR((tbl_Finish[[#This Row],[Adj. Total Hours]]+tbl_Finish[[#This Row],[Est. Hours]])/(tbl_Finish[[#This Row],[Total Hours Act]]+tbl_Finish[[#This Row],[Act. Hours]]),"")</f>
        <v/>
      </c>
      <c r="S197" s="63"/>
      <c r="T197" s="63"/>
      <c r="U197" s="63"/>
      <c r="V197" s="63"/>
      <c r="W197" s="63"/>
    </row>
    <row r="198" spans="6:23" ht="25" customHeight="1">
      <c r="F198" s="53"/>
      <c r="H198" s="55" t="e">
        <f>tbl_Finish[[#This Row],[Qty Complete]]/tbl_Finish[[#This Row],[Qty Required]]</f>
        <v>#DIV/0!</v>
      </c>
      <c r="K198" s="57" t="str">
        <f>IFERROR(tbl_Finish[[#This Row],[Qty Required]]/tbl_Finish[[#This Row],[PPH]]*tbl_Finish[[#This Row],['# of men]],"")</f>
        <v/>
      </c>
      <c r="L198" s="58" t="e">
        <f>tbl_Finish[[#This Row],[Total hours]]*tbl_Finish[[#This Row],[% Complete]]</f>
        <v>#VALUE!</v>
      </c>
      <c r="M198" s="59" t="str">
        <f>IFERROR(tbl_Finish[[#This Row],[Qty Complete]]/tbl_Finish[[#This Row],[Total Hours Act]]*tbl_Finish[[#This Row],['# of men Act]],"")</f>
        <v/>
      </c>
      <c r="O198"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98" s="71" t="str">
        <f>IFERROR((tbl_Finish[[#This Row],[Adj. Total Hours]]+tbl_Finish[[#This Row],[Est. Hours]])/(tbl_Finish[[#This Row],[Total Hours Act]]+tbl_Finish[[#This Row],[Act. Hours]]),"")</f>
        <v/>
      </c>
      <c r="S198" s="63"/>
      <c r="T198" s="63"/>
      <c r="U198" s="63"/>
      <c r="V198" s="63"/>
      <c r="W198" s="63"/>
    </row>
    <row r="199" spans="6:23" ht="25" customHeight="1">
      <c r="F199" s="53"/>
      <c r="H199" s="55" t="e">
        <f>tbl_Finish[[#This Row],[Qty Complete]]/tbl_Finish[[#This Row],[Qty Required]]</f>
        <v>#DIV/0!</v>
      </c>
      <c r="K199" s="57" t="str">
        <f>IFERROR(tbl_Finish[[#This Row],[Qty Required]]/tbl_Finish[[#This Row],[PPH]]*tbl_Finish[[#This Row],['# of men]],"")</f>
        <v/>
      </c>
      <c r="L199" s="58" t="e">
        <f>tbl_Finish[[#This Row],[Total hours]]*tbl_Finish[[#This Row],[% Complete]]</f>
        <v>#VALUE!</v>
      </c>
      <c r="M199" s="59" t="str">
        <f>IFERROR(tbl_Finish[[#This Row],[Qty Complete]]/tbl_Finish[[#This Row],[Total Hours Act]]*tbl_Finish[[#This Row],['# of men Act]],"")</f>
        <v/>
      </c>
      <c r="O199"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199" s="71" t="str">
        <f>IFERROR((tbl_Finish[[#This Row],[Adj. Total Hours]]+tbl_Finish[[#This Row],[Est. Hours]])/(tbl_Finish[[#This Row],[Total Hours Act]]+tbl_Finish[[#This Row],[Act. Hours]]),"")</f>
        <v/>
      </c>
      <c r="S199" s="63"/>
      <c r="T199" s="63"/>
      <c r="U199" s="63"/>
      <c r="V199" s="63"/>
      <c r="W199" s="63"/>
    </row>
    <row r="200" spans="6:23" ht="25" customHeight="1">
      <c r="F200" s="53"/>
      <c r="H200" s="55" t="e">
        <f>tbl_Finish[[#This Row],[Qty Complete]]/tbl_Finish[[#This Row],[Qty Required]]</f>
        <v>#DIV/0!</v>
      </c>
      <c r="K200" s="57" t="str">
        <f>IFERROR(tbl_Finish[[#This Row],[Qty Required]]/tbl_Finish[[#This Row],[PPH]]*tbl_Finish[[#This Row],['# of men]],"")</f>
        <v/>
      </c>
      <c r="L200" s="58" t="e">
        <f>tbl_Finish[[#This Row],[Total hours]]*tbl_Finish[[#This Row],[% Complete]]</f>
        <v>#VALUE!</v>
      </c>
      <c r="M200" s="59" t="str">
        <f>IFERROR(tbl_Finish[[#This Row],[Qty Complete]]/tbl_Finish[[#This Row],[Total Hours Act]]*tbl_Finish[[#This Row],['# of men Act]],"")</f>
        <v/>
      </c>
      <c r="O200"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00" s="71" t="str">
        <f>IFERROR((tbl_Finish[[#This Row],[Adj. Total Hours]]+tbl_Finish[[#This Row],[Est. Hours]])/(tbl_Finish[[#This Row],[Total Hours Act]]+tbl_Finish[[#This Row],[Act. Hours]]),"")</f>
        <v/>
      </c>
      <c r="S200" s="63"/>
      <c r="T200" s="63"/>
      <c r="U200" s="63"/>
      <c r="V200" s="63"/>
      <c r="W200" s="63"/>
    </row>
    <row r="201" spans="6:23" ht="25" customHeight="1">
      <c r="F201" s="53"/>
      <c r="H201" s="55" t="e">
        <f>tbl_Finish[[#This Row],[Qty Complete]]/tbl_Finish[[#This Row],[Qty Required]]</f>
        <v>#DIV/0!</v>
      </c>
      <c r="K201" s="57" t="str">
        <f>IFERROR(tbl_Finish[[#This Row],[Qty Required]]/tbl_Finish[[#This Row],[PPH]]*tbl_Finish[[#This Row],['# of men]],"")</f>
        <v/>
      </c>
      <c r="L201" s="58" t="e">
        <f>tbl_Finish[[#This Row],[Total hours]]*tbl_Finish[[#This Row],[% Complete]]</f>
        <v>#VALUE!</v>
      </c>
      <c r="M201" s="59" t="str">
        <f>IFERROR(tbl_Finish[[#This Row],[Qty Complete]]/tbl_Finish[[#This Row],[Total Hours Act]]*tbl_Finish[[#This Row],['# of men Act]],"")</f>
        <v/>
      </c>
      <c r="O201"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01" s="71" t="str">
        <f>IFERROR((tbl_Finish[[#This Row],[Adj. Total Hours]]+tbl_Finish[[#This Row],[Est. Hours]])/(tbl_Finish[[#This Row],[Total Hours Act]]+tbl_Finish[[#This Row],[Act. Hours]]),"")</f>
        <v/>
      </c>
      <c r="S201" s="63"/>
      <c r="T201" s="63"/>
      <c r="U201" s="63"/>
      <c r="V201" s="63"/>
      <c r="W201" s="63"/>
    </row>
    <row r="202" spans="6:23" ht="25" customHeight="1">
      <c r="F202" s="53"/>
      <c r="H202" s="55" t="e">
        <f>tbl_Finish[[#This Row],[Qty Complete]]/tbl_Finish[[#This Row],[Qty Required]]</f>
        <v>#DIV/0!</v>
      </c>
      <c r="K202" s="57" t="str">
        <f>IFERROR(tbl_Finish[[#This Row],[Qty Required]]/tbl_Finish[[#This Row],[PPH]]*tbl_Finish[[#This Row],['# of men]],"")</f>
        <v/>
      </c>
      <c r="L202" s="58" t="e">
        <f>tbl_Finish[[#This Row],[Total hours]]*tbl_Finish[[#This Row],[% Complete]]</f>
        <v>#VALUE!</v>
      </c>
      <c r="M202" s="59" t="str">
        <f>IFERROR(tbl_Finish[[#This Row],[Qty Complete]]/tbl_Finish[[#This Row],[Total Hours Act]]*tbl_Finish[[#This Row],['# of men Act]],"")</f>
        <v/>
      </c>
      <c r="O202"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02" s="71" t="str">
        <f>IFERROR((tbl_Finish[[#This Row],[Adj. Total Hours]]+tbl_Finish[[#This Row],[Est. Hours]])/(tbl_Finish[[#This Row],[Total Hours Act]]+tbl_Finish[[#This Row],[Act. Hours]]),"")</f>
        <v/>
      </c>
      <c r="S202" s="63"/>
      <c r="T202" s="63"/>
      <c r="U202" s="63"/>
      <c r="V202" s="63"/>
      <c r="W202" s="63"/>
    </row>
    <row r="203" spans="6:23" ht="25" customHeight="1">
      <c r="F203" s="53"/>
      <c r="H203" s="55" t="e">
        <f>tbl_Finish[[#This Row],[Qty Complete]]/tbl_Finish[[#This Row],[Qty Required]]</f>
        <v>#DIV/0!</v>
      </c>
      <c r="K203" s="57" t="str">
        <f>IFERROR(tbl_Finish[[#This Row],[Qty Required]]/tbl_Finish[[#This Row],[PPH]]*tbl_Finish[[#This Row],['# of men]],"")</f>
        <v/>
      </c>
      <c r="L203" s="58" t="e">
        <f>tbl_Finish[[#This Row],[Total hours]]*tbl_Finish[[#This Row],[% Complete]]</f>
        <v>#VALUE!</v>
      </c>
      <c r="M203" s="59" t="str">
        <f>IFERROR(tbl_Finish[[#This Row],[Qty Complete]]/tbl_Finish[[#This Row],[Total Hours Act]]*tbl_Finish[[#This Row],['# of men Act]],"")</f>
        <v/>
      </c>
      <c r="O203"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03" s="71" t="str">
        <f>IFERROR((tbl_Finish[[#This Row],[Adj. Total Hours]]+tbl_Finish[[#This Row],[Est. Hours]])/(tbl_Finish[[#This Row],[Total Hours Act]]+tbl_Finish[[#This Row],[Act. Hours]]),"")</f>
        <v/>
      </c>
      <c r="S203" s="63"/>
      <c r="T203" s="63"/>
      <c r="U203" s="63"/>
      <c r="V203" s="63"/>
      <c r="W203" s="63"/>
    </row>
    <row r="204" spans="6:23" ht="25" customHeight="1">
      <c r="F204" s="53"/>
      <c r="H204" s="55" t="e">
        <f>tbl_Finish[[#This Row],[Qty Complete]]/tbl_Finish[[#This Row],[Qty Required]]</f>
        <v>#DIV/0!</v>
      </c>
      <c r="K204" s="57" t="str">
        <f>IFERROR(tbl_Finish[[#This Row],[Qty Required]]/tbl_Finish[[#This Row],[PPH]]*tbl_Finish[[#This Row],['# of men]],"")</f>
        <v/>
      </c>
      <c r="L204" s="58" t="e">
        <f>tbl_Finish[[#This Row],[Total hours]]*tbl_Finish[[#This Row],[% Complete]]</f>
        <v>#VALUE!</v>
      </c>
      <c r="M204" s="59" t="str">
        <f>IFERROR(tbl_Finish[[#This Row],[Qty Complete]]/tbl_Finish[[#This Row],[Total Hours Act]]*tbl_Finish[[#This Row],['# of men Act]],"")</f>
        <v/>
      </c>
      <c r="O204"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04" s="71" t="str">
        <f>IFERROR((tbl_Finish[[#This Row],[Adj. Total Hours]]+tbl_Finish[[#This Row],[Est. Hours]])/(tbl_Finish[[#This Row],[Total Hours Act]]+tbl_Finish[[#This Row],[Act. Hours]]),"")</f>
        <v/>
      </c>
      <c r="S204" s="63"/>
      <c r="T204" s="63"/>
      <c r="U204" s="63"/>
      <c r="V204" s="63"/>
      <c r="W204" s="63"/>
    </row>
    <row r="205" spans="6:23" ht="25" customHeight="1">
      <c r="F205" s="53"/>
      <c r="H205" s="55" t="e">
        <f>tbl_Finish[[#This Row],[Qty Complete]]/tbl_Finish[[#This Row],[Qty Required]]</f>
        <v>#DIV/0!</v>
      </c>
      <c r="K205" s="57" t="str">
        <f>IFERROR(tbl_Finish[[#This Row],[Qty Required]]/tbl_Finish[[#This Row],[PPH]]*tbl_Finish[[#This Row],['# of men]],"")</f>
        <v/>
      </c>
      <c r="L205" s="58" t="e">
        <f>tbl_Finish[[#This Row],[Total hours]]*tbl_Finish[[#This Row],[% Complete]]</f>
        <v>#VALUE!</v>
      </c>
      <c r="M205" s="59" t="str">
        <f>IFERROR(tbl_Finish[[#This Row],[Qty Complete]]/tbl_Finish[[#This Row],[Total Hours Act]]*tbl_Finish[[#This Row],['# of men Act]],"")</f>
        <v/>
      </c>
      <c r="O205"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05" s="71" t="str">
        <f>IFERROR((tbl_Finish[[#This Row],[Adj. Total Hours]]+tbl_Finish[[#This Row],[Est. Hours]])/(tbl_Finish[[#This Row],[Total Hours Act]]+tbl_Finish[[#This Row],[Act. Hours]]),"")</f>
        <v/>
      </c>
      <c r="S205" s="63"/>
      <c r="T205" s="63"/>
      <c r="U205" s="63"/>
      <c r="V205" s="63"/>
      <c r="W205" s="63"/>
    </row>
    <row r="206" spans="6:23" ht="25" customHeight="1">
      <c r="F206" s="53"/>
      <c r="H206" s="55" t="e">
        <f>tbl_Finish[[#This Row],[Qty Complete]]/tbl_Finish[[#This Row],[Qty Required]]</f>
        <v>#DIV/0!</v>
      </c>
      <c r="K206" s="57" t="str">
        <f>IFERROR(tbl_Finish[[#This Row],[Qty Required]]/tbl_Finish[[#This Row],[PPH]]*tbl_Finish[[#This Row],['# of men]],"")</f>
        <v/>
      </c>
      <c r="L206" s="58" t="e">
        <f>tbl_Finish[[#This Row],[Total hours]]*tbl_Finish[[#This Row],[% Complete]]</f>
        <v>#VALUE!</v>
      </c>
      <c r="M206" s="59" t="str">
        <f>IFERROR(tbl_Finish[[#This Row],[Qty Complete]]/tbl_Finish[[#This Row],[Total Hours Act]]*tbl_Finish[[#This Row],['# of men Act]],"")</f>
        <v/>
      </c>
      <c r="O206"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06" s="71" t="str">
        <f>IFERROR((tbl_Finish[[#This Row],[Adj. Total Hours]]+tbl_Finish[[#This Row],[Est. Hours]])/(tbl_Finish[[#This Row],[Total Hours Act]]+tbl_Finish[[#This Row],[Act. Hours]]),"")</f>
        <v/>
      </c>
      <c r="S206" s="63"/>
      <c r="T206" s="63"/>
      <c r="U206" s="63"/>
      <c r="V206" s="63"/>
      <c r="W206" s="63"/>
    </row>
    <row r="207" spans="6:23" ht="25" customHeight="1">
      <c r="F207" s="53"/>
      <c r="H207" s="55" t="e">
        <f>tbl_Finish[[#This Row],[Qty Complete]]/tbl_Finish[[#This Row],[Qty Required]]</f>
        <v>#DIV/0!</v>
      </c>
      <c r="K207" s="57" t="str">
        <f>IFERROR(tbl_Finish[[#This Row],[Qty Required]]/tbl_Finish[[#This Row],[PPH]]*tbl_Finish[[#This Row],['# of men]],"")</f>
        <v/>
      </c>
      <c r="L207" s="58" t="e">
        <f>tbl_Finish[[#This Row],[Total hours]]*tbl_Finish[[#This Row],[% Complete]]</f>
        <v>#VALUE!</v>
      </c>
      <c r="M207" s="59" t="str">
        <f>IFERROR(tbl_Finish[[#This Row],[Qty Complete]]/tbl_Finish[[#This Row],[Total Hours Act]]*tbl_Finish[[#This Row],['# of men Act]],"")</f>
        <v/>
      </c>
      <c r="O207"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07" s="71" t="str">
        <f>IFERROR((tbl_Finish[[#This Row],[Adj. Total Hours]]+tbl_Finish[[#This Row],[Est. Hours]])/(tbl_Finish[[#This Row],[Total Hours Act]]+tbl_Finish[[#This Row],[Act. Hours]]),"")</f>
        <v/>
      </c>
      <c r="S207" s="63"/>
      <c r="T207" s="63"/>
      <c r="U207" s="63"/>
      <c r="V207" s="63"/>
      <c r="W207" s="63"/>
    </row>
    <row r="208" spans="6:23" ht="25" customHeight="1">
      <c r="F208" s="53"/>
      <c r="H208" s="55" t="e">
        <f>tbl_Finish[[#This Row],[Qty Complete]]/tbl_Finish[[#This Row],[Qty Required]]</f>
        <v>#DIV/0!</v>
      </c>
      <c r="K208" s="57" t="str">
        <f>IFERROR(tbl_Finish[[#This Row],[Qty Required]]/tbl_Finish[[#This Row],[PPH]]*tbl_Finish[[#This Row],['# of men]],"")</f>
        <v/>
      </c>
      <c r="L208" s="58" t="e">
        <f>tbl_Finish[[#This Row],[Total hours]]*tbl_Finish[[#This Row],[% Complete]]</f>
        <v>#VALUE!</v>
      </c>
      <c r="M208" s="59" t="str">
        <f>IFERROR(tbl_Finish[[#This Row],[Qty Complete]]/tbl_Finish[[#This Row],[Total Hours Act]]*tbl_Finish[[#This Row],['# of men Act]],"")</f>
        <v/>
      </c>
      <c r="O208"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08" s="71" t="str">
        <f>IFERROR((tbl_Finish[[#This Row],[Adj. Total Hours]]+tbl_Finish[[#This Row],[Est. Hours]])/(tbl_Finish[[#This Row],[Total Hours Act]]+tbl_Finish[[#This Row],[Act. Hours]]),"")</f>
        <v/>
      </c>
      <c r="S208" s="63"/>
      <c r="T208" s="63"/>
      <c r="U208" s="63"/>
      <c r="V208" s="63"/>
      <c r="W208" s="63"/>
    </row>
    <row r="209" spans="6:23" ht="25" customHeight="1">
      <c r="F209" s="53"/>
      <c r="H209" s="55" t="e">
        <f>tbl_Finish[[#This Row],[Qty Complete]]/tbl_Finish[[#This Row],[Qty Required]]</f>
        <v>#DIV/0!</v>
      </c>
      <c r="K209" s="57" t="str">
        <f>IFERROR(tbl_Finish[[#This Row],[Qty Required]]/tbl_Finish[[#This Row],[PPH]]*tbl_Finish[[#This Row],['# of men]],"")</f>
        <v/>
      </c>
      <c r="L209" s="58" t="e">
        <f>tbl_Finish[[#This Row],[Total hours]]*tbl_Finish[[#This Row],[% Complete]]</f>
        <v>#VALUE!</v>
      </c>
      <c r="M209" s="59" t="str">
        <f>IFERROR(tbl_Finish[[#This Row],[Qty Complete]]/tbl_Finish[[#This Row],[Total Hours Act]]*tbl_Finish[[#This Row],['# of men Act]],"")</f>
        <v/>
      </c>
      <c r="O209"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09" s="71" t="str">
        <f>IFERROR((tbl_Finish[[#This Row],[Adj. Total Hours]]+tbl_Finish[[#This Row],[Est. Hours]])/(tbl_Finish[[#This Row],[Total Hours Act]]+tbl_Finish[[#This Row],[Act. Hours]]),"")</f>
        <v/>
      </c>
      <c r="S209" s="63"/>
      <c r="T209" s="63"/>
      <c r="U209" s="63"/>
      <c r="V209" s="63"/>
      <c r="W209" s="63"/>
    </row>
    <row r="210" spans="6:23" ht="25" customHeight="1">
      <c r="F210" s="53"/>
      <c r="H210" s="55" t="e">
        <f>tbl_Finish[[#This Row],[Qty Complete]]/tbl_Finish[[#This Row],[Qty Required]]</f>
        <v>#DIV/0!</v>
      </c>
      <c r="K210" s="57" t="str">
        <f>IFERROR(tbl_Finish[[#This Row],[Qty Required]]/tbl_Finish[[#This Row],[PPH]]*tbl_Finish[[#This Row],['# of men]],"")</f>
        <v/>
      </c>
      <c r="L210" s="58" t="e">
        <f>tbl_Finish[[#This Row],[Total hours]]*tbl_Finish[[#This Row],[% Complete]]</f>
        <v>#VALUE!</v>
      </c>
      <c r="M210" s="59" t="str">
        <f>IFERROR(tbl_Finish[[#This Row],[Qty Complete]]/tbl_Finish[[#This Row],[Total Hours Act]]*tbl_Finish[[#This Row],['# of men Act]],"")</f>
        <v/>
      </c>
      <c r="O210"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10" s="71" t="str">
        <f>IFERROR((tbl_Finish[[#This Row],[Adj. Total Hours]]+tbl_Finish[[#This Row],[Est. Hours]])/(tbl_Finish[[#This Row],[Total Hours Act]]+tbl_Finish[[#This Row],[Act. Hours]]),"")</f>
        <v/>
      </c>
      <c r="S210" s="63"/>
      <c r="T210" s="63"/>
      <c r="U210" s="63"/>
      <c r="V210" s="63"/>
      <c r="W210" s="63"/>
    </row>
    <row r="211" spans="6:23" ht="25" customHeight="1">
      <c r="F211" s="53"/>
      <c r="H211" s="55" t="e">
        <f>tbl_Finish[[#This Row],[Qty Complete]]/tbl_Finish[[#This Row],[Qty Required]]</f>
        <v>#DIV/0!</v>
      </c>
      <c r="K211" s="57" t="str">
        <f>IFERROR(tbl_Finish[[#This Row],[Qty Required]]/tbl_Finish[[#This Row],[PPH]]*tbl_Finish[[#This Row],['# of men]],"")</f>
        <v/>
      </c>
      <c r="L211" s="58" t="e">
        <f>tbl_Finish[[#This Row],[Total hours]]*tbl_Finish[[#This Row],[% Complete]]</f>
        <v>#VALUE!</v>
      </c>
      <c r="M211" s="59" t="str">
        <f>IFERROR(tbl_Finish[[#This Row],[Qty Complete]]/tbl_Finish[[#This Row],[Total Hours Act]]*tbl_Finish[[#This Row],['# of men Act]],"")</f>
        <v/>
      </c>
      <c r="O211"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11" s="71" t="str">
        <f>IFERROR((tbl_Finish[[#This Row],[Adj. Total Hours]]+tbl_Finish[[#This Row],[Est. Hours]])/(tbl_Finish[[#This Row],[Total Hours Act]]+tbl_Finish[[#This Row],[Act. Hours]]),"")</f>
        <v/>
      </c>
      <c r="S211" s="63"/>
      <c r="T211" s="63"/>
      <c r="U211" s="63"/>
      <c r="V211" s="63"/>
      <c r="W211" s="63"/>
    </row>
    <row r="212" spans="6:23" ht="25" customHeight="1">
      <c r="F212" s="53"/>
      <c r="H212" s="55" t="e">
        <f>tbl_Finish[[#This Row],[Qty Complete]]/tbl_Finish[[#This Row],[Qty Required]]</f>
        <v>#DIV/0!</v>
      </c>
      <c r="K212" s="57" t="str">
        <f>IFERROR(tbl_Finish[[#This Row],[Qty Required]]/tbl_Finish[[#This Row],[PPH]]*tbl_Finish[[#This Row],['# of men]],"")</f>
        <v/>
      </c>
      <c r="L212" s="58" t="e">
        <f>tbl_Finish[[#This Row],[Total hours]]*tbl_Finish[[#This Row],[% Complete]]</f>
        <v>#VALUE!</v>
      </c>
      <c r="M212" s="59" t="str">
        <f>IFERROR(tbl_Finish[[#This Row],[Qty Complete]]/tbl_Finish[[#This Row],[Total Hours Act]]*tbl_Finish[[#This Row],['# of men Act]],"")</f>
        <v/>
      </c>
      <c r="O212"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12" s="71" t="str">
        <f>IFERROR((tbl_Finish[[#This Row],[Adj. Total Hours]]+tbl_Finish[[#This Row],[Est. Hours]])/(tbl_Finish[[#This Row],[Total Hours Act]]+tbl_Finish[[#This Row],[Act. Hours]]),"")</f>
        <v/>
      </c>
      <c r="S212" s="63"/>
      <c r="T212" s="63"/>
      <c r="U212" s="63"/>
      <c r="V212" s="63"/>
      <c r="W212" s="63"/>
    </row>
    <row r="213" spans="6:23" ht="25" customHeight="1">
      <c r="F213" s="53"/>
      <c r="H213" s="55" t="e">
        <f>tbl_Finish[[#This Row],[Qty Complete]]/tbl_Finish[[#This Row],[Qty Required]]</f>
        <v>#DIV/0!</v>
      </c>
      <c r="K213" s="57" t="str">
        <f>IFERROR(tbl_Finish[[#This Row],[Qty Required]]/tbl_Finish[[#This Row],[PPH]]*tbl_Finish[[#This Row],['# of men]],"")</f>
        <v/>
      </c>
      <c r="L213" s="58" t="e">
        <f>tbl_Finish[[#This Row],[Total hours]]*tbl_Finish[[#This Row],[% Complete]]</f>
        <v>#VALUE!</v>
      </c>
      <c r="M213" s="59" t="str">
        <f>IFERROR(tbl_Finish[[#This Row],[Qty Complete]]/tbl_Finish[[#This Row],[Total Hours Act]]*tbl_Finish[[#This Row],['# of men Act]],"")</f>
        <v/>
      </c>
      <c r="O213"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13" s="71" t="str">
        <f>IFERROR((tbl_Finish[[#This Row],[Adj. Total Hours]]+tbl_Finish[[#This Row],[Est. Hours]])/(tbl_Finish[[#This Row],[Total Hours Act]]+tbl_Finish[[#This Row],[Act. Hours]]),"")</f>
        <v/>
      </c>
      <c r="S213" s="63"/>
      <c r="T213" s="63"/>
      <c r="U213" s="63"/>
      <c r="V213" s="63"/>
      <c r="W213" s="63"/>
    </row>
    <row r="214" spans="6:23" ht="25" customHeight="1">
      <c r="F214" s="53"/>
      <c r="H214" s="55" t="e">
        <f>tbl_Finish[[#This Row],[Qty Complete]]/tbl_Finish[[#This Row],[Qty Required]]</f>
        <v>#DIV/0!</v>
      </c>
      <c r="K214" s="57" t="str">
        <f>IFERROR(tbl_Finish[[#This Row],[Qty Required]]/tbl_Finish[[#This Row],[PPH]]*tbl_Finish[[#This Row],['# of men]],"")</f>
        <v/>
      </c>
      <c r="L214" s="58" t="e">
        <f>tbl_Finish[[#This Row],[Total hours]]*tbl_Finish[[#This Row],[% Complete]]</f>
        <v>#VALUE!</v>
      </c>
      <c r="M214" s="59" t="str">
        <f>IFERROR(tbl_Finish[[#This Row],[Qty Complete]]/tbl_Finish[[#This Row],[Total Hours Act]]*tbl_Finish[[#This Row],['# of men Act]],"")</f>
        <v/>
      </c>
      <c r="O214"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14" s="71" t="str">
        <f>IFERROR((tbl_Finish[[#This Row],[Adj. Total Hours]]+tbl_Finish[[#This Row],[Est. Hours]])/(tbl_Finish[[#This Row],[Total Hours Act]]+tbl_Finish[[#This Row],[Act. Hours]]),"")</f>
        <v/>
      </c>
      <c r="S214" s="63"/>
      <c r="T214" s="63"/>
      <c r="U214" s="63"/>
      <c r="V214" s="63"/>
      <c r="W214" s="63"/>
    </row>
    <row r="215" spans="6:23" ht="25" customHeight="1">
      <c r="F215" s="53"/>
      <c r="H215" s="55" t="e">
        <f>tbl_Finish[[#This Row],[Qty Complete]]/tbl_Finish[[#This Row],[Qty Required]]</f>
        <v>#DIV/0!</v>
      </c>
      <c r="K215" s="57" t="str">
        <f>IFERROR(tbl_Finish[[#This Row],[Qty Required]]/tbl_Finish[[#This Row],[PPH]]*tbl_Finish[[#This Row],['# of men]],"")</f>
        <v/>
      </c>
      <c r="L215" s="58" t="e">
        <f>tbl_Finish[[#This Row],[Total hours]]*tbl_Finish[[#This Row],[% Complete]]</f>
        <v>#VALUE!</v>
      </c>
      <c r="M215" s="59" t="str">
        <f>IFERROR(tbl_Finish[[#This Row],[Qty Complete]]/tbl_Finish[[#This Row],[Total Hours Act]]*tbl_Finish[[#This Row],['# of men Act]],"")</f>
        <v/>
      </c>
      <c r="O215"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15" s="71" t="str">
        <f>IFERROR((tbl_Finish[[#This Row],[Adj. Total Hours]]+tbl_Finish[[#This Row],[Est. Hours]])/(tbl_Finish[[#This Row],[Total Hours Act]]+tbl_Finish[[#This Row],[Act. Hours]]),"")</f>
        <v/>
      </c>
      <c r="S215" s="63"/>
      <c r="T215" s="63"/>
      <c r="U215" s="63"/>
      <c r="V215" s="63"/>
      <c r="W215" s="63"/>
    </row>
    <row r="216" spans="6:23" ht="25" customHeight="1">
      <c r="F216" s="53"/>
      <c r="H216" s="55" t="e">
        <f>tbl_Finish[[#This Row],[Qty Complete]]/tbl_Finish[[#This Row],[Qty Required]]</f>
        <v>#DIV/0!</v>
      </c>
      <c r="K216" s="57" t="str">
        <f>IFERROR(tbl_Finish[[#This Row],[Qty Required]]/tbl_Finish[[#This Row],[PPH]]*tbl_Finish[[#This Row],['# of men]],"")</f>
        <v/>
      </c>
      <c r="L216" s="58" t="e">
        <f>tbl_Finish[[#This Row],[Total hours]]*tbl_Finish[[#This Row],[% Complete]]</f>
        <v>#VALUE!</v>
      </c>
      <c r="M216" s="59" t="str">
        <f>IFERROR(tbl_Finish[[#This Row],[Qty Complete]]/tbl_Finish[[#This Row],[Total Hours Act]]*tbl_Finish[[#This Row],['# of men Act]],"")</f>
        <v/>
      </c>
      <c r="O216"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16" s="71" t="str">
        <f>IFERROR((tbl_Finish[[#This Row],[Adj. Total Hours]]+tbl_Finish[[#This Row],[Est. Hours]])/(tbl_Finish[[#This Row],[Total Hours Act]]+tbl_Finish[[#This Row],[Act. Hours]]),"")</f>
        <v/>
      </c>
      <c r="S216" s="63"/>
      <c r="T216" s="63"/>
      <c r="U216" s="63"/>
      <c r="V216" s="63"/>
      <c r="W216" s="63"/>
    </row>
    <row r="217" spans="6:23" ht="25" customHeight="1">
      <c r="F217" s="53"/>
      <c r="H217" s="55" t="e">
        <f>tbl_Finish[[#This Row],[Qty Complete]]/tbl_Finish[[#This Row],[Qty Required]]</f>
        <v>#DIV/0!</v>
      </c>
      <c r="K217" s="57" t="str">
        <f>IFERROR(tbl_Finish[[#This Row],[Qty Required]]/tbl_Finish[[#This Row],[PPH]]*tbl_Finish[[#This Row],['# of men]],"")</f>
        <v/>
      </c>
      <c r="L217" s="58" t="e">
        <f>tbl_Finish[[#This Row],[Total hours]]*tbl_Finish[[#This Row],[% Complete]]</f>
        <v>#VALUE!</v>
      </c>
      <c r="M217" s="59" t="str">
        <f>IFERROR(tbl_Finish[[#This Row],[Qty Complete]]/tbl_Finish[[#This Row],[Total Hours Act]]*tbl_Finish[[#This Row],['# of men Act]],"")</f>
        <v/>
      </c>
      <c r="O217"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17" s="71" t="str">
        <f>IFERROR((tbl_Finish[[#This Row],[Adj. Total Hours]]+tbl_Finish[[#This Row],[Est. Hours]])/(tbl_Finish[[#This Row],[Total Hours Act]]+tbl_Finish[[#This Row],[Act. Hours]]),"")</f>
        <v/>
      </c>
      <c r="S217" s="63"/>
      <c r="T217" s="63"/>
      <c r="U217" s="63"/>
      <c r="V217" s="63"/>
      <c r="W217" s="63"/>
    </row>
    <row r="218" spans="6:23" ht="25" customHeight="1">
      <c r="F218" s="53"/>
      <c r="H218" s="55" t="e">
        <f>tbl_Finish[[#This Row],[Qty Complete]]/tbl_Finish[[#This Row],[Qty Required]]</f>
        <v>#DIV/0!</v>
      </c>
      <c r="K218" s="57" t="str">
        <f>IFERROR(tbl_Finish[[#This Row],[Qty Required]]/tbl_Finish[[#This Row],[PPH]]*tbl_Finish[[#This Row],['# of men]],"")</f>
        <v/>
      </c>
      <c r="L218" s="58" t="e">
        <f>tbl_Finish[[#This Row],[Total hours]]*tbl_Finish[[#This Row],[% Complete]]</f>
        <v>#VALUE!</v>
      </c>
      <c r="M218" s="59" t="str">
        <f>IFERROR(tbl_Finish[[#This Row],[Qty Complete]]/tbl_Finish[[#This Row],[Total Hours Act]]*tbl_Finish[[#This Row],['# of men Act]],"")</f>
        <v/>
      </c>
      <c r="O218"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18" s="71" t="str">
        <f>IFERROR((tbl_Finish[[#This Row],[Adj. Total Hours]]+tbl_Finish[[#This Row],[Est. Hours]])/(tbl_Finish[[#This Row],[Total Hours Act]]+tbl_Finish[[#This Row],[Act. Hours]]),"")</f>
        <v/>
      </c>
      <c r="S218" s="63"/>
      <c r="T218" s="63"/>
      <c r="U218" s="63"/>
      <c r="V218" s="63"/>
      <c r="W218" s="63"/>
    </row>
    <row r="219" spans="6:23" ht="25" customHeight="1">
      <c r="F219" s="53"/>
      <c r="H219" s="55" t="e">
        <f>tbl_Finish[[#This Row],[Qty Complete]]/tbl_Finish[[#This Row],[Qty Required]]</f>
        <v>#DIV/0!</v>
      </c>
      <c r="K219" s="57" t="str">
        <f>IFERROR(tbl_Finish[[#This Row],[Qty Required]]/tbl_Finish[[#This Row],[PPH]]*tbl_Finish[[#This Row],['# of men]],"")</f>
        <v/>
      </c>
      <c r="L219" s="58" t="e">
        <f>tbl_Finish[[#This Row],[Total hours]]*tbl_Finish[[#This Row],[% Complete]]</f>
        <v>#VALUE!</v>
      </c>
      <c r="M219" s="59" t="str">
        <f>IFERROR(tbl_Finish[[#This Row],[Qty Complete]]/tbl_Finish[[#This Row],[Total Hours Act]]*tbl_Finish[[#This Row],['# of men Act]],"")</f>
        <v/>
      </c>
      <c r="O219"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19" s="71" t="str">
        <f>IFERROR((tbl_Finish[[#This Row],[Adj. Total Hours]]+tbl_Finish[[#This Row],[Est. Hours]])/(tbl_Finish[[#This Row],[Total Hours Act]]+tbl_Finish[[#This Row],[Act. Hours]]),"")</f>
        <v/>
      </c>
      <c r="S219" s="63"/>
      <c r="T219" s="63"/>
      <c r="U219" s="63"/>
      <c r="V219" s="63"/>
      <c r="W219" s="63"/>
    </row>
    <row r="220" spans="6:23" ht="25" customHeight="1">
      <c r="F220" s="53"/>
      <c r="H220" s="55" t="e">
        <f>tbl_Finish[[#This Row],[Qty Complete]]/tbl_Finish[[#This Row],[Qty Required]]</f>
        <v>#DIV/0!</v>
      </c>
      <c r="K220" s="57" t="str">
        <f>IFERROR(tbl_Finish[[#This Row],[Qty Required]]/tbl_Finish[[#This Row],[PPH]]*tbl_Finish[[#This Row],['# of men]],"")</f>
        <v/>
      </c>
      <c r="L220" s="58" t="e">
        <f>tbl_Finish[[#This Row],[Total hours]]*tbl_Finish[[#This Row],[% Complete]]</f>
        <v>#VALUE!</v>
      </c>
      <c r="M220" s="59" t="str">
        <f>IFERROR(tbl_Finish[[#This Row],[Qty Complete]]/tbl_Finish[[#This Row],[Total Hours Act]]*tbl_Finish[[#This Row],['# of men Act]],"")</f>
        <v/>
      </c>
      <c r="O220"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20" s="71" t="str">
        <f>IFERROR((tbl_Finish[[#This Row],[Adj. Total Hours]]+tbl_Finish[[#This Row],[Est. Hours]])/(tbl_Finish[[#This Row],[Total Hours Act]]+tbl_Finish[[#This Row],[Act. Hours]]),"")</f>
        <v/>
      </c>
      <c r="S220" s="63"/>
      <c r="T220" s="63"/>
      <c r="U220" s="63"/>
      <c r="V220" s="63"/>
      <c r="W220" s="63"/>
    </row>
    <row r="221" spans="6:23" ht="25" customHeight="1">
      <c r="F221" s="53"/>
      <c r="H221" s="55" t="e">
        <f>tbl_Finish[[#This Row],[Qty Complete]]/tbl_Finish[[#This Row],[Qty Required]]</f>
        <v>#DIV/0!</v>
      </c>
      <c r="K221" s="57" t="str">
        <f>IFERROR(tbl_Finish[[#This Row],[Qty Required]]/tbl_Finish[[#This Row],[PPH]]*tbl_Finish[[#This Row],['# of men]],"")</f>
        <v/>
      </c>
      <c r="L221" s="58" t="e">
        <f>tbl_Finish[[#This Row],[Total hours]]*tbl_Finish[[#This Row],[% Complete]]</f>
        <v>#VALUE!</v>
      </c>
      <c r="M221" s="59" t="str">
        <f>IFERROR(tbl_Finish[[#This Row],[Qty Complete]]/tbl_Finish[[#This Row],[Total Hours Act]]*tbl_Finish[[#This Row],['# of men Act]],"")</f>
        <v/>
      </c>
      <c r="O221"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21" s="71" t="str">
        <f>IFERROR((tbl_Finish[[#This Row],[Adj. Total Hours]]+tbl_Finish[[#This Row],[Est. Hours]])/(tbl_Finish[[#This Row],[Total Hours Act]]+tbl_Finish[[#This Row],[Act. Hours]]),"")</f>
        <v/>
      </c>
      <c r="S221" s="63"/>
      <c r="T221" s="63"/>
      <c r="U221" s="63"/>
      <c r="V221" s="63"/>
      <c r="W221" s="63"/>
    </row>
    <row r="222" spans="6:23" ht="25" customHeight="1">
      <c r="F222" s="53"/>
      <c r="H222" s="55" t="e">
        <f>tbl_Finish[[#This Row],[Qty Complete]]/tbl_Finish[[#This Row],[Qty Required]]</f>
        <v>#DIV/0!</v>
      </c>
      <c r="K222" s="57" t="str">
        <f>IFERROR(tbl_Finish[[#This Row],[Qty Required]]/tbl_Finish[[#This Row],[PPH]]*tbl_Finish[[#This Row],['# of men]],"")</f>
        <v/>
      </c>
      <c r="L222" s="58" t="e">
        <f>tbl_Finish[[#This Row],[Total hours]]*tbl_Finish[[#This Row],[% Complete]]</f>
        <v>#VALUE!</v>
      </c>
      <c r="M222" s="59" t="str">
        <f>IFERROR(tbl_Finish[[#This Row],[Qty Complete]]/tbl_Finish[[#This Row],[Total Hours Act]]*tbl_Finish[[#This Row],['# of men Act]],"")</f>
        <v/>
      </c>
      <c r="O222"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22" s="71" t="str">
        <f>IFERROR((tbl_Finish[[#This Row],[Adj. Total Hours]]+tbl_Finish[[#This Row],[Est. Hours]])/(tbl_Finish[[#This Row],[Total Hours Act]]+tbl_Finish[[#This Row],[Act. Hours]]),"")</f>
        <v/>
      </c>
      <c r="S222" s="63"/>
      <c r="T222" s="63"/>
      <c r="U222" s="63"/>
      <c r="V222" s="63"/>
      <c r="W222" s="63"/>
    </row>
    <row r="223" spans="6:23" ht="25" customHeight="1">
      <c r="F223" s="53"/>
      <c r="H223" s="55" t="e">
        <f>tbl_Finish[[#This Row],[Qty Complete]]/tbl_Finish[[#This Row],[Qty Required]]</f>
        <v>#DIV/0!</v>
      </c>
      <c r="K223" s="57" t="str">
        <f>IFERROR(tbl_Finish[[#This Row],[Qty Required]]/tbl_Finish[[#This Row],[PPH]]*tbl_Finish[[#This Row],['# of men]],"")</f>
        <v/>
      </c>
      <c r="L223" s="58" t="e">
        <f>tbl_Finish[[#This Row],[Total hours]]*tbl_Finish[[#This Row],[% Complete]]</f>
        <v>#VALUE!</v>
      </c>
      <c r="M223" s="59" t="str">
        <f>IFERROR(tbl_Finish[[#This Row],[Qty Complete]]/tbl_Finish[[#This Row],[Total Hours Act]]*tbl_Finish[[#This Row],['# of men Act]],"")</f>
        <v/>
      </c>
      <c r="O223"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23" s="71" t="str">
        <f>IFERROR((tbl_Finish[[#This Row],[Adj. Total Hours]]+tbl_Finish[[#This Row],[Est. Hours]])/(tbl_Finish[[#This Row],[Total Hours Act]]+tbl_Finish[[#This Row],[Act. Hours]]),"")</f>
        <v/>
      </c>
      <c r="S223" s="63"/>
      <c r="T223" s="63"/>
      <c r="U223" s="63"/>
      <c r="V223" s="63"/>
      <c r="W223" s="63"/>
    </row>
    <row r="224" spans="6:23" ht="25" customHeight="1">
      <c r="F224" s="53"/>
      <c r="H224" s="55" t="e">
        <f>tbl_Finish[[#This Row],[Qty Complete]]/tbl_Finish[[#This Row],[Qty Required]]</f>
        <v>#DIV/0!</v>
      </c>
      <c r="K224" s="57" t="str">
        <f>IFERROR(tbl_Finish[[#This Row],[Qty Required]]/tbl_Finish[[#This Row],[PPH]]*tbl_Finish[[#This Row],['# of men]],"")</f>
        <v/>
      </c>
      <c r="L224" s="58" t="e">
        <f>tbl_Finish[[#This Row],[Total hours]]*tbl_Finish[[#This Row],[% Complete]]</f>
        <v>#VALUE!</v>
      </c>
      <c r="M224" s="59" t="str">
        <f>IFERROR(tbl_Finish[[#This Row],[Qty Complete]]/tbl_Finish[[#This Row],[Total Hours Act]]*tbl_Finish[[#This Row],['# of men Act]],"")</f>
        <v/>
      </c>
      <c r="O224"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24" s="71" t="str">
        <f>IFERROR((tbl_Finish[[#This Row],[Adj. Total Hours]]+tbl_Finish[[#This Row],[Est. Hours]])/(tbl_Finish[[#This Row],[Total Hours Act]]+tbl_Finish[[#This Row],[Act. Hours]]),"")</f>
        <v/>
      </c>
      <c r="S224" s="63"/>
      <c r="T224" s="63"/>
      <c r="U224" s="63"/>
      <c r="V224" s="63"/>
      <c r="W224" s="63"/>
    </row>
    <row r="225" spans="6:23" ht="25" customHeight="1">
      <c r="F225" s="53"/>
      <c r="H225" s="55" t="e">
        <f>tbl_Finish[[#This Row],[Qty Complete]]/tbl_Finish[[#This Row],[Qty Required]]</f>
        <v>#DIV/0!</v>
      </c>
      <c r="K225" s="57" t="str">
        <f>IFERROR(tbl_Finish[[#This Row],[Qty Required]]/tbl_Finish[[#This Row],[PPH]]*tbl_Finish[[#This Row],['# of men]],"")</f>
        <v/>
      </c>
      <c r="L225" s="58" t="e">
        <f>tbl_Finish[[#This Row],[Total hours]]*tbl_Finish[[#This Row],[% Complete]]</f>
        <v>#VALUE!</v>
      </c>
      <c r="M225" s="59" t="str">
        <f>IFERROR(tbl_Finish[[#This Row],[Qty Complete]]/tbl_Finish[[#This Row],[Total Hours Act]]*tbl_Finish[[#This Row],['# of men Act]],"")</f>
        <v/>
      </c>
      <c r="O225"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25" s="71" t="str">
        <f>IFERROR((tbl_Finish[[#This Row],[Adj. Total Hours]]+tbl_Finish[[#This Row],[Est. Hours]])/(tbl_Finish[[#This Row],[Total Hours Act]]+tbl_Finish[[#This Row],[Act. Hours]]),"")</f>
        <v/>
      </c>
      <c r="S225" s="63"/>
      <c r="T225" s="63"/>
      <c r="U225" s="63"/>
      <c r="V225" s="63"/>
      <c r="W225" s="63"/>
    </row>
    <row r="226" spans="6:23" ht="25" customHeight="1">
      <c r="F226" s="53"/>
      <c r="H226" s="55" t="e">
        <f>tbl_Finish[[#This Row],[Qty Complete]]/tbl_Finish[[#This Row],[Qty Required]]</f>
        <v>#DIV/0!</v>
      </c>
      <c r="K226" s="57" t="str">
        <f>IFERROR(tbl_Finish[[#This Row],[Qty Required]]/tbl_Finish[[#This Row],[PPH]]*tbl_Finish[[#This Row],['# of men]],"")</f>
        <v/>
      </c>
      <c r="L226" s="58" t="e">
        <f>tbl_Finish[[#This Row],[Total hours]]*tbl_Finish[[#This Row],[% Complete]]</f>
        <v>#VALUE!</v>
      </c>
      <c r="M226" s="59" t="str">
        <f>IFERROR(tbl_Finish[[#This Row],[Qty Complete]]/tbl_Finish[[#This Row],[Total Hours Act]]*tbl_Finish[[#This Row],['# of men Act]],"")</f>
        <v/>
      </c>
      <c r="O226"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26" s="71" t="str">
        <f>IFERROR((tbl_Finish[[#This Row],[Adj. Total Hours]]+tbl_Finish[[#This Row],[Est. Hours]])/(tbl_Finish[[#This Row],[Total Hours Act]]+tbl_Finish[[#This Row],[Act. Hours]]),"")</f>
        <v/>
      </c>
      <c r="S226" s="63"/>
      <c r="T226" s="63"/>
      <c r="U226" s="63"/>
      <c r="V226" s="63"/>
      <c r="W226" s="63"/>
    </row>
    <row r="227" spans="6:23" ht="25" customHeight="1">
      <c r="F227" s="53"/>
      <c r="H227" s="55" t="e">
        <f>tbl_Finish[[#This Row],[Qty Complete]]/tbl_Finish[[#This Row],[Qty Required]]</f>
        <v>#DIV/0!</v>
      </c>
      <c r="K227" s="57" t="str">
        <f>IFERROR(tbl_Finish[[#This Row],[Qty Required]]/tbl_Finish[[#This Row],[PPH]]*tbl_Finish[[#This Row],['# of men]],"")</f>
        <v/>
      </c>
      <c r="L227" s="58" t="e">
        <f>tbl_Finish[[#This Row],[Total hours]]*tbl_Finish[[#This Row],[% Complete]]</f>
        <v>#VALUE!</v>
      </c>
      <c r="M227" s="59" t="str">
        <f>IFERROR(tbl_Finish[[#This Row],[Qty Complete]]/tbl_Finish[[#This Row],[Total Hours Act]]*tbl_Finish[[#This Row],['# of men Act]],"")</f>
        <v/>
      </c>
      <c r="O227"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27" s="71" t="str">
        <f>IFERROR((tbl_Finish[[#This Row],[Adj. Total Hours]]+tbl_Finish[[#This Row],[Est. Hours]])/(tbl_Finish[[#This Row],[Total Hours Act]]+tbl_Finish[[#This Row],[Act. Hours]]),"")</f>
        <v/>
      </c>
      <c r="S227" s="63"/>
      <c r="T227" s="63"/>
      <c r="U227" s="63"/>
      <c r="V227" s="63"/>
      <c r="W227" s="63"/>
    </row>
    <row r="228" spans="6:23" ht="25" customHeight="1">
      <c r="F228" s="53"/>
      <c r="H228" s="55" t="e">
        <f>tbl_Finish[[#This Row],[Qty Complete]]/tbl_Finish[[#This Row],[Qty Required]]</f>
        <v>#DIV/0!</v>
      </c>
      <c r="K228" s="57" t="str">
        <f>IFERROR(tbl_Finish[[#This Row],[Qty Required]]/tbl_Finish[[#This Row],[PPH]]*tbl_Finish[[#This Row],['# of men]],"")</f>
        <v/>
      </c>
      <c r="L228" s="58" t="e">
        <f>tbl_Finish[[#This Row],[Total hours]]*tbl_Finish[[#This Row],[% Complete]]</f>
        <v>#VALUE!</v>
      </c>
      <c r="M228" s="59" t="str">
        <f>IFERROR(tbl_Finish[[#This Row],[Qty Complete]]/tbl_Finish[[#This Row],[Total Hours Act]]*tbl_Finish[[#This Row],['# of men Act]],"")</f>
        <v/>
      </c>
      <c r="O228"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28" s="71" t="str">
        <f>IFERROR((tbl_Finish[[#This Row],[Adj. Total Hours]]+tbl_Finish[[#This Row],[Est. Hours]])/(tbl_Finish[[#This Row],[Total Hours Act]]+tbl_Finish[[#This Row],[Act. Hours]]),"")</f>
        <v/>
      </c>
      <c r="S228" s="63"/>
      <c r="T228" s="63"/>
      <c r="U228" s="63"/>
      <c r="V228" s="63"/>
      <c r="W228" s="63"/>
    </row>
    <row r="229" spans="6:23" ht="25" customHeight="1">
      <c r="F229" s="53"/>
      <c r="H229" s="55" t="e">
        <f>tbl_Finish[[#This Row],[Qty Complete]]/tbl_Finish[[#This Row],[Qty Required]]</f>
        <v>#DIV/0!</v>
      </c>
      <c r="K229" s="57" t="str">
        <f>IFERROR(tbl_Finish[[#This Row],[Qty Required]]/tbl_Finish[[#This Row],[PPH]]*tbl_Finish[[#This Row],['# of men]],"")</f>
        <v/>
      </c>
      <c r="L229" s="58" t="e">
        <f>tbl_Finish[[#This Row],[Total hours]]*tbl_Finish[[#This Row],[% Complete]]</f>
        <v>#VALUE!</v>
      </c>
      <c r="M229" s="59" t="str">
        <f>IFERROR(tbl_Finish[[#This Row],[Qty Complete]]/tbl_Finish[[#This Row],[Total Hours Act]]*tbl_Finish[[#This Row],['# of men Act]],"")</f>
        <v/>
      </c>
      <c r="O229"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29" s="71" t="str">
        <f>IFERROR((tbl_Finish[[#This Row],[Adj. Total Hours]]+tbl_Finish[[#This Row],[Est. Hours]])/(tbl_Finish[[#This Row],[Total Hours Act]]+tbl_Finish[[#This Row],[Act. Hours]]),"")</f>
        <v/>
      </c>
      <c r="S229" s="63"/>
      <c r="T229" s="63"/>
      <c r="U229" s="63"/>
      <c r="V229" s="63"/>
      <c r="W229" s="63"/>
    </row>
    <row r="230" spans="6:23" ht="25" customHeight="1">
      <c r="F230" s="53"/>
      <c r="H230" s="55" t="e">
        <f>tbl_Finish[[#This Row],[Qty Complete]]/tbl_Finish[[#This Row],[Qty Required]]</f>
        <v>#DIV/0!</v>
      </c>
      <c r="K230" s="57" t="str">
        <f>IFERROR(tbl_Finish[[#This Row],[Qty Required]]/tbl_Finish[[#This Row],[PPH]]*tbl_Finish[[#This Row],['# of men]],"")</f>
        <v/>
      </c>
      <c r="L230" s="58" t="e">
        <f>tbl_Finish[[#This Row],[Total hours]]*tbl_Finish[[#This Row],[% Complete]]</f>
        <v>#VALUE!</v>
      </c>
      <c r="M230" s="59" t="str">
        <f>IFERROR(tbl_Finish[[#This Row],[Qty Complete]]/tbl_Finish[[#This Row],[Total Hours Act]]*tbl_Finish[[#This Row],['# of men Act]],"")</f>
        <v/>
      </c>
      <c r="O230"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30" s="71" t="str">
        <f>IFERROR((tbl_Finish[[#This Row],[Adj. Total Hours]]+tbl_Finish[[#This Row],[Est. Hours]])/(tbl_Finish[[#This Row],[Total Hours Act]]+tbl_Finish[[#This Row],[Act. Hours]]),"")</f>
        <v/>
      </c>
      <c r="S230" s="63"/>
      <c r="T230" s="63"/>
      <c r="U230" s="63"/>
      <c r="V230" s="63"/>
      <c r="W230" s="63"/>
    </row>
    <row r="231" spans="6:23" ht="25" customHeight="1">
      <c r="F231" s="53"/>
      <c r="H231" s="55" t="e">
        <f>tbl_Finish[[#This Row],[Qty Complete]]/tbl_Finish[[#This Row],[Qty Required]]</f>
        <v>#DIV/0!</v>
      </c>
      <c r="K231" s="57" t="str">
        <f>IFERROR(tbl_Finish[[#This Row],[Qty Required]]/tbl_Finish[[#This Row],[PPH]]*tbl_Finish[[#This Row],['# of men]],"")</f>
        <v/>
      </c>
      <c r="L231" s="58" t="e">
        <f>tbl_Finish[[#This Row],[Total hours]]*tbl_Finish[[#This Row],[% Complete]]</f>
        <v>#VALUE!</v>
      </c>
      <c r="M231" s="59" t="str">
        <f>IFERROR(tbl_Finish[[#This Row],[Qty Complete]]/tbl_Finish[[#This Row],[Total Hours Act]]*tbl_Finish[[#This Row],['# of men Act]],"")</f>
        <v/>
      </c>
      <c r="O231"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31" s="71" t="str">
        <f>IFERROR((tbl_Finish[[#This Row],[Adj. Total Hours]]+tbl_Finish[[#This Row],[Est. Hours]])/(tbl_Finish[[#This Row],[Total Hours Act]]+tbl_Finish[[#This Row],[Act. Hours]]),"")</f>
        <v/>
      </c>
      <c r="S231" s="63"/>
      <c r="T231" s="63"/>
      <c r="U231" s="63"/>
      <c r="V231" s="63"/>
      <c r="W231" s="63"/>
    </row>
    <row r="232" spans="6:23" ht="25" customHeight="1">
      <c r="F232" s="53"/>
      <c r="H232" s="55" t="e">
        <f>tbl_Finish[[#This Row],[Qty Complete]]/tbl_Finish[[#This Row],[Qty Required]]</f>
        <v>#DIV/0!</v>
      </c>
      <c r="K232" s="57" t="str">
        <f>IFERROR(tbl_Finish[[#This Row],[Qty Required]]/tbl_Finish[[#This Row],[PPH]]*tbl_Finish[[#This Row],['# of men]],"")</f>
        <v/>
      </c>
      <c r="L232" s="58" t="e">
        <f>tbl_Finish[[#This Row],[Total hours]]*tbl_Finish[[#This Row],[% Complete]]</f>
        <v>#VALUE!</v>
      </c>
      <c r="M232" s="59" t="str">
        <f>IFERROR(tbl_Finish[[#This Row],[Qty Complete]]/tbl_Finish[[#This Row],[Total Hours Act]]*tbl_Finish[[#This Row],['# of men Act]],"")</f>
        <v/>
      </c>
      <c r="O232"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32" s="71" t="str">
        <f>IFERROR((tbl_Finish[[#This Row],[Adj. Total Hours]]+tbl_Finish[[#This Row],[Est. Hours]])/(tbl_Finish[[#This Row],[Total Hours Act]]+tbl_Finish[[#This Row],[Act. Hours]]),"")</f>
        <v/>
      </c>
      <c r="S232" s="63"/>
      <c r="T232" s="63"/>
      <c r="U232" s="63"/>
      <c r="V232" s="63"/>
      <c r="W232" s="63"/>
    </row>
    <row r="233" spans="6:23" ht="25" customHeight="1">
      <c r="F233" s="53"/>
      <c r="H233" s="55" t="e">
        <f>tbl_Finish[[#This Row],[Qty Complete]]/tbl_Finish[[#This Row],[Qty Required]]</f>
        <v>#DIV/0!</v>
      </c>
      <c r="K233" s="57" t="str">
        <f>IFERROR(tbl_Finish[[#This Row],[Qty Required]]/tbl_Finish[[#This Row],[PPH]]*tbl_Finish[[#This Row],['# of men]],"")</f>
        <v/>
      </c>
      <c r="L233" s="58" t="e">
        <f>tbl_Finish[[#This Row],[Total hours]]*tbl_Finish[[#This Row],[% Complete]]</f>
        <v>#VALUE!</v>
      </c>
      <c r="M233" s="59" t="str">
        <f>IFERROR(tbl_Finish[[#This Row],[Qty Complete]]/tbl_Finish[[#This Row],[Total Hours Act]]*tbl_Finish[[#This Row],['# of men Act]],"")</f>
        <v/>
      </c>
      <c r="O233"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33" s="71" t="str">
        <f>IFERROR((tbl_Finish[[#This Row],[Adj. Total Hours]]+tbl_Finish[[#This Row],[Est. Hours]])/(tbl_Finish[[#This Row],[Total Hours Act]]+tbl_Finish[[#This Row],[Act. Hours]]),"")</f>
        <v/>
      </c>
      <c r="S233" s="63"/>
      <c r="T233" s="63"/>
      <c r="U233" s="63"/>
      <c r="V233" s="63"/>
      <c r="W233" s="63"/>
    </row>
    <row r="234" spans="6:23" ht="25" customHeight="1">
      <c r="F234" s="53"/>
      <c r="H234" s="55" t="e">
        <f>tbl_Finish[[#This Row],[Qty Complete]]/tbl_Finish[[#This Row],[Qty Required]]</f>
        <v>#DIV/0!</v>
      </c>
      <c r="K234" s="57" t="str">
        <f>IFERROR(tbl_Finish[[#This Row],[Qty Required]]/tbl_Finish[[#This Row],[PPH]]*tbl_Finish[[#This Row],['# of men]],"")</f>
        <v/>
      </c>
      <c r="L234" s="58" t="e">
        <f>tbl_Finish[[#This Row],[Total hours]]*tbl_Finish[[#This Row],[% Complete]]</f>
        <v>#VALUE!</v>
      </c>
      <c r="M234" s="59" t="str">
        <f>IFERROR(tbl_Finish[[#This Row],[Qty Complete]]/tbl_Finish[[#This Row],[Total Hours Act]]*tbl_Finish[[#This Row],['# of men Act]],"")</f>
        <v/>
      </c>
      <c r="O234"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34" s="71" t="str">
        <f>IFERROR((tbl_Finish[[#This Row],[Adj. Total Hours]]+tbl_Finish[[#This Row],[Est. Hours]])/(tbl_Finish[[#This Row],[Total Hours Act]]+tbl_Finish[[#This Row],[Act. Hours]]),"")</f>
        <v/>
      </c>
      <c r="S234" s="63"/>
      <c r="T234" s="63"/>
      <c r="U234" s="63"/>
      <c r="V234" s="63"/>
      <c r="W234" s="63"/>
    </row>
    <row r="235" spans="6:23" ht="25" customHeight="1">
      <c r="F235" s="53"/>
      <c r="H235" s="55" t="e">
        <f>tbl_Finish[[#This Row],[Qty Complete]]/tbl_Finish[[#This Row],[Qty Required]]</f>
        <v>#DIV/0!</v>
      </c>
      <c r="K235" s="57" t="str">
        <f>IFERROR(tbl_Finish[[#This Row],[Qty Required]]/tbl_Finish[[#This Row],[PPH]]*tbl_Finish[[#This Row],['# of men]],"")</f>
        <v/>
      </c>
      <c r="L235" s="58" t="e">
        <f>tbl_Finish[[#This Row],[Total hours]]*tbl_Finish[[#This Row],[% Complete]]</f>
        <v>#VALUE!</v>
      </c>
      <c r="M235" s="59" t="str">
        <f>IFERROR(tbl_Finish[[#This Row],[Qty Complete]]/tbl_Finish[[#This Row],[Total Hours Act]]*tbl_Finish[[#This Row],['# of men Act]],"")</f>
        <v/>
      </c>
      <c r="O235"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35" s="71" t="str">
        <f>IFERROR((tbl_Finish[[#This Row],[Adj. Total Hours]]+tbl_Finish[[#This Row],[Est. Hours]])/(tbl_Finish[[#This Row],[Total Hours Act]]+tbl_Finish[[#This Row],[Act. Hours]]),"")</f>
        <v/>
      </c>
      <c r="S235" s="63"/>
      <c r="T235" s="63"/>
      <c r="U235" s="63"/>
      <c r="V235" s="63"/>
      <c r="W235" s="63"/>
    </row>
    <row r="236" spans="6:23" ht="25" customHeight="1">
      <c r="F236" s="53"/>
      <c r="H236" s="55" t="e">
        <f>tbl_Finish[[#This Row],[Qty Complete]]/tbl_Finish[[#This Row],[Qty Required]]</f>
        <v>#DIV/0!</v>
      </c>
      <c r="K236" s="57" t="str">
        <f>IFERROR(tbl_Finish[[#This Row],[Qty Required]]/tbl_Finish[[#This Row],[PPH]]*tbl_Finish[[#This Row],['# of men]],"")</f>
        <v/>
      </c>
      <c r="L236" s="58" t="e">
        <f>tbl_Finish[[#This Row],[Total hours]]*tbl_Finish[[#This Row],[% Complete]]</f>
        <v>#VALUE!</v>
      </c>
      <c r="M236" s="59" t="str">
        <f>IFERROR(tbl_Finish[[#This Row],[Qty Complete]]/tbl_Finish[[#This Row],[Total Hours Act]]*tbl_Finish[[#This Row],['# of men Act]],"")</f>
        <v/>
      </c>
      <c r="O236"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36" s="71" t="str">
        <f>IFERROR((tbl_Finish[[#This Row],[Adj. Total Hours]]+tbl_Finish[[#This Row],[Est. Hours]])/(tbl_Finish[[#This Row],[Total Hours Act]]+tbl_Finish[[#This Row],[Act. Hours]]),"")</f>
        <v/>
      </c>
      <c r="S236" s="63"/>
      <c r="T236" s="63"/>
      <c r="U236" s="63"/>
      <c r="V236" s="63"/>
      <c r="W236" s="63"/>
    </row>
    <row r="237" spans="6:23" ht="25" customHeight="1">
      <c r="F237" s="53"/>
      <c r="H237" s="55" t="e">
        <f>tbl_Finish[[#This Row],[Qty Complete]]/tbl_Finish[[#This Row],[Qty Required]]</f>
        <v>#DIV/0!</v>
      </c>
      <c r="K237" s="57" t="str">
        <f>IFERROR(tbl_Finish[[#This Row],[Qty Required]]/tbl_Finish[[#This Row],[PPH]]*tbl_Finish[[#This Row],['# of men]],"")</f>
        <v/>
      </c>
      <c r="L237" s="58" t="e">
        <f>tbl_Finish[[#This Row],[Total hours]]*tbl_Finish[[#This Row],[% Complete]]</f>
        <v>#VALUE!</v>
      </c>
      <c r="M237" s="59" t="str">
        <f>IFERROR(tbl_Finish[[#This Row],[Qty Complete]]/tbl_Finish[[#This Row],[Total Hours Act]]*tbl_Finish[[#This Row],['# of men Act]],"")</f>
        <v/>
      </c>
      <c r="O237"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37" s="71" t="str">
        <f>IFERROR((tbl_Finish[[#This Row],[Adj. Total Hours]]+tbl_Finish[[#This Row],[Est. Hours]])/(tbl_Finish[[#This Row],[Total Hours Act]]+tbl_Finish[[#This Row],[Act. Hours]]),"")</f>
        <v/>
      </c>
      <c r="S237" s="63"/>
      <c r="T237" s="63"/>
      <c r="U237" s="63"/>
      <c r="V237" s="63"/>
      <c r="W237" s="63"/>
    </row>
    <row r="238" spans="6:23" ht="25" customHeight="1">
      <c r="F238" s="53"/>
      <c r="H238" s="55" t="e">
        <f>tbl_Finish[[#This Row],[Qty Complete]]/tbl_Finish[[#This Row],[Qty Required]]</f>
        <v>#DIV/0!</v>
      </c>
      <c r="K238" s="57" t="str">
        <f>IFERROR(tbl_Finish[[#This Row],[Qty Required]]/tbl_Finish[[#This Row],[PPH]]*tbl_Finish[[#This Row],['# of men]],"")</f>
        <v/>
      </c>
      <c r="L238" s="58" t="e">
        <f>tbl_Finish[[#This Row],[Total hours]]*tbl_Finish[[#This Row],[% Complete]]</f>
        <v>#VALUE!</v>
      </c>
      <c r="M238" s="59" t="str">
        <f>IFERROR(tbl_Finish[[#This Row],[Qty Complete]]/tbl_Finish[[#This Row],[Total Hours Act]]*tbl_Finish[[#This Row],['# of men Act]],"")</f>
        <v/>
      </c>
      <c r="O238"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38" s="71" t="str">
        <f>IFERROR((tbl_Finish[[#This Row],[Adj. Total Hours]]+tbl_Finish[[#This Row],[Est. Hours]])/(tbl_Finish[[#This Row],[Total Hours Act]]+tbl_Finish[[#This Row],[Act. Hours]]),"")</f>
        <v/>
      </c>
      <c r="S238" s="63"/>
      <c r="T238" s="63"/>
      <c r="U238" s="63"/>
      <c r="V238" s="63"/>
      <c r="W238" s="63"/>
    </row>
    <row r="239" spans="6:23" ht="25" customHeight="1">
      <c r="F239" s="53"/>
      <c r="H239" s="55" t="e">
        <f>tbl_Finish[[#This Row],[Qty Complete]]/tbl_Finish[[#This Row],[Qty Required]]</f>
        <v>#DIV/0!</v>
      </c>
      <c r="K239" s="57" t="str">
        <f>IFERROR(tbl_Finish[[#This Row],[Qty Required]]/tbl_Finish[[#This Row],[PPH]]*tbl_Finish[[#This Row],['# of men]],"")</f>
        <v/>
      </c>
      <c r="L239" s="58" t="e">
        <f>tbl_Finish[[#This Row],[Total hours]]*tbl_Finish[[#This Row],[% Complete]]</f>
        <v>#VALUE!</v>
      </c>
      <c r="M239" s="59" t="str">
        <f>IFERROR(tbl_Finish[[#This Row],[Qty Complete]]/tbl_Finish[[#This Row],[Total Hours Act]]*tbl_Finish[[#This Row],['# of men Act]],"")</f>
        <v/>
      </c>
      <c r="O239"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39" s="71" t="str">
        <f>IFERROR((tbl_Finish[[#This Row],[Adj. Total Hours]]+tbl_Finish[[#This Row],[Est. Hours]])/(tbl_Finish[[#This Row],[Total Hours Act]]+tbl_Finish[[#This Row],[Act. Hours]]),"")</f>
        <v/>
      </c>
      <c r="S239" s="63"/>
      <c r="T239" s="63"/>
      <c r="U239" s="63"/>
      <c r="V239" s="63"/>
      <c r="W239" s="63"/>
    </row>
    <row r="240" spans="6:23" ht="25" customHeight="1">
      <c r="F240" s="53"/>
      <c r="H240" s="55" t="e">
        <f>tbl_Finish[[#This Row],[Qty Complete]]/tbl_Finish[[#This Row],[Qty Required]]</f>
        <v>#DIV/0!</v>
      </c>
      <c r="K240" s="57" t="str">
        <f>IFERROR(tbl_Finish[[#This Row],[Qty Required]]/tbl_Finish[[#This Row],[PPH]]*tbl_Finish[[#This Row],['# of men]],"")</f>
        <v/>
      </c>
      <c r="L240" s="58" t="e">
        <f>tbl_Finish[[#This Row],[Total hours]]*tbl_Finish[[#This Row],[% Complete]]</f>
        <v>#VALUE!</v>
      </c>
      <c r="M240" s="59" t="str">
        <f>IFERROR(tbl_Finish[[#This Row],[Qty Complete]]/tbl_Finish[[#This Row],[Total Hours Act]]*tbl_Finish[[#This Row],['# of men Act]],"")</f>
        <v/>
      </c>
      <c r="O240"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40" s="71" t="str">
        <f>IFERROR((tbl_Finish[[#This Row],[Adj. Total Hours]]+tbl_Finish[[#This Row],[Est. Hours]])/(tbl_Finish[[#This Row],[Total Hours Act]]+tbl_Finish[[#This Row],[Act. Hours]]),"")</f>
        <v/>
      </c>
      <c r="S240" s="63"/>
      <c r="T240" s="63"/>
      <c r="U240" s="63"/>
      <c r="V240" s="63"/>
      <c r="W240" s="63"/>
    </row>
    <row r="241" spans="6:23" ht="25" customHeight="1">
      <c r="F241" s="53"/>
      <c r="H241" s="55" t="e">
        <f>tbl_Finish[[#This Row],[Qty Complete]]/tbl_Finish[[#This Row],[Qty Required]]</f>
        <v>#DIV/0!</v>
      </c>
      <c r="K241" s="57" t="str">
        <f>IFERROR(tbl_Finish[[#This Row],[Qty Required]]/tbl_Finish[[#This Row],[PPH]]*tbl_Finish[[#This Row],['# of men]],"")</f>
        <v/>
      </c>
      <c r="L241" s="58" t="e">
        <f>tbl_Finish[[#This Row],[Total hours]]*tbl_Finish[[#This Row],[% Complete]]</f>
        <v>#VALUE!</v>
      </c>
      <c r="M241" s="59" t="str">
        <f>IFERROR(tbl_Finish[[#This Row],[Qty Complete]]/tbl_Finish[[#This Row],[Total Hours Act]]*tbl_Finish[[#This Row],['# of men Act]],"")</f>
        <v/>
      </c>
      <c r="O241"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41" s="71" t="str">
        <f>IFERROR((tbl_Finish[[#This Row],[Adj. Total Hours]]+tbl_Finish[[#This Row],[Est. Hours]])/(tbl_Finish[[#This Row],[Total Hours Act]]+tbl_Finish[[#This Row],[Act. Hours]]),"")</f>
        <v/>
      </c>
      <c r="S241" s="63"/>
      <c r="T241" s="63"/>
      <c r="U241" s="63"/>
      <c r="V241" s="63"/>
      <c r="W241" s="63"/>
    </row>
    <row r="242" spans="6:23" ht="25" customHeight="1">
      <c r="F242" s="53"/>
      <c r="H242" s="55" t="e">
        <f>tbl_Finish[[#This Row],[Qty Complete]]/tbl_Finish[[#This Row],[Qty Required]]</f>
        <v>#DIV/0!</v>
      </c>
      <c r="K242" s="57" t="str">
        <f>IFERROR(tbl_Finish[[#This Row],[Qty Required]]/tbl_Finish[[#This Row],[PPH]]*tbl_Finish[[#This Row],['# of men]],"")</f>
        <v/>
      </c>
      <c r="L242" s="58" t="e">
        <f>tbl_Finish[[#This Row],[Total hours]]*tbl_Finish[[#This Row],[% Complete]]</f>
        <v>#VALUE!</v>
      </c>
      <c r="M242" s="59" t="str">
        <f>IFERROR(tbl_Finish[[#This Row],[Qty Complete]]/tbl_Finish[[#This Row],[Total Hours Act]]*tbl_Finish[[#This Row],['# of men Act]],"")</f>
        <v/>
      </c>
      <c r="O242"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42" s="71" t="str">
        <f>IFERROR((tbl_Finish[[#This Row],[Adj. Total Hours]]+tbl_Finish[[#This Row],[Est. Hours]])/(tbl_Finish[[#This Row],[Total Hours Act]]+tbl_Finish[[#This Row],[Act. Hours]]),"")</f>
        <v/>
      </c>
      <c r="S242" s="63"/>
      <c r="T242" s="63"/>
      <c r="U242" s="63"/>
      <c r="V242" s="63"/>
      <c r="W242" s="63"/>
    </row>
    <row r="243" spans="6:23" ht="25" customHeight="1">
      <c r="F243" s="53"/>
      <c r="H243" s="55" t="e">
        <f>tbl_Finish[[#This Row],[Qty Complete]]/tbl_Finish[[#This Row],[Qty Required]]</f>
        <v>#DIV/0!</v>
      </c>
      <c r="K243" s="57" t="str">
        <f>IFERROR(tbl_Finish[[#This Row],[Qty Required]]/tbl_Finish[[#This Row],[PPH]]*tbl_Finish[[#This Row],['# of men]],"")</f>
        <v/>
      </c>
      <c r="L243" s="58" t="e">
        <f>tbl_Finish[[#This Row],[Total hours]]*tbl_Finish[[#This Row],[% Complete]]</f>
        <v>#VALUE!</v>
      </c>
      <c r="M243" s="59" t="str">
        <f>IFERROR(tbl_Finish[[#This Row],[Qty Complete]]/tbl_Finish[[#This Row],[Total Hours Act]]*tbl_Finish[[#This Row],['# of men Act]],"")</f>
        <v/>
      </c>
      <c r="O243"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43" s="71" t="str">
        <f>IFERROR((tbl_Finish[[#This Row],[Adj. Total Hours]]+tbl_Finish[[#This Row],[Est. Hours]])/(tbl_Finish[[#This Row],[Total Hours Act]]+tbl_Finish[[#This Row],[Act. Hours]]),"")</f>
        <v/>
      </c>
      <c r="S243" s="63"/>
      <c r="T243" s="63"/>
      <c r="U243" s="63"/>
      <c r="V243" s="63"/>
      <c r="W243" s="63"/>
    </row>
    <row r="244" spans="6:23" ht="25" customHeight="1">
      <c r="F244" s="53"/>
      <c r="H244" s="55" t="e">
        <f>tbl_Finish[[#This Row],[Qty Complete]]/tbl_Finish[[#This Row],[Qty Required]]</f>
        <v>#DIV/0!</v>
      </c>
      <c r="K244" s="57" t="str">
        <f>IFERROR(tbl_Finish[[#This Row],[Qty Required]]/tbl_Finish[[#This Row],[PPH]]*tbl_Finish[[#This Row],['# of men]],"")</f>
        <v/>
      </c>
      <c r="L244" s="58" t="e">
        <f>tbl_Finish[[#This Row],[Total hours]]*tbl_Finish[[#This Row],[% Complete]]</f>
        <v>#VALUE!</v>
      </c>
      <c r="M244" s="59" t="str">
        <f>IFERROR(tbl_Finish[[#This Row],[Qty Complete]]/tbl_Finish[[#This Row],[Total Hours Act]]*tbl_Finish[[#This Row],['# of men Act]],"")</f>
        <v/>
      </c>
      <c r="O244"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44" s="71" t="str">
        <f>IFERROR((tbl_Finish[[#This Row],[Adj. Total Hours]]+tbl_Finish[[#This Row],[Est. Hours]])/(tbl_Finish[[#This Row],[Total Hours Act]]+tbl_Finish[[#This Row],[Act. Hours]]),"")</f>
        <v/>
      </c>
      <c r="S244" s="63"/>
      <c r="T244" s="63"/>
      <c r="U244" s="63"/>
      <c r="V244" s="63"/>
      <c r="W244" s="63"/>
    </row>
    <row r="245" spans="6:23" ht="25" customHeight="1">
      <c r="F245" s="53"/>
      <c r="H245" s="55" t="e">
        <f>tbl_Finish[[#This Row],[Qty Complete]]/tbl_Finish[[#This Row],[Qty Required]]</f>
        <v>#DIV/0!</v>
      </c>
      <c r="K245" s="57" t="str">
        <f>IFERROR(tbl_Finish[[#This Row],[Qty Required]]/tbl_Finish[[#This Row],[PPH]]*tbl_Finish[[#This Row],['# of men]],"")</f>
        <v/>
      </c>
      <c r="L245" s="58" t="e">
        <f>tbl_Finish[[#This Row],[Total hours]]*tbl_Finish[[#This Row],[% Complete]]</f>
        <v>#VALUE!</v>
      </c>
      <c r="M245" s="59" t="str">
        <f>IFERROR(tbl_Finish[[#This Row],[Qty Complete]]/tbl_Finish[[#This Row],[Total Hours Act]]*tbl_Finish[[#This Row],['# of men Act]],"")</f>
        <v/>
      </c>
      <c r="O245"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45" s="71" t="str">
        <f>IFERROR((tbl_Finish[[#This Row],[Adj. Total Hours]]+tbl_Finish[[#This Row],[Est. Hours]])/(tbl_Finish[[#This Row],[Total Hours Act]]+tbl_Finish[[#This Row],[Act. Hours]]),"")</f>
        <v/>
      </c>
      <c r="S245" s="63"/>
      <c r="T245" s="63"/>
      <c r="U245" s="63"/>
      <c r="V245" s="63"/>
      <c r="W245" s="63"/>
    </row>
    <row r="246" spans="6:23" ht="25" customHeight="1">
      <c r="F246" s="53"/>
      <c r="H246" s="55" t="e">
        <f>tbl_Finish[[#This Row],[Qty Complete]]/tbl_Finish[[#This Row],[Qty Required]]</f>
        <v>#DIV/0!</v>
      </c>
      <c r="K246" s="57" t="str">
        <f>IFERROR(tbl_Finish[[#This Row],[Qty Required]]/tbl_Finish[[#This Row],[PPH]]*tbl_Finish[[#This Row],['# of men]],"")</f>
        <v/>
      </c>
      <c r="L246" s="58" t="e">
        <f>tbl_Finish[[#This Row],[Total hours]]*tbl_Finish[[#This Row],[% Complete]]</f>
        <v>#VALUE!</v>
      </c>
      <c r="M246" s="59" t="str">
        <f>IFERROR(tbl_Finish[[#This Row],[Qty Complete]]/tbl_Finish[[#This Row],[Total Hours Act]]*tbl_Finish[[#This Row],['# of men Act]],"")</f>
        <v/>
      </c>
      <c r="O246"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46" s="71" t="str">
        <f>IFERROR((tbl_Finish[[#This Row],[Adj. Total Hours]]+tbl_Finish[[#This Row],[Est. Hours]])/(tbl_Finish[[#This Row],[Total Hours Act]]+tbl_Finish[[#This Row],[Act. Hours]]),"")</f>
        <v/>
      </c>
      <c r="S246" s="63"/>
      <c r="T246" s="63"/>
      <c r="U246" s="63"/>
      <c r="V246" s="63"/>
      <c r="W246" s="63"/>
    </row>
    <row r="247" spans="6:23" ht="25" customHeight="1">
      <c r="F247" s="53"/>
      <c r="H247" s="55" t="e">
        <f>tbl_Finish[[#This Row],[Qty Complete]]/tbl_Finish[[#This Row],[Qty Required]]</f>
        <v>#DIV/0!</v>
      </c>
      <c r="K247" s="57" t="str">
        <f>IFERROR(tbl_Finish[[#This Row],[Qty Required]]/tbl_Finish[[#This Row],[PPH]]*tbl_Finish[[#This Row],['# of men]],"")</f>
        <v/>
      </c>
      <c r="L247" s="58" t="e">
        <f>tbl_Finish[[#This Row],[Total hours]]*tbl_Finish[[#This Row],[% Complete]]</f>
        <v>#VALUE!</v>
      </c>
      <c r="M247" s="59" t="str">
        <f>IFERROR(tbl_Finish[[#This Row],[Qty Complete]]/tbl_Finish[[#This Row],[Total Hours Act]]*tbl_Finish[[#This Row],['# of men Act]],"")</f>
        <v/>
      </c>
      <c r="O247"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47" s="71" t="str">
        <f>IFERROR((tbl_Finish[[#This Row],[Adj. Total Hours]]+tbl_Finish[[#This Row],[Est. Hours]])/(tbl_Finish[[#This Row],[Total Hours Act]]+tbl_Finish[[#This Row],[Act. Hours]]),"")</f>
        <v/>
      </c>
      <c r="S247" s="63"/>
      <c r="T247" s="63"/>
      <c r="U247" s="63"/>
      <c r="V247" s="63"/>
      <c r="W247" s="63"/>
    </row>
    <row r="248" spans="6:23" ht="25" customHeight="1">
      <c r="F248" s="53"/>
      <c r="H248" s="55" t="e">
        <f>tbl_Finish[[#This Row],[Qty Complete]]/tbl_Finish[[#This Row],[Qty Required]]</f>
        <v>#DIV/0!</v>
      </c>
      <c r="K248" s="57" t="str">
        <f>IFERROR(tbl_Finish[[#This Row],[Qty Required]]/tbl_Finish[[#This Row],[PPH]]*tbl_Finish[[#This Row],['# of men]],"")</f>
        <v/>
      </c>
      <c r="L248" s="58" t="e">
        <f>tbl_Finish[[#This Row],[Total hours]]*tbl_Finish[[#This Row],[% Complete]]</f>
        <v>#VALUE!</v>
      </c>
      <c r="M248" s="59" t="str">
        <f>IFERROR(tbl_Finish[[#This Row],[Qty Complete]]/tbl_Finish[[#This Row],[Total Hours Act]]*tbl_Finish[[#This Row],['# of men Act]],"")</f>
        <v/>
      </c>
      <c r="O248"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48" s="71" t="str">
        <f>IFERROR((tbl_Finish[[#This Row],[Adj. Total Hours]]+tbl_Finish[[#This Row],[Est. Hours]])/(tbl_Finish[[#This Row],[Total Hours Act]]+tbl_Finish[[#This Row],[Act. Hours]]),"")</f>
        <v/>
      </c>
      <c r="S248" s="63"/>
      <c r="T248" s="63"/>
      <c r="U248" s="63"/>
      <c r="V248" s="63"/>
      <c r="W248" s="63"/>
    </row>
    <row r="249" spans="6:23" ht="25" customHeight="1">
      <c r="F249" s="53"/>
      <c r="H249" s="55" t="e">
        <f>tbl_Finish[[#This Row],[Qty Complete]]/tbl_Finish[[#This Row],[Qty Required]]</f>
        <v>#DIV/0!</v>
      </c>
      <c r="K249" s="57" t="str">
        <f>IFERROR(tbl_Finish[[#This Row],[Qty Required]]/tbl_Finish[[#This Row],[PPH]]*tbl_Finish[[#This Row],['# of men]],"")</f>
        <v/>
      </c>
      <c r="L249" s="58" t="e">
        <f>tbl_Finish[[#This Row],[Total hours]]*tbl_Finish[[#This Row],[% Complete]]</f>
        <v>#VALUE!</v>
      </c>
      <c r="M249" s="59" t="str">
        <f>IFERROR(tbl_Finish[[#This Row],[Qty Complete]]/tbl_Finish[[#This Row],[Total Hours Act]]*tbl_Finish[[#This Row],['# of men Act]],"")</f>
        <v/>
      </c>
      <c r="O249"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49" s="71" t="str">
        <f>IFERROR((tbl_Finish[[#This Row],[Adj. Total Hours]]+tbl_Finish[[#This Row],[Est. Hours]])/(tbl_Finish[[#This Row],[Total Hours Act]]+tbl_Finish[[#This Row],[Act. Hours]]),"")</f>
        <v/>
      </c>
      <c r="S249" s="63"/>
      <c r="T249" s="63"/>
      <c r="U249" s="63"/>
      <c r="V249" s="63"/>
      <c r="W249" s="63"/>
    </row>
    <row r="250" spans="6:23" ht="25" customHeight="1">
      <c r="F250" s="53"/>
      <c r="H250" s="55" t="e">
        <f>tbl_Finish[[#This Row],[Qty Complete]]/tbl_Finish[[#This Row],[Qty Required]]</f>
        <v>#DIV/0!</v>
      </c>
      <c r="K250" s="57" t="str">
        <f>IFERROR(tbl_Finish[[#This Row],[Qty Required]]/tbl_Finish[[#This Row],[PPH]]*tbl_Finish[[#This Row],['# of men]],"")</f>
        <v/>
      </c>
      <c r="L250" s="58" t="e">
        <f>tbl_Finish[[#This Row],[Total hours]]*tbl_Finish[[#This Row],[% Complete]]</f>
        <v>#VALUE!</v>
      </c>
      <c r="M250" s="59" t="str">
        <f>IFERROR(tbl_Finish[[#This Row],[Qty Complete]]/tbl_Finish[[#This Row],[Total Hours Act]]*tbl_Finish[[#This Row],['# of men Act]],"")</f>
        <v/>
      </c>
      <c r="O250" s="60">
        <f>(MOD(tbl_Finish[[#This Row],[End Time]]-tbl_Finish[[#This Row],[Start Time]],1)*24*tbl_Finish[[#This Row],['# of men Act]])-
(
IF(AND(tbl_Finish[[#This Row],[Start Time]]&lt;=Data!$B$2+(Data!$B$2&lt;tbl_Finish[[#This Row],[Start Time]]),tbl_Finish[[#This Row],[Start Time]]+MOD(tbl_Finish[[#This Row],[End Time]]-tbl_Finish[[#This Row],[Start Time]],1)&gt;=Data!$C$2+(Data!$C$2&lt;tbl_Finish[[#This Row],[Start Time]])),0.5*tbl_Finish[[#This Row],['# of men Act]],0)
+
IF(AND(tbl_Finish[[#This Row],[Start Time]]&lt;=Data!$B$3+(Data!$B$3&lt;tbl_Finish[[#This Row],[Start Time]]),tbl_Finish[[#This Row],[Start Time]]+MOD(tbl_Finish[[#This Row],[End Time]]-tbl_Finish[[#This Row],[Start Time]],1)&gt;=Data!$C$3+(Data!$C$3&lt;tbl_Finish[[#This Row],[Start Time]])),0.5*tbl_Finish[[#This Row],['# of men Act]],0)
)</f>
        <v>0</v>
      </c>
      <c r="R250" s="71" t="str">
        <f>IFERROR((tbl_Finish[[#This Row],[Adj. Total Hours]]+tbl_Finish[[#This Row],[Est. Hours]])/(tbl_Finish[[#This Row],[Total Hours Act]]+tbl_Finish[[#This Row],[Act. Hours]]),"")</f>
        <v/>
      </c>
      <c r="S250" s="63"/>
      <c r="T250" s="63"/>
      <c r="U250" s="63"/>
      <c r="V250" s="63"/>
      <c r="W250" s="63"/>
    </row>
  </sheetData>
  <sheetProtection sheet="1" objects="1" scenarios="1"/>
  <protectedRanges>
    <protectedRange sqref="A3" name="Range1"/>
  </protectedRanges>
  <mergeCells count="1">
    <mergeCell ref="P1:Q1"/>
  </mergeCells>
  <conditionalFormatting sqref="R3:R3852">
    <cfRule type="expression" dxfId="35" priority="1">
      <formula>AND(R3&gt;0.85,R3&lt;&gt;"")</formula>
    </cfRule>
    <cfRule type="expression" dxfId="34" priority="2">
      <formula>AND(R3&gt;=0.7,R3&lt;=0.85,R3&lt;&gt;"")</formula>
    </cfRule>
    <cfRule type="expression" dxfId="33" priority="3">
      <formula>AND(R3&lt;0.7,R3&lt;&gt;"")</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52B1F-DF66-4B7A-90C3-29374DFDED75}">
  <dimension ref="A1:W250"/>
  <sheetViews>
    <sheetView topLeftCell="C1" workbookViewId="0">
      <pane ySplit="2" topLeftCell="A3" activePane="bottomLeft" state="frozen"/>
      <selection pane="bottomLeft" activeCell="S12" sqref="S12"/>
    </sheetView>
  </sheetViews>
  <sheetFormatPr defaultColWidth="9.1796875" defaultRowHeight="25" customHeight="1"/>
  <cols>
    <col min="1" max="1" width="11.54296875" style="52" customWidth="1"/>
    <col min="2" max="2" width="13.1796875" style="53" customWidth="1"/>
    <col min="3" max="3" width="14.1796875" style="53" customWidth="1"/>
    <col min="4" max="4" width="15.54296875" style="54" bestFit="1" customWidth="1"/>
    <col min="5" max="5" width="14.7265625" style="54" bestFit="1" customWidth="1"/>
    <col min="6" max="6" width="18.26953125" style="54" bestFit="1" customWidth="1"/>
    <col min="7" max="7" width="19" style="53" bestFit="1" customWidth="1"/>
    <col min="8" max="8" width="19" style="53" hidden="1" customWidth="1"/>
    <col min="9" max="9" width="10.1796875" style="56" bestFit="1" customWidth="1"/>
    <col min="10" max="10" width="14" style="53" bestFit="1" customWidth="1"/>
    <col min="11" max="11" width="16.453125" style="66" bestFit="1" customWidth="1"/>
    <col min="12" max="12" width="16.453125" style="47" hidden="1" customWidth="1"/>
    <col min="13" max="13" width="13.453125" style="67" bestFit="1" customWidth="1"/>
    <col min="14" max="14" width="17.26953125" style="53" bestFit="1" customWidth="1"/>
    <col min="15" max="15" width="20.1796875" style="68" bestFit="1" customWidth="1"/>
    <col min="16" max="17" width="15.7265625" style="61" bestFit="1" customWidth="1"/>
    <col min="18" max="18" width="15.1796875" style="69" bestFit="1" customWidth="1"/>
    <col min="19" max="19" width="55.26953125" style="53" customWidth="1"/>
    <col min="20" max="23" width="16.81640625" style="53" bestFit="1" customWidth="1"/>
    <col min="24" max="16384" width="9.1796875" style="47"/>
  </cols>
  <sheetData>
    <row r="1" spans="1:23" ht="47.25" customHeight="1" thickBot="1">
      <c r="A1" s="8"/>
      <c r="B1" s="7"/>
      <c r="C1" s="7"/>
      <c r="D1" s="9"/>
      <c r="E1" s="9"/>
      <c r="F1" s="9"/>
      <c r="G1" s="7"/>
      <c r="H1" s="7"/>
      <c r="I1" s="13"/>
      <c r="J1" s="40" t="s">
        <v>0</v>
      </c>
      <c r="K1" s="46"/>
      <c r="L1" s="46"/>
      <c r="M1" s="4"/>
      <c r="N1" s="41" t="s">
        <v>1</v>
      </c>
      <c r="O1" s="5"/>
      <c r="P1" s="113" t="s">
        <v>2</v>
      </c>
      <c r="Q1" s="114"/>
      <c r="R1" s="39" t="s">
        <v>3</v>
      </c>
      <c r="S1" s="7"/>
      <c r="T1" s="7"/>
      <c r="U1" s="7"/>
      <c r="V1" s="7"/>
      <c r="W1" s="7"/>
    </row>
    <row r="2" spans="1:23" ht="17.5" thickTop="1">
      <c r="A2" s="10" t="s">
        <v>4</v>
      </c>
      <c r="B2" s="6" t="s">
        <v>5</v>
      </c>
      <c r="C2" s="6" t="s">
        <v>7</v>
      </c>
      <c r="D2" s="11" t="s">
        <v>8</v>
      </c>
      <c r="E2" s="11" t="s">
        <v>9</v>
      </c>
      <c r="F2" s="11" t="s">
        <v>10</v>
      </c>
      <c r="G2" s="6" t="s">
        <v>11</v>
      </c>
      <c r="H2" s="48" t="s">
        <v>12</v>
      </c>
      <c r="I2" s="12" t="s">
        <v>13</v>
      </c>
      <c r="J2" s="6" t="s">
        <v>14</v>
      </c>
      <c r="K2" s="49" t="s">
        <v>15</v>
      </c>
      <c r="L2" s="50" t="s">
        <v>16</v>
      </c>
      <c r="M2" s="2" t="s">
        <v>21</v>
      </c>
      <c r="N2" s="6" t="s">
        <v>22</v>
      </c>
      <c r="O2" s="3" t="s">
        <v>23</v>
      </c>
      <c r="P2" s="25" t="s">
        <v>25</v>
      </c>
      <c r="Q2" s="25" t="s">
        <v>26</v>
      </c>
      <c r="R2" s="51" t="s">
        <v>27</v>
      </c>
      <c r="S2" s="6" t="s">
        <v>31</v>
      </c>
      <c r="T2" s="6" t="s">
        <v>32</v>
      </c>
      <c r="U2" s="6" t="s">
        <v>33</v>
      </c>
      <c r="V2" s="6" t="s">
        <v>34</v>
      </c>
      <c r="W2" s="6" t="s">
        <v>35</v>
      </c>
    </row>
    <row r="3" spans="1:23" ht="25" customHeight="1">
      <c r="A3" s="95">
        <v>46125</v>
      </c>
      <c r="B3" s="96" t="s">
        <v>440</v>
      </c>
      <c r="C3" s="96">
        <v>1502885600</v>
      </c>
      <c r="D3" s="97">
        <v>0.24027777777777778</v>
      </c>
      <c r="E3" s="97">
        <v>0.31180555555555556</v>
      </c>
      <c r="F3" s="96">
        <v>16</v>
      </c>
      <c r="G3" s="96">
        <v>16</v>
      </c>
      <c r="H3" s="55">
        <f>tbl_PEM[[#This Row],[Qty Complete]]/tbl_PEM[[#This Row],[Qty Required]]</f>
        <v>1</v>
      </c>
      <c r="I3" s="56">
        <v>30</v>
      </c>
      <c r="J3" s="53">
        <v>1</v>
      </c>
      <c r="K3" s="57">
        <f>IFERROR(tbl_PEM[[#This Row],[Qty Required]]/tbl_PEM[[#This Row],[PPH]]*tbl_PEM[[#This Row],['# of men]],"")</f>
        <v>0.53333333333333333</v>
      </c>
      <c r="L3" s="58">
        <f>tbl_PEM[[#This Row],[Total hours]]*tbl_PEM[[#This Row],[% Complete]]</f>
        <v>0.53333333333333333</v>
      </c>
      <c r="M3" s="59">
        <f>IFERROR(tbl_PEM[[#This Row],[Qty Complete]]/tbl_PEM[[#This Row],[Total Hours Act]]*tbl_PEM[[#This Row],['# of men Act]],"")</f>
        <v>9.3203883495145643</v>
      </c>
      <c r="N3" s="53">
        <v>2</v>
      </c>
      <c r="O3"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3.4333333333333331</v>
      </c>
      <c r="R3" s="62">
        <f>IFERROR((tbl_PEM[[#This Row],[Adj. Total Hours]]+tbl_PEM[[#This Row],[Est. Hours]])/(tbl_PEM[[#This Row],[Total Hours Act]]+tbl_PEM[[#This Row],[Act. Hours]]),"")</f>
        <v>0.15533980582524273</v>
      </c>
      <c r="S3" s="63"/>
      <c r="T3" s="64" t="s">
        <v>441</v>
      </c>
      <c r="U3" s="65" t="s">
        <v>442</v>
      </c>
      <c r="V3" s="63"/>
      <c r="W3" s="63"/>
    </row>
    <row r="4" spans="1:23" ht="25" customHeight="1">
      <c r="A4" s="95">
        <v>46125</v>
      </c>
      <c r="B4" s="96" t="s">
        <v>440</v>
      </c>
      <c r="C4" s="96">
        <v>1502885600</v>
      </c>
      <c r="D4" s="97">
        <v>0.31180555555555556</v>
      </c>
      <c r="E4" s="97">
        <v>0.33263888888888887</v>
      </c>
      <c r="F4" s="96">
        <v>16</v>
      </c>
      <c r="G4" s="96">
        <v>8</v>
      </c>
      <c r="H4" s="55">
        <f>tbl_PEM[[#This Row],[Qty Complete]]/tbl_PEM[[#This Row],[Qty Required]]</f>
        <v>0.5</v>
      </c>
      <c r="I4" s="56">
        <v>30</v>
      </c>
      <c r="J4" s="53">
        <v>1</v>
      </c>
      <c r="K4" s="57">
        <f>IFERROR(tbl_PEM[[#This Row],[Qty Required]]/tbl_PEM[[#This Row],[PPH]]*tbl_PEM[[#This Row],['# of men]],"")</f>
        <v>0.53333333333333333</v>
      </c>
      <c r="L4" s="58">
        <f>tbl_PEM[[#This Row],[Total hours]]*tbl_PEM[[#This Row],[% Complete]]</f>
        <v>0.26666666666666666</v>
      </c>
      <c r="M4" s="59">
        <f>IFERROR(tbl_PEM[[#This Row],[Qty Complete]]/tbl_PEM[[#This Row],[Total Hours Act]]*tbl_PEM[[#This Row],['# of men Act]],"")</f>
        <v>16.000000000000014</v>
      </c>
      <c r="N4" s="53">
        <v>2</v>
      </c>
      <c r="O4"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0.99999999999999911</v>
      </c>
      <c r="R4" s="71">
        <f>IFERROR((tbl_PEM[[#This Row],[Adj. Total Hours]]+tbl_PEM[[#This Row],[Est. Hours]])/(tbl_PEM[[#This Row],[Total Hours Act]]+tbl_PEM[[#This Row],[Act. Hours]]),"")</f>
        <v>0.26666666666666689</v>
      </c>
      <c r="S4" s="63"/>
      <c r="T4" s="63" t="s">
        <v>441</v>
      </c>
      <c r="U4" s="63" t="s">
        <v>442</v>
      </c>
      <c r="V4" s="63"/>
      <c r="W4" s="63"/>
    </row>
    <row r="5" spans="1:23" ht="25" customHeight="1">
      <c r="A5" s="95">
        <v>46125</v>
      </c>
      <c r="B5" s="96" t="s">
        <v>443</v>
      </c>
      <c r="C5" s="96">
        <v>1503018700</v>
      </c>
      <c r="D5" s="97">
        <v>0.33333333333333331</v>
      </c>
      <c r="E5" s="97">
        <v>0.39930555555555558</v>
      </c>
      <c r="F5" s="96">
        <v>16</v>
      </c>
      <c r="G5" s="96">
        <v>16</v>
      </c>
      <c r="H5" s="55">
        <f>tbl_PEM[[#This Row],[Qty Complete]]/tbl_PEM[[#This Row],[Qty Required]]</f>
        <v>1</v>
      </c>
      <c r="I5" s="56">
        <v>10</v>
      </c>
      <c r="J5" s="53">
        <v>1</v>
      </c>
      <c r="K5" s="57">
        <f>IFERROR(tbl_PEM[[#This Row],[Qty Required]]/tbl_PEM[[#This Row],[PPH]]*tbl_PEM[[#This Row],['# of men]],"")</f>
        <v>1.6</v>
      </c>
      <c r="L5" s="58">
        <f>tbl_PEM[[#This Row],[Total hours]]*tbl_PEM[[#This Row],[% Complete]]</f>
        <v>1.6</v>
      </c>
      <c r="M5" s="59">
        <f>IFERROR(tbl_PEM[[#This Row],[Qty Complete]]/tbl_PEM[[#This Row],[Total Hours Act]]*tbl_PEM[[#This Row],['# of men Act]],"")</f>
        <v>10.105263157894731</v>
      </c>
      <c r="N5" s="53">
        <v>2</v>
      </c>
      <c r="O5"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3.1666666666666687</v>
      </c>
      <c r="R5" s="71">
        <f>IFERROR((tbl_PEM[[#This Row],[Adj. Total Hours]]+tbl_PEM[[#This Row],[Est. Hours]])/(tbl_PEM[[#This Row],[Total Hours Act]]+tbl_PEM[[#This Row],[Act. Hours]]),"")</f>
        <v>0.50526315789473653</v>
      </c>
      <c r="S5" s="63"/>
      <c r="T5" s="63" t="s">
        <v>441</v>
      </c>
      <c r="U5" s="63" t="s">
        <v>442</v>
      </c>
      <c r="V5" s="63"/>
      <c r="W5" s="63"/>
    </row>
    <row r="6" spans="1:23" ht="25" customHeight="1">
      <c r="A6" s="95">
        <v>46125</v>
      </c>
      <c r="B6" s="96" t="s">
        <v>444</v>
      </c>
      <c r="C6" s="96">
        <v>1503018700</v>
      </c>
      <c r="D6" s="97">
        <v>0.4</v>
      </c>
      <c r="E6" s="97">
        <v>0.45763888888888887</v>
      </c>
      <c r="F6" s="96">
        <v>16</v>
      </c>
      <c r="G6" s="96">
        <v>16</v>
      </c>
      <c r="H6" s="55">
        <f>tbl_PEM[[#This Row],[Qty Complete]]/tbl_PEM[[#This Row],[Qty Required]]</f>
        <v>1</v>
      </c>
      <c r="I6" s="56">
        <v>10</v>
      </c>
      <c r="J6" s="53">
        <v>1</v>
      </c>
      <c r="K6" s="57">
        <f>IFERROR(tbl_PEM[[#This Row],[Qty Required]]/tbl_PEM[[#This Row],[PPH]]*tbl_PEM[[#This Row],['# of men]],"")</f>
        <v>1.6</v>
      </c>
      <c r="L6" s="58">
        <f>tbl_PEM[[#This Row],[Total hours]]*tbl_PEM[[#This Row],[% Complete]]</f>
        <v>1.6</v>
      </c>
      <c r="M6" s="59">
        <f>IFERROR(tbl_PEM[[#This Row],[Qty Complete]]/tbl_PEM[[#This Row],[Total Hours Act]]*tbl_PEM[[#This Row],['# of men Act]],"")</f>
        <v>11.566265060240971</v>
      </c>
      <c r="N6" s="53">
        <v>2</v>
      </c>
      <c r="O6"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2.7666666666666648</v>
      </c>
      <c r="R6" s="71">
        <f>IFERROR((tbl_PEM[[#This Row],[Adj. Total Hours]]+tbl_PEM[[#This Row],[Est. Hours]])/(tbl_PEM[[#This Row],[Total Hours Act]]+tbl_PEM[[#This Row],[Act. Hours]]),"")</f>
        <v>0.57831325301204861</v>
      </c>
      <c r="S6" s="63"/>
      <c r="T6" s="63" t="s">
        <v>441</v>
      </c>
      <c r="U6" s="63" t="s">
        <v>442</v>
      </c>
      <c r="V6" s="63"/>
      <c r="W6" s="63"/>
    </row>
    <row r="7" spans="1:23" ht="25" customHeight="1">
      <c r="A7" s="95">
        <v>46125</v>
      </c>
      <c r="B7" s="96" t="s">
        <v>445</v>
      </c>
      <c r="C7" s="96">
        <v>1503121800</v>
      </c>
      <c r="D7" s="97">
        <v>0.55625000000000002</v>
      </c>
      <c r="E7" s="97">
        <v>0.60277777777777775</v>
      </c>
      <c r="F7" s="96">
        <v>12</v>
      </c>
      <c r="G7" s="96">
        <v>8</v>
      </c>
      <c r="H7" s="55">
        <f>tbl_PEM[[#This Row],[Qty Complete]]/tbl_PEM[[#This Row],[Qty Required]]</f>
        <v>0.66666666666666663</v>
      </c>
      <c r="I7" s="56">
        <v>10</v>
      </c>
      <c r="J7" s="53">
        <v>1</v>
      </c>
      <c r="K7" s="57">
        <f>IFERROR(tbl_PEM[[#This Row],[Qty Required]]/tbl_PEM[[#This Row],[PPH]]*tbl_PEM[[#This Row],['# of men]],"")</f>
        <v>1.2</v>
      </c>
      <c r="L7" s="58">
        <f>tbl_PEM[[#This Row],[Total hours]]*tbl_PEM[[#This Row],[% Complete]]</f>
        <v>0.79999999999999993</v>
      </c>
      <c r="M7" s="59">
        <f>IFERROR(tbl_PEM[[#This Row],[Qty Complete]]/tbl_PEM[[#This Row],[Total Hours Act]]*tbl_PEM[[#This Row],['# of men Act]],"")</f>
        <v>7.1641791044776202</v>
      </c>
      <c r="N7" s="53">
        <v>2</v>
      </c>
      <c r="O7"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2.2333333333333307</v>
      </c>
      <c r="R7" s="71">
        <f>IFERROR((tbl_PEM[[#This Row],[Adj. Total Hours]]+tbl_PEM[[#This Row],[Est. Hours]])/(tbl_PEM[[#This Row],[Total Hours Act]]+tbl_PEM[[#This Row],[Act. Hours]]),"")</f>
        <v>0.35820895522388096</v>
      </c>
      <c r="S7" s="63" t="s">
        <v>446</v>
      </c>
      <c r="T7" s="63" t="s">
        <v>441</v>
      </c>
      <c r="U7" s="63" t="s">
        <v>442</v>
      </c>
      <c r="V7" s="63"/>
      <c r="W7" s="63"/>
    </row>
    <row r="8" spans="1:23" ht="25" customHeight="1">
      <c r="A8" s="95">
        <v>46126</v>
      </c>
      <c r="B8" s="96" t="s">
        <v>447</v>
      </c>
      <c r="C8" s="96" t="s">
        <v>448</v>
      </c>
      <c r="D8" s="97">
        <v>0.23333333333333334</v>
      </c>
      <c r="E8" s="97">
        <v>0.58125000000000004</v>
      </c>
      <c r="F8" s="96">
        <v>12</v>
      </c>
      <c r="G8" s="96">
        <v>12</v>
      </c>
      <c r="H8" s="55">
        <f>tbl_PEM[[#This Row],[Qty Complete]]/tbl_PEM[[#This Row],[Qty Required]]</f>
        <v>1</v>
      </c>
      <c r="I8" s="56">
        <v>2.2222</v>
      </c>
      <c r="J8" s="53">
        <v>1</v>
      </c>
      <c r="K8" s="57">
        <f>IFERROR(tbl_PEM[[#This Row],[Qty Required]]/tbl_PEM[[#This Row],[PPH]]*tbl_PEM[[#This Row],['# of men]],"")</f>
        <v>5.4000540005400053</v>
      </c>
      <c r="L8" s="58">
        <f>tbl_PEM[[#This Row],[Total hours]]*tbl_PEM[[#This Row],[% Complete]]</f>
        <v>5.4000540005400053</v>
      </c>
      <c r="M8" s="59">
        <f>IFERROR(tbl_PEM[[#This Row],[Qty Complete]]/tbl_PEM[[#This Row],[Total Hours Act]]*tbl_PEM[[#This Row],['# of men Act]],"")</f>
        <v>1.5286624203821653</v>
      </c>
      <c r="N8" s="53">
        <v>2</v>
      </c>
      <c r="O8"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15.700000000000003</v>
      </c>
      <c r="R8" s="71">
        <f>IFERROR((tbl_PEM[[#This Row],[Adj. Total Hours]]+tbl_PEM[[#This Row],[Est. Hours]])/(tbl_PEM[[#This Row],[Total Hours Act]]+tbl_PEM[[#This Row],[Act. Hours]]),"")</f>
        <v>0.34395248411082829</v>
      </c>
      <c r="S8" s="63" t="s">
        <v>449</v>
      </c>
      <c r="T8" s="63" t="s">
        <v>441</v>
      </c>
      <c r="U8" s="63" t="s">
        <v>442</v>
      </c>
      <c r="V8" s="63"/>
      <c r="W8" s="63"/>
    </row>
    <row r="9" spans="1:23" ht="25" customHeight="1">
      <c r="A9" s="52">
        <v>46126</v>
      </c>
      <c r="B9" s="53" t="s">
        <v>450</v>
      </c>
      <c r="C9" s="53">
        <v>1503121800</v>
      </c>
      <c r="D9" s="54">
        <v>0.58125000000000004</v>
      </c>
      <c r="E9" s="54">
        <v>0.60138888888888886</v>
      </c>
      <c r="F9" s="53">
        <v>12</v>
      </c>
      <c r="G9" s="53">
        <v>4</v>
      </c>
      <c r="H9" s="55">
        <f>tbl_PEM[[#This Row],[Qty Complete]]/tbl_PEM[[#This Row],[Qty Required]]</f>
        <v>0.33333333333333331</v>
      </c>
      <c r="I9" s="56">
        <v>10</v>
      </c>
      <c r="J9" s="53">
        <v>1</v>
      </c>
      <c r="K9" s="57">
        <f>IFERROR(tbl_PEM[[#This Row],[Qty Required]]/tbl_PEM[[#This Row],[PPH]]*tbl_PEM[[#This Row],['# of men]],"")</f>
        <v>1.2</v>
      </c>
      <c r="L9" s="58">
        <f>tbl_PEM[[#This Row],[Total hours]]*tbl_PEM[[#This Row],[% Complete]]</f>
        <v>0.39999999999999997</v>
      </c>
      <c r="M9" s="59">
        <f>IFERROR(tbl_PEM[[#This Row],[Qty Complete]]/tbl_PEM[[#This Row],[Total Hours Act]]*tbl_PEM[[#This Row],['# of men Act]],"")</f>
        <v>8.2758620689655462</v>
      </c>
      <c r="N9" s="53">
        <v>2</v>
      </c>
      <c r="O9"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0.96666666666666323</v>
      </c>
      <c r="R9" s="71">
        <f>IFERROR((tbl_PEM[[#This Row],[Adj. Total Hours]]+tbl_PEM[[#This Row],[Est. Hours]])/(tbl_PEM[[#This Row],[Total Hours Act]]+tbl_PEM[[#This Row],[Act. Hours]]),"")</f>
        <v>0.4137931034482773</v>
      </c>
      <c r="S9" s="63" t="s">
        <v>451</v>
      </c>
      <c r="T9" s="63" t="s">
        <v>441</v>
      </c>
      <c r="U9" s="63" t="s">
        <v>442</v>
      </c>
      <c r="V9" s="63"/>
      <c r="W9" s="63"/>
    </row>
    <row r="10" spans="1:23" ht="25" customHeight="1">
      <c r="A10" s="52">
        <v>46127</v>
      </c>
      <c r="B10" s="53" t="s">
        <v>452</v>
      </c>
      <c r="C10" s="53">
        <v>1503121900</v>
      </c>
      <c r="D10" s="54">
        <v>0.24513888888888888</v>
      </c>
      <c r="E10" s="54">
        <v>0.37430555555555556</v>
      </c>
      <c r="F10" s="53">
        <v>12</v>
      </c>
      <c r="G10" s="53">
        <v>9</v>
      </c>
      <c r="H10" s="55">
        <f>tbl_PEM[[#This Row],[Qty Complete]]/tbl_PEM[[#This Row],[Qty Required]]</f>
        <v>0.75</v>
      </c>
      <c r="I10" s="56">
        <v>6</v>
      </c>
      <c r="J10" s="53">
        <v>1</v>
      </c>
      <c r="K10" s="57">
        <f>IFERROR(tbl_PEM[[#This Row],[Qty Required]]/tbl_PEM[[#This Row],[PPH]]*tbl_PEM[[#This Row],['# of men]],"")</f>
        <v>2</v>
      </c>
      <c r="L10" s="58">
        <f>tbl_PEM[[#This Row],[Total hours]]*tbl_PEM[[#This Row],[% Complete]]</f>
        <v>1.5</v>
      </c>
      <c r="M10" s="59">
        <f>IFERROR(tbl_PEM[[#This Row],[Qty Complete]]/tbl_PEM[[#This Row],[Total Hours Act]]*tbl_PEM[[#This Row],['# of men Act]],"")</f>
        <v>2.9032258064516125</v>
      </c>
      <c r="N10" s="53">
        <v>2</v>
      </c>
      <c r="O10"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6.2000000000000011</v>
      </c>
      <c r="R10" s="71">
        <f>IFERROR((tbl_PEM[[#This Row],[Adj. Total Hours]]+tbl_PEM[[#This Row],[Est. Hours]])/(tbl_PEM[[#This Row],[Total Hours Act]]+tbl_PEM[[#This Row],[Act. Hours]]),"")</f>
        <v>0.24193548387096769</v>
      </c>
      <c r="S10" s="63"/>
      <c r="T10" s="63"/>
      <c r="U10" s="63"/>
      <c r="V10" s="63"/>
      <c r="W10" s="63"/>
    </row>
    <row r="11" spans="1:23" ht="25" customHeight="1">
      <c r="A11" s="52">
        <v>46128</v>
      </c>
      <c r="B11" s="53" t="s">
        <v>453</v>
      </c>
      <c r="C11" s="53">
        <v>1502882900</v>
      </c>
      <c r="D11" s="54">
        <v>0.61458333333333337</v>
      </c>
      <c r="E11" s="54">
        <v>0.68472222222222223</v>
      </c>
      <c r="F11" s="53">
        <v>16</v>
      </c>
      <c r="G11" s="53">
        <v>5</v>
      </c>
      <c r="H11" s="55">
        <f>tbl_PEM[[#This Row],[Qty Complete]]/tbl_PEM[[#This Row],[Qty Required]]</f>
        <v>0.3125</v>
      </c>
      <c r="I11" s="56">
        <v>1</v>
      </c>
      <c r="J11" s="53">
        <v>1</v>
      </c>
      <c r="K11" s="57">
        <f>IFERROR(tbl_PEM[[#This Row],[Qty Required]]/tbl_PEM[[#This Row],[PPH]]*tbl_PEM[[#This Row],['# of men]],"")</f>
        <v>16</v>
      </c>
      <c r="L11" s="58">
        <f>tbl_PEM[[#This Row],[Total hours]]*tbl_PEM[[#This Row],[% Complete]]</f>
        <v>5</v>
      </c>
      <c r="M11" s="59">
        <f>IFERROR(tbl_PEM[[#This Row],[Qty Complete]]/tbl_PEM[[#This Row],[Total Hours Act]]*tbl_PEM[[#This Row],['# of men Act]],"")</f>
        <v>2.9702970297029716</v>
      </c>
      <c r="N11" s="53">
        <v>2</v>
      </c>
      <c r="O11"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3.3666666666666654</v>
      </c>
      <c r="R11" s="71">
        <f>IFERROR((tbl_PEM[[#This Row],[Adj. Total Hours]]+tbl_PEM[[#This Row],[Est. Hours]])/(tbl_PEM[[#This Row],[Total Hours Act]]+tbl_PEM[[#This Row],[Act. Hours]]),"")</f>
        <v>1.4851485148514858</v>
      </c>
      <c r="S11" s="63"/>
      <c r="T11" s="63"/>
      <c r="U11" s="63"/>
      <c r="V11" s="63"/>
      <c r="W11" s="63"/>
    </row>
    <row r="12" spans="1:23" ht="25" customHeight="1">
      <c r="A12" s="52">
        <v>46128</v>
      </c>
      <c r="F12" s="53"/>
      <c r="H12" s="55" t="e">
        <f>tbl_PEM[[#This Row],[Qty Complete]]/tbl_PEM[[#This Row],[Qty Required]]</f>
        <v>#DIV/0!</v>
      </c>
      <c r="K12" s="57" t="str">
        <f>IFERROR(tbl_PEM[[#This Row],[Qty Required]]/tbl_PEM[[#This Row],[PPH]]*tbl_PEM[[#This Row],['# of men]],"")</f>
        <v/>
      </c>
      <c r="L12" s="58" t="e">
        <f>tbl_PEM[[#This Row],[Total hours]]*tbl_PEM[[#This Row],[% Complete]]</f>
        <v>#VALUE!</v>
      </c>
      <c r="M12" s="59" t="str">
        <f>IFERROR(tbl_PEM[[#This Row],[Qty Complete]]/tbl_PEM[[#This Row],[Total Hours Act]]*tbl_PEM[[#This Row],['# of men Act]],"")</f>
        <v/>
      </c>
      <c r="O12"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2" s="71" t="str">
        <f>IFERROR((tbl_PEM[[#This Row],[Adj. Total Hours]]+tbl_PEM[[#This Row],[Est. Hours]])/(tbl_PEM[[#This Row],[Total Hours Act]]+tbl_PEM[[#This Row],[Act. Hours]]),"")</f>
        <v/>
      </c>
      <c r="S12" s="63"/>
      <c r="T12" s="63"/>
      <c r="U12" s="63"/>
      <c r="V12" s="63"/>
      <c r="W12" s="63"/>
    </row>
    <row r="13" spans="1:23" ht="25" customHeight="1">
      <c r="F13" s="53"/>
      <c r="H13" s="55" t="e">
        <f>tbl_PEM[[#This Row],[Qty Complete]]/tbl_PEM[[#This Row],[Qty Required]]</f>
        <v>#DIV/0!</v>
      </c>
      <c r="K13" s="57" t="str">
        <f>IFERROR(tbl_PEM[[#This Row],[Qty Required]]/tbl_PEM[[#This Row],[PPH]]*tbl_PEM[[#This Row],['# of men]],"")</f>
        <v/>
      </c>
      <c r="L13" s="58" t="e">
        <f>tbl_PEM[[#This Row],[Total hours]]*tbl_PEM[[#This Row],[% Complete]]</f>
        <v>#VALUE!</v>
      </c>
      <c r="M13" s="59" t="str">
        <f>IFERROR(tbl_PEM[[#This Row],[Qty Complete]]/tbl_PEM[[#This Row],[Total Hours Act]]*tbl_PEM[[#This Row],['# of men Act]],"")</f>
        <v/>
      </c>
      <c r="O13"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3" s="71" t="str">
        <f>IFERROR((tbl_PEM[[#This Row],[Adj. Total Hours]]+tbl_PEM[[#This Row],[Est. Hours]])/(tbl_PEM[[#This Row],[Total Hours Act]]+tbl_PEM[[#This Row],[Act. Hours]]),"")</f>
        <v/>
      </c>
      <c r="S13" s="63"/>
      <c r="T13" s="63"/>
      <c r="U13" s="63"/>
      <c r="V13" s="63"/>
      <c r="W13" s="63"/>
    </row>
    <row r="14" spans="1:23" ht="25" customHeight="1">
      <c r="F14" s="53"/>
      <c r="H14" s="55" t="e">
        <f>tbl_PEM[[#This Row],[Qty Complete]]/tbl_PEM[[#This Row],[Qty Required]]</f>
        <v>#DIV/0!</v>
      </c>
      <c r="K14" s="57" t="str">
        <f>IFERROR(tbl_PEM[[#This Row],[Qty Required]]/tbl_PEM[[#This Row],[PPH]]*tbl_PEM[[#This Row],['# of men]],"")</f>
        <v/>
      </c>
      <c r="L14" s="58" t="e">
        <f>tbl_PEM[[#This Row],[Total hours]]*tbl_PEM[[#This Row],[% Complete]]</f>
        <v>#VALUE!</v>
      </c>
      <c r="M14" s="59" t="str">
        <f>IFERROR(tbl_PEM[[#This Row],[Qty Complete]]/tbl_PEM[[#This Row],[Total Hours Act]]*tbl_PEM[[#This Row],['# of men Act]],"")</f>
        <v/>
      </c>
      <c r="O14"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4" s="71" t="str">
        <f>IFERROR((tbl_PEM[[#This Row],[Adj. Total Hours]]+tbl_PEM[[#This Row],[Est. Hours]])/(tbl_PEM[[#This Row],[Total Hours Act]]+tbl_PEM[[#This Row],[Act. Hours]]),"")</f>
        <v/>
      </c>
      <c r="S14" s="63"/>
      <c r="T14" s="63"/>
      <c r="U14" s="63"/>
      <c r="V14" s="63"/>
      <c r="W14" s="63"/>
    </row>
    <row r="15" spans="1:23" ht="25" customHeight="1">
      <c r="F15" s="53"/>
      <c r="H15" s="55" t="e">
        <f>tbl_PEM[[#This Row],[Qty Complete]]/tbl_PEM[[#This Row],[Qty Required]]</f>
        <v>#DIV/0!</v>
      </c>
      <c r="K15" s="57" t="str">
        <f>IFERROR(tbl_PEM[[#This Row],[Qty Required]]/tbl_PEM[[#This Row],[PPH]]*tbl_PEM[[#This Row],['# of men]],"")</f>
        <v/>
      </c>
      <c r="L15" s="58" t="e">
        <f>tbl_PEM[[#This Row],[Total hours]]*tbl_PEM[[#This Row],[% Complete]]</f>
        <v>#VALUE!</v>
      </c>
      <c r="M15" s="59" t="str">
        <f>IFERROR(tbl_PEM[[#This Row],[Qty Complete]]/tbl_PEM[[#This Row],[Total Hours Act]]*tbl_PEM[[#This Row],['# of men Act]],"")</f>
        <v/>
      </c>
      <c r="O15"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5" s="71" t="str">
        <f>IFERROR((tbl_PEM[[#This Row],[Adj. Total Hours]]+tbl_PEM[[#This Row],[Est. Hours]])/(tbl_PEM[[#This Row],[Total Hours Act]]+tbl_PEM[[#This Row],[Act. Hours]]),"")</f>
        <v/>
      </c>
      <c r="S15" s="63"/>
      <c r="T15" s="63"/>
      <c r="U15" s="63"/>
      <c r="V15" s="63"/>
      <c r="W15" s="63"/>
    </row>
    <row r="16" spans="1:23" ht="25" customHeight="1">
      <c r="F16" s="53"/>
      <c r="H16" s="55" t="e">
        <f>tbl_PEM[[#This Row],[Qty Complete]]/tbl_PEM[[#This Row],[Qty Required]]</f>
        <v>#DIV/0!</v>
      </c>
      <c r="K16" s="57" t="str">
        <f>IFERROR(tbl_PEM[[#This Row],[Qty Required]]/tbl_PEM[[#This Row],[PPH]]*tbl_PEM[[#This Row],['# of men]],"")</f>
        <v/>
      </c>
      <c r="L16" s="58" t="e">
        <f>tbl_PEM[[#This Row],[Total hours]]*tbl_PEM[[#This Row],[% Complete]]</f>
        <v>#VALUE!</v>
      </c>
      <c r="M16" s="59" t="str">
        <f>IFERROR(tbl_PEM[[#This Row],[Qty Complete]]/tbl_PEM[[#This Row],[Total Hours Act]]*tbl_PEM[[#This Row],['# of men Act]],"")</f>
        <v/>
      </c>
      <c r="O16"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6" s="71" t="str">
        <f>IFERROR((tbl_PEM[[#This Row],[Adj. Total Hours]]+tbl_PEM[[#This Row],[Est. Hours]])/(tbl_PEM[[#This Row],[Total Hours Act]]+tbl_PEM[[#This Row],[Act. Hours]]),"")</f>
        <v/>
      </c>
      <c r="S16" s="63"/>
      <c r="T16" s="63"/>
      <c r="U16" s="63"/>
      <c r="V16" s="63"/>
      <c r="W16" s="63"/>
    </row>
    <row r="17" spans="6:23" ht="25" customHeight="1">
      <c r="F17" s="53"/>
      <c r="H17" s="55" t="e">
        <f>tbl_PEM[[#This Row],[Qty Complete]]/tbl_PEM[[#This Row],[Qty Required]]</f>
        <v>#DIV/0!</v>
      </c>
      <c r="K17" s="57" t="str">
        <f>IFERROR(tbl_PEM[[#This Row],[Qty Required]]/tbl_PEM[[#This Row],[PPH]]*tbl_PEM[[#This Row],['# of men]],"")</f>
        <v/>
      </c>
      <c r="L17" s="58" t="e">
        <f>tbl_PEM[[#This Row],[Total hours]]*tbl_PEM[[#This Row],[% Complete]]</f>
        <v>#VALUE!</v>
      </c>
      <c r="M17" s="59" t="str">
        <f>IFERROR(tbl_PEM[[#This Row],[Qty Complete]]/tbl_PEM[[#This Row],[Total Hours Act]]*tbl_PEM[[#This Row],['# of men Act]],"")</f>
        <v/>
      </c>
      <c r="O17"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7" s="71" t="str">
        <f>IFERROR((tbl_PEM[[#This Row],[Adj. Total Hours]]+tbl_PEM[[#This Row],[Est. Hours]])/(tbl_PEM[[#This Row],[Total Hours Act]]+tbl_PEM[[#This Row],[Act. Hours]]),"")</f>
        <v/>
      </c>
      <c r="S17" s="63"/>
      <c r="T17" s="63"/>
      <c r="U17" s="63"/>
      <c r="V17" s="63"/>
      <c r="W17" s="63"/>
    </row>
    <row r="18" spans="6:23" ht="25" customHeight="1">
      <c r="F18" s="53"/>
      <c r="H18" s="55" t="e">
        <f>tbl_PEM[[#This Row],[Qty Complete]]/tbl_PEM[[#This Row],[Qty Required]]</f>
        <v>#DIV/0!</v>
      </c>
      <c r="K18" s="57" t="str">
        <f>IFERROR(tbl_PEM[[#This Row],[Qty Required]]/tbl_PEM[[#This Row],[PPH]]*tbl_PEM[[#This Row],['# of men]],"")</f>
        <v/>
      </c>
      <c r="L18" s="58" t="e">
        <f>tbl_PEM[[#This Row],[Total hours]]*tbl_PEM[[#This Row],[% Complete]]</f>
        <v>#VALUE!</v>
      </c>
      <c r="M18" s="59" t="str">
        <f>IFERROR(tbl_PEM[[#This Row],[Qty Complete]]/tbl_PEM[[#This Row],[Total Hours Act]]*tbl_PEM[[#This Row],['# of men Act]],"")</f>
        <v/>
      </c>
      <c r="O18"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8" s="71" t="str">
        <f>IFERROR((tbl_PEM[[#This Row],[Adj. Total Hours]]+tbl_PEM[[#This Row],[Est. Hours]])/(tbl_PEM[[#This Row],[Total Hours Act]]+tbl_PEM[[#This Row],[Act. Hours]]),"")</f>
        <v/>
      </c>
      <c r="S18" s="63"/>
      <c r="T18" s="63"/>
      <c r="U18" s="63"/>
      <c r="V18" s="63"/>
      <c r="W18" s="63"/>
    </row>
    <row r="19" spans="6:23" ht="25" customHeight="1">
      <c r="F19" s="53"/>
      <c r="H19" s="55" t="e">
        <f>tbl_PEM[[#This Row],[Qty Complete]]/tbl_PEM[[#This Row],[Qty Required]]</f>
        <v>#DIV/0!</v>
      </c>
      <c r="K19" s="57" t="str">
        <f>IFERROR(tbl_PEM[[#This Row],[Qty Required]]/tbl_PEM[[#This Row],[PPH]]*tbl_PEM[[#This Row],['# of men]],"")</f>
        <v/>
      </c>
      <c r="L19" s="58" t="e">
        <f>tbl_PEM[[#This Row],[Total hours]]*tbl_PEM[[#This Row],[% Complete]]</f>
        <v>#VALUE!</v>
      </c>
      <c r="M19" s="59" t="str">
        <f>IFERROR(tbl_PEM[[#This Row],[Qty Complete]]/tbl_PEM[[#This Row],[Total Hours Act]]*tbl_PEM[[#This Row],['# of men Act]],"")</f>
        <v/>
      </c>
      <c r="O19"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9" s="71" t="str">
        <f>IFERROR((tbl_PEM[[#This Row],[Adj. Total Hours]]+tbl_PEM[[#This Row],[Est. Hours]])/(tbl_PEM[[#This Row],[Total Hours Act]]+tbl_PEM[[#This Row],[Act. Hours]]),"")</f>
        <v/>
      </c>
      <c r="S19" s="63"/>
      <c r="T19" s="63"/>
      <c r="U19" s="63"/>
      <c r="V19" s="63"/>
      <c r="W19" s="63"/>
    </row>
    <row r="20" spans="6:23" ht="25" customHeight="1">
      <c r="F20" s="53"/>
      <c r="H20" s="55" t="e">
        <f>tbl_PEM[[#This Row],[Qty Complete]]/tbl_PEM[[#This Row],[Qty Required]]</f>
        <v>#DIV/0!</v>
      </c>
      <c r="K20" s="57" t="str">
        <f>IFERROR(tbl_PEM[[#This Row],[Qty Required]]/tbl_PEM[[#This Row],[PPH]]*tbl_PEM[[#This Row],['# of men]],"")</f>
        <v/>
      </c>
      <c r="L20" s="58" t="e">
        <f>tbl_PEM[[#This Row],[Total hours]]*tbl_PEM[[#This Row],[% Complete]]</f>
        <v>#VALUE!</v>
      </c>
      <c r="M20" s="59" t="str">
        <f>IFERROR(tbl_PEM[[#This Row],[Qty Complete]]/tbl_PEM[[#This Row],[Total Hours Act]]*tbl_PEM[[#This Row],['# of men Act]],"")</f>
        <v/>
      </c>
      <c r="O20"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0" s="71" t="str">
        <f>IFERROR((tbl_PEM[[#This Row],[Adj. Total Hours]]+tbl_PEM[[#This Row],[Est. Hours]])/(tbl_PEM[[#This Row],[Total Hours Act]]+tbl_PEM[[#This Row],[Act. Hours]]),"")</f>
        <v/>
      </c>
      <c r="S20" s="63"/>
      <c r="T20" s="63"/>
      <c r="U20" s="63"/>
      <c r="V20" s="63"/>
      <c r="W20" s="63"/>
    </row>
    <row r="21" spans="6:23" ht="25" customHeight="1">
      <c r="F21" s="53"/>
      <c r="H21" s="55" t="e">
        <f>tbl_PEM[[#This Row],[Qty Complete]]/tbl_PEM[[#This Row],[Qty Required]]</f>
        <v>#DIV/0!</v>
      </c>
      <c r="K21" s="57" t="str">
        <f>IFERROR(tbl_PEM[[#This Row],[Qty Required]]/tbl_PEM[[#This Row],[PPH]]*tbl_PEM[[#This Row],['# of men]],"")</f>
        <v/>
      </c>
      <c r="L21" s="58" t="e">
        <f>tbl_PEM[[#This Row],[Total hours]]*tbl_PEM[[#This Row],[% Complete]]</f>
        <v>#VALUE!</v>
      </c>
      <c r="M21" s="59" t="str">
        <f>IFERROR(tbl_PEM[[#This Row],[Qty Complete]]/tbl_PEM[[#This Row],[Total Hours Act]]*tbl_PEM[[#This Row],['# of men Act]],"")</f>
        <v/>
      </c>
      <c r="O21"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1" s="71" t="str">
        <f>IFERROR((tbl_PEM[[#This Row],[Adj. Total Hours]]+tbl_PEM[[#This Row],[Est. Hours]])/(tbl_PEM[[#This Row],[Total Hours Act]]+tbl_PEM[[#This Row],[Act. Hours]]),"")</f>
        <v/>
      </c>
      <c r="S21" s="63"/>
      <c r="T21" s="63"/>
      <c r="U21" s="63"/>
      <c r="V21" s="63"/>
      <c r="W21" s="63"/>
    </row>
    <row r="22" spans="6:23" ht="25" customHeight="1">
      <c r="F22" s="53"/>
      <c r="H22" s="55" t="e">
        <f>tbl_PEM[[#This Row],[Qty Complete]]/tbl_PEM[[#This Row],[Qty Required]]</f>
        <v>#DIV/0!</v>
      </c>
      <c r="K22" s="57" t="str">
        <f>IFERROR(tbl_PEM[[#This Row],[Qty Required]]/tbl_PEM[[#This Row],[PPH]]*tbl_PEM[[#This Row],['# of men]],"")</f>
        <v/>
      </c>
      <c r="L22" s="58" t="e">
        <f>tbl_PEM[[#This Row],[Total hours]]*tbl_PEM[[#This Row],[% Complete]]</f>
        <v>#VALUE!</v>
      </c>
      <c r="M22" s="59" t="str">
        <f>IFERROR(tbl_PEM[[#This Row],[Qty Complete]]/tbl_PEM[[#This Row],[Total Hours Act]]*tbl_PEM[[#This Row],['# of men Act]],"")</f>
        <v/>
      </c>
      <c r="O22"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2" s="71" t="str">
        <f>IFERROR((tbl_PEM[[#This Row],[Adj. Total Hours]]+tbl_PEM[[#This Row],[Est. Hours]])/(tbl_PEM[[#This Row],[Total Hours Act]]+tbl_PEM[[#This Row],[Act. Hours]]),"")</f>
        <v/>
      </c>
      <c r="S22" s="63"/>
      <c r="T22" s="63"/>
      <c r="U22" s="63"/>
      <c r="V22" s="63"/>
      <c r="W22" s="63"/>
    </row>
    <row r="23" spans="6:23" ht="25" customHeight="1">
      <c r="F23" s="53"/>
      <c r="H23" s="55" t="e">
        <f>tbl_PEM[[#This Row],[Qty Complete]]/tbl_PEM[[#This Row],[Qty Required]]</f>
        <v>#DIV/0!</v>
      </c>
      <c r="K23" s="57" t="str">
        <f>IFERROR(tbl_PEM[[#This Row],[Qty Required]]/tbl_PEM[[#This Row],[PPH]]*tbl_PEM[[#This Row],['# of men]],"")</f>
        <v/>
      </c>
      <c r="L23" s="58" t="e">
        <f>tbl_PEM[[#This Row],[Total hours]]*tbl_PEM[[#This Row],[% Complete]]</f>
        <v>#VALUE!</v>
      </c>
      <c r="M23" s="59" t="str">
        <f>IFERROR(tbl_PEM[[#This Row],[Qty Complete]]/tbl_PEM[[#This Row],[Total Hours Act]]*tbl_PEM[[#This Row],['# of men Act]],"")</f>
        <v/>
      </c>
      <c r="O23"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3" s="71" t="str">
        <f>IFERROR((tbl_PEM[[#This Row],[Adj. Total Hours]]+tbl_PEM[[#This Row],[Est. Hours]])/(tbl_PEM[[#This Row],[Total Hours Act]]+tbl_PEM[[#This Row],[Act. Hours]]),"")</f>
        <v/>
      </c>
      <c r="S23" s="63"/>
      <c r="T23" s="63"/>
      <c r="U23" s="63"/>
      <c r="V23" s="63"/>
      <c r="W23" s="63"/>
    </row>
    <row r="24" spans="6:23" ht="25" customHeight="1">
      <c r="F24" s="53"/>
      <c r="H24" s="55" t="e">
        <f>tbl_PEM[[#This Row],[Qty Complete]]/tbl_PEM[[#This Row],[Qty Required]]</f>
        <v>#DIV/0!</v>
      </c>
      <c r="K24" s="57" t="str">
        <f>IFERROR(tbl_PEM[[#This Row],[Qty Required]]/tbl_PEM[[#This Row],[PPH]]*tbl_PEM[[#This Row],['# of men]],"")</f>
        <v/>
      </c>
      <c r="L24" s="58" t="e">
        <f>tbl_PEM[[#This Row],[Total hours]]*tbl_PEM[[#This Row],[% Complete]]</f>
        <v>#VALUE!</v>
      </c>
      <c r="M24" s="59" t="str">
        <f>IFERROR(tbl_PEM[[#This Row],[Qty Complete]]/tbl_PEM[[#This Row],[Total Hours Act]]*tbl_PEM[[#This Row],['# of men Act]],"")</f>
        <v/>
      </c>
      <c r="O24"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4" s="71" t="str">
        <f>IFERROR((tbl_PEM[[#This Row],[Adj. Total Hours]]+tbl_PEM[[#This Row],[Est. Hours]])/(tbl_PEM[[#This Row],[Total Hours Act]]+tbl_PEM[[#This Row],[Act. Hours]]),"")</f>
        <v/>
      </c>
      <c r="S24" s="63"/>
      <c r="T24" s="63"/>
      <c r="U24" s="63"/>
      <c r="V24" s="63"/>
      <c r="W24" s="63"/>
    </row>
    <row r="25" spans="6:23" ht="25" customHeight="1">
      <c r="F25" s="53"/>
      <c r="H25" s="55" t="e">
        <f>tbl_PEM[[#This Row],[Qty Complete]]/tbl_PEM[[#This Row],[Qty Required]]</f>
        <v>#DIV/0!</v>
      </c>
      <c r="K25" s="57" t="str">
        <f>IFERROR(tbl_PEM[[#This Row],[Qty Required]]/tbl_PEM[[#This Row],[PPH]]*tbl_PEM[[#This Row],['# of men]],"")</f>
        <v/>
      </c>
      <c r="L25" s="58" t="e">
        <f>tbl_PEM[[#This Row],[Total hours]]*tbl_PEM[[#This Row],[% Complete]]</f>
        <v>#VALUE!</v>
      </c>
      <c r="M25" s="59" t="str">
        <f>IFERROR(tbl_PEM[[#This Row],[Qty Complete]]/tbl_PEM[[#This Row],[Total Hours Act]]*tbl_PEM[[#This Row],['# of men Act]],"")</f>
        <v/>
      </c>
      <c r="O25"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5" s="71" t="str">
        <f>IFERROR((tbl_PEM[[#This Row],[Adj. Total Hours]]+tbl_PEM[[#This Row],[Est. Hours]])/(tbl_PEM[[#This Row],[Total Hours Act]]+tbl_PEM[[#This Row],[Act. Hours]]),"")</f>
        <v/>
      </c>
      <c r="S25" s="63"/>
      <c r="T25" s="63"/>
      <c r="U25" s="63"/>
      <c r="V25" s="63"/>
      <c r="W25" s="63"/>
    </row>
    <row r="26" spans="6:23" ht="25" customHeight="1">
      <c r="F26" s="53"/>
      <c r="H26" s="55" t="e">
        <f>tbl_PEM[[#This Row],[Qty Complete]]/tbl_PEM[[#This Row],[Qty Required]]</f>
        <v>#DIV/0!</v>
      </c>
      <c r="K26" s="57" t="str">
        <f>IFERROR(tbl_PEM[[#This Row],[Qty Required]]/tbl_PEM[[#This Row],[PPH]]*tbl_PEM[[#This Row],['# of men]],"")</f>
        <v/>
      </c>
      <c r="L26" s="58" t="e">
        <f>tbl_PEM[[#This Row],[Total hours]]*tbl_PEM[[#This Row],[% Complete]]</f>
        <v>#VALUE!</v>
      </c>
      <c r="M26" s="59" t="str">
        <f>IFERROR(tbl_PEM[[#This Row],[Qty Complete]]/tbl_PEM[[#This Row],[Total Hours Act]]*tbl_PEM[[#This Row],['# of men Act]],"")</f>
        <v/>
      </c>
      <c r="O26"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6" s="71" t="str">
        <f>IFERROR((tbl_PEM[[#This Row],[Adj. Total Hours]]+tbl_PEM[[#This Row],[Est. Hours]])/(tbl_PEM[[#This Row],[Total Hours Act]]+tbl_PEM[[#This Row],[Act. Hours]]),"")</f>
        <v/>
      </c>
      <c r="S26" s="63"/>
      <c r="T26" s="63"/>
      <c r="U26" s="63"/>
      <c r="V26" s="63"/>
      <c r="W26" s="63"/>
    </row>
    <row r="27" spans="6:23" ht="25" customHeight="1">
      <c r="F27" s="53"/>
      <c r="H27" s="55" t="e">
        <f>tbl_PEM[[#This Row],[Qty Complete]]/tbl_PEM[[#This Row],[Qty Required]]</f>
        <v>#DIV/0!</v>
      </c>
      <c r="K27" s="57" t="str">
        <f>IFERROR(tbl_PEM[[#This Row],[Qty Required]]/tbl_PEM[[#This Row],[PPH]]*tbl_PEM[[#This Row],['# of men]],"")</f>
        <v/>
      </c>
      <c r="L27" s="58" t="e">
        <f>tbl_PEM[[#This Row],[Total hours]]*tbl_PEM[[#This Row],[% Complete]]</f>
        <v>#VALUE!</v>
      </c>
      <c r="M27" s="59" t="str">
        <f>IFERROR(tbl_PEM[[#This Row],[Qty Complete]]/tbl_PEM[[#This Row],[Total Hours Act]]*tbl_PEM[[#This Row],['# of men Act]],"")</f>
        <v/>
      </c>
      <c r="O27"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7" s="71" t="str">
        <f>IFERROR((tbl_PEM[[#This Row],[Adj. Total Hours]]+tbl_PEM[[#This Row],[Est. Hours]])/(tbl_PEM[[#This Row],[Total Hours Act]]+tbl_PEM[[#This Row],[Act. Hours]]),"")</f>
        <v/>
      </c>
      <c r="S27" s="63"/>
      <c r="T27" s="63"/>
      <c r="U27" s="63"/>
      <c r="V27" s="63"/>
      <c r="W27" s="63"/>
    </row>
    <row r="28" spans="6:23" ht="25" customHeight="1">
      <c r="F28" s="53"/>
      <c r="H28" s="55" t="e">
        <f>tbl_PEM[[#This Row],[Qty Complete]]/tbl_PEM[[#This Row],[Qty Required]]</f>
        <v>#DIV/0!</v>
      </c>
      <c r="K28" s="57" t="str">
        <f>IFERROR(tbl_PEM[[#This Row],[Qty Required]]/tbl_PEM[[#This Row],[PPH]]*tbl_PEM[[#This Row],['# of men]],"")</f>
        <v/>
      </c>
      <c r="L28" s="58" t="e">
        <f>tbl_PEM[[#This Row],[Total hours]]*tbl_PEM[[#This Row],[% Complete]]</f>
        <v>#VALUE!</v>
      </c>
      <c r="M28" s="59" t="str">
        <f>IFERROR(tbl_PEM[[#This Row],[Qty Complete]]/tbl_PEM[[#This Row],[Total Hours Act]]*tbl_PEM[[#This Row],['# of men Act]],"")</f>
        <v/>
      </c>
      <c r="O28"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8" s="71" t="str">
        <f>IFERROR((tbl_PEM[[#This Row],[Adj. Total Hours]]+tbl_PEM[[#This Row],[Est. Hours]])/(tbl_PEM[[#This Row],[Total Hours Act]]+tbl_PEM[[#This Row],[Act. Hours]]),"")</f>
        <v/>
      </c>
      <c r="S28" s="63"/>
      <c r="T28" s="63"/>
      <c r="U28" s="63"/>
      <c r="V28" s="63"/>
      <c r="W28" s="63"/>
    </row>
    <row r="29" spans="6:23" ht="25" customHeight="1">
      <c r="F29" s="53"/>
      <c r="H29" s="55" t="e">
        <f>tbl_PEM[[#This Row],[Qty Complete]]/tbl_PEM[[#This Row],[Qty Required]]</f>
        <v>#DIV/0!</v>
      </c>
      <c r="K29" s="57" t="str">
        <f>IFERROR(tbl_PEM[[#This Row],[Qty Required]]/tbl_PEM[[#This Row],[PPH]]*tbl_PEM[[#This Row],['# of men]],"")</f>
        <v/>
      </c>
      <c r="L29" s="58" t="e">
        <f>tbl_PEM[[#This Row],[Total hours]]*tbl_PEM[[#This Row],[% Complete]]</f>
        <v>#VALUE!</v>
      </c>
      <c r="M29" s="59" t="str">
        <f>IFERROR(tbl_PEM[[#This Row],[Qty Complete]]/tbl_PEM[[#This Row],[Total Hours Act]]*tbl_PEM[[#This Row],['# of men Act]],"")</f>
        <v/>
      </c>
      <c r="O29"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9" s="71" t="str">
        <f>IFERROR((tbl_PEM[[#This Row],[Adj. Total Hours]]+tbl_PEM[[#This Row],[Est. Hours]])/(tbl_PEM[[#This Row],[Total Hours Act]]+tbl_PEM[[#This Row],[Act. Hours]]),"")</f>
        <v/>
      </c>
      <c r="S29" s="63"/>
      <c r="T29" s="63"/>
      <c r="U29" s="63"/>
      <c r="V29" s="63"/>
      <c r="W29" s="63"/>
    </row>
    <row r="30" spans="6:23" ht="25" customHeight="1">
      <c r="F30" s="53"/>
      <c r="H30" s="55" t="e">
        <f>tbl_PEM[[#This Row],[Qty Complete]]/tbl_PEM[[#This Row],[Qty Required]]</f>
        <v>#DIV/0!</v>
      </c>
      <c r="K30" s="57" t="str">
        <f>IFERROR(tbl_PEM[[#This Row],[Qty Required]]/tbl_PEM[[#This Row],[PPH]]*tbl_PEM[[#This Row],['# of men]],"")</f>
        <v/>
      </c>
      <c r="L30" s="58" t="e">
        <f>tbl_PEM[[#This Row],[Total hours]]*tbl_PEM[[#This Row],[% Complete]]</f>
        <v>#VALUE!</v>
      </c>
      <c r="M30" s="59" t="str">
        <f>IFERROR(tbl_PEM[[#This Row],[Qty Complete]]/tbl_PEM[[#This Row],[Total Hours Act]]*tbl_PEM[[#This Row],['# of men Act]],"")</f>
        <v/>
      </c>
      <c r="O30"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30" s="71" t="str">
        <f>IFERROR((tbl_PEM[[#This Row],[Adj. Total Hours]]+tbl_PEM[[#This Row],[Est. Hours]])/(tbl_PEM[[#This Row],[Total Hours Act]]+tbl_PEM[[#This Row],[Act. Hours]]),"")</f>
        <v/>
      </c>
      <c r="S30" s="63"/>
      <c r="T30" s="63"/>
      <c r="U30" s="63"/>
      <c r="V30" s="63"/>
      <c r="W30" s="63"/>
    </row>
    <row r="31" spans="6:23" ht="25" customHeight="1">
      <c r="F31" s="53"/>
      <c r="H31" s="55" t="e">
        <f>tbl_PEM[[#This Row],[Qty Complete]]/tbl_PEM[[#This Row],[Qty Required]]</f>
        <v>#DIV/0!</v>
      </c>
      <c r="K31" s="57" t="str">
        <f>IFERROR(tbl_PEM[[#This Row],[Qty Required]]/tbl_PEM[[#This Row],[PPH]]*tbl_PEM[[#This Row],['# of men]],"")</f>
        <v/>
      </c>
      <c r="L31" s="58" t="e">
        <f>tbl_PEM[[#This Row],[Total hours]]*tbl_PEM[[#This Row],[% Complete]]</f>
        <v>#VALUE!</v>
      </c>
      <c r="M31" s="59" t="str">
        <f>IFERROR(tbl_PEM[[#This Row],[Qty Complete]]/tbl_PEM[[#This Row],[Total Hours Act]]*tbl_PEM[[#This Row],['# of men Act]],"")</f>
        <v/>
      </c>
      <c r="O31"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31" s="71" t="str">
        <f>IFERROR((tbl_PEM[[#This Row],[Adj. Total Hours]]+tbl_PEM[[#This Row],[Est. Hours]])/(tbl_PEM[[#This Row],[Total Hours Act]]+tbl_PEM[[#This Row],[Act. Hours]]),"")</f>
        <v/>
      </c>
      <c r="S31" s="63"/>
      <c r="T31" s="63"/>
      <c r="U31" s="63"/>
      <c r="V31" s="63"/>
      <c r="W31" s="63"/>
    </row>
    <row r="32" spans="6:23" ht="25" customHeight="1">
      <c r="F32" s="53"/>
      <c r="H32" s="55" t="e">
        <f>tbl_PEM[[#This Row],[Qty Complete]]/tbl_PEM[[#This Row],[Qty Required]]</f>
        <v>#DIV/0!</v>
      </c>
      <c r="K32" s="57" t="str">
        <f>IFERROR(tbl_PEM[[#This Row],[Qty Required]]/tbl_PEM[[#This Row],[PPH]]*tbl_PEM[[#This Row],['# of men]],"")</f>
        <v/>
      </c>
      <c r="L32" s="58" t="e">
        <f>tbl_PEM[[#This Row],[Total hours]]*tbl_PEM[[#This Row],[% Complete]]</f>
        <v>#VALUE!</v>
      </c>
      <c r="M32" s="59" t="str">
        <f>IFERROR(tbl_PEM[[#This Row],[Qty Complete]]/tbl_PEM[[#This Row],[Total Hours Act]]*tbl_PEM[[#This Row],['# of men Act]],"")</f>
        <v/>
      </c>
      <c r="O32"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32" s="71" t="str">
        <f>IFERROR((tbl_PEM[[#This Row],[Adj. Total Hours]]+tbl_PEM[[#This Row],[Est. Hours]])/(tbl_PEM[[#This Row],[Total Hours Act]]+tbl_PEM[[#This Row],[Act. Hours]]),"")</f>
        <v/>
      </c>
      <c r="S32" s="63"/>
      <c r="T32" s="63"/>
      <c r="U32" s="63"/>
      <c r="V32" s="63"/>
      <c r="W32" s="63"/>
    </row>
    <row r="33" spans="6:23" ht="25" customHeight="1">
      <c r="F33" s="53"/>
      <c r="H33" s="55" t="e">
        <f>tbl_PEM[[#This Row],[Qty Complete]]/tbl_PEM[[#This Row],[Qty Required]]</f>
        <v>#DIV/0!</v>
      </c>
      <c r="K33" s="57" t="str">
        <f>IFERROR(tbl_PEM[[#This Row],[Qty Required]]/tbl_PEM[[#This Row],[PPH]]*tbl_PEM[[#This Row],['# of men]],"")</f>
        <v/>
      </c>
      <c r="L33" s="58" t="e">
        <f>tbl_PEM[[#This Row],[Total hours]]*tbl_PEM[[#This Row],[% Complete]]</f>
        <v>#VALUE!</v>
      </c>
      <c r="M33" s="59" t="str">
        <f>IFERROR(tbl_PEM[[#This Row],[Qty Complete]]/tbl_PEM[[#This Row],[Total Hours Act]]*tbl_PEM[[#This Row],['# of men Act]],"")</f>
        <v/>
      </c>
      <c r="O33"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33" s="71" t="str">
        <f>IFERROR((tbl_PEM[[#This Row],[Adj. Total Hours]]+tbl_PEM[[#This Row],[Est. Hours]])/(tbl_PEM[[#This Row],[Total Hours Act]]+tbl_PEM[[#This Row],[Act. Hours]]),"")</f>
        <v/>
      </c>
      <c r="S33" s="63"/>
      <c r="T33" s="63"/>
      <c r="U33" s="63"/>
      <c r="V33" s="63"/>
      <c r="W33" s="63"/>
    </row>
    <row r="34" spans="6:23" ht="25" customHeight="1">
      <c r="F34" s="53"/>
      <c r="H34" s="55" t="e">
        <f>tbl_PEM[[#This Row],[Qty Complete]]/tbl_PEM[[#This Row],[Qty Required]]</f>
        <v>#DIV/0!</v>
      </c>
      <c r="K34" s="57" t="str">
        <f>IFERROR(tbl_PEM[[#This Row],[Qty Required]]/tbl_PEM[[#This Row],[PPH]]*tbl_PEM[[#This Row],['# of men]],"")</f>
        <v/>
      </c>
      <c r="L34" s="58" t="e">
        <f>tbl_PEM[[#This Row],[Total hours]]*tbl_PEM[[#This Row],[% Complete]]</f>
        <v>#VALUE!</v>
      </c>
      <c r="M34" s="59" t="str">
        <f>IFERROR(tbl_PEM[[#This Row],[Qty Complete]]/tbl_PEM[[#This Row],[Total Hours Act]]*tbl_PEM[[#This Row],['# of men Act]],"")</f>
        <v/>
      </c>
      <c r="O34"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34" s="71" t="str">
        <f>IFERROR((tbl_PEM[[#This Row],[Adj. Total Hours]]+tbl_PEM[[#This Row],[Est. Hours]])/(tbl_PEM[[#This Row],[Total Hours Act]]+tbl_PEM[[#This Row],[Act. Hours]]),"")</f>
        <v/>
      </c>
      <c r="S34" s="63"/>
      <c r="T34" s="63"/>
      <c r="U34" s="63"/>
      <c r="V34" s="63"/>
      <c r="W34" s="63"/>
    </row>
    <row r="35" spans="6:23" ht="25" customHeight="1">
      <c r="F35" s="53"/>
      <c r="H35" s="55" t="e">
        <f>tbl_PEM[[#This Row],[Qty Complete]]/tbl_PEM[[#This Row],[Qty Required]]</f>
        <v>#DIV/0!</v>
      </c>
      <c r="K35" s="57" t="str">
        <f>IFERROR(tbl_PEM[[#This Row],[Qty Required]]/tbl_PEM[[#This Row],[PPH]]*tbl_PEM[[#This Row],['# of men]],"")</f>
        <v/>
      </c>
      <c r="L35" s="58" t="e">
        <f>tbl_PEM[[#This Row],[Total hours]]*tbl_PEM[[#This Row],[% Complete]]</f>
        <v>#VALUE!</v>
      </c>
      <c r="M35" s="59" t="str">
        <f>IFERROR(tbl_PEM[[#This Row],[Qty Complete]]/tbl_PEM[[#This Row],[Total Hours Act]]*tbl_PEM[[#This Row],['# of men Act]],"")</f>
        <v/>
      </c>
      <c r="O35"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35" s="71" t="str">
        <f>IFERROR((tbl_PEM[[#This Row],[Adj. Total Hours]]+tbl_PEM[[#This Row],[Est. Hours]])/(tbl_PEM[[#This Row],[Total Hours Act]]+tbl_PEM[[#This Row],[Act. Hours]]),"")</f>
        <v/>
      </c>
      <c r="S35" s="63"/>
      <c r="T35" s="63"/>
      <c r="U35" s="63"/>
      <c r="V35" s="63"/>
      <c r="W35" s="63"/>
    </row>
    <row r="36" spans="6:23" ht="25" customHeight="1">
      <c r="F36" s="53"/>
      <c r="H36" s="55" t="e">
        <f>tbl_PEM[[#This Row],[Qty Complete]]/tbl_PEM[[#This Row],[Qty Required]]</f>
        <v>#DIV/0!</v>
      </c>
      <c r="K36" s="57" t="str">
        <f>IFERROR(tbl_PEM[[#This Row],[Qty Required]]/tbl_PEM[[#This Row],[PPH]]*tbl_PEM[[#This Row],['# of men]],"")</f>
        <v/>
      </c>
      <c r="L36" s="58" t="e">
        <f>tbl_PEM[[#This Row],[Total hours]]*tbl_PEM[[#This Row],[% Complete]]</f>
        <v>#VALUE!</v>
      </c>
      <c r="M36" s="59" t="str">
        <f>IFERROR(tbl_PEM[[#This Row],[Qty Complete]]/tbl_PEM[[#This Row],[Total Hours Act]]*tbl_PEM[[#This Row],['# of men Act]],"")</f>
        <v/>
      </c>
      <c r="O36"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36" s="71" t="str">
        <f>IFERROR((tbl_PEM[[#This Row],[Adj. Total Hours]]+tbl_PEM[[#This Row],[Est. Hours]])/(tbl_PEM[[#This Row],[Total Hours Act]]+tbl_PEM[[#This Row],[Act. Hours]]),"")</f>
        <v/>
      </c>
      <c r="S36" s="63"/>
      <c r="T36" s="63"/>
      <c r="U36" s="63"/>
      <c r="V36" s="63"/>
      <c r="W36" s="63"/>
    </row>
    <row r="37" spans="6:23" ht="25" customHeight="1">
      <c r="F37" s="53"/>
      <c r="H37" s="55" t="e">
        <f>tbl_PEM[[#This Row],[Qty Complete]]/tbl_PEM[[#This Row],[Qty Required]]</f>
        <v>#DIV/0!</v>
      </c>
      <c r="K37" s="57" t="str">
        <f>IFERROR(tbl_PEM[[#This Row],[Qty Required]]/tbl_PEM[[#This Row],[PPH]]*tbl_PEM[[#This Row],['# of men]],"")</f>
        <v/>
      </c>
      <c r="L37" s="58" t="e">
        <f>tbl_PEM[[#This Row],[Total hours]]*tbl_PEM[[#This Row],[% Complete]]</f>
        <v>#VALUE!</v>
      </c>
      <c r="M37" s="59" t="str">
        <f>IFERROR(tbl_PEM[[#This Row],[Qty Complete]]/tbl_PEM[[#This Row],[Total Hours Act]]*tbl_PEM[[#This Row],['# of men Act]],"")</f>
        <v/>
      </c>
      <c r="O37"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37" s="71" t="str">
        <f>IFERROR((tbl_PEM[[#This Row],[Adj. Total Hours]]+tbl_PEM[[#This Row],[Est. Hours]])/(tbl_PEM[[#This Row],[Total Hours Act]]+tbl_PEM[[#This Row],[Act. Hours]]),"")</f>
        <v/>
      </c>
      <c r="S37" s="63"/>
      <c r="T37" s="63"/>
      <c r="U37" s="63"/>
      <c r="V37" s="63"/>
      <c r="W37" s="63"/>
    </row>
    <row r="38" spans="6:23" ht="25" customHeight="1">
      <c r="F38" s="53"/>
      <c r="H38" s="55" t="e">
        <f>tbl_PEM[[#This Row],[Qty Complete]]/tbl_PEM[[#This Row],[Qty Required]]</f>
        <v>#DIV/0!</v>
      </c>
      <c r="K38" s="57" t="str">
        <f>IFERROR(tbl_PEM[[#This Row],[Qty Required]]/tbl_PEM[[#This Row],[PPH]]*tbl_PEM[[#This Row],['# of men]],"")</f>
        <v/>
      </c>
      <c r="L38" s="58" t="e">
        <f>tbl_PEM[[#This Row],[Total hours]]*tbl_PEM[[#This Row],[% Complete]]</f>
        <v>#VALUE!</v>
      </c>
      <c r="M38" s="59" t="str">
        <f>IFERROR(tbl_PEM[[#This Row],[Qty Complete]]/tbl_PEM[[#This Row],[Total Hours Act]]*tbl_PEM[[#This Row],['# of men Act]],"")</f>
        <v/>
      </c>
      <c r="O38"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38" s="71" t="str">
        <f>IFERROR((tbl_PEM[[#This Row],[Adj. Total Hours]]+tbl_PEM[[#This Row],[Est. Hours]])/(tbl_PEM[[#This Row],[Total Hours Act]]+tbl_PEM[[#This Row],[Act. Hours]]),"")</f>
        <v/>
      </c>
      <c r="S38" s="63"/>
      <c r="T38" s="63"/>
      <c r="U38" s="63"/>
      <c r="V38" s="63"/>
      <c r="W38" s="63"/>
    </row>
    <row r="39" spans="6:23" ht="25" customHeight="1">
      <c r="F39" s="53"/>
      <c r="H39" s="55" t="e">
        <f>tbl_PEM[[#This Row],[Qty Complete]]/tbl_PEM[[#This Row],[Qty Required]]</f>
        <v>#DIV/0!</v>
      </c>
      <c r="K39" s="57" t="str">
        <f>IFERROR(tbl_PEM[[#This Row],[Qty Required]]/tbl_PEM[[#This Row],[PPH]]*tbl_PEM[[#This Row],['# of men]],"")</f>
        <v/>
      </c>
      <c r="L39" s="58" t="e">
        <f>tbl_PEM[[#This Row],[Total hours]]*tbl_PEM[[#This Row],[% Complete]]</f>
        <v>#VALUE!</v>
      </c>
      <c r="M39" s="59" t="str">
        <f>IFERROR(tbl_PEM[[#This Row],[Qty Complete]]/tbl_PEM[[#This Row],[Total Hours Act]]*tbl_PEM[[#This Row],['# of men Act]],"")</f>
        <v/>
      </c>
      <c r="O39"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39" s="71" t="str">
        <f>IFERROR((tbl_PEM[[#This Row],[Adj. Total Hours]]+tbl_PEM[[#This Row],[Est. Hours]])/(tbl_PEM[[#This Row],[Total Hours Act]]+tbl_PEM[[#This Row],[Act. Hours]]),"")</f>
        <v/>
      </c>
      <c r="S39" s="63"/>
      <c r="T39" s="63"/>
      <c r="U39" s="63"/>
      <c r="V39" s="63"/>
      <c r="W39" s="63"/>
    </row>
    <row r="40" spans="6:23" ht="25" customHeight="1">
      <c r="F40" s="53"/>
      <c r="H40" s="55" t="e">
        <f>tbl_PEM[[#This Row],[Qty Complete]]/tbl_PEM[[#This Row],[Qty Required]]</f>
        <v>#DIV/0!</v>
      </c>
      <c r="K40" s="57" t="str">
        <f>IFERROR(tbl_PEM[[#This Row],[Qty Required]]/tbl_PEM[[#This Row],[PPH]]*tbl_PEM[[#This Row],['# of men]],"")</f>
        <v/>
      </c>
      <c r="L40" s="58" t="e">
        <f>tbl_PEM[[#This Row],[Total hours]]*tbl_PEM[[#This Row],[% Complete]]</f>
        <v>#VALUE!</v>
      </c>
      <c r="M40" s="59" t="str">
        <f>IFERROR(tbl_PEM[[#This Row],[Qty Complete]]/tbl_PEM[[#This Row],[Total Hours Act]]*tbl_PEM[[#This Row],['# of men Act]],"")</f>
        <v/>
      </c>
      <c r="O40"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40" s="71" t="str">
        <f>IFERROR((tbl_PEM[[#This Row],[Adj. Total Hours]]+tbl_PEM[[#This Row],[Est. Hours]])/(tbl_PEM[[#This Row],[Total Hours Act]]+tbl_PEM[[#This Row],[Act. Hours]]),"")</f>
        <v/>
      </c>
      <c r="S40" s="63"/>
      <c r="T40" s="63"/>
      <c r="U40" s="63"/>
      <c r="V40" s="63"/>
      <c r="W40" s="63"/>
    </row>
    <row r="41" spans="6:23" ht="25" customHeight="1">
      <c r="F41" s="53"/>
      <c r="H41" s="55" t="e">
        <f>tbl_PEM[[#This Row],[Qty Complete]]/tbl_PEM[[#This Row],[Qty Required]]</f>
        <v>#DIV/0!</v>
      </c>
      <c r="K41" s="57" t="str">
        <f>IFERROR(tbl_PEM[[#This Row],[Qty Required]]/tbl_PEM[[#This Row],[PPH]]*tbl_PEM[[#This Row],['# of men]],"")</f>
        <v/>
      </c>
      <c r="L41" s="58" t="e">
        <f>tbl_PEM[[#This Row],[Total hours]]*tbl_PEM[[#This Row],[% Complete]]</f>
        <v>#VALUE!</v>
      </c>
      <c r="M41" s="59" t="str">
        <f>IFERROR(tbl_PEM[[#This Row],[Qty Complete]]/tbl_PEM[[#This Row],[Total Hours Act]]*tbl_PEM[[#This Row],['# of men Act]],"")</f>
        <v/>
      </c>
      <c r="O41"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41" s="71" t="str">
        <f>IFERROR((tbl_PEM[[#This Row],[Adj. Total Hours]]+tbl_PEM[[#This Row],[Est. Hours]])/(tbl_PEM[[#This Row],[Total Hours Act]]+tbl_PEM[[#This Row],[Act. Hours]]),"")</f>
        <v/>
      </c>
      <c r="S41" s="63"/>
      <c r="T41" s="63"/>
      <c r="U41" s="63"/>
      <c r="V41" s="63"/>
      <c r="W41" s="63"/>
    </row>
    <row r="42" spans="6:23" ht="25" customHeight="1">
      <c r="F42" s="53"/>
      <c r="H42" s="55" t="e">
        <f>tbl_PEM[[#This Row],[Qty Complete]]/tbl_PEM[[#This Row],[Qty Required]]</f>
        <v>#DIV/0!</v>
      </c>
      <c r="K42" s="57" t="str">
        <f>IFERROR(tbl_PEM[[#This Row],[Qty Required]]/tbl_PEM[[#This Row],[PPH]]*tbl_PEM[[#This Row],['# of men]],"")</f>
        <v/>
      </c>
      <c r="L42" s="58" t="e">
        <f>tbl_PEM[[#This Row],[Total hours]]*tbl_PEM[[#This Row],[% Complete]]</f>
        <v>#VALUE!</v>
      </c>
      <c r="M42" s="59" t="str">
        <f>IFERROR(tbl_PEM[[#This Row],[Qty Complete]]/tbl_PEM[[#This Row],[Total Hours Act]]*tbl_PEM[[#This Row],['# of men Act]],"")</f>
        <v/>
      </c>
      <c r="O42"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42" s="71" t="str">
        <f>IFERROR((tbl_PEM[[#This Row],[Adj. Total Hours]]+tbl_PEM[[#This Row],[Est. Hours]])/(tbl_PEM[[#This Row],[Total Hours Act]]+tbl_PEM[[#This Row],[Act. Hours]]),"")</f>
        <v/>
      </c>
      <c r="S42" s="63"/>
      <c r="T42" s="63"/>
      <c r="U42" s="63"/>
      <c r="V42" s="63"/>
      <c r="W42" s="63"/>
    </row>
    <row r="43" spans="6:23" ht="25" customHeight="1">
      <c r="F43" s="53"/>
      <c r="H43" s="55" t="e">
        <f>tbl_PEM[[#This Row],[Qty Complete]]/tbl_PEM[[#This Row],[Qty Required]]</f>
        <v>#DIV/0!</v>
      </c>
      <c r="K43" s="57" t="str">
        <f>IFERROR(tbl_PEM[[#This Row],[Qty Required]]/tbl_PEM[[#This Row],[PPH]]*tbl_PEM[[#This Row],['# of men]],"")</f>
        <v/>
      </c>
      <c r="L43" s="58" t="e">
        <f>tbl_PEM[[#This Row],[Total hours]]*tbl_PEM[[#This Row],[% Complete]]</f>
        <v>#VALUE!</v>
      </c>
      <c r="M43" s="59" t="str">
        <f>IFERROR(tbl_PEM[[#This Row],[Qty Complete]]/tbl_PEM[[#This Row],[Total Hours Act]]*tbl_PEM[[#This Row],['# of men Act]],"")</f>
        <v/>
      </c>
      <c r="O43"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43" s="71" t="str">
        <f>IFERROR((tbl_PEM[[#This Row],[Adj. Total Hours]]+tbl_PEM[[#This Row],[Est. Hours]])/(tbl_PEM[[#This Row],[Total Hours Act]]+tbl_PEM[[#This Row],[Act. Hours]]),"")</f>
        <v/>
      </c>
      <c r="S43" s="63"/>
      <c r="T43" s="63"/>
      <c r="U43" s="63"/>
      <c r="V43" s="63"/>
      <c r="W43" s="63"/>
    </row>
    <row r="44" spans="6:23" ht="25" customHeight="1">
      <c r="F44" s="53"/>
      <c r="H44" s="55" t="e">
        <f>tbl_PEM[[#This Row],[Qty Complete]]/tbl_PEM[[#This Row],[Qty Required]]</f>
        <v>#DIV/0!</v>
      </c>
      <c r="K44" s="57" t="str">
        <f>IFERROR(tbl_PEM[[#This Row],[Qty Required]]/tbl_PEM[[#This Row],[PPH]]*tbl_PEM[[#This Row],['# of men]],"")</f>
        <v/>
      </c>
      <c r="L44" s="58" t="e">
        <f>tbl_PEM[[#This Row],[Total hours]]*tbl_PEM[[#This Row],[% Complete]]</f>
        <v>#VALUE!</v>
      </c>
      <c r="M44" s="59" t="str">
        <f>IFERROR(tbl_PEM[[#This Row],[Qty Complete]]/tbl_PEM[[#This Row],[Total Hours Act]]*tbl_PEM[[#This Row],['# of men Act]],"")</f>
        <v/>
      </c>
      <c r="O44"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44" s="71" t="str">
        <f>IFERROR((tbl_PEM[[#This Row],[Adj. Total Hours]]+tbl_PEM[[#This Row],[Est. Hours]])/(tbl_PEM[[#This Row],[Total Hours Act]]+tbl_PEM[[#This Row],[Act. Hours]]),"")</f>
        <v/>
      </c>
      <c r="S44" s="63"/>
      <c r="T44" s="63"/>
      <c r="U44" s="63"/>
      <c r="V44" s="63"/>
      <c r="W44" s="63"/>
    </row>
    <row r="45" spans="6:23" ht="25" customHeight="1">
      <c r="F45" s="53"/>
      <c r="H45" s="55" t="e">
        <f>tbl_PEM[[#This Row],[Qty Complete]]/tbl_PEM[[#This Row],[Qty Required]]</f>
        <v>#DIV/0!</v>
      </c>
      <c r="K45" s="57" t="str">
        <f>IFERROR(tbl_PEM[[#This Row],[Qty Required]]/tbl_PEM[[#This Row],[PPH]]*tbl_PEM[[#This Row],['# of men]],"")</f>
        <v/>
      </c>
      <c r="L45" s="58" t="e">
        <f>tbl_PEM[[#This Row],[Total hours]]*tbl_PEM[[#This Row],[% Complete]]</f>
        <v>#VALUE!</v>
      </c>
      <c r="M45" s="59" t="str">
        <f>IFERROR(tbl_PEM[[#This Row],[Qty Complete]]/tbl_PEM[[#This Row],[Total Hours Act]]*tbl_PEM[[#This Row],['# of men Act]],"")</f>
        <v/>
      </c>
      <c r="O45"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45" s="71" t="str">
        <f>IFERROR((tbl_PEM[[#This Row],[Adj. Total Hours]]+tbl_PEM[[#This Row],[Est. Hours]])/(tbl_PEM[[#This Row],[Total Hours Act]]+tbl_PEM[[#This Row],[Act. Hours]]),"")</f>
        <v/>
      </c>
      <c r="S45" s="63"/>
      <c r="T45" s="63"/>
      <c r="U45" s="63"/>
      <c r="V45" s="63"/>
      <c r="W45" s="63"/>
    </row>
    <row r="46" spans="6:23" ht="25" customHeight="1">
      <c r="F46" s="53"/>
      <c r="H46" s="55" t="e">
        <f>tbl_PEM[[#This Row],[Qty Complete]]/tbl_PEM[[#This Row],[Qty Required]]</f>
        <v>#DIV/0!</v>
      </c>
      <c r="K46" s="57" t="str">
        <f>IFERROR(tbl_PEM[[#This Row],[Qty Required]]/tbl_PEM[[#This Row],[PPH]]*tbl_PEM[[#This Row],['# of men]],"")</f>
        <v/>
      </c>
      <c r="L46" s="58" t="e">
        <f>tbl_PEM[[#This Row],[Total hours]]*tbl_PEM[[#This Row],[% Complete]]</f>
        <v>#VALUE!</v>
      </c>
      <c r="M46" s="59" t="str">
        <f>IFERROR(tbl_PEM[[#This Row],[Qty Complete]]/tbl_PEM[[#This Row],[Total Hours Act]]*tbl_PEM[[#This Row],['# of men Act]],"")</f>
        <v/>
      </c>
      <c r="O46"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46" s="71" t="str">
        <f>IFERROR((tbl_PEM[[#This Row],[Adj. Total Hours]]+tbl_PEM[[#This Row],[Est. Hours]])/(tbl_PEM[[#This Row],[Total Hours Act]]+tbl_PEM[[#This Row],[Act. Hours]]),"")</f>
        <v/>
      </c>
      <c r="S46" s="63"/>
      <c r="T46" s="63"/>
      <c r="U46" s="63"/>
      <c r="V46" s="63"/>
      <c r="W46" s="63"/>
    </row>
    <row r="47" spans="6:23" ht="25" customHeight="1">
      <c r="F47" s="53"/>
      <c r="H47" s="55" t="e">
        <f>tbl_PEM[[#This Row],[Qty Complete]]/tbl_PEM[[#This Row],[Qty Required]]</f>
        <v>#DIV/0!</v>
      </c>
      <c r="K47" s="57" t="str">
        <f>IFERROR(tbl_PEM[[#This Row],[Qty Required]]/tbl_PEM[[#This Row],[PPH]]*tbl_PEM[[#This Row],['# of men]],"")</f>
        <v/>
      </c>
      <c r="L47" s="58" t="e">
        <f>tbl_PEM[[#This Row],[Total hours]]*tbl_PEM[[#This Row],[% Complete]]</f>
        <v>#VALUE!</v>
      </c>
      <c r="M47" s="59" t="str">
        <f>IFERROR(tbl_PEM[[#This Row],[Qty Complete]]/tbl_PEM[[#This Row],[Total Hours Act]]*tbl_PEM[[#This Row],['# of men Act]],"")</f>
        <v/>
      </c>
      <c r="O47"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47" s="71" t="str">
        <f>IFERROR((tbl_PEM[[#This Row],[Adj. Total Hours]]+tbl_PEM[[#This Row],[Est. Hours]])/(tbl_PEM[[#This Row],[Total Hours Act]]+tbl_PEM[[#This Row],[Act. Hours]]),"")</f>
        <v/>
      </c>
      <c r="S47" s="63"/>
      <c r="T47" s="63"/>
      <c r="U47" s="63"/>
      <c r="V47" s="63"/>
      <c r="W47" s="63"/>
    </row>
    <row r="48" spans="6:23" ht="25" customHeight="1">
      <c r="F48" s="53"/>
      <c r="H48" s="55" t="e">
        <f>tbl_PEM[[#This Row],[Qty Complete]]/tbl_PEM[[#This Row],[Qty Required]]</f>
        <v>#DIV/0!</v>
      </c>
      <c r="K48" s="57" t="str">
        <f>IFERROR(tbl_PEM[[#This Row],[Qty Required]]/tbl_PEM[[#This Row],[PPH]]*tbl_PEM[[#This Row],['# of men]],"")</f>
        <v/>
      </c>
      <c r="L48" s="58" t="e">
        <f>tbl_PEM[[#This Row],[Total hours]]*tbl_PEM[[#This Row],[% Complete]]</f>
        <v>#VALUE!</v>
      </c>
      <c r="M48" s="59" t="str">
        <f>IFERROR(tbl_PEM[[#This Row],[Qty Complete]]/tbl_PEM[[#This Row],[Total Hours Act]]*tbl_PEM[[#This Row],['# of men Act]],"")</f>
        <v/>
      </c>
      <c r="O48"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48" s="71" t="str">
        <f>IFERROR((tbl_PEM[[#This Row],[Adj. Total Hours]]+tbl_PEM[[#This Row],[Est. Hours]])/(tbl_PEM[[#This Row],[Total Hours Act]]+tbl_PEM[[#This Row],[Act. Hours]]),"")</f>
        <v/>
      </c>
      <c r="S48" s="63"/>
      <c r="T48" s="63"/>
      <c r="U48" s="63"/>
      <c r="V48" s="63"/>
      <c r="W48" s="63"/>
    </row>
    <row r="49" spans="6:23" ht="25" customHeight="1">
      <c r="F49" s="53"/>
      <c r="H49" s="55" t="e">
        <f>tbl_PEM[[#This Row],[Qty Complete]]/tbl_PEM[[#This Row],[Qty Required]]</f>
        <v>#DIV/0!</v>
      </c>
      <c r="K49" s="57" t="str">
        <f>IFERROR(tbl_PEM[[#This Row],[Qty Required]]/tbl_PEM[[#This Row],[PPH]]*tbl_PEM[[#This Row],['# of men]],"")</f>
        <v/>
      </c>
      <c r="L49" s="58" t="e">
        <f>tbl_PEM[[#This Row],[Total hours]]*tbl_PEM[[#This Row],[% Complete]]</f>
        <v>#VALUE!</v>
      </c>
      <c r="M49" s="59" t="str">
        <f>IFERROR(tbl_PEM[[#This Row],[Qty Complete]]/tbl_PEM[[#This Row],[Total Hours Act]]*tbl_PEM[[#This Row],['# of men Act]],"")</f>
        <v/>
      </c>
      <c r="O49"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49" s="71" t="str">
        <f>IFERROR((tbl_PEM[[#This Row],[Adj. Total Hours]]+tbl_PEM[[#This Row],[Est. Hours]])/(tbl_PEM[[#This Row],[Total Hours Act]]+tbl_PEM[[#This Row],[Act. Hours]]),"")</f>
        <v/>
      </c>
      <c r="S49" s="63"/>
      <c r="T49" s="63"/>
      <c r="U49" s="63"/>
      <c r="V49" s="63"/>
      <c r="W49" s="63"/>
    </row>
    <row r="50" spans="6:23" ht="25" customHeight="1">
      <c r="F50" s="53"/>
      <c r="H50" s="55" t="e">
        <f>tbl_PEM[[#This Row],[Qty Complete]]/tbl_PEM[[#This Row],[Qty Required]]</f>
        <v>#DIV/0!</v>
      </c>
      <c r="K50" s="57" t="str">
        <f>IFERROR(tbl_PEM[[#This Row],[Qty Required]]/tbl_PEM[[#This Row],[PPH]]*tbl_PEM[[#This Row],['# of men]],"")</f>
        <v/>
      </c>
      <c r="L50" s="58" t="e">
        <f>tbl_PEM[[#This Row],[Total hours]]*tbl_PEM[[#This Row],[% Complete]]</f>
        <v>#VALUE!</v>
      </c>
      <c r="M50" s="59" t="str">
        <f>IFERROR(tbl_PEM[[#This Row],[Qty Complete]]/tbl_PEM[[#This Row],[Total Hours Act]]*tbl_PEM[[#This Row],['# of men Act]],"")</f>
        <v/>
      </c>
      <c r="O50"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50" s="71" t="str">
        <f>IFERROR((tbl_PEM[[#This Row],[Adj. Total Hours]]+tbl_PEM[[#This Row],[Est. Hours]])/(tbl_PEM[[#This Row],[Total Hours Act]]+tbl_PEM[[#This Row],[Act. Hours]]),"")</f>
        <v/>
      </c>
      <c r="S50" s="63"/>
      <c r="T50" s="63"/>
      <c r="U50" s="63"/>
      <c r="V50" s="63"/>
      <c r="W50" s="63"/>
    </row>
    <row r="51" spans="6:23" ht="25" customHeight="1">
      <c r="F51" s="53"/>
      <c r="H51" s="55" t="e">
        <f>tbl_PEM[[#This Row],[Qty Complete]]/tbl_PEM[[#This Row],[Qty Required]]</f>
        <v>#DIV/0!</v>
      </c>
      <c r="K51" s="57" t="str">
        <f>IFERROR(tbl_PEM[[#This Row],[Qty Required]]/tbl_PEM[[#This Row],[PPH]]*tbl_PEM[[#This Row],['# of men]],"")</f>
        <v/>
      </c>
      <c r="L51" s="58" t="e">
        <f>tbl_PEM[[#This Row],[Total hours]]*tbl_PEM[[#This Row],[% Complete]]</f>
        <v>#VALUE!</v>
      </c>
      <c r="M51" s="59" t="str">
        <f>IFERROR(tbl_PEM[[#This Row],[Qty Complete]]/tbl_PEM[[#This Row],[Total Hours Act]]*tbl_PEM[[#This Row],['# of men Act]],"")</f>
        <v/>
      </c>
      <c r="O51"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51" s="71" t="str">
        <f>IFERROR((tbl_PEM[[#This Row],[Adj. Total Hours]]+tbl_PEM[[#This Row],[Est. Hours]])/(tbl_PEM[[#This Row],[Total Hours Act]]+tbl_PEM[[#This Row],[Act. Hours]]),"")</f>
        <v/>
      </c>
      <c r="S51" s="63"/>
      <c r="T51" s="63"/>
      <c r="U51" s="63"/>
      <c r="V51" s="63"/>
      <c r="W51" s="63"/>
    </row>
    <row r="52" spans="6:23" ht="25" customHeight="1">
      <c r="F52" s="53"/>
      <c r="H52" s="55" t="e">
        <f>tbl_PEM[[#This Row],[Qty Complete]]/tbl_PEM[[#This Row],[Qty Required]]</f>
        <v>#DIV/0!</v>
      </c>
      <c r="K52" s="57" t="str">
        <f>IFERROR(tbl_PEM[[#This Row],[Qty Required]]/tbl_PEM[[#This Row],[PPH]]*tbl_PEM[[#This Row],['# of men]],"")</f>
        <v/>
      </c>
      <c r="L52" s="58" t="e">
        <f>tbl_PEM[[#This Row],[Total hours]]*tbl_PEM[[#This Row],[% Complete]]</f>
        <v>#VALUE!</v>
      </c>
      <c r="M52" s="59" t="str">
        <f>IFERROR(tbl_PEM[[#This Row],[Qty Complete]]/tbl_PEM[[#This Row],[Total Hours Act]]*tbl_PEM[[#This Row],['# of men Act]],"")</f>
        <v/>
      </c>
      <c r="O52"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52" s="71" t="str">
        <f>IFERROR((tbl_PEM[[#This Row],[Adj. Total Hours]]+tbl_PEM[[#This Row],[Est. Hours]])/(tbl_PEM[[#This Row],[Total Hours Act]]+tbl_PEM[[#This Row],[Act. Hours]]),"")</f>
        <v/>
      </c>
      <c r="S52" s="63"/>
      <c r="T52" s="63"/>
      <c r="U52" s="63"/>
      <c r="V52" s="63"/>
      <c r="W52" s="63"/>
    </row>
    <row r="53" spans="6:23" ht="25" customHeight="1">
      <c r="F53" s="53"/>
      <c r="H53" s="55" t="e">
        <f>tbl_PEM[[#This Row],[Qty Complete]]/tbl_PEM[[#This Row],[Qty Required]]</f>
        <v>#DIV/0!</v>
      </c>
      <c r="K53" s="57" t="str">
        <f>IFERROR(tbl_PEM[[#This Row],[Qty Required]]/tbl_PEM[[#This Row],[PPH]]*tbl_PEM[[#This Row],['# of men]],"")</f>
        <v/>
      </c>
      <c r="L53" s="58" t="e">
        <f>tbl_PEM[[#This Row],[Total hours]]*tbl_PEM[[#This Row],[% Complete]]</f>
        <v>#VALUE!</v>
      </c>
      <c r="M53" s="59" t="str">
        <f>IFERROR(tbl_PEM[[#This Row],[Qty Complete]]/tbl_PEM[[#This Row],[Total Hours Act]]*tbl_PEM[[#This Row],['# of men Act]],"")</f>
        <v/>
      </c>
      <c r="O53"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53" s="71" t="str">
        <f>IFERROR((tbl_PEM[[#This Row],[Adj. Total Hours]]+tbl_PEM[[#This Row],[Est. Hours]])/(tbl_PEM[[#This Row],[Total Hours Act]]+tbl_PEM[[#This Row],[Act. Hours]]),"")</f>
        <v/>
      </c>
      <c r="S53" s="63"/>
      <c r="T53" s="63"/>
      <c r="U53" s="63"/>
      <c r="V53" s="63"/>
      <c r="W53" s="63"/>
    </row>
    <row r="54" spans="6:23" ht="25" customHeight="1">
      <c r="F54" s="53"/>
      <c r="H54" s="55" t="e">
        <f>tbl_PEM[[#This Row],[Qty Complete]]/tbl_PEM[[#This Row],[Qty Required]]</f>
        <v>#DIV/0!</v>
      </c>
      <c r="K54" s="57" t="str">
        <f>IFERROR(tbl_PEM[[#This Row],[Qty Required]]/tbl_PEM[[#This Row],[PPH]]*tbl_PEM[[#This Row],['# of men]],"")</f>
        <v/>
      </c>
      <c r="L54" s="58" t="e">
        <f>tbl_PEM[[#This Row],[Total hours]]*tbl_PEM[[#This Row],[% Complete]]</f>
        <v>#VALUE!</v>
      </c>
      <c r="M54" s="59" t="str">
        <f>IFERROR(tbl_PEM[[#This Row],[Qty Complete]]/tbl_PEM[[#This Row],[Total Hours Act]]*tbl_PEM[[#This Row],['# of men Act]],"")</f>
        <v/>
      </c>
      <c r="O54"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54" s="71" t="str">
        <f>IFERROR((tbl_PEM[[#This Row],[Adj. Total Hours]]+tbl_PEM[[#This Row],[Est. Hours]])/(tbl_PEM[[#This Row],[Total Hours Act]]+tbl_PEM[[#This Row],[Act. Hours]]),"")</f>
        <v/>
      </c>
      <c r="S54" s="63"/>
      <c r="T54" s="63"/>
      <c r="U54" s="63"/>
      <c r="V54" s="63"/>
      <c r="W54" s="63"/>
    </row>
    <row r="55" spans="6:23" ht="25" customHeight="1">
      <c r="F55" s="53"/>
      <c r="H55" s="55" t="e">
        <f>tbl_PEM[[#This Row],[Qty Complete]]/tbl_PEM[[#This Row],[Qty Required]]</f>
        <v>#DIV/0!</v>
      </c>
      <c r="K55" s="57" t="str">
        <f>IFERROR(tbl_PEM[[#This Row],[Qty Required]]/tbl_PEM[[#This Row],[PPH]]*tbl_PEM[[#This Row],['# of men]],"")</f>
        <v/>
      </c>
      <c r="L55" s="58" t="e">
        <f>tbl_PEM[[#This Row],[Total hours]]*tbl_PEM[[#This Row],[% Complete]]</f>
        <v>#VALUE!</v>
      </c>
      <c r="M55" s="59" t="str">
        <f>IFERROR(tbl_PEM[[#This Row],[Qty Complete]]/tbl_PEM[[#This Row],[Total Hours Act]]*tbl_PEM[[#This Row],['# of men Act]],"")</f>
        <v/>
      </c>
      <c r="O55"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55" s="71" t="str">
        <f>IFERROR((tbl_PEM[[#This Row],[Adj. Total Hours]]+tbl_PEM[[#This Row],[Est. Hours]])/(tbl_PEM[[#This Row],[Total Hours Act]]+tbl_PEM[[#This Row],[Act. Hours]]),"")</f>
        <v/>
      </c>
      <c r="S55" s="63"/>
      <c r="T55" s="63"/>
      <c r="U55" s="63"/>
      <c r="V55" s="63"/>
      <c r="W55" s="63"/>
    </row>
    <row r="56" spans="6:23" ht="25" customHeight="1">
      <c r="F56" s="53"/>
      <c r="H56" s="55" t="e">
        <f>tbl_PEM[[#This Row],[Qty Complete]]/tbl_PEM[[#This Row],[Qty Required]]</f>
        <v>#DIV/0!</v>
      </c>
      <c r="K56" s="57" t="str">
        <f>IFERROR(tbl_PEM[[#This Row],[Qty Required]]/tbl_PEM[[#This Row],[PPH]]*tbl_PEM[[#This Row],['# of men]],"")</f>
        <v/>
      </c>
      <c r="L56" s="58" t="e">
        <f>tbl_PEM[[#This Row],[Total hours]]*tbl_PEM[[#This Row],[% Complete]]</f>
        <v>#VALUE!</v>
      </c>
      <c r="M56" s="59" t="str">
        <f>IFERROR(tbl_PEM[[#This Row],[Qty Complete]]/tbl_PEM[[#This Row],[Total Hours Act]]*tbl_PEM[[#This Row],['# of men Act]],"")</f>
        <v/>
      </c>
      <c r="O56"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56" s="71" t="str">
        <f>IFERROR((tbl_PEM[[#This Row],[Adj. Total Hours]]+tbl_PEM[[#This Row],[Est. Hours]])/(tbl_PEM[[#This Row],[Total Hours Act]]+tbl_PEM[[#This Row],[Act. Hours]]),"")</f>
        <v/>
      </c>
      <c r="S56" s="63"/>
      <c r="T56" s="63"/>
      <c r="U56" s="63"/>
      <c r="V56" s="63"/>
      <c r="W56" s="63"/>
    </row>
    <row r="57" spans="6:23" ht="25" customHeight="1">
      <c r="F57" s="53"/>
      <c r="H57" s="55" t="e">
        <f>tbl_PEM[[#This Row],[Qty Complete]]/tbl_PEM[[#This Row],[Qty Required]]</f>
        <v>#DIV/0!</v>
      </c>
      <c r="K57" s="57" t="str">
        <f>IFERROR(tbl_PEM[[#This Row],[Qty Required]]/tbl_PEM[[#This Row],[PPH]]*tbl_PEM[[#This Row],['# of men]],"")</f>
        <v/>
      </c>
      <c r="L57" s="58" t="e">
        <f>tbl_PEM[[#This Row],[Total hours]]*tbl_PEM[[#This Row],[% Complete]]</f>
        <v>#VALUE!</v>
      </c>
      <c r="M57" s="59" t="str">
        <f>IFERROR(tbl_PEM[[#This Row],[Qty Complete]]/tbl_PEM[[#This Row],[Total Hours Act]]*tbl_PEM[[#This Row],['# of men Act]],"")</f>
        <v/>
      </c>
      <c r="O57"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57" s="71" t="str">
        <f>IFERROR((tbl_PEM[[#This Row],[Adj. Total Hours]]+tbl_PEM[[#This Row],[Est. Hours]])/(tbl_PEM[[#This Row],[Total Hours Act]]+tbl_PEM[[#This Row],[Act. Hours]]),"")</f>
        <v/>
      </c>
      <c r="S57" s="63"/>
      <c r="T57" s="63"/>
      <c r="U57" s="63"/>
      <c r="V57" s="63"/>
      <c r="W57" s="63"/>
    </row>
    <row r="58" spans="6:23" ht="25" customHeight="1">
      <c r="F58" s="53"/>
      <c r="H58" s="55" t="e">
        <f>tbl_PEM[[#This Row],[Qty Complete]]/tbl_PEM[[#This Row],[Qty Required]]</f>
        <v>#DIV/0!</v>
      </c>
      <c r="K58" s="57" t="str">
        <f>IFERROR(tbl_PEM[[#This Row],[Qty Required]]/tbl_PEM[[#This Row],[PPH]]*tbl_PEM[[#This Row],['# of men]],"")</f>
        <v/>
      </c>
      <c r="L58" s="58" t="e">
        <f>tbl_PEM[[#This Row],[Total hours]]*tbl_PEM[[#This Row],[% Complete]]</f>
        <v>#VALUE!</v>
      </c>
      <c r="M58" s="59" t="str">
        <f>IFERROR(tbl_PEM[[#This Row],[Qty Complete]]/tbl_PEM[[#This Row],[Total Hours Act]]*tbl_PEM[[#This Row],['# of men Act]],"")</f>
        <v/>
      </c>
      <c r="O58"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58" s="71" t="str">
        <f>IFERROR((tbl_PEM[[#This Row],[Adj. Total Hours]]+tbl_PEM[[#This Row],[Est. Hours]])/(tbl_PEM[[#This Row],[Total Hours Act]]+tbl_PEM[[#This Row],[Act. Hours]]),"")</f>
        <v/>
      </c>
      <c r="S58" s="63"/>
      <c r="T58" s="63"/>
      <c r="U58" s="63"/>
      <c r="V58" s="63"/>
      <c r="W58" s="63"/>
    </row>
    <row r="59" spans="6:23" ht="25" customHeight="1">
      <c r="F59" s="53"/>
      <c r="H59" s="55" t="e">
        <f>tbl_PEM[[#This Row],[Qty Complete]]/tbl_PEM[[#This Row],[Qty Required]]</f>
        <v>#DIV/0!</v>
      </c>
      <c r="K59" s="57" t="str">
        <f>IFERROR(tbl_PEM[[#This Row],[Qty Required]]/tbl_PEM[[#This Row],[PPH]]*tbl_PEM[[#This Row],['# of men]],"")</f>
        <v/>
      </c>
      <c r="L59" s="58" t="e">
        <f>tbl_PEM[[#This Row],[Total hours]]*tbl_PEM[[#This Row],[% Complete]]</f>
        <v>#VALUE!</v>
      </c>
      <c r="M59" s="59" t="str">
        <f>IFERROR(tbl_PEM[[#This Row],[Qty Complete]]/tbl_PEM[[#This Row],[Total Hours Act]]*tbl_PEM[[#This Row],['# of men Act]],"")</f>
        <v/>
      </c>
      <c r="O59"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59" s="71" t="str">
        <f>IFERROR((tbl_PEM[[#This Row],[Adj. Total Hours]]+tbl_PEM[[#This Row],[Est. Hours]])/(tbl_PEM[[#This Row],[Total Hours Act]]+tbl_PEM[[#This Row],[Act. Hours]]),"")</f>
        <v/>
      </c>
      <c r="S59" s="63"/>
      <c r="T59" s="63"/>
      <c r="U59" s="63"/>
      <c r="V59" s="63"/>
      <c r="W59" s="63"/>
    </row>
    <row r="60" spans="6:23" ht="25" customHeight="1">
      <c r="F60" s="53"/>
      <c r="H60" s="55" t="e">
        <f>tbl_PEM[[#This Row],[Qty Complete]]/tbl_PEM[[#This Row],[Qty Required]]</f>
        <v>#DIV/0!</v>
      </c>
      <c r="K60" s="57" t="str">
        <f>IFERROR(tbl_PEM[[#This Row],[Qty Required]]/tbl_PEM[[#This Row],[PPH]]*tbl_PEM[[#This Row],['# of men]],"")</f>
        <v/>
      </c>
      <c r="L60" s="58" t="e">
        <f>tbl_PEM[[#This Row],[Total hours]]*tbl_PEM[[#This Row],[% Complete]]</f>
        <v>#VALUE!</v>
      </c>
      <c r="M60" s="59" t="str">
        <f>IFERROR(tbl_PEM[[#This Row],[Qty Complete]]/tbl_PEM[[#This Row],[Total Hours Act]]*tbl_PEM[[#This Row],['# of men Act]],"")</f>
        <v/>
      </c>
      <c r="O60"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60" s="71" t="str">
        <f>IFERROR((tbl_PEM[[#This Row],[Adj. Total Hours]]+tbl_PEM[[#This Row],[Est. Hours]])/(tbl_PEM[[#This Row],[Total Hours Act]]+tbl_PEM[[#This Row],[Act. Hours]]),"")</f>
        <v/>
      </c>
      <c r="S60" s="63"/>
      <c r="T60" s="63"/>
      <c r="U60" s="63"/>
      <c r="V60" s="63"/>
      <c r="W60" s="63"/>
    </row>
    <row r="61" spans="6:23" ht="25" customHeight="1">
      <c r="F61" s="53"/>
      <c r="H61" s="55" t="e">
        <f>tbl_PEM[[#This Row],[Qty Complete]]/tbl_PEM[[#This Row],[Qty Required]]</f>
        <v>#DIV/0!</v>
      </c>
      <c r="K61" s="57" t="str">
        <f>IFERROR(tbl_PEM[[#This Row],[Qty Required]]/tbl_PEM[[#This Row],[PPH]]*tbl_PEM[[#This Row],['# of men]],"")</f>
        <v/>
      </c>
      <c r="L61" s="58" t="e">
        <f>tbl_PEM[[#This Row],[Total hours]]*tbl_PEM[[#This Row],[% Complete]]</f>
        <v>#VALUE!</v>
      </c>
      <c r="M61" s="59" t="str">
        <f>IFERROR(tbl_PEM[[#This Row],[Qty Complete]]/tbl_PEM[[#This Row],[Total Hours Act]]*tbl_PEM[[#This Row],['# of men Act]],"")</f>
        <v/>
      </c>
      <c r="O61"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61" s="71" t="str">
        <f>IFERROR((tbl_PEM[[#This Row],[Adj. Total Hours]]+tbl_PEM[[#This Row],[Est. Hours]])/(tbl_PEM[[#This Row],[Total Hours Act]]+tbl_PEM[[#This Row],[Act. Hours]]),"")</f>
        <v/>
      </c>
      <c r="S61" s="63"/>
      <c r="T61" s="63"/>
      <c r="U61" s="63"/>
      <c r="V61" s="63"/>
      <c r="W61" s="63"/>
    </row>
    <row r="62" spans="6:23" ht="25" customHeight="1">
      <c r="F62" s="53"/>
      <c r="H62" s="55" t="e">
        <f>tbl_PEM[[#This Row],[Qty Complete]]/tbl_PEM[[#This Row],[Qty Required]]</f>
        <v>#DIV/0!</v>
      </c>
      <c r="K62" s="57" t="str">
        <f>IFERROR(tbl_PEM[[#This Row],[Qty Required]]/tbl_PEM[[#This Row],[PPH]]*tbl_PEM[[#This Row],['# of men]],"")</f>
        <v/>
      </c>
      <c r="L62" s="58" t="e">
        <f>tbl_PEM[[#This Row],[Total hours]]*tbl_PEM[[#This Row],[% Complete]]</f>
        <v>#VALUE!</v>
      </c>
      <c r="M62" s="59" t="str">
        <f>IFERROR(tbl_PEM[[#This Row],[Qty Complete]]/tbl_PEM[[#This Row],[Total Hours Act]]*tbl_PEM[[#This Row],['# of men Act]],"")</f>
        <v/>
      </c>
      <c r="O62"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62" s="71" t="str">
        <f>IFERROR((tbl_PEM[[#This Row],[Adj. Total Hours]]+tbl_PEM[[#This Row],[Est. Hours]])/(tbl_PEM[[#This Row],[Total Hours Act]]+tbl_PEM[[#This Row],[Act. Hours]]),"")</f>
        <v/>
      </c>
      <c r="S62" s="63"/>
      <c r="T62" s="63"/>
      <c r="U62" s="63"/>
      <c r="V62" s="63"/>
      <c r="W62" s="63"/>
    </row>
    <row r="63" spans="6:23" ht="25" customHeight="1">
      <c r="F63" s="53"/>
      <c r="H63" s="55" t="e">
        <f>tbl_PEM[[#This Row],[Qty Complete]]/tbl_PEM[[#This Row],[Qty Required]]</f>
        <v>#DIV/0!</v>
      </c>
      <c r="K63" s="57" t="str">
        <f>IFERROR(tbl_PEM[[#This Row],[Qty Required]]/tbl_PEM[[#This Row],[PPH]]*tbl_PEM[[#This Row],['# of men]],"")</f>
        <v/>
      </c>
      <c r="L63" s="58" t="e">
        <f>tbl_PEM[[#This Row],[Total hours]]*tbl_PEM[[#This Row],[% Complete]]</f>
        <v>#VALUE!</v>
      </c>
      <c r="M63" s="59" t="str">
        <f>IFERROR(tbl_PEM[[#This Row],[Qty Complete]]/tbl_PEM[[#This Row],[Total Hours Act]]*tbl_PEM[[#This Row],['# of men Act]],"")</f>
        <v/>
      </c>
      <c r="O63"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63" s="71" t="str">
        <f>IFERROR((tbl_PEM[[#This Row],[Adj. Total Hours]]+tbl_PEM[[#This Row],[Est. Hours]])/(tbl_PEM[[#This Row],[Total Hours Act]]+tbl_PEM[[#This Row],[Act. Hours]]),"")</f>
        <v/>
      </c>
      <c r="S63" s="63"/>
      <c r="T63" s="63"/>
      <c r="U63" s="63"/>
      <c r="V63" s="63"/>
      <c r="W63" s="63"/>
    </row>
    <row r="64" spans="6:23" ht="25" customHeight="1">
      <c r="F64" s="53"/>
      <c r="H64" s="55" t="e">
        <f>tbl_PEM[[#This Row],[Qty Complete]]/tbl_PEM[[#This Row],[Qty Required]]</f>
        <v>#DIV/0!</v>
      </c>
      <c r="K64" s="57" t="str">
        <f>IFERROR(tbl_PEM[[#This Row],[Qty Required]]/tbl_PEM[[#This Row],[PPH]]*tbl_PEM[[#This Row],['# of men]],"")</f>
        <v/>
      </c>
      <c r="L64" s="58" t="e">
        <f>tbl_PEM[[#This Row],[Total hours]]*tbl_PEM[[#This Row],[% Complete]]</f>
        <v>#VALUE!</v>
      </c>
      <c r="M64" s="59" t="str">
        <f>IFERROR(tbl_PEM[[#This Row],[Qty Complete]]/tbl_PEM[[#This Row],[Total Hours Act]]*tbl_PEM[[#This Row],['# of men Act]],"")</f>
        <v/>
      </c>
      <c r="O64"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64" s="71" t="str">
        <f>IFERROR((tbl_PEM[[#This Row],[Adj. Total Hours]]+tbl_PEM[[#This Row],[Est. Hours]])/(tbl_PEM[[#This Row],[Total Hours Act]]+tbl_PEM[[#This Row],[Act. Hours]]),"")</f>
        <v/>
      </c>
      <c r="S64" s="63"/>
      <c r="T64" s="63"/>
      <c r="U64" s="63"/>
      <c r="V64" s="63"/>
      <c r="W64" s="63"/>
    </row>
    <row r="65" spans="6:23" ht="25" customHeight="1">
      <c r="F65" s="53"/>
      <c r="H65" s="55" t="e">
        <f>tbl_PEM[[#This Row],[Qty Complete]]/tbl_PEM[[#This Row],[Qty Required]]</f>
        <v>#DIV/0!</v>
      </c>
      <c r="K65" s="57" t="str">
        <f>IFERROR(tbl_PEM[[#This Row],[Qty Required]]/tbl_PEM[[#This Row],[PPH]]*tbl_PEM[[#This Row],['# of men]],"")</f>
        <v/>
      </c>
      <c r="L65" s="58" t="e">
        <f>tbl_PEM[[#This Row],[Total hours]]*tbl_PEM[[#This Row],[% Complete]]</f>
        <v>#VALUE!</v>
      </c>
      <c r="M65" s="59" t="str">
        <f>IFERROR(tbl_PEM[[#This Row],[Qty Complete]]/tbl_PEM[[#This Row],[Total Hours Act]]*tbl_PEM[[#This Row],['# of men Act]],"")</f>
        <v/>
      </c>
      <c r="O65"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65" s="71" t="str">
        <f>IFERROR((tbl_PEM[[#This Row],[Adj. Total Hours]]+tbl_PEM[[#This Row],[Est. Hours]])/(tbl_PEM[[#This Row],[Total Hours Act]]+tbl_PEM[[#This Row],[Act. Hours]]),"")</f>
        <v/>
      </c>
      <c r="S65" s="63"/>
      <c r="T65" s="63"/>
      <c r="U65" s="63"/>
      <c r="V65" s="63"/>
      <c r="W65" s="63"/>
    </row>
    <row r="66" spans="6:23" ht="25" customHeight="1">
      <c r="F66" s="53"/>
      <c r="H66" s="55" t="e">
        <f>tbl_PEM[[#This Row],[Qty Complete]]/tbl_PEM[[#This Row],[Qty Required]]</f>
        <v>#DIV/0!</v>
      </c>
      <c r="K66" s="57" t="str">
        <f>IFERROR(tbl_PEM[[#This Row],[Qty Required]]/tbl_PEM[[#This Row],[PPH]]*tbl_PEM[[#This Row],['# of men]],"")</f>
        <v/>
      </c>
      <c r="L66" s="58" t="e">
        <f>tbl_PEM[[#This Row],[Total hours]]*tbl_PEM[[#This Row],[% Complete]]</f>
        <v>#VALUE!</v>
      </c>
      <c r="M66" s="59" t="str">
        <f>IFERROR(tbl_PEM[[#This Row],[Qty Complete]]/tbl_PEM[[#This Row],[Total Hours Act]]*tbl_PEM[[#This Row],['# of men Act]],"")</f>
        <v/>
      </c>
      <c r="O66"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66" s="71" t="str">
        <f>IFERROR((tbl_PEM[[#This Row],[Adj. Total Hours]]+tbl_PEM[[#This Row],[Est. Hours]])/(tbl_PEM[[#This Row],[Total Hours Act]]+tbl_PEM[[#This Row],[Act. Hours]]),"")</f>
        <v/>
      </c>
      <c r="S66" s="63"/>
      <c r="T66" s="63"/>
      <c r="U66" s="63"/>
      <c r="V66" s="63"/>
      <c r="W66" s="63"/>
    </row>
    <row r="67" spans="6:23" ht="25" customHeight="1">
      <c r="F67" s="53"/>
      <c r="H67" s="55" t="e">
        <f>tbl_PEM[[#This Row],[Qty Complete]]/tbl_PEM[[#This Row],[Qty Required]]</f>
        <v>#DIV/0!</v>
      </c>
      <c r="K67" s="57" t="str">
        <f>IFERROR(tbl_PEM[[#This Row],[Qty Required]]/tbl_PEM[[#This Row],[PPH]]*tbl_PEM[[#This Row],['# of men]],"")</f>
        <v/>
      </c>
      <c r="L67" s="58" t="e">
        <f>tbl_PEM[[#This Row],[Total hours]]*tbl_PEM[[#This Row],[% Complete]]</f>
        <v>#VALUE!</v>
      </c>
      <c r="M67" s="59" t="str">
        <f>IFERROR(tbl_PEM[[#This Row],[Qty Complete]]/tbl_PEM[[#This Row],[Total Hours Act]]*tbl_PEM[[#This Row],['# of men Act]],"")</f>
        <v/>
      </c>
      <c r="O67"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67" s="71" t="str">
        <f>IFERROR((tbl_PEM[[#This Row],[Adj. Total Hours]]+tbl_PEM[[#This Row],[Est. Hours]])/(tbl_PEM[[#This Row],[Total Hours Act]]+tbl_PEM[[#This Row],[Act. Hours]]),"")</f>
        <v/>
      </c>
      <c r="S67" s="63"/>
      <c r="T67" s="63"/>
      <c r="U67" s="63"/>
      <c r="V67" s="63"/>
      <c r="W67" s="63"/>
    </row>
    <row r="68" spans="6:23" ht="25" customHeight="1">
      <c r="F68" s="53"/>
      <c r="H68" s="55" t="e">
        <f>tbl_PEM[[#This Row],[Qty Complete]]/tbl_PEM[[#This Row],[Qty Required]]</f>
        <v>#DIV/0!</v>
      </c>
      <c r="K68" s="57" t="str">
        <f>IFERROR(tbl_PEM[[#This Row],[Qty Required]]/tbl_PEM[[#This Row],[PPH]]*tbl_PEM[[#This Row],['# of men]],"")</f>
        <v/>
      </c>
      <c r="L68" s="58" t="e">
        <f>tbl_PEM[[#This Row],[Total hours]]*tbl_PEM[[#This Row],[% Complete]]</f>
        <v>#VALUE!</v>
      </c>
      <c r="M68" s="59" t="str">
        <f>IFERROR(tbl_PEM[[#This Row],[Qty Complete]]/tbl_PEM[[#This Row],[Total Hours Act]]*tbl_PEM[[#This Row],['# of men Act]],"")</f>
        <v/>
      </c>
      <c r="O68"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68" s="71" t="str">
        <f>IFERROR((tbl_PEM[[#This Row],[Adj. Total Hours]]+tbl_PEM[[#This Row],[Est. Hours]])/(tbl_PEM[[#This Row],[Total Hours Act]]+tbl_PEM[[#This Row],[Act. Hours]]),"")</f>
        <v/>
      </c>
      <c r="S68" s="63"/>
      <c r="T68" s="63"/>
      <c r="U68" s="63"/>
      <c r="V68" s="63"/>
      <c r="W68" s="63"/>
    </row>
    <row r="69" spans="6:23" ht="25" customHeight="1">
      <c r="F69" s="53"/>
      <c r="H69" s="55" t="e">
        <f>tbl_PEM[[#This Row],[Qty Complete]]/tbl_PEM[[#This Row],[Qty Required]]</f>
        <v>#DIV/0!</v>
      </c>
      <c r="K69" s="57" t="str">
        <f>IFERROR(tbl_PEM[[#This Row],[Qty Required]]/tbl_PEM[[#This Row],[PPH]]*tbl_PEM[[#This Row],['# of men]],"")</f>
        <v/>
      </c>
      <c r="L69" s="58" t="e">
        <f>tbl_PEM[[#This Row],[Total hours]]*tbl_PEM[[#This Row],[% Complete]]</f>
        <v>#VALUE!</v>
      </c>
      <c r="M69" s="59" t="str">
        <f>IFERROR(tbl_PEM[[#This Row],[Qty Complete]]/tbl_PEM[[#This Row],[Total Hours Act]]*tbl_PEM[[#This Row],['# of men Act]],"")</f>
        <v/>
      </c>
      <c r="O69"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69" s="71" t="str">
        <f>IFERROR((tbl_PEM[[#This Row],[Adj. Total Hours]]+tbl_PEM[[#This Row],[Est. Hours]])/(tbl_PEM[[#This Row],[Total Hours Act]]+tbl_PEM[[#This Row],[Act. Hours]]),"")</f>
        <v/>
      </c>
      <c r="S69" s="63"/>
      <c r="T69" s="63"/>
      <c r="U69" s="63"/>
      <c r="V69" s="63"/>
      <c r="W69" s="63"/>
    </row>
    <row r="70" spans="6:23" ht="25" customHeight="1">
      <c r="F70" s="53"/>
      <c r="H70" s="55" t="e">
        <f>tbl_PEM[[#This Row],[Qty Complete]]/tbl_PEM[[#This Row],[Qty Required]]</f>
        <v>#DIV/0!</v>
      </c>
      <c r="K70" s="57" t="str">
        <f>IFERROR(tbl_PEM[[#This Row],[Qty Required]]/tbl_PEM[[#This Row],[PPH]]*tbl_PEM[[#This Row],['# of men]],"")</f>
        <v/>
      </c>
      <c r="L70" s="58" t="e">
        <f>tbl_PEM[[#This Row],[Total hours]]*tbl_PEM[[#This Row],[% Complete]]</f>
        <v>#VALUE!</v>
      </c>
      <c r="M70" s="59" t="str">
        <f>IFERROR(tbl_PEM[[#This Row],[Qty Complete]]/tbl_PEM[[#This Row],[Total Hours Act]]*tbl_PEM[[#This Row],['# of men Act]],"")</f>
        <v/>
      </c>
      <c r="O70"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70" s="71" t="str">
        <f>IFERROR((tbl_PEM[[#This Row],[Adj. Total Hours]]+tbl_PEM[[#This Row],[Est. Hours]])/(tbl_PEM[[#This Row],[Total Hours Act]]+tbl_PEM[[#This Row],[Act. Hours]]),"")</f>
        <v/>
      </c>
      <c r="S70" s="63"/>
      <c r="T70" s="63"/>
      <c r="U70" s="63"/>
      <c r="V70" s="63"/>
      <c r="W70" s="63"/>
    </row>
    <row r="71" spans="6:23" ht="25" customHeight="1">
      <c r="F71" s="53"/>
      <c r="H71" s="55" t="e">
        <f>tbl_PEM[[#This Row],[Qty Complete]]/tbl_PEM[[#This Row],[Qty Required]]</f>
        <v>#DIV/0!</v>
      </c>
      <c r="K71" s="57" t="str">
        <f>IFERROR(tbl_PEM[[#This Row],[Qty Required]]/tbl_PEM[[#This Row],[PPH]]*tbl_PEM[[#This Row],['# of men]],"")</f>
        <v/>
      </c>
      <c r="L71" s="58" t="e">
        <f>tbl_PEM[[#This Row],[Total hours]]*tbl_PEM[[#This Row],[% Complete]]</f>
        <v>#VALUE!</v>
      </c>
      <c r="M71" s="59" t="str">
        <f>IFERROR(tbl_PEM[[#This Row],[Qty Complete]]/tbl_PEM[[#This Row],[Total Hours Act]]*tbl_PEM[[#This Row],['# of men Act]],"")</f>
        <v/>
      </c>
      <c r="O71"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71" s="71" t="str">
        <f>IFERROR((tbl_PEM[[#This Row],[Adj. Total Hours]]+tbl_PEM[[#This Row],[Est. Hours]])/(tbl_PEM[[#This Row],[Total Hours Act]]+tbl_PEM[[#This Row],[Act. Hours]]),"")</f>
        <v/>
      </c>
      <c r="S71" s="63"/>
      <c r="T71" s="63"/>
      <c r="U71" s="63"/>
      <c r="V71" s="63"/>
      <c r="W71" s="63"/>
    </row>
    <row r="72" spans="6:23" ht="25" customHeight="1">
      <c r="F72" s="53"/>
      <c r="H72" s="55" t="e">
        <f>tbl_PEM[[#This Row],[Qty Complete]]/tbl_PEM[[#This Row],[Qty Required]]</f>
        <v>#DIV/0!</v>
      </c>
      <c r="K72" s="57" t="str">
        <f>IFERROR(tbl_PEM[[#This Row],[Qty Required]]/tbl_PEM[[#This Row],[PPH]]*tbl_PEM[[#This Row],['# of men]],"")</f>
        <v/>
      </c>
      <c r="L72" s="58" t="e">
        <f>tbl_PEM[[#This Row],[Total hours]]*tbl_PEM[[#This Row],[% Complete]]</f>
        <v>#VALUE!</v>
      </c>
      <c r="M72" s="59" t="str">
        <f>IFERROR(tbl_PEM[[#This Row],[Qty Complete]]/tbl_PEM[[#This Row],[Total Hours Act]]*tbl_PEM[[#This Row],['# of men Act]],"")</f>
        <v/>
      </c>
      <c r="O72"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72" s="71" t="str">
        <f>IFERROR((tbl_PEM[[#This Row],[Adj. Total Hours]]+tbl_PEM[[#This Row],[Est. Hours]])/(tbl_PEM[[#This Row],[Total Hours Act]]+tbl_PEM[[#This Row],[Act. Hours]]),"")</f>
        <v/>
      </c>
      <c r="S72" s="63"/>
      <c r="T72" s="63"/>
      <c r="U72" s="63"/>
      <c r="V72" s="63"/>
      <c r="W72" s="63"/>
    </row>
    <row r="73" spans="6:23" ht="25" customHeight="1">
      <c r="F73" s="53"/>
      <c r="H73" s="55" t="e">
        <f>tbl_PEM[[#This Row],[Qty Complete]]/tbl_PEM[[#This Row],[Qty Required]]</f>
        <v>#DIV/0!</v>
      </c>
      <c r="K73" s="57" t="str">
        <f>IFERROR(tbl_PEM[[#This Row],[Qty Required]]/tbl_PEM[[#This Row],[PPH]]*tbl_PEM[[#This Row],['# of men]],"")</f>
        <v/>
      </c>
      <c r="L73" s="58" t="e">
        <f>tbl_PEM[[#This Row],[Total hours]]*tbl_PEM[[#This Row],[% Complete]]</f>
        <v>#VALUE!</v>
      </c>
      <c r="M73" s="59" t="str">
        <f>IFERROR(tbl_PEM[[#This Row],[Qty Complete]]/tbl_PEM[[#This Row],[Total Hours Act]]*tbl_PEM[[#This Row],['# of men Act]],"")</f>
        <v/>
      </c>
      <c r="O73"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73" s="71" t="str">
        <f>IFERROR((tbl_PEM[[#This Row],[Adj. Total Hours]]+tbl_PEM[[#This Row],[Est. Hours]])/(tbl_PEM[[#This Row],[Total Hours Act]]+tbl_PEM[[#This Row],[Act. Hours]]),"")</f>
        <v/>
      </c>
      <c r="S73" s="63"/>
      <c r="T73" s="63"/>
      <c r="U73" s="63"/>
      <c r="V73" s="63"/>
      <c r="W73" s="63"/>
    </row>
    <row r="74" spans="6:23" ht="25" customHeight="1">
      <c r="F74" s="53"/>
      <c r="H74" s="55" t="e">
        <f>tbl_PEM[[#This Row],[Qty Complete]]/tbl_PEM[[#This Row],[Qty Required]]</f>
        <v>#DIV/0!</v>
      </c>
      <c r="K74" s="57" t="str">
        <f>IFERROR(tbl_PEM[[#This Row],[Qty Required]]/tbl_PEM[[#This Row],[PPH]]*tbl_PEM[[#This Row],['# of men]],"")</f>
        <v/>
      </c>
      <c r="L74" s="58" t="e">
        <f>tbl_PEM[[#This Row],[Total hours]]*tbl_PEM[[#This Row],[% Complete]]</f>
        <v>#VALUE!</v>
      </c>
      <c r="M74" s="59" t="str">
        <f>IFERROR(tbl_PEM[[#This Row],[Qty Complete]]/tbl_PEM[[#This Row],[Total Hours Act]]*tbl_PEM[[#This Row],['# of men Act]],"")</f>
        <v/>
      </c>
      <c r="O74"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74" s="71" t="str">
        <f>IFERROR((tbl_PEM[[#This Row],[Adj. Total Hours]]+tbl_PEM[[#This Row],[Est. Hours]])/(tbl_PEM[[#This Row],[Total Hours Act]]+tbl_PEM[[#This Row],[Act. Hours]]),"")</f>
        <v/>
      </c>
      <c r="S74" s="63"/>
      <c r="T74" s="63"/>
      <c r="U74" s="63"/>
      <c r="V74" s="63"/>
      <c r="W74" s="63"/>
    </row>
    <row r="75" spans="6:23" ht="25" customHeight="1">
      <c r="F75" s="53"/>
      <c r="H75" s="55" t="e">
        <f>tbl_PEM[[#This Row],[Qty Complete]]/tbl_PEM[[#This Row],[Qty Required]]</f>
        <v>#DIV/0!</v>
      </c>
      <c r="K75" s="57" t="str">
        <f>IFERROR(tbl_PEM[[#This Row],[Qty Required]]/tbl_PEM[[#This Row],[PPH]]*tbl_PEM[[#This Row],['# of men]],"")</f>
        <v/>
      </c>
      <c r="L75" s="58" t="e">
        <f>tbl_PEM[[#This Row],[Total hours]]*tbl_PEM[[#This Row],[% Complete]]</f>
        <v>#VALUE!</v>
      </c>
      <c r="M75" s="59" t="str">
        <f>IFERROR(tbl_PEM[[#This Row],[Qty Complete]]/tbl_PEM[[#This Row],[Total Hours Act]]*tbl_PEM[[#This Row],['# of men Act]],"")</f>
        <v/>
      </c>
      <c r="O75"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75" s="71" t="str">
        <f>IFERROR((tbl_PEM[[#This Row],[Adj. Total Hours]]+tbl_PEM[[#This Row],[Est. Hours]])/(tbl_PEM[[#This Row],[Total Hours Act]]+tbl_PEM[[#This Row],[Act. Hours]]),"")</f>
        <v/>
      </c>
      <c r="S75" s="63"/>
      <c r="T75" s="63"/>
      <c r="U75" s="63"/>
      <c r="V75" s="63"/>
      <c r="W75" s="63"/>
    </row>
    <row r="76" spans="6:23" ht="25" customHeight="1">
      <c r="F76" s="53"/>
      <c r="H76" s="55" t="e">
        <f>tbl_PEM[[#This Row],[Qty Complete]]/tbl_PEM[[#This Row],[Qty Required]]</f>
        <v>#DIV/0!</v>
      </c>
      <c r="K76" s="57" t="str">
        <f>IFERROR(tbl_PEM[[#This Row],[Qty Required]]/tbl_PEM[[#This Row],[PPH]]*tbl_PEM[[#This Row],['# of men]],"")</f>
        <v/>
      </c>
      <c r="L76" s="58" t="e">
        <f>tbl_PEM[[#This Row],[Total hours]]*tbl_PEM[[#This Row],[% Complete]]</f>
        <v>#VALUE!</v>
      </c>
      <c r="M76" s="59" t="str">
        <f>IFERROR(tbl_PEM[[#This Row],[Qty Complete]]/tbl_PEM[[#This Row],[Total Hours Act]]*tbl_PEM[[#This Row],['# of men Act]],"")</f>
        <v/>
      </c>
      <c r="O76"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76" s="71" t="str">
        <f>IFERROR((tbl_PEM[[#This Row],[Adj. Total Hours]]+tbl_PEM[[#This Row],[Est. Hours]])/(tbl_PEM[[#This Row],[Total Hours Act]]+tbl_PEM[[#This Row],[Act. Hours]]),"")</f>
        <v/>
      </c>
      <c r="S76" s="63"/>
      <c r="T76" s="63"/>
      <c r="U76" s="63"/>
      <c r="V76" s="63"/>
      <c r="W76" s="63"/>
    </row>
    <row r="77" spans="6:23" ht="25" customHeight="1">
      <c r="F77" s="53"/>
      <c r="H77" s="55" t="e">
        <f>tbl_PEM[[#This Row],[Qty Complete]]/tbl_PEM[[#This Row],[Qty Required]]</f>
        <v>#DIV/0!</v>
      </c>
      <c r="K77" s="57" t="str">
        <f>IFERROR(tbl_PEM[[#This Row],[Qty Required]]/tbl_PEM[[#This Row],[PPH]]*tbl_PEM[[#This Row],['# of men]],"")</f>
        <v/>
      </c>
      <c r="L77" s="58" t="e">
        <f>tbl_PEM[[#This Row],[Total hours]]*tbl_PEM[[#This Row],[% Complete]]</f>
        <v>#VALUE!</v>
      </c>
      <c r="M77" s="59" t="str">
        <f>IFERROR(tbl_PEM[[#This Row],[Qty Complete]]/tbl_PEM[[#This Row],[Total Hours Act]]*tbl_PEM[[#This Row],['# of men Act]],"")</f>
        <v/>
      </c>
      <c r="O77"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77" s="71" t="str">
        <f>IFERROR((tbl_PEM[[#This Row],[Adj. Total Hours]]+tbl_PEM[[#This Row],[Est. Hours]])/(tbl_PEM[[#This Row],[Total Hours Act]]+tbl_PEM[[#This Row],[Act. Hours]]),"")</f>
        <v/>
      </c>
      <c r="S77" s="63"/>
      <c r="T77" s="63"/>
      <c r="U77" s="63"/>
      <c r="V77" s="63"/>
      <c r="W77" s="63"/>
    </row>
    <row r="78" spans="6:23" ht="25" customHeight="1">
      <c r="F78" s="53"/>
      <c r="H78" s="55" t="e">
        <f>tbl_PEM[[#This Row],[Qty Complete]]/tbl_PEM[[#This Row],[Qty Required]]</f>
        <v>#DIV/0!</v>
      </c>
      <c r="K78" s="57" t="str">
        <f>IFERROR(tbl_PEM[[#This Row],[Qty Required]]/tbl_PEM[[#This Row],[PPH]]*tbl_PEM[[#This Row],['# of men]],"")</f>
        <v/>
      </c>
      <c r="L78" s="58" t="e">
        <f>tbl_PEM[[#This Row],[Total hours]]*tbl_PEM[[#This Row],[% Complete]]</f>
        <v>#VALUE!</v>
      </c>
      <c r="M78" s="59" t="str">
        <f>IFERROR(tbl_PEM[[#This Row],[Qty Complete]]/tbl_PEM[[#This Row],[Total Hours Act]]*tbl_PEM[[#This Row],['# of men Act]],"")</f>
        <v/>
      </c>
      <c r="O78"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78" s="71" t="str">
        <f>IFERROR((tbl_PEM[[#This Row],[Adj. Total Hours]]+tbl_PEM[[#This Row],[Est. Hours]])/(tbl_PEM[[#This Row],[Total Hours Act]]+tbl_PEM[[#This Row],[Act. Hours]]),"")</f>
        <v/>
      </c>
      <c r="S78" s="63"/>
      <c r="T78" s="63"/>
      <c r="U78" s="63"/>
      <c r="V78" s="63"/>
      <c r="W78" s="63"/>
    </row>
    <row r="79" spans="6:23" ht="25" customHeight="1">
      <c r="F79" s="53"/>
      <c r="H79" s="55" t="e">
        <f>tbl_PEM[[#This Row],[Qty Complete]]/tbl_PEM[[#This Row],[Qty Required]]</f>
        <v>#DIV/0!</v>
      </c>
      <c r="K79" s="57" t="str">
        <f>IFERROR(tbl_PEM[[#This Row],[Qty Required]]/tbl_PEM[[#This Row],[PPH]]*tbl_PEM[[#This Row],['# of men]],"")</f>
        <v/>
      </c>
      <c r="L79" s="58" t="e">
        <f>tbl_PEM[[#This Row],[Total hours]]*tbl_PEM[[#This Row],[% Complete]]</f>
        <v>#VALUE!</v>
      </c>
      <c r="M79" s="59" t="str">
        <f>IFERROR(tbl_PEM[[#This Row],[Qty Complete]]/tbl_PEM[[#This Row],[Total Hours Act]]*tbl_PEM[[#This Row],['# of men Act]],"")</f>
        <v/>
      </c>
      <c r="O79"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79" s="71" t="str">
        <f>IFERROR((tbl_PEM[[#This Row],[Adj. Total Hours]]+tbl_PEM[[#This Row],[Est. Hours]])/(tbl_PEM[[#This Row],[Total Hours Act]]+tbl_PEM[[#This Row],[Act. Hours]]),"")</f>
        <v/>
      </c>
      <c r="S79" s="63"/>
      <c r="T79" s="63"/>
      <c r="U79" s="63"/>
      <c r="V79" s="63"/>
      <c r="W79" s="63"/>
    </row>
    <row r="80" spans="6:23" ht="25" customHeight="1">
      <c r="F80" s="53"/>
      <c r="H80" s="55" t="e">
        <f>tbl_PEM[[#This Row],[Qty Complete]]/tbl_PEM[[#This Row],[Qty Required]]</f>
        <v>#DIV/0!</v>
      </c>
      <c r="K80" s="57" t="str">
        <f>IFERROR(tbl_PEM[[#This Row],[Qty Required]]/tbl_PEM[[#This Row],[PPH]]*tbl_PEM[[#This Row],['# of men]],"")</f>
        <v/>
      </c>
      <c r="L80" s="58" t="e">
        <f>tbl_PEM[[#This Row],[Total hours]]*tbl_PEM[[#This Row],[% Complete]]</f>
        <v>#VALUE!</v>
      </c>
      <c r="M80" s="59" t="str">
        <f>IFERROR(tbl_PEM[[#This Row],[Qty Complete]]/tbl_PEM[[#This Row],[Total Hours Act]]*tbl_PEM[[#This Row],['# of men Act]],"")</f>
        <v/>
      </c>
      <c r="O80"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80" s="71" t="str">
        <f>IFERROR((tbl_PEM[[#This Row],[Adj. Total Hours]]+tbl_PEM[[#This Row],[Est. Hours]])/(tbl_PEM[[#This Row],[Total Hours Act]]+tbl_PEM[[#This Row],[Act. Hours]]),"")</f>
        <v/>
      </c>
      <c r="S80" s="63"/>
      <c r="T80" s="63"/>
      <c r="U80" s="63"/>
      <c r="V80" s="63"/>
      <c r="W80" s="63"/>
    </row>
    <row r="81" spans="6:23" ht="25" customHeight="1">
      <c r="F81" s="53"/>
      <c r="H81" s="55" t="e">
        <f>tbl_PEM[[#This Row],[Qty Complete]]/tbl_PEM[[#This Row],[Qty Required]]</f>
        <v>#DIV/0!</v>
      </c>
      <c r="K81" s="57" t="str">
        <f>IFERROR(tbl_PEM[[#This Row],[Qty Required]]/tbl_PEM[[#This Row],[PPH]]*tbl_PEM[[#This Row],['# of men]],"")</f>
        <v/>
      </c>
      <c r="L81" s="58" t="e">
        <f>tbl_PEM[[#This Row],[Total hours]]*tbl_PEM[[#This Row],[% Complete]]</f>
        <v>#VALUE!</v>
      </c>
      <c r="M81" s="59" t="str">
        <f>IFERROR(tbl_PEM[[#This Row],[Qty Complete]]/tbl_PEM[[#This Row],[Total Hours Act]]*tbl_PEM[[#This Row],['# of men Act]],"")</f>
        <v/>
      </c>
      <c r="O81"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81" s="71" t="str">
        <f>IFERROR((tbl_PEM[[#This Row],[Adj. Total Hours]]+tbl_PEM[[#This Row],[Est. Hours]])/(tbl_PEM[[#This Row],[Total Hours Act]]+tbl_PEM[[#This Row],[Act. Hours]]),"")</f>
        <v/>
      </c>
      <c r="S81" s="63"/>
      <c r="T81" s="63"/>
      <c r="U81" s="63"/>
      <c r="V81" s="63"/>
      <c r="W81" s="63"/>
    </row>
    <row r="82" spans="6:23" ht="25" customHeight="1">
      <c r="F82" s="53"/>
      <c r="H82" s="55" t="e">
        <f>tbl_PEM[[#This Row],[Qty Complete]]/tbl_PEM[[#This Row],[Qty Required]]</f>
        <v>#DIV/0!</v>
      </c>
      <c r="K82" s="57" t="str">
        <f>IFERROR(tbl_PEM[[#This Row],[Qty Required]]/tbl_PEM[[#This Row],[PPH]]*tbl_PEM[[#This Row],['# of men]],"")</f>
        <v/>
      </c>
      <c r="L82" s="58" t="e">
        <f>tbl_PEM[[#This Row],[Total hours]]*tbl_PEM[[#This Row],[% Complete]]</f>
        <v>#VALUE!</v>
      </c>
      <c r="M82" s="59" t="str">
        <f>IFERROR(tbl_PEM[[#This Row],[Qty Complete]]/tbl_PEM[[#This Row],[Total Hours Act]]*tbl_PEM[[#This Row],['# of men Act]],"")</f>
        <v/>
      </c>
      <c r="O82"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82" s="71" t="str">
        <f>IFERROR((tbl_PEM[[#This Row],[Adj. Total Hours]]+tbl_PEM[[#This Row],[Est. Hours]])/(tbl_PEM[[#This Row],[Total Hours Act]]+tbl_PEM[[#This Row],[Act. Hours]]),"")</f>
        <v/>
      </c>
      <c r="S82" s="63"/>
      <c r="T82" s="63"/>
      <c r="U82" s="63"/>
      <c r="V82" s="63"/>
      <c r="W82" s="63"/>
    </row>
    <row r="83" spans="6:23" ht="25" customHeight="1">
      <c r="F83" s="53"/>
      <c r="H83" s="55" t="e">
        <f>tbl_PEM[[#This Row],[Qty Complete]]/tbl_PEM[[#This Row],[Qty Required]]</f>
        <v>#DIV/0!</v>
      </c>
      <c r="K83" s="57" t="str">
        <f>IFERROR(tbl_PEM[[#This Row],[Qty Required]]/tbl_PEM[[#This Row],[PPH]]*tbl_PEM[[#This Row],['# of men]],"")</f>
        <v/>
      </c>
      <c r="L83" s="58" t="e">
        <f>tbl_PEM[[#This Row],[Total hours]]*tbl_PEM[[#This Row],[% Complete]]</f>
        <v>#VALUE!</v>
      </c>
      <c r="M83" s="59" t="str">
        <f>IFERROR(tbl_PEM[[#This Row],[Qty Complete]]/tbl_PEM[[#This Row],[Total Hours Act]]*tbl_PEM[[#This Row],['# of men Act]],"")</f>
        <v/>
      </c>
      <c r="O83"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83" s="71" t="str">
        <f>IFERROR((tbl_PEM[[#This Row],[Adj. Total Hours]]+tbl_PEM[[#This Row],[Est. Hours]])/(tbl_PEM[[#This Row],[Total Hours Act]]+tbl_PEM[[#This Row],[Act. Hours]]),"")</f>
        <v/>
      </c>
      <c r="S83" s="63"/>
      <c r="T83" s="63"/>
      <c r="U83" s="63"/>
      <c r="V83" s="63"/>
      <c r="W83" s="63"/>
    </row>
    <row r="84" spans="6:23" ht="25" customHeight="1">
      <c r="F84" s="53"/>
      <c r="H84" s="55" t="e">
        <f>tbl_PEM[[#This Row],[Qty Complete]]/tbl_PEM[[#This Row],[Qty Required]]</f>
        <v>#DIV/0!</v>
      </c>
      <c r="K84" s="57" t="str">
        <f>IFERROR(tbl_PEM[[#This Row],[Qty Required]]/tbl_PEM[[#This Row],[PPH]]*tbl_PEM[[#This Row],['# of men]],"")</f>
        <v/>
      </c>
      <c r="L84" s="58" t="e">
        <f>tbl_PEM[[#This Row],[Total hours]]*tbl_PEM[[#This Row],[% Complete]]</f>
        <v>#VALUE!</v>
      </c>
      <c r="M84" s="59" t="str">
        <f>IFERROR(tbl_PEM[[#This Row],[Qty Complete]]/tbl_PEM[[#This Row],[Total Hours Act]]*tbl_PEM[[#This Row],['# of men Act]],"")</f>
        <v/>
      </c>
      <c r="O84"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84" s="71" t="str">
        <f>IFERROR((tbl_PEM[[#This Row],[Adj. Total Hours]]+tbl_PEM[[#This Row],[Est. Hours]])/(tbl_PEM[[#This Row],[Total Hours Act]]+tbl_PEM[[#This Row],[Act. Hours]]),"")</f>
        <v/>
      </c>
      <c r="S84" s="63"/>
      <c r="T84" s="63"/>
      <c r="U84" s="63"/>
      <c r="V84" s="63"/>
      <c r="W84" s="63"/>
    </row>
    <row r="85" spans="6:23" ht="25" customHeight="1">
      <c r="F85" s="53"/>
      <c r="H85" s="55" t="e">
        <f>tbl_PEM[[#This Row],[Qty Complete]]/tbl_PEM[[#This Row],[Qty Required]]</f>
        <v>#DIV/0!</v>
      </c>
      <c r="K85" s="57" t="str">
        <f>IFERROR(tbl_PEM[[#This Row],[Qty Required]]/tbl_PEM[[#This Row],[PPH]]*tbl_PEM[[#This Row],['# of men]],"")</f>
        <v/>
      </c>
      <c r="L85" s="58" t="e">
        <f>tbl_PEM[[#This Row],[Total hours]]*tbl_PEM[[#This Row],[% Complete]]</f>
        <v>#VALUE!</v>
      </c>
      <c r="M85" s="59" t="str">
        <f>IFERROR(tbl_PEM[[#This Row],[Qty Complete]]/tbl_PEM[[#This Row],[Total Hours Act]]*tbl_PEM[[#This Row],['# of men Act]],"")</f>
        <v/>
      </c>
      <c r="O85"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85" s="71" t="str">
        <f>IFERROR((tbl_PEM[[#This Row],[Adj. Total Hours]]+tbl_PEM[[#This Row],[Est. Hours]])/(tbl_PEM[[#This Row],[Total Hours Act]]+tbl_PEM[[#This Row],[Act. Hours]]),"")</f>
        <v/>
      </c>
      <c r="S85" s="63"/>
      <c r="T85" s="63"/>
      <c r="U85" s="63"/>
      <c r="V85" s="63"/>
      <c r="W85" s="63"/>
    </row>
    <row r="86" spans="6:23" ht="25" customHeight="1">
      <c r="F86" s="53"/>
      <c r="H86" s="55" t="e">
        <f>tbl_PEM[[#This Row],[Qty Complete]]/tbl_PEM[[#This Row],[Qty Required]]</f>
        <v>#DIV/0!</v>
      </c>
      <c r="K86" s="57" t="str">
        <f>IFERROR(tbl_PEM[[#This Row],[Qty Required]]/tbl_PEM[[#This Row],[PPH]]*tbl_PEM[[#This Row],['# of men]],"")</f>
        <v/>
      </c>
      <c r="L86" s="58" t="e">
        <f>tbl_PEM[[#This Row],[Total hours]]*tbl_PEM[[#This Row],[% Complete]]</f>
        <v>#VALUE!</v>
      </c>
      <c r="M86" s="59" t="str">
        <f>IFERROR(tbl_PEM[[#This Row],[Qty Complete]]/tbl_PEM[[#This Row],[Total Hours Act]]*tbl_PEM[[#This Row],['# of men Act]],"")</f>
        <v/>
      </c>
      <c r="O86"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86" s="71" t="str">
        <f>IFERROR((tbl_PEM[[#This Row],[Adj. Total Hours]]+tbl_PEM[[#This Row],[Est. Hours]])/(tbl_PEM[[#This Row],[Total Hours Act]]+tbl_PEM[[#This Row],[Act. Hours]]),"")</f>
        <v/>
      </c>
      <c r="S86" s="63"/>
      <c r="T86" s="63"/>
      <c r="U86" s="63"/>
      <c r="V86" s="63"/>
      <c r="W86" s="63"/>
    </row>
    <row r="87" spans="6:23" ht="25" customHeight="1">
      <c r="F87" s="53"/>
      <c r="H87" s="55" t="e">
        <f>tbl_PEM[[#This Row],[Qty Complete]]/tbl_PEM[[#This Row],[Qty Required]]</f>
        <v>#DIV/0!</v>
      </c>
      <c r="K87" s="57" t="str">
        <f>IFERROR(tbl_PEM[[#This Row],[Qty Required]]/tbl_PEM[[#This Row],[PPH]]*tbl_PEM[[#This Row],['# of men]],"")</f>
        <v/>
      </c>
      <c r="L87" s="58" t="e">
        <f>tbl_PEM[[#This Row],[Total hours]]*tbl_PEM[[#This Row],[% Complete]]</f>
        <v>#VALUE!</v>
      </c>
      <c r="M87" s="59" t="str">
        <f>IFERROR(tbl_PEM[[#This Row],[Qty Complete]]/tbl_PEM[[#This Row],[Total Hours Act]]*tbl_PEM[[#This Row],['# of men Act]],"")</f>
        <v/>
      </c>
      <c r="O87"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87" s="71" t="str">
        <f>IFERROR((tbl_PEM[[#This Row],[Adj. Total Hours]]+tbl_PEM[[#This Row],[Est. Hours]])/(tbl_PEM[[#This Row],[Total Hours Act]]+tbl_PEM[[#This Row],[Act. Hours]]),"")</f>
        <v/>
      </c>
      <c r="S87" s="63"/>
      <c r="T87" s="63"/>
      <c r="U87" s="63"/>
      <c r="V87" s="63"/>
      <c r="W87" s="63"/>
    </row>
    <row r="88" spans="6:23" ht="25" customHeight="1">
      <c r="F88" s="53"/>
      <c r="H88" s="55" t="e">
        <f>tbl_PEM[[#This Row],[Qty Complete]]/tbl_PEM[[#This Row],[Qty Required]]</f>
        <v>#DIV/0!</v>
      </c>
      <c r="K88" s="57" t="str">
        <f>IFERROR(tbl_PEM[[#This Row],[Qty Required]]/tbl_PEM[[#This Row],[PPH]]*tbl_PEM[[#This Row],['# of men]],"")</f>
        <v/>
      </c>
      <c r="L88" s="58" t="e">
        <f>tbl_PEM[[#This Row],[Total hours]]*tbl_PEM[[#This Row],[% Complete]]</f>
        <v>#VALUE!</v>
      </c>
      <c r="M88" s="59" t="str">
        <f>IFERROR(tbl_PEM[[#This Row],[Qty Complete]]/tbl_PEM[[#This Row],[Total Hours Act]]*tbl_PEM[[#This Row],['# of men Act]],"")</f>
        <v/>
      </c>
      <c r="O88"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88" s="71" t="str">
        <f>IFERROR((tbl_PEM[[#This Row],[Adj. Total Hours]]+tbl_PEM[[#This Row],[Est. Hours]])/(tbl_PEM[[#This Row],[Total Hours Act]]+tbl_PEM[[#This Row],[Act. Hours]]),"")</f>
        <v/>
      </c>
      <c r="S88" s="63"/>
      <c r="T88" s="63"/>
      <c r="U88" s="63"/>
      <c r="V88" s="63"/>
      <c r="W88" s="63"/>
    </row>
    <row r="89" spans="6:23" ht="25" customHeight="1">
      <c r="F89" s="53"/>
      <c r="H89" s="55" t="e">
        <f>tbl_PEM[[#This Row],[Qty Complete]]/tbl_PEM[[#This Row],[Qty Required]]</f>
        <v>#DIV/0!</v>
      </c>
      <c r="K89" s="57" t="str">
        <f>IFERROR(tbl_PEM[[#This Row],[Qty Required]]/tbl_PEM[[#This Row],[PPH]]*tbl_PEM[[#This Row],['# of men]],"")</f>
        <v/>
      </c>
      <c r="L89" s="58" t="e">
        <f>tbl_PEM[[#This Row],[Total hours]]*tbl_PEM[[#This Row],[% Complete]]</f>
        <v>#VALUE!</v>
      </c>
      <c r="M89" s="59" t="str">
        <f>IFERROR(tbl_PEM[[#This Row],[Qty Complete]]/tbl_PEM[[#This Row],[Total Hours Act]]*tbl_PEM[[#This Row],['# of men Act]],"")</f>
        <v/>
      </c>
      <c r="O89"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89" s="71" t="str">
        <f>IFERROR((tbl_PEM[[#This Row],[Adj. Total Hours]]+tbl_PEM[[#This Row],[Est. Hours]])/(tbl_PEM[[#This Row],[Total Hours Act]]+tbl_PEM[[#This Row],[Act. Hours]]),"")</f>
        <v/>
      </c>
      <c r="S89" s="63"/>
      <c r="T89" s="63"/>
      <c r="U89" s="63"/>
      <c r="V89" s="63"/>
      <c r="W89" s="63"/>
    </row>
    <row r="90" spans="6:23" ht="25" customHeight="1">
      <c r="F90" s="53"/>
      <c r="H90" s="55" t="e">
        <f>tbl_PEM[[#This Row],[Qty Complete]]/tbl_PEM[[#This Row],[Qty Required]]</f>
        <v>#DIV/0!</v>
      </c>
      <c r="K90" s="57" t="str">
        <f>IFERROR(tbl_PEM[[#This Row],[Qty Required]]/tbl_PEM[[#This Row],[PPH]]*tbl_PEM[[#This Row],['# of men]],"")</f>
        <v/>
      </c>
      <c r="L90" s="58" t="e">
        <f>tbl_PEM[[#This Row],[Total hours]]*tbl_PEM[[#This Row],[% Complete]]</f>
        <v>#VALUE!</v>
      </c>
      <c r="M90" s="59" t="str">
        <f>IFERROR(tbl_PEM[[#This Row],[Qty Complete]]/tbl_PEM[[#This Row],[Total Hours Act]]*tbl_PEM[[#This Row],['# of men Act]],"")</f>
        <v/>
      </c>
      <c r="O90"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90" s="71" t="str">
        <f>IFERROR((tbl_PEM[[#This Row],[Adj. Total Hours]]+tbl_PEM[[#This Row],[Est. Hours]])/(tbl_PEM[[#This Row],[Total Hours Act]]+tbl_PEM[[#This Row],[Act. Hours]]),"")</f>
        <v/>
      </c>
      <c r="S90" s="63"/>
      <c r="T90" s="63"/>
      <c r="U90" s="63"/>
      <c r="V90" s="63"/>
      <c r="W90" s="63"/>
    </row>
    <row r="91" spans="6:23" ht="25" customHeight="1">
      <c r="F91" s="53"/>
      <c r="H91" s="55" t="e">
        <f>tbl_PEM[[#This Row],[Qty Complete]]/tbl_PEM[[#This Row],[Qty Required]]</f>
        <v>#DIV/0!</v>
      </c>
      <c r="K91" s="57" t="str">
        <f>IFERROR(tbl_PEM[[#This Row],[Qty Required]]/tbl_PEM[[#This Row],[PPH]]*tbl_PEM[[#This Row],['# of men]],"")</f>
        <v/>
      </c>
      <c r="L91" s="58" t="e">
        <f>tbl_PEM[[#This Row],[Total hours]]*tbl_PEM[[#This Row],[% Complete]]</f>
        <v>#VALUE!</v>
      </c>
      <c r="M91" s="59" t="str">
        <f>IFERROR(tbl_PEM[[#This Row],[Qty Complete]]/tbl_PEM[[#This Row],[Total Hours Act]]*tbl_PEM[[#This Row],['# of men Act]],"")</f>
        <v/>
      </c>
      <c r="O91"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91" s="71" t="str">
        <f>IFERROR((tbl_PEM[[#This Row],[Adj. Total Hours]]+tbl_PEM[[#This Row],[Est. Hours]])/(tbl_PEM[[#This Row],[Total Hours Act]]+tbl_PEM[[#This Row],[Act. Hours]]),"")</f>
        <v/>
      </c>
      <c r="S91" s="63"/>
      <c r="T91" s="63"/>
      <c r="U91" s="63"/>
      <c r="V91" s="63"/>
      <c r="W91" s="63"/>
    </row>
    <row r="92" spans="6:23" ht="25" customHeight="1">
      <c r="F92" s="53"/>
      <c r="H92" s="55" t="e">
        <f>tbl_PEM[[#This Row],[Qty Complete]]/tbl_PEM[[#This Row],[Qty Required]]</f>
        <v>#DIV/0!</v>
      </c>
      <c r="K92" s="57" t="str">
        <f>IFERROR(tbl_PEM[[#This Row],[Qty Required]]/tbl_PEM[[#This Row],[PPH]]*tbl_PEM[[#This Row],['# of men]],"")</f>
        <v/>
      </c>
      <c r="L92" s="58" t="e">
        <f>tbl_PEM[[#This Row],[Total hours]]*tbl_PEM[[#This Row],[% Complete]]</f>
        <v>#VALUE!</v>
      </c>
      <c r="M92" s="59" t="str">
        <f>IFERROR(tbl_PEM[[#This Row],[Qty Complete]]/tbl_PEM[[#This Row],[Total Hours Act]]*tbl_PEM[[#This Row],['# of men Act]],"")</f>
        <v/>
      </c>
      <c r="O92"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92" s="71" t="str">
        <f>IFERROR((tbl_PEM[[#This Row],[Adj. Total Hours]]+tbl_PEM[[#This Row],[Est. Hours]])/(tbl_PEM[[#This Row],[Total Hours Act]]+tbl_PEM[[#This Row],[Act. Hours]]),"")</f>
        <v/>
      </c>
      <c r="S92" s="63"/>
      <c r="T92" s="63"/>
      <c r="U92" s="63"/>
      <c r="V92" s="63"/>
      <c r="W92" s="63"/>
    </row>
    <row r="93" spans="6:23" ht="25" customHeight="1">
      <c r="F93" s="53"/>
      <c r="H93" s="55" t="e">
        <f>tbl_PEM[[#This Row],[Qty Complete]]/tbl_PEM[[#This Row],[Qty Required]]</f>
        <v>#DIV/0!</v>
      </c>
      <c r="K93" s="57" t="str">
        <f>IFERROR(tbl_PEM[[#This Row],[Qty Required]]/tbl_PEM[[#This Row],[PPH]]*tbl_PEM[[#This Row],['# of men]],"")</f>
        <v/>
      </c>
      <c r="L93" s="58" t="e">
        <f>tbl_PEM[[#This Row],[Total hours]]*tbl_PEM[[#This Row],[% Complete]]</f>
        <v>#VALUE!</v>
      </c>
      <c r="M93" s="59" t="str">
        <f>IFERROR(tbl_PEM[[#This Row],[Qty Complete]]/tbl_PEM[[#This Row],[Total Hours Act]]*tbl_PEM[[#This Row],['# of men Act]],"")</f>
        <v/>
      </c>
      <c r="O93"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93" s="71" t="str">
        <f>IFERROR((tbl_PEM[[#This Row],[Adj. Total Hours]]+tbl_PEM[[#This Row],[Est. Hours]])/(tbl_PEM[[#This Row],[Total Hours Act]]+tbl_PEM[[#This Row],[Act. Hours]]),"")</f>
        <v/>
      </c>
      <c r="S93" s="63"/>
      <c r="T93" s="63"/>
      <c r="U93" s="63"/>
      <c r="V93" s="63"/>
      <c r="W93" s="63"/>
    </row>
    <row r="94" spans="6:23" ht="25" customHeight="1">
      <c r="F94" s="53"/>
      <c r="H94" s="55" t="e">
        <f>tbl_PEM[[#This Row],[Qty Complete]]/tbl_PEM[[#This Row],[Qty Required]]</f>
        <v>#DIV/0!</v>
      </c>
      <c r="K94" s="57" t="str">
        <f>IFERROR(tbl_PEM[[#This Row],[Qty Required]]/tbl_PEM[[#This Row],[PPH]]*tbl_PEM[[#This Row],['# of men]],"")</f>
        <v/>
      </c>
      <c r="L94" s="58" t="e">
        <f>tbl_PEM[[#This Row],[Total hours]]*tbl_PEM[[#This Row],[% Complete]]</f>
        <v>#VALUE!</v>
      </c>
      <c r="M94" s="59" t="str">
        <f>IFERROR(tbl_PEM[[#This Row],[Qty Complete]]/tbl_PEM[[#This Row],[Total Hours Act]]*tbl_PEM[[#This Row],['# of men Act]],"")</f>
        <v/>
      </c>
      <c r="O94"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94" s="71" t="str">
        <f>IFERROR((tbl_PEM[[#This Row],[Adj. Total Hours]]+tbl_PEM[[#This Row],[Est. Hours]])/(tbl_PEM[[#This Row],[Total Hours Act]]+tbl_PEM[[#This Row],[Act. Hours]]),"")</f>
        <v/>
      </c>
      <c r="S94" s="63"/>
      <c r="T94" s="63"/>
      <c r="U94" s="63"/>
      <c r="V94" s="63"/>
      <c r="W94" s="63"/>
    </row>
    <row r="95" spans="6:23" ht="25" customHeight="1">
      <c r="F95" s="53"/>
      <c r="H95" s="55" t="e">
        <f>tbl_PEM[[#This Row],[Qty Complete]]/tbl_PEM[[#This Row],[Qty Required]]</f>
        <v>#DIV/0!</v>
      </c>
      <c r="K95" s="57" t="str">
        <f>IFERROR(tbl_PEM[[#This Row],[Qty Required]]/tbl_PEM[[#This Row],[PPH]]*tbl_PEM[[#This Row],['# of men]],"")</f>
        <v/>
      </c>
      <c r="L95" s="58" t="e">
        <f>tbl_PEM[[#This Row],[Total hours]]*tbl_PEM[[#This Row],[% Complete]]</f>
        <v>#VALUE!</v>
      </c>
      <c r="M95" s="59" t="str">
        <f>IFERROR(tbl_PEM[[#This Row],[Qty Complete]]/tbl_PEM[[#This Row],[Total Hours Act]]*tbl_PEM[[#This Row],['# of men Act]],"")</f>
        <v/>
      </c>
      <c r="O95"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95" s="71" t="str">
        <f>IFERROR((tbl_PEM[[#This Row],[Adj. Total Hours]]+tbl_PEM[[#This Row],[Est. Hours]])/(tbl_PEM[[#This Row],[Total Hours Act]]+tbl_PEM[[#This Row],[Act. Hours]]),"")</f>
        <v/>
      </c>
      <c r="S95" s="63"/>
      <c r="T95" s="63"/>
      <c r="U95" s="63"/>
      <c r="V95" s="63"/>
      <c r="W95" s="63"/>
    </row>
    <row r="96" spans="6:23" ht="25" customHeight="1">
      <c r="F96" s="53"/>
      <c r="H96" s="55" t="e">
        <f>tbl_PEM[[#This Row],[Qty Complete]]/tbl_PEM[[#This Row],[Qty Required]]</f>
        <v>#DIV/0!</v>
      </c>
      <c r="K96" s="57" t="str">
        <f>IFERROR(tbl_PEM[[#This Row],[Qty Required]]/tbl_PEM[[#This Row],[PPH]]*tbl_PEM[[#This Row],['# of men]],"")</f>
        <v/>
      </c>
      <c r="L96" s="58" t="e">
        <f>tbl_PEM[[#This Row],[Total hours]]*tbl_PEM[[#This Row],[% Complete]]</f>
        <v>#VALUE!</v>
      </c>
      <c r="M96" s="59" t="str">
        <f>IFERROR(tbl_PEM[[#This Row],[Qty Complete]]/tbl_PEM[[#This Row],[Total Hours Act]]*tbl_PEM[[#This Row],['# of men Act]],"")</f>
        <v/>
      </c>
      <c r="O96"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96" s="71" t="str">
        <f>IFERROR((tbl_PEM[[#This Row],[Adj. Total Hours]]+tbl_PEM[[#This Row],[Est. Hours]])/(tbl_PEM[[#This Row],[Total Hours Act]]+tbl_PEM[[#This Row],[Act. Hours]]),"")</f>
        <v/>
      </c>
      <c r="S96" s="63"/>
      <c r="T96" s="63"/>
      <c r="U96" s="63"/>
      <c r="V96" s="63"/>
      <c r="W96" s="63"/>
    </row>
    <row r="97" spans="6:23" ht="25" customHeight="1">
      <c r="F97" s="53"/>
      <c r="H97" s="55" t="e">
        <f>tbl_PEM[[#This Row],[Qty Complete]]/tbl_PEM[[#This Row],[Qty Required]]</f>
        <v>#DIV/0!</v>
      </c>
      <c r="K97" s="57" t="str">
        <f>IFERROR(tbl_PEM[[#This Row],[Qty Required]]/tbl_PEM[[#This Row],[PPH]]*tbl_PEM[[#This Row],['# of men]],"")</f>
        <v/>
      </c>
      <c r="L97" s="58" t="e">
        <f>tbl_PEM[[#This Row],[Total hours]]*tbl_PEM[[#This Row],[% Complete]]</f>
        <v>#VALUE!</v>
      </c>
      <c r="M97" s="59" t="str">
        <f>IFERROR(tbl_PEM[[#This Row],[Qty Complete]]/tbl_PEM[[#This Row],[Total Hours Act]]*tbl_PEM[[#This Row],['# of men Act]],"")</f>
        <v/>
      </c>
      <c r="O97"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97" s="71" t="str">
        <f>IFERROR((tbl_PEM[[#This Row],[Adj. Total Hours]]+tbl_PEM[[#This Row],[Est. Hours]])/(tbl_PEM[[#This Row],[Total Hours Act]]+tbl_PEM[[#This Row],[Act. Hours]]),"")</f>
        <v/>
      </c>
      <c r="S97" s="63"/>
      <c r="T97" s="63"/>
      <c r="U97" s="63"/>
      <c r="V97" s="63"/>
      <c r="W97" s="63"/>
    </row>
    <row r="98" spans="6:23" ht="25" customHeight="1">
      <c r="F98" s="53"/>
      <c r="H98" s="55" t="e">
        <f>tbl_PEM[[#This Row],[Qty Complete]]/tbl_PEM[[#This Row],[Qty Required]]</f>
        <v>#DIV/0!</v>
      </c>
      <c r="K98" s="57" t="str">
        <f>IFERROR(tbl_PEM[[#This Row],[Qty Required]]/tbl_PEM[[#This Row],[PPH]]*tbl_PEM[[#This Row],['# of men]],"")</f>
        <v/>
      </c>
      <c r="L98" s="58" t="e">
        <f>tbl_PEM[[#This Row],[Total hours]]*tbl_PEM[[#This Row],[% Complete]]</f>
        <v>#VALUE!</v>
      </c>
      <c r="M98" s="59" t="str">
        <f>IFERROR(tbl_PEM[[#This Row],[Qty Complete]]/tbl_PEM[[#This Row],[Total Hours Act]]*tbl_PEM[[#This Row],['# of men Act]],"")</f>
        <v/>
      </c>
      <c r="O98"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98" s="71" t="str">
        <f>IFERROR((tbl_PEM[[#This Row],[Adj. Total Hours]]+tbl_PEM[[#This Row],[Est. Hours]])/(tbl_PEM[[#This Row],[Total Hours Act]]+tbl_PEM[[#This Row],[Act. Hours]]),"")</f>
        <v/>
      </c>
      <c r="S98" s="63"/>
      <c r="T98" s="63"/>
      <c r="U98" s="63"/>
      <c r="V98" s="63"/>
      <c r="W98" s="63"/>
    </row>
    <row r="99" spans="6:23" ht="25" customHeight="1">
      <c r="F99" s="53"/>
      <c r="H99" s="55" t="e">
        <f>tbl_PEM[[#This Row],[Qty Complete]]/tbl_PEM[[#This Row],[Qty Required]]</f>
        <v>#DIV/0!</v>
      </c>
      <c r="K99" s="57" t="str">
        <f>IFERROR(tbl_PEM[[#This Row],[Qty Required]]/tbl_PEM[[#This Row],[PPH]]*tbl_PEM[[#This Row],['# of men]],"")</f>
        <v/>
      </c>
      <c r="L99" s="58" t="e">
        <f>tbl_PEM[[#This Row],[Total hours]]*tbl_PEM[[#This Row],[% Complete]]</f>
        <v>#VALUE!</v>
      </c>
      <c r="M99" s="59" t="str">
        <f>IFERROR(tbl_PEM[[#This Row],[Qty Complete]]/tbl_PEM[[#This Row],[Total Hours Act]]*tbl_PEM[[#This Row],['# of men Act]],"")</f>
        <v/>
      </c>
      <c r="O99"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99" s="71" t="str">
        <f>IFERROR((tbl_PEM[[#This Row],[Adj. Total Hours]]+tbl_PEM[[#This Row],[Est. Hours]])/(tbl_PEM[[#This Row],[Total Hours Act]]+tbl_PEM[[#This Row],[Act. Hours]]),"")</f>
        <v/>
      </c>
      <c r="S99" s="63"/>
      <c r="T99" s="63"/>
      <c r="U99" s="63"/>
      <c r="V99" s="63"/>
      <c r="W99" s="63"/>
    </row>
    <row r="100" spans="6:23" ht="25" customHeight="1">
      <c r="F100" s="53"/>
      <c r="H100" s="55" t="e">
        <f>tbl_PEM[[#This Row],[Qty Complete]]/tbl_PEM[[#This Row],[Qty Required]]</f>
        <v>#DIV/0!</v>
      </c>
      <c r="K100" s="57" t="str">
        <f>IFERROR(tbl_PEM[[#This Row],[Qty Required]]/tbl_PEM[[#This Row],[PPH]]*tbl_PEM[[#This Row],['# of men]],"")</f>
        <v/>
      </c>
      <c r="L100" s="58" t="e">
        <f>tbl_PEM[[#This Row],[Total hours]]*tbl_PEM[[#This Row],[% Complete]]</f>
        <v>#VALUE!</v>
      </c>
      <c r="M100" s="59" t="str">
        <f>IFERROR(tbl_PEM[[#This Row],[Qty Complete]]/tbl_PEM[[#This Row],[Total Hours Act]]*tbl_PEM[[#This Row],['# of men Act]],"")</f>
        <v/>
      </c>
      <c r="O100"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00" s="71" t="str">
        <f>IFERROR((tbl_PEM[[#This Row],[Adj. Total Hours]]+tbl_PEM[[#This Row],[Est. Hours]])/(tbl_PEM[[#This Row],[Total Hours Act]]+tbl_PEM[[#This Row],[Act. Hours]]),"")</f>
        <v/>
      </c>
      <c r="S100" s="63"/>
      <c r="T100" s="63"/>
      <c r="U100" s="63"/>
      <c r="V100" s="63"/>
      <c r="W100" s="63"/>
    </row>
    <row r="101" spans="6:23" ht="25" customHeight="1">
      <c r="F101" s="53"/>
      <c r="H101" s="55" t="e">
        <f>tbl_PEM[[#This Row],[Qty Complete]]/tbl_PEM[[#This Row],[Qty Required]]</f>
        <v>#DIV/0!</v>
      </c>
      <c r="K101" s="57" t="str">
        <f>IFERROR(tbl_PEM[[#This Row],[Qty Required]]/tbl_PEM[[#This Row],[PPH]]*tbl_PEM[[#This Row],['# of men]],"")</f>
        <v/>
      </c>
      <c r="L101" s="58" t="e">
        <f>tbl_PEM[[#This Row],[Total hours]]*tbl_PEM[[#This Row],[% Complete]]</f>
        <v>#VALUE!</v>
      </c>
      <c r="M101" s="59" t="str">
        <f>IFERROR(tbl_PEM[[#This Row],[Qty Complete]]/tbl_PEM[[#This Row],[Total Hours Act]]*tbl_PEM[[#This Row],['# of men Act]],"")</f>
        <v/>
      </c>
      <c r="O101"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01" s="71" t="str">
        <f>IFERROR((tbl_PEM[[#This Row],[Adj. Total Hours]]+tbl_PEM[[#This Row],[Est. Hours]])/(tbl_PEM[[#This Row],[Total Hours Act]]+tbl_PEM[[#This Row],[Act. Hours]]),"")</f>
        <v/>
      </c>
      <c r="S101" s="63"/>
      <c r="T101" s="63"/>
      <c r="U101" s="63"/>
      <c r="V101" s="63"/>
      <c r="W101" s="63"/>
    </row>
    <row r="102" spans="6:23" ht="25" customHeight="1">
      <c r="F102" s="53"/>
      <c r="H102" s="55" t="e">
        <f>tbl_PEM[[#This Row],[Qty Complete]]/tbl_PEM[[#This Row],[Qty Required]]</f>
        <v>#DIV/0!</v>
      </c>
      <c r="K102" s="57" t="str">
        <f>IFERROR(tbl_PEM[[#This Row],[Qty Required]]/tbl_PEM[[#This Row],[PPH]]*tbl_PEM[[#This Row],['# of men]],"")</f>
        <v/>
      </c>
      <c r="L102" s="58" t="e">
        <f>tbl_PEM[[#This Row],[Total hours]]*tbl_PEM[[#This Row],[% Complete]]</f>
        <v>#VALUE!</v>
      </c>
      <c r="M102" s="59" t="str">
        <f>IFERROR(tbl_PEM[[#This Row],[Qty Complete]]/tbl_PEM[[#This Row],[Total Hours Act]]*tbl_PEM[[#This Row],['# of men Act]],"")</f>
        <v/>
      </c>
      <c r="O102"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02" s="71" t="str">
        <f>IFERROR((tbl_PEM[[#This Row],[Adj. Total Hours]]+tbl_PEM[[#This Row],[Est. Hours]])/(tbl_PEM[[#This Row],[Total Hours Act]]+tbl_PEM[[#This Row],[Act. Hours]]),"")</f>
        <v/>
      </c>
      <c r="S102" s="63"/>
      <c r="T102" s="63"/>
      <c r="U102" s="63"/>
      <c r="V102" s="63"/>
      <c r="W102" s="63"/>
    </row>
    <row r="103" spans="6:23" ht="25" customHeight="1">
      <c r="F103" s="53"/>
      <c r="H103" s="55" t="e">
        <f>tbl_PEM[[#This Row],[Qty Complete]]/tbl_PEM[[#This Row],[Qty Required]]</f>
        <v>#DIV/0!</v>
      </c>
      <c r="K103" s="57" t="str">
        <f>IFERROR(tbl_PEM[[#This Row],[Qty Required]]/tbl_PEM[[#This Row],[PPH]]*tbl_PEM[[#This Row],['# of men]],"")</f>
        <v/>
      </c>
      <c r="L103" s="58" t="e">
        <f>tbl_PEM[[#This Row],[Total hours]]*tbl_PEM[[#This Row],[% Complete]]</f>
        <v>#VALUE!</v>
      </c>
      <c r="M103" s="59" t="str">
        <f>IFERROR(tbl_PEM[[#This Row],[Qty Complete]]/tbl_PEM[[#This Row],[Total Hours Act]]*tbl_PEM[[#This Row],['# of men Act]],"")</f>
        <v/>
      </c>
      <c r="O103"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03" s="71" t="str">
        <f>IFERROR((tbl_PEM[[#This Row],[Adj. Total Hours]]+tbl_PEM[[#This Row],[Est. Hours]])/(tbl_PEM[[#This Row],[Total Hours Act]]+tbl_PEM[[#This Row],[Act. Hours]]),"")</f>
        <v/>
      </c>
      <c r="S103" s="63"/>
      <c r="T103" s="63"/>
      <c r="U103" s="63"/>
      <c r="V103" s="63"/>
      <c r="W103" s="63"/>
    </row>
    <row r="104" spans="6:23" ht="25" customHeight="1">
      <c r="F104" s="53"/>
      <c r="H104" s="55" t="e">
        <f>tbl_PEM[[#This Row],[Qty Complete]]/tbl_PEM[[#This Row],[Qty Required]]</f>
        <v>#DIV/0!</v>
      </c>
      <c r="K104" s="57" t="str">
        <f>IFERROR(tbl_PEM[[#This Row],[Qty Required]]/tbl_PEM[[#This Row],[PPH]]*tbl_PEM[[#This Row],['# of men]],"")</f>
        <v/>
      </c>
      <c r="L104" s="58" t="e">
        <f>tbl_PEM[[#This Row],[Total hours]]*tbl_PEM[[#This Row],[% Complete]]</f>
        <v>#VALUE!</v>
      </c>
      <c r="M104" s="59" t="str">
        <f>IFERROR(tbl_PEM[[#This Row],[Qty Complete]]/tbl_PEM[[#This Row],[Total Hours Act]]*tbl_PEM[[#This Row],['# of men Act]],"")</f>
        <v/>
      </c>
      <c r="O104"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04" s="71" t="str">
        <f>IFERROR((tbl_PEM[[#This Row],[Adj. Total Hours]]+tbl_PEM[[#This Row],[Est. Hours]])/(tbl_PEM[[#This Row],[Total Hours Act]]+tbl_PEM[[#This Row],[Act. Hours]]),"")</f>
        <v/>
      </c>
      <c r="S104" s="63"/>
      <c r="T104" s="63"/>
      <c r="U104" s="63"/>
      <c r="V104" s="63"/>
      <c r="W104" s="63"/>
    </row>
    <row r="105" spans="6:23" ht="25" customHeight="1">
      <c r="F105" s="53"/>
      <c r="H105" s="55" t="e">
        <f>tbl_PEM[[#This Row],[Qty Complete]]/tbl_PEM[[#This Row],[Qty Required]]</f>
        <v>#DIV/0!</v>
      </c>
      <c r="K105" s="57" t="str">
        <f>IFERROR(tbl_PEM[[#This Row],[Qty Required]]/tbl_PEM[[#This Row],[PPH]]*tbl_PEM[[#This Row],['# of men]],"")</f>
        <v/>
      </c>
      <c r="L105" s="58" t="e">
        <f>tbl_PEM[[#This Row],[Total hours]]*tbl_PEM[[#This Row],[% Complete]]</f>
        <v>#VALUE!</v>
      </c>
      <c r="M105" s="59" t="str">
        <f>IFERROR(tbl_PEM[[#This Row],[Qty Complete]]/tbl_PEM[[#This Row],[Total Hours Act]]*tbl_PEM[[#This Row],['# of men Act]],"")</f>
        <v/>
      </c>
      <c r="O105"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05" s="71" t="str">
        <f>IFERROR((tbl_PEM[[#This Row],[Adj. Total Hours]]+tbl_PEM[[#This Row],[Est. Hours]])/(tbl_PEM[[#This Row],[Total Hours Act]]+tbl_PEM[[#This Row],[Act. Hours]]),"")</f>
        <v/>
      </c>
      <c r="S105" s="63"/>
      <c r="T105" s="63"/>
      <c r="U105" s="63"/>
      <c r="V105" s="63"/>
      <c r="W105" s="63"/>
    </row>
    <row r="106" spans="6:23" ht="25" customHeight="1">
      <c r="F106" s="53"/>
      <c r="H106" s="55" t="e">
        <f>tbl_PEM[[#This Row],[Qty Complete]]/tbl_PEM[[#This Row],[Qty Required]]</f>
        <v>#DIV/0!</v>
      </c>
      <c r="K106" s="57" t="str">
        <f>IFERROR(tbl_PEM[[#This Row],[Qty Required]]/tbl_PEM[[#This Row],[PPH]]*tbl_PEM[[#This Row],['# of men]],"")</f>
        <v/>
      </c>
      <c r="L106" s="58" t="e">
        <f>tbl_PEM[[#This Row],[Total hours]]*tbl_PEM[[#This Row],[% Complete]]</f>
        <v>#VALUE!</v>
      </c>
      <c r="M106" s="59" t="str">
        <f>IFERROR(tbl_PEM[[#This Row],[Qty Complete]]/tbl_PEM[[#This Row],[Total Hours Act]]*tbl_PEM[[#This Row],['# of men Act]],"")</f>
        <v/>
      </c>
      <c r="O106"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06" s="71" t="str">
        <f>IFERROR((tbl_PEM[[#This Row],[Adj. Total Hours]]+tbl_PEM[[#This Row],[Est. Hours]])/(tbl_PEM[[#This Row],[Total Hours Act]]+tbl_PEM[[#This Row],[Act. Hours]]),"")</f>
        <v/>
      </c>
      <c r="S106" s="63"/>
      <c r="T106" s="63"/>
      <c r="U106" s="63"/>
      <c r="V106" s="63"/>
      <c r="W106" s="63"/>
    </row>
    <row r="107" spans="6:23" ht="25" customHeight="1">
      <c r="F107" s="53"/>
      <c r="H107" s="55" t="e">
        <f>tbl_PEM[[#This Row],[Qty Complete]]/tbl_PEM[[#This Row],[Qty Required]]</f>
        <v>#DIV/0!</v>
      </c>
      <c r="K107" s="57" t="str">
        <f>IFERROR(tbl_PEM[[#This Row],[Qty Required]]/tbl_PEM[[#This Row],[PPH]]*tbl_PEM[[#This Row],['# of men]],"")</f>
        <v/>
      </c>
      <c r="L107" s="58" t="e">
        <f>tbl_PEM[[#This Row],[Total hours]]*tbl_PEM[[#This Row],[% Complete]]</f>
        <v>#VALUE!</v>
      </c>
      <c r="M107" s="59" t="str">
        <f>IFERROR(tbl_PEM[[#This Row],[Qty Complete]]/tbl_PEM[[#This Row],[Total Hours Act]]*tbl_PEM[[#This Row],['# of men Act]],"")</f>
        <v/>
      </c>
      <c r="O107"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07" s="71" t="str">
        <f>IFERROR((tbl_PEM[[#This Row],[Adj. Total Hours]]+tbl_PEM[[#This Row],[Est. Hours]])/(tbl_PEM[[#This Row],[Total Hours Act]]+tbl_PEM[[#This Row],[Act. Hours]]),"")</f>
        <v/>
      </c>
      <c r="S107" s="63"/>
      <c r="T107" s="63"/>
      <c r="U107" s="63"/>
      <c r="V107" s="63"/>
      <c r="W107" s="63"/>
    </row>
    <row r="108" spans="6:23" ht="25" customHeight="1">
      <c r="F108" s="53"/>
      <c r="H108" s="55" t="e">
        <f>tbl_PEM[[#This Row],[Qty Complete]]/tbl_PEM[[#This Row],[Qty Required]]</f>
        <v>#DIV/0!</v>
      </c>
      <c r="K108" s="57" t="str">
        <f>IFERROR(tbl_PEM[[#This Row],[Qty Required]]/tbl_PEM[[#This Row],[PPH]]*tbl_PEM[[#This Row],['# of men]],"")</f>
        <v/>
      </c>
      <c r="L108" s="58" t="e">
        <f>tbl_PEM[[#This Row],[Total hours]]*tbl_PEM[[#This Row],[% Complete]]</f>
        <v>#VALUE!</v>
      </c>
      <c r="M108" s="59" t="str">
        <f>IFERROR(tbl_PEM[[#This Row],[Qty Complete]]/tbl_PEM[[#This Row],[Total Hours Act]]*tbl_PEM[[#This Row],['# of men Act]],"")</f>
        <v/>
      </c>
      <c r="O108"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08" s="71" t="str">
        <f>IFERROR((tbl_PEM[[#This Row],[Adj. Total Hours]]+tbl_PEM[[#This Row],[Est. Hours]])/(tbl_PEM[[#This Row],[Total Hours Act]]+tbl_PEM[[#This Row],[Act. Hours]]),"")</f>
        <v/>
      </c>
      <c r="S108" s="63"/>
      <c r="T108" s="63"/>
      <c r="U108" s="63"/>
      <c r="V108" s="63"/>
      <c r="W108" s="63"/>
    </row>
    <row r="109" spans="6:23" ht="25" customHeight="1">
      <c r="F109" s="53"/>
      <c r="H109" s="55" t="e">
        <f>tbl_PEM[[#This Row],[Qty Complete]]/tbl_PEM[[#This Row],[Qty Required]]</f>
        <v>#DIV/0!</v>
      </c>
      <c r="K109" s="57" t="str">
        <f>IFERROR(tbl_PEM[[#This Row],[Qty Required]]/tbl_PEM[[#This Row],[PPH]]*tbl_PEM[[#This Row],['# of men]],"")</f>
        <v/>
      </c>
      <c r="L109" s="58" t="e">
        <f>tbl_PEM[[#This Row],[Total hours]]*tbl_PEM[[#This Row],[% Complete]]</f>
        <v>#VALUE!</v>
      </c>
      <c r="M109" s="59" t="str">
        <f>IFERROR(tbl_PEM[[#This Row],[Qty Complete]]/tbl_PEM[[#This Row],[Total Hours Act]]*tbl_PEM[[#This Row],['# of men Act]],"")</f>
        <v/>
      </c>
      <c r="O109"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09" s="71" t="str">
        <f>IFERROR((tbl_PEM[[#This Row],[Adj. Total Hours]]+tbl_PEM[[#This Row],[Est. Hours]])/(tbl_PEM[[#This Row],[Total Hours Act]]+tbl_PEM[[#This Row],[Act. Hours]]),"")</f>
        <v/>
      </c>
      <c r="S109" s="63"/>
      <c r="T109" s="63"/>
      <c r="U109" s="63"/>
      <c r="V109" s="63"/>
      <c r="W109" s="63"/>
    </row>
    <row r="110" spans="6:23" ht="25" customHeight="1">
      <c r="F110" s="53"/>
      <c r="H110" s="55" t="e">
        <f>tbl_PEM[[#This Row],[Qty Complete]]/tbl_PEM[[#This Row],[Qty Required]]</f>
        <v>#DIV/0!</v>
      </c>
      <c r="K110" s="57" t="str">
        <f>IFERROR(tbl_PEM[[#This Row],[Qty Required]]/tbl_PEM[[#This Row],[PPH]]*tbl_PEM[[#This Row],['# of men]],"")</f>
        <v/>
      </c>
      <c r="L110" s="58" t="e">
        <f>tbl_PEM[[#This Row],[Total hours]]*tbl_PEM[[#This Row],[% Complete]]</f>
        <v>#VALUE!</v>
      </c>
      <c r="M110" s="59" t="str">
        <f>IFERROR(tbl_PEM[[#This Row],[Qty Complete]]/tbl_PEM[[#This Row],[Total Hours Act]]*tbl_PEM[[#This Row],['# of men Act]],"")</f>
        <v/>
      </c>
      <c r="O110"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10" s="71" t="str">
        <f>IFERROR((tbl_PEM[[#This Row],[Adj. Total Hours]]+tbl_PEM[[#This Row],[Est. Hours]])/(tbl_PEM[[#This Row],[Total Hours Act]]+tbl_PEM[[#This Row],[Act. Hours]]),"")</f>
        <v/>
      </c>
      <c r="S110" s="63"/>
      <c r="T110" s="63"/>
      <c r="U110" s="63"/>
      <c r="V110" s="63"/>
      <c r="W110" s="63"/>
    </row>
    <row r="111" spans="6:23" ht="25" customHeight="1">
      <c r="F111" s="53"/>
      <c r="H111" s="55" t="e">
        <f>tbl_PEM[[#This Row],[Qty Complete]]/tbl_PEM[[#This Row],[Qty Required]]</f>
        <v>#DIV/0!</v>
      </c>
      <c r="K111" s="57" t="str">
        <f>IFERROR(tbl_PEM[[#This Row],[Qty Required]]/tbl_PEM[[#This Row],[PPH]]*tbl_PEM[[#This Row],['# of men]],"")</f>
        <v/>
      </c>
      <c r="L111" s="58" t="e">
        <f>tbl_PEM[[#This Row],[Total hours]]*tbl_PEM[[#This Row],[% Complete]]</f>
        <v>#VALUE!</v>
      </c>
      <c r="M111" s="59" t="str">
        <f>IFERROR(tbl_PEM[[#This Row],[Qty Complete]]/tbl_PEM[[#This Row],[Total Hours Act]]*tbl_PEM[[#This Row],['# of men Act]],"")</f>
        <v/>
      </c>
      <c r="O111"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11" s="71" t="str">
        <f>IFERROR((tbl_PEM[[#This Row],[Adj. Total Hours]]+tbl_PEM[[#This Row],[Est. Hours]])/(tbl_PEM[[#This Row],[Total Hours Act]]+tbl_PEM[[#This Row],[Act. Hours]]),"")</f>
        <v/>
      </c>
      <c r="S111" s="63"/>
      <c r="T111" s="63"/>
      <c r="U111" s="63"/>
      <c r="V111" s="63"/>
      <c r="W111" s="63"/>
    </row>
    <row r="112" spans="6:23" ht="25" customHeight="1">
      <c r="F112" s="53"/>
      <c r="H112" s="55" t="e">
        <f>tbl_PEM[[#This Row],[Qty Complete]]/tbl_PEM[[#This Row],[Qty Required]]</f>
        <v>#DIV/0!</v>
      </c>
      <c r="K112" s="57" t="str">
        <f>IFERROR(tbl_PEM[[#This Row],[Qty Required]]/tbl_PEM[[#This Row],[PPH]]*tbl_PEM[[#This Row],['# of men]],"")</f>
        <v/>
      </c>
      <c r="L112" s="58" t="e">
        <f>tbl_PEM[[#This Row],[Total hours]]*tbl_PEM[[#This Row],[% Complete]]</f>
        <v>#VALUE!</v>
      </c>
      <c r="M112" s="59" t="str">
        <f>IFERROR(tbl_PEM[[#This Row],[Qty Complete]]/tbl_PEM[[#This Row],[Total Hours Act]]*tbl_PEM[[#This Row],['# of men Act]],"")</f>
        <v/>
      </c>
      <c r="O112"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12" s="71" t="str">
        <f>IFERROR((tbl_PEM[[#This Row],[Adj. Total Hours]]+tbl_PEM[[#This Row],[Est. Hours]])/(tbl_PEM[[#This Row],[Total Hours Act]]+tbl_PEM[[#This Row],[Act. Hours]]),"")</f>
        <v/>
      </c>
      <c r="S112" s="63"/>
      <c r="T112" s="63"/>
      <c r="U112" s="63"/>
      <c r="V112" s="63"/>
      <c r="W112" s="63"/>
    </row>
    <row r="113" spans="6:23" ht="25" customHeight="1">
      <c r="F113" s="53"/>
      <c r="H113" s="55" t="e">
        <f>tbl_PEM[[#This Row],[Qty Complete]]/tbl_PEM[[#This Row],[Qty Required]]</f>
        <v>#DIV/0!</v>
      </c>
      <c r="K113" s="57" t="str">
        <f>IFERROR(tbl_PEM[[#This Row],[Qty Required]]/tbl_PEM[[#This Row],[PPH]]*tbl_PEM[[#This Row],['# of men]],"")</f>
        <v/>
      </c>
      <c r="L113" s="58" t="e">
        <f>tbl_PEM[[#This Row],[Total hours]]*tbl_PEM[[#This Row],[% Complete]]</f>
        <v>#VALUE!</v>
      </c>
      <c r="M113" s="59" t="str">
        <f>IFERROR(tbl_PEM[[#This Row],[Qty Complete]]/tbl_PEM[[#This Row],[Total Hours Act]]*tbl_PEM[[#This Row],['# of men Act]],"")</f>
        <v/>
      </c>
      <c r="O113"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13" s="71" t="str">
        <f>IFERROR((tbl_PEM[[#This Row],[Adj. Total Hours]]+tbl_PEM[[#This Row],[Est. Hours]])/(tbl_PEM[[#This Row],[Total Hours Act]]+tbl_PEM[[#This Row],[Act. Hours]]),"")</f>
        <v/>
      </c>
      <c r="S113" s="63"/>
      <c r="T113" s="63"/>
      <c r="U113" s="63"/>
      <c r="V113" s="63"/>
      <c r="W113" s="63"/>
    </row>
    <row r="114" spans="6:23" ht="25" customHeight="1">
      <c r="F114" s="53"/>
      <c r="H114" s="55" t="e">
        <f>tbl_PEM[[#This Row],[Qty Complete]]/tbl_PEM[[#This Row],[Qty Required]]</f>
        <v>#DIV/0!</v>
      </c>
      <c r="K114" s="57" t="str">
        <f>IFERROR(tbl_PEM[[#This Row],[Qty Required]]/tbl_PEM[[#This Row],[PPH]]*tbl_PEM[[#This Row],['# of men]],"")</f>
        <v/>
      </c>
      <c r="L114" s="58" t="e">
        <f>tbl_PEM[[#This Row],[Total hours]]*tbl_PEM[[#This Row],[% Complete]]</f>
        <v>#VALUE!</v>
      </c>
      <c r="M114" s="59" t="str">
        <f>IFERROR(tbl_PEM[[#This Row],[Qty Complete]]/tbl_PEM[[#This Row],[Total Hours Act]]*tbl_PEM[[#This Row],['# of men Act]],"")</f>
        <v/>
      </c>
      <c r="O114"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14" s="71" t="str">
        <f>IFERROR((tbl_PEM[[#This Row],[Adj. Total Hours]]+tbl_PEM[[#This Row],[Est. Hours]])/(tbl_PEM[[#This Row],[Total Hours Act]]+tbl_PEM[[#This Row],[Act. Hours]]),"")</f>
        <v/>
      </c>
      <c r="S114" s="63"/>
      <c r="T114" s="63"/>
      <c r="U114" s="63"/>
      <c r="V114" s="63"/>
      <c r="W114" s="63"/>
    </row>
    <row r="115" spans="6:23" ht="25" customHeight="1">
      <c r="F115" s="53"/>
      <c r="H115" s="55" t="e">
        <f>tbl_PEM[[#This Row],[Qty Complete]]/tbl_PEM[[#This Row],[Qty Required]]</f>
        <v>#DIV/0!</v>
      </c>
      <c r="K115" s="57" t="str">
        <f>IFERROR(tbl_PEM[[#This Row],[Qty Required]]/tbl_PEM[[#This Row],[PPH]]*tbl_PEM[[#This Row],['# of men]],"")</f>
        <v/>
      </c>
      <c r="L115" s="58" t="e">
        <f>tbl_PEM[[#This Row],[Total hours]]*tbl_PEM[[#This Row],[% Complete]]</f>
        <v>#VALUE!</v>
      </c>
      <c r="M115" s="59" t="str">
        <f>IFERROR(tbl_PEM[[#This Row],[Qty Complete]]/tbl_PEM[[#This Row],[Total Hours Act]]*tbl_PEM[[#This Row],['# of men Act]],"")</f>
        <v/>
      </c>
      <c r="O115"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15" s="71" t="str">
        <f>IFERROR((tbl_PEM[[#This Row],[Adj. Total Hours]]+tbl_PEM[[#This Row],[Est. Hours]])/(tbl_PEM[[#This Row],[Total Hours Act]]+tbl_PEM[[#This Row],[Act. Hours]]),"")</f>
        <v/>
      </c>
      <c r="S115" s="63"/>
      <c r="T115" s="63"/>
      <c r="U115" s="63"/>
      <c r="V115" s="63"/>
      <c r="W115" s="63"/>
    </row>
    <row r="116" spans="6:23" ht="25" customHeight="1">
      <c r="F116" s="53"/>
      <c r="H116" s="55" t="e">
        <f>tbl_PEM[[#This Row],[Qty Complete]]/tbl_PEM[[#This Row],[Qty Required]]</f>
        <v>#DIV/0!</v>
      </c>
      <c r="K116" s="57" t="str">
        <f>IFERROR(tbl_PEM[[#This Row],[Qty Required]]/tbl_PEM[[#This Row],[PPH]]*tbl_PEM[[#This Row],['# of men]],"")</f>
        <v/>
      </c>
      <c r="L116" s="58" t="e">
        <f>tbl_PEM[[#This Row],[Total hours]]*tbl_PEM[[#This Row],[% Complete]]</f>
        <v>#VALUE!</v>
      </c>
      <c r="M116" s="59" t="str">
        <f>IFERROR(tbl_PEM[[#This Row],[Qty Complete]]/tbl_PEM[[#This Row],[Total Hours Act]]*tbl_PEM[[#This Row],['# of men Act]],"")</f>
        <v/>
      </c>
      <c r="O116"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16" s="71" t="str">
        <f>IFERROR((tbl_PEM[[#This Row],[Adj. Total Hours]]+tbl_PEM[[#This Row],[Est. Hours]])/(tbl_PEM[[#This Row],[Total Hours Act]]+tbl_PEM[[#This Row],[Act. Hours]]),"")</f>
        <v/>
      </c>
      <c r="S116" s="63"/>
      <c r="T116" s="63"/>
      <c r="U116" s="63"/>
      <c r="V116" s="63"/>
      <c r="W116" s="63"/>
    </row>
    <row r="117" spans="6:23" ht="25" customHeight="1">
      <c r="F117" s="53"/>
      <c r="H117" s="55" t="e">
        <f>tbl_PEM[[#This Row],[Qty Complete]]/tbl_PEM[[#This Row],[Qty Required]]</f>
        <v>#DIV/0!</v>
      </c>
      <c r="K117" s="57" t="str">
        <f>IFERROR(tbl_PEM[[#This Row],[Qty Required]]/tbl_PEM[[#This Row],[PPH]]*tbl_PEM[[#This Row],['# of men]],"")</f>
        <v/>
      </c>
      <c r="L117" s="58" t="e">
        <f>tbl_PEM[[#This Row],[Total hours]]*tbl_PEM[[#This Row],[% Complete]]</f>
        <v>#VALUE!</v>
      </c>
      <c r="M117" s="59" t="str">
        <f>IFERROR(tbl_PEM[[#This Row],[Qty Complete]]/tbl_PEM[[#This Row],[Total Hours Act]]*tbl_PEM[[#This Row],['# of men Act]],"")</f>
        <v/>
      </c>
      <c r="O117"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17" s="71" t="str">
        <f>IFERROR((tbl_PEM[[#This Row],[Adj. Total Hours]]+tbl_PEM[[#This Row],[Est. Hours]])/(tbl_PEM[[#This Row],[Total Hours Act]]+tbl_PEM[[#This Row],[Act. Hours]]),"")</f>
        <v/>
      </c>
      <c r="S117" s="63"/>
      <c r="T117" s="63"/>
      <c r="U117" s="63"/>
      <c r="V117" s="63"/>
      <c r="W117" s="63"/>
    </row>
    <row r="118" spans="6:23" ht="25" customHeight="1">
      <c r="F118" s="53"/>
      <c r="H118" s="55" t="e">
        <f>tbl_PEM[[#This Row],[Qty Complete]]/tbl_PEM[[#This Row],[Qty Required]]</f>
        <v>#DIV/0!</v>
      </c>
      <c r="K118" s="57" t="str">
        <f>IFERROR(tbl_PEM[[#This Row],[Qty Required]]/tbl_PEM[[#This Row],[PPH]]*tbl_PEM[[#This Row],['# of men]],"")</f>
        <v/>
      </c>
      <c r="L118" s="58" t="e">
        <f>tbl_PEM[[#This Row],[Total hours]]*tbl_PEM[[#This Row],[% Complete]]</f>
        <v>#VALUE!</v>
      </c>
      <c r="M118" s="59" t="str">
        <f>IFERROR(tbl_PEM[[#This Row],[Qty Complete]]/tbl_PEM[[#This Row],[Total Hours Act]]*tbl_PEM[[#This Row],['# of men Act]],"")</f>
        <v/>
      </c>
      <c r="O118"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18" s="71" t="str">
        <f>IFERROR((tbl_PEM[[#This Row],[Adj. Total Hours]]+tbl_PEM[[#This Row],[Est. Hours]])/(tbl_PEM[[#This Row],[Total Hours Act]]+tbl_PEM[[#This Row],[Act. Hours]]),"")</f>
        <v/>
      </c>
      <c r="S118" s="63"/>
      <c r="T118" s="63"/>
      <c r="U118" s="63"/>
      <c r="V118" s="63"/>
      <c r="W118" s="63"/>
    </row>
    <row r="119" spans="6:23" ht="25" customHeight="1">
      <c r="F119" s="53"/>
      <c r="H119" s="55" t="e">
        <f>tbl_PEM[[#This Row],[Qty Complete]]/tbl_PEM[[#This Row],[Qty Required]]</f>
        <v>#DIV/0!</v>
      </c>
      <c r="K119" s="57" t="str">
        <f>IFERROR(tbl_PEM[[#This Row],[Qty Required]]/tbl_PEM[[#This Row],[PPH]]*tbl_PEM[[#This Row],['# of men]],"")</f>
        <v/>
      </c>
      <c r="L119" s="58" t="e">
        <f>tbl_PEM[[#This Row],[Total hours]]*tbl_PEM[[#This Row],[% Complete]]</f>
        <v>#VALUE!</v>
      </c>
      <c r="M119" s="59" t="str">
        <f>IFERROR(tbl_PEM[[#This Row],[Qty Complete]]/tbl_PEM[[#This Row],[Total Hours Act]]*tbl_PEM[[#This Row],['# of men Act]],"")</f>
        <v/>
      </c>
      <c r="O119"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19" s="71" t="str">
        <f>IFERROR((tbl_PEM[[#This Row],[Adj. Total Hours]]+tbl_PEM[[#This Row],[Est. Hours]])/(tbl_PEM[[#This Row],[Total Hours Act]]+tbl_PEM[[#This Row],[Act. Hours]]),"")</f>
        <v/>
      </c>
      <c r="S119" s="63"/>
      <c r="T119" s="63"/>
      <c r="U119" s="63"/>
      <c r="V119" s="63"/>
      <c r="W119" s="63"/>
    </row>
    <row r="120" spans="6:23" ht="25" customHeight="1">
      <c r="F120" s="53"/>
      <c r="H120" s="55" t="e">
        <f>tbl_PEM[[#This Row],[Qty Complete]]/tbl_PEM[[#This Row],[Qty Required]]</f>
        <v>#DIV/0!</v>
      </c>
      <c r="K120" s="57" t="str">
        <f>IFERROR(tbl_PEM[[#This Row],[Qty Required]]/tbl_PEM[[#This Row],[PPH]]*tbl_PEM[[#This Row],['# of men]],"")</f>
        <v/>
      </c>
      <c r="L120" s="58" t="e">
        <f>tbl_PEM[[#This Row],[Total hours]]*tbl_PEM[[#This Row],[% Complete]]</f>
        <v>#VALUE!</v>
      </c>
      <c r="M120" s="59" t="str">
        <f>IFERROR(tbl_PEM[[#This Row],[Qty Complete]]/tbl_PEM[[#This Row],[Total Hours Act]]*tbl_PEM[[#This Row],['# of men Act]],"")</f>
        <v/>
      </c>
      <c r="O120"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20" s="71" t="str">
        <f>IFERROR((tbl_PEM[[#This Row],[Adj. Total Hours]]+tbl_PEM[[#This Row],[Est. Hours]])/(tbl_PEM[[#This Row],[Total Hours Act]]+tbl_PEM[[#This Row],[Act. Hours]]),"")</f>
        <v/>
      </c>
      <c r="S120" s="63"/>
      <c r="T120" s="63"/>
      <c r="U120" s="63"/>
      <c r="V120" s="63"/>
      <c r="W120" s="63"/>
    </row>
    <row r="121" spans="6:23" ht="25" customHeight="1">
      <c r="F121" s="53"/>
      <c r="H121" s="55" t="e">
        <f>tbl_PEM[[#This Row],[Qty Complete]]/tbl_PEM[[#This Row],[Qty Required]]</f>
        <v>#DIV/0!</v>
      </c>
      <c r="K121" s="57" t="str">
        <f>IFERROR(tbl_PEM[[#This Row],[Qty Required]]/tbl_PEM[[#This Row],[PPH]]*tbl_PEM[[#This Row],['# of men]],"")</f>
        <v/>
      </c>
      <c r="L121" s="58" t="e">
        <f>tbl_PEM[[#This Row],[Total hours]]*tbl_PEM[[#This Row],[% Complete]]</f>
        <v>#VALUE!</v>
      </c>
      <c r="M121" s="59" t="str">
        <f>IFERROR(tbl_PEM[[#This Row],[Qty Complete]]/tbl_PEM[[#This Row],[Total Hours Act]]*tbl_PEM[[#This Row],['# of men Act]],"")</f>
        <v/>
      </c>
      <c r="O121"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21" s="71" t="str">
        <f>IFERROR((tbl_PEM[[#This Row],[Adj. Total Hours]]+tbl_PEM[[#This Row],[Est. Hours]])/(tbl_PEM[[#This Row],[Total Hours Act]]+tbl_PEM[[#This Row],[Act. Hours]]),"")</f>
        <v/>
      </c>
      <c r="S121" s="63"/>
      <c r="T121" s="63"/>
      <c r="U121" s="63"/>
      <c r="V121" s="63"/>
      <c r="W121" s="63"/>
    </row>
    <row r="122" spans="6:23" ht="25" customHeight="1">
      <c r="F122" s="53"/>
      <c r="H122" s="55" t="e">
        <f>tbl_PEM[[#This Row],[Qty Complete]]/tbl_PEM[[#This Row],[Qty Required]]</f>
        <v>#DIV/0!</v>
      </c>
      <c r="K122" s="57" t="str">
        <f>IFERROR(tbl_PEM[[#This Row],[Qty Required]]/tbl_PEM[[#This Row],[PPH]]*tbl_PEM[[#This Row],['# of men]],"")</f>
        <v/>
      </c>
      <c r="L122" s="58" t="e">
        <f>tbl_PEM[[#This Row],[Total hours]]*tbl_PEM[[#This Row],[% Complete]]</f>
        <v>#VALUE!</v>
      </c>
      <c r="M122" s="59" t="str">
        <f>IFERROR(tbl_PEM[[#This Row],[Qty Complete]]/tbl_PEM[[#This Row],[Total Hours Act]]*tbl_PEM[[#This Row],['# of men Act]],"")</f>
        <v/>
      </c>
      <c r="O122"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22" s="71" t="str">
        <f>IFERROR((tbl_PEM[[#This Row],[Adj. Total Hours]]+tbl_PEM[[#This Row],[Est. Hours]])/(tbl_PEM[[#This Row],[Total Hours Act]]+tbl_PEM[[#This Row],[Act. Hours]]),"")</f>
        <v/>
      </c>
      <c r="S122" s="63"/>
      <c r="T122" s="63"/>
      <c r="U122" s="63"/>
      <c r="V122" s="63"/>
      <c r="W122" s="63"/>
    </row>
    <row r="123" spans="6:23" ht="25" customHeight="1">
      <c r="F123" s="53"/>
      <c r="H123" s="55" t="e">
        <f>tbl_PEM[[#This Row],[Qty Complete]]/tbl_PEM[[#This Row],[Qty Required]]</f>
        <v>#DIV/0!</v>
      </c>
      <c r="K123" s="57" t="str">
        <f>IFERROR(tbl_PEM[[#This Row],[Qty Required]]/tbl_PEM[[#This Row],[PPH]]*tbl_PEM[[#This Row],['# of men]],"")</f>
        <v/>
      </c>
      <c r="L123" s="58" t="e">
        <f>tbl_PEM[[#This Row],[Total hours]]*tbl_PEM[[#This Row],[% Complete]]</f>
        <v>#VALUE!</v>
      </c>
      <c r="M123" s="59" t="str">
        <f>IFERROR(tbl_PEM[[#This Row],[Qty Complete]]/tbl_PEM[[#This Row],[Total Hours Act]]*tbl_PEM[[#This Row],['# of men Act]],"")</f>
        <v/>
      </c>
      <c r="O123"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23" s="71" t="str">
        <f>IFERROR((tbl_PEM[[#This Row],[Adj. Total Hours]]+tbl_PEM[[#This Row],[Est. Hours]])/(tbl_PEM[[#This Row],[Total Hours Act]]+tbl_PEM[[#This Row],[Act. Hours]]),"")</f>
        <v/>
      </c>
      <c r="S123" s="63"/>
      <c r="T123" s="63"/>
      <c r="U123" s="63"/>
      <c r="V123" s="63"/>
      <c r="W123" s="63"/>
    </row>
    <row r="124" spans="6:23" ht="25" customHeight="1">
      <c r="F124" s="53"/>
      <c r="H124" s="55" t="e">
        <f>tbl_PEM[[#This Row],[Qty Complete]]/tbl_PEM[[#This Row],[Qty Required]]</f>
        <v>#DIV/0!</v>
      </c>
      <c r="K124" s="57" t="str">
        <f>IFERROR(tbl_PEM[[#This Row],[Qty Required]]/tbl_PEM[[#This Row],[PPH]]*tbl_PEM[[#This Row],['# of men]],"")</f>
        <v/>
      </c>
      <c r="L124" s="58" t="e">
        <f>tbl_PEM[[#This Row],[Total hours]]*tbl_PEM[[#This Row],[% Complete]]</f>
        <v>#VALUE!</v>
      </c>
      <c r="M124" s="59" t="str">
        <f>IFERROR(tbl_PEM[[#This Row],[Qty Complete]]/tbl_PEM[[#This Row],[Total Hours Act]]*tbl_PEM[[#This Row],['# of men Act]],"")</f>
        <v/>
      </c>
      <c r="O124"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24" s="71" t="str">
        <f>IFERROR((tbl_PEM[[#This Row],[Adj. Total Hours]]+tbl_PEM[[#This Row],[Est. Hours]])/(tbl_PEM[[#This Row],[Total Hours Act]]+tbl_PEM[[#This Row],[Act. Hours]]),"")</f>
        <v/>
      </c>
      <c r="S124" s="63"/>
      <c r="T124" s="63"/>
      <c r="U124" s="63"/>
      <c r="V124" s="63"/>
      <c r="W124" s="63"/>
    </row>
    <row r="125" spans="6:23" ht="25" customHeight="1">
      <c r="F125" s="53"/>
      <c r="H125" s="55" t="e">
        <f>tbl_PEM[[#This Row],[Qty Complete]]/tbl_PEM[[#This Row],[Qty Required]]</f>
        <v>#DIV/0!</v>
      </c>
      <c r="K125" s="57" t="str">
        <f>IFERROR(tbl_PEM[[#This Row],[Qty Required]]/tbl_PEM[[#This Row],[PPH]]*tbl_PEM[[#This Row],['# of men]],"")</f>
        <v/>
      </c>
      <c r="L125" s="58" t="e">
        <f>tbl_PEM[[#This Row],[Total hours]]*tbl_PEM[[#This Row],[% Complete]]</f>
        <v>#VALUE!</v>
      </c>
      <c r="M125" s="59" t="str">
        <f>IFERROR(tbl_PEM[[#This Row],[Qty Complete]]/tbl_PEM[[#This Row],[Total Hours Act]]*tbl_PEM[[#This Row],['# of men Act]],"")</f>
        <v/>
      </c>
      <c r="O125"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25" s="71" t="str">
        <f>IFERROR((tbl_PEM[[#This Row],[Adj. Total Hours]]+tbl_PEM[[#This Row],[Est. Hours]])/(tbl_PEM[[#This Row],[Total Hours Act]]+tbl_PEM[[#This Row],[Act. Hours]]),"")</f>
        <v/>
      </c>
      <c r="S125" s="63"/>
      <c r="T125" s="63"/>
      <c r="U125" s="63"/>
      <c r="V125" s="63"/>
      <c r="W125" s="63"/>
    </row>
    <row r="126" spans="6:23" ht="25" customHeight="1">
      <c r="F126" s="53"/>
      <c r="H126" s="55" t="e">
        <f>tbl_PEM[[#This Row],[Qty Complete]]/tbl_PEM[[#This Row],[Qty Required]]</f>
        <v>#DIV/0!</v>
      </c>
      <c r="K126" s="57" t="str">
        <f>IFERROR(tbl_PEM[[#This Row],[Qty Required]]/tbl_PEM[[#This Row],[PPH]]*tbl_PEM[[#This Row],['# of men]],"")</f>
        <v/>
      </c>
      <c r="L126" s="58" t="e">
        <f>tbl_PEM[[#This Row],[Total hours]]*tbl_PEM[[#This Row],[% Complete]]</f>
        <v>#VALUE!</v>
      </c>
      <c r="M126" s="59" t="str">
        <f>IFERROR(tbl_PEM[[#This Row],[Qty Complete]]/tbl_PEM[[#This Row],[Total Hours Act]]*tbl_PEM[[#This Row],['# of men Act]],"")</f>
        <v/>
      </c>
      <c r="O126"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26" s="71" t="str">
        <f>IFERROR((tbl_PEM[[#This Row],[Adj. Total Hours]]+tbl_PEM[[#This Row],[Est. Hours]])/(tbl_PEM[[#This Row],[Total Hours Act]]+tbl_PEM[[#This Row],[Act. Hours]]),"")</f>
        <v/>
      </c>
      <c r="S126" s="63"/>
      <c r="T126" s="63"/>
      <c r="U126" s="63"/>
      <c r="V126" s="63"/>
      <c r="W126" s="63"/>
    </row>
    <row r="127" spans="6:23" ht="25" customHeight="1">
      <c r="F127" s="53"/>
      <c r="H127" s="55" t="e">
        <f>tbl_PEM[[#This Row],[Qty Complete]]/tbl_PEM[[#This Row],[Qty Required]]</f>
        <v>#DIV/0!</v>
      </c>
      <c r="K127" s="57" t="str">
        <f>IFERROR(tbl_PEM[[#This Row],[Qty Required]]/tbl_PEM[[#This Row],[PPH]]*tbl_PEM[[#This Row],['# of men]],"")</f>
        <v/>
      </c>
      <c r="L127" s="58" t="e">
        <f>tbl_PEM[[#This Row],[Total hours]]*tbl_PEM[[#This Row],[% Complete]]</f>
        <v>#VALUE!</v>
      </c>
      <c r="M127" s="59" t="str">
        <f>IFERROR(tbl_PEM[[#This Row],[Qty Complete]]/tbl_PEM[[#This Row],[Total Hours Act]]*tbl_PEM[[#This Row],['# of men Act]],"")</f>
        <v/>
      </c>
      <c r="O127"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27" s="71" t="str">
        <f>IFERROR((tbl_PEM[[#This Row],[Adj. Total Hours]]+tbl_PEM[[#This Row],[Est. Hours]])/(tbl_PEM[[#This Row],[Total Hours Act]]+tbl_PEM[[#This Row],[Act. Hours]]),"")</f>
        <v/>
      </c>
      <c r="S127" s="63"/>
      <c r="T127" s="63"/>
      <c r="U127" s="63"/>
      <c r="V127" s="63"/>
      <c r="W127" s="63"/>
    </row>
    <row r="128" spans="6:23" ht="25" customHeight="1">
      <c r="F128" s="53"/>
      <c r="H128" s="55" t="e">
        <f>tbl_PEM[[#This Row],[Qty Complete]]/tbl_PEM[[#This Row],[Qty Required]]</f>
        <v>#DIV/0!</v>
      </c>
      <c r="K128" s="57" t="str">
        <f>IFERROR(tbl_PEM[[#This Row],[Qty Required]]/tbl_PEM[[#This Row],[PPH]]*tbl_PEM[[#This Row],['# of men]],"")</f>
        <v/>
      </c>
      <c r="L128" s="58" t="e">
        <f>tbl_PEM[[#This Row],[Total hours]]*tbl_PEM[[#This Row],[% Complete]]</f>
        <v>#VALUE!</v>
      </c>
      <c r="M128" s="59" t="str">
        <f>IFERROR(tbl_PEM[[#This Row],[Qty Complete]]/tbl_PEM[[#This Row],[Total Hours Act]]*tbl_PEM[[#This Row],['# of men Act]],"")</f>
        <v/>
      </c>
      <c r="O128"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28" s="71" t="str">
        <f>IFERROR((tbl_PEM[[#This Row],[Adj. Total Hours]]+tbl_PEM[[#This Row],[Est. Hours]])/(tbl_PEM[[#This Row],[Total Hours Act]]+tbl_PEM[[#This Row],[Act. Hours]]),"")</f>
        <v/>
      </c>
      <c r="S128" s="63"/>
      <c r="T128" s="63"/>
      <c r="U128" s="63"/>
      <c r="V128" s="63"/>
      <c r="W128" s="63"/>
    </row>
    <row r="129" spans="6:23" ht="25" customHeight="1">
      <c r="F129" s="53"/>
      <c r="H129" s="55" t="e">
        <f>tbl_PEM[[#This Row],[Qty Complete]]/tbl_PEM[[#This Row],[Qty Required]]</f>
        <v>#DIV/0!</v>
      </c>
      <c r="K129" s="57" t="str">
        <f>IFERROR(tbl_PEM[[#This Row],[Qty Required]]/tbl_PEM[[#This Row],[PPH]]*tbl_PEM[[#This Row],['# of men]],"")</f>
        <v/>
      </c>
      <c r="L129" s="58" t="e">
        <f>tbl_PEM[[#This Row],[Total hours]]*tbl_PEM[[#This Row],[% Complete]]</f>
        <v>#VALUE!</v>
      </c>
      <c r="M129" s="59" t="str">
        <f>IFERROR(tbl_PEM[[#This Row],[Qty Complete]]/tbl_PEM[[#This Row],[Total Hours Act]]*tbl_PEM[[#This Row],['# of men Act]],"")</f>
        <v/>
      </c>
      <c r="O129"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29" s="71" t="str">
        <f>IFERROR((tbl_PEM[[#This Row],[Adj. Total Hours]]+tbl_PEM[[#This Row],[Est. Hours]])/(tbl_PEM[[#This Row],[Total Hours Act]]+tbl_PEM[[#This Row],[Act. Hours]]),"")</f>
        <v/>
      </c>
      <c r="S129" s="63"/>
      <c r="T129" s="63"/>
      <c r="U129" s="63"/>
      <c r="V129" s="63"/>
      <c r="W129" s="63"/>
    </row>
    <row r="130" spans="6:23" ht="25" customHeight="1">
      <c r="F130" s="53"/>
      <c r="H130" s="55" t="e">
        <f>tbl_PEM[[#This Row],[Qty Complete]]/tbl_PEM[[#This Row],[Qty Required]]</f>
        <v>#DIV/0!</v>
      </c>
      <c r="K130" s="57" t="str">
        <f>IFERROR(tbl_PEM[[#This Row],[Qty Required]]/tbl_PEM[[#This Row],[PPH]]*tbl_PEM[[#This Row],['# of men]],"")</f>
        <v/>
      </c>
      <c r="L130" s="58" t="e">
        <f>tbl_PEM[[#This Row],[Total hours]]*tbl_PEM[[#This Row],[% Complete]]</f>
        <v>#VALUE!</v>
      </c>
      <c r="M130" s="59" t="str">
        <f>IFERROR(tbl_PEM[[#This Row],[Qty Complete]]/tbl_PEM[[#This Row],[Total Hours Act]]*tbl_PEM[[#This Row],['# of men Act]],"")</f>
        <v/>
      </c>
      <c r="O130"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30" s="71" t="str">
        <f>IFERROR((tbl_PEM[[#This Row],[Adj. Total Hours]]+tbl_PEM[[#This Row],[Est. Hours]])/(tbl_PEM[[#This Row],[Total Hours Act]]+tbl_PEM[[#This Row],[Act. Hours]]),"")</f>
        <v/>
      </c>
      <c r="S130" s="63"/>
      <c r="T130" s="63"/>
      <c r="U130" s="63"/>
      <c r="V130" s="63"/>
      <c r="W130" s="63"/>
    </row>
    <row r="131" spans="6:23" ht="25" customHeight="1">
      <c r="F131" s="53"/>
      <c r="H131" s="55" t="e">
        <f>tbl_PEM[[#This Row],[Qty Complete]]/tbl_PEM[[#This Row],[Qty Required]]</f>
        <v>#DIV/0!</v>
      </c>
      <c r="K131" s="57" t="str">
        <f>IFERROR(tbl_PEM[[#This Row],[Qty Required]]/tbl_PEM[[#This Row],[PPH]]*tbl_PEM[[#This Row],['# of men]],"")</f>
        <v/>
      </c>
      <c r="L131" s="58" t="e">
        <f>tbl_PEM[[#This Row],[Total hours]]*tbl_PEM[[#This Row],[% Complete]]</f>
        <v>#VALUE!</v>
      </c>
      <c r="M131" s="59" t="str">
        <f>IFERROR(tbl_PEM[[#This Row],[Qty Complete]]/tbl_PEM[[#This Row],[Total Hours Act]]*tbl_PEM[[#This Row],['# of men Act]],"")</f>
        <v/>
      </c>
      <c r="O131"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31" s="71" t="str">
        <f>IFERROR((tbl_PEM[[#This Row],[Adj. Total Hours]]+tbl_PEM[[#This Row],[Est. Hours]])/(tbl_PEM[[#This Row],[Total Hours Act]]+tbl_PEM[[#This Row],[Act. Hours]]),"")</f>
        <v/>
      </c>
      <c r="S131" s="63"/>
      <c r="T131" s="63"/>
      <c r="U131" s="63"/>
      <c r="V131" s="63"/>
      <c r="W131" s="63"/>
    </row>
    <row r="132" spans="6:23" ht="25" customHeight="1">
      <c r="F132" s="53"/>
      <c r="H132" s="55" t="e">
        <f>tbl_PEM[[#This Row],[Qty Complete]]/tbl_PEM[[#This Row],[Qty Required]]</f>
        <v>#DIV/0!</v>
      </c>
      <c r="K132" s="57" t="str">
        <f>IFERROR(tbl_PEM[[#This Row],[Qty Required]]/tbl_PEM[[#This Row],[PPH]]*tbl_PEM[[#This Row],['# of men]],"")</f>
        <v/>
      </c>
      <c r="L132" s="58" t="e">
        <f>tbl_PEM[[#This Row],[Total hours]]*tbl_PEM[[#This Row],[% Complete]]</f>
        <v>#VALUE!</v>
      </c>
      <c r="M132" s="59" t="str">
        <f>IFERROR(tbl_PEM[[#This Row],[Qty Complete]]/tbl_PEM[[#This Row],[Total Hours Act]]*tbl_PEM[[#This Row],['# of men Act]],"")</f>
        <v/>
      </c>
      <c r="O132"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32" s="71" t="str">
        <f>IFERROR((tbl_PEM[[#This Row],[Adj. Total Hours]]+tbl_PEM[[#This Row],[Est. Hours]])/(tbl_PEM[[#This Row],[Total Hours Act]]+tbl_PEM[[#This Row],[Act. Hours]]),"")</f>
        <v/>
      </c>
      <c r="S132" s="63"/>
      <c r="T132" s="63"/>
      <c r="U132" s="63"/>
      <c r="V132" s="63"/>
      <c r="W132" s="63"/>
    </row>
    <row r="133" spans="6:23" ht="25" customHeight="1">
      <c r="F133" s="53"/>
      <c r="H133" s="55" t="e">
        <f>tbl_PEM[[#This Row],[Qty Complete]]/tbl_PEM[[#This Row],[Qty Required]]</f>
        <v>#DIV/0!</v>
      </c>
      <c r="K133" s="57" t="str">
        <f>IFERROR(tbl_PEM[[#This Row],[Qty Required]]/tbl_PEM[[#This Row],[PPH]]*tbl_PEM[[#This Row],['# of men]],"")</f>
        <v/>
      </c>
      <c r="L133" s="58" t="e">
        <f>tbl_PEM[[#This Row],[Total hours]]*tbl_PEM[[#This Row],[% Complete]]</f>
        <v>#VALUE!</v>
      </c>
      <c r="M133" s="59" t="str">
        <f>IFERROR(tbl_PEM[[#This Row],[Qty Complete]]/tbl_PEM[[#This Row],[Total Hours Act]]*tbl_PEM[[#This Row],['# of men Act]],"")</f>
        <v/>
      </c>
      <c r="O133"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33" s="71" t="str">
        <f>IFERROR((tbl_PEM[[#This Row],[Adj. Total Hours]]+tbl_PEM[[#This Row],[Est. Hours]])/(tbl_PEM[[#This Row],[Total Hours Act]]+tbl_PEM[[#This Row],[Act. Hours]]),"")</f>
        <v/>
      </c>
      <c r="S133" s="63"/>
      <c r="T133" s="63"/>
      <c r="U133" s="63"/>
      <c r="V133" s="63"/>
      <c r="W133" s="63"/>
    </row>
    <row r="134" spans="6:23" ht="25" customHeight="1">
      <c r="F134" s="53"/>
      <c r="H134" s="55" t="e">
        <f>tbl_PEM[[#This Row],[Qty Complete]]/tbl_PEM[[#This Row],[Qty Required]]</f>
        <v>#DIV/0!</v>
      </c>
      <c r="K134" s="57" t="str">
        <f>IFERROR(tbl_PEM[[#This Row],[Qty Required]]/tbl_PEM[[#This Row],[PPH]]*tbl_PEM[[#This Row],['# of men]],"")</f>
        <v/>
      </c>
      <c r="L134" s="58" t="e">
        <f>tbl_PEM[[#This Row],[Total hours]]*tbl_PEM[[#This Row],[% Complete]]</f>
        <v>#VALUE!</v>
      </c>
      <c r="M134" s="59" t="str">
        <f>IFERROR(tbl_PEM[[#This Row],[Qty Complete]]/tbl_PEM[[#This Row],[Total Hours Act]]*tbl_PEM[[#This Row],['# of men Act]],"")</f>
        <v/>
      </c>
      <c r="O134"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34" s="71" t="str">
        <f>IFERROR((tbl_PEM[[#This Row],[Adj. Total Hours]]+tbl_PEM[[#This Row],[Est. Hours]])/(tbl_PEM[[#This Row],[Total Hours Act]]+tbl_PEM[[#This Row],[Act. Hours]]),"")</f>
        <v/>
      </c>
      <c r="S134" s="63"/>
      <c r="T134" s="63"/>
      <c r="U134" s="63"/>
      <c r="V134" s="63"/>
      <c r="W134" s="63"/>
    </row>
    <row r="135" spans="6:23" ht="25" customHeight="1">
      <c r="F135" s="53"/>
      <c r="H135" s="55" t="e">
        <f>tbl_PEM[[#This Row],[Qty Complete]]/tbl_PEM[[#This Row],[Qty Required]]</f>
        <v>#DIV/0!</v>
      </c>
      <c r="K135" s="57" t="str">
        <f>IFERROR(tbl_PEM[[#This Row],[Qty Required]]/tbl_PEM[[#This Row],[PPH]]*tbl_PEM[[#This Row],['# of men]],"")</f>
        <v/>
      </c>
      <c r="L135" s="58" t="e">
        <f>tbl_PEM[[#This Row],[Total hours]]*tbl_PEM[[#This Row],[% Complete]]</f>
        <v>#VALUE!</v>
      </c>
      <c r="M135" s="59" t="str">
        <f>IFERROR(tbl_PEM[[#This Row],[Qty Complete]]/tbl_PEM[[#This Row],[Total Hours Act]]*tbl_PEM[[#This Row],['# of men Act]],"")</f>
        <v/>
      </c>
      <c r="O135"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35" s="71" t="str">
        <f>IFERROR((tbl_PEM[[#This Row],[Adj. Total Hours]]+tbl_PEM[[#This Row],[Est. Hours]])/(tbl_PEM[[#This Row],[Total Hours Act]]+tbl_PEM[[#This Row],[Act. Hours]]),"")</f>
        <v/>
      </c>
      <c r="S135" s="63"/>
      <c r="T135" s="63"/>
      <c r="U135" s="63"/>
      <c r="V135" s="63"/>
      <c r="W135" s="63"/>
    </row>
    <row r="136" spans="6:23" ht="25" customHeight="1">
      <c r="F136" s="53"/>
      <c r="H136" s="55" t="e">
        <f>tbl_PEM[[#This Row],[Qty Complete]]/tbl_PEM[[#This Row],[Qty Required]]</f>
        <v>#DIV/0!</v>
      </c>
      <c r="K136" s="57" t="str">
        <f>IFERROR(tbl_PEM[[#This Row],[Qty Required]]/tbl_PEM[[#This Row],[PPH]]*tbl_PEM[[#This Row],['# of men]],"")</f>
        <v/>
      </c>
      <c r="L136" s="58" t="e">
        <f>tbl_PEM[[#This Row],[Total hours]]*tbl_PEM[[#This Row],[% Complete]]</f>
        <v>#VALUE!</v>
      </c>
      <c r="M136" s="59" t="str">
        <f>IFERROR(tbl_PEM[[#This Row],[Qty Complete]]/tbl_PEM[[#This Row],[Total Hours Act]]*tbl_PEM[[#This Row],['# of men Act]],"")</f>
        <v/>
      </c>
      <c r="O136"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36" s="71" t="str">
        <f>IFERROR((tbl_PEM[[#This Row],[Adj. Total Hours]]+tbl_PEM[[#This Row],[Est. Hours]])/(tbl_PEM[[#This Row],[Total Hours Act]]+tbl_PEM[[#This Row],[Act. Hours]]),"")</f>
        <v/>
      </c>
      <c r="S136" s="63"/>
      <c r="T136" s="63"/>
      <c r="U136" s="63"/>
      <c r="V136" s="63"/>
      <c r="W136" s="63"/>
    </row>
    <row r="137" spans="6:23" ht="25" customHeight="1">
      <c r="F137" s="53"/>
      <c r="H137" s="55" t="e">
        <f>tbl_PEM[[#This Row],[Qty Complete]]/tbl_PEM[[#This Row],[Qty Required]]</f>
        <v>#DIV/0!</v>
      </c>
      <c r="K137" s="57" t="str">
        <f>IFERROR(tbl_PEM[[#This Row],[Qty Required]]/tbl_PEM[[#This Row],[PPH]]*tbl_PEM[[#This Row],['# of men]],"")</f>
        <v/>
      </c>
      <c r="L137" s="58" t="e">
        <f>tbl_PEM[[#This Row],[Total hours]]*tbl_PEM[[#This Row],[% Complete]]</f>
        <v>#VALUE!</v>
      </c>
      <c r="M137" s="59" t="str">
        <f>IFERROR(tbl_PEM[[#This Row],[Qty Complete]]/tbl_PEM[[#This Row],[Total Hours Act]]*tbl_PEM[[#This Row],['# of men Act]],"")</f>
        <v/>
      </c>
      <c r="O137"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37" s="71" t="str">
        <f>IFERROR((tbl_PEM[[#This Row],[Adj. Total Hours]]+tbl_PEM[[#This Row],[Est. Hours]])/(tbl_PEM[[#This Row],[Total Hours Act]]+tbl_PEM[[#This Row],[Act. Hours]]),"")</f>
        <v/>
      </c>
      <c r="S137" s="63"/>
      <c r="T137" s="63"/>
      <c r="U137" s="63"/>
      <c r="V137" s="63"/>
      <c r="W137" s="63"/>
    </row>
    <row r="138" spans="6:23" ht="25" customHeight="1">
      <c r="F138" s="53"/>
      <c r="H138" s="55" t="e">
        <f>tbl_PEM[[#This Row],[Qty Complete]]/tbl_PEM[[#This Row],[Qty Required]]</f>
        <v>#DIV/0!</v>
      </c>
      <c r="K138" s="57" t="str">
        <f>IFERROR(tbl_PEM[[#This Row],[Qty Required]]/tbl_PEM[[#This Row],[PPH]]*tbl_PEM[[#This Row],['# of men]],"")</f>
        <v/>
      </c>
      <c r="L138" s="58" t="e">
        <f>tbl_PEM[[#This Row],[Total hours]]*tbl_PEM[[#This Row],[% Complete]]</f>
        <v>#VALUE!</v>
      </c>
      <c r="M138" s="59" t="str">
        <f>IFERROR(tbl_PEM[[#This Row],[Qty Complete]]/tbl_PEM[[#This Row],[Total Hours Act]]*tbl_PEM[[#This Row],['# of men Act]],"")</f>
        <v/>
      </c>
      <c r="O138"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38" s="71" t="str">
        <f>IFERROR((tbl_PEM[[#This Row],[Adj. Total Hours]]+tbl_PEM[[#This Row],[Est. Hours]])/(tbl_PEM[[#This Row],[Total Hours Act]]+tbl_PEM[[#This Row],[Act. Hours]]),"")</f>
        <v/>
      </c>
      <c r="S138" s="63"/>
      <c r="T138" s="63"/>
      <c r="U138" s="63"/>
      <c r="V138" s="63"/>
      <c r="W138" s="63"/>
    </row>
    <row r="139" spans="6:23" ht="25" customHeight="1">
      <c r="F139" s="53"/>
      <c r="H139" s="55" t="e">
        <f>tbl_PEM[[#This Row],[Qty Complete]]/tbl_PEM[[#This Row],[Qty Required]]</f>
        <v>#DIV/0!</v>
      </c>
      <c r="K139" s="57" t="str">
        <f>IFERROR(tbl_PEM[[#This Row],[Qty Required]]/tbl_PEM[[#This Row],[PPH]]*tbl_PEM[[#This Row],['# of men]],"")</f>
        <v/>
      </c>
      <c r="L139" s="58" t="e">
        <f>tbl_PEM[[#This Row],[Total hours]]*tbl_PEM[[#This Row],[% Complete]]</f>
        <v>#VALUE!</v>
      </c>
      <c r="M139" s="59" t="str">
        <f>IFERROR(tbl_PEM[[#This Row],[Qty Complete]]/tbl_PEM[[#This Row],[Total Hours Act]]*tbl_PEM[[#This Row],['# of men Act]],"")</f>
        <v/>
      </c>
      <c r="O139"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39" s="71" t="str">
        <f>IFERROR((tbl_PEM[[#This Row],[Adj. Total Hours]]+tbl_PEM[[#This Row],[Est. Hours]])/(tbl_PEM[[#This Row],[Total Hours Act]]+tbl_PEM[[#This Row],[Act. Hours]]),"")</f>
        <v/>
      </c>
      <c r="S139" s="63"/>
      <c r="T139" s="63"/>
      <c r="U139" s="63"/>
      <c r="V139" s="63"/>
      <c r="W139" s="63"/>
    </row>
    <row r="140" spans="6:23" ht="25" customHeight="1">
      <c r="F140" s="53"/>
      <c r="H140" s="55" t="e">
        <f>tbl_PEM[[#This Row],[Qty Complete]]/tbl_PEM[[#This Row],[Qty Required]]</f>
        <v>#DIV/0!</v>
      </c>
      <c r="K140" s="57" t="str">
        <f>IFERROR(tbl_PEM[[#This Row],[Qty Required]]/tbl_PEM[[#This Row],[PPH]]*tbl_PEM[[#This Row],['# of men]],"")</f>
        <v/>
      </c>
      <c r="L140" s="58" t="e">
        <f>tbl_PEM[[#This Row],[Total hours]]*tbl_PEM[[#This Row],[% Complete]]</f>
        <v>#VALUE!</v>
      </c>
      <c r="M140" s="59" t="str">
        <f>IFERROR(tbl_PEM[[#This Row],[Qty Complete]]/tbl_PEM[[#This Row],[Total Hours Act]]*tbl_PEM[[#This Row],['# of men Act]],"")</f>
        <v/>
      </c>
      <c r="O140"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40" s="71" t="str">
        <f>IFERROR((tbl_PEM[[#This Row],[Adj. Total Hours]]+tbl_PEM[[#This Row],[Est. Hours]])/(tbl_PEM[[#This Row],[Total Hours Act]]+tbl_PEM[[#This Row],[Act. Hours]]),"")</f>
        <v/>
      </c>
      <c r="S140" s="63"/>
      <c r="T140" s="63"/>
      <c r="U140" s="63"/>
      <c r="V140" s="63"/>
      <c r="W140" s="63"/>
    </row>
    <row r="141" spans="6:23" ht="25" customHeight="1">
      <c r="F141" s="53"/>
      <c r="H141" s="55" t="e">
        <f>tbl_PEM[[#This Row],[Qty Complete]]/tbl_PEM[[#This Row],[Qty Required]]</f>
        <v>#DIV/0!</v>
      </c>
      <c r="K141" s="57" t="str">
        <f>IFERROR(tbl_PEM[[#This Row],[Qty Required]]/tbl_PEM[[#This Row],[PPH]]*tbl_PEM[[#This Row],['# of men]],"")</f>
        <v/>
      </c>
      <c r="L141" s="58" t="e">
        <f>tbl_PEM[[#This Row],[Total hours]]*tbl_PEM[[#This Row],[% Complete]]</f>
        <v>#VALUE!</v>
      </c>
      <c r="M141" s="59" t="str">
        <f>IFERROR(tbl_PEM[[#This Row],[Qty Complete]]/tbl_PEM[[#This Row],[Total Hours Act]]*tbl_PEM[[#This Row],['# of men Act]],"")</f>
        <v/>
      </c>
      <c r="O141"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41" s="71" t="str">
        <f>IFERROR((tbl_PEM[[#This Row],[Adj. Total Hours]]+tbl_PEM[[#This Row],[Est. Hours]])/(tbl_PEM[[#This Row],[Total Hours Act]]+tbl_PEM[[#This Row],[Act. Hours]]),"")</f>
        <v/>
      </c>
      <c r="S141" s="63"/>
      <c r="T141" s="63"/>
      <c r="U141" s="63"/>
      <c r="V141" s="63"/>
      <c r="W141" s="63"/>
    </row>
    <row r="142" spans="6:23" ht="25" customHeight="1">
      <c r="F142" s="53"/>
      <c r="H142" s="55" t="e">
        <f>tbl_PEM[[#This Row],[Qty Complete]]/tbl_PEM[[#This Row],[Qty Required]]</f>
        <v>#DIV/0!</v>
      </c>
      <c r="K142" s="57" t="str">
        <f>IFERROR(tbl_PEM[[#This Row],[Qty Required]]/tbl_PEM[[#This Row],[PPH]]*tbl_PEM[[#This Row],['# of men]],"")</f>
        <v/>
      </c>
      <c r="L142" s="58" t="e">
        <f>tbl_PEM[[#This Row],[Total hours]]*tbl_PEM[[#This Row],[% Complete]]</f>
        <v>#VALUE!</v>
      </c>
      <c r="M142" s="59" t="str">
        <f>IFERROR(tbl_PEM[[#This Row],[Qty Complete]]/tbl_PEM[[#This Row],[Total Hours Act]]*tbl_PEM[[#This Row],['# of men Act]],"")</f>
        <v/>
      </c>
      <c r="O142"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42" s="71" t="str">
        <f>IFERROR((tbl_PEM[[#This Row],[Adj. Total Hours]]+tbl_PEM[[#This Row],[Est. Hours]])/(tbl_PEM[[#This Row],[Total Hours Act]]+tbl_PEM[[#This Row],[Act. Hours]]),"")</f>
        <v/>
      </c>
      <c r="S142" s="63"/>
      <c r="T142" s="63"/>
      <c r="U142" s="63"/>
      <c r="V142" s="63"/>
      <c r="W142" s="63"/>
    </row>
    <row r="143" spans="6:23" ht="25" customHeight="1">
      <c r="F143" s="53"/>
      <c r="H143" s="55" t="e">
        <f>tbl_PEM[[#This Row],[Qty Complete]]/tbl_PEM[[#This Row],[Qty Required]]</f>
        <v>#DIV/0!</v>
      </c>
      <c r="K143" s="57" t="str">
        <f>IFERROR(tbl_PEM[[#This Row],[Qty Required]]/tbl_PEM[[#This Row],[PPH]]*tbl_PEM[[#This Row],['# of men]],"")</f>
        <v/>
      </c>
      <c r="L143" s="58" t="e">
        <f>tbl_PEM[[#This Row],[Total hours]]*tbl_PEM[[#This Row],[% Complete]]</f>
        <v>#VALUE!</v>
      </c>
      <c r="M143" s="59" t="str">
        <f>IFERROR(tbl_PEM[[#This Row],[Qty Complete]]/tbl_PEM[[#This Row],[Total Hours Act]]*tbl_PEM[[#This Row],['# of men Act]],"")</f>
        <v/>
      </c>
      <c r="O143"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43" s="71" t="str">
        <f>IFERROR((tbl_PEM[[#This Row],[Adj. Total Hours]]+tbl_PEM[[#This Row],[Est. Hours]])/(tbl_PEM[[#This Row],[Total Hours Act]]+tbl_PEM[[#This Row],[Act. Hours]]),"")</f>
        <v/>
      </c>
      <c r="S143" s="63"/>
      <c r="T143" s="63"/>
      <c r="U143" s="63"/>
      <c r="V143" s="63"/>
      <c r="W143" s="63"/>
    </row>
    <row r="144" spans="6:23" ht="25" customHeight="1">
      <c r="F144" s="53"/>
      <c r="H144" s="55" t="e">
        <f>tbl_PEM[[#This Row],[Qty Complete]]/tbl_PEM[[#This Row],[Qty Required]]</f>
        <v>#DIV/0!</v>
      </c>
      <c r="K144" s="57" t="str">
        <f>IFERROR(tbl_PEM[[#This Row],[Qty Required]]/tbl_PEM[[#This Row],[PPH]]*tbl_PEM[[#This Row],['# of men]],"")</f>
        <v/>
      </c>
      <c r="L144" s="58" t="e">
        <f>tbl_PEM[[#This Row],[Total hours]]*tbl_PEM[[#This Row],[% Complete]]</f>
        <v>#VALUE!</v>
      </c>
      <c r="M144" s="59" t="str">
        <f>IFERROR(tbl_PEM[[#This Row],[Qty Complete]]/tbl_PEM[[#This Row],[Total Hours Act]]*tbl_PEM[[#This Row],['# of men Act]],"")</f>
        <v/>
      </c>
      <c r="O144"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44" s="71" t="str">
        <f>IFERROR((tbl_PEM[[#This Row],[Adj. Total Hours]]+tbl_PEM[[#This Row],[Est. Hours]])/(tbl_PEM[[#This Row],[Total Hours Act]]+tbl_PEM[[#This Row],[Act. Hours]]),"")</f>
        <v/>
      </c>
      <c r="S144" s="63"/>
      <c r="T144" s="63"/>
      <c r="U144" s="63"/>
      <c r="V144" s="63"/>
      <c r="W144" s="63"/>
    </row>
    <row r="145" spans="6:23" ht="25" customHeight="1">
      <c r="F145" s="53"/>
      <c r="H145" s="55" t="e">
        <f>tbl_PEM[[#This Row],[Qty Complete]]/tbl_PEM[[#This Row],[Qty Required]]</f>
        <v>#DIV/0!</v>
      </c>
      <c r="K145" s="57" t="str">
        <f>IFERROR(tbl_PEM[[#This Row],[Qty Required]]/tbl_PEM[[#This Row],[PPH]]*tbl_PEM[[#This Row],['# of men]],"")</f>
        <v/>
      </c>
      <c r="L145" s="58" t="e">
        <f>tbl_PEM[[#This Row],[Total hours]]*tbl_PEM[[#This Row],[% Complete]]</f>
        <v>#VALUE!</v>
      </c>
      <c r="M145" s="59" t="str">
        <f>IFERROR(tbl_PEM[[#This Row],[Qty Complete]]/tbl_PEM[[#This Row],[Total Hours Act]]*tbl_PEM[[#This Row],['# of men Act]],"")</f>
        <v/>
      </c>
      <c r="O145"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45" s="71" t="str">
        <f>IFERROR((tbl_PEM[[#This Row],[Adj. Total Hours]]+tbl_PEM[[#This Row],[Est. Hours]])/(tbl_PEM[[#This Row],[Total Hours Act]]+tbl_PEM[[#This Row],[Act. Hours]]),"")</f>
        <v/>
      </c>
      <c r="S145" s="63"/>
      <c r="T145" s="63"/>
      <c r="U145" s="63"/>
      <c r="V145" s="63"/>
      <c r="W145" s="63"/>
    </row>
    <row r="146" spans="6:23" ht="25" customHeight="1">
      <c r="F146" s="53"/>
      <c r="H146" s="55" t="e">
        <f>tbl_PEM[[#This Row],[Qty Complete]]/tbl_PEM[[#This Row],[Qty Required]]</f>
        <v>#DIV/0!</v>
      </c>
      <c r="K146" s="57" t="str">
        <f>IFERROR(tbl_PEM[[#This Row],[Qty Required]]/tbl_PEM[[#This Row],[PPH]]*tbl_PEM[[#This Row],['# of men]],"")</f>
        <v/>
      </c>
      <c r="L146" s="58" t="e">
        <f>tbl_PEM[[#This Row],[Total hours]]*tbl_PEM[[#This Row],[% Complete]]</f>
        <v>#VALUE!</v>
      </c>
      <c r="M146" s="59" t="str">
        <f>IFERROR(tbl_PEM[[#This Row],[Qty Complete]]/tbl_PEM[[#This Row],[Total Hours Act]]*tbl_PEM[[#This Row],['# of men Act]],"")</f>
        <v/>
      </c>
      <c r="O146"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46" s="71" t="str">
        <f>IFERROR((tbl_PEM[[#This Row],[Adj. Total Hours]]+tbl_PEM[[#This Row],[Est. Hours]])/(tbl_PEM[[#This Row],[Total Hours Act]]+tbl_PEM[[#This Row],[Act. Hours]]),"")</f>
        <v/>
      </c>
      <c r="S146" s="63"/>
      <c r="T146" s="63"/>
      <c r="U146" s="63"/>
      <c r="V146" s="63"/>
      <c r="W146" s="63"/>
    </row>
    <row r="147" spans="6:23" ht="25" customHeight="1">
      <c r="F147" s="53"/>
      <c r="H147" s="55" t="e">
        <f>tbl_PEM[[#This Row],[Qty Complete]]/tbl_PEM[[#This Row],[Qty Required]]</f>
        <v>#DIV/0!</v>
      </c>
      <c r="K147" s="57" t="str">
        <f>IFERROR(tbl_PEM[[#This Row],[Qty Required]]/tbl_PEM[[#This Row],[PPH]]*tbl_PEM[[#This Row],['# of men]],"")</f>
        <v/>
      </c>
      <c r="L147" s="58" t="e">
        <f>tbl_PEM[[#This Row],[Total hours]]*tbl_PEM[[#This Row],[% Complete]]</f>
        <v>#VALUE!</v>
      </c>
      <c r="M147" s="59" t="str">
        <f>IFERROR(tbl_PEM[[#This Row],[Qty Complete]]/tbl_PEM[[#This Row],[Total Hours Act]]*tbl_PEM[[#This Row],['# of men Act]],"")</f>
        <v/>
      </c>
      <c r="O147"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47" s="71" t="str">
        <f>IFERROR((tbl_PEM[[#This Row],[Adj. Total Hours]]+tbl_PEM[[#This Row],[Est. Hours]])/(tbl_PEM[[#This Row],[Total Hours Act]]+tbl_PEM[[#This Row],[Act. Hours]]),"")</f>
        <v/>
      </c>
      <c r="S147" s="63"/>
      <c r="T147" s="63"/>
      <c r="U147" s="63"/>
      <c r="V147" s="63"/>
      <c r="W147" s="63"/>
    </row>
    <row r="148" spans="6:23" ht="25" customHeight="1">
      <c r="F148" s="53"/>
      <c r="H148" s="55" t="e">
        <f>tbl_PEM[[#This Row],[Qty Complete]]/tbl_PEM[[#This Row],[Qty Required]]</f>
        <v>#DIV/0!</v>
      </c>
      <c r="K148" s="57" t="str">
        <f>IFERROR(tbl_PEM[[#This Row],[Qty Required]]/tbl_PEM[[#This Row],[PPH]]*tbl_PEM[[#This Row],['# of men]],"")</f>
        <v/>
      </c>
      <c r="L148" s="58" t="e">
        <f>tbl_PEM[[#This Row],[Total hours]]*tbl_PEM[[#This Row],[% Complete]]</f>
        <v>#VALUE!</v>
      </c>
      <c r="M148" s="59" t="str">
        <f>IFERROR(tbl_PEM[[#This Row],[Qty Complete]]/tbl_PEM[[#This Row],[Total Hours Act]]*tbl_PEM[[#This Row],['# of men Act]],"")</f>
        <v/>
      </c>
      <c r="O148"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48" s="71" t="str">
        <f>IFERROR((tbl_PEM[[#This Row],[Adj. Total Hours]]+tbl_PEM[[#This Row],[Est. Hours]])/(tbl_PEM[[#This Row],[Total Hours Act]]+tbl_PEM[[#This Row],[Act. Hours]]),"")</f>
        <v/>
      </c>
      <c r="S148" s="63"/>
      <c r="T148" s="63"/>
      <c r="U148" s="63"/>
      <c r="V148" s="63"/>
      <c r="W148" s="63"/>
    </row>
    <row r="149" spans="6:23" ht="25" customHeight="1">
      <c r="F149" s="53"/>
      <c r="H149" s="55" t="e">
        <f>tbl_PEM[[#This Row],[Qty Complete]]/tbl_PEM[[#This Row],[Qty Required]]</f>
        <v>#DIV/0!</v>
      </c>
      <c r="K149" s="57" t="str">
        <f>IFERROR(tbl_PEM[[#This Row],[Qty Required]]/tbl_PEM[[#This Row],[PPH]]*tbl_PEM[[#This Row],['# of men]],"")</f>
        <v/>
      </c>
      <c r="L149" s="58" t="e">
        <f>tbl_PEM[[#This Row],[Total hours]]*tbl_PEM[[#This Row],[% Complete]]</f>
        <v>#VALUE!</v>
      </c>
      <c r="M149" s="59" t="str">
        <f>IFERROR(tbl_PEM[[#This Row],[Qty Complete]]/tbl_PEM[[#This Row],[Total Hours Act]]*tbl_PEM[[#This Row],['# of men Act]],"")</f>
        <v/>
      </c>
      <c r="O149"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49" s="71" t="str">
        <f>IFERROR((tbl_PEM[[#This Row],[Adj. Total Hours]]+tbl_PEM[[#This Row],[Est. Hours]])/(tbl_PEM[[#This Row],[Total Hours Act]]+tbl_PEM[[#This Row],[Act. Hours]]),"")</f>
        <v/>
      </c>
      <c r="S149" s="63"/>
      <c r="T149" s="63"/>
      <c r="U149" s="63"/>
      <c r="V149" s="63"/>
      <c r="W149" s="63"/>
    </row>
    <row r="150" spans="6:23" ht="25" customHeight="1">
      <c r="F150" s="53"/>
      <c r="H150" s="55" t="e">
        <f>tbl_PEM[[#This Row],[Qty Complete]]/tbl_PEM[[#This Row],[Qty Required]]</f>
        <v>#DIV/0!</v>
      </c>
      <c r="K150" s="57" t="str">
        <f>IFERROR(tbl_PEM[[#This Row],[Qty Required]]/tbl_PEM[[#This Row],[PPH]]*tbl_PEM[[#This Row],['# of men]],"")</f>
        <v/>
      </c>
      <c r="L150" s="58" t="e">
        <f>tbl_PEM[[#This Row],[Total hours]]*tbl_PEM[[#This Row],[% Complete]]</f>
        <v>#VALUE!</v>
      </c>
      <c r="M150" s="59" t="str">
        <f>IFERROR(tbl_PEM[[#This Row],[Qty Complete]]/tbl_PEM[[#This Row],[Total Hours Act]]*tbl_PEM[[#This Row],['# of men Act]],"")</f>
        <v/>
      </c>
      <c r="O150"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50" s="71" t="str">
        <f>IFERROR((tbl_PEM[[#This Row],[Adj. Total Hours]]+tbl_PEM[[#This Row],[Est. Hours]])/(tbl_PEM[[#This Row],[Total Hours Act]]+tbl_PEM[[#This Row],[Act. Hours]]),"")</f>
        <v/>
      </c>
      <c r="S150" s="63"/>
      <c r="T150" s="63"/>
      <c r="U150" s="63"/>
      <c r="V150" s="63"/>
      <c r="W150" s="63"/>
    </row>
    <row r="151" spans="6:23" ht="25" customHeight="1">
      <c r="F151" s="53"/>
      <c r="H151" s="55" t="e">
        <f>tbl_PEM[[#This Row],[Qty Complete]]/tbl_PEM[[#This Row],[Qty Required]]</f>
        <v>#DIV/0!</v>
      </c>
      <c r="K151" s="57" t="str">
        <f>IFERROR(tbl_PEM[[#This Row],[Qty Required]]/tbl_PEM[[#This Row],[PPH]]*tbl_PEM[[#This Row],['# of men]],"")</f>
        <v/>
      </c>
      <c r="L151" s="58" t="e">
        <f>tbl_PEM[[#This Row],[Total hours]]*tbl_PEM[[#This Row],[% Complete]]</f>
        <v>#VALUE!</v>
      </c>
      <c r="M151" s="59" t="str">
        <f>IFERROR(tbl_PEM[[#This Row],[Qty Complete]]/tbl_PEM[[#This Row],[Total Hours Act]]*tbl_PEM[[#This Row],['# of men Act]],"")</f>
        <v/>
      </c>
      <c r="O151"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51" s="71" t="str">
        <f>IFERROR((tbl_PEM[[#This Row],[Adj. Total Hours]]+tbl_PEM[[#This Row],[Est. Hours]])/(tbl_PEM[[#This Row],[Total Hours Act]]+tbl_PEM[[#This Row],[Act. Hours]]),"")</f>
        <v/>
      </c>
      <c r="S151" s="63"/>
      <c r="T151" s="63"/>
      <c r="U151" s="63"/>
      <c r="V151" s="63"/>
      <c r="W151" s="63"/>
    </row>
    <row r="152" spans="6:23" ht="25" customHeight="1">
      <c r="F152" s="53"/>
      <c r="H152" s="55" t="e">
        <f>tbl_PEM[[#This Row],[Qty Complete]]/tbl_PEM[[#This Row],[Qty Required]]</f>
        <v>#DIV/0!</v>
      </c>
      <c r="K152" s="57" t="str">
        <f>IFERROR(tbl_PEM[[#This Row],[Qty Required]]/tbl_PEM[[#This Row],[PPH]]*tbl_PEM[[#This Row],['# of men]],"")</f>
        <v/>
      </c>
      <c r="L152" s="58" t="e">
        <f>tbl_PEM[[#This Row],[Total hours]]*tbl_PEM[[#This Row],[% Complete]]</f>
        <v>#VALUE!</v>
      </c>
      <c r="M152" s="59" t="str">
        <f>IFERROR(tbl_PEM[[#This Row],[Qty Complete]]/tbl_PEM[[#This Row],[Total Hours Act]]*tbl_PEM[[#This Row],['# of men Act]],"")</f>
        <v/>
      </c>
      <c r="O152"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52" s="71" t="str">
        <f>IFERROR((tbl_PEM[[#This Row],[Adj. Total Hours]]+tbl_PEM[[#This Row],[Est. Hours]])/(tbl_PEM[[#This Row],[Total Hours Act]]+tbl_PEM[[#This Row],[Act. Hours]]),"")</f>
        <v/>
      </c>
      <c r="S152" s="63"/>
      <c r="T152" s="63"/>
      <c r="U152" s="63"/>
      <c r="V152" s="63"/>
      <c r="W152" s="63"/>
    </row>
    <row r="153" spans="6:23" ht="25" customHeight="1">
      <c r="F153" s="53"/>
      <c r="H153" s="55" t="e">
        <f>tbl_PEM[[#This Row],[Qty Complete]]/tbl_PEM[[#This Row],[Qty Required]]</f>
        <v>#DIV/0!</v>
      </c>
      <c r="K153" s="57" t="str">
        <f>IFERROR(tbl_PEM[[#This Row],[Qty Required]]/tbl_PEM[[#This Row],[PPH]]*tbl_PEM[[#This Row],['# of men]],"")</f>
        <v/>
      </c>
      <c r="L153" s="58" t="e">
        <f>tbl_PEM[[#This Row],[Total hours]]*tbl_PEM[[#This Row],[% Complete]]</f>
        <v>#VALUE!</v>
      </c>
      <c r="M153" s="59" t="str">
        <f>IFERROR(tbl_PEM[[#This Row],[Qty Complete]]/tbl_PEM[[#This Row],[Total Hours Act]]*tbl_PEM[[#This Row],['# of men Act]],"")</f>
        <v/>
      </c>
      <c r="O153"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53" s="71" t="str">
        <f>IFERROR((tbl_PEM[[#This Row],[Adj. Total Hours]]+tbl_PEM[[#This Row],[Est. Hours]])/(tbl_PEM[[#This Row],[Total Hours Act]]+tbl_PEM[[#This Row],[Act. Hours]]),"")</f>
        <v/>
      </c>
      <c r="S153" s="63"/>
      <c r="T153" s="63"/>
      <c r="U153" s="63"/>
      <c r="V153" s="63"/>
      <c r="W153" s="63"/>
    </row>
    <row r="154" spans="6:23" ht="25" customHeight="1">
      <c r="F154" s="53"/>
      <c r="H154" s="55" t="e">
        <f>tbl_PEM[[#This Row],[Qty Complete]]/tbl_PEM[[#This Row],[Qty Required]]</f>
        <v>#DIV/0!</v>
      </c>
      <c r="K154" s="57" t="str">
        <f>IFERROR(tbl_PEM[[#This Row],[Qty Required]]/tbl_PEM[[#This Row],[PPH]]*tbl_PEM[[#This Row],['# of men]],"")</f>
        <v/>
      </c>
      <c r="L154" s="58" t="e">
        <f>tbl_PEM[[#This Row],[Total hours]]*tbl_PEM[[#This Row],[% Complete]]</f>
        <v>#VALUE!</v>
      </c>
      <c r="M154" s="59" t="str">
        <f>IFERROR(tbl_PEM[[#This Row],[Qty Complete]]/tbl_PEM[[#This Row],[Total Hours Act]]*tbl_PEM[[#This Row],['# of men Act]],"")</f>
        <v/>
      </c>
      <c r="O154"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54" s="71" t="str">
        <f>IFERROR((tbl_PEM[[#This Row],[Adj. Total Hours]]+tbl_PEM[[#This Row],[Est. Hours]])/(tbl_PEM[[#This Row],[Total Hours Act]]+tbl_PEM[[#This Row],[Act. Hours]]),"")</f>
        <v/>
      </c>
      <c r="S154" s="63"/>
      <c r="T154" s="63"/>
      <c r="U154" s="63"/>
      <c r="V154" s="63"/>
      <c r="W154" s="63"/>
    </row>
    <row r="155" spans="6:23" ht="25" customHeight="1">
      <c r="F155" s="53"/>
      <c r="H155" s="55" t="e">
        <f>tbl_PEM[[#This Row],[Qty Complete]]/tbl_PEM[[#This Row],[Qty Required]]</f>
        <v>#DIV/0!</v>
      </c>
      <c r="K155" s="57" t="str">
        <f>IFERROR(tbl_PEM[[#This Row],[Qty Required]]/tbl_PEM[[#This Row],[PPH]]*tbl_PEM[[#This Row],['# of men]],"")</f>
        <v/>
      </c>
      <c r="L155" s="58" t="e">
        <f>tbl_PEM[[#This Row],[Total hours]]*tbl_PEM[[#This Row],[% Complete]]</f>
        <v>#VALUE!</v>
      </c>
      <c r="M155" s="59" t="str">
        <f>IFERROR(tbl_PEM[[#This Row],[Qty Complete]]/tbl_PEM[[#This Row],[Total Hours Act]]*tbl_PEM[[#This Row],['# of men Act]],"")</f>
        <v/>
      </c>
      <c r="O155"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55" s="71" t="str">
        <f>IFERROR((tbl_PEM[[#This Row],[Adj. Total Hours]]+tbl_PEM[[#This Row],[Est. Hours]])/(tbl_PEM[[#This Row],[Total Hours Act]]+tbl_PEM[[#This Row],[Act. Hours]]),"")</f>
        <v/>
      </c>
      <c r="S155" s="63"/>
      <c r="T155" s="63"/>
      <c r="U155" s="63"/>
      <c r="V155" s="63"/>
      <c r="W155" s="63"/>
    </row>
    <row r="156" spans="6:23" ht="25" customHeight="1">
      <c r="F156" s="53"/>
      <c r="H156" s="55" t="e">
        <f>tbl_PEM[[#This Row],[Qty Complete]]/tbl_PEM[[#This Row],[Qty Required]]</f>
        <v>#DIV/0!</v>
      </c>
      <c r="K156" s="57" t="str">
        <f>IFERROR(tbl_PEM[[#This Row],[Qty Required]]/tbl_PEM[[#This Row],[PPH]]*tbl_PEM[[#This Row],['# of men]],"")</f>
        <v/>
      </c>
      <c r="L156" s="58" t="e">
        <f>tbl_PEM[[#This Row],[Total hours]]*tbl_PEM[[#This Row],[% Complete]]</f>
        <v>#VALUE!</v>
      </c>
      <c r="M156" s="59" t="str">
        <f>IFERROR(tbl_PEM[[#This Row],[Qty Complete]]/tbl_PEM[[#This Row],[Total Hours Act]]*tbl_PEM[[#This Row],['# of men Act]],"")</f>
        <v/>
      </c>
      <c r="O156"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56" s="71" t="str">
        <f>IFERROR((tbl_PEM[[#This Row],[Adj. Total Hours]]+tbl_PEM[[#This Row],[Est. Hours]])/(tbl_PEM[[#This Row],[Total Hours Act]]+tbl_PEM[[#This Row],[Act. Hours]]),"")</f>
        <v/>
      </c>
      <c r="S156" s="63"/>
      <c r="T156" s="63"/>
      <c r="U156" s="63"/>
      <c r="V156" s="63"/>
      <c r="W156" s="63"/>
    </row>
    <row r="157" spans="6:23" ht="25" customHeight="1">
      <c r="F157" s="53"/>
      <c r="H157" s="55" t="e">
        <f>tbl_PEM[[#This Row],[Qty Complete]]/tbl_PEM[[#This Row],[Qty Required]]</f>
        <v>#DIV/0!</v>
      </c>
      <c r="K157" s="57" t="str">
        <f>IFERROR(tbl_PEM[[#This Row],[Qty Required]]/tbl_PEM[[#This Row],[PPH]]*tbl_PEM[[#This Row],['# of men]],"")</f>
        <v/>
      </c>
      <c r="L157" s="58" t="e">
        <f>tbl_PEM[[#This Row],[Total hours]]*tbl_PEM[[#This Row],[% Complete]]</f>
        <v>#VALUE!</v>
      </c>
      <c r="M157" s="59" t="str">
        <f>IFERROR(tbl_PEM[[#This Row],[Qty Complete]]/tbl_PEM[[#This Row],[Total Hours Act]]*tbl_PEM[[#This Row],['# of men Act]],"")</f>
        <v/>
      </c>
      <c r="O157"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57" s="71" t="str">
        <f>IFERROR((tbl_PEM[[#This Row],[Adj. Total Hours]]+tbl_PEM[[#This Row],[Est. Hours]])/(tbl_PEM[[#This Row],[Total Hours Act]]+tbl_PEM[[#This Row],[Act. Hours]]),"")</f>
        <v/>
      </c>
      <c r="S157" s="63"/>
      <c r="T157" s="63"/>
      <c r="U157" s="63"/>
      <c r="V157" s="63"/>
      <c r="W157" s="63"/>
    </row>
    <row r="158" spans="6:23" ht="25" customHeight="1">
      <c r="F158" s="53"/>
      <c r="H158" s="55" t="e">
        <f>tbl_PEM[[#This Row],[Qty Complete]]/tbl_PEM[[#This Row],[Qty Required]]</f>
        <v>#DIV/0!</v>
      </c>
      <c r="K158" s="57" t="str">
        <f>IFERROR(tbl_PEM[[#This Row],[Qty Required]]/tbl_PEM[[#This Row],[PPH]]*tbl_PEM[[#This Row],['# of men]],"")</f>
        <v/>
      </c>
      <c r="L158" s="58" t="e">
        <f>tbl_PEM[[#This Row],[Total hours]]*tbl_PEM[[#This Row],[% Complete]]</f>
        <v>#VALUE!</v>
      </c>
      <c r="M158" s="59" t="str">
        <f>IFERROR(tbl_PEM[[#This Row],[Qty Complete]]/tbl_PEM[[#This Row],[Total Hours Act]]*tbl_PEM[[#This Row],['# of men Act]],"")</f>
        <v/>
      </c>
      <c r="O158"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58" s="71" t="str">
        <f>IFERROR((tbl_PEM[[#This Row],[Adj. Total Hours]]+tbl_PEM[[#This Row],[Est. Hours]])/(tbl_PEM[[#This Row],[Total Hours Act]]+tbl_PEM[[#This Row],[Act. Hours]]),"")</f>
        <v/>
      </c>
      <c r="S158" s="63"/>
      <c r="T158" s="63"/>
      <c r="U158" s="63"/>
      <c r="V158" s="63"/>
      <c r="W158" s="63"/>
    </row>
    <row r="159" spans="6:23" ht="25" customHeight="1">
      <c r="F159" s="53"/>
      <c r="H159" s="55" t="e">
        <f>tbl_PEM[[#This Row],[Qty Complete]]/tbl_PEM[[#This Row],[Qty Required]]</f>
        <v>#DIV/0!</v>
      </c>
      <c r="K159" s="57" t="str">
        <f>IFERROR(tbl_PEM[[#This Row],[Qty Required]]/tbl_PEM[[#This Row],[PPH]]*tbl_PEM[[#This Row],['# of men]],"")</f>
        <v/>
      </c>
      <c r="L159" s="58" t="e">
        <f>tbl_PEM[[#This Row],[Total hours]]*tbl_PEM[[#This Row],[% Complete]]</f>
        <v>#VALUE!</v>
      </c>
      <c r="M159" s="59" t="str">
        <f>IFERROR(tbl_PEM[[#This Row],[Qty Complete]]/tbl_PEM[[#This Row],[Total Hours Act]]*tbl_PEM[[#This Row],['# of men Act]],"")</f>
        <v/>
      </c>
      <c r="O159"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59" s="71" t="str">
        <f>IFERROR((tbl_PEM[[#This Row],[Adj. Total Hours]]+tbl_PEM[[#This Row],[Est. Hours]])/(tbl_PEM[[#This Row],[Total Hours Act]]+tbl_PEM[[#This Row],[Act. Hours]]),"")</f>
        <v/>
      </c>
      <c r="S159" s="63"/>
      <c r="T159" s="63"/>
      <c r="U159" s="63"/>
      <c r="V159" s="63"/>
      <c r="W159" s="63"/>
    </row>
    <row r="160" spans="6:23" ht="25" customHeight="1">
      <c r="F160" s="53"/>
      <c r="H160" s="55" t="e">
        <f>tbl_PEM[[#This Row],[Qty Complete]]/tbl_PEM[[#This Row],[Qty Required]]</f>
        <v>#DIV/0!</v>
      </c>
      <c r="K160" s="57" t="str">
        <f>IFERROR(tbl_PEM[[#This Row],[Qty Required]]/tbl_PEM[[#This Row],[PPH]]*tbl_PEM[[#This Row],['# of men]],"")</f>
        <v/>
      </c>
      <c r="L160" s="58" t="e">
        <f>tbl_PEM[[#This Row],[Total hours]]*tbl_PEM[[#This Row],[% Complete]]</f>
        <v>#VALUE!</v>
      </c>
      <c r="M160" s="59" t="str">
        <f>IFERROR(tbl_PEM[[#This Row],[Qty Complete]]/tbl_PEM[[#This Row],[Total Hours Act]]*tbl_PEM[[#This Row],['# of men Act]],"")</f>
        <v/>
      </c>
      <c r="O160"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60" s="71" t="str">
        <f>IFERROR((tbl_PEM[[#This Row],[Adj. Total Hours]]+tbl_PEM[[#This Row],[Est. Hours]])/(tbl_PEM[[#This Row],[Total Hours Act]]+tbl_PEM[[#This Row],[Act. Hours]]),"")</f>
        <v/>
      </c>
      <c r="S160" s="63"/>
      <c r="T160" s="63"/>
      <c r="U160" s="63"/>
      <c r="V160" s="63"/>
      <c r="W160" s="63"/>
    </row>
    <row r="161" spans="6:23" ht="25" customHeight="1">
      <c r="F161" s="53"/>
      <c r="H161" s="55" t="e">
        <f>tbl_PEM[[#This Row],[Qty Complete]]/tbl_PEM[[#This Row],[Qty Required]]</f>
        <v>#DIV/0!</v>
      </c>
      <c r="K161" s="57" t="str">
        <f>IFERROR(tbl_PEM[[#This Row],[Qty Required]]/tbl_PEM[[#This Row],[PPH]]*tbl_PEM[[#This Row],['# of men]],"")</f>
        <v/>
      </c>
      <c r="L161" s="58" t="e">
        <f>tbl_PEM[[#This Row],[Total hours]]*tbl_PEM[[#This Row],[% Complete]]</f>
        <v>#VALUE!</v>
      </c>
      <c r="M161" s="59" t="str">
        <f>IFERROR(tbl_PEM[[#This Row],[Qty Complete]]/tbl_PEM[[#This Row],[Total Hours Act]]*tbl_PEM[[#This Row],['# of men Act]],"")</f>
        <v/>
      </c>
      <c r="O161"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61" s="71" t="str">
        <f>IFERROR((tbl_PEM[[#This Row],[Adj. Total Hours]]+tbl_PEM[[#This Row],[Est. Hours]])/(tbl_PEM[[#This Row],[Total Hours Act]]+tbl_PEM[[#This Row],[Act. Hours]]),"")</f>
        <v/>
      </c>
      <c r="S161" s="63"/>
      <c r="T161" s="63"/>
      <c r="U161" s="63"/>
      <c r="V161" s="63"/>
      <c r="W161" s="63"/>
    </row>
    <row r="162" spans="6:23" ht="25" customHeight="1">
      <c r="F162" s="53"/>
      <c r="H162" s="55" t="e">
        <f>tbl_PEM[[#This Row],[Qty Complete]]/tbl_PEM[[#This Row],[Qty Required]]</f>
        <v>#DIV/0!</v>
      </c>
      <c r="K162" s="57" t="str">
        <f>IFERROR(tbl_PEM[[#This Row],[Qty Required]]/tbl_PEM[[#This Row],[PPH]]*tbl_PEM[[#This Row],['# of men]],"")</f>
        <v/>
      </c>
      <c r="L162" s="58" t="e">
        <f>tbl_PEM[[#This Row],[Total hours]]*tbl_PEM[[#This Row],[% Complete]]</f>
        <v>#VALUE!</v>
      </c>
      <c r="M162" s="59" t="str">
        <f>IFERROR(tbl_PEM[[#This Row],[Qty Complete]]/tbl_PEM[[#This Row],[Total Hours Act]]*tbl_PEM[[#This Row],['# of men Act]],"")</f>
        <v/>
      </c>
      <c r="O162"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62" s="71" t="str">
        <f>IFERROR((tbl_PEM[[#This Row],[Adj. Total Hours]]+tbl_PEM[[#This Row],[Est. Hours]])/(tbl_PEM[[#This Row],[Total Hours Act]]+tbl_PEM[[#This Row],[Act. Hours]]),"")</f>
        <v/>
      </c>
      <c r="S162" s="63"/>
      <c r="T162" s="63"/>
      <c r="U162" s="63"/>
      <c r="V162" s="63"/>
      <c r="W162" s="63"/>
    </row>
    <row r="163" spans="6:23" ht="25" customHeight="1">
      <c r="F163" s="53"/>
      <c r="H163" s="55" t="e">
        <f>tbl_PEM[[#This Row],[Qty Complete]]/tbl_PEM[[#This Row],[Qty Required]]</f>
        <v>#DIV/0!</v>
      </c>
      <c r="K163" s="57" t="str">
        <f>IFERROR(tbl_PEM[[#This Row],[Qty Required]]/tbl_PEM[[#This Row],[PPH]]*tbl_PEM[[#This Row],['# of men]],"")</f>
        <v/>
      </c>
      <c r="L163" s="58" t="e">
        <f>tbl_PEM[[#This Row],[Total hours]]*tbl_PEM[[#This Row],[% Complete]]</f>
        <v>#VALUE!</v>
      </c>
      <c r="M163" s="59" t="str">
        <f>IFERROR(tbl_PEM[[#This Row],[Qty Complete]]/tbl_PEM[[#This Row],[Total Hours Act]]*tbl_PEM[[#This Row],['# of men Act]],"")</f>
        <v/>
      </c>
      <c r="O163"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63" s="71" t="str">
        <f>IFERROR((tbl_PEM[[#This Row],[Adj. Total Hours]]+tbl_PEM[[#This Row],[Est. Hours]])/(tbl_PEM[[#This Row],[Total Hours Act]]+tbl_PEM[[#This Row],[Act. Hours]]),"")</f>
        <v/>
      </c>
      <c r="S163" s="63"/>
      <c r="T163" s="63"/>
      <c r="U163" s="63"/>
      <c r="V163" s="63"/>
      <c r="W163" s="63"/>
    </row>
    <row r="164" spans="6:23" ht="25" customHeight="1">
      <c r="F164" s="53"/>
      <c r="H164" s="55" t="e">
        <f>tbl_PEM[[#This Row],[Qty Complete]]/tbl_PEM[[#This Row],[Qty Required]]</f>
        <v>#DIV/0!</v>
      </c>
      <c r="K164" s="57" t="str">
        <f>IFERROR(tbl_PEM[[#This Row],[Qty Required]]/tbl_PEM[[#This Row],[PPH]]*tbl_PEM[[#This Row],['# of men]],"")</f>
        <v/>
      </c>
      <c r="L164" s="58" t="e">
        <f>tbl_PEM[[#This Row],[Total hours]]*tbl_PEM[[#This Row],[% Complete]]</f>
        <v>#VALUE!</v>
      </c>
      <c r="M164" s="59" t="str">
        <f>IFERROR(tbl_PEM[[#This Row],[Qty Complete]]/tbl_PEM[[#This Row],[Total Hours Act]]*tbl_PEM[[#This Row],['# of men Act]],"")</f>
        <v/>
      </c>
      <c r="O164"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64" s="71" t="str">
        <f>IFERROR((tbl_PEM[[#This Row],[Adj. Total Hours]]+tbl_PEM[[#This Row],[Est. Hours]])/(tbl_PEM[[#This Row],[Total Hours Act]]+tbl_PEM[[#This Row],[Act. Hours]]),"")</f>
        <v/>
      </c>
      <c r="S164" s="63"/>
      <c r="T164" s="63"/>
      <c r="U164" s="63"/>
      <c r="V164" s="63"/>
      <c r="W164" s="63"/>
    </row>
    <row r="165" spans="6:23" ht="25" customHeight="1">
      <c r="F165" s="53"/>
      <c r="H165" s="55" t="e">
        <f>tbl_PEM[[#This Row],[Qty Complete]]/tbl_PEM[[#This Row],[Qty Required]]</f>
        <v>#DIV/0!</v>
      </c>
      <c r="K165" s="57" t="str">
        <f>IFERROR(tbl_PEM[[#This Row],[Qty Required]]/tbl_PEM[[#This Row],[PPH]]*tbl_PEM[[#This Row],['# of men]],"")</f>
        <v/>
      </c>
      <c r="L165" s="58" t="e">
        <f>tbl_PEM[[#This Row],[Total hours]]*tbl_PEM[[#This Row],[% Complete]]</f>
        <v>#VALUE!</v>
      </c>
      <c r="M165" s="59" t="str">
        <f>IFERROR(tbl_PEM[[#This Row],[Qty Complete]]/tbl_PEM[[#This Row],[Total Hours Act]]*tbl_PEM[[#This Row],['# of men Act]],"")</f>
        <v/>
      </c>
      <c r="O165"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65" s="71" t="str">
        <f>IFERROR((tbl_PEM[[#This Row],[Adj. Total Hours]]+tbl_PEM[[#This Row],[Est. Hours]])/(tbl_PEM[[#This Row],[Total Hours Act]]+tbl_PEM[[#This Row],[Act. Hours]]),"")</f>
        <v/>
      </c>
      <c r="S165" s="63"/>
      <c r="T165" s="63"/>
      <c r="U165" s="63"/>
      <c r="V165" s="63"/>
      <c r="W165" s="63"/>
    </row>
    <row r="166" spans="6:23" ht="25" customHeight="1">
      <c r="F166" s="53"/>
      <c r="H166" s="55" t="e">
        <f>tbl_PEM[[#This Row],[Qty Complete]]/tbl_PEM[[#This Row],[Qty Required]]</f>
        <v>#DIV/0!</v>
      </c>
      <c r="K166" s="57" t="str">
        <f>IFERROR(tbl_PEM[[#This Row],[Qty Required]]/tbl_PEM[[#This Row],[PPH]]*tbl_PEM[[#This Row],['# of men]],"")</f>
        <v/>
      </c>
      <c r="L166" s="58" t="e">
        <f>tbl_PEM[[#This Row],[Total hours]]*tbl_PEM[[#This Row],[% Complete]]</f>
        <v>#VALUE!</v>
      </c>
      <c r="M166" s="59" t="str">
        <f>IFERROR(tbl_PEM[[#This Row],[Qty Complete]]/tbl_PEM[[#This Row],[Total Hours Act]]*tbl_PEM[[#This Row],['# of men Act]],"")</f>
        <v/>
      </c>
      <c r="O166"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66" s="71" t="str">
        <f>IFERROR((tbl_PEM[[#This Row],[Adj. Total Hours]]+tbl_PEM[[#This Row],[Est. Hours]])/(tbl_PEM[[#This Row],[Total Hours Act]]+tbl_PEM[[#This Row],[Act. Hours]]),"")</f>
        <v/>
      </c>
      <c r="S166" s="63"/>
      <c r="T166" s="63"/>
      <c r="U166" s="63"/>
      <c r="V166" s="63"/>
      <c r="W166" s="63"/>
    </row>
    <row r="167" spans="6:23" ht="25" customHeight="1">
      <c r="F167" s="53"/>
      <c r="H167" s="55" t="e">
        <f>tbl_PEM[[#This Row],[Qty Complete]]/tbl_PEM[[#This Row],[Qty Required]]</f>
        <v>#DIV/0!</v>
      </c>
      <c r="K167" s="57" t="str">
        <f>IFERROR(tbl_PEM[[#This Row],[Qty Required]]/tbl_PEM[[#This Row],[PPH]]*tbl_PEM[[#This Row],['# of men]],"")</f>
        <v/>
      </c>
      <c r="L167" s="58" t="e">
        <f>tbl_PEM[[#This Row],[Total hours]]*tbl_PEM[[#This Row],[% Complete]]</f>
        <v>#VALUE!</v>
      </c>
      <c r="M167" s="59" t="str">
        <f>IFERROR(tbl_PEM[[#This Row],[Qty Complete]]/tbl_PEM[[#This Row],[Total Hours Act]]*tbl_PEM[[#This Row],['# of men Act]],"")</f>
        <v/>
      </c>
      <c r="O167"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67" s="71" t="str">
        <f>IFERROR((tbl_PEM[[#This Row],[Adj. Total Hours]]+tbl_PEM[[#This Row],[Est. Hours]])/(tbl_PEM[[#This Row],[Total Hours Act]]+tbl_PEM[[#This Row],[Act. Hours]]),"")</f>
        <v/>
      </c>
      <c r="S167" s="63"/>
      <c r="T167" s="63"/>
      <c r="U167" s="63"/>
      <c r="V167" s="63"/>
      <c r="W167" s="63"/>
    </row>
    <row r="168" spans="6:23" ht="25" customHeight="1">
      <c r="F168" s="53"/>
      <c r="H168" s="55" t="e">
        <f>tbl_PEM[[#This Row],[Qty Complete]]/tbl_PEM[[#This Row],[Qty Required]]</f>
        <v>#DIV/0!</v>
      </c>
      <c r="K168" s="57" t="str">
        <f>IFERROR(tbl_PEM[[#This Row],[Qty Required]]/tbl_PEM[[#This Row],[PPH]]*tbl_PEM[[#This Row],['# of men]],"")</f>
        <v/>
      </c>
      <c r="L168" s="58" t="e">
        <f>tbl_PEM[[#This Row],[Total hours]]*tbl_PEM[[#This Row],[% Complete]]</f>
        <v>#VALUE!</v>
      </c>
      <c r="M168" s="59" t="str">
        <f>IFERROR(tbl_PEM[[#This Row],[Qty Complete]]/tbl_PEM[[#This Row],[Total Hours Act]]*tbl_PEM[[#This Row],['# of men Act]],"")</f>
        <v/>
      </c>
      <c r="O168"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68" s="71" t="str">
        <f>IFERROR((tbl_PEM[[#This Row],[Adj. Total Hours]]+tbl_PEM[[#This Row],[Est. Hours]])/(tbl_PEM[[#This Row],[Total Hours Act]]+tbl_PEM[[#This Row],[Act. Hours]]),"")</f>
        <v/>
      </c>
      <c r="S168" s="63"/>
      <c r="T168" s="63"/>
      <c r="U168" s="63"/>
      <c r="V168" s="63"/>
      <c r="W168" s="63"/>
    </row>
    <row r="169" spans="6:23" ht="25" customHeight="1">
      <c r="F169" s="53"/>
      <c r="H169" s="55" t="e">
        <f>tbl_PEM[[#This Row],[Qty Complete]]/tbl_PEM[[#This Row],[Qty Required]]</f>
        <v>#DIV/0!</v>
      </c>
      <c r="K169" s="57" t="str">
        <f>IFERROR(tbl_PEM[[#This Row],[Qty Required]]/tbl_PEM[[#This Row],[PPH]]*tbl_PEM[[#This Row],['# of men]],"")</f>
        <v/>
      </c>
      <c r="L169" s="58" t="e">
        <f>tbl_PEM[[#This Row],[Total hours]]*tbl_PEM[[#This Row],[% Complete]]</f>
        <v>#VALUE!</v>
      </c>
      <c r="M169" s="59" t="str">
        <f>IFERROR(tbl_PEM[[#This Row],[Qty Complete]]/tbl_PEM[[#This Row],[Total Hours Act]]*tbl_PEM[[#This Row],['# of men Act]],"")</f>
        <v/>
      </c>
      <c r="O169"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69" s="71" t="str">
        <f>IFERROR((tbl_PEM[[#This Row],[Adj. Total Hours]]+tbl_PEM[[#This Row],[Est. Hours]])/(tbl_PEM[[#This Row],[Total Hours Act]]+tbl_PEM[[#This Row],[Act. Hours]]),"")</f>
        <v/>
      </c>
      <c r="S169" s="63"/>
      <c r="T169" s="63"/>
      <c r="U169" s="63"/>
      <c r="V169" s="63"/>
      <c r="W169" s="63"/>
    </row>
    <row r="170" spans="6:23" ht="25" customHeight="1">
      <c r="F170" s="53"/>
      <c r="H170" s="55" t="e">
        <f>tbl_PEM[[#This Row],[Qty Complete]]/tbl_PEM[[#This Row],[Qty Required]]</f>
        <v>#DIV/0!</v>
      </c>
      <c r="K170" s="57" t="str">
        <f>IFERROR(tbl_PEM[[#This Row],[Qty Required]]/tbl_PEM[[#This Row],[PPH]]*tbl_PEM[[#This Row],['# of men]],"")</f>
        <v/>
      </c>
      <c r="L170" s="58" t="e">
        <f>tbl_PEM[[#This Row],[Total hours]]*tbl_PEM[[#This Row],[% Complete]]</f>
        <v>#VALUE!</v>
      </c>
      <c r="M170" s="59" t="str">
        <f>IFERROR(tbl_PEM[[#This Row],[Qty Complete]]/tbl_PEM[[#This Row],[Total Hours Act]]*tbl_PEM[[#This Row],['# of men Act]],"")</f>
        <v/>
      </c>
      <c r="O170"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70" s="71" t="str">
        <f>IFERROR((tbl_PEM[[#This Row],[Adj. Total Hours]]+tbl_PEM[[#This Row],[Est. Hours]])/(tbl_PEM[[#This Row],[Total Hours Act]]+tbl_PEM[[#This Row],[Act. Hours]]),"")</f>
        <v/>
      </c>
      <c r="S170" s="63"/>
      <c r="T170" s="63"/>
      <c r="U170" s="63"/>
      <c r="V170" s="63"/>
      <c r="W170" s="63"/>
    </row>
    <row r="171" spans="6:23" ht="25" customHeight="1">
      <c r="F171" s="53"/>
      <c r="H171" s="55" t="e">
        <f>tbl_PEM[[#This Row],[Qty Complete]]/tbl_PEM[[#This Row],[Qty Required]]</f>
        <v>#DIV/0!</v>
      </c>
      <c r="K171" s="57" t="str">
        <f>IFERROR(tbl_PEM[[#This Row],[Qty Required]]/tbl_PEM[[#This Row],[PPH]]*tbl_PEM[[#This Row],['# of men]],"")</f>
        <v/>
      </c>
      <c r="L171" s="58" t="e">
        <f>tbl_PEM[[#This Row],[Total hours]]*tbl_PEM[[#This Row],[% Complete]]</f>
        <v>#VALUE!</v>
      </c>
      <c r="M171" s="59" t="str">
        <f>IFERROR(tbl_PEM[[#This Row],[Qty Complete]]/tbl_PEM[[#This Row],[Total Hours Act]]*tbl_PEM[[#This Row],['# of men Act]],"")</f>
        <v/>
      </c>
      <c r="O171"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71" s="71" t="str">
        <f>IFERROR((tbl_PEM[[#This Row],[Adj. Total Hours]]+tbl_PEM[[#This Row],[Est. Hours]])/(tbl_PEM[[#This Row],[Total Hours Act]]+tbl_PEM[[#This Row],[Act. Hours]]),"")</f>
        <v/>
      </c>
      <c r="S171" s="63"/>
      <c r="T171" s="63"/>
      <c r="U171" s="63"/>
      <c r="V171" s="63"/>
      <c r="W171" s="63"/>
    </row>
    <row r="172" spans="6:23" ht="25" customHeight="1">
      <c r="F172" s="53"/>
      <c r="H172" s="55" t="e">
        <f>tbl_PEM[[#This Row],[Qty Complete]]/tbl_PEM[[#This Row],[Qty Required]]</f>
        <v>#DIV/0!</v>
      </c>
      <c r="K172" s="57" t="str">
        <f>IFERROR(tbl_PEM[[#This Row],[Qty Required]]/tbl_PEM[[#This Row],[PPH]]*tbl_PEM[[#This Row],['# of men]],"")</f>
        <v/>
      </c>
      <c r="L172" s="58" t="e">
        <f>tbl_PEM[[#This Row],[Total hours]]*tbl_PEM[[#This Row],[% Complete]]</f>
        <v>#VALUE!</v>
      </c>
      <c r="M172" s="59" t="str">
        <f>IFERROR(tbl_PEM[[#This Row],[Qty Complete]]/tbl_PEM[[#This Row],[Total Hours Act]]*tbl_PEM[[#This Row],['# of men Act]],"")</f>
        <v/>
      </c>
      <c r="O172"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72" s="71" t="str">
        <f>IFERROR((tbl_PEM[[#This Row],[Adj. Total Hours]]+tbl_PEM[[#This Row],[Est. Hours]])/(tbl_PEM[[#This Row],[Total Hours Act]]+tbl_PEM[[#This Row],[Act. Hours]]),"")</f>
        <v/>
      </c>
      <c r="S172" s="63"/>
      <c r="T172" s="63"/>
      <c r="U172" s="63"/>
      <c r="V172" s="63"/>
      <c r="W172" s="63"/>
    </row>
    <row r="173" spans="6:23" ht="25" customHeight="1">
      <c r="F173" s="53"/>
      <c r="H173" s="55" t="e">
        <f>tbl_PEM[[#This Row],[Qty Complete]]/tbl_PEM[[#This Row],[Qty Required]]</f>
        <v>#DIV/0!</v>
      </c>
      <c r="K173" s="57" t="str">
        <f>IFERROR(tbl_PEM[[#This Row],[Qty Required]]/tbl_PEM[[#This Row],[PPH]]*tbl_PEM[[#This Row],['# of men]],"")</f>
        <v/>
      </c>
      <c r="L173" s="58" t="e">
        <f>tbl_PEM[[#This Row],[Total hours]]*tbl_PEM[[#This Row],[% Complete]]</f>
        <v>#VALUE!</v>
      </c>
      <c r="M173" s="59" t="str">
        <f>IFERROR(tbl_PEM[[#This Row],[Qty Complete]]/tbl_PEM[[#This Row],[Total Hours Act]]*tbl_PEM[[#This Row],['# of men Act]],"")</f>
        <v/>
      </c>
      <c r="O173"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73" s="71" t="str">
        <f>IFERROR((tbl_PEM[[#This Row],[Adj. Total Hours]]+tbl_PEM[[#This Row],[Est. Hours]])/(tbl_PEM[[#This Row],[Total Hours Act]]+tbl_PEM[[#This Row],[Act. Hours]]),"")</f>
        <v/>
      </c>
      <c r="S173" s="63"/>
      <c r="T173" s="63"/>
      <c r="U173" s="63"/>
      <c r="V173" s="63"/>
      <c r="W173" s="63"/>
    </row>
    <row r="174" spans="6:23" ht="25" customHeight="1">
      <c r="F174" s="53"/>
      <c r="H174" s="55" t="e">
        <f>tbl_PEM[[#This Row],[Qty Complete]]/tbl_PEM[[#This Row],[Qty Required]]</f>
        <v>#DIV/0!</v>
      </c>
      <c r="K174" s="57" t="str">
        <f>IFERROR(tbl_PEM[[#This Row],[Qty Required]]/tbl_PEM[[#This Row],[PPH]]*tbl_PEM[[#This Row],['# of men]],"")</f>
        <v/>
      </c>
      <c r="L174" s="58" t="e">
        <f>tbl_PEM[[#This Row],[Total hours]]*tbl_PEM[[#This Row],[% Complete]]</f>
        <v>#VALUE!</v>
      </c>
      <c r="M174" s="59" t="str">
        <f>IFERROR(tbl_PEM[[#This Row],[Qty Complete]]/tbl_PEM[[#This Row],[Total Hours Act]]*tbl_PEM[[#This Row],['# of men Act]],"")</f>
        <v/>
      </c>
      <c r="O174"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74" s="71" t="str">
        <f>IFERROR((tbl_PEM[[#This Row],[Adj. Total Hours]]+tbl_PEM[[#This Row],[Est. Hours]])/(tbl_PEM[[#This Row],[Total Hours Act]]+tbl_PEM[[#This Row],[Act. Hours]]),"")</f>
        <v/>
      </c>
      <c r="S174" s="63"/>
      <c r="T174" s="63"/>
      <c r="U174" s="63"/>
      <c r="V174" s="63"/>
      <c r="W174" s="63"/>
    </row>
    <row r="175" spans="6:23" ht="25" customHeight="1">
      <c r="F175" s="53"/>
      <c r="H175" s="55" t="e">
        <f>tbl_PEM[[#This Row],[Qty Complete]]/tbl_PEM[[#This Row],[Qty Required]]</f>
        <v>#DIV/0!</v>
      </c>
      <c r="K175" s="57" t="str">
        <f>IFERROR(tbl_PEM[[#This Row],[Qty Required]]/tbl_PEM[[#This Row],[PPH]]*tbl_PEM[[#This Row],['# of men]],"")</f>
        <v/>
      </c>
      <c r="L175" s="58" t="e">
        <f>tbl_PEM[[#This Row],[Total hours]]*tbl_PEM[[#This Row],[% Complete]]</f>
        <v>#VALUE!</v>
      </c>
      <c r="M175" s="59" t="str">
        <f>IFERROR(tbl_PEM[[#This Row],[Qty Complete]]/tbl_PEM[[#This Row],[Total Hours Act]]*tbl_PEM[[#This Row],['# of men Act]],"")</f>
        <v/>
      </c>
      <c r="O175"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75" s="71" t="str">
        <f>IFERROR((tbl_PEM[[#This Row],[Adj. Total Hours]]+tbl_PEM[[#This Row],[Est. Hours]])/(tbl_PEM[[#This Row],[Total Hours Act]]+tbl_PEM[[#This Row],[Act. Hours]]),"")</f>
        <v/>
      </c>
      <c r="S175" s="63"/>
      <c r="T175" s="63"/>
      <c r="U175" s="63"/>
      <c r="V175" s="63"/>
      <c r="W175" s="63"/>
    </row>
    <row r="176" spans="6:23" ht="25" customHeight="1">
      <c r="F176" s="53"/>
      <c r="H176" s="55" t="e">
        <f>tbl_PEM[[#This Row],[Qty Complete]]/tbl_PEM[[#This Row],[Qty Required]]</f>
        <v>#DIV/0!</v>
      </c>
      <c r="K176" s="57" t="str">
        <f>IFERROR(tbl_PEM[[#This Row],[Qty Required]]/tbl_PEM[[#This Row],[PPH]]*tbl_PEM[[#This Row],['# of men]],"")</f>
        <v/>
      </c>
      <c r="L176" s="58" t="e">
        <f>tbl_PEM[[#This Row],[Total hours]]*tbl_PEM[[#This Row],[% Complete]]</f>
        <v>#VALUE!</v>
      </c>
      <c r="M176" s="59" t="str">
        <f>IFERROR(tbl_PEM[[#This Row],[Qty Complete]]/tbl_PEM[[#This Row],[Total Hours Act]]*tbl_PEM[[#This Row],['# of men Act]],"")</f>
        <v/>
      </c>
      <c r="O176"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76" s="71" t="str">
        <f>IFERROR((tbl_PEM[[#This Row],[Adj. Total Hours]]+tbl_PEM[[#This Row],[Est. Hours]])/(tbl_PEM[[#This Row],[Total Hours Act]]+tbl_PEM[[#This Row],[Act. Hours]]),"")</f>
        <v/>
      </c>
      <c r="S176" s="63"/>
      <c r="T176" s="63"/>
      <c r="U176" s="63"/>
      <c r="V176" s="63"/>
      <c r="W176" s="63"/>
    </row>
    <row r="177" spans="6:23" ht="25" customHeight="1">
      <c r="F177" s="53"/>
      <c r="H177" s="55" t="e">
        <f>tbl_PEM[[#This Row],[Qty Complete]]/tbl_PEM[[#This Row],[Qty Required]]</f>
        <v>#DIV/0!</v>
      </c>
      <c r="K177" s="57" t="str">
        <f>IFERROR(tbl_PEM[[#This Row],[Qty Required]]/tbl_PEM[[#This Row],[PPH]]*tbl_PEM[[#This Row],['# of men]],"")</f>
        <v/>
      </c>
      <c r="L177" s="58" t="e">
        <f>tbl_PEM[[#This Row],[Total hours]]*tbl_PEM[[#This Row],[% Complete]]</f>
        <v>#VALUE!</v>
      </c>
      <c r="M177" s="59" t="str">
        <f>IFERROR(tbl_PEM[[#This Row],[Qty Complete]]/tbl_PEM[[#This Row],[Total Hours Act]]*tbl_PEM[[#This Row],['# of men Act]],"")</f>
        <v/>
      </c>
      <c r="O177"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77" s="71" t="str">
        <f>IFERROR((tbl_PEM[[#This Row],[Adj. Total Hours]]+tbl_PEM[[#This Row],[Est. Hours]])/(tbl_PEM[[#This Row],[Total Hours Act]]+tbl_PEM[[#This Row],[Act. Hours]]),"")</f>
        <v/>
      </c>
      <c r="S177" s="63"/>
      <c r="T177" s="63"/>
      <c r="U177" s="63"/>
      <c r="V177" s="63"/>
      <c r="W177" s="63"/>
    </row>
    <row r="178" spans="6:23" ht="25" customHeight="1">
      <c r="F178" s="53"/>
      <c r="H178" s="55" t="e">
        <f>tbl_PEM[[#This Row],[Qty Complete]]/tbl_PEM[[#This Row],[Qty Required]]</f>
        <v>#DIV/0!</v>
      </c>
      <c r="K178" s="57" t="str">
        <f>IFERROR(tbl_PEM[[#This Row],[Qty Required]]/tbl_PEM[[#This Row],[PPH]]*tbl_PEM[[#This Row],['# of men]],"")</f>
        <v/>
      </c>
      <c r="L178" s="58" t="e">
        <f>tbl_PEM[[#This Row],[Total hours]]*tbl_PEM[[#This Row],[% Complete]]</f>
        <v>#VALUE!</v>
      </c>
      <c r="M178" s="59" t="str">
        <f>IFERROR(tbl_PEM[[#This Row],[Qty Complete]]/tbl_PEM[[#This Row],[Total Hours Act]]*tbl_PEM[[#This Row],['# of men Act]],"")</f>
        <v/>
      </c>
      <c r="O178"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78" s="71" t="str">
        <f>IFERROR((tbl_PEM[[#This Row],[Adj. Total Hours]]+tbl_PEM[[#This Row],[Est. Hours]])/(tbl_PEM[[#This Row],[Total Hours Act]]+tbl_PEM[[#This Row],[Act. Hours]]),"")</f>
        <v/>
      </c>
      <c r="S178" s="63"/>
      <c r="T178" s="63"/>
      <c r="U178" s="63"/>
      <c r="V178" s="63"/>
      <c r="W178" s="63"/>
    </row>
    <row r="179" spans="6:23" ht="25" customHeight="1">
      <c r="F179" s="53"/>
      <c r="H179" s="55" t="e">
        <f>tbl_PEM[[#This Row],[Qty Complete]]/tbl_PEM[[#This Row],[Qty Required]]</f>
        <v>#DIV/0!</v>
      </c>
      <c r="K179" s="57" t="str">
        <f>IFERROR(tbl_PEM[[#This Row],[Qty Required]]/tbl_PEM[[#This Row],[PPH]]*tbl_PEM[[#This Row],['# of men]],"")</f>
        <v/>
      </c>
      <c r="L179" s="58" t="e">
        <f>tbl_PEM[[#This Row],[Total hours]]*tbl_PEM[[#This Row],[% Complete]]</f>
        <v>#VALUE!</v>
      </c>
      <c r="M179" s="59" t="str">
        <f>IFERROR(tbl_PEM[[#This Row],[Qty Complete]]/tbl_PEM[[#This Row],[Total Hours Act]]*tbl_PEM[[#This Row],['# of men Act]],"")</f>
        <v/>
      </c>
      <c r="O179"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79" s="71" t="str">
        <f>IFERROR((tbl_PEM[[#This Row],[Adj. Total Hours]]+tbl_PEM[[#This Row],[Est. Hours]])/(tbl_PEM[[#This Row],[Total Hours Act]]+tbl_PEM[[#This Row],[Act. Hours]]),"")</f>
        <v/>
      </c>
      <c r="S179" s="63"/>
      <c r="T179" s="63"/>
      <c r="U179" s="63"/>
      <c r="V179" s="63"/>
      <c r="W179" s="63"/>
    </row>
    <row r="180" spans="6:23" ht="25" customHeight="1">
      <c r="F180" s="53"/>
      <c r="H180" s="55" t="e">
        <f>tbl_PEM[[#This Row],[Qty Complete]]/tbl_PEM[[#This Row],[Qty Required]]</f>
        <v>#DIV/0!</v>
      </c>
      <c r="K180" s="57" t="str">
        <f>IFERROR(tbl_PEM[[#This Row],[Qty Required]]/tbl_PEM[[#This Row],[PPH]]*tbl_PEM[[#This Row],['# of men]],"")</f>
        <v/>
      </c>
      <c r="L180" s="58" t="e">
        <f>tbl_PEM[[#This Row],[Total hours]]*tbl_PEM[[#This Row],[% Complete]]</f>
        <v>#VALUE!</v>
      </c>
      <c r="M180" s="59" t="str">
        <f>IFERROR(tbl_PEM[[#This Row],[Qty Complete]]/tbl_PEM[[#This Row],[Total Hours Act]]*tbl_PEM[[#This Row],['# of men Act]],"")</f>
        <v/>
      </c>
      <c r="O180"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80" s="71" t="str">
        <f>IFERROR((tbl_PEM[[#This Row],[Adj. Total Hours]]+tbl_PEM[[#This Row],[Est. Hours]])/(tbl_PEM[[#This Row],[Total Hours Act]]+tbl_PEM[[#This Row],[Act. Hours]]),"")</f>
        <v/>
      </c>
      <c r="S180" s="63"/>
      <c r="T180" s="63"/>
      <c r="U180" s="63"/>
      <c r="V180" s="63"/>
      <c r="W180" s="63"/>
    </row>
    <row r="181" spans="6:23" ht="25" customHeight="1">
      <c r="F181" s="53"/>
      <c r="H181" s="55" t="e">
        <f>tbl_PEM[[#This Row],[Qty Complete]]/tbl_PEM[[#This Row],[Qty Required]]</f>
        <v>#DIV/0!</v>
      </c>
      <c r="K181" s="57" t="str">
        <f>IFERROR(tbl_PEM[[#This Row],[Qty Required]]/tbl_PEM[[#This Row],[PPH]]*tbl_PEM[[#This Row],['# of men]],"")</f>
        <v/>
      </c>
      <c r="L181" s="58" t="e">
        <f>tbl_PEM[[#This Row],[Total hours]]*tbl_PEM[[#This Row],[% Complete]]</f>
        <v>#VALUE!</v>
      </c>
      <c r="M181" s="59" t="str">
        <f>IFERROR(tbl_PEM[[#This Row],[Qty Complete]]/tbl_PEM[[#This Row],[Total Hours Act]]*tbl_PEM[[#This Row],['# of men Act]],"")</f>
        <v/>
      </c>
      <c r="O181"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81" s="71" t="str">
        <f>IFERROR((tbl_PEM[[#This Row],[Adj. Total Hours]]+tbl_PEM[[#This Row],[Est. Hours]])/(tbl_PEM[[#This Row],[Total Hours Act]]+tbl_PEM[[#This Row],[Act. Hours]]),"")</f>
        <v/>
      </c>
      <c r="S181" s="63"/>
      <c r="T181" s="63"/>
      <c r="U181" s="63"/>
      <c r="V181" s="63"/>
      <c r="W181" s="63"/>
    </row>
    <row r="182" spans="6:23" ht="25" customHeight="1">
      <c r="F182" s="53"/>
      <c r="H182" s="55" t="e">
        <f>tbl_PEM[[#This Row],[Qty Complete]]/tbl_PEM[[#This Row],[Qty Required]]</f>
        <v>#DIV/0!</v>
      </c>
      <c r="K182" s="57" t="str">
        <f>IFERROR(tbl_PEM[[#This Row],[Qty Required]]/tbl_PEM[[#This Row],[PPH]]*tbl_PEM[[#This Row],['# of men]],"")</f>
        <v/>
      </c>
      <c r="L182" s="58" t="e">
        <f>tbl_PEM[[#This Row],[Total hours]]*tbl_PEM[[#This Row],[% Complete]]</f>
        <v>#VALUE!</v>
      </c>
      <c r="M182" s="59" t="str">
        <f>IFERROR(tbl_PEM[[#This Row],[Qty Complete]]/tbl_PEM[[#This Row],[Total Hours Act]]*tbl_PEM[[#This Row],['# of men Act]],"")</f>
        <v/>
      </c>
      <c r="O182"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82" s="71" t="str">
        <f>IFERROR((tbl_PEM[[#This Row],[Adj. Total Hours]]+tbl_PEM[[#This Row],[Est. Hours]])/(tbl_PEM[[#This Row],[Total Hours Act]]+tbl_PEM[[#This Row],[Act. Hours]]),"")</f>
        <v/>
      </c>
      <c r="S182" s="63"/>
      <c r="T182" s="63"/>
      <c r="U182" s="63"/>
      <c r="V182" s="63"/>
      <c r="W182" s="63"/>
    </row>
    <row r="183" spans="6:23" ht="25" customHeight="1">
      <c r="F183" s="53"/>
      <c r="H183" s="55" t="e">
        <f>tbl_PEM[[#This Row],[Qty Complete]]/tbl_PEM[[#This Row],[Qty Required]]</f>
        <v>#DIV/0!</v>
      </c>
      <c r="K183" s="57" t="str">
        <f>IFERROR(tbl_PEM[[#This Row],[Qty Required]]/tbl_PEM[[#This Row],[PPH]]*tbl_PEM[[#This Row],['# of men]],"")</f>
        <v/>
      </c>
      <c r="L183" s="58" t="e">
        <f>tbl_PEM[[#This Row],[Total hours]]*tbl_PEM[[#This Row],[% Complete]]</f>
        <v>#VALUE!</v>
      </c>
      <c r="M183" s="59" t="str">
        <f>IFERROR(tbl_PEM[[#This Row],[Qty Complete]]/tbl_PEM[[#This Row],[Total Hours Act]]*tbl_PEM[[#This Row],['# of men Act]],"")</f>
        <v/>
      </c>
      <c r="O183"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83" s="71" t="str">
        <f>IFERROR((tbl_PEM[[#This Row],[Adj. Total Hours]]+tbl_PEM[[#This Row],[Est. Hours]])/(tbl_PEM[[#This Row],[Total Hours Act]]+tbl_PEM[[#This Row],[Act. Hours]]),"")</f>
        <v/>
      </c>
      <c r="S183" s="63"/>
      <c r="T183" s="63"/>
      <c r="U183" s="63"/>
      <c r="V183" s="63"/>
      <c r="W183" s="63"/>
    </row>
    <row r="184" spans="6:23" ht="25" customHeight="1">
      <c r="F184" s="53"/>
      <c r="H184" s="55" t="e">
        <f>tbl_PEM[[#This Row],[Qty Complete]]/tbl_PEM[[#This Row],[Qty Required]]</f>
        <v>#DIV/0!</v>
      </c>
      <c r="K184" s="57" t="str">
        <f>IFERROR(tbl_PEM[[#This Row],[Qty Required]]/tbl_PEM[[#This Row],[PPH]]*tbl_PEM[[#This Row],['# of men]],"")</f>
        <v/>
      </c>
      <c r="L184" s="58" t="e">
        <f>tbl_PEM[[#This Row],[Total hours]]*tbl_PEM[[#This Row],[% Complete]]</f>
        <v>#VALUE!</v>
      </c>
      <c r="M184" s="59" t="str">
        <f>IFERROR(tbl_PEM[[#This Row],[Qty Complete]]/tbl_PEM[[#This Row],[Total Hours Act]]*tbl_PEM[[#This Row],['# of men Act]],"")</f>
        <v/>
      </c>
      <c r="O184"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84" s="71" t="str">
        <f>IFERROR((tbl_PEM[[#This Row],[Adj. Total Hours]]+tbl_PEM[[#This Row],[Est. Hours]])/(tbl_PEM[[#This Row],[Total Hours Act]]+tbl_PEM[[#This Row],[Act. Hours]]),"")</f>
        <v/>
      </c>
      <c r="S184" s="63"/>
      <c r="T184" s="63"/>
      <c r="U184" s="63"/>
      <c r="V184" s="63"/>
      <c r="W184" s="63"/>
    </row>
    <row r="185" spans="6:23" ht="25" customHeight="1">
      <c r="F185" s="53"/>
      <c r="H185" s="55" t="e">
        <f>tbl_PEM[[#This Row],[Qty Complete]]/tbl_PEM[[#This Row],[Qty Required]]</f>
        <v>#DIV/0!</v>
      </c>
      <c r="K185" s="57" t="str">
        <f>IFERROR(tbl_PEM[[#This Row],[Qty Required]]/tbl_PEM[[#This Row],[PPH]]*tbl_PEM[[#This Row],['# of men]],"")</f>
        <v/>
      </c>
      <c r="L185" s="58" t="e">
        <f>tbl_PEM[[#This Row],[Total hours]]*tbl_PEM[[#This Row],[% Complete]]</f>
        <v>#VALUE!</v>
      </c>
      <c r="M185" s="59" t="str">
        <f>IFERROR(tbl_PEM[[#This Row],[Qty Complete]]/tbl_PEM[[#This Row],[Total Hours Act]]*tbl_PEM[[#This Row],['# of men Act]],"")</f>
        <v/>
      </c>
      <c r="O185"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85" s="71" t="str">
        <f>IFERROR((tbl_PEM[[#This Row],[Adj. Total Hours]]+tbl_PEM[[#This Row],[Est. Hours]])/(tbl_PEM[[#This Row],[Total Hours Act]]+tbl_PEM[[#This Row],[Act. Hours]]),"")</f>
        <v/>
      </c>
      <c r="S185" s="63"/>
      <c r="T185" s="63"/>
      <c r="U185" s="63"/>
      <c r="V185" s="63"/>
      <c r="W185" s="63"/>
    </row>
    <row r="186" spans="6:23" ht="25" customHeight="1">
      <c r="F186" s="53"/>
      <c r="H186" s="55" t="e">
        <f>tbl_PEM[[#This Row],[Qty Complete]]/tbl_PEM[[#This Row],[Qty Required]]</f>
        <v>#DIV/0!</v>
      </c>
      <c r="K186" s="57" t="str">
        <f>IFERROR(tbl_PEM[[#This Row],[Qty Required]]/tbl_PEM[[#This Row],[PPH]]*tbl_PEM[[#This Row],['# of men]],"")</f>
        <v/>
      </c>
      <c r="L186" s="58" t="e">
        <f>tbl_PEM[[#This Row],[Total hours]]*tbl_PEM[[#This Row],[% Complete]]</f>
        <v>#VALUE!</v>
      </c>
      <c r="M186" s="59" t="str">
        <f>IFERROR(tbl_PEM[[#This Row],[Qty Complete]]/tbl_PEM[[#This Row],[Total Hours Act]]*tbl_PEM[[#This Row],['# of men Act]],"")</f>
        <v/>
      </c>
      <c r="O186"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86" s="71" t="str">
        <f>IFERROR((tbl_PEM[[#This Row],[Adj. Total Hours]]+tbl_PEM[[#This Row],[Est. Hours]])/(tbl_PEM[[#This Row],[Total Hours Act]]+tbl_PEM[[#This Row],[Act. Hours]]),"")</f>
        <v/>
      </c>
      <c r="S186" s="63"/>
      <c r="T186" s="63"/>
      <c r="U186" s="63"/>
      <c r="V186" s="63"/>
      <c r="W186" s="63"/>
    </row>
    <row r="187" spans="6:23" ht="25" customHeight="1">
      <c r="F187" s="53"/>
      <c r="H187" s="55" t="e">
        <f>tbl_PEM[[#This Row],[Qty Complete]]/tbl_PEM[[#This Row],[Qty Required]]</f>
        <v>#DIV/0!</v>
      </c>
      <c r="K187" s="57" t="str">
        <f>IFERROR(tbl_PEM[[#This Row],[Qty Required]]/tbl_PEM[[#This Row],[PPH]]*tbl_PEM[[#This Row],['# of men]],"")</f>
        <v/>
      </c>
      <c r="L187" s="58" t="e">
        <f>tbl_PEM[[#This Row],[Total hours]]*tbl_PEM[[#This Row],[% Complete]]</f>
        <v>#VALUE!</v>
      </c>
      <c r="M187" s="59" t="str">
        <f>IFERROR(tbl_PEM[[#This Row],[Qty Complete]]/tbl_PEM[[#This Row],[Total Hours Act]]*tbl_PEM[[#This Row],['# of men Act]],"")</f>
        <v/>
      </c>
      <c r="O187"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87" s="71" t="str">
        <f>IFERROR((tbl_PEM[[#This Row],[Adj. Total Hours]]+tbl_PEM[[#This Row],[Est. Hours]])/(tbl_PEM[[#This Row],[Total Hours Act]]+tbl_PEM[[#This Row],[Act. Hours]]),"")</f>
        <v/>
      </c>
      <c r="S187" s="63"/>
      <c r="T187" s="63"/>
      <c r="U187" s="63"/>
      <c r="V187" s="63"/>
      <c r="W187" s="63"/>
    </row>
    <row r="188" spans="6:23" ht="25" customHeight="1">
      <c r="F188" s="53"/>
      <c r="H188" s="55" t="e">
        <f>tbl_PEM[[#This Row],[Qty Complete]]/tbl_PEM[[#This Row],[Qty Required]]</f>
        <v>#DIV/0!</v>
      </c>
      <c r="K188" s="57" t="str">
        <f>IFERROR(tbl_PEM[[#This Row],[Qty Required]]/tbl_PEM[[#This Row],[PPH]]*tbl_PEM[[#This Row],['# of men]],"")</f>
        <v/>
      </c>
      <c r="L188" s="58" t="e">
        <f>tbl_PEM[[#This Row],[Total hours]]*tbl_PEM[[#This Row],[% Complete]]</f>
        <v>#VALUE!</v>
      </c>
      <c r="M188" s="59" t="str">
        <f>IFERROR(tbl_PEM[[#This Row],[Qty Complete]]/tbl_PEM[[#This Row],[Total Hours Act]]*tbl_PEM[[#This Row],['# of men Act]],"")</f>
        <v/>
      </c>
      <c r="O188"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88" s="71" t="str">
        <f>IFERROR((tbl_PEM[[#This Row],[Adj. Total Hours]]+tbl_PEM[[#This Row],[Est. Hours]])/(tbl_PEM[[#This Row],[Total Hours Act]]+tbl_PEM[[#This Row],[Act. Hours]]),"")</f>
        <v/>
      </c>
      <c r="S188" s="63"/>
      <c r="T188" s="63"/>
      <c r="U188" s="63"/>
      <c r="V188" s="63"/>
      <c r="W188" s="63"/>
    </row>
    <row r="189" spans="6:23" ht="25" customHeight="1">
      <c r="F189" s="53"/>
      <c r="H189" s="55" t="e">
        <f>tbl_PEM[[#This Row],[Qty Complete]]/tbl_PEM[[#This Row],[Qty Required]]</f>
        <v>#DIV/0!</v>
      </c>
      <c r="K189" s="57" t="str">
        <f>IFERROR(tbl_PEM[[#This Row],[Qty Required]]/tbl_PEM[[#This Row],[PPH]]*tbl_PEM[[#This Row],['# of men]],"")</f>
        <v/>
      </c>
      <c r="L189" s="58" t="e">
        <f>tbl_PEM[[#This Row],[Total hours]]*tbl_PEM[[#This Row],[% Complete]]</f>
        <v>#VALUE!</v>
      </c>
      <c r="M189" s="59" t="str">
        <f>IFERROR(tbl_PEM[[#This Row],[Qty Complete]]/tbl_PEM[[#This Row],[Total Hours Act]]*tbl_PEM[[#This Row],['# of men Act]],"")</f>
        <v/>
      </c>
      <c r="O189"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89" s="71" t="str">
        <f>IFERROR((tbl_PEM[[#This Row],[Adj. Total Hours]]+tbl_PEM[[#This Row],[Est. Hours]])/(tbl_PEM[[#This Row],[Total Hours Act]]+tbl_PEM[[#This Row],[Act. Hours]]),"")</f>
        <v/>
      </c>
      <c r="S189" s="63"/>
      <c r="T189" s="63"/>
      <c r="U189" s="63"/>
      <c r="V189" s="63"/>
      <c r="W189" s="63"/>
    </row>
    <row r="190" spans="6:23" ht="25" customHeight="1">
      <c r="F190" s="53"/>
      <c r="H190" s="55" t="e">
        <f>tbl_PEM[[#This Row],[Qty Complete]]/tbl_PEM[[#This Row],[Qty Required]]</f>
        <v>#DIV/0!</v>
      </c>
      <c r="K190" s="57" t="str">
        <f>IFERROR(tbl_PEM[[#This Row],[Qty Required]]/tbl_PEM[[#This Row],[PPH]]*tbl_PEM[[#This Row],['# of men]],"")</f>
        <v/>
      </c>
      <c r="L190" s="58" t="e">
        <f>tbl_PEM[[#This Row],[Total hours]]*tbl_PEM[[#This Row],[% Complete]]</f>
        <v>#VALUE!</v>
      </c>
      <c r="M190" s="59" t="str">
        <f>IFERROR(tbl_PEM[[#This Row],[Qty Complete]]/tbl_PEM[[#This Row],[Total Hours Act]]*tbl_PEM[[#This Row],['# of men Act]],"")</f>
        <v/>
      </c>
      <c r="O190"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90" s="71" t="str">
        <f>IFERROR((tbl_PEM[[#This Row],[Adj. Total Hours]]+tbl_PEM[[#This Row],[Est. Hours]])/(tbl_PEM[[#This Row],[Total Hours Act]]+tbl_PEM[[#This Row],[Act. Hours]]),"")</f>
        <v/>
      </c>
      <c r="S190" s="63"/>
      <c r="T190" s="63"/>
      <c r="U190" s="63"/>
      <c r="V190" s="63"/>
      <c r="W190" s="63"/>
    </row>
    <row r="191" spans="6:23" ht="25" customHeight="1">
      <c r="F191" s="53"/>
      <c r="H191" s="55" t="e">
        <f>tbl_PEM[[#This Row],[Qty Complete]]/tbl_PEM[[#This Row],[Qty Required]]</f>
        <v>#DIV/0!</v>
      </c>
      <c r="K191" s="57" t="str">
        <f>IFERROR(tbl_PEM[[#This Row],[Qty Required]]/tbl_PEM[[#This Row],[PPH]]*tbl_PEM[[#This Row],['# of men]],"")</f>
        <v/>
      </c>
      <c r="L191" s="58" t="e">
        <f>tbl_PEM[[#This Row],[Total hours]]*tbl_PEM[[#This Row],[% Complete]]</f>
        <v>#VALUE!</v>
      </c>
      <c r="M191" s="59" t="str">
        <f>IFERROR(tbl_PEM[[#This Row],[Qty Complete]]/tbl_PEM[[#This Row],[Total Hours Act]]*tbl_PEM[[#This Row],['# of men Act]],"")</f>
        <v/>
      </c>
      <c r="O191"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91" s="71" t="str">
        <f>IFERROR((tbl_PEM[[#This Row],[Adj. Total Hours]]+tbl_PEM[[#This Row],[Est. Hours]])/(tbl_PEM[[#This Row],[Total Hours Act]]+tbl_PEM[[#This Row],[Act. Hours]]),"")</f>
        <v/>
      </c>
      <c r="S191" s="63"/>
      <c r="T191" s="63"/>
      <c r="U191" s="63"/>
      <c r="V191" s="63"/>
      <c r="W191" s="63"/>
    </row>
    <row r="192" spans="6:23" ht="25" customHeight="1">
      <c r="F192" s="53"/>
      <c r="H192" s="55" t="e">
        <f>tbl_PEM[[#This Row],[Qty Complete]]/tbl_PEM[[#This Row],[Qty Required]]</f>
        <v>#DIV/0!</v>
      </c>
      <c r="K192" s="57" t="str">
        <f>IFERROR(tbl_PEM[[#This Row],[Qty Required]]/tbl_PEM[[#This Row],[PPH]]*tbl_PEM[[#This Row],['# of men]],"")</f>
        <v/>
      </c>
      <c r="L192" s="58" t="e">
        <f>tbl_PEM[[#This Row],[Total hours]]*tbl_PEM[[#This Row],[% Complete]]</f>
        <v>#VALUE!</v>
      </c>
      <c r="M192" s="59" t="str">
        <f>IFERROR(tbl_PEM[[#This Row],[Qty Complete]]/tbl_PEM[[#This Row],[Total Hours Act]]*tbl_PEM[[#This Row],['# of men Act]],"")</f>
        <v/>
      </c>
      <c r="O192"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92" s="71" t="str">
        <f>IFERROR((tbl_PEM[[#This Row],[Adj. Total Hours]]+tbl_PEM[[#This Row],[Est. Hours]])/(tbl_PEM[[#This Row],[Total Hours Act]]+tbl_PEM[[#This Row],[Act. Hours]]),"")</f>
        <v/>
      </c>
      <c r="S192" s="63"/>
      <c r="T192" s="63"/>
      <c r="U192" s="63"/>
      <c r="V192" s="63"/>
      <c r="W192" s="63"/>
    </row>
    <row r="193" spans="6:23" ht="25" customHeight="1">
      <c r="F193" s="53"/>
      <c r="H193" s="55" t="e">
        <f>tbl_PEM[[#This Row],[Qty Complete]]/tbl_PEM[[#This Row],[Qty Required]]</f>
        <v>#DIV/0!</v>
      </c>
      <c r="K193" s="57" t="str">
        <f>IFERROR(tbl_PEM[[#This Row],[Qty Required]]/tbl_PEM[[#This Row],[PPH]]*tbl_PEM[[#This Row],['# of men]],"")</f>
        <v/>
      </c>
      <c r="L193" s="58" t="e">
        <f>tbl_PEM[[#This Row],[Total hours]]*tbl_PEM[[#This Row],[% Complete]]</f>
        <v>#VALUE!</v>
      </c>
      <c r="M193" s="59" t="str">
        <f>IFERROR(tbl_PEM[[#This Row],[Qty Complete]]/tbl_PEM[[#This Row],[Total Hours Act]]*tbl_PEM[[#This Row],['# of men Act]],"")</f>
        <v/>
      </c>
      <c r="O193"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93" s="71" t="str">
        <f>IFERROR((tbl_PEM[[#This Row],[Adj. Total Hours]]+tbl_PEM[[#This Row],[Est. Hours]])/(tbl_PEM[[#This Row],[Total Hours Act]]+tbl_PEM[[#This Row],[Act. Hours]]),"")</f>
        <v/>
      </c>
      <c r="S193" s="63"/>
      <c r="T193" s="63"/>
      <c r="U193" s="63"/>
      <c r="V193" s="63"/>
      <c r="W193" s="63"/>
    </row>
    <row r="194" spans="6:23" ht="25" customHeight="1">
      <c r="F194" s="53"/>
      <c r="H194" s="55" t="e">
        <f>tbl_PEM[[#This Row],[Qty Complete]]/tbl_PEM[[#This Row],[Qty Required]]</f>
        <v>#DIV/0!</v>
      </c>
      <c r="K194" s="57" t="str">
        <f>IFERROR(tbl_PEM[[#This Row],[Qty Required]]/tbl_PEM[[#This Row],[PPH]]*tbl_PEM[[#This Row],['# of men]],"")</f>
        <v/>
      </c>
      <c r="L194" s="58" t="e">
        <f>tbl_PEM[[#This Row],[Total hours]]*tbl_PEM[[#This Row],[% Complete]]</f>
        <v>#VALUE!</v>
      </c>
      <c r="M194" s="59" t="str">
        <f>IFERROR(tbl_PEM[[#This Row],[Qty Complete]]/tbl_PEM[[#This Row],[Total Hours Act]]*tbl_PEM[[#This Row],['# of men Act]],"")</f>
        <v/>
      </c>
      <c r="O194"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94" s="71" t="str">
        <f>IFERROR((tbl_PEM[[#This Row],[Adj. Total Hours]]+tbl_PEM[[#This Row],[Est. Hours]])/(tbl_PEM[[#This Row],[Total Hours Act]]+tbl_PEM[[#This Row],[Act. Hours]]),"")</f>
        <v/>
      </c>
      <c r="S194" s="63"/>
      <c r="T194" s="63"/>
      <c r="U194" s="63"/>
      <c r="V194" s="63"/>
      <c r="W194" s="63"/>
    </row>
    <row r="195" spans="6:23" ht="25" customHeight="1">
      <c r="F195" s="53"/>
      <c r="H195" s="55" t="e">
        <f>tbl_PEM[[#This Row],[Qty Complete]]/tbl_PEM[[#This Row],[Qty Required]]</f>
        <v>#DIV/0!</v>
      </c>
      <c r="K195" s="57" t="str">
        <f>IFERROR(tbl_PEM[[#This Row],[Qty Required]]/tbl_PEM[[#This Row],[PPH]]*tbl_PEM[[#This Row],['# of men]],"")</f>
        <v/>
      </c>
      <c r="L195" s="58" t="e">
        <f>tbl_PEM[[#This Row],[Total hours]]*tbl_PEM[[#This Row],[% Complete]]</f>
        <v>#VALUE!</v>
      </c>
      <c r="M195" s="59" t="str">
        <f>IFERROR(tbl_PEM[[#This Row],[Qty Complete]]/tbl_PEM[[#This Row],[Total Hours Act]]*tbl_PEM[[#This Row],['# of men Act]],"")</f>
        <v/>
      </c>
      <c r="O195"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95" s="71" t="str">
        <f>IFERROR((tbl_PEM[[#This Row],[Adj. Total Hours]]+tbl_PEM[[#This Row],[Est. Hours]])/(tbl_PEM[[#This Row],[Total Hours Act]]+tbl_PEM[[#This Row],[Act. Hours]]),"")</f>
        <v/>
      </c>
      <c r="S195" s="63"/>
      <c r="T195" s="63"/>
      <c r="U195" s="63"/>
      <c r="V195" s="63"/>
      <c r="W195" s="63"/>
    </row>
    <row r="196" spans="6:23" ht="25" customHeight="1">
      <c r="F196" s="53"/>
      <c r="H196" s="55" t="e">
        <f>tbl_PEM[[#This Row],[Qty Complete]]/tbl_PEM[[#This Row],[Qty Required]]</f>
        <v>#DIV/0!</v>
      </c>
      <c r="K196" s="57" t="str">
        <f>IFERROR(tbl_PEM[[#This Row],[Qty Required]]/tbl_PEM[[#This Row],[PPH]]*tbl_PEM[[#This Row],['# of men]],"")</f>
        <v/>
      </c>
      <c r="L196" s="58" t="e">
        <f>tbl_PEM[[#This Row],[Total hours]]*tbl_PEM[[#This Row],[% Complete]]</f>
        <v>#VALUE!</v>
      </c>
      <c r="M196" s="59" t="str">
        <f>IFERROR(tbl_PEM[[#This Row],[Qty Complete]]/tbl_PEM[[#This Row],[Total Hours Act]]*tbl_PEM[[#This Row],['# of men Act]],"")</f>
        <v/>
      </c>
      <c r="O196"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96" s="71" t="str">
        <f>IFERROR((tbl_PEM[[#This Row],[Adj. Total Hours]]+tbl_PEM[[#This Row],[Est. Hours]])/(tbl_PEM[[#This Row],[Total Hours Act]]+tbl_PEM[[#This Row],[Act. Hours]]),"")</f>
        <v/>
      </c>
      <c r="S196" s="63"/>
      <c r="T196" s="63"/>
      <c r="U196" s="63"/>
      <c r="V196" s="63"/>
      <c r="W196" s="63"/>
    </row>
    <row r="197" spans="6:23" ht="25" customHeight="1">
      <c r="F197" s="53"/>
      <c r="H197" s="55" t="e">
        <f>tbl_PEM[[#This Row],[Qty Complete]]/tbl_PEM[[#This Row],[Qty Required]]</f>
        <v>#DIV/0!</v>
      </c>
      <c r="K197" s="57" t="str">
        <f>IFERROR(tbl_PEM[[#This Row],[Qty Required]]/tbl_PEM[[#This Row],[PPH]]*tbl_PEM[[#This Row],['# of men]],"")</f>
        <v/>
      </c>
      <c r="L197" s="58" t="e">
        <f>tbl_PEM[[#This Row],[Total hours]]*tbl_PEM[[#This Row],[% Complete]]</f>
        <v>#VALUE!</v>
      </c>
      <c r="M197" s="59" t="str">
        <f>IFERROR(tbl_PEM[[#This Row],[Qty Complete]]/tbl_PEM[[#This Row],[Total Hours Act]]*tbl_PEM[[#This Row],['# of men Act]],"")</f>
        <v/>
      </c>
      <c r="O197"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97" s="71" t="str">
        <f>IFERROR((tbl_PEM[[#This Row],[Adj. Total Hours]]+tbl_PEM[[#This Row],[Est. Hours]])/(tbl_PEM[[#This Row],[Total Hours Act]]+tbl_PEM[[#This Row],[Act. Hours]]),"")</f>
        <v/>
      </c>
      <c r="S197" s="63"/>
      <c r="T197" s="63"/>
      <c r="U197" s="63"/>
      <c r="V197" s="63"/>
      <c r="W197" s="63"/>
    </row>
    <row r="198" spans="6:23" ht="25" customHeight="1">
      <c r="F198" s="53"/>
      <c r="H198" s="55" t="e">
        <f>tbl_PEM[[#This Row],[Qty Complete]]/tbl_PEM[[#This Row],[Qty Required]]</f>
        <v>#DIV/0!</v>
      </c>
      <c r="K198" s="57" t="str">
        <f>IFERROR(tbl_PEM[[#This Row],[Qty Required]]/tbl_PEM[[#This Row],[PPH]]*tbl_PEM[[#This Row],['# of men]],"")</f>
        <v/>
      </c>
      <c r="L198" s="58" t="e">
        <f>tbl_PEM[[#This Row],[Total hours]]*tbl_PEM[[#This Row],[% Complete]]</f>
        <v>#VALUE!</v>
      </c>
      <c r="M198" s="59" t="str">
        <f>IFERROR(tbl_PEM[[#This Row],[Qty Complete]]/tbl_PEM[[#This Row],[Total Hours Act]]*tbl_PEM[[#This Row],['# of men Act]],"")</f>
        <v/>
      </c>
      <c r="O198"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98" s="71" t="str">
        <f>IFERROR((tbl_PEM[[#This Row],[Adj. Total Hours]]+tbl_PEM[[#This Row],[Est. Hours]])/(tbl_PEM[[#This Row],[Total Hours Act]]+tbl_PEM[[#This Row],[Act. Hours]]),"")</f>
        <v/>
      </c>
      <c r="S198" s="63"/>
      <c r="T198" s="63"/>
      <c r="U198" s="63"/>
      <c r="V198" s="63"/>
      <c r="W198" s="63"/>
    </row>
    <row r="199" spans="6:23" ht="25" customHeight="1">
      <c r="F199" s="53"/>
      <c r="H199" s="55" t="e">
        <f>tbl_PEM[[#This Row],[Qty Complete]]/tbl_PEM[[#This Row],[Qty Required]]</f>
        <v>#DIV/0!</v>
      </c>
      <c r="K199" s="57" t="str">
        <f>IFERROR(tbl_PEM[[#This Row],[Qty Required]]/tbl_PEM[[#This Row],[PPH]]*tbl_PEM[[#This Row],['# of men]],"")</f>
        <v/>
      </c>
      <c r="L199" s="58" t="e">
        <f>tbl_PEM[[#This Row],[Total hours]]*tbl_PEM[[#This Row],[% Complete]]</f>
        <v>#VALUE!</v>
      </c>
      <c r="M199" s="59" t="str">
        <f>IFERROR(tbl_PEM[[#This Row],[Qty Complete]]/tbl_PEM[[#This Row],[Total Hours Act]]*tbl_PEM[[#This Row],['# of men Act]],"")</f>
        <v/>
      </c>
      <c r="O199"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199" s="71" t="str">
        <f>IFERROR((tbl_PEM[[#This Row],[Adj. Total Hours]]+tbl_PEM[[#This Row],[Est. Hours]])/(tbl_PEM[[#This Row],[Total Hours Act]]+tbl_PEM[[#This Row],[Act. Hours]]),"")</f>
        <v/>
      </c>
      <c r="S199" s="63"/>
      <c r="T199" s="63"/>
      <c r="U199" s="63"/>
      <c r="V199" s="63"/>
      <c r="W199" s="63"/>
    </row>
    <row r="200" spans="6:23" ht="25" customHeight="1">
      <c r="F200" s="53"/>
      <c r="H200" s="55" t="e">
        <f>tbl_PEM[[#This Row],[Qty Complete]]/tbl_PEM[[#This Row],[Qty Required]]</f>
        <v>#DIV/0!</v>
      </c>
      <c r="K200" s="57" t="str">
        <f>IFERROR(tbl_PEM[[#This Row],[Qty Required]]/tbl_PEM[[#This Row],[PPH]]*tbl_PEM[[#This Row],['# of men]],"")</f>
        <v/>
      </c>
      <c r="L200" s="58" t="e">
        <f>tbl_PEM[[#This Row],[Total hours]]*tbl_PEM[[#This Row],[% Complete]]</f>
        <v>#VALUE!</v>
      </c>
      <c r="M200" s="59" t="str">
        <f>IFERROR(tbl_PEM[[#This Row],[Qty Complete]]/tbl_PEM[[#This Row],[Total Hours Act]]*tbl_PEM[[#This Row],['# of men Act]],"")</f>
        <v/>
      </c>
      <c r="O200"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00" s="71" t="str">
        <f>IFERROR((tbl_PEM[[#This Row],[Adj. Total Hours]]+tbl_PEM[[#This Row],[Est. Hours]])/(tbl_PEM[[#This Row],[Total Hours Act]]+tbl_PEM[[#This Row],[Act. Hours]]),"")</f>
        <v/>
      </c>
      <c r="S200" s="63"/>
      <c r="T200" s="63"/>
      <c r="U200" s="63"/>
      <c r="V200" s="63"/>
      <c r="W200" s="63"/>
    </row>
    <row r="201" spans="6:23" ht="25" customHeight="1">
      <c r="F201" s="53"/>
      <c r="H201" s="55" t="e">
        <f>tbl_PEM[[#This Row],[Qty Complete]]/tbl_PEM[[#This Row],[Qty Required]]</f>
        <v>#DIV/0!</v>
      </c>
      <c r="K201" s="57" t="str">
        <f>IFERROR(tbl_PEM[[#This Row],[Qty Required]]/tbl_PEM[[#This Row],[PPH]]*tbl_PEM[[#This Row],['# of men]],"")</f>
        <v/>
      </c>
      <c r="L201" s="58" t="e">
        <f>tbl_PEM[[#This Row],[Total hours]]*tbl_PEM[[#This Row],[% Complete]]</f>
        <v>#VALUE!</v>
      </c>
      <c r="M201" s="59" t="str">
        <f>IFERROR(tbl_PEM[[#This Row],[Qty Complete]]/tbl_PEM[[#This Row],[Total Hours Act]]*tbl_PEM[[#This Row],['# of men Act]],"")</f>
        <v/>
      </c>
      <c r="O201"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01" s="71" t="str">
        <f>IFERROR((tbl_PEM[[#This Row],[Adj. Total Hours]]+tbl_PEM[[#This Row],[Est. Hours]])/(tbl_PEM[[#This Row],[Total Hours Act]]+tbl_PEM[[#This Row],[Act. Hours]]),"")</f>
        <v/>
      </c>
      <c r="S201" s="63"/>
      <c r="T201" s="63"/>
      <c r="U201" s="63"/>
      <c r="V201" s="63"/>
      <c r="W201" s="63"/>
    </row>
    <row r="202" spans="6:23" ht="25" customHeight="1">
      <c r="F202" s="53"/>
      <c r="H202" s="55" t="e">
        <f>tbl_PEM[[#This Row],[Qty Complete]]/tbl_PEM[[#This Row],[Qty Required]]</f>
        <v>#DIV/0!</v>
      </c>
      <c r="K202" s="57" t="str">
        <f>IFERROR(tbl_PEM[[#This Row],[Qty Required]]/tbl_PEM[[#This Row],[PPH]]*tbl_PEM[[#This Row],['# of men]],"")</f>
        <v/>
      </c>
      <c r="L202" s="58" t="e">
        <f>tbl_PEM[[#This Row],[Total hours]]*tbl_PEM[[#This Row],[% Complete]]</f>
        <v>#VALUE!</v>
      </c>
      <c r="M202" s="59" t="str">
        <f>IFERROR(tbl_PEM[[#This Row],[Qty Complete]]/tbl_PEM[[#This Row],[Total Hours Act]]*tbl_PEM[[#This Row],['# of men Act]],"")</f>
        <v/>
      </c>
      <c r="O202"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02" s="71" t="str">
        <f>IFERROR((tbl_PEM[[#This Row],[Adj. Total Hours]]+tbl_PEM[[#This Row],[Est. Hours]])/(tbl_PEM[[#This Row],[Total Hours Act]]+tbl_PEM[[#This Row],[Act. Hours]]),"")</f>
        <v/>
      </c>
      <c r="S202" s="63"/>
      <c r="T202" s="63"/>
      <c r="U202" s="63"/>
      <c r="V202" s="63"/>
      <c r="W202" s="63"/>
    </row>
    <row r="203" spans="6:23" ht="25" customHeight="1">
      <c r="F203" s="53"/>
      <c r="H203" s="55" t="e">
        <f>tbl_PEM[[#This Row],[Qty Complete]]/tbl_PEM[[#This Row],[Qty Required]]</f>
        <v>#DIV/0!</v>
      </c>
      <c r="K203" s="57" t="str">
        <f>IFERROR(tbl_PEM[[#This Row],[Qty Required]]/tbl_PEM[[#This Row],[PPH]]*tbl_PEM[[#This Row],['# of men]],"")</f>
        <v/>
      </c>
      <c r="L203" s="58" t="e">
        <f>tbl_PEM[[#This Row],[Total hours]]*tbl_PEM[[#This Row],[% Complete]]</f>
        <v>#VALUE!</v>
      </c>
      <c r="M203" s="59" t="str">
        <f>IFERROR(tbl_PEM[[#This Row],[Qty Complete]]/tbl_PEM[[#This Row],[Total Hours Act]]*tbl_PEM[[#This Row],['# of men Act]],"")</f>
        <v/>
      </c>
      <c r="O203"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03" s="71" t="str">
        <f>IFERROR((tbl_PEM[[#This Row],[Adj. Total Hours]]+tbl_PEM[[#This Row],[Est. Hours]])/(tbl_PEM[[#This Row],[Total Hours Act]]+tbl_PEM[[#This Row],[Act. Hours]]),"")</f>
        <v/>
      </c>
      <c r="S203" s="63"/>
      <c r="T203" s="63"/>
      <c r="U203" s="63"/>
      <c r="V203" s="63"/>
      <c r="W203" s="63"/>
    </row>
    <row r="204" spans="6:23" ht="25" customHeight="1">
      <c r="F204" s="53"/>
      <c r="H204" s="55" t="e">
        <f>tbl_PEM[[#This Row],[Qty Complete]]/tbl_PEM[[#This Row],[Qty Required]]</f>
        <v>#DIV/0!</v>
      </c>
      <c r="K204" s="57" t="str">
        <f>IFERROR(tbl_PEM[[#This Row],[Qty Required]]/tbl_PEM[[#This Row],[PPH]]*tbl_PEM[[#This Row],['# of men]],"")</f>
        <v/>
      </c>
      <c r="L204" s="58" t="e">
        <f>tbl_PEM[[#This Row],[Total hours]]*tbl_PEM[[#This Row],[% Complete]]</f>
        <v>#VALUE!</v>
      </c>
      <c r="M204" s="59" t="str">
        <f>IFERROR(tbl_PEM[[#This Row],[Qty Complete]]/tbl_PEM[[#This Row],[Total Hours Act]]*tbl_PEM[[#This Row],['# of men Act]],"")</f>
        <v/>
      </c>
      <c r="O204"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04" s="71" t="str">
        <f>IFERROR((tbl_PEM[[#This Row],[Adj. Total Hours]]+tbl_PEM[[#This Row],[Est. Hours]])/(tbl_PEM[[#This Row],[Total Hours Act]]+tbl_PEM[[#This Row],[Act. Hours]]),"")</f>
        <v/>
      </c>
      <c r="S204" s="63"/>
      <c r="T204" s="63"/>
      <c r="U204" s="63"/>
      <c r="V204" s="63"/>
      <c r="W204" s="63"/>
    </row>
    <row r="205" spans="6:23" ht="25" customHeight="1">
      <c r="F205" s="53"/>
      <c r="H205" s="55" t="e">
        <f>tbl_PEM[[#This Row],[Qty Complete]]/tbl_PEM[[#This Row],[Qty Required]]</f>
        <v>#DIV/0!</v>
      </c>
      <c r="K205" s="57" t="str">
        <f>IFERROR(tbl_PEM[[#This Row],[Qty Required]]/tbl_PEM[[#This Row],[PPH]]*tbl_PEM[[#This Row],['# of men]],"")</f>
        <v/>
      </c>
      <c r="L205" s="58" t="e">
        <f>tbl_PEM[[#This Row],[Total hours]]*tbl_PEM[[#This Row],[% Complete]]</f>
        <v>#VALUE!</v>
      </c>
      <c r="M205" s="59" t="str">
        <f>IFERROR(tbl_PEM[[#This Row],[Qty Complete]]/tbl_PEM[[#This Row],[Total Hours Act]]*tbl_PEM[[#This Row],['# of men Act]],"")</f>
        <v/>
      </c>
      <c r="O205"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05" s="71" t="str">
        <f>IFERROR((tbl_PEM[[#This Row],[Adj. Total Hours]]+tbl_PEM[[#This Row],[Est. Hours]])/(tbl_PEM[[#This Row],[Total Hours Act]]+tbl_PEM[[#This Row],[Act. Hours]]),"")</f>
        <v/>
      </c>
      <c r="S205" s="63"/>
      <c r="T205" s="63"/>
      <c r="U205" s="63"/>
      <c r="V205" s="63"/>
      <c r="W205" s="63"/>
    </row>
    <row r="206" spans="6:23" ht="25" customHeight="1">
      <c r="F206" s="53"/>
      <c r="H206" s="55" t="e">
        <f>tbl_PEM[[#This Row],[Qty Complete]]/tbl_PEM[[#This Row],[Qty Required]]</f>
        <v>#DIV/0!</v>
      </c>
      <c r="K206" s="57" t="str">
        <f>IFERROR(tbl_PEM[[#This Row],[Qty Required]]/tbl_PEM[[#This Row],[PPH]]*tbl_PEM[[#This Row],['# of men]],"")</f>
        <v/>
      </c>
      <c r="L206" s="58" t="e">
        <f>tbl_PEM[[#This Row],[Total hours]]*tbl_PEM[[#This Row],[% Complete]]</f>
        <v>#VALUE!</v>
      </c>
      <c r="M206" s="59" t="str">
        <f>IFERROR(tbl_PEM[[#This Row],[Qty Complete]]/tbl_PEM[[#This Row],[Total Hours Act]]*tbl_PEM[[#This Row],['# of men Act]],"")</f>
        <v/>
      </c>
      <c r="O206"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06" s="71" t="str">
        <f>IFERROR((tbl_PEM[[#This Row],[Adj. Total Hours]]+tbl_PEM[[#This Row],[Est. Hours]])/(tbl_PEM[[#This Row],[Total Hours Act]]+tbl_PEM[[#This Row],[Act. Hours]]),"")</f>
        <v/>
      </c>
      <c r="S206" s="63"/>
      <c r="T206" s="63"/>
      <c r="U206" s="63"/>
      <c r="V206" s="63"/>
      <c r="W206" s="63"/>
    </row>
    <row r="207" spans="6:23" ht="25" customHeight="1">
      <c r="F207" s="53"/>
      <c r="H207" s="55" t="e">
        <f>tbl_PEM[[#This Row],[Qty Complete]]/tbl_PEM[[#This Row],[Qty Required]]</f>
        <v>#DIV/0!</v>
      </c>
      <c r="K207" s="57" t="str">
        <f>IFERROR(tbl_PEM[[#This Row],[Qty Required]]/tbl_PEM[[#This Row],[PPH]]*tbl_PEM[[#This Row],['# of men]],"")</f>
        <v/>
      </c>
      <c r="L207" s="58" t="e">
        <f>tbl_PEM[[#This Row],[Total hours]]*tbl_PEM[[#This Row],[% Complete]]</f>
        <v>#VALUE!</v>
      </c>
      <c r="M207" s="59" t="str">
        <f>IFERROR(tbl_PEM[[#This Row],[Qty Complete]]/tbl_PEM[[#This Row],[Total Hours Act]]*tbl_PEM[[#This Row],['# of men Act]],"")</f>
        <v/>
      </c>
      <c r="O207"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07" s="71" t="str">
        <f>IFERROR((tbl_PEM[[#This Row],[Adj. Total Hours]]+tbl_PEM[[#This Row],[Est. Hours]])/(tbl_PEM[[#This Row],[Total Hours Act]]+tbl_PEM[[#This Row],[Act. Hours]]),"")</f>
        <v/>
      </c>
      <c r="S207" s="63"/>
      <c r="T207" s="63"/>
      <c r="U207" s="63"/>
      <c r="V207" s="63"/>
      <c r="W207" s="63"/>
    </row>
    <row r="208" spans="6:23" ht="25" customHeight="1">
      <c r="F208" s="53"/>
      <c r="H208" s="55" t="e">
        <f>tbl_PEM[[#This Row],[Qty Complete]]/tbl_PEM[[#This Row],[Qty Required]]</f>
        <v>#DIV/0!</v>
      </c>
      <c r="K208" s="57" t="str">
        <f>IFERROR(tbl_PEM[[#This Row],[Qty Required]]/tbl_PEM[[#This Row],[PPH]]*tbl_PEM[[#This Row],['# of men]],"")</f>
        <v/>
      </c>
      <c r="L208" s="58" t="e">
        <f>tbl_PEM[[#This Row],[Total hours]]*tbl_PEM[[#This Row],[% Complete]]</f>
        <v>#VALUE!</v>
      </c>
      <c r="M208" s="59" t="str">
        <f>IFERROR(tbl_PEM[[#This Row],[Qty Complete]]/tbl_PEM[[#This Row],[Total Hours Act]]*tbl_PEM[[#This Row],['# of men Act]],"")</f>
        <v/>
      </c>
      <c r="O208"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08" s="71" t="str">
        <f>IFERROR((tbl_PEM[[#This Row],[Adj. Total Hours]]+tbl_PEM[[#This Row],[Est. Hours]])/(tbl_PEM[[#This Row],[Total Hours Act]]+tbl_PEM[[#This Row],[Act. Hours]]),"")</f>
        <v/>
      </c>
      <c r="S208" s="63"/>
      <c r="T208" s="63"/>
      <c r="U208" s="63"/>
      <c r="V208" s="63"/>
      <c r="W208" s="63"/>
    </row>
    <row r="209" spans="6:23" ht="25" customHeight="1">
      <c r="F209" s="53"/>
      <c r="H209" s="55" t="e">
        <f>tbl_PEM[[#This Row],[Qty Complete]]/tbl_PEM[[#This Row],[Qty Required]]</f>
        <v>#DIV/0!</v>
      </c>
      <c r="K209" s="57" t="str">
        <f>IFERROR(tbl_PEM[[#This Row],[Qty Required]]/tbl_PEM[[#This Row],[PPH]]*tbl_PEM[[#This Row],['# of men]],"")</f>
        <v/>
      </c>
      <c r="L209" s="58" t="e">
        <f>tbl_PEM[[#This Row],[Total hours]]*tbl_PEM[[#This Row],[% Complete]]</f>
        <v>#VALUE!</v>
      </c>
      <c r="M209" s="59" t="str">
        <f>IFERROR(tbl_PEM[[#This Row],[Qty Complete]]/tbl_PEM[[#This Row],[Total Hours Act]]*tbl_PEM[[#This Row],['# of men Act]],"")</f>
        <v/>
      </c>
      <c r="O209"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09" s="71" t="str">
        <f>IFERROR((tbl_PEM[[#This Row],[Adj. Total Hours]]+tbl_PEM[[#This Row],[Est. Hours]])/(tbl_PEM[[#This Row],[Total Hours Act]]+tbl_PEM[[#This Row],[Act. Hours]]),"")</f>
        <v/>
      </c>
      <c r="S209" s="63"/>
      <c r="T209" s="63"/>
      <c r="U209" s="63"/>
      <c r="V209" s="63"/>
      <c r="W209" s="63"/>
    </row>
    <row r="210" spans="6:23" ht="25" customHeight="1">
      <c r="F210" s="53"/>
      <c r="H210" s="55" t="e">
        <f>tbl_PEM[[#This Row],[Qty Complete]]/tbl_PEM[[#This Row],[Qty Required]]</f>
        <v>#DIV/0!</v>
      </c>
      <c r="K210" s="57" t="str">
        <f>IFERROR(tbl_PEM[[#This Row],[Qty Required]]/tbl_PEM[[#This Row],[PPH]]*tbl_PEM[[#This Row],['# of men]],"")</f>
        <v/>
      </c>
      <c r="L210" s="58" t="e">
        <f>tbl_PEM[[#This Row],[Total hours]]*tbl_PEM[[#This Row],[% Complete]]</f>
        <v>#VALUE!</v>
      </c>
      <c r="M210" s="59" t="str">
        <f>IFERROR(tbl_PEM[[#This Row],[Qty Complete]]/tbl_PEM[[#This Row],[Total Hours Act]]*tbl_PEM[[#This Row],['# of men Act]],"")</f>
        <v/>
      </c>
      <c r="O210"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10" s="71" t="str">
        <f>IFERROR((tbl_PEM[[#This Row],[Adj. Total Hours]]+tbl_PEM[[#This Row],[Est. Hours]])/(tbl_PEM[[#This Row],[Total Hours Act]]+tbl_PEM[[#This Row],[Act. Hours]]),"")</f>
        <v/>
      </c>
      <c r="S210" s="63"/>
      <c r="T210" s="63"/>
      <c r="U210" s="63"/>
      <c r="V210" s="63"/>
      <c r="W210" s="63"/>
    </row>
    <row r="211" spans="6:23" ht="25" customHeight="1">
      <c r="F211" s="53"/>
      <c r="H211" s="55" t="e">
        <f>tbl_PEM[[#This Row],[Qty Complete]]/tbl_PEM[[#This Row],[Qty Required]]</f>
        <v>#DIV/0!</v>
      </c>
      <c r="K211" s="57" t="str">
        <f>IFERROR(tbl_PEM[[#This Row],[Qty Required]]/tbl_PEM[[#This Row],[PPH]]*tbl_PEM[[#This Row],['# of men]],"")</f>
        <v/>
      </c>
      <c r="L211" s="58" t="e">
        <f>tbl_PEM[[#This Row],[Total hours]]*tbl_PEM[[#This Row],[% Complete]]</f>
        <v>#VALUE!</v>
      </c>
      <c r="M211" s="59" t="str">
        <f>IFERROR(tbl_PEM[[#This Row],[Qty Complete]]/tbl_PEM[[#This Row],[Total Hours Act]]*tbl_PEM[[#This Row],['# of men Act]],"")</f>
        <v/>
      </c>
      <c r="O211"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11" s="71" t="str">
        <f>IFERROR((tbl_PEM[[#This Row],[Adj. Total Hours]]+tbl_PEM[[#This Row],[Est. Hours]])/(tbl_PEM[[#This Row],[Total Hours Act]]+tbl_PEM[[#This Row],[Act. Hours]]),"")</f>
        <v/>
      </c>
      <c r="S211" s="63"/>
      <c r="T211" s="63"/>
      <c r="U211" s="63"/>
      <c r="V211" s="63"/>
      <c r="W211" s="63"/>
    </row>
    <row r="212" spans="6:23" ht="25" customHeight="1">
      <c r="F212" s="53"/>
      <c r="H212" s="55" t="e">
        <f>tbl_PEM[[#This Row],[Qty Complete]]/tbl_PEM[[#This Row],[Qty Required]]</f>
        <v>#DIV/0!</v>
      </c>
      <c r="K212" s="57" t="str">
        <f>IFERROR(tbl_PEM[[#This Row],[Qty Required]]/tbl_PEM[[#This Row],[PPH]]*tbl_PEM[[#This Row],['# of men]],"")</f>
        <v/>
      </c>
      <c r="L212" s="58" t="e">
        <f>tbl_PEM[[#This Row],[Total hours]]*tbl_PEM[[#This Row],[% Complete]]</f>
        <v>#VALUE!</v>
      </c>
      <c r="M212" s="59" t="str">
        <f>IFERROR(tbl_PEM[[#This Row],[Qty Complete]]/tbl_PEM[[#This Row],[Total Hours Act]]*tbl_PEM[[#This Row],['# of men Act]],"")</f>
        <v/>
      </c>
      <c r="O212"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12" s="71" t="str">
        <f>IFERROR((tbl_PEM[[#This Row],[Adj. Total Hours]]+tbl_PEM[[#This Row],[Est. Hours]])/(tbl_PEM[[#This Row],[Total Hours Act]]+tbl_PEM[[#This Row],[Act. Hours]]),"")</f>
        <v/>
      </c>
      <c r="S212" s="63"/>
      <c r="T212" s="63"/>
      <c r="U212" s="63"/>
      <c r="V212" s="63"/>
      <c r="W212" s="63"/>
    </row>
    <row r="213" spans="6:23" ht="25" customHeight="1">
      <c r="F213" s="53"/>
      <c r="H213" s="55" t="e">
        <f>tbl_PEM[[#This Row],[Qty Complete]]/tbl_PEM[[#This Row],[Qty Required]]</f>
        <v>#DIV/0!</v>
      </c>
      <c r="K213" s="57" t="str">
        <f>IFERROR(tbl_PEM[[#This Row],[Qty Required]]/tbl_PEM[[#This Row],[PPH]]*tbl_PEM[[#This Row],['# of men]],"")</f>
        <v/>
      </c>
      <c r="L213" s="58" t="e">
        <f>tbl_PEM[[#This Row],[Total hours]]*tbl_PEM[[#This Row],[% Complete]]</f>
        <v>#VALUE!</v>
      </c>
      <c r="M213" s="59" t="str">
        <f>IFERROR(tbl_PEM[[#This Row],[Qty Complete]]/tbl_PEM[[#This Row],[Total Hours Act]]*tbl_PEM[[#This Row],['# of men Act]],"")</f>
        <v/>
      </c>
      <c r="O213"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13" s="71" t="str">
        <f>IFERROR((tbl_PEM[[#This Row],[Adj. Total Hours]]+tbl_PEM[[#This Row],[Est. Hours]])/(tbl_PEM[[#This Row],[Total Hours Act]]+tbl_PEM[[#This Row],[Act. Hours]]),"")</f>
        <v/>
      </c>
      <c r="S213" s="63"/>
      <c r="T213" s="63"/>
      <c r="U213" s="63"/>
      <c r="V213" s="63"/>
      <c r="W213" s="63"/>
    </row>
    <row r="214" spans="6:23" ht="25" customHeight="1">
      <c r="F214" s="53"/>
      <c r="H214" s="55" t="e">
        <f>tbl_PEM[[#This Row],[Qty Complete]]/tbl_PEM[[#This Row],[Qty Required]]</f>
        <v>#DIV/0!</v>
      </c>
      <c r="K214" s="57" t="str">
        <f>IFERROR(tbl_PEM[[#This Row],[Qty Required]]/tbl_PEM[[#This Row],[PPH]]*tbl_PEM[[#This Row],['# of men]],"")</f>
        <v/>
      </c>
      <c r="L214" s="58" t="e">
        <f>tbl_PEM[[#This Row],[Total hours]]*tbl_PEM[[#This Row],[% Complete]]</f>
        <v>#VALUE!</v>
      </c>
      <c r="M214" s="59" t="str">
        <f>IFERROR(tbl_PEM[[#This Row],[Qty Complete]]/tbl_PEM[[#This Row],[Total Hours Act]]*tbl_PEM[[#This Row],['# of men Act]],"")</f>
        <v/>
      </c>
      <c r="O214"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14" s="71" t="str">
        <f>IFERROR((tbl_PEM[[#This Row],[Adj. Total Hours]]+tbl_PEM[[#This Row],[Est. Hours]])/(tbl_PEM[[#This Row],[Total Hours Act]]+tbl_PEM[[#This Row],[Act. Hours]]),"")</f>
        <v/>
      </c>
      <c r="S214" s="63"/>
      <c r="T214" s="63"/>
      <c r="U214" s="63"/>
      <c r="V214" s="63"/>
      <c r="W214" s="63"/>
    </row>
    <row r="215" spans="6:23" ht="25" customHeight="1">
      <c r="F215" s="53"/>
      <c r="H215" s="55" t="e">
        <f>tbl_PEM[[#This Row],[Qty Complete]]/tbl_PEM[[#This Row],[Qty Required]]</f>
        <v>#DIV/0!</v>
      </c>
      <c r="K215" s="57" t="str">
        <f>IFERROR(tbl_PEM[[#This Row],[Qty Required]]/tbl_PEM[[#This Row],[PPH]]*tbl_PEM[[#This Row],['# of men]],"")</f>
        <v/>
      </c>
      <c r="L215" s="58" t="e">
        <f>tbl_PEM[[#This Row],[Total hours]]*tbl_PEM[[#This Row],[% Complete]]</f>
        <v>#VALUE!</v>
      </c>
      <c r="M215" s="59" t="str">
        <f>IFERROR(tbl_PEM[[#This Row],[Qty Complete]]/tbl_PEM[[#This Row],[Total Hours Act]]*tbl_PEM[[#This Row],['# of men Act]],"")</f>
        <v/>
      </c>
      <c r="O215"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15" s="71" t="str">
        <f>IFERROR((tbl_PEM[[#This Row],[Adj. Total Hours]]+tbl_PEM[[#This Row],[Est. Hours]])/(tbl_PEM[[#This Row],[Total Hours Act]]+tbl_PEM[[#This Row],[Act. Hours]]),"")</f>
        <v/>
      </c>
      <c r="S215" s="63"/>
      <c r="T215" s="63"/>
      <c r="U215" s="63"/>
      <c r="V215" s="63"/>
      <c r="W215" s="63"/>
    </row>
    <row r="216" spans="6:23" ht="25" customHeight="1">
      <c r="F216" s="53"/>
      <c r="H216" s="55" t="e">
        <f>tbl_PEM[[#This Row],[Qty Complete]]/tbl_PEM[[#This Row],[Qty Required]]</f>
        <v>#DIV/0!</v>
      </c>
      <c r="K216" s="57" t="str">
        <f>IFERROR(tbl_PEM[[#This Row],[Qty Required]]/tbl_PEM[[#This Row],[PPH]]*tbl_PEM[[#This Row],['# of men]],"")</f>
        <v/>
      </c>
      <c r="L216" s="58" t="e">
        <f>tbl_PEM[[#This Row],[Total hours]]*tbl_PEM[[#This Row],[% Complete]]</f>
        <v>#VALUE!</v>
      </c>
      <c r="M216" s="59" t="str">
        <f>IFERROR(tbl_PEM[[#This Row],[Qty Complete]]/tbl_PEM[[#This Row],[Total Hours Act]]*tbl_PEM[[#This Row],['# of men Act]],"")</f>
        <v/>
      </c>
      <c r="O216"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16" s="71" t="str">
        <f>IFERROR((tbl_PEM[[#This Row],[Adj. Total Hours]]+tbl_PEM[[#This Row],[Est. Hours]])/(tbl_PEM[[#This Row],[Total Hours Act]]+tbl_PEM[[#This Row],[Act. Hours]]),"")</f>
        <v/>
      </c>
      <c r="S216" s="63"/>
      <c r="T216" s="63"/>
      <c r="U216" s="63"/>
      <c r="V216" s="63"/>
      <c r="W216" s="63"/>
    </row>
    <row r="217" spans="6:23" ht="25" customHeight="1">
      <c r="F217" s="53"/>
      <c r="H217" s="55" t="e">
        <f>tbl_PEM[[#This Row],[Qty Complete]]/tbl_PEM[[#This Row],[Qty Required]]</f>
        <v>#DIV/0!</v>
      </c>
      <c r="K217" s="57" t="str">
        <f>IFERROR(tbl_PEM[[#This Row],[Qty Required]]/tbl_PEM[[#This Row],[PPH]]*tbl_PEM[[#This Row],['# of men]],"")</f>
        <v/>
      </c>
      <c r="L217" s="58" t="e">
        <f>tbl_PEM[[#This Row],[Total hours]]*tbl_PEM[[#This Row],[% Complete]]</f>
        <v>#VALUE!</v>
      </c>
      <c r="M217" s="59" t="str">
        <f>IFERROR(tbl_PEM[[#This Row],[Qty Complete]]/tbl_PEM[[#This Row],[Total Hours Act]]*tbl_PEM[[#This Row],['# of men Act]],"")</f>
        <v/>
      </c>
      <c r="O217"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17" s="71" t="str">
        <f>IFERROR((tbl_PEM[[#This Row],[Adj. Total Hours]]+tbl_PEM[[#This Row],[Est. Hours]])/(tbl_PEM[[#This Row],[Total Hours Act]]+tbl_PEM[[#This Row],[Act. Hours]]),"")</f>
        <v/>
      </c>
      <c r="S217" s="63"/>
      <c r="T217" s="63"/>
      <c r="U217" s="63"/>
      <c r="V217" s="63"/>
      <c r="W217" s="63"/>
    </row>
    <row r="218" spans="6:23" ht="25" customHeight="1">
      <c r="F218" s="53"/>
      <c r="H218" s="55" t="e">
        <f>tbl_PEM[[#This Row],[Qty Complete]]/tbl_PEM[[#This Row],[Qty Required]]</f>
        <v>#DIV/0!</v>
      </c>
      <c r="K218" s="57" t="str">
        <f>IFERROR(tbl_PEM[[#This Row],[Qty Required]]/tbl_PEM[[#This Row],[PPH]]*tbl_PEM[[#This Row],['# of men]],"")</f>
        <v/>
      </c>
      <c r="L218" s="58" t="e">
        <f>tbl_PEM[[#This Row],[Total hours]]*tbl_PEM[[#This Row],[% Complete]]</f>
        <v>#VALUE!</v>
      </c>
      <c r="M218" s="59" t="str">
        <f>IFERROR(tbl_PEM[[#This Row],[Qty Complete]]/tbl_PEM[[#This Row],[Total Hours Act]]*tbl_PEM[[#This Row],['# of men Act]],"")</f>
        <v/>
      </c>
      <c r="O218"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18" s="71" t="str">
        <f>IFERROR((tbl_PEM[[#This Row],[Adj. Total Hours]]+tbl_PEM[[#This Row],[Est. Hours]])/(tbl_PEM[[#This Row],[Total Hours Act]]+tbl_PEM[[#This Row],[Act. Hours]]),"")</f>
        <v/>
      </c>
      <c r="S218" s="63"/>
      <c r="T218" s="63"/>
      <c r="U218" s="63"/>
      <c r="V218" s="63"/>
      <c r="W218" s="63"/>
    </row>
    <row r="219" spans="6:23" ht="25" customHeight="1">
      <c r="F219" s="53"/>
      <c r="H219" s="55" t="e">
        <f>tbl_PEM[[#This Row],[Qty Complete]]/tbl_PEM[[#This Row],[Qty Required]]</f>
        <v>#DIV/0!</v>
      </c>
      <c r="K219" s="57" t="str">
        <f>IFERROR(tbl_PEM[[#This Row],[Qty Required]]/tbl_PEM[[#This Row],[PPH]]*tbl_PEM[[#This Row],['# of men]],"")</f>
        <v/>
      </c>
      <c r="L219" s="58" t="e">
        <f>tbl_PEM[[#This Row],[Total hours]]*tbl_PEM[[#This Row],[% Complete]]</f>
        <v>#VALUE!</v>
      </c>
      <c r="M219" s="59" t="str">
        <f>IFERROR(tbl_PEM[[#This Row],[Qty Complete]]/tbl_PEM[[#This Row],[Total Hours Act]]*tbl_PEM[[#This Row],['# of men Act]],"")</f>
        <v/>
      </c>
      <c r="O219"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19" s="71" t="str">
        <f>IFERROR((tbl_PEM[[#This Row],[Adj. Total Hours]]+tbl_PEM[[#This Row],[Est. Hours]])/(tbl_PEM[[#This Row],[Total Hours Act]]+tbl_PEM[[#This Row],[Act. Hours]]),"")</f>
        <v/>
      </c>
      <c r="S219" s="63"/>
      <c r="T219" s="63"/>
      <c r="U219" s="63"/>
      <c r="V219" s="63"/>
      <c r="W219" s="63"/>
    </row>
    <row r="220" spans="6:23" ht="25" customHeight="1">
      <c r="F220" s="53"/>
      <c r="H220" s="55" t="e">
        <f>tbl_PEM[[#This Row],[Qty Complete]]/tbl_PEM[[#This Row],[Qty Required]]</f>
        <v>#DIV/0!</v>
      </c>
      <c r="K220" s="57" t="str">
        <f>IFERROR(tbl_PEM[[#This Row],[Qty Required]]/tbl_PEM[[#This Row],[PPH]]*tbl_PEM[[#This Row],['# of men]],"")</f>
        <v/>
      </c>
      <c r="L220" s="58" t="e">
        <f>tbl_PEM[[#This Row],[Total hours]]*tbl_PEM[[#This Row],[% Complete]]</f>
        <v>#VALUE!</v>
      </c>
      <c r="M220" s="59" t="str">
        <f>IFERROR(tbl_PEM[[#This Row],[Qty Complete]]/tbl_PEM[[#This Row],[Total Hours Act]]*tbl_PEM[[#This Row],['# of men Act]],"")</f>
        <v/>
      </c>
      <c r="O220"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20" s="71" t="str">
        <f>IFERROR((tbl_PEM[[#This Row],[Adj. Total Hours]]+tbl_PEM[[#This Row],[Est. Hours]])/(tbl_PEM[[#This Row],[Total Hours Act]]+tbl_PEM[[#This Row],[Act. Hours]]),"")</f>
        <v/>
      </c>
      <c r="S220" s="63"/>
      <c r="T220" s="63"/>
      <c r="U220" s="63"/>
      <c r="V220" s="63"/>
      <c r="W220" s="63"/>
    </row>
    <row r="221" spans="6:23" ht="25" customHeight="1">
      <c r="F221" s="53"/>
      <c r="H221" s="55" t="e">
        <f>tbl_PEM[[#This Row],[Qty Complete]]/tbl_PEM[[#This Row],[Qty Required]]</f>
        <v>#DIV/0!</v>
      </c>
      <c r="K221" s="57" t="str">
        <f>IFERROR(tbl_PEM[[#This Row],[Qty Required]]/tbl_PEM[[#This Row],[PPH]]*tbl_PEM[[#This Row],['# of men]],"")</f>
        <v/>
      </c>
      <c r="L221" s="58" t="e">
        <f>tbl_PEM[[#This Row],[Total hours]]*tbl_PEM[[#This Row],[% Complete]]</f>
        <v>#VALUE!</v>
      </c>
      <c r="M221" s="59" t="str">
        <f>IFERROR(tbl_PEM[[#This Row],[Qty Complete]]/tbl_PEM[[#This Row],[Total Hours Act]]*tbl_PEM[[#This Row],['# of men Act]],"")</f>
        <v/>
      </c>
      <c r="O221"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21" s="71" t="str">
        <f>IFERROR((tbl_PEM[[#This Row],[Adj. Total Hours]]+tbl_PEM[[#This Row],[Est. Hours]])/(tbl_PEM[[#This Row],[Total Hours Act]]+tbl_PEM[[#This Row],[Act. Hours]]),"")</f>
        <v/>
      </c>
      <c r="S221" s="63"/>
      <c r="T221" s="63"/>
      <c r="U221" s="63"/>
      <c r="V221" s="63"/>
      <c r="W221" s="63"/>
    </row>
    <row r="222" spans="6:23" ht="25" customHeight="1">
      <c r="F222" s="53"/>
      <c r="H222" s="55" t="e">
        <f>tbl_PEM[[#This Row],[Qty Complete]]/tbl_PEM[[#This Row],[Qty Required]]</f>
        <v>#DIV/0!</v>
      </c>
      <c r="K222" s="57" t="str">
        <f>IFERROR(tbl_PEM[[#This Row],[Qty Required]]/tbl_PEM[[#This Row],[PPH]]*tbl_PEM[[#This Row],['# of men]],"")</f>
        <v/>
      </c>
      <c r="L222" s="58" t="e">
        <f>tbl_PEM[[#This Row],[Total hours]]*tbl_PEM[[#This Row],[% Complete]]</f>
        <v>#VALUE!</v>
      </c>
      <c r="M222" s="59" t="str">
        <f>IFERROR(tbl_PEM[[#This Row],[Qty Complete]]/tbl_PEM[[#This Row],[Total Hours Act]]*tbl_PEM[[#This Row],['# of men Act]],"")</f>
        <v/>
      </c>
      <c r="O222"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22" s="71" t="str">
        <f>IFERROR((tbl_PEM[[#This Row],[Adj. Total Hours]]+tbl_PEM[[#This Row],[Est. Hours]])/(tbl_PEM[[#This Row],[Total Hours Act]]+tbl_PEM[[#This Row],[Act. Hours]]),"")</f>
        <v/>
      </c>
      <c r="S222" s="63"/>
      <c r="T222" s="63"/>
      <c r="U222" s="63"/>
      <c r="V222" s="63"/>
      <c r="W222" s="63"/>
    </row>
    <row r="223" spans="6:23" ht="25" customHeight="1">
      <c r="F223" s="53"/>
      <c r="H223" s="55" t="e">
        <f>tbl_PEM[[#This Row],[Qty Complete]]/tbl_PEM[[#This Row],[Qty Required]]</f>
        <v>#DIV/0!</v>
      </c>
      <c r="K223" s="57" t="str">
        <f>IFERROR(tbl_PEM[[#This Row],[Qty Required]]/tbl_PEM[[#This Row],[PPH]]*tbl_PEM[[#This Row],['# of men]],"")</f>
        <v/>
      </c>
      <c r="L223" s="58" t="e">
        <f>tbl_PEM[[#This Row],[Total hours]]*tbl_PEM[[#This Row],[% Complete]]</f>
        <v>#VALUE!</v>
      </c>
      <c r="M223" s="59" t="str">
        <f>IFERROR(tbl_PEM[[#This Row],[Qty Complete]]/tbl_PEM[[#This Row],[Total Hours Act]]*tbl_PEM[[#This Row],['# of men Act]],"")</f>
        <v/>
      </c>
      <c r="O223"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23" s="71" t="str">
        <f>IFERROR((tbl_PEM[[#This Row],[Adj. Total Hours]]+tbl_PEM[[#This Row],[Est. Hours]])/(tbl_PEM[[#This Row],[Total Hours Act]]+tbl_PEM[[#This Row],[Act. Hours]]),"")</f>
        <v/>
      </c>
      <c r="S223" s="63"/>
      <c r="T223" s="63"/>
      <c r="U223" s="63"/>
      <c r="V223" s="63"/>
      <c r="W223" s="63"/>
    </row>
    <row r="224" spans="6:23" ht="25" customHeight="1">
      <c r="F224" s="53"/>
      <c r="H224" s="55" t="e">
        <f>tbl_PEM[[#This Row],[Qty Complete]]/tbl_PEM[[#This Row],[Qty Required]]</f>
        <v>#DIV/0!</v>
      </c>
      <c r="K224" s="57" t="str">
        <f>IFERROR(tbl_PEM[[#This Row],[Qty Required]]/tbl_PEM[[#This Row],[PPH]]*tbl_PEM[[#This Row],['# of men]],"")</f>
        <v/>
      </c>
      <c r="L224" s="58" t="e">
        <f>tbl_PEM[[#This Row],[Total hours]]*tbl_PEM[[#This Row],[% Complete]]</f>
        <v>#VALUE!</v>
      </c>
      <c r="M224" s="59" t="str">
        <f>IFERROR(tbl_PEM[[#This Row],[Qty Complete]]/tbl_PEM[[#This Row],[Total Hours Act]]*tbl_PEM[[#This Row],['# of men Act]],"")</f>
        <v/>
      </c>
      <c r="O224"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24" s="71" t="str">
        <f>IFERROR((tbl_PEM[[#This Row],[Adj. Total Hours]]+tbl_PEM[[#This Row],[Est. Hours]])/(tbl_PEM[[#This Row],[Total Hours Act]]+tbl_PEM[[#This Row],[Act. Hours]]),"")</f>
        <v/>
      </c>
      <c r="S224" s="63"/>
      <c r="T224" s="63"/>
      <c r="U224" s="63"/>
      <c r="V224" s="63"/>
      <c r="W224" s="63"/>
    </row>
    <row r="225" spans="6:23" ht="25" customHeight="1">
      <c r="F225" s="53"/>
      <c r="H225" s="55" t="e">
        <f>tbl_PEM[[#This Row],[Qty Complete]]/tbl_PEM[[#This Row],[Qty Required]]</f>
        <v>#DIV/0!</v>
      </c>
      <c r="K225" s="57" t="str">
        <f>IFERROR(tbl_PEM[[#This Row],[Qty Required]]/tbl_PEM[[#This Row],[PPH]]*tbl_PEM[[#This Row],['# of men]],"")</f>
        <v/>
      </c>
      <c r="L225" s="58" t="e">
        <f>tbl_PEM[[#This Row],[Total hours]]*tbl_PEM[[#This Row],[% Complete]]</f>
        <v>#VALUE!</v>
      </c>
      <c r="M225" s="59" t="str">
        <f>IFERROR(tbl_PEM[[#This Row],[Qty Complete]]/tbl_PEM[[#This Row],[Total Hours Act]]*tbl_PEM[[#This Row],['# of men Act]],"")</f>
        <v/>
      </c>
      <c r="O225"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25" s="71" t="str">
        <f>IFERROR((tbl_PEM[[#This Row],[Adj. Total Hours]]+tbl_PEM[[#This Row],[Est. Hours]])/(tbl_PEM[[#This Row],[Total Hours Act]]+tbl_PEM[[#This Row],[Act. Hours]]),"")</f>
        <v/>
      </c>
      <c r="S225" s="63"/>
      <c r="T225" s="63"/>
      <c r="U225" s="63"/>
      <c r="V225" s="63"/>
      <c r="W225" s="63"/>
    </row>
    <row r="226" spans="6:23" ht="25" customHeight="1">
      <c r="F226" s="53"/>
      <c r="H226" s="55" t="e">
        <f>tbl_PEM[[#This Row],[Qty Complete]]/tbl_PEM[[#This Row],[Qty Required]]</f>
        <v>#DIV/0!</v>
      </c>
      <c r="K226" s="57" t="str">
        <f>IFERROR(tbl_PEM[[#This Row],[Qty Required]]/tbl_PEM[[#This Row],[PPH]]*tbl_PEM[[#This Row],['# of men]],"")</f>
        <v/>
      </c>
      <c r="L226" s="58" t="e">
        <f>tbl_PEM[[#This Row],[Total hours]]*tbl_PEM[[#This Row],[% Complete]]</f>
        <v>#VALUE!</v>
      </c>
      <c r="M226" s="59" t="str">
        <f>IFERROR(tbl_PEM[[#This Row],[Qty Complete]]/tbl_PEM[[#This Row],[Total Hours Act]]*tbl_PEM[[#This Row],['# of men Act]],"")</f>
        <v/>
      </c>
      <c r="O226"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26" s="71" t="str">
        <f>IFERROR((tbl_PEM[[#This Row],[Adj. Total Hours]]+tbl_PEM[[#This Row],[Est. Hours]])/(tbl_PEM[[#This Row],[Total Hours Act]]+tbl_PEM[[#This Row],[Act. Hours]]),"")</f>
        <v/>
      </c>
      <c r="S226" s="63"/>
      <c r="T226" s="63"/>
      <c r="U226" s="63"/>
      <c r="V226" s="63"/>
      <c r="W226" s="63"/>
    </row>
    <row r="227" spans="6:23" ht="25" customHeight="1">
      <c r="F227" s="53"/>
      <c r="H227" s="55" t="e">
        <f>tbl_PEM[[#This Row],[Qty Complete]]/tbl_PEM[[#This Row],[Qty Required]]</f>
        <v>#DIV/0!</v>
      </c>
      <c r="K227" s="57" t="str">
        <f>IFERROR(tbl_PEM[[#This Row],[Qty Required]]/tbl_PEM[[#This Row],[PPH]]*tbl_PEM[[#This Row],['# of men]],"")</f>
        <v/>
      </c>
      <c r="L227" s="58" t="e">
        <f>tbl_PEM[[#This Row],[Total hours]]*tbl_PEM[[#This Row],[% Complete]]</f>
        <v>#VALUE!</v>
      </c>
      <c r="M227" s="59" t="str">
        <f>IFERROR(tbl_PEM[[#This Row],[Qty Complete]]/tbl_PEM[[#This Row],[Total Hours Act]]*tbl_PEM[[#This Row],['# of men Act]],"")</f>
        <v/>
      </c>
      <c r="O227"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27" s="71" t="str">
        <f>IFERROR((tbl_PEM[[#This Row],[Adj. Total Hours]]+tbl_PEM[[#This Row],[Est. Hours]])/(tbl_PEM[[#This Row],[Total Hours Act]]+tbl_PEM[[#This Row],[Act. Hours]]),"")</f>
        <v/>
      </c>
      <c r="S227" s="63"/>
      <c r="T227" s="63"/>
      <c r="U227" s="63"/>
      <c r="V227" s="63"/>
      <c r="W227" s="63"/>
    </row>
    <row r="228" spans="6:23" ht="25" customHeight="1">
      <c r="F228" s="53"/>
      <c r="H228" s="55" t="e">
        <f>tbl_PEM[[#This Row],[Qty Complete]]/tbl_PEM[[#This Row],[Qty Required]]</f>
        <v>#DIV/0!</v>
      </c>
      <c r="K228" s="57" t="str">
        <f>IFERROR(tbl_PEM[[#This Row],[Qty Required]]/tbl_PEM[[#This Row],[PPH]]*tbl_PEM[[#This Row],['# of men]],"")</f>
        <v/>
      </c>
      <c r="L228" s="58" t="e">
        <f>tbl_PEM[[#This Row],[Total hours]]*tbl_PEM[[#This Row],[% Complete]]</f>
        <v>#VALUE!</v>
      </c>
      <c r="M228" s="59" t="str">
        <f>IFERROR(tbl_PEM[[#This Row],[Qty Complete]]/tbl_PEM[[#This Row],[Total Hours Act]]*tbl_PEM[[#This Row],['# of men Act]],"")</f>
        <v/>
      </c>
      <c r="O228"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28" s="71" t="str">
        <f>IFERROR((tbl_PEM[[#This Row],[Adj. Total Hours]]+tbl_PEM[[#This Row],[Est. Hours]])/(tbl_PEM[[#This Row],[Total Hours Act]]+tbl_PEM[[#This Row],[Act. Hours]]),"")</f>
        <v/>
      </c>
      <c r="S228" s="63"/>
      <c r="T228" s="63"/>
      <c r="U228" s="63"/>
      <c r="V228" s="63"/>
      <c r="W228" s="63"/>
    </row>
    <row r="229" spans="6:23" ht="25" customHeight="1">
      <c r="F229" s="53"/>
      <c r="H229" s="55" t="e">
        <f>tbl_PEM[[#This Row],[Qty Complete]]/tbl_PEM[[#This Row],[Qty Required]]</f>
        <v>#DIV/0!</v>
      </c>
      <c r="K229" s="57" t="str">
        <f>IFERROR(tbl_PEM[[#This Row],[Qty Required]]/tbl_PEM[[#This Row],[PPH]]*tbl_PEM[[#This Row],['# of men]],"")</f>
        <v/>
      </c>
      <c r="L229" s="58" t="e">
        <f>tbl_PEM[[#This Row],[Total hours]]*tbl_PEM[[#This Row],[% Complete]]</f>
        <v>#VALUE!</v>
      </c>
      <c r="M229" s="59" t="str">
        <f>IFERROR(tbl_PEM[[#This Row],[Qty Complete]]/tbl_PEM[[#This Row],[Total Hours Act]]*tbl_PEM[[#This Row],['# of men Act]],"")</f>
        <v/>
      </c>
      <c r="O229"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29" s="71" t="str">
        <f>IFERROR((tbl_PEM[[#This Row],[Adj. Total Hours]]+tbl_PEM[[#This Row],[Est. Hours]])/(tbl_PEM[[#This Row],[Total Hours Act]]+tbl_PEM[[#This Row],[Act. Hours]]),"")</f>
        <v/>
      </c>
      <c r="S229" s="63"/>
      <c r="T229" s="63"/>
      <c r="U229" s="63"/>
      <c r="V229" s="63"/>
      <c r="W229" s="63"/>
    </row>
    <row r="230" spans="6:23" ht="25" customHeight="1">
      <c r="F230" s="53"/>
      <c r="H230" s="55" t="e">
        <f>tbl_PEM[[#This Row],[Qty Complete]]/tbl_PEM[[#This Row],[Qty Required]]</f>
        <v>#DIV/0!</v>
      </c>
      <c r="K230" s="57" t="str">
        <f>IFERROR(tbl_PEM[[#This Row],[Qty Required]]/tbl_PEM[[#This Row],[PPH]]*tbl_PEM[[#This Row],['# of men]],"")</f>
        <v/>
      </c>
      <c r="L230" s="58" t="e">
        <f>tbl_PEM[[#This Row],[Total hours]]*tbl_PEM[[#This Row],[% Complete]]</f>
        <v>#VALUE!</v>
      </c>
      <c r="M230" s="59" t="str">
        <f>IFERROR(tbl_PEM[[#This Row],[Qty Complete]]/tbl_PEM[[#This Row],[Total Hours Act]]*tbl_PEM[[#This Row],['# of men Act]],"")</f>
        <v/>
      </c>
      <c r="O230"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30" s="71" t="str">
        <f>IFERROR((tbl_PEM[[#This Row],[Adj. Total Hours]]+tbl_PEM[[#This Row],[Est. Hours]])/(tbl_PEM[[#This Row],[Total Hours Act]]+tbl_PEM[[#This Row],[Act. Hours]]),"")</f>
        <v/>
      </c>
      <c r="S230" s="63"/>
      <c r="T230" s="63"/>
      <c r="U230" s="63"/>
      <c r="V230" s="63"/>
      <c r="W230" s="63"/>
    </row>
    <row r="231" spans="6:23" ht="25" customHeight="1">
      <c r="F231" s="53"/>
      <c r="H231" s="55" t="e">
        <f>tbl_PEM[[#This Row],[Qty Complete]]/tbl_PEM[[#This Row],[Qty Required]]</f>
        <v>#DIV/0!</v>
      </c>
      <c r="K231" s="57" t="str">
        <f>IFERROR(tbl_PEM[[#This Row],[Qty Required]]/tbl_PEM[[#This Row],[PPH]]*tbl_PEM[[#This Row],['# of men]],"")</f>
        <v/>
      </c>
      <c r="L231" s="58" t="e">
        <f>tbl_PEM[[#This Row],[Total hours]]*tbl_PEM[[#This Row],[% Complete]]</f>
        <v>#VALUE!</v>
      </c>
      <c r="M231" s="59" t="str">
        <f>IFERROR(tbl_PEM[[#This Row],[Qty Complete]]/tbl_PEM[[#This Row],[Total Hours Act]]*tbl_PEM[[#This Row],['# of men Act]],"")</f>
        <v/>
      </c>
      <c r="O231"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31" s="71" t="str">
        <f>IFERROR((tbl_PEM[[#This Row],[Adj. Total Hours]]+tbl_PEM[[#This Row],[Est. Hours]])/(tbl_PEM[[#This Row],[Total Hours Act]]+tbl_PEM[[#This Row],[Act. Hours]]),"")</f>
        <v/>
      </c>
      <c r="S231" s="63"/>
      <c r="T231" s="63"/>
      <c r="U231" s="63"/>
      <c r="V231" s="63"/>
      <c r="W231" s="63"/>
    </row>
    <row r="232" spans="6:23" ht="25" customHeight="1">
      <c r="F232" s="53"/>
      <c r="H232" s="55" t="e">
        <f>tbl_PEM[[#This Row],[Qty Complete]]/tbl_PEM[[#This Row],[Qty Required]]</f>
        <v>#DIV/0!</v>
      </c>
      <c r="K232" s="57" t="str">
        <f>IFERROR(tbl_PEM[[#This Row],[Qty Required]]/tbl_PEM[[#This Row],[PPH]]*tbl_PEM[[#This Row],['# of men]],"")</f>
        <v/>
      </c>
      <c r="L232" s="58" t="e">
        <f>tbl_PEM[[#This Row],[Total hours]]*tbl_PEM[[#This Row],[% Complete]]</f>
        <v>#VALUE!</v>
      </c>
      <c r="M232" s="59" t="str">
        <f>IFERROR(tbl_PEM[[#This Row],[Qty Complete]]/tbl_PEM[[#This Row],[Total Hours Act]]*tbl_PEM[[#This Row],['# of men Act]],"")</f>
        <v/>
      </c>
      <c r="O232"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32" s="71" t="str">
        <f>IFERROR((tbl_PEM[[#This Row],[Adj. Total Hours]]+tbl_PEM[[#This Row],[Est. Hours]])/(tbl_PEM[[#This Row],[Total Hours Act]]+tbl_PEM[[#This Row],[Act. Hours]]),"")</f>
        <v/>
      </c>
      <c r="S232" s="63"/>
      <c r="T232" s="63"/>
      <c r="U232" s="63"/>
      <c r="V232" s="63"/>
      <c r="W232" s="63"/>
    </row>
    <row r="233" spans="6:23" ht="25" customHeight="1">
      <c r="F233" s="53"/>
      <c r="H233" s="55" t="e">
        <f>tbl_PEM[[#This Row],[Qty Complete]]/tbl_PEM[[#This Row],[Qty Required]]</f>
        <v>#DIV/0!</v>
      </c>
      <c r="K233" s="57" t="str">
        <f>IFERROR(tbl_PEM[[#This Row],[Qty Required]]/tbl_PEM[[#This Row],[PPH]]*tbl_PEM[[#This Row],['# of men]],"")</f>
        <v/>
      </c>
      <c r="L233" s="58" t="e">
        <f>tbl_PEM[[#This Row],[Total hours]]*tbl_PEM[[#This Row],[% Complete]]</f>
        <v>#VALUE!</v>
      </c>
      <c r="M233" s="59" t="str">
        <f>IFERROR(tbl_PEM[[#This Row],[Qty Complete]]/tbl_PEM[[#This Row],[Total Hours Act]]*tbl_PEM[[#This Row],['# of men Act]],"")</f>
        <v/>
      </c>
      <c r="O233"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33" s="71" t="str">
        <f>IFERROR((tbl_PEM[[#This Row],[Adj. Total Hours]]+tbl_PEM[[#This Row],[Est. Hours]])/(tbl_PEM[[#This Row],[Total Hours Act]]+tbl_PEM[[#This Row],[Act. Hours]]),"")</f>
        <v/>
      </c>
      <c r="S233" s="63"/>
      <c r="T233" s="63"/>
      <c r="U233" s="63"/>
      <c r="V233" s="63"/>
      <c r="W233" s="63"/>
    </row>
    <row r="234" spans="6:23" ht="25" customHeight="1">
      <c r="F234" s="53"/>
      <c r="H234" s="55" t="e">
        <f>tbl_PEM[[#This Row],[Qty Complete]]/tbl_PEM[[#This Row],[Qty Required]]</f>
        <v>#DIV/0!</v>
      </c>
      <c r="K234" s="57" t="str">
        <f>IFERROR(tbl_PEM[[#This Row],[Qty Required]]/tbl_PEM[[#This Row],[PPH]]*tbl_PEM[[#This Row],['# of men]],"")</f>
        <v/>
      </c>
      <c r="L234" s="58" t="e">
        <f>tbl_PEM[[#This Row],[Total hours]]*tbl_PEM[[#This Row],[% Complete]]</f>
        <v>#VALUE!</v>
      </c>
      <c r="M234" s="59" t="str">
        <f>IFERROR(tbl_PEM[[#This Row],[Qty Complete]]/tbl_PEM[[#This Row],[Total Hours Act]]*tbl_PEM[[#This Row],['# of men Act]],"")</f>
        <v/>
      </c>
      <c r="O234"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34" s="71" t="str">
        <f>IFERROR((tbl_PEM[[#This Row],[Adj. Total Hours]]+tbl_PEM[[#This Row],[Est. Hours]])/(tbl_PEM[[#This Row],[Total Hours Act]]+tbl_PEM[[#This Row],[Act. Hours]]),"")</f>
        <v/>
      </c>
      <c r="S234" s="63"/>
      <c r="T234" s="63"/>
      <c r="U234" s="63"/>
      <c r="V234" s="63"/>
      <c r="W234" s="63"/>
    </row>
    <row r="235" spans="6:23" ht="25" customHeight="1">
      <c r="F235" s="53"/>
      <c r="H235" s="55" t="e">
        <f>tbl_PEM[[#This Row],[Qty Complete]]/tbl_PEM[[#This Row],[Qty Required]]</f>
        <v>#DIV/0!</v>
      </c>
      <c r="K235" s="57" t="str">
        <f>IFERROR(tbl_PEM[[#This Row],[Qty Required]]/tbl_PEM[[#This Row],[PPH]]*tbl_PEM[[#This Row],['# of men]],"")</f>
        <v/>
      </c>
      <c r="L235" s="58" t="e">
        <f>tbl_PEM[[#This Row],[Total hours]]*tbl_PEM[[#This Row],[% Complete]]</f>
        <v>#VALUE!</v>
      </c>
      <c r="M235" s="59" t="str">
        <f>IFERROR(tbl_PEM[[#This Row],[Qty Complete]]/tbl_PEM[[#This Row],[Total Hours Act]]*tbl_PEM[[#This Row],['# of men Act]],"")</f>
        <v/>
      </c>
      <c r="O235"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35" s="71" t="str">
        <f>IFERROR((tbl_PEM[[#This Row],[Adj. Total Hours]]+tbl_PEM[[#This Row],[Est. Hours]])/(tbl_PEM[[#This Row],[Total Hours Act]]+tbl_PEM[[#This Row],[Act. Hours]]),"")</f>
        <v/>
      </c>
      <c r="S235" s="63"/>
      <c r="T235" s="63"/>
      <c r="U235" s="63"/>
      <c r="V235" s="63"/>
      <c r="W235" s="63"/>
    </row>
    <row r="236" spans="6:23" ht="25" customHeight="1">
      <c r="F236" s="53"/>
      <c r="H236" s="55" t="e">
        <f>tbl_PEM[[#This Row],[Qty Complete]]/tbl_PEM[[#This Row],[Qty Required]]</f>
        <v>#DIV/0!</v>
      </c>
      <c r="K236" s="57" t="str">
        <f>IFERROR(tbl_PEM[[#This Row],[Qty Required]]/tbl_PEM[[#This Row],[PPH]]*tbl_PEM[[#This Row],['# of men]],"")</f>
        <v/>
      </c>
      <c r="L236" s="58" t="e">
        <f>tbl_PEM[[#This Row],[Total hours]]*tbl_PEM[[#This Row],[% Complete]]</f>
        <v>#VALUE!</v>
      </c>
      <c r="M236" s="59" t="str">
        <f>IFERROR(tbl_PEM[[#This Row],[Qty Complete]]/tbl_PEM[[#This Row],[Total Hours Act]]*tbl_PEM[[#This Row],['# of men Act]],"")</f>
        <v/>
      </c>
      <c r="O236"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36" s="71" t="str">
        <f>IFERROR((tbl_PEM[[#This Row],[Adj. Total Hours]]+tbl_PEM[[#This Row],[Est. Hours]])/(tbl_PEM[[#This Row],[Total Hours Act]]+tbl_PEM[[#This Row],[Act. Hours]]),"")</f>
        <v/>
      </c>
      <c r="S236" s="63"/>
      <c r="T236" s="63"/>
      <c r="U236" s="63"/>
      <c r="V236" s="63"/>
      <c r="W236" s="63"/>
    </row>
    <row r="237" spans="6:23" ht="25" customHeight="1">
      <c r="F237" s="53"/>
      <c r="H237" s="55" t="e">
        <f>tbl_PEM[[#This Row],[Qty Complete]]/tbl_PEM[[#This Row],[Qty Required]]</f>
        <v>#DIV/0!</v>
      </c>
      <c r="K237" s="57" t="str">
        <f>IFERROR(tbl_PEM[[#This Row],[Qty Required]]/tbl_PEM[[#This Row],[PPH]]*tbl_PEM[[#This Row],['# of men]],"")</f>
        <v/>
      </c>
      <c r="L237" s="58" t="e">
        <f>tbl_PEM[[#This Row],[Total hours]]*tbl_PEM[[#This Row],[% Complete]]</f>
        <v>#VALUE!</v>
      </c>
      <c r="M237" s="59" t="str">
        <f>IFERROR(tbl_PEM[[#This Row],[Qty Complete]]/tbl_PEM[[#This Row],[Total Hours Act]]*tbl_PEM[[#This Row],['# of men Act]],"")</f>
        <v/>
      </c>
      <c r="O237"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37" s="71" t="str">
        <f>IFERROR((tbl_PEM[[#This Row],[Adj. Total Hours]]+tbl_PEM[[#This Row],[Est. Hours]])/(tbl_PEM[[#This Row],[Total Hours Act]]+tbl_PEM[[#This Row],[Act. Hours]]),"")</f>
        <v/>
      </c>
      <c r="S237" s="63"/>
      <c r="T237" s="63"/>
      <c r="U237" s="63"/>
      <c r="V237" s="63"/>
      <c r="W237" s="63"/>
    </row>
    <row r="238" spans="6:23" ht="25" customHeight="1">
      <c r="F238" s="53"/>
      <c r="H238" s="55" t="e">
        <f>tbl_PEM[[#This Row],[Qty Complete]]/tbl_PEM[[#This Row],[Qty Required]]</f>
        <v>#DIV/0!</v>
      </c>
      <c r="K238" s="57" t="str">
        <f>IFERROR(tbl_PEM[[#This Row],[Qty Required]]/tbl_PEM[[#This Row],[PPH]]*tbl_PEM[[#This Row],['# of men]],"")</f>
        <v/>
      </c>
      <c r="L238" s="58" t="e">
        <f>tbl_PEM[[#This Row],[Total hours]]*tbl_PEM[[#This Row],[% Complete]]</f>
        <v>#VALUE!</v>
      </c>
      <c r="M238" s="59" t="str">
        <f>IFERROR(tbl_PEM[[#This Row],[Qty Complete]]/tbl_PEM[[#This Row],[Total Hours Act]]*tbl_PEM[[#This Row],['# of men Act]],"")</f>
        <v/>
      </c>
      <c r="O238"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38" s="71" t="str">
        <f>IFERROR((tbl_PEM[[#This Row],[Adj. Total Hours]]+tbl_PEM[[#This Row],[Est. Hours]])/(tbl_PEM[[#This Row],[Total Hours Act]]+tbl_PEM[[#This Row],[Act. Hours]]),"")</f>
        <v/>
      </c>
      <c r="S238" s="63"/>
      <c r="T238" s="63"/>
      <c r="U238" s="63"/>
      <c r="V238" s="63"/>
      <c r="W238" s="63"/>
    </row>
    <row r="239" spans="6:23" ht="25" customHeight="1">
      <c r="F239" s="53"/>
      <c r="H239" s="55" t="e">
        <f>tbl_PEM[[#This Row],[Qty Complete]]/tbl_PEM[[#This Row],[Qty Required]]</f>
        <v>#DIV/0!</v>
      </c>
      <c r="K239" s="57" t="str">
        <f>IFERROR(tbl_PEM[[#This Row],[Qty Required]]/tbl_PEM[[#This Row],[PPH]]*tbl_PEM[[#This Row],['# of men]],"")</f>
        <v/>
      </c>
      <c r="L239" s="58" t="e">
        <f>tbl_PEM[[#This Row],[Total hours]]*tbl_PEM[[#This Row],[% Complete]]</f>
        <v>#VALUE!</v>
      </c>
      <c r="M239" s="59" t="str">
        <f>IFERROR(tbl_PEM[[#This Row],[Qty Complete]]/tbl_PEM[[#This Row],[Total Hours Act]]*tbl_PEM[[#This Row],['# of men Act]],"")</f>
        <v/>
      </c>
      <c r="O239"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39" s="71" t="str">
        <f>IFERROR((tbl_PEM[[#This Row],[Adj. Total Hours]]+tbl_PEM[[#This Row],[Est. Hours]])/(tbl_PEM[[#This Row],[Total Hours Act]]+tbl_PEM[[#This Row],[Act. Hours]]),"")</f>
        <v/>
      </c>
      <c r="S239" s="63"/>
      <c r="T239" s="63"/>
      <c r="U239" s="63"/>
      <c r="V239" s="63"/>
      <c r="W239" s="63"/>
    </row>
    <row r="240" spans="6:23" ht="25" customHeight="1">
      <c r="F240" s="53"/>
      <c r="H240" s="55" t="e">
        <f>tbl_PEM[[#This Row],[Qty Complete]]/tbl_PEM[[#This Row],[Qty Required]]</f>
        <v>#DIV/0!</v>
      </c>
      <c r="K240" s="57" t="str">
        <f>IFERROR(tbl_PEM[[#This Row],[Qty Required]]/tbl_PEM[[#This Row],[PPH]]*tbl_PEM[[#This Row],['# of men]],"")</f>
        <v/>
      </c>
      <c r="L240" s="58" t="e">
        <f>tbl_PEM[[#This Row],[Total hours]]*tbl_PEM[[#This Row],[% Complete]]</f>
        <v>#VALUE!</v>
      </c>
      <c r="M240" s="59" t="str">
        <f>IFERROR(tbl_PEM[[#This Row],[Qty Complete]]/tbl_PEM[[#This Row],[Total Hours Act]]*tbl_PEM[[#This Row],['# of men Act]],"")</f>
        <v/>
      </c>
      <c r="O240"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40" s="71" t="str">
        <f>IFERROR((tbl_PEM[[#This Row],[Adj. Total Hours]]+tbl_PEM[[#This Row],[Est. Hours]])/(tbl_PEM[[#This Row],[Total Hours Act]]+tbl_PEM[[#This Row],[Act. Hours]]),"")</f>
        <v/>
      </c>
      <c r="S240" s="63"/>
      <c r="T240" s="63"/>
      <c r="U240" s="63"/>
      <c r="V240" s="63"/>
      <c r="W240" s="63"/>
    </row>
    <row r="241" spans="6:23" ht="25" customHeight="1">
      <c r="F241" s="53"/>
      <c r="H241" s="55" t="e">
        <f>tbl_PEM[[#This Row],[Qty Complete]]/tbl_PEM[[#This Row],[Qty Required]]</f>
        <v>#DIV/0!</v>
      </c>
      <c r="K241" s="57" t="str">
        <f>IFERROR(tbl_PEM[[#This Row],[Qty Required]]/tbl_PEM[[#This Row],[PPH]]*tbl_PEM[[#This Row],['# of men]],"")</f>
        <v/>
      </c>
      <c r="L241" s="58" t="e">
        <f>tbl_PEM[[#This Row],[Total hours]]*tbl_PEM[[#This Row],[% Complete]]</f>
        <v>#VALUE!</v>
      </c>
      <c r="M241" s="59" t="str">
        <f>IFERROR(tbl_PEM[[#This Row],[Qty Complete]]/tbl_PEM[[#This Row],[Total Hours Act]]*tbl_PEM[[#This Row],['# of men Act]],"")</f>
        <v/>
      </c>
      <c r="O241"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41" s="71" t="str">
        <f>IFERROR((tbl_PEM[[#This Row],[Adj. Total Hours]]+tbl_PEM[[#This Row],[Est. Hours]])/(tbl_PEM[[#This Row],[Total Hours Act]]+tbl_PEM[[#This Row],[Act. Hours]]),"")</f>
        <v/>
      </c>
      <c r="S241" s="63"/>
      <c r="T241" s="63"/>
      <c r="U241" s="63"/>
      <c r="V241" s="63"/>
      <c r="W241" s="63"/>
    </row>
    <row r="242" spans="6:23" ht="25" customHeight="1">
      <c r="F242" s="53"/>
      <c r="H242" s="55" t="e">
        <f>tbl_PEM[[#This Row],[Qty Complete]]/tbl_PEM[[#This Row],[Qty Required]]</f>
        <v>#DIV/0!</v>
      </c>
      <c r="K242" s="57" t="str">
        <f>IFERROR(tbl_PEM[[#This Row],[Qty Required]]/tbl_PEM[[#This Row],[PPH]]*tbl_PEM[[#This Row],['# of men]],"")</f>
        <v/>
      </c>
      <c r="L242" s="58" t="e">
        <f>tbl_PEM[[#This Row],[Total hours]]*tbl_PEM[[#This Row],[% Complete]]</f>
        <v>#VALUE!</v>
      </c>
      <c r="M242" s="59" t="str">
        <f>IFERROR(tbl_PEM[[#This Row],[Qty Complete]]/tbl_PEM[[#This Row],[Total Hours Act]]*tbl_PEM[[#This Row],['# of men Act]],"")</f>
        <v/>
      </c>
      <c r="O242"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42" s="71" t="str">
        <f>IFERROR((tbl_PEM[[#This Row],[Adj. Total Hours]]+tbl_PEM[[#This Row],[Est. Hours]])/(tbl_PEM[[#This Row],[Total Hours Act]]+tbl_PEM[[#This Row],[Act. Hours]]),"")</f>
        <v/>
      </c>
      <c r="S242" s="63"/>
      <c r="T242" s="63"/>
      <c r="U242" s="63"/>
      <c r="V242" s="63"/>
      <c r="W242" s="63"/>
    </row>
    <row r="243" spans="6:23" ht="25" customHeight="1">
      <c r="F243" s="53"/>
      <c r="H243" s="55" t="e">
        <f>tbl_PEM[[#This Row],[Qty Complete]]/tbl_PEM[[#This Row],[Qty Required]]</f>
        <v>#DIV/0!</v>
      </c>
      <c r="K243" s="57" t="str">
        <f>IFERROR(tbl_PEM[[#This Row],[Qty Required]]/tbl_PEM[[#This Row],[PPH]]*tbl_PEM[[#This Row],['# of men]],"")</f>
        <v/>
      </c>
      <c r="L243" s="58" t="e">
        <f>tbl_PEM[[#This Row],[Total hours]]*tbl_PEM[[#This Row],[% Complete]]</f>
        <v>#VALUE!</v>
      </c>
      <c r="M243" s="59" t="str">
        <f>IFERROR(tbl_PEM[[#This Row],[Qty Complete]]/tbl_PEM[[#This Row],[Total Hours Act]]*tbl_PEM[[#This Row],['# of men Act]],"")</f>
        <v/>
      </c>
      <c r="O243"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43" s="71" t="str">
        <f>IFERROR((tbl_PEM[[#This Row],[Adj. Total Hours]]+tbl_PEM[[#This Row],[Est. Hours]])/(tbl_PEM[[#This Row],[Total Hours Act]]+tbl_PEM[[#This Row],[Act. Hours]]),"")</f>
        <v/>
      </c>
      <c r="S243" s="63"/>
      <c r="T243" s="63"/>
      <c r="U243" s="63"/>
      <c r="V243" s="63"/>
      <c r="W243" s="63"/>
    </row>
    <row r="244" spans="6:23" ht="25" customHeight="1">
      <c r="F244" s="53"/>
      <c r="H244" s="55" t="e">
        <f>tbl_PEM[[#This Row],[Qty Complete]]/tbl_PEM[[#This Row],[Qty Required]]</f>
        <v>#DIV/0!</v>
      </c>
      <c r="K244" s="57" t="str">
        <f>IFERROR(tbl_PEM[[#This Row],[Qty Required]]/tbl_PEM[[#This Row],[PPH]]*tbl_PEM[[#This Row],['# of men]],"")</f>
        <v/>
      </c>
      <c r="L244" s="58" t="e">
        <f>tbl_PEM[[#This Row],[Total hours]]*tbl_PEM[[#This Row],[% Complete]]</f>
        <v>#VALUE!</v>
      </c>
      <c r="M244" s="59" t="str">
        <f>IFERROR(tbl_PEM[[#This Row],[Qty Complete]]/tbl_PEM[[#This Row],[Total Hours Act]]*tbl_PEM[[#This Row],['# of men Act]],"")</f>
        <v/>
      </c>
      <c r="O244"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44" s="71" t="str">
        <f>IFERROR((tbl_PEM[[#This Row],[Adj. Total Hours]]+tbl_PEM[[#This Row],[Est. Hours]])/(tbl_PEM[[#This Row],[Total Hours Act]]+tbl_PEM[[#This Row],[Act. Hours]]),"")</f>
        <v/>
      </c>
      <c r="S244" s="63"/>
      <c r="T244" s="63"/>
      <c r="U244" s="63"/>
      <c r="V244" s="63"/>
      <c r="W244" s="63"/>
    </row>
    <row r="245" spans="6:23" ht="25" customHeight="1">
      <c r="F245" s="53"/>
      <c r="H245" s="55" t="e">
        <f>tbl_PEM[[#This Row],[Qty Complete]]/tbl_PEM[[#This Row],[Qty Required]]</f>
        <v>#DIV/0!</v>
      </c>
      <c r="K245" s="57" t="str">
        <f>IFERROR(tbl_PEM[[#This Row],[Qty Required]]/tbl_PEM[[#This Row],[PPH]]*tbl_PEM[[#This Row],['# of men]],"")</f>
        <v/>
      </c>
      <c r="L245" s="58" t="e">
        <f>tbl_PEM[[#This Row],[Total hours]]*tbl_PEM[[#This Row],[% Complete]]</f>
        <v>#VALUE!</v>
      </c>
      <c r="M245" s="59" t="str">
        <f>IFERROR(tbl_PEM[[#This Row],[Qty Complete]]/tbl_PEM[[#This Row],[Total Hours Act]]*tbl_PEM[[#This Row],['# of men Act]],"")</f>
        <v/>
      </c>
      <c r="O245"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45" s="71" t="str">
        <f>IFERROR((tbl_PEM[[#This Row],[Adj. Total Hours]]+tbl_PEM[[#This Row],[Est. Hours]])/(tbl_PEM[[#This Row],[Total Hours Act]]+tbl_PEM[[#This Row],[Act. Hours]]),"")</f>
        <v/>
      </c>
      <c r="S245" s="63"/>
      <c r="T245" s="63"/>
      <c r="U245" s="63"/>
      <c r="V245" s="63"/>
      <c r="W245" s="63"/>
    </row>
    <row r="246" spans="6:23" ht="25" customHeight="1">
      <c r="F246" s="53"/>
      <c r="H246" s="55" t="e">
        <f>tbl_PEM[[#This Row],[Qty Complete]]/tbl_PEM[[#This Row],[Qty Required]]</f>
        <v>#DIV/0!</v>
      </c>
      <c r="K246" s="57" t="str">
        <f>IFERROR(tbl_PEM[[#This Row],[Qty Required]]/tbl_PEM[[#This Row],[PPH]]*tbl_PEM[[#This Row],['# of men]],"")</f>
        <v/>
      </c>
      <c r="L246" s="58" t="e">
        <f>tbl_PEM[[#This Row],[Total hours]]*tbl_PEM[[#This Row],[% Complete]]</f>
        <v>#VALUE!</v>
      </c>
      <c r="M246" s="59" t="str">
        <f>IFERROR(tbl_PEM[[#This Row],[Qty Complete]]/tbl_PEM[[#This Row],[Total Hours Act]]*tbl_PEM[[#This Row],['# of men Act]],"")</f>
        <v/>
      </c>
      <c r="O246"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46" s="71" t="str">
        <f>IFERROR((tbl_PEM[[#This Row],[Adj. Total Hours]]+tbl_PEM[[#This Row],[Est. Hours]])/(tbl_PEM[[#This Row],[Total Hours Act]]+tbl_PEM[[#This Row],[Act. Hours]]),"")</f>
        <v/>
      </c>
      <c r="S246" s="63"/>
      <c r="T246" s="63"/>
      <c r="U246" s="63"/>
      <c r="V246" s="63"/>
      <c r="W246" s="63"/>
    </row>
    <row r="247" spans="6:23" ht="25" customHeight="1">
      <c r="F247" s="53"/>
      <c r="H247" s="55" t="e">
        <f>tbl_PEM[[#This Row],[Qty Complete]]/tbl_PEM[[#This Row],[Qty Required]]</f>
        <v>#DIV/0!</v>
      </c>
      <c r="K247" s="57" t="str">
        <f>IFERROR(tbl_PEM[[#This Row],[Qty Required]]/tbl_PEM[[#This Row],[PPH]]*tbl_PEM[[#This Row],['# of men]],"")</f>
        <v/>
      </c>
      <c r="L247" s="58" t="e">
        <f>tbl_PEM[[#This Row],[Total hours]]*tbl_PEM[[#This Row],[% Complete]]</f>
        <v>#VALUE!</v>
      </c>
      <c r="M247" s="59" t="str">
        <f>IFERROR(tbl_PEM[[#This Row],[Qty Complete]]/tbl_PEM[[#This Row],[Total Hours Act]]*tbl_PEM[[#This Row],['# of men Act]],"")</f>
        <v/>
      </c>
      <c r="O247"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47" s="71" t="str">
        <f>IFERROR((tbl_PEM[[#This Row],[Adj. Total Hours]]+tbl_PEM[[#This Row],[Est. Hours]])/(tbl_PEM[[#This Row],[Total Hours Act]]+tbl_PEM[[#This Row],[Act. Hours]]),"")</f>
        <v/>
      </c>
      <c r="S247" s="63"/>
      <c r="T247" s="63"/>
      <c r="U247" s="63"/>
      <c r="V247" s="63"/>
      <c r="W247" s="63"/>
    </row>
    <row r="248" spans="6:23" ht="25" customHeight="1">
      <c r="F248" s="53"/>
      <c r="H248" s="55" t="e">
        <f>tbl_PEM[[#This Row],[Qty Complete]]/tbl_PEM[[#This Row],[Qty Required]]</f>
        <v>#DIV/0!</v>
      </c>
      <c r="K248" s="57" t="str">
        <f>IFERROR(tbl_PEM[[#This Row],[Qty Required]]/tbl_PEM[[#This Row],[PPH]]*tbl_PEM[[#This Row],['# of men]],"")</f>
        <v/>
      </c>
      <c r="L248" s="58" t="e">
        <f>tbl_PEM[[#This Row],[Total hours]]*tbl_PEM[[#This Row],[% Complete]]</f>
        <v>#VALUE!</v>
      </c>
      <c r="M248" s="59" t="str">
        <f>IFERROR(tbl_PEM[[#This Row],[Qty Complete]]/tbl_PEM[[#This Row],[Total Hours Act]]*tbl_PEM[[#This Row],['# of men Act]],"")</f>
        <v/>
      </c>
      <c r="O248"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48" s="71" t="str">
        <f>IFERROR((tbl_PEM[[#This Row],[Adj. Total Hours]]+tbl_PEM[[#This Row],[Est. Hours]])/(tbl_PEM[[#This Row],[Total Hours Act]]+tbl_PEM[[#This Row],[Act. Hours]]),"")</f>
        <v/>
      </c>
      <c r="S248" s="63"/>
      <c r="T248" s="63"/>
      <c r="U248" s="63"/>
      <c r="V248" s="63"/>
      <c r="W248" s="63"/>
    </row>
    <row r="249" spans="6:23" ht="25" customHeight="1">
      <c r="F249" s="53"/>
      <c r="H249" s="55" t="e">
        <f>tbl_PEM[[#This Row],[Qty Complete]]/tbl_PEM[[#This Row],[Qty Required]]</f>
        <v>#DIV/0!</v>
      </c>
      <c r="K249" s="57" t="str">
        <f>IFERROR(tbl_PEM[[#This Row],[Qty Required]]/tbl_PEM[[#This Row],[PPH]]*tbl_PEM[[#This Row],['# of men]],"")</f>
        <v/>
      </c>
      <c r="L249" s="58" t="e">
        <f>tbl_PEM[[#This Row],[Total hours]]*tbl_PEM[[#This Row],[% Complete]]</f>
        <v>#VALUE!</v>
      </c>
      <c r="M249" s="59" t="str">
        <f>IFERROR(tbl_PEM[[#This Row],[Qty Complete]]/tbl_PEM[[#This Row],[Total Hours Act]]*tbl_PEM[[#This Row],['# of men Act]],"")</f>
        <v/>
      </c>
      <c r="O249"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49" s="71" t="str">
        <f>IFERROR((tbl_PEM[[#This Row],[Adj. Total Hours]]+tbl_PEM[[#This Row],[Est. Hours]])/(tbl_PEM[[#This Row],[Total Hours Act]]+tbl_PEM[[#This Row],[Act. Hours]]),"")</f>
        <v/>
      </c>
      <c r="S249" s="63"/>
      <c r="T249" s="63"/>
      <c r="U249" s="63"/>
      <c r="V249" s="63"/>
      <c r="W249" s="63"/>
    </row>
    <row r="250" spans="6:23" ht="25" customHeight="1">
      <c r="F250" s="53"/>
      <c r="H250" s="55" t="e">
        <f>tbl_PEM[[#This Row],[Qty Complete]]/tbl_PEM[[#This Row],[Qty Required]]</f>
        <v>#DIV/0!</v>
      </c>
      <c r="K250" s="57" t="str">
        <f>IFERROR(tbl_PEM[[#This Row],[Qty Required]]/tbl_PEM[[#This Row],[PPH]]*tbl_PEM[[#This Row],['# of men]],"")</f>
        <v/>
      </c>
      <c r="L250" s="58" t="e">
        <f>tbl_PEM[[#This Row],[Total hours]]*tbl_PEM[[#This Row],[% Complete]]</f>
        <v>#VALUE!</v>
      </c>
      <c r="M250" s="59" t="str">
        <f>IFERROR(tbl_PEM[[#This Row],[Qty Complete]]/tbl_PEM[[#This Row],[Total Hours Act]]*tbl_PEM[[#This Row],['# of men Act]],"")</f>
        <v/>
      </c>
      <c r="O250" s="60">
        <f>(MOD(tbl_PEM[[#This Row],[End Time]]-tbl_PEM[[#This Row],[Start Time]],1)*24*tbl_PEM[[#This Row],['# of men Act]])-
(
IF(AND(tbl_PEM[[#This Row],[Start Time]]&lt;=Data!$B$2+(Data!$B$2&lt;tbl_PEM[[#This Row],[Start Time]]),tbl_PEM[[#This Row],[Start Time]]+MOD(tbl_PEM[[#This Row],[End Time]]-tbl_PEM[[#This Row],[Start Time]],1)&gt;=Data!$C$2+(Data!$C$2&lt;tbl_PEM[[#This Row],[Start Time]])),0.5*tbl_PEM[[#This Row],['# of men Act]],0)
+
IF(AND(tbl_PEM[[#This Row],[Start Time]]&lt;=Data!$B$3+(Data!$B$3&lt;tbl_PEM[[#This Row],[Start Time]]),tbl_PEM[[#This Row],[Start Time]]+MOD(tbl_PEM[[#This Row],[End Time]]-tbl_PEM[[#This Row],[Start Time]],1)&gt;=Data!$C$3+(Data!$C$3&lt;tbl_PEM[[#This Row],[Start Time]])),0.5*tbl_PEM[[#This Row],['# of men Act]],0)
)</f>
        <v>0</v>
      </c>
      <c r="R250" s="71" t="str">
        <f>IFERROR((tbl_PEM[[#This Row],[Adj. Total Hours]]+tbl_PEM[[#This Row],[Est. Hours]])/(tbl_PEM[[#This Row],[Total Hours Act]]+tbl_PEM[[#This Row],[Act. Hours]]),"")</f>
        <v/>
      </c>
      <c r="S250" s="63"/>
      <c r="T250" s="63"/>
      <c r="U250" s="63"/>
      <c r="V250" s="63"/>
      <c r="W250" s="63"/>
    </row>
  </sheetData>
  <sheetProtection sheet="1" objects="1" scenarios="1"/>
  <protectedRanges>
    <protectedRange sqref="A1:G1048576 I1:J1048576 N1:N1048576 P1:Q1048576 S1:W1048576" name="Range1"/>
  </protectedRanges>
  <mergeCells count="1">
    <mergeCell ref="P1:Q1"/>
  </mergeCells>
  <conditionalFormatting sqref="R3:R3852">
    <cfRule type="expression" dxfId="32" priority="1">
      <formula>AND(R3&gt;0.85,R3&lt;&gt;"")</formula>
    </cfRule>
    <cfRule type="expression" dxfId="31" priority="2">
      <formula>AND(R3&gt;=0.7,R3&lt;=0.85,R3&lt;&gt;"")</formula>
    </cfRule>
    <cfRule type="expression" dxfId="30" priority="3">
      <formula>AND(R3&lt;0.7,R3&lt;&gt;"")</formula>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6226A-78E6-4FFC-B00E-EDC7EAD9F284}">
  <dimension ref="A1:W250"/>
  <sheetViews>
    <sheetView workbookViewId="0">
      <pane ySplit="2" topLeftCell="A3" activePane="bottomLeft" state="frozen"/>
      <selection pane="bottomLeft" activeCell="A4" sqref="A4"/>
    </sheetView>
  </sheetViews>
  <sheetFormatPr defaultColWidth="9.1796875" defaultRowHeight="25" customHeight="1"/>
  <cols>
    <col min="1" max="1" width="11.54296875" style="52" customWidth="1"/>
    <col min="2" max="2" width="13.1796875" style="53" customWidth="1"/>
    <col min="3" max="3" width="14.1796875" style="53" customWidth="1"/>
    <col min="4" max="4" width="15.54296875" style="54" bestFit="1" customWidth="1"/>
    <col min="5" max="5" width="14.7265625" style="54" bestFit="1" customWidth="1"/>
    <col min="6" max="6" width="18.26953125" style="54" bestFit="1" customWidth="1"/>
    <col min="7" max="7" width="19" style="53" bestFit="1" customWidth="1"/>
    <col min="8" max="8" width="19" style="53" hidden="1" customWidth="1"/>
    <col min="9" max="9" width="10.1796875" style="56" bestFit="1" customWidth="1"/>
    <col min="10" max="10" width="14" style="53" bestFit="1" customWidth="1"/>
    <col min="11" max="11" width="16.453125" style="66" bestFit="1" customWidth="1"/>
    <col min="12" max="12" width="16.453125" style="47" hidden="1" customWidth="1"/>
    <col min="13" max="13" width="13.453125" style="67" bestFit="1" customWidth="1"/>
    <col min="14" max="14" width="17.26953125" style="53" bestFit="1" customWidth="1"/>
    <col min="15" max="15" width="20.1796875" style="68" bestFit="1" customWidth="1"/>
    <col min="16" max="17" width="15.7265625" style="61" bestFit="1" customWidth="1"/>
    <col min="18" max="18" width="15.1796875" style="69" bestFit="1" customWidth="1"/>
    <col min="19" max="19" width="55.26953125" style="53" customWidth="1"/>
    <col min="20" max="23" width="16.81640625" style="53" bestFit="1" customWidth="1"/>
    <col min="24" max="16384" width="9.1796875" style="47"/>
  </cols>
  <sheetData>
    <row r="1" spans="1:23" ht="47.25" customHeight="1" thickBot="1">
      <c r="A1" s="8"/>
      <c r="B1" s="7"/>
      <c r="C1" s="7"/>
      <c r="D1" s="9"/>
      <c r="E1" s="9"/>
      <c r="F1" s="9"/>
      <c r="G1" s="7"/>
      <c r="H1" s="7"/>
      <c r="I1" s="13"/>
      <c r="J1" s="40" t="s">
        <v>0</v>
      </c>
      <c r="K1" s="46"/>
      <c r="L1" s="46"/>
      <c r="M1" s="4"/>
      <c r="N1" s="41" t="s">
        <v>1</v>
      </c>
      <c r="O1" s="5"/>
      <c r="P1" s="113" t="s">
        <v>2</v>
      </c>
      <c r="Q1" s="114"/>
      <c r="R1" s="39" t="s">
        <v>3</v>
      </c>
      <c r="S1" s="7"/>
      <c r="T1" s="7"/>
      <c r="U1" s="7"/>
      <c r="V1" s="7"/>
      <c r="W1" s="7"/>
    </row>
    <row r="2" spans="1:23" ht="17.5" thickTop="1">
      <c r="A2" s="10" t="s">
        <v>4</v>
      </c>
      <c r="B2" s="6" t="s">
        <v>5</v>
      </c>
      <c r="C2" s="6" t="s">
        <v>7</v>
      </c>
      <c r="D2" s="11" t="s">
        <v>8</v>
      </c>
      <c r="E2" s="11" t="s">
        <v>9</v>
      </c>
      <c r="F2" s="11" t="s">
        <v>10</v>
      </c>
      <c r="G2" s="6" t="s">
        <v>11</v>
      </c>
      <c r="H2" s="48" t="s">
        <v>12</v>
      </c>
      <c r="I2" s="12" t="s">
        <v>13</v>
      </c>
      <c r="J2" s="6" t="s">
        <v>14</v>
      </c>
      <c r="K2" s="49" t="s">
        <v>15</v>
      </c>
      <c r="L2" s="50" t="s">
        <v>16</v>
      </c>
      <c r="M2" s="2" t="s">
        <v>21</v>
      </c>
      <c r="N2" s="6" t="s">
        <v>22</v>
      </c>
      <c r="O2" s="3" t="s">
        <v>23</v>
      </c>
      <c r="P2" s="25" t="s">
        <v>25</v>
      </c>
      <c r="Q2" s="25" t="s">
        <v>26</v>
      </c>
      <c r="R2" s="51" t="s">
        <v>27</v>
      </c>
      <c r="S2" s="6" t="s">
        <v>31</v>
      </c>
      <c r="T2" s="6" t="s">
        <v>32</v>
      </c>
      <c r="U2" s="6" t="s">
        <v>33</v>
      </c>
      <c r="V2" s="6" t="s">
        <v>34</v>
      </c>
      <c r="W2" s="6" t="s">
        <v>35</v>
      </c>
    </row>
    <row r="3" spans="1:23" ht="25" customHeight="1">
      <c r="A3" s="52">
        <v>46120</v>
      </c>
      <c r="B3" s="53" t="s">
        <v>454</v>
      </c>
      <c r="C3" s="53" t="s">
        <v>455</v>
      </c>
      <c r="D3" s="54">
        <v>0.45833333333333331</v>
      </c>
      <c r="E3" s="54">
        <v>0.6875</v>
      </c>
      <c r="F3" s="53">
        <v>96</v>
      </c>
      <c r="G3" s="53">
        <v>27</v>
      </c>
      <c r="H3" s="55">
        <f>tbl_ASM[[#This Row],[Qty Complete]]/tbl_ASM[[#This Row],[Qty Required]]</f>
        <v>0.28125</v>
      </c>
      <c r="I3" s="56">
        <v>5</v>
      </c>
      <c r="J3" s="53">
        <v>1</v>
      </c>
      <c r="K3" s="57">
        <f>IFERROR(tbl_ASM[[#This Row],[Qty Required]]/tbl_ASM[[#This Row],[PPH]]*tbl_ASM[[#This Row],['# of men]],"")</f>
        <v>19.2</v>
      </c>
      <c r="L3" s="58">
        <f>tbl_ASM[[#This Row],[Total hours]]*tbl_ASM[[#This Row],[% Complete]]</f>
        <v>5.3999999999999995</v>
      </c>
      <c r="M3" s="59">
        <f>IFERROR(tbl_ASM[[#This Row],[Qty Complete]]/tbl_ASM[[#This Row],[Total Hours Act]]*tbl_ASM[[#This Row],['# of men Act]],"")</f>
        <v>5.4</v>
      </c>
      <c r="N3" s="53">
        <v>2</v>
      </c>
      <c r="O3"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10</v>
      </c>
      <c r="R3" s="62">
        <f>IFERROR((tbl_ASM[[#This Row],[Adj. Total Hours]]+tbl_ASM[[#This Row],[Est. Hours]])/(tbl_ASM[[#This Row],[Total Hours Act]]+tbl_ASM[[#This Row],[Act. Hours]]),"")</f>
        <v>0.53999999999999992</v>
      </c>
      <c r="S3" s="63" t="s">
        <v>456</v>
      </c>
      <c r="T3" s="64" t="s">
        <v>441</v>
      </c>
      <c r="U3" s="65"/>
      <c r="V3" s="63"/>
      <c r="W3" s="63"/>
    </row>
    <row r="4" spans="1:23" ht="25" customHeight="1">
      <c r="A4" s="52">
        <v>46128</v>
      </c>
      <c r="B4" s="53" t="s">
        <v>457</v>
      </c>
      <c r="C4" s="53" t="s">
        <v>458</v>
      </c>
      <c r="D4" s="54">
        <v>0.41666666666666669</v>
      </c>
      <c r="E4" s="54">
        <v>0.61458333333333337</v>
      </c>
      <c r="F4" s="53">
        <v>400</v>
      </c>
      <c r="G4" s="53">
        <v>160</v>
      </c>
      <c r="H4" s="55">
        <f>tbl_ASM[[#This Row],[Qty Complete]]/tbl_ASM[[#This Row],[Qty Required]]</f>
        <v>0.4</v>
      </c>
      <c r="I4" s="56">
        <v>80</v>
      </c>
      <c r="J4" s="53">
        <v>1</v>
      </c>
      <c r="K4" s="57">
        <f>IFERROR(tbl_ASM[[#This Row],[Qty Required]]/tbl_ASM[[#This Row],[PPH]]*tbl_ASM[[#This Row],['# of men]],"")</f>
        <v>5</v>
      </c>
      <c r="L4" s="58">
        <f>tbl_ASM[[#This Row],[Total hours]]*tbl_ASM[[#This Row],[% Complete]]</f>
        <v>2</v>
      </c>
      <c r="M4" s="59">
        <f>IFERROR(tbl_ASM[[#This Row],[Qty Complete]]/tbl_ASM[[#This Row],[Total Hours Act]]*tbl_ASM[[#This Row],['# of men Act]],"")</f>
        <v>37.647058823529413</v>
      </c>
      <c r="N4" s="53">
        <v>1</v>
      </c>
      <c r="O4"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4.25</v>
      </c>
      <c r="R4" s="71">
        <f>IFERROR((tbl_ASM[[#This Row],[Adj. Total Hours]]+tbl_ASM[[#This Row],[Est. Hours]])/(tbl_ASM[[#This Row],[Total Hours Act]]+tbl_ASM[[#This Row],[Act. Hours]]),"")</f>
        <v>0.47058823529411764</v>
      </c>
      <c r="S4" s="63"/>
      <c r="T4" s="86" t="s">
        <v>441</v>
      </c>
      <c r="U4" s="63"/>
      <c r="V4" s="63"/>
      <c r="W4" s="63"/>
    </row>
    <row r="5" spans="1:23" ht="25" customHeight="1">
      <c r="F5" s="53"/>
      <c r="H5" s="55" t="e">
        <f>tbl_ASM[[#This Row],[Qty Complete]]/tbl_ASM[[#This Row],[Qty Required]]</f>
        <v>#DIV/0!</v>
      </c>
      <c r="K5" s="57" t="str">
        <f>IFERROR(tbl_ASM[[#This Row],[Qty Required]]/tbl_ASM[[#This Row],[PPH]]*tbl_ASM[[#This Row],['# of men]],"")</f>
        <v/>
      </c>
      <c r="L5" s="58" t="e">
        <f>tbl_ASM[[#This Row],[Total hours]]*tbl_ASM[[#This Row],[% Complete]]</f>
        <v>#VALUE!</v>
      </c>
      <c r="M5" s="59" t="str">
        <f>IFERROR(tbl_ASM[[#This Row],[Qty Complete]]/tbl_ASM[[#This Row],[Total Hours Act]]*tbl_ASM[[#This Row],['# of men Act]],"")</f>
        <v/>
      </c>
      <c r="O5"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5" s="71" t="str">
        <f>IFERROR((tbl_ASM[[#This Row],[Adj. Total Hours]]+tbl_ASM[[#This Row],[Est. Hours]])/(tbl_ASM[[#This Row],[Total Hours Act]]+tbl_ASM[[#This Row],[Act. Hours]]),"")</f>
        <v/>
      </c>
      <c r="S5" s="63"/>
      <c r="T5" s="86"/>
      <c r="U5" s="63"/>
      <c r="V5" s="63"/>
      <c r="W5" s="63"/>
    </row>
    <row r="6" spans="1:23" ht="25" customHeight="1">
      <c r="F6" s="53"/>
      <c r="H6" s="55" t="e">
        <f>tbl_ASM[[#This Row],[Qty Complete]]/tbl_ASM[[#This Row],[Qty Required]]</f>
        <v>#DIV/0!</v>
      </c>
      <c r="K6" s="57" t="str">
        <f>IFERROR(tbl_ASM[[#This Row],[Qty Required]]/tbl_ASM[[#This Row],[PPH]]*tbl_ASM[[#This Row],['# of men]],"")</f>
        <v/>
      </c>
      <c r="L6" s="58" t="e">
        <f>tbl_ASM[[#This Row],[Total hours]]*tbl_ASM[[#This Row],[% Complete]]</f>
        <v>#VALUE!</v>
      </c>
      <c r="M6" s="59" t="str">
        <f>IFERROR(tbl_ASM[[#This Row],[Qty Complete]]/tbl_ASM[[#This Row],[Total Hours Act]]*tbl_ASM[[#This Row],['# of men Act]],"")</f>
        <v/>
      </c>
      <c r="O6"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6" s="71" t="str">
        <f>IFERROR((tbl_ASM[[#This Row],[Adj. Total Hours]]+tbl_ASM[[#This Row],[Est. Hours]])/(tbl_ASM[[#This Row],[Total Hours Act]]+tbl_ASM[[#This Row],[Act. Hours]]),"")</f>
        <v/>
      </c>
      <c r="S6" s="63"/>
      <c r="T6" s="86"/>
      <c r="U6" s="63"/>
      <c r="V6" s="63"/>
      <c r="W6" s="63"/>
    </row>
    <row r="7" spans="1:23" ht="25" customHeight="1">
      <c r="F7" s="53"/>
      <c r="H7" s="55" t="e">
        <f>tbl_ASM[[#This Row],[Qty Complete]]/tbl_ASM[[#This Row],[Qty Required]]</f>
        <v>#DIV/0!</v>
      </c>
      <c r="K7" s="57" t="str">
        <f>IFERROR(tbl_ASM[[#This Row],[Qty Required]]/tbl_ASM[[#This Row],[PPH]]*tbl_ASM[[#This Row],['# of men]],"")</f>
        <v/>
      </c>
      <c r="L7" s="58" t="e">
        <f>tbl_ASM[[#This Row],[Total hours]]*tbl_ASM[[#This Row],[% Complete]]</f>
        <v>#VALUE!</v>
      </c>
      <c r="M7" s="59" t="str">
        <f>IFERROR(tbl_ASM[[#This Row],[Qty Complete]]/tbl_ASM[[#This Row],[Total Hours Act]]*tbl_ASM[[#This Row],['# of men Act]],"")</f>
        <v/>
      </c>
      <c r="O7"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7" s="71" t="str">
        <f>IFERROR((tbl_ASM[[#This Row],[Adj. Total Hours]]+tbl_ASM[[#This Row],[Est. Hours]])/(tbl_ASM[[#This Row],[Total Hours Act]]+tbl_ASM[[#This Row],[Act. Hours]]),"")</f>
        <v/>
      </c>
      <c r="S7" s="63"/>
      <c r="T7" s="86"/>
      <c r="U7" s="63"/>
      <c r="V7" s="63"/>
      <c r="W7" s="63"/>
    </row>
    <row r="8" spans="1:23" ht="25" customHeight="1">
      <c r="F8" s="53"/>
      <c r="H8" s="55" t="e">
        <f>tbl_ASM[[#This Row],[Qty Complete]]/tbl_ASM[[#This Row],[Qty Required]]</f>
        <v>#DIV/0!</v>
      </c>
      <c r="K8" s="57" t="str">
        <f>IFERROR(tbl_ASM[[#This Row],[Qty Required]]/tbl_ASM[[#This Row],[PPH]]*tbl_ASM[[#This Row],['# of men]],"")</f>
        <v/>
      </c>
      <c r="L8" s="58" t="e">
        <f>tbl_ASM[[#This Row],[Total hours]]*tbl_ASM[[#This Row],[% Complete]]</f>
        <v>#VALUE!</v>
      </c>
      <c r="M8" s="59" t="str">
        <f>IFERROR(tbl_ASM[[#This Row],[Qty Complete]]/tbl_ASM[[#This Row],[Total Hours Act]]*tbl_ASM[[#This Row],['# of men Act]],"")</f>
        <v/>
      </c>
      <c r="O8"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8" s="71" t="str">
        <f>IFERROR((tbl_ASM[[#This Row],[Adj. Total Hours]]+tbl_ASM[[#This Row],[Est. Hours]])/(tbl_ASM[[#This Row],[Total Hours Act]]+tbl_ASM[[#This Row],[Act. Hours]]),"")</f>
        <v/>
      </c>
      <c r="S8" s="63"/>
      <c r="T8" s="63"/>
      <c r="U8" s="63"/>
      <c r="V8" s="63"/>
      <c r="W8" s="63"/>
    </row>
    <row r="9" spans="1:23" ht="25" customHeight="1">
      <c r="F9" s="53"/>
      <c r="H9" s="55" t="e">
        <f>tbl_ASM[[#This Row],[Qty Complete]]/tbl_ASM[[#This Row],[Qty Required]]</f>
        <v>#DIV/0!</v>
      </c>
      <c r="K9" s="57" t="str">
        <f>IFERROR(tbl_ASM[[#This Row],[Qty Required]]/tbl_ASM[[#This Row],[PPH]]*tbl_ASM[[#This Row],['# of men]],"")</f>
        <v/>
      </c>
      <c r="L9" s="58" t="e">
        <f>tbl_ASM[[#This Row],[Total hours]]*tbl_ASM[[#This Row],[% Complete]]</f>
        <v>#VALUE!</v>
      </c>
      <c r="M9" s="59" t="str">
        <f>IFERROR(tbl_ASM[[#This Row],[Qty Complete]]/tbl_ASM[[#This Row],[Total Hours Act]]*tbl_ASM[[#This Row],['# of men Act]],"")</f>
        <v/>
      </c>
      <c r="O9"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9" s="71" t="str">
        <f>IFERROR((tbl_ASM[[#This Row],[Adj. Total Hours]]+tbl_ASM[[#This Row],[Est. Hours]])/(tbl_ASM[[#This Row],[Total Hours Act]]+tbl_ASM[[#This Row],[Act. Hours]]),"")</f>
        <v/>
      </c>
      <c r="S9" s="63"/>
      <c r="T9" s="63"/>
      <c r="U9" s="63"/>
      <c r="V9" s="63"/>
      <c r="W9" s="63"/>
    </row>
    <row r="10" spans="1:23" ht="25" customHeight="1">
      <c r="F10" s="53"/>
      <c r="H10" s="55" t="e">
        <f>tbl_ASM[[#This Row],[Qty Complete]]/tbl_ASM[[#This Row],[Qty Required]]</f>
        <v>#DIV/0!</v>
      </c>
      <c r="K10" s="57" t="str">
        <f>IFERROR(tbl_ASM[[#This Row],[Qty Required]]/tbl_ASM[[#This Row],[PPH]]*tbl_ASM[[#This Row],['# of men]],"")</f>
        <v/>
      </c>
      <c r="L10" s="58" t="e">
        <f>tbl_ASM[[#This Row],[Total hours]]*tbl_ASM[[#This Row],[% Complete]]</f>
        <v>#VALUE!</v>
      </c>
      <c r="M10" s="59" t="str">
        <f>IFERROR(tbl_ASM[[#This Row],[Qty Complete]]/tbl_ASM[[#This Row],[Total Hours Act]]*tbl_ASM[[#This Row],['# of men Act]],"")</f>
        <v/>
      </c>
      <c r="O10"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0" s="71" t="str">
        <f>IFERROR((tbl_ASM[[#This Row],[Adj. Total Hours]]+tbl_ASM[[#This Row],[Est. Hours]])/(tbl_ASM[[#This Row],[Total Hours Act]]+tbl_ASM[[#This Row],[Act. Hours]]),"")</f>
        <v/>
      </c>
      <c r="S10" s="63"/>
      <c r="T10" s="63"/>
      <c r="U10" s="63"/>
      <c r="V10" s="63"/>
      <c r="W10" s="63"/>
    </row>
    <row r="11" spans="1:23" ht="25" customHeight="1">
      <c r="F11" s="53"/>
      <c r="H11" s="55" t="e">
        <f>tbl_ASM[[#This Row],[Qty Complete]]/tbl_ASM[[#This Row],[Qty Required]]</f>
        <v>#DIV/0!</v>
      </c>
      <c r="K11" s="57" t="str">
        <f>IFERROR(tbl_ASM[[#This Row],[Qty Required]]/tbl_ASM[[#This Row],[PPH]]*tbl_ASM[[#This Row],['# of men]],"")</f>
        <v/>
      </c>
      <c r="L11" s="58" t="e">
        <f>tbl_ASM[[#This Row],[Total hours]]*tbl_ASM[[#This Row],[% Complete]]</f>
        <v>#VALUE!</v>
      </c>
      <c r="M11" s="59" t="str">
        <f>IFERROR(tbl_ASM[[#This Row],[Qty Complete]]/tbl_ASM[[#This Row],[Total Hours Act]]*tbl_ASM[[#This Row],['# of men Act]],"")</f>
        <v/>
      </c>
      <c r="O11"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1" s="71" t="str">
        <f>IFERROR((tbl_ASM[[#This Row],[Adj. Total Hours]]+tbl_ASM[[#This Row],[Est. Hours]])/(tbl_ASM[[#This Row],[Total Hours Act]]+tbl_ASM[[#This Row],[Act. Hours]]),"")</f>
        <v/>
      </c>
      <c r="S11" s="63"/>
      <c r="T11" s="63"/>
      <c r="U11" s="63"/>
      <c r="V11" s="63"/>
      <c r="W11" s="63"/>
    </row>
    <row r="12" spans="1:23" ht="25" customHeight="1">
      <c r="F12" s="53"/>
      <c r="H12" s="55" t="e">
        <f>tbl_ASM[[#This Row],[Qty Complete]]/tbl_ASM[[#This Row],[Qty Required]]</f>
        <v>#DIV/0!</v>
      </c>
      <c r="K12" s="57" t="str">
        <f>IFERROR(tbl_ASM[[#This Row],[Qty Required]]/tbl_ASM[[#This Row],[PPH]]*tbl_ASM[[#This Row],['# of men]],"")</f>
        <v/>
      </c>
      <c r="L12" s="58" t="e">
        <f>tbl_ASM[[#This Row],[Total hours]]*tbl_ASM[[#This Row],[% Complete]]</f>
        <v>#VALUE!</v>
      </c>
      <c r="M12" s="59" t="str">
        <f>IFERROR(tbl_ASM[[#This Row],[Qty Complete]]/tbl_ASM[[#This Row],[Total Hours Act]]*tbl_ASM[[#This Row],['# of men Act]],"")</f>
        <v/>
      </c>
      <c r="O12"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2" s="71" t="str">
        <f>IFERROR((tbl_ASM[[#This Row],[Adj. Total Hours]]+tbl_ASM[[#This Row],[Est. Hours]])/(tbl_ASM[[#This Row],[Total Hours Act]]+tbl_ASM[[#This Row],[Act. Hours]]),"")</f>
        <v/>
      </c>
      <c r="S12" s="63"/>
      <c r="T12" s="63"/>
      <c r="U12" s="63"/>
      <c r="V12" s="63"/>
      <c r="W12" s="63"/>
    </row>
    <row r="13" spans="1:23" ht="25" customHeight="1">
      <c r="F13" s="53"/>
      <c r="H13" s="55" t="e">
        <f>tbl_ASM[[#This Row],[Qty Complete]]/tbl_ASM[[#This Row],[Qty Required]]</f>
        <v>#DIV/0!</v>
      </c>
      <c r="K13" s="57" t="str">
        <f>IFERROR(tbl_ASM[[#This Row],[Qty Required]]/tbl_ASM[[#This Row],[PPH]]*tbl_ASM[[#This Row],['# of men]],"")</f>
        <v/>
      </c>
      <c r="L13" s="58" t="e">
        <f>tbl_ASM[[#This Row],[Total hours]]*tbl_ASM[[#This Row],[% Complete]]</f>
        <v>#VALUE!</v>
      </c>
      <c r="M13" s="59" t="str">
        <f>IFERROR(tbl_ASM[[#This Row],[Qty Complete]]/tbl_ASM[[#This Row],[Total Hours Act]]*tbl_ASM[[#This Row],['# of men Act]],"")</f>
        <v/>
      </c>
      <c r="O13"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3" s="71" t="str">
        <f>IFERROR((tbl_ASM[[#This Row],[Adj. Total Hours]]+tbl_ASM[[#This Row],[Est. Hours]])/(tbl_ASM[[#This Row],[Total Hours Act]]+tbl_ASM[[#This Row],[Act. Hours]]),"")</f>
        <v/>
      </c>
      <c r="S13" s="63"/>
      <c r="T13" s="63"/>
      <c r="U13" s="63"/>
      <c r="V13" s="63"/>
      <c r="W13" s="63"/>
    </row>
    <row r="14" spans="1:23" ht="25" customHeight="1">
      <c r="F14" s="53"/>
      <c r="H14" s="55" t="e">
        <f>tbl_ASM[[#This Row],[Qty Complete]]/tbl_ASM[[#This Row],[Qty Required]]</f>
        <v>#DIV/0!</v>
      </c>
      <c r="K14" s="57" t="str">
        <f>IFERROR(tbl_ASM[[#This Row],[Qty Required]]/tbl_ASM[[#This Row],[PPH]]*tbl_ASM[[#This Row],['# of men]],"")</f>
        <v/>
      </c>
      <c r="L14" s="58" t="e">
        <f>tbl_ASM[[#This Row],[Total hours]]*tbl_ASM[[#This Row],[% Complete]]</f>
        <v>#VALUE!</v>
      </c>
      <c r="M14" s="59" t="str">
        <f>IFERROR(tbl_ASM[[#This Row],[Qty Complete]]/tbl_ASM[[#This Row],[Total Hours Act]]*tbl_ASM[[#This Row],['# of men Act]],"")</f>
        <v/>
      </c>
      <c r="O14"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4" s="71" t="str">
        <f>IFERROR((tbl_ASM[[#This Row],[Adj. Total Hours]]+tbl_ASM[[#This Row],[Est. Hours]])/(tbl_ASM[[#This Row],[Total Hours Act]]+tbl_ASM[[#This Row],[Act. Hours]]),"")</f>
        <v/>
      </c>
      <c r="S14" s="63"/>
      <c r="T14" s="63"/>
      <c r="U14" s="63"/>
      <c r="V14" s="63"/>
      <c r="W14" s="63"/>
    </row>
    <row r="15" spans="1:23" ht="25" customHeight="1">
      <c r="F15" s="53"/>
      <c r="H15" s="55" t="e">
        <f>tbl_ASM[[#This Row],[Qty Complete]]/tbl_ASM[[#This Row],[Qty Required]]</f>
        <v>#DIV/0!</v>
      </c>
      <c r="K15" s="57" t="str">
        <f>IFERROR(tbl_ASM[[#This Row],[Qty Required]]/tbl_ASM[[#This Row],[PPH]]*tbl_ASM[[#This Row],['# of men]],"")</f>
        <v/>
      </c>
      <c r="L15" s="58" t="e">
        <f>tbl_ASM[[#This Row],[Total hours]]*tbl_ASM[[#This Row],[% Complete]]</f>
        <v>#VALUE!</v>
      </c>
      <c r="M15" s="59" t="str">
        <f>IFERROR(tbl_ASM[[#This Row],[Qty Complete]]/tbl_ASM[[#This Row],[Total Hours Act]]*tbl_ASM[[#This Row],['# of men Act]],"")</f>
        <v/>
      </c>
      <c r="O15"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5" s="71" t="str">
        <f>IFERROR((tbl_ASM[[#This Row],[Adj. Total Hours]]+tbl_ASM[[#This Row],[Est. Hours]])/(tbl_ASM[[#This Row],[Total Hours Act]]+tbl_ASM[[#This Row],[Act. Hours]]),"")</f>
        <v/>
      </c>
      <c r="S15" s="63"/>
      <c r="T15" s="63"/>
      <c r="U15" s="63"/>
      <c r="V15" s="63"/>
      <c r="W15" s="63"/>
    </row>
    <row r="16" spans="1:23" ht="25" customHeight="1">
      <c r="F16" s="53"/>
      <c r="H16" s="55" t="e">
        <f>tbl_ASM[[#This Row],[Qty Complete]]/tbl_ASM[[#This Row],[Qty Required]]</f>
        <v>#DIV/0!</v>
      </c>
      <c r="K16" s="57" t="str">
        <f>IFERROR(tbl_ASM[[#This Row],[Qty Required]]/tbl_ASM[[#This Row],[PPH]]*tbl_ASM[[#This Row],['# of men]],"")</f>
        <v/>
      </c>
      <c r="L16" s="58" t="e">
        <f>tbl_ASM[[#This Row],[Total hours]]*tbl_ASM[[#This Row],[% Complete]]</f>
        <v>#VALUE!</v>
      </c>
      <c r="M16" s="59" t="str">
        <f>IFERROR(tbl_ASM[[#This Row],[Qty Complete]]/tbl_ASM[[#This Row],[Total Hours Act]]*tbl_ASM[[#This Row],['# of men Act]],"")</f>
        <v/>
      </c>
      <c r="O16"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6" s="71" t="str">
        <f>IFERROR((tbl_ASM[[#This Row],[Adj. Total Hours]]+tbl_ASM[[#This Row],[Est. Hours]])/(tbl_ASM[[#This Row],[Total Hours Act]]+tbl_ASM[[#This Row],[Act. Hours]]),"")</f>
        <v/>
      </c>
      <c r="S16" s="63"/>
      <c r="T16" s="63"/>
      <c r="U16" s="63"/>
      <c r="V16" s="63"/>
      <c r="W16" s="63"/>
    </row>
    <row r="17" spans="6:23" ht="25" customHeight="1">
      <c r="F17" s="53"/>
      <c r="H17" s="55" t="e">
        <f>tbl_ASM[[#This Row],[Qty Complete]]/tbl_ASM[[#This Row],[Qty Required]]</f>
        <v>#DIV/0!</v>
      </c>
      <c r="K17" s="57" t="str">
        <f>IFERROR(tbl_ASM[[#This Row],[Qty Required]]/tbl_ASM[[#This Row],[PPH]]*tbl_ASM[[#This Row],['# of men]],"")</f>
        <v/>
      </c>
      <c r="L17" s="58" t="e">
        <f>tbl_ASM[[#This Row],[Total hours]]*tbl_ASM[[#This Row],[% Complete]]</f>
        <v>#VALUE!</v>
      </c>
      <c r="M17" s="59" t="str">
        <f>IFERROR(tbl_ASM[[#This Row],[Qty Complete]]/tbl_ASM[[#This Row],[Total Hours Act]]*tbl_ASM[[#This Row],['# of men Act]],"")</f>
        <v/>
      </c>
      <c r="O17"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7" s="71" t="str">
        <f>IFERROR((tbl_ASM[[#This Row],[Adj. Total Hours]]+tbl_ASM[[#This Row],[Est. Hours]])/(tbl_ASM[[#This Row],[Total Hours Act]]+tbl_ASM[[#This Row],[Act. Hours]]),"")</f>
        <v/>
      </c>
      <c r="S17" s="63"/>
      <c r="T17" s="63"/>
      <c r="U17" s="63"/>
      <c r="V17" s="63"/>
      <c r="W17" s="63"/>
    </row>
    <row r="18" spans="6:23" ht="25" customHeight="1">
      <c r="F18" s="53"/>
      <c r="H18" s="55" t="e">
        <f>tbl_ASM[[#This Row],[Qty Complete]]/tbl_ASM[[#This Row],[Qty Required]]</f>
        <v>#DIV/0!</v>
      </c>
      <c r="K18" s="57" t="str">
        <f>IFERROR(tbl_ASM[[#This Row],[Qty Required]]/tbl_ASM[[#This Row],[PPH]]*tbl_ASM[[#This Row],['# of men]],"")</f>
        <v/>
      </c>
      <c r="L18" s="58" t="e">
        <f>tbl_ASM[[#This Row],[Total hours]]*tbl_ASM[[#This Row],[% Complete]]</f>
        <v>#VALUE!</v>
      </c>
      <c r="M18" s="59" t="str">
        <f>IFERROR(tbl_ASM[[#This Row],[Qty Complete]]/tbl_ASM[[#This Row],[Total Hours Act]]*tbl_ASM[[#This Row],['# of men Act]],"")</f>
        <v/>
      </c>
      <c r="O18"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8" s="71" t="str">
        <f>IFERROR((tbl_ASM[[#This Row],[Adj. Total Hours]]+tbl_ASM[[#This Row],[Est. Hours]])/(tbl_ASM[[#This Row],[Total Hours Act]]+tbl_ASM[[#This Row],[Act. Hours]]),"")</f>
        <v/>
      </c>
      <c r="S18" s="63"/>
      <c r="T18" s="63"/>
      <c r="U18" s="63"/>
      <c r="V18" s="63"/>
      <c r="W18" s="63"/>
    </row>
    <row r="19" spans="6:23" ht="25" customHeight="1">
      <c r="F19" s="53"/>
      <c r="H19" s="55" t="e">
        <f>tbl_ASM[[#This Row],[Qty Complete]]/tbl_ASM[[#This Row],[Qty Required]]</f>
        <v>#DIV/0!</v>
      </c>
      <c r="K19" s="57" t="str">
        <f>IFERROR(tbl_ASM[[#This Row],[Qty Required]]/tbl_ASM[[#This Row],[PPH]]*tbl_ASM[[#This Row],['# of men]],"")</f>
        <v/>
      </c>
      <c r="L19" s="58" t="e">
        <f>tbl_ASM[[#This Row],[Total hours]]*tbl_ASM[[#This Row],[% Complete]]</f>
        <v>#VALUE!</v>
      </c>
      <c r="M19" s="59" t="str">
        <f>IFERROR(tbl_ASM[[#This Row],[Qty Complete]]/tbl_ASM[[#This Row],[Total Hours Act]]*tbl_ASM[[#This Row],['# of men Act]],"")</f>
        <v/>
      </c>
      <c r="O19"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9" s="71" t="str">
        <f>IFERROR((tbl_ASM[[#This Row],[Adj. Total Hours]]+tbl_ASM[[#This Row],[Est. Hours]])/(tbl_ASM[[#This Row],[Total Hours Act]]+tbl_ASM[[#This Row],[Act. Hours]]),"")</f>
        <v/>
      </c>
      <c r="S19" s="63"/>
      <c r="T19" s="63"/>
      <c r="U19" s="63"/>
      <c r="V19" s="63"/>
      <c r="W19" s="63"/>
    </row>
    <row r="20" spans="6:23" ht="25" customHeight="1">
      <c r="F20" s="53"/>
      <c r="H20" s="55" t="e">
        <f>tbl_ASM[[#This Row],[Qty Complete]]/tbl_ASM[[#This Row],[Qty Required]]</f>
        <v>#DIV/0!</v>
      </c>
      <c r="K20" s="57" t="str">
        <f>IFERROR(tbl_ASM[[#This Row],[Qty Required]]/tbl_ASM[[#This Row],[PPH]]*tbl_ASM[[#This Row],['# of men]],"")</f>
        <v/>
      </c>
      <c r="L20" s="58" t="e">
        <f>tbl_ASM[[#This Row],[Total hours]]*tbl_ASM[[#This Row],[% Complete]]</f>
        <v>#VALUE!</v>
      </c>
      <c r="M20" s="59" t="str">
        <f>IFERROR(tbl_ASM[[#This Row],[Qty Complete]]/tbl_ASM[[#This Row],[Total Hours Act]]*tbl_ASM[[#This Row],['# of men Act]],"")</f>
        <v/>
      </c>
      <c r="O20"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0" s="71" t="str">
        <f>IFERROR((tbl_ASM[[#This Row],[Adj. Total Hours]]+tbl_ASM[[#This Row],[Est. Hours]])/(tbl_ASM[[#This Row],[Total Hours Act]]+tbl_ASM[[#This Row],[Act. Hours]]),"")</f>
        <v/>
      </c>
      <c r="S20" s="63"/>
      <c r="T20" s="63"/>
      <c r="U20" s="63"/>
      <c r="V20" s="63"/>
      <c r="W20" s="63"/>
    </row>
    <row r="21" spans="6:23" ht="25" customHeight="1">
      <c r="F21" s="53"/>
      <c r="H21" s="55" t="e">
        <f>tbl_ASM[[#This Row],[Qty Complete]]/tbl_ASM[[#This Row],[Qty Required]]</f>
        <v>#DIV/0!</v>
      </c>
      <c r="K21" s="57" t="str">
        <f>IFERROR(tbl_ASM[[#This Row],[Qty Required]]/tbl_ASM[[#This Row],[PPH]]*tbl_ASM[[#This Row],['# of men]],"")</f>
        <v/>
      </c>
      <c r="L21" s="58" t="e">
        <f>tbl_ASM[[#This Row],[Total hours]]*tbl_ASM[[#This Row],[% Complete]]</f>
        <v>#VALUE!</v>
      </c>
      <c r="M21" s="59" t="str">
        <f>IFERROR(tbl_ASM[[#This Row],[Qty Complete]]/tbl_ASM[[#This Row],[Total Hours Act]]*tbl_ASM[[#This Row],['# of men Act]],"")</f>
        <v/>
      </c>
      <c r="O21"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1" s="71" t="str">
        <f>IFERROR((tbl_ASM[[#This Row],[Adj. Total Hours]]+tbl_ASM[[#This Row],[Est. Hours]])/(tbl_ASM[[#This Row],[Total Hours Act]]+tbl_ASM[[#This Row],[Act. Hours]]),"")</f>
        <v/>
      </c>
      <c r="S21" s="63"/>
      <c r="T21" s="63"/>
      <c r="U21" s="63"/>
      <c r="V21" s="63"/>
      <c r="W21" s="63"/>
    </row>
    <row r="22" spans="6:23" ht="25" customHeight="1">
      <c r="F22" s="53"/>
      <c r="H22" s="55" t="e">
        <f>tbl_ASM[[#This Row],[Qty Complete]]/tbl_ASM[[#This Row],[Qty Required]]</f>
        <v>#DIV/0!</v>
      </c>
      <c r="K22" s="57" t="str">
        <f>IFERROR(tbl_ASM[[#This Row],[Qty Required]]/tbl_ASM[[#This Row],[PPH]]*tbl_ASM[[#This Row],['# of men]],"")</f>
        <v/>
      </c>
      <c r="L22" s="58" t="e">
        <f>tbl_ASM[[#This Row],[Total hours]]*tbl_ASM[[#This Row],[% Complete]]</f>
        <v>#VALUE!</v>
      </c>
      <c r="M22" s="59" t="str">
        <f>IFERROR(tbl_ASM[[#This Row],[Qty Complete]]/tbl_ASM[[#This Row],[Total Hours Act]]*tbl_ASM[[#This Row],['# of men Act]],"")</f>
        <v/>
      </c>
      <c r="O22"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2" s="71" t="str">
        <f>IFERROR((tbl_ASM[[#This Row],[Adj. Total Hours]]+tbl_ASM[[#This Row],[Est. Hours]])/(tbl_ASM[[#This Row],[Total Hours Act]]+tbl_ASM[[#This Row],[Act. Hours]]),"")</f>
        <v/>
      </c>
      <c r="S22" s="63"/>
      <c r="T22" s="63"/>
      <c r="U22" s="63"/>
      <c r="V22" s="63"/>
      <c r="W22" s="63"/>
    </row>
    <row r="23" spans="6:23" ht="25" customHeight="1">
      <c r="F23" s="53"/>
      <c r="H23" s="55" t="e">
        <f>tbl_ASM[[#This Row],[Qty Complete]]/tbl_ASM[[#This Row],[Qty Required]]</f>
        <v>#DIV/0!</v>
      </c>
      <c r="K23" s="57" t="str">
        <f>IFERROR(tbl_ASM[[#This Row],[Qty Required]]/tbl_ASM[[#This Row],[PPH]]*tbl_ASM[[#This Row],['# of men]],"")</f>
        <v/>
      </c>
      <c r="L23" s="58" t="e">
        <f>tbl_ASM[[#This Row],[Total hours]]*tbl_ASM[[#This Row],[% Complete]]</f>
        <v>#VALUE!</v>
      </c>
      <c r="M23" s="59" t="str">
        <f>IFERROR(tbl_ASM[[#This Row],[Qty Complete]]/tbl_ASM[[#This Row],[Total Hours Act]]*tbl_ASM[[#This Row],['# of men Act]],"")</f>
        <v/>
      </c>
      <c r="O23"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3" s="71" t="str">
        <f>IFERROR((tbl_ASM[[#This Row],[Adj. Total Hours]]+tbl_ASM[[#This Row],[Est. Hours]])/(tbl_ASM[[#This Row],[Total Hours Act]]+tbl_ASM[[#This Row],[Act. Hours]]),"")</f>
        <v/>
      </c>
      <c r="S23" s="63"/>
      <c r="T23" s="63"/>
      <c r="U23" s="63"/>
      <c r="V23" s="63"/>
      <c r="W23" s="63"/>
    </row>
    <row r="24" spans="6:23" ht="25" customHeight="1">
      <c r="F24" s="53"/>
      <c r="H24" s="55" t="e">
        <f>tbl_ASM[[#This Row],[Qty Complete]]/tbl_ASM[[#This Row],[Qty Required]]</f>
        <v>#DIV/0!</v>
      </c>
      <c r="K24" s="57" t="str">
        <f>IFERROR(tbl_ASM[[#This Row],[Qty Required]]/tbl_ASM[[#This Row],[PPH]]*tbl_ASM[[#This Row],['# of men]],"")</f>
        <v/>
      </c>
      <c r="L24" s="58" t="e">
        <f>tbl_ASM[[#This Row],[Total hours]]*tbl_ASM[[#This Row],[% Complete]]</f>
        <v>#VALUE!</v>
      </c>
      <c r="M24" s="59" t="str">
        <f>IFERROR(tbl_ASM[[#This Row],[Qty Complete]]/tbl_ASM[[#This Row],[Total Hours Act]]*tbl_ASM[[#This Row],['# of men Act]],"")</f>
        <v/>
      </c>
      <c r="O24"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4" s="71" t="str">
        <f>IFERROR((tbl_ASM[[#This Row],[Adj. Total Hours]]+tbl_ASM[[#This Row],[Est. Hours]])/(tbl_ASM[[#This Row],[Total Hours Act]]+tbl_ASM[[#This Row],[Act. Hours]]),"")</f>
        <v/>
      </c>
      <c r="S24" s="63"/>
      <c r="T24" s="63"/>
      <c r="U24" s="63"/>
      <c r="V24" s="63"/>
      <c r="W24" s="63"/>
    </row>
    <row r="25" spans="6:23" ht="25" customHeight="1">
      <c r="F25" s="53"/>
      <c r="H25" s="55" t="e">
        <f>tbl_ASM[[#This Row],[Qty Complete]]/tbl_ASM[[#This Row],[Qty Required]]</f>
        <v>#DIV/0!</v>
      </c>
      <c r="K25" s="57" t="str">
        <f>IFERROR(tbl_ASM[[#This Row],[Qty Required]]/tbl_ASM[[#This Row],[PPH]]*tbl_ASM[[#This Row],['# of men]],"")</f>
        <v/>
      </c>
      <c r="L25" s="58" t="e">
        <f>tbl_ASM[[#This Row],[Total hours]]*tbl_ASM[[#This Row],[% Complete]]</f>
        <v>#VALUE!</v>
      </c>
      <c r="M25" s="59" t="str">
        <f>IFERROR(tbl_ASM[[#This Row],[Qty Complete]]/tbl_ASM[[#This Row],[Total Hours Act]]*tbl_ASM[[#This Row],['# of men Act]],"")</f>
        <v/>
      </c>
      <c r="O25"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5" s="71" t="str">
        <f>IFERROR((tbl_ASM[[#This Row],[Adj. Total Hours]]+tbl_ASM[[#This Row],[Est. Hours]])/(tbl_ASM[[#This Row],[Total Hours Act]]+tbl_ASM[[#This Row],[Act. Hours]]),"")</f>
        <v/>
      </c>
      <c r="S25" s="63"/>
      <c r="T25" s="63"/>
      <c r="U25" s="63"/>
      <c r="V25" s="63"/>
      <c r="W25" s="63"/>
    </row>
    <row r="26" spans="6:23" ht="25" customHeight="1">
      <c r="F26" s="53"/>
      <c r="H26" s="55" t="e">
        <f>tbl_ASM[[#This Row],[Qty Complete]]/tbl_ASM[[#This Row],[Qty Required]]</f>
        <v>#DIV/0!</v>
      </c>
      <c r="K26" s="57" t="str">
        <f>IFERROR(tbl_ASM[[#This Row],[Qty Required]]/tbl_ASM[[#This Row],[PPH]]*tbl_ASM[[#This Row],['# of men]],"")</f>
        <v/>
      </c>
      <c r="L26" s="58" t="e">
        <f>tbl_ASM[[#This Row],[Total hours]]*tbl_ASM[[#This Row],[% Complete]]</f>
        <v>#VALUE!</v>
      </c>
      <c r="M26" s="59" t="str">
        <f>IFERROR(tbl_ASM[[#This Row],[Qty Complete]]/tbl_ASM[[#This Row],[Total Hours Act]]*tbl_ASM[[#This Row],['# of men Act]],"")</f>
        <v/>
      </c>
      <c r="O26"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6" s="71" t="str">
        <f>IFERROR((tbl_ASM[[#This Row],[Adj. Total Hours]]+tbl_ASM[[#This Row],[Est. Hours]])/(tbl_ASM[[#This Row],[Total Hours Act]]+tbl_ASM[[#This Row],[Act. Hours]]),"")</f>
        <v/>
      </c>
      <c r="S26" s="63"/>
      <c r="T26" s="63"/>
      <c r="U26" s="63"/>
      <c r="V26" s="63"/>
      <c r="W26" s="63"/>
    </row>
    <row r="27" spans="6:23" ht="25" customHeight="1">
      <c r="F27" s="53"/>
      <c r="H27" s="55" t="e">
        <f>tbl_ASM[[#This Row],[Qty Complete]]/tbl_ASM[[#This Row],[Qty Required]]</f>
        <v>#DIV/0!</v>
      </c>
      <c r="K27" s="57" t="str">
        <f>IFERROR(tbl_ASM[[#This Row],[Qty Required]]/tbl_ASM[[#This Row],[PPH]]*tbl_ASM[[#This Row],['# of men]],"")</f>
        <v/>
      </c>
      <c r="L27" s="58" t="e">
        <f>tbl_ASM[[#This Row],[Total hours]]*tbl_ASM[[#This Row],[% Complete]]</f>
        <v>#VALUE!</v>
      </c>
      <c r="M27" s="59" t="str">
        <f>IFERROR(tbl_ASM[[#This Row],[Qty Complete]]/tbl_ASM[[#This Row],[Total Hours Act]]*tbl_ASM[[#This Row],['# of men Act]],"")</f>
        <v/>
      </c>
      <c r="O27"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7" s="71" t="str">
        <f>IFERROR((tbl_ASM[[#This Row],[Adj. Total Hours]]+tbl_ASM[[#This Row],[Est. Hours]])/(tbl_ASM[[#This Row],[Total Hours Act]]+tbl_ASM[[#This Row],[Act. Hours]]),"")</f>
        <v/>
      </c>
      <c r="S27" s="63"/>
      <c r="T27" s="63"/>
      <c r="U27" s="63"/>
      <c r="V27" s="63"/>
      <c r="W27" s="63"/>
    </row>
    <row r="28" spans="6:23" ht="25" customHeight="1">
      <c r="F28" s="53"/>
      <c r="H28" s="55" t="e">
        <f>tbl_ASM[[#This Row],[Qty Complete]]/tbl_ASM[[#This Row],[Qty Required]]</f>
        <v>#DIV/0!</v>
      </c>
      <c r="K28" s="57" t="str">
        <f>IFERROR(tbl_ASM[[#This Row],[Qty Required]]/tbl_ASM[[#This Row],[PPH]]*tbl_ASM[[#This Row],['# of men]],"")</f>
        <v/>
      </c>
      <c r="L28" s="58" t="e">
        <f>tbl_ASM[[#This Row],[Total hours]]*tbl_ASM[[#This Row],[% Complete]]</f>
        <v>#VALUE!</v>
      </c>
      <c r="M28" s="59" t="str">
        <f>IFERROR(tbl_ASM[[#This Row],[Qty Complete]]/tbl_ASM[[#This Row],[Total Hours Act]]*tbl_ASM[[#This Row],['# of men Act]],"")</f>
        <v/>
      </c>
      <c r="O28"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8" s="71" t="str">
        <f>IFERROR((tbl_ASM[[#This Row],[Adj. Total Hours]]+tbl_ASM[[#This Row],[Est. Hours]])/(tbl_ASM[[#This Row],[Total Hours Act]]+tbl_ASM[[#This Row],[Act. Hours]]),"")</f>
        <v/>
      </c>
      <c r="S28" s="63"/>
      <c r="T28" s="63"/>
      <c r="U28" s="63"/>
      <c r="V28" s="63"/>
      <c r="W28" s="63"/>
    </row>
    <row r="29" spans="6:23" ht="25" customHeight="1">
      <c r="F29" s="53"/>
      <c r="H29" s="55" t="e">
        <f>tbl_ASM[[#This Row],[Qty Complete]]/tbl_ASM[[#This Row],[Qty Required]]</f>
        <v>#DIV/0!</v>
      </c>
      <c r="K29" s="57" t="str">
        <f>IFERROR(tbl_ASM[[#This Row],[Qty Required]]/tbl_ASM[[#This Row],[PPH]]*tbl_ASM[[#This Row],['# of men]],"")</f>
        <v/>
      </c>
      <c r="L29" s="58" t="e">
        <f>tbl_ASM[[#This Row],[Total hours]]*tbl_ASM[[#This Row],[% Complete]]</f>
        <v>#VALUE!</v>
      </c>
      <c r="M29" s="59" t="str">
        <f>IFERROR(tbl_ASM[[#This Row],[Qty Complete]]/tbl_ASM[[#This Row],[Total Hours Act]]*tbl_ASM[[#This Row],['# of men Act]],"")</f>
        <v/>
      </c>
      <c r="O29"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9" s="71" t="str">
        <f>IFERROR((tbl_ASM[[#This Row],[Adj. Total Hours]]+tbl_ASM[[#This Row],[Est. Hours]])/(tbl_ASM[[#This Row],[Total Hours Act]]+tbl_ASM[[#This Row],[Act. Hours]]),"")</f>
        <v/>
      </c>
      <c r="S29" s="63"/>
      <c r="T29" s="63"/>
      <c r="U29" s="63"/>
      <c r="V29" s="63"/>
      <c r="W29" s="63"/>
    </row>
    <row r="30" spans="6:23" ht="25" customHeight="1">
      <c r="F30" s="53"/>
      <c r="H30" s="55" t="e">
        <f>tbl_ASM[[#This Row],[Qty Complete]]/tbl_ASM[[#This Row],[Qty Required]]</f>
        <v>#DIV/0!</v>
      </c>
      <c r="K30" s="57" t="str">
        <f>IFERROR(tbl_ASM[[#This Row],[Qty Required]]/tbl_ASM[[#This Row],[PPH]]*tbl_ASM[[#This Row],['# of men]],"")</f>
        <v/>
      </c>
      <c r="L30" s="58" t="e">
        <f>tbl_ASM[[#This Row],[Total hours]]*tbl_ASM[[#This Row],[% Complete]]</f>
        <v>#VALUE!</v>
      </c>
      <c r="M30" s="59" t="str">
        <f>IFERROR(tbl_ASM[[#This Row],[Qty Complete]]/tbl_ASM[[#This Row],[Total Hours Act]]*tbl_ASM[[#This Row],['# of men Act]],"")</f>
        <v/>
      </c>
      <c r="O30"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30" s="71" t="str">
        <f>IFERROR((tbl_ASM[[#This Row],[Adj. Total Hours]]+tbl_ASM[[#This Row],[Est. Hours]])/(tbl_ASM[[#This Row],[Total Hours Act]]+tbl_ASM[[#This Row],[Act. Hours]]),"")</f>
        <v/>
      </c>
      <c r="S30" s="63"/>
      <c r="T30" s="63"/>
      <c r="U30" s="63"/>
      <c r="V30" s="63"/>
      <c r="W30" s="63"/>
    </row>
    <row r="31" spans="6:23" ht="25" customHeight="1">
      <c r="F31" s="53"/>
      <c r="H31" s="55" t="e">
        <f>tbl_ASM[[#This Row],[Qty Complete]]/tbl_ASM[[#This Row],[Qty Required]]</f>
        <v>#DIV/0!</v>
      </c>
      <c r="K31" s="57" t="str">
        <f>IFERROR(tbl_ASM[[#This Row],[Qty Required]]/tbl_ASM[[#This Row],[PPH]]*tbl_ASM[[#This Row],['# of men]],"")</f>
        <v/>
      </c>
      <c r="L31" s="58" t="e">
        <f>tbl_ASM[[#This Row],[Total hours]]*tbl_ASM[[#This Row],[% Complete]]</f>
        <v>#VALUE!</v>
      </c>
      <c r="M31" s="59" t="str">
        <f>IFERROR(tbl_ASM[[#This Row],[Qty Complete]]/tbl_ASM[[#This Row],[Total Hours Act]]*tbl_ASM[[#This Row],['# of men Act]],"")</f>
        <v/>
      </c>
      <c r="O31"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31" s="71" t="str">
        <f>IFERROR((tbl_ASM[[#This Row],[Adj. Total Hours]]+tbl_ASM[[#This Row],[Est. Hours]])/(tbl_ASM[[#This Row],[Total Hours Act]]+tbl_ASM[[#This Row],[Act. Hours]]),"")</f>
        <v/>
      </c>
      <c r="S31" s="63"/>
      <c r="T31" s="63"/>
      <c r="U31" s="63"/>
      <c r="V31" s="63"/>
      <c r="W31" s="63"/>
    </row>
    <row r="32" spans="6:23" ht="25" customHeight="1">
      <c r="F32" s="53"/>
      <c r="H32" s="55" t="e">
        <f>tbl_ASM[[#This Row],[Qty Complete]]/tbl_ASM[[#This Row],[Qty Required]]</f>
        <v>#DIV/0!</v>
      </c>
      <c r="K32" s="57" t="str">
        <f>IFERROR(tbl_ASM[[#This Row],[Qty Required]]/tbl_ASM[[#This Row],[PPH]]*tbl_ASM[[#This Row],['# of men]],"")</f>
        <v/>
      </c>
      <c r="L32" s="58" t="e">
        <f>tbl_ASM[[#This Row],[Total hours]]*tbl_ASM[[#This Row],[% Complete]]</f>
        <v>#VALUE!</v>
      </c>
      <c r="M32" s="59" t="str">
        <f>IFERROR(tbl_ASM[[#This Row],[Qty Complete]]/tbl_ASM[[#This Row],[Total Hours Act]]*tbl_ASM[[#This Row],['# of men Act]],"")</f>
        <v/>
      </c>
      <c r="O32"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32" s="71" t="str">
        <f>IFERROR((tbl_ASM[[#This Row],[Adj. Total Hours]]+tbl_ASM[[#This Row],[Est. Hours]])/(tbl_ASM[[#This Row],[Total Hours Act]]+tbl_ASM[[#This Row],[Act. Hours]]),"")</f>
        <v/>
      </c>
      <c r="S32" s="63"/>
      <c r="T32" s="63"/>
      <c r="U32" s="63"/>
      <c r="V32" s="63"/>
      <c r="W32" s="63"/>
    </row>
    <row r="33" spans="6:23" ht="25" customHeight="1">
      <c r="F33" s="53"/>
      <c r="H33" s="55" t="e">
        <f>tbl_ASM[[#This Row],[Qty Complete]]/tbl_ASM[[#This Row],[Qty Required]]</f>
        <v>#DIV/0!</v>
      </c>
      <c r="K33" s="57" t="str">
        <f>IFERROR(tbl_ASM[[#This Row],[Qty Required]]/tbl_ASM[[#This Row],[PPH]]*tbl_ASM[[#This Row],['# of men]],"")</f>
        <v/>
      </c>
      <c r="L33" s="58" t="e">
        <f>tbl_ASM[[#This Row],[Total hours]]*tbl_ASM[[#This Row],[% Complete]]</f>
        <v>#VALUE!</v>
      </c>
      <c r="M33" s="59" t="str">
        <f>IFERROR(tbl_ASM[[#This Row],[Qty Complete]]/tbl_ASM[[#This Row],[Total Hours Act]]*tbl_ASM[[#This Row],['# of men Act]],"")</f>
        <v/>
      </c>
      <c r="O33"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33" s="71" t="str">
        <f>IFERROR((tbl_ASM[[#This Row],[Adj. Total Hours]]+tbl_ASM[[#This Row],[Est. Hours]])/(tbl_ASM[[#This Row],[Total Hours Act]]+tbl_ASM[[#This Row],[Act. Hours]]),"")</f>
        <v/>
      </c>
      <c r="S33" s="63"/>
      <c r="T33" s="63"/>
      <c r="U33" s="63"/>
      <c r="V33" s="63"/>
      <c r="W33" s="63"/>
    </row>
    <row r="34" spans="6:23" ht="25" customHeight="1">
      <c r="F34" s="53"/>
      <c r="H34" s="55" t="e">
        <f>tbl_ASM[[#This Row],[Qty Complete]]/tbl_ASM[[#This Row],[Qty Required]]</f>
        <v>#DIV/0!</v>
      </c>
      <c r="K34" s="57" t="str">
        <f>IFERROR(tbl_ASM[[#This Row],[Qty Required]]/tbl_ASM[[#This Row],[PPH]]*tbl_ASM[[#This Row],['# of men]],"")</f>
        <v/>
      </c>
      <c r="L34" s="58" t="e">
        <f>tbl_ASM[[#This Row],[Total hours]]*tbl_ASM[[#This Row],[% Complete]]</f>
        <v>#VALUE!</v>
      </c>
      <c r="M34" s="59" t="str">
        <f>IFERROR(tbl_ASM[[#This Row],[Qty Complete]]/tbl_ASM[[#This Row],[Total Hours Act]]*tbl_ASM[[#This Row],['# of men Act]],"")</f>
        <v/>
      </c>
      <c r="O34"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34" s="71" t="str">
        <f>IFERROR((tbl_ASM[[#This Row],[Adj. Total Hours]]+tbl_ASM[[#This Row],[Est. Hours]])/(tbl_ASM[[#This Row],[Total Hours Act]]+tbl_ASM[[#This Row],[Act. Hours]]),"")</f>
        <v/>
      </c>
      <c r="S34" s="63"/>
      <c r="T34" s="63"/>
      <c r="U34" s="63"/>
      <c r="V34" s="63"/>
      <c r="W34" s="63"/>
    </row>
    <row r="35" spans="6:23" ht="25" customHeight="1">
      <c r="F35" s="53"/>
      <c r="H35" s="55" t="e">
        <f>tbl_ASM[[#This Row],[Qty Complete]]/tbl_ASM[[#This Row],[Qty Required]]</f>
        <v>#DIV/0!</v>
      </c>
      <c r="K35" s="57" t="str">
        <f>IFERROR(tbl_ASM[[#This Row],[Qty Required]]/tbl_ASM[[#This Row],[PPH]]*tbl_ASM[[#This Row],['# of men]],"")</f>
        <v/>
      </c>
      <c r="L35" s="58" t="e">
        <f>tbl_ASM[[#This Row],[Total hours]]*tbl_ASM[[#This Row],[% Complete]]</f>
        <v>#VALUE!</v>
      </c>
      <c r="M35" s="59" t="str">
        <f>IFERROR(tbl_ASM[[#This Row],[Qty Complete]]/tbl_ASM[[#This Row],[Total Hours Act]]*tbl_ASM[[#This Row],['# of men Act]],"")</f>
        <v/>
      </c>
      <c r="O35"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35" s="71" t="str">
        <f>IFERROR((tbl_ASM[[#This Row],[Adj. Total Hours]]+tbl_ASM[[#This Row],[Est. Hours]])/(tbl_ASM[[#This Row],[Total Hours Act]]+tbl_ASM[[#This Row],[Act. Hours]]),"")</f>
        <v/>
      </c>
      <c r="S35" s="63"/>
      <c r="T35" s="63"/>
      <c r="U35" s="63"/>
      <c r="V35" s="63"/>
      <c r="W35" s="63"/>
    </row>
    <row r="36" spans="6:23" ht="25" customHeight="1">
      <c r="F36" s="53"/>
      <c r="H36" s="55" t="e">
        <f>tbl_ASM[[#This Row],[Qty Complete]]/tbl_ASM[[#This Row],[Qty Required]]</f>
        <v>#DIV/0!</v>
      </c>
      <c r="K36" s="57" t="str">
        <f>IFERROR(tbl_ASM[[#This Row],[Qty Required]]/tbl_ASM[[#This Row],[PPH]]*tbl_ASM[[#This Row],['# of men]],"")</f>
        <v/>
      </c>
      <c r="L36" s="58" t="e">
        <f>tbl_ASM[[#This Row],[Total hours]]*tbl_ASM[[#This Row],[% Complete]]</f>
        <v>#VALUE!</v>
      </c>
      <c r="M36" s="59" t="str">
        <f>IFERROR(tbl_ASM[[#This Row],[Qty Complete]]/tbl_ASM[[#This Row],[Total Hours Act]]*tbl_ASM[[#This Row],['# of men Act]],"")</f>
        <v/>
      </c>
      <c r="O36"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36" s="71" t="str">
        <f>IFERROR((tbl_ASM[[#This Row],[Adj. Total Hours]]+tbl_ASM[[#This Row],[Est. Hours]])/(tbl_ASM[[#This Row],[Total Hours Act]]+tbl_ASM[[#This Row],[Act. Hours]]),"")</f>
        <v/>
      </c>
      <c r="S36" s="63"/>
      <c r="T36" s="63"/>
      <c r="U36" s="63"/>
      <c r="V36" s="63"/>
      <c r="W36" s="63"/>
    </row>
    <row r="37" spans="6:23" ht="25" customHeight="1">
      <c r="F37" s="53"/>
      <c r="H37" s="55" t="e">
        <f>tbl_ASM[[#This Row],[Qty Complete]]/tbl_ASM[[#This Row],[Qty Required]]</f>
        <v>#DIV/0!</v>
      </c>
      <c r="K37" s="57" t="str">
        <f>IFERROR(tbl_ASM[[#This Row],[Qty Required]]/tbl_ASM[[#This Row],[PPH]]*tbl_ASM[[#This Row],['# of men]],"")</f>
        <v/>
      </c>
      <c r="L37" s="58" t="e">
        <f>tbl_ASM[[#This Row],[Total hours]]*tbl_ASM[[#This Row],[% Complete]]</f>
        <v>#VALUE!</v>
      </c>
      <c r="M37" s="59" t="str">
        <f>IFERROR(tbl_ASM[[#This Row],[Qty Complete]]/tbl_ASM[[#This Row],[Total Hours Act]]*tbl_ASM[[#This Row],['# of men Act]],"")</f>
        <v/>
      </c>
      <c r="O37"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37" s="71" t="str">
        <f>IFERROR((tbl_ASM[[#This Row],[Adj. Total Hours]]+tbl_ASM[[#This Row],[Est. Hours]])/(tbl_ASM[[#This Row],[Total Hours Act]]+tbl_ASM[[#This Row],[Act. Hours]]),"")</f>
        <v/>
      </c>
      <c r="S37" s="63"/>
      <c r="T37" s="63"/>
      <c r="U37" s="63"/>
      <c r="V37" s="63"/>
      <c r="W37" s="63"/>
    </row>
    <row r="38" spans="6:23" ht="25" customHeight="1">
      <c r="F38" s="53"/>
      <c r="H38" s="55" t="e">
        <f>tbl_ASM[[#This Row],[Qty Complete]]/tbl_ASM[[#This Row],[Qty Required]]</f>
        <v>#DIV/0!</v>
      </c>
      <c r="K38" s="57" t="str">
        <f>IFERROR(tbl_ASM[[#This Row],[Qty Required]]/tbl_ASM[[#This Row],[PPH]]*tbl_ASM[[#This Row],['# of men]],"")</f>
        <v/>
      </c>
      <c r="L38" s="58" t="e">
        <f>tbl_ASM[[#This Row],[Total hours]]*tbl_ASM[[#This Row],[% Complete]]</f>
        <v>#VALUE!</v>
      </c>
      <c r="M38" s="59" t="str">
        <f>IFERROR(tbl_ASM[[#This Row],[Qty Complete]]/tbl_ASM[[#This Row],[Total Hours Act]]*tbl_ASM[[#This Row],['# of men Act]],"")</f>
        <v/>
      </c>
      <c r="O38"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38" s="71" t="str">
        <f>IFERROR((tbl_ASM[[#This Row],[Adj. Total Hours]]+tbl_ASM[[#This Row],[Est. Hours]])/(tbl_ASM[[#This Row],[Total Hours Act]]+tbl_ASM[[#This Row],[Act. Hours]]),"")</f>
        <v/>
      </c>
      <c r="S38" s="63"/>
      <c r="T38" s="63"/>
      <c r="U38" s="63"/>
      <c r="V38" s="63"/>
      <c r="W38" s="63"/>
    </row>
    <row r="39" spans="6:23" ht="25" customHeight="1">
      <c r="F39" s="53"/>
      <c r="H39" s="55" t="e">
        <f>tbl_ASM[[#This Row],[Qty Complete]]/tbl_ASM[[#This Row],[Qty Required]]</f>
        <v>#DIV/0!</v>
      </c>
      <c r="K39" s="57" t="str">
        <f>IFERROR(tbl_ASM[[#This Row],[Qty Required]]/tbl_ASM[[#This Row],[PPH]]*tbl_ASM[[#This Row],['# of men]],"")</f>
        <v/>
      </c>
      <c r="L39" s="58" t="e">
        <f>tbl_ASM[[#This Row],[Total hours]]*tbl_ASM[[#This Row],[% Complete]]</f>
        <v>#VALUE!</v>
      </c>
      <c r="M39" s="59" t="str">
        <f>IFERROR(tbl_ASM[[#This Row],[Qty Complete]]/tbl_ASM[[#This Row],[Total Hours Act]]*tbl_ASM[[#This Row],['# of men Act]],"")</f>
        <v/>
      </c>
      <c r="O39"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39" s="71" t="str">
        <f>IFERROR((tbl_ASM[[#This Row],[Adj. Total Hours]]+tbl_ASM[[#This Row],[Est. Hours]])/(tbl_ASM[[#This Row],[Total Hours Act]]+tbl_ASM[[#This Row],[Act. Hours]]),"")</f>
        <v/>
      </c>
      <c r="S39" s="63"/>
      <c r="T39" s="63"/>
      <c r="U39" s="63"/>
      <c r="V39" s="63"/>
      <c r="W39" s="63"/>
    </row>
    <row r="40" spans="6:23" ht="25" customHeight="1">
      <c r="F40" s="53"/>
      <c r="H40" s="55" t="e">
        <f>tbl_ASM[[#This Row],[Qty Complete]]/tbl_ASM[[#This Row],[Qty Required]]</f>
        <v>#DIV/0!</v>
      </c>
      <c r="K40" s="57" t="str">
        <f>IFERROR(tbl_ASM[[#This Row],[Qty Required]]/tbl_ASM[[#This Row],[PPH]]*tbl_ASM[[#This Row],['# of men]],"")</f>
        <v/>
      </c>
      <c r="L40" s="58" t="e">
        <f>tbl_ASM[[#This Row],[Total hours]]*tbl_ASM[[#This Row],[% Complete]]</f>
        <v>#VALUE!</v>
      </c>
      <c r="M40" s="59" t="str">
        <f>IFERROR(tbl_ASM[[#This Row],[Qty Complete]]/tbl_ASM[[#This Row],[Total Hours Act]]*tbl_ASM[[#This Row],['# of men Act]],"")</f>
        <v/>
      </c>
      <c r="O40"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40" s="71" t="str">
        <f>IFERROR((tbl_ASM[[#This Row],[Adj. Total Hours]]+tbl_ASM[[#This Row],[Est. Hours]])/(tbl_ASM[[#This Row],[Total Hours Act]]+tbl_ASM[[#This Row],[Act. Hours]]),"")</f>
        <v/>
      </c>
      <c r="S40" s="63"/>
      <c r="T40" s="63"/>
      <c r="U40" s="63"/>
      <c r="V40" s="63"/>
      <c r="W40" s="63"/>
    </row>
    <row r="41" spans="6:23" ht="25" customHeight="1">
      <c r="F41" s="53"/>
      <c r="H41" s="55" t="e">
        <f>tbl_ASM[[#This Row],[Qty Complete]]/tbl_ASM[[#This Row],[Qty Required]]</f>
        <v>#DIV/0!</v>
      </c>
      <c r="K41" s="57" t="str">
        <f>IFERROR(tbl_ASM[[#This Row],[Qty Required]]/tbl_ASM[[#This Row],[PPH]]*tbl_ASM[[#This Row],['# of men]],"")</f>
        <v/>
      </c>
      <c r="L41" s="58" t="e">
        <f>tbl_ASM[[#This Row],[Total hours]]*tbl_ASM[[#This Row],[% Complete]]</f>
        <v>#VALUE!</v>
      </c>
      <c r="M41" s="59" t="str">
        <f>IFERROR(tbl_ASM[[#This Row],[Qty Complete]]/tbl_ASM[[#This Row],[Total Hours Act]]*tbl_ASM[[#This Row],['# of men Act]],"")</f>
        <v/>
      </c>
      <c r="O41"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41" s="71" t="str">
        <f>IFERROR((tbl_ASM[[#This Row],[Adj. Total Hours]]+tbl_ASM[[#This Row],[Est. Hours]])/(tbl_ASM[[#This Row],[Total Hours Act]]+tbl_ASM[[#This Row],[Act. Hours]]),"")</f>
        <v/>
      </c>
      <c r="S41" s="63"/>
      <c r="T41" s="63"/>
      <c r="U41" s="63"/>
      <c r="V41" s="63"/>
      <c r="W41" s="63"/>
    </row>
    <row r="42" spans="6:23" ht="25" customHeight="1">
      <c r="F42" s="53"/>
      <c r="H42" s="55" t="e">
        <f>tbl_ASM[[#This Row],[Qty Complete]]/tbl_ASM[[#This Row],[Qty Required]]</f>
        <v>#DIV/0!</v>
      </c>
      <c r="K42" s="57" t="str">
        <f>IFERROR(tbl_ASM[[#This Row],[Qty Required]]/tbl_ASM[[#This Row],[PPH]]*tbl_ASM[[#This Row],['# of men]],"")</f>
        <v/>
      </c>
      <c r="L42" s="58" t="e">
        <f>tbl_ASM[[#This Row],[Total hours]]*tbl_ASM[[#This Row],[% Complete]]</f>
        <v>#VALUE!</v>
      </c>
      <c r="M42" s="59" t="str">
        <f>IFERROR(tbl_ASM[[#This Row],[Qty Complete]]/tbl_ASM[[#This Row],[Total Hours Act]]*tbl_ASM[[#This Row],['# of men Act]],"")</f>
        <v/>
      </c>
      <c r="O42"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42" s="71" t="str">
        <f>IFERROR((tbl_ASM[[#This Row],[Adj. Total Hours]]+tbl_ASM[[#This Row],[Est. Hours]])/(tbl_ASM[[#This Row],[Total Hours Act]]+tbl_ASM[[#This Row],[Act. Hours]]),"")</f>
        <v/>
      </c>
      <c r="S42" s="63"/>
      <c r="T42" s="63"/>
      <c r="U42" s="63"/>
      <c r="V42" s="63"/>
      <c r="W42" s="63"/>
    </row>
    <row r="43" spans="6:23" ht="25" customHeight="1">
      <c r="F43" s="53"/>
      <c r="H43" s="55" t="e">
        <f>tbl_ASM[[#This Row],[Qty Complete]]/tbl_ASM[[#This Row],[Qty Required]]</f>
        <v>#DIV/0!</v>
      </c>
      <c r="K43" s="57" t="str">
        <f>IFERROR(tbl_ASM[[#This Row],[Qty Required]]/tbl_ASM[[#This Row],[PPH]]*tbl_ASM[[#This Row],['# of men]],"")</f>
        <v/>
      </c>
      <c r="L43" s="58" t="e">
        <f>tbl_ASM[[#This Row],[Total hours]]*tbl_ASM[[#This Row],[% Complete]]</f>
        <v>#VALUE!</v>
      </c>
      <c r="M43" s="59" t="str">
        <f>IFERROR(tbl_ASM[[#This Row],[Qty Complete]]/tbl_ASM[[#This Row],[Total Hours Act]]*tbl_ASM[[#This Row],['# of men Act]],"")</f>
        <v/>
      </c>
      <c r="O43"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43" s="71" t="str">
        <f>IFERROR((tbl_ASM[[#This Row],[Adj. Total Hours]]+tbl_ASM[[#This Row],[Est. Hours]])/(tbl_ASM[[#This Row],[Total Hours Act]]+tbl_ASM[[#This Row],[Act. Hours]]),"")</f>
        <v/>
      </c>
      <c r="S43" s="63"/>
      <c r="T43" s="63"/>
      <c r="U43" s="63"/>
      <c r="V43" s="63"/>
      <c r="W43" s="63"/>
    </row>
    <row r="44" spans="6:23" ht="25" customHeight="1">
      <c r="F44" s="53"/>
      <c r="H44" s="55" t="e">
        <f>tbl_ASM[[#This Row],[Qty Complete]]/tbl_ASM[[#This Row],[Qty Required]]</f>
        <v>#DIV/0!</v>
      </c>
      <c r="K44" s="57" t="str">
        <f>IFERROR(tbl_ASM[[#This Row],[Qty Required]]/tbl_ASM[[#This Row],[PPH]]*tbl_ASM[[#This Row],['# of men]],"")</f>
        <v/>
      </c>
      <c r="L44" s="58" t="e">
        <f>tbl_ASM[[#This Row],[Total hours]]*tbl_ASM[[#This Row],[% Complete]]</f>
        <v>#VALUE!</v>
      </c>
      <c r="M44" s="59" t="str">
        <f>IFERROR(tbl_ASM[[#This Row],[Qty Complete]]/tbl_ASM[[#This Row],[Total Hours Act]]*tbl_ASM[[#This Row],['# of men Act]],"")</f>
        <v/>
      </c>
      <c r="O44"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44" s="71" t="str">
        <f>IFERROR((tbl_ASM[[#This Row],[Adj. Total Hours]]+tbl_ASM[[#This Row],[Est. Hours]])/(tbl_ASM[[#This Row],[Total Hours Act]]+tbl_ASM[[#This Row],[Act. Hours]]),"")</f>
        <v/>
      </c>
      <c r="S44" s="63"/>
      <c r="T44" s="63"/>
      <c r="U44" s="63"/>
      <c r="V44" s="63"/>
      <c r="W44" s="63"/>
    </row>
    <row r="45" spans="6:23" ht="25" customHeight="1">
      <c r="F45" s="53"/>
      <c r="H45" s="55" t="e">
        <f>tbl_ASM[[#This Row],[Qty Complete]]/tbl_ASM[[#This Row],[Qty Required]]</f>
        <v>#DIV/0!</v>
      </c>
      <c r="K45" s="57" t="str">
        <f>IFERROR(tbl_ASM[[#This Row],[Qty Required]]/tbl_ASM[[#This Row],[PPH]]*tbl_ASM[[#This Row],['# of men]],"")</f>
        <v/>
      </c>
      <c r="L45" s="58" t="e">
        <f>tbl_ASM[[#This Row],[Total hours]]*tbl_ASM[[#This Row],[% Complete]]</f>
        <v>#VALUE!</v>
      </c>
      <c r="M45" s="59" t="str">
        <f>IFERROR(tbl_ASM[[#This Row],[Qty Complete]]/tbl_ASM[[#This Row],[Total Hours Act]]*tbl_ASM[[#This Row],['# of men Act]],"")</f>
        <v/>
      </c>
      <c r="O45"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45" s="71" t="str">
        <f>IFERROR((tbl_ASM[[#This Row],[Adj. Total Hours]]+tbl_ASM[[#This Row],[Est. Hours]])/(tbl_ASM[[#This Row],[Total Hours Act]]+tbl_ASM[[#This Row],[Act. Hours]]),"")</f>
        <v/>
      </c>
      <c r="S45" s="63"/>
      <c r="T45" s="63"/>
      <c r="U45" s="63"/>
      <c r="V45" s="63"/>
      <c r="W45" s="63"/>
    </row>
    <row r="46" spans="6:23" ht="25" customHeight="1">
      <c r="F46" s="53"/>
      <c r="H46" s="55" t="e">
        <f>tbl_ASM[[#This Row],[Qty Complete]]/tbl_ASM[[#This Row],[Qty Required]]</f>
        <v>#DIV/0!</v>
      </c>
      <c r="K46" s="57" t="str">
        <f>IFERROR(tbl_ASM[[#This Row],[Qty Required]]/tbl_ASM[[#This Row],[PPH]]*tbl_ASM[[#This Row],['# of men]],"")</f>
        <v/>
      </c>
      <c r="L46" s="58" t="e">
        <f>tbl_ASM[[#This Row],[Total hours]]*tbl_ASM[[#This Row],[% Complete]]</f>
        <v>#VALUE!</v>
      </c>
      <c r="M46" s="59" t="str">
        <f>IFERROR(tbl_ASM[[#This Row],[Qty Complete]]/tbl_ASM[[#This Row],[Total Hours Act]]*tbl_ASM[[#This Row],['# of men Act]],"")</f>
        <v/>
      </c>
      <c r="O46"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46" s="71" t="str">
        <f>IFERROR((tbl_ASM[[#This Row],[Adj. Total Hours]]+tbl_ASM[[#This Row],[Est. Hours]])/(tbl_ASM[[#This Row],[Total Hours Act]]+tbl_ASM[[#This Row],[Act. Hours]]),"")</f>
        <v/>
      </c>
      <c r="S46" s="63"/>
      <c r="T46" s="63"/>
      <c r="U46" s="63"/>
      <c r="V46" s="63"/>
      <c r="W46" s="63"/>
    </row>
    <row r="47" spans="6:23" ht="25" customHeight="1">
      <c r="F47" s="53"/>
      <c r="H47" s="55" t="e">
        <f>tbl_ASM[[#This Row],[Qty Complete]]/tbl_ASM[[#This Row],[Qty Required]]</f>
        <v>#DIV/0!</v>
      </c>
      <c r="K47" s="57" t="str">
        <f>IFERROR(tbl_ASM[[#This Row],[Qty Required]]/tbl_ASM[[#This Row],[PPH]]*tbl_ASM[[#This Row],['# of men]],"")</f>
        <v/>
      </c>
      <c r="L47" s="58" t="e">
        <f>tbl_ASM[[#This Row],[Total hours]]*tbl_ASM[[#This Row],[% Complete]]</f>
        <v>#VALUE!</v>
      </c>
      <c r="M47" s="59" t="str">
        <f>IFERROR(tbl_ASM[[#This Row],[Qty Complete]]/tbl_ASM[[#This Row],[Total Hours Act]]*tbl_ASM[[#This Row],['# of men Act]],"")</f>
        <v/>
      </c>
      <c r="O47"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47" s="71" t="str">
        <f>IFERROR((tbl_ASM[[#This Row],[Adj. Total Hours]]+tbl_ASM[[#This Row],[Est. Hours]])/(tbl_ASM[[#This Row],[Total Hours Act]]+tbl_ASM[[#This Row],[Act. Hours]]),"")</f>
        <v/>
      </c>
      <c r="S47" s="63"/>
      <c r="T47" s="63"/>
      <c r="U47" s="63"/>
      <c r="V47" s="63"/>
      <c r="W47" s="63"/>
    </row>
    <row r="48" spans="6:23" ht="25" customHeight="1">
      <c r="F48" s="53"/>
      <c r="H48" s="55" t="e">
        <f>tbl_ASM[[#This Row],[Qty Complete]]/tbl_ASM[[#This Row],[Qty Required]]</f>
        <v>#DIV/0!</v>
      </c>
      <c r="K48" s="57" t="str">
        <f>IFERROR(tbl_ASM[[#This Row],[Qty Required]]/tbl_ASM[[#This Row],[PPH]]*tbl_ASM[[#This Row],['# of men]],"")</f>
        <v/>
      </c>
      <c r="L48" s="58" t="e">
        <f>tbl_ASM[[#This Row],[Total hours]]*tbl_ASM[[#This Row],[% Complete]]</f>
        <v>#VALUE!</v>
      </c>
      <c r="M48" s="59" t="str">
        <f>IFERROR(tbl_ASM[[#This Row],[Qty Complete]]/tbl_ASM[[#This Row],[Total Hours Act]]*tbl_ASM[[#This Row],['# of men Act]],"")</f>
        <v/>
      </c>
      <c r="O48"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48" s="71" t="str">
        <f>IFERROR((tbl_ASM[[#This Row],[Adj. Total Hours]]+tbl_ASM[[#This Row],[Est. Hours]])/(tbl_ASM[[#This Row],[Total Hours Act]]+tbl_ASM[[#This Row],[Act. Hours]]),"")</f>
        <v/>
      </c>
      <c r="S48" s="63"/>
      <c r="T48" s="63"/>
      <c r="U48" s="63"/>
      <c r="V48" s="63"/>
      <c r="W48" s="63"/>
    </row>
    <row r="49" spans="6:23" ht="25" customHeight="1">
      <c r="F49" s="53"/>
      <c r="H49" s="55" t="e">
        <f>tbl_ASM[[#This Row],[Qty Complete]]/tbl_ASM[[#This Row],[Qty Required]]</f>
        <v>#DIV/0!</v>
      </c>
      <c r="K49" s="57" t="str">
        <f>IFERROR(tbl_ASM[[#This Row],[Qty Required]]/tbl_ASM[[#This Row],[PPH]]*tbl_ASM[[#This Row],['# of men]],"")</f>
        <v/>
      </c>
      <c r="L49" s="58" t="e">
        <f>tbl_ASM[[#This Row],[Total hours]]*tbl_ASM[[#This Row],[% Complete]]</f>
        <v>#VALUE!</v>
      </c>
      <c r="M49" s="59" t="str">
        <f>IFERROR(tbl_ASM[[#This Row],[Qty Complete]]/tbl_ASM[[#This Row],[Total Hours Act]]*tbl_ASM[[#This Row],['# of men Act]],"")</f>
        <v/>
      </c>
      <c r="O49"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49" s="71" t="str">
        <f>IFERROR((tbl_ASM[[#This Row],[Adj. Total Hours]]+tbl_ASM[[#This Row],[Est. Hours]])/(tbl_ASM[[#This Row],[Total Hours Act]]+tbl_ASM[[#This Row],[Act. Hours]]),"")</f>
        <v/>
      </c>
      <c r="S49" s="63"/>
      <c r="T49" s="63"/>
      <c r="U49" s="63"/>
      <c r="V49" s="63"/>
      <c r="W49" s="63"/>
    </row>
    <row r="50" spans="6:23" ht="25" customHeight="1">
      <c r="F50" s="53"/>
      <c r="H50" s="55" t="e">
        <f>tbl_ASM[[#This Row],[Qty Complete]]/tbl_ASM[[#This Row],[Qty Required]]</f>
        <v>#DIV/0!</v>
      </c>
      <c r="K50" s="57" t="str">
        <f>IFERROR(tbl_ASM[[#This Row],[Qty Required]]/tbl_ASM[[#This Row],[PPH]]*tbl_ASM[[#This Row],['# of men]],"")</f>
        <v/>
      </c>
      <c r="L50" s="58" t="e">
        <f>tbl_ASM[[#This Row],[Total hours]]*tbl_ASM[[#This Row],[% Complete]]</f>
        <v>#VALUE!</v>
      </c>
      <c r="M50" s="59" t="str">
        <f>IFERROR(tbl_ASM[[#This Row],[Qty Complete]]/tbl_ASM[[#This Row],[Total Hours Act]]*tbl_ASM[[#This Row],['# of men Act]],"")</f>
        <v/>
      </c>
      <c r="O50"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50" s="71" t="str">
        <f>IFERROR((tbl_ASM[[#This Row],[Adj. Total Hours]]+tbl_ASM[[#This Row],[Est. Hours]])/(tbl_ASM[[#This Row],[Total Hours Act]]+tbl_ASM[[#This Row],[Act. Hours]]),"")</f>
        <v/>
      </c>
      <c r="S50" s="63"/>
      <c r="T50" s="63"/>
      <c r="U50" s="63"/>
      <c r="V50" s="63"/>
      <c r="W50" s="63"/>
    </row>
    <row r="51" spans="6:23" ht="25" customHeight="1">
      <c r="F51" s="53"/>
      <c r="H51" s="55" t="e">
        <f>tbl_ASM[[#This Row],[Qty Complete]]/tbl_ASM[[#This Row],[Qty Required]]</f>
        <v>#DIV/0!</v>
      </c>
      <c r="K51" s="57" t="str">
        <f>IFERROR(tbl_ASM[[#This Row],[Qty Required]]/tbl_ASM[[#This Row],[PPH]]*tbl_ASM[[#This Row],['# of men]],"")</f>
        <v/>
      </c>
      <c r="L51" s="58" t="e">
        <f>tbl_ASM[[#This Row],[Total hours]]*tbl_ASM[[#This Row],[% Complete]]</f>
        <v>#VALUE!</v>
      </c>
      <c r="M51" s="59" t="str">
        <f>IFERROR(tbl_ASM[[#This Row],[Qty Complete]]/tbl_ASM[[#This Row],[Total Hours Act]]*tbl_ASM[[#This Row],['# of men Act]],"")</f>
        <v/>
      </c>
      <c r="O51"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51" s="71" t="str">
        <f>IFERROR((tbl_ASM[[#This Row],[Adj. Total Hours]]+tbl_ASM[[#This Row],[Est. Hours]])/(tbl_ASM[[#This Row],[Total Hours Act]]+tbl_ASM[[#This Row],[Act. Hours]]),"")</f>
        <v/>
      </c>
      <c r="S51" s="63"/>
      <c r="T51" s="63"/>
      <c r="U51" s="63"/>
      <c r="V51" s="63"/>
      <c r="W51" s="63"/>
    </row>
    <row r="52" spans="6:23" ht="25" customHeight="1">
      <c r="F52" s="53"/>
      <c r="H52" s="55" t="e">
        <f>tbl_ASM[[#This Row],[Qty Complete]]/tbl_ASM[[#This Row],[Qty Required]]</f>
        <v>#DIV/0!</v>
      </c>
      <c r="K52" s="57" t="str">
        <f>IFERROR(tbl_ASM[[#This Row],[Qty Required]]/tbl_ASM[[#This Row],[PPH]]*tbl_ASM[[#This Row],['# of men]],"")</f>
        <v/>
      </c>
      <c r="L52" s="58" t="e">
        <f>tbl_ASM[[#This Row],[Total hours]]*tbl_ASM[[#This Row],[% Complete]]</f>
        <v>#VALUE!</v>
      </c>
      <c r="M52" s="59" t="str">
        <f>IFERROR(tbl_ASM[[#This Row],[Qty Complete]]/tbl_ASM[[#This Row],[Total Hours Act]]*tbl_ASM[[#This Row],['# of men Act]],"")</f>
        <v/>
      </c>
      <c r="O52"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52" s="71" t="str">
        <f>IFERROR((tbl_ASM[[#This Row],[Adj. Total Hours]]+tbl_ASM[[#This Row],[Est. Hours]])/(tbl_ASM[[#This Row],[Total Hours Act]]+tbl_ASM[[#This Row],[Act. Hours]]),"")</f>
        <v/>
      </c>
      <c r="S52" s="63"/>
      <c r="T52" s="63"/>
      <c r="U52" s="63"/>
      <c r="V52" s="63"/>
      <c r="W52" s="63"/>
    </row>
    <row r="53" spans="6:23" ht="25" customHeight="1">
      <c r="F53" s="53"/>
      <c r="H53" s="55" t="e">
        <f>tbl_ASM[[#This Row],[Qty Complete]]/tbl_ASM[[#This Row],[Qty Required]]</f>
        <v>#DIV/0!</v>
      </c>
      <c r="K53" s="57" t="str">
        <f>IFERROR(tbl_ASM[[#This Row],[Qty Required]]/tbl_ASM[[#This Row],[PPH]]*tbl_ASM[[#This Row],['# of men]],"")</f>
        <v/>
      </c>
      <c r="L53" s="58" t="e">
        <f>tbl_ASM[[#This Row],[Total hours]]*tbl_ASM[[#This Row],[% Complete]]</f>
        <v>#VALUE!</v>
      </c>
      <c r="M53" s="59" t="str">
        <f>IFERROR(tbl_ASM[[#This Row],[Qty Complete]]/tbl_ASM[[#This Row],[Total Hours Act]]*tbl_ASM[[#This Row],['# of men Act]],"")</f>
        <v/>
      </c>
      <c r="O53"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53" s="71" t="str">
        <f>IFERROR((tbl_ASM[[#This Row],[Adj. Total Hours]]+tbl_ASM[[#This Row],[Est. Hours]])/(tbl_ASM[[#This Row],[Total Hours Act]]+tbl_ASM[[#This Row],[Act. Hours]]),"")</f>
        <v/>
      </c>
      <c r="S53" s="63"/>
      <c r="T53" s="63"/>
      <c r="U53" s="63"/>
      <c r="V53" s="63"/>
      <c r="W53" s="63"/>
    </row>
    <row r="54" spans="6:23" ht="25" customHeight="1">
      <c r="F54" s="53"/>
      <c r="H54" s="55" t="e">
        <f>tbl_ASM[[#This Row],[Qty Complete]]/tbl_ASM[[#This Row],[Qty Required]]</f>
        <v>#DIV/0!</v>
      </c>
      <c r="K54" s="57" t="str">
        <f>IFERROR(tbl_ASM[[#This Row],[Qty Required]]/tbl_ASM[[#This Row],[PPH]]*tbl_ASM[[#This Row],['# of men]],"")</f>
        <v/>
      </c>
      <c r="L54" s="58" t="e">
        <f>tbl_ASM[[#This Row],[Total hours]]*tbl_ASM[[#This Row],[% Complete]]</f>
        <v>#VALUE!</v>
      </c>
      <c r="M54" s="59" t="str">
        <f>IFERROR(tbl_ASM[[#This Row],[Qty Complete]]/tbl_ASM[[#This Row],[Total Hours Act]]*tbl_ASM[[#This Row],['# of men Act]],"")</f>
        <v/>
      </c>
      <c r="O54"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54" s="71" t="str">
        <f>IFERROR((tbl_ASM[[#This Row],[Adj. Total Hours]]+tbl_ASM[[#This Row],[Est. Hours]])/(tbl_ASM[[#This Row],[Total Hours Act]]+tbl_ASM[[#This Row],[Act. Hours]]),"")</f>
        <v/>
      </c>
      <c r="S54" s="63"/>
      <c r="T54" s="63"/>
      <c r="U54" s="63"/>
      <c r="V54" s="63"/>
      <c r="W54" s="63"/>
    </row>
    <row r="55" spans="6:23" ht="25" customHeight="1">
      <c r="F55" s="53"/>
      <c r="H55" s="55" t="e">
        <f>tbl_ASM[[#This Row],[Qty Complete]]/tbl_ASM[[#This Row],[Qty Required]]</f>
        <v>#DIV/0!</v>
      </c>
      <c r="K55" s="57" t="str">
        <f>IFERROR(tbl_ASM[[#This Row],[Qty Required]]/tbl_ASM[[#This Row],[PPH]]*tbl_ASM[[#This Row],['# of men]],"")</f>
        <v/>
      </c>
      <c r="L55" s="58" t="e">
        <f>tbl_ASM[[#This Row],[Total hours]]*tbl_ASM[[#This Row],[% Complete]]</f>
        <v>#VALUE!</v>
      </c>
      <c r="M55" s="59" t="str">
        <f>IFERROR(tbl_ASM[[#This Row],[Qty Complete]]/tbl_ASM[[#This Row],[Total Hours Act]]*tbl_ASM[[#This Row],['# of men Act]],"")</f>
        <v/>
      </c>
      <c r="O55"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55" s="71" t="str">
        <f>IFERROR((tbl_ASM[[#This Row],[Adj. Total Hours]]+tbl_ASM[[#This Row],[Est. Hours]])/(tbl_ASM[[#This Row],[Total Hours Act]]+tbl_ASM[[#This Row],[Act. Hours]]),"")</f>
        <v/>
      </c>
      <c r="S55" s="63"/>
      <c r="T55" s="63"/>
      <c r="U55" s="63"/>
      <c r="V55" s="63"/>
      <c r="W55" s="63"/>
    </row>
    <row r="56" spans="6:23" ht="25" customHeight="1">
      <c r="F56" s="53"/>
      <c r="H56" s="55" t="e">
        <f>tbl_ASM[[#This Row],[Qty Complete]]/tbl_ASM[[#This Row],[Qty Required]]</f>
        <v>#DIV/0!</v>
      </c>
      <c r="K56" s="57" t="str">
        <f>IFERROR(tbl_ASM[[#This Row],[Qty Required]]/tbl_ASM[[#This Row],[PPH]]*tbl_ASM[[#This Row],['# of men]],"")</f>
        <v/>
      </c>
      <c r="L56" s="58" t="e">
        <f>tbl_ASM[[#This Row],[Total hours]]*tbl_ASM[[#This Row],[% Complete]]</f>
        <v>#VALUE!</v>
      </c>
      <c r="M56" s="59" t="str">
        <f>IFERROR(tbl_ASM[[#This Row],[Qty Complete]]/tbl_ASM[[#This Row],[Total Hours Act]]*tbl_ASM[[#This Row],['# of men Act]],"")</f>
        <v/>
      </c>
      <c r="O56"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56" s="71" t="str">
        <f>IFERROR((tbl_ASM[[#This Row],[Adj. Total Hours]]+tbl_ASM[[#This Row],[Est. Hours]])/(tbl_ASM[[#This Row],[Total Hours Act]]+tbl_ASM[[#This Row],[Act. Hours]]),"")</f>
        <v/>
      </c>
      <c r="S56" s="63"/>
      <c r="T56" s="63"/>
      <c r="U56" s="63"/>
      <c r="V56" s="63"/>
      <c r="W56" s="63"/>
    </row>
    <row r="57" spans="6:23" ht="25" customHeight="1">
      <c r="F57" s="53"/>
      <c r="H57" s="55" t="e">
        <f>tbl_ASM[[#This Row],[Qty Complete]]/tbl_ASM[[#This Row],[Qty Required]]</f>
        <v>#DIV/0!</v>
      </c>
      <c r="K57" s="57" t="str">
        <f>IFERROR(tbl_ASM[[#This Row],[Qty Required]]/tbl_ASM[[#This Row],[PPH]]*tbl_ASM[[#This Row],['# of men]],"")</f>
        <v/>
      </c>
      <c r="L57" s="58" t="e">
        <f>tbl_ASM[[#This Row],[Total hours]]*tbl_ASM[[#This Row],[% Complete]]</f>
        <v>#VALUE!</v>
      </c>
      <c r="M57" s="59" t="str">
        <f>IFERROR(tbl_ASM[[#This Row],[Qty Complete]]/tbl_ASM[[#This Row],[Total Hours Act]]*tbl_ASM[[#This Row],['# of men Act]],"")</f>
        <v/>
      </c>
      <c r="O57"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57" s="71" t="str">
        <f>IFERROR((tbl_ASM[[#This Row],[Adj. Total Hours]]+tbl_ASM[[#This Row],[Est. Hours]])/(tbl_ASM[[#This Row],[Total Hours Act]]+tbl_ASM[[#This Row],[Act. Hours]]),"")</f>
        <v/>
      </c>
      <c r="S57" s="63"/>
      <c r="T57" s="63"/>
      <c r="U57" s="63"/>
      <c r="V57" s="63"/>
      <c r="W57" s="63"/>
    </row>
    <row r="58" spans="6:23" ht="25" customHeight="1">
      <c r="F58" s="53"/>
      <c r="H58" s="55" t="e">
        <f>tbl_ASM[[#This Row],[Qty Complete]]/tbl_ASM[[#This Row],[Qty Required]]</f>
        <v>#DIV/0!</v>
      </c>
      <c r="K58" s="57" t="str">
        <f>IFERROR(tbl_ASM[[#This Row],[Qty Required]]/tbl_ASM[[#This Row],[PPH]]*tbl_ASM[[#This Row],['# of men]],"")</f>
        <v/>
      </c>
      <c r="L58" s="58" t="e">
        <f>tbl_ASM[[#This Row],[Total hours]]*tbl_ASM[[#This Row],[% Complete]]</f>
        <v>#VALUE!</v>
      </c>
      <c r="M58" s="59" t="str">
        <f>IFERROR(tbl_ASM[[#This Row],[Qty Complete]]/tbl_ASM[[#This Row],[Total Hours Act]]*tbl_ASM[[#This Row],['# of men Act]],"")</f>
        <v/>
      </c>
      <c r="O58"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58" s="71" t="str">
        <f>IFERROR((tbl_ASM[[#This Row],[Adj. Total Hours]]+tbl_ASM[[#This Row],[Est. Hours]])/(tbl_ASM[[#This Row],[Total Hours Act]]+tbl_ASM[[#This Row],[Act. Hours]]),"")</f>
        <v/>
      </c>
      <c r="S58" s="63"/>
      <c r="T58" s="63"/>
      <c r="U58" s="63"/>
      <c r="V58" s="63"/>
      <c r="W58" s="63"/>
    </row>
    <row r="59" spans="6:23" ht="25" customHeight="1">
      <c r="F59" s="53"/>
      <c r="H59" s="55" t="e">
        <f>tbl_ASM[[#This Row],[Qty Complete]]/tbl_ASM[[#This Row],[Qty Required]]</f>
        <v>#DIV/0!</v>
      </c>
      <c r="K59" s="57" t="str">
        <f>IFERROR(tbl_ASM[[#This Row],[Qty Required]]/tbl_ASM[[#This Row],[PPH]]*tbl_ASM[[#This Row],['# of men]],"")</f>
        <v/>
      </c>
      <c r="L59" s="58" t="e">
        <f>tbl_ASM[[#This Row],[Total hours]]*tbl_ASM[[#This Row],[% Complete]]</f>
        <v>#VALUE!</v>
      </c>
      <c r="M59" s="59" t="str">
        <f>IFERROR(tbl_ASM[[#This Row],[Qty Complete]]/tbl_ASM[[#This Row],[Total Hours Act]]*tbl_ASM[[#This Row],['# of men Act]],"")</f>
        <v/>
      </c>
      <c r="O59"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59" s="71" t="str">
        <f>IFERROR((tbl_ASM[[#This Row],[Adj. Total Hours]]+tbl_ASM[[#This Row],[Est. Hours]])/(tbl_ASM[[#This Row],[Total Hours Act]]+tbl_ASM[[#This Row],[Act. Hours]]),"")</f>
        <v/>
      </c>
      <c r="S59" s="63"/>
      <c r="T59" s="63"/>
      <c r="U59" s="63"/>
      <c r="V59" s="63"/>
      <c r="W59" s="63"/>
    </row>
    <row r="60" spans="6:23" ht="25" customHeight="1">
      <c r="F60" s="53"/>
      <c r="H60" s="55" t="e">
        <f>tbl_ASM[[#This Row],[Qty Complete]]/tbl_ASM[[#This Row],[Qty Required]]</f>
        <v>#DIV/0!</v>
      </c>
      <c r="K60" s="57" t="str">
        <f>IFERROR(tbl_ASM[[#This Row],[Qty Required]]/tbl_ASM[[#This Row],[PPH]]*tbl_ASM[[#This Row],['# of men]],"")</f>
        <v/>
      </c>
      <c r="L60" s="58" t="e">
        <f>tbl_ASM[[#This Row],[Total hours]]*tbl_ASM[[#This Row],[% Complete]]</f>
        <v>#VALUE!</v>
      </c>
      <c r="M60" s="59" t="str">
        <f>IFERROR(tbl_ASM[[#This Row],[Qty Complete]]/tbl_ASM[[#This Row],[Total Hours Act]]*tbl_ASM[[#This Row],['# of men Act]],"")</f>
        <v/>
      </c>
      <c r="O60"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60" s="71" t="str">
        <f>IFERROR((tbl_ASM[[#This Row],[Adj. Total Hours]]+tbl_ASM[[#This Row],[Est. Hours]])/(tbl_ASM[[#This Row],[Total Hours Act]]+tbl_ASM[[#This Row],[Act. Hours]]),"")</f>
        <v/>
      </c>
      <c r="S60" s="63"/>
      <c r="T60" s="63"/>
      <c r="U60" s="63"/>
      <c r="V60" s="63"/>
      <c r="W60" s="63"/>
    </row>
    <row r="61" spans="6:23" ht="25" customHeight="1">
      <c r="F61" s="53"/>
      <c r="H61" s="55" t="e">
        <f>tbl_ASM[[#This Row],[Qty Complete]]/tbl_ASM[[#This Row],[Qty Required]]</f>
        <v>#DIV/0!</v>
      </c>
      <c r="K61" s="57" t="str">
        <f>IFERROR(tbl_ASM[[#This Row],[Qty Required]]/tbl_ASM[[#This Row],[PPH]]*tbl_ASM[[#This Row],['# of men]],"")</f>
        <v/>
      </c>
      <c r="L61" s="58" t="e">
        <f>tbl_ASM[[#This Row],[Total hours]]*tbl_ASM[[#This Row],[% Complete]]</f>
        <v>#VALUE!</v>
      </c>
      <c r="M61" s="59" t="str">
        <f>IFERROR(tbl_ASM[[#This Row],[Qty Complete]]/tbl_ASM[[#This Row],[Total Hours Act]]*tbl_ASM[[#This Row],['# of men Act]],"")</f>
        <v/>
      </c>
      <c r="O61"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61" s="71" t="str">
        <f>IFERROR((tbl_ASM[[#This Row],[Adj. Total Hours]]+tbl_ASM[[#This Row],[Est. Hours]])/(tbl_ASM[[#This Row],[Total Hours Act]]+tbl_ASM[[#This Row],[Act. Hours]]),"")</f>
        <v/>
      </c>
      <c r="S61" s="63"/>
      <c r="T61" s="63"/>
      <c r="U61" s="63"/>
      <c r="V61" s="63"/>
      <c r="W61" s="63"/>
    </row>
    <row r="62" spans="6:23" ht="25" customHeight="1">
      <c r="F62" s="53"/>
      <c r="H62" s="55" t="e">
        <f>tbl_ASM[[#This Row],[Qty Complete]]/tbl_ASM[[#This Row],[Qty Required]]</f>
        <v>#DIV/0!</v>
      </c>
      <c r="K62" s="57" t="str">
        <f>IFERROR(tbl_ASM[[#This Row],[Qty Required]]/tbl_ASM[[#This Row],[PPH]]*tbl_ASM[[#This Row],['# of men]],"")</f>
        <v/>
      </c>
      <c r="L62" s="58" t="e">
        <f>tbl_ASM[[#This Row],[Total hours]]*tbl_ASM[[#This Row],[% Complete]]</f>
        <v>#VALUE!</v>
      </c>
      <c r="M62" s="59" t="str">
        <f>IFERROR(tbl_ASM[[#This Row],[Qty Complete]]/tbl_ASM[[#This Row],[Total Hours Act]]*tbl_ASM[[#This Row],['# of men Act]],"")</f>
        <v/>
      </c>
      <c r="O62"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62" s="71" t="str">
        <f>IFERROR((tbl_ASM[[#This Row],[Adj. Total Hours]]+tbl_ASM[[#This Row],[Est. Hours]])/(tbl_ASM[[#This Row],[Total Hours Act]]+tbl_ASM[[#This Row],[Act. Hours]]),"")</f>
        <v/>
      </c>
      <c r="S62" s="63"/>
      <c r="T62" s="63"/>
      <c r="U62" s="63"/>
      <c r="V62" s="63"/>
      <c r="W62" s="63"/>
    </row>
    <row r="63" spans="6:23" ht="25" customHeight="1">
      <c r="F63" s="53"/>
      <c r="H63" s="55" t="e">
        <f>tbl_ASM[[#This Row],[Qty Complete]]/tbl_ASM[[#This Row],[Qty Required]]</f>
        <v>#DIV/0!</v>
      </c>
      <c r="K63" s="57" t="str">
        <f>IFERROR(tbl_ASM[[#This Row],[Qty Required]]/tbl_ASM[[#This Row],[PPH]]*tbl_ASM[[#This Row],['# of men]],"")</f>
        <v/>
      </c>
      <c r="L63" s="58" t="e">
        <f>tbl_ASM[[#This Row],[Total hours]]*tbl_ASM[[#This Row],[% Complete]]</f>
        <v>#VALUE!</v>
      </c>
      <c r="M63" s="59" t="str">
        <f>IFERROR(tbl_ASM[[#This Row],[Qty Complete]]/tbl_ASM[[#This Row],[Total Hours Act]]*tbl_ASM[[#This Row],['# of men Act]],"")</f>
        <v/>
      </c>
      <c r="O63"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63" s="71" t="str">
        <f>IFERROR((tbl_ASM[[#This Row],[Adj. Total Hours]]+tbl_ASM[[#This Row],[Est. Hours]])/(tbl_ASM[[#This Row],[Total Hours Act]]+tbl_ASM[[#This Row],[Act. Hours]]),"")</f>
        <v/>
      </c>
      <c r="S63" s="63"/>
      <c r="T63" s="63"/>
      <c r="U63" s="63"/>
      <c r="V63" s="63"/>
      <c r="W63" s="63"/>
    </row>
    <row r="64" spans="6:23" ht="25" customHeight="1">
      <c r="F64" s="53"/>
      <c r="H64" s="55" t="e">
        <f>tbl_ASM[[#This Row],[Qty Complete]]/tbl_ASM[[#This Row],[Qty Required]]</f>
        <v>#DIV/0!</v>
      </c>
      <c r="K64" s="57" t="str">
        <f>IFERROR(tbl_ASM[[#This Row],[Qty Required]]/tbl_ASM[[#This Row],[PPH]]*tbl_ASM[[#This Row],['# of men]],"")</f>
        <v/>
      </c>
      <c r="L64" s="58" t="e">
        <f>tbl_ASM[[#This Row],[Total hours]]*tbl_ASM[[#This Row],[% Complete]]</f>
        <v>#VALUE!</v>
      </c>
      <c r="M64" s="59" t="str">
        <f>IFERROR(tbl_ASM[[#This Row],[Qty Complete]]/tbl_ASM[[#This Row],[Total Hours Act]]*tbl_ASM[[#This Row],['# of men Act]],"")</f>
        <v/>
      </c>
      <c r="O64"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64" s="71" t="str">
        <f>IFERROR((tbl_ASM[[#This Row],[Adj. Total Hours]]+tbl_ASM[[#This Row],[Est. Hours]])/(tbl_ASM[[#This Row],[Total Hours Act]]+tbl_ASM[[#This Row],[Act. Hours]]),"")</f>
        <v/>
      </c>
      <c r="S64" s="63"/>
      <c r="T64" s="63"/>
      <c r="U64" s="63"/>
      <c r="V64" s="63"/>
      <c r="W64" s="63"/>
    </row>
    <row r="65" spans="6:23" ht="25" customHeight="1">
      <c r="F65" s="53"/>
      <c r="H65" s="55" t="e">
        <f>tbl_ASM[[#This Row],[Qty Complete]]/tbl_ASM[[#This Row],[Qty Required]]</f>
        <v>#DIV/0!</v>
      </c>
      <c r="K65" s="57" t="str">
        <f>IFERROR(tbl_ASM[[#This Row],[Qty Required]]/tbl_ASM[[#This Row],[PPH]]*tbl_ASM[[#This Row],['# of men]],"")</f>
        <v/>
      </c>
      <c r="L65" s="58" t="e">
        <f>tbl_ASM[[#This Row],[Total hours]]*tbl_ASM[[#This Row],[% Complete]]</f>
        <v>#VALUE!</v>
      </c>
      <c r="M65" s="59" t="str">
        <f>IFERROR(tbl_ASM[[#This Row],[Qty Complete]]/tbl_ASM[[#This Row],[Total Hours Act]]*tbl_ASM[[#This Row],['# of men Act]],"")</f>
        <v/>
      </c>
      <c r="O65"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65" s="71" t="str">
        <f>IFERROR((tbl_ASM[[#This Row],[Adj. Total Hours]]+tbl_ASM[[#This Row],[Est. Hours]])/(tbl_ASM[[#This Row],[Total Hours Act]]+tbl_ASM[[#This Row],[Act. Hours]]),"")</f>
        <v/>
      </c>
      <c r="S65" s="63"/>
      <c r="T65" s="63"/>
      <c r="U65" s="63"/>
      <c r="V65" s="63"/>
      <c r="W65" s="63"/>
    </row>
    <row r="66" spans="6:23" ht="25" customHeight="1">
      <c r="F66" s="53"/>
      <c r="H66" s="55" t="e">
        <f>tbl_ASM[[#This Row],[Qty Complete]]/tbl_ASM[[#This Row],[Qty Required]]</f>
        <v>#DIV/0!</v>
      </c>
      <c r="K66" s="57" t="str">
        <f>IFERROR(tbl_ASM[[#This Row],[Qty Required]]/tbl_ASM[[#This Row],[PPH]]*tbl_ASM[[#This Row],['# of men]],"")</f>
        <v/>
      </c>
      <c r="L66" s="58" t="e">
        <f>tbl_ASM[[#This Row],[Total hours]]*tbl_ASM[[#This Row],[% Complete]]</f>
        <v>#VALUE!</v>
      </c>
      <c r="M66" s="59" t="str">
        <f>IFERROR(tbl_ASM[[#This Row],[Qty Complete]]/tbl_ASM[[#This Row],[Total Hours Act]]*tbl_ASM[[#This Row],['# of men Act]],"")</f>
        <v/>
      </c>
      <c r="O66"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66" s="71" t="str">
        <f>IFERROR((tbl_ASM[[#This Row],[Adj. Total Hours]]+tbl_ASM[[#This Row],[Est. Hours]])/(tbl_ASM[[#This Row],[Total Hours Act]]+tbl_ASM[[#This Row],[Act. Hours]]),"")</f>
        <v/>
      </c>
      <c r="S66" s="63"/>
      <c r="T66" s="63"/>
      <c r="U66" s="63"/>
      <c r="V66" s="63"/>
      <c r="W66" s="63"/>
    </row>
    <row r="67" spans="6:23" ht="25" customHeight="1">
      <c r="F67" s="53"/>
      <c r="H67" s="55" t="e">
        <f>tbl_ASM[[#This Row],[Qty Complete]]/tbl_ASM[[#This Row],[Qty Required]]</f>
        <v>#DIV/0!</v>
      </c>
      <c r="K67" s="57" t="str">
        <f>IFERROR(tbl_ASM[[#This Row],[Qty Required]]/tbl_ASM[[#This Row],[PPH]]*tbl_ASM[[#This Row],['# of men]],"")</f>
        <v/>
      </c>
      <c r="L67" s="58" t="e">
        <f>tbl_ASM[[#This Row],[Total hours]]*tbl_ASM[[#This Row],[% Complete]]</f>
        <v>#VALUE!</v>
      </c>
      <c r="M67" s="59" t="str">
        <f>IFERROR(tbl_ASM[[#This Row],[Qty Complete]]/tbl_ASM[[#This Row],[Total Hours Act]]*tbl_ASM[[#This Row],['# of men Act]],"")</f>
        <v/>
      </c>
      <c r="O67"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67" s="71" t="str">
        <f>IFERROR((tbl_ASM[[#This Row],[Adj. Total Hours]]+tbl_ASM[[#This Row],[Est. Hours]])/(tbl_ASM[[#This Row],[Total Hours Act]]+tbl_ASM[[#This Row],[Act. Hours]]),"")</f>
        <v/>
      </c>
      <c r="S67" s="63"/>
      <c r="T67" s="63"/>
      <c r="U67" s="63"/>
      <c r="V67" s="63"/>
      <c r="W67" s="63"/>
    </row>
    <row r="68" spans="6:23" ht="25" customHeight="1">
      <c r="F68" s="53"/>
      <c r="H68" s="55" t="e">
        <f>tbl_ASM[[#This Row],[Qty Complete]]/tbl_ASM[[#This Row],[Qty Required]]</f>
        <v>#DIV/0!</v>
      </c>
      <c r="K68" s="57" t="str">
        <f>IFERROR(tbl_ASM[[#This Row],[Qty Required]]/tbl_ASM[[#This Row],[PPH]]*tbl_ASM[[#This Row],['# of men]],"")</f>
        <v/>
      </c>
      <c r="L68" s="58" t="e">
        <f>tbl_ASM[[#This Row],[Total hours]]*tbl_ASM[[#This Row],[% Complete]]</f>
        <v>#VALUE!</v>
      </c>
      <c r="M68" s="59" t="str">
        <f>IFERROR(tbl_ASM[[#This Row],[Qty Complete]]/tbl_ASM[[#This Row],[Total Hours Act]]*tbl_ASM[[#This Row],['# of men Act]],"")</f>
        <v/>
      </c>
      <c r="O68"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68" s="71" t="str">
        <f>IFERROR((tbl_ASM[[#This Row],[Adj. Total Hours]]+tbl_ASM[[#This Row],[Est. Hours]])/(tbl_ASM[[#This Row],[Total Hours Act]]+tbl_ASM[[#This Row],[Act. Hours]]),"")</f>
        <v/>
      </c>
      <c r="S68" s="63"/>
      <c r="T68" s="63"/>
      <c r="U68" s="63"/>
      <c r="V68" s="63"/>
      <c r="W68" s="63"/>
    </row>
    <row r="69" spans="6:23" ht="25" customHeight="1">
      <c r="F69" s="53"/>
      <c r="H69" s="55" t="e">
        <f>tbl_ASM[[#This Row],[Qty Complete]]/tbl_ASM[[#This Row],[Qty Required]]</f>
        <v>#DIV/0!</v>
      </c>
      <c r="K69" s="57" t="str">
        <f>IFERROR(tbl_ASM[[#This Row],[Qty Required]]/tbl_ASM[[#This Row],[PPH]]*tbl_ASM[[#This Row],['# of men]],"")</f>
        <v/>
      </c>
      <c r="L69" s="58" t="e">
        <f>tbl_ASM[[#This Row],[Total hours]]*tbl_ASM[[#This Row],[% Complete]]</f>
        <v>#VALUE!</v>
      </c>
      <c r="M69" s="59" t="str">
        <f>IFERROR(tbl_ASM[[#This Row],[Qty Complete]]/tbl_ASM[[#This Row],[Total Hours Act]]*tbl_ASM[[#This Row],['# of men Act]],"")</f>
        <v/>
      </c>
      <c r="O69"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69" s="71" t="str">
        <f>IFERROR((tbl_ASM[[#This Row],[Adj. Total Hours]]+tbl_ASM[[#This Row],[Est. Hours]])/(tbl_ASM[[#This Row],[Total Hours Act]]+tbl_ASM[[#This Row],[Act. Hours]]),"")</f>
        <v/>
      </c>
      <c r="S69" s="63"/>
      <c r="T69" s="63"/>
      <c r="U69" s="63"/>
      <c r="V69" s="63"/>
      <c r="W69" s="63"/>
    </row>
    <row r="70" spans="6:23" ht="25" customHeight="1">
      <c r="F70" s="53"/>
      <c r="H70" s="55" t="e">
        <f>tbl_ASM[[#This Row],[Qty Complete]]/tbl_ASM[[#This Row],[Qty Required]]</f>
        <v>#DIV/0!</v>
      </c>
      <c r="K70" s="57" t="str">
        <f>IFERROR(tbl_ASM[[#This Row],[Qty Required]]/tbl_ASM[[#This Row],[PPH]]*tbl_ASM[[#This Row],['# of men]],"")</f>
        <v/>
      </c>
      <c r="L70" s="58" t="e">
        <f>tbl_ASM[[#This Row],[Total hours]]*tbl_ASM[[#This Row],[% Complete]]</f>
        <v>#VALUE!</v>
      </c>
      <c r="M70" s="59" t="str">
        <f>IFERROR(tbl_ASM[[#This Row],[Qty Complete]]/tbl_ASM[[#This Row],[Total Hours Act]]*tbl_ASM[[#This Row],['# of men Act]],"")</f>
        <v/>
      </c>
      <c r="O70"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70" s="71" t="str">
        <f>IFERROR((tbl_ASM[[#This Row],[Adj. Total Hours]]+tbl_ASM[[#This Row],[Est. Hours]])/(tbl_ASM[[#This Row],[Total Hours Act]]+tbl_ASM[[#This Row],[Act. Hours]]),"")</f>
        <v/>
      </c>
      <c r="S70" s="63"/>
      <c r="T70" s="63"/>
      <c r="U70" s="63"/>
      <c r="V70" s="63"/>
      <c r="W70" s="63"/>
    </row>
    <row r="71" spans="6:23" ht="25" customHeight="1">
      <c r="F71" s="53"/>
      <c r="H71" s="55" t="e">
        <f>tbl_ASM[[#This Row],[Qty Complete]]/tbl_ASM[[#This Row],[Qty Required]]</f>
        <v>#DIV/0!</v>
      </c>
      <c r="K71" s="57" t="str">
        <f>IFERROR(tbl_ASM[[#This Row],[Qty Required]]/tbl_ASM[[#This Row],[PPH]]*tbl_ASM[[#This Row],['# of men]],"")</f>
        <v/>
      </c>
      <c r="L71" s="58" t="e">
        <f>tbl_ASM[[#This Row],[Total hours]]*tbl_ASM[[#This Row],[% Complete]]</f>
        <v>#VALUE!</v>
      </c>
      <c r="M71" s="59" t="str">
        <f>IFERROR(tbl_ASM[[#This Row],[Qty Complete]]/tbl_ASM[[#This Row],[Total Hours Act]]*tbl_ASM[[#This Row],['# of men Act]],"")</f>
        <v/>
      </c>
      <c r="O71"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71" s="71" t="str">
        <f>IFERROR((tbl_ASM[[#This Row],[Adj. Total Hours]]+tbl_ASM[[#This Row],[Est. Hours]])/(tbl_ASM[[#This Row],[Total Hours Act]]+tbl_ASM[[#This Row],[Act. Hours]]),"")</f>
        <v/>
      </c>
      <c r="S71" s="63"/>
      <c r="T71" s="63"/>
      <c r="U71" s="63"/>
      <c r="V71" s="63"/>
      <c r="W71" s="63"/>
    </row>
    <row r="72" spans="6:23" ht="25" customHeight="1">
      <c r="F72" s="53"/>
      <c r="H72" s="55" t="e">
        <f>tbl_ASM[[#This Row],[Qty Complete]]/tbl_ASM[[#This Row],[Qty Required]]</f>
        <v>#DIV/0!</v>
      </c>
      <c r="K72" s="57" t="str">
        <f>IFERROR(tbl_ASM[[#This Row],[Qty Required]]/tbl_ASM[[#This Row],[PPH]]*tbl_ASM[[#This Row],['# of men]],"")</f>
        <v/>
      </c>
      <c r="L72" s="58" t="e">
        <f>tbl_ASM[[#This Row],[Total hours]]*tbl_ASM[[#This Row],[% Complete]]</f>
        <v>#VALUE!</v>
      </c>
      <c r="M72" s="59" t="str">
        <f>IFERROR(tbl_ASM[[#This Row],[Qty Complete]]/tbl_ASM[[#This Row],[Total Hours Act]]*tbl_ASM[[#This Row],['# of men Act]],"")</f>
        <v/>
      </c>
      <c r="O72"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72" s="71" t="str">
        <f>IFERROR((tbl_ASM[[#This Row],[Adj. Total Hours]]+tbl_ASM[[#This Row],[Est. Hours]])/(tbl_ASM[[#This Row],[Total Hours Act]]+tbl_ASM[[#This Row],[Act. Hours]]),"")</f>
        <v/>
      </c>
      <c r="S72" s="63"/>
      <c r="T72" s="63"/>
      <c r="U72" s="63"/>
      <c r="V72" s="63"/>
      <c r="W72" s="63"/>
    </row>
    <row r="73" spans="6:23" ht="25" customHeight="1">
      <c r="F73" s="53"/>
      <c r="H73" s="55" t="e">
        <f>tbl_ASM[[#This Row],[Qty Complete]]/tbl_ASM[[#This Row],[Qty Required]]</f>
        <v>#DIV/0!</v>
      </c>
      <c r="K73" s="57" t="str">
        <f>IFERROR(tbl_ASM[[#This Row],[Qty Required]]/tbl_ASM[[#This Row],[PPH]]*tbl_ASM[[#This Row],['# of men]],"")</f>
        <v/>
      </c>
      <c r="L73" s="58" t="e">
        <f>tbl_ASM[[#This Row],[Total hours]]*tbl_ASM[[#This Row],[% Complete]]</f>
        <v>#VALUE!</v>
      </c>
      <c r="M73" s="59" t="str">
        <f>IFERROR(tbl_ASM[[#This Row],[Qty Complete]]/tbl_ASM[[#This Row],[Total Hours Act]]*tbl_ASM[[#This Row],['# of men Act]],"")</f>
        <v/>
      </c>
      <c r="O73"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73" s="71" t="str">
        <f>IFERROR((tbl_ASM[[#This Row],[Adj. Total Hours]]+tbl_ASM[[#This Row],[Est. Hours]])/(tbl_ASM[[#This Row],[Total Hours Act]]+tbl_ASM[[#This Row],[Act. Hours]]),"")</f>
        <v/>
      </c>
      <c r="S73" s="63"/>
      <c r="T73" s="63"/>
      <c r="U73" s="63"/>
      <c r="V73" s="63"/>
      <c r="W73" s="63"/>
    </row>
    <row r="74" spans="6:23" ht="25" customHeight="1">
      <c r="F74" s="53"/>
      <c r="H74" s="55" t="e">
        <f>tbl_ASM[[#This Row],[Qty Complete]]/tbl_ASM[[#This Row],[Qty Required]]</f>
        <v>#DIV/0!</v>
      </c>
      <c r="K74" s="57" t="str">
        <f>IFERROR(tbl_ASM[[#This Row],[Qty Required]]/tbl_ASM[[#This Row],[PPH]]*tbl_ASM[[#This Row],['# of men]],"")</f>
        <v/>
      </c>
      <c r="L74" s="58" t="e">
        <f>tbl_ASM[[#This Row],[Total hours]]*tbl_ASM[[#This Row],[% Complete]]</f>
        <v>#VALUE!</v>
      </c>
      <c r="M74" s="59" t="str">
        <f>IFERROR(tbl_ASM[[#This Row],[Qty Complete]]/tbl_ASM[[#This Row],[Total Hours Act]]*tbl_ASM[[#This Row],['# of men Act]],"")</f>
        <v/>
      </c>
      <c r="O74"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74" s="71" t="str">
        <f>IFERROR((tbl_ASM[[#This Row],[Adj. Total Hours]]+tbl_ASM[[#This Row],[Est. Hours]])/(tbl_ASM[[#This Row],[Total Hours Act]]+tbl_ASM[[#This Row],[Act. Hours]]),"")</f>
        <v/>
      </c>
      <c r="S74" s="63"/>
      <c r="T74" s="63"/>
      <c r="U74" s="63"/>
      <c r="V74" s="63"/>
      <c r="W74" s="63"/>
    </row>
    <row r="75" spans="6:23" ht="25" customHeight="1">
      <c r="F75" s="53"/>
      <c r="H75" s="55" t="e">
        <f>tbl_ASM[[#This Row],[Qty Complete]]/tbl_ASM[[#This Row],[Qty Required]]</f>
        <v>#DIV/0!</v>
      </c>
      <c r="K75" s="57" t="str">
        <f>IFERROR(tbl_ASM[[#This Row],[Qty Required]]/tbl_ASM[[#This Row],[PPH]]*tbl_ASM[[#This Row],['# of men]],"")</f>
        <v/>
      </c>
      <c r="L75" s="58" t="e">
        <f>tbl_ASM[[#This Row],[Total hours]]*tbl_ASM[[#This Row],[% Complete]]</f>
        <v>#VALUE!</v>
      </c>
      <c r="M75" s="59" t="str">
        <f>IFERROR(tbl_ASM[[#This Row],[Qty Complete]]/tbl_ASM[[#This Row],[Total Hours Act]]*tbl_ASM[[#This Row],['# of men Act]],"")</f>
        <v/>
      </c>
      <c r="O75"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75" s="71" t="str">
        <f>IFERROR((tbl_ASM[[#This Row],[Adj. Total Hours]]+tbl_ASM[[#This Row],[Est. Hours]])/(tbl_ASM[[#This Row],[Total Hours Act]]+tbl_ASM[[#This Row],[Act. Hours]]),"")</f>
        <v/>
      </c>
      <c r="S75" s="63"/>
      <c r="T75" s="63"/>
      <c r="U75" s="63"/>
      <c r="V75" s="63"/>
      <c r="W75" s="63"/>
    </row>
    <row r="76" spans="6:23" ht="25" customHeight="1">
      <c r="F76" s="53"/>
      <c r="H76" s="55" t="e">
        <f>tbl_ASM[[#This Row],[Qty Complete]]/tbl_ASM[[#This Row],[Qty Required]]</f>
        <v>#DIV/0!</v>
      </c>
      <c r="K76" s="57" t="str">
        <f>IFERROR(tbl_ASM[[#This Row],[Qty Required]]/tbl_ASM[[#This Row],[PPH]]*tbl_ASM[[#This Row],['# of men]],"")</f>
        <v/>
      </c>
      <c r="L76" s="58" t="e">
        <f>tbl_ASM[[#This Row],[Total hours]]*tbl_ASM[[#This Row],[% Complete]]</f>
        <v>#VALUE!</v>
      </c>
      <c r="M76" s="59" t="str">
        <f>IFERROR(tbl_ASM[[#This Row],[Qty Complete]]/tbl_ASM[[#This Row],[Total Hours Act]]*tbl_ASM[[#This Row],['# of men Act]],"")</f>
        <v/>
      </c>
      <c r="O76"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76" s="71" t="str">
        <f>IFERROR((tbl_ASM[[#This Row],[Adj. Total Hours]]+tbl_ASM[[#This Row],[Est. Hours]])/(tbl_ASM[[#This Row],[Total Hours Act]]+tbl_ASM[[#This Row],[Act. Hours]]),"")</f>
        <v/>
      </c>
      <c r="S76" s="63"/>
      <c r="T76" s="63"/>
      <c r="U76" s="63"/>
      <c r="V76" s="63"/>
      <c r="W76" s="63"/>
    </row>
    <row r="77" spans="6:23" ht="25" customHeight="1">
      <c r="F77" s="53"/>
      <c r="H77" s="55" t="e">
        <f>tbl_ASM[[#This Row],[Qty Complete]]/tbl_ASM[[#This Row],[Qty Required]]</f>
        <v>#DIV/0!</v>
      </c>
      <c r="K77" s="57" t="str">
        <f>IFERROR(tbl_ASM[[#This Row],[Qty Required]]/tbl_ASM[[#This Row],[PPH]]*tbl_ASM[[#This Row],['# of men]],"")</f>
        <v/>
      </c>
      <c r="L77" s="58" t="e">
        <f>tbl_ASM[[#This Row],[Total hours]]*tbl_ASM[[#This Row],[% Complete]]</f>
        <v>#VALUE!</v>
      </c>
      <c r="M77" s="59" t="str">
        <f>IFERROR(tbl_ASM[[#This Row],[Qty Complete]]/tbl_ASM[[#This Row],[Total Hours Act]]*tbl_ASM[[#This Row],['# of men Act]],"")</f>
        <v/>
      </c>
      <c r="O77"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77" s="71" t="str">
        <f>IFERROR((tbl_ASM[[#This Row],[Adj. Total Hours]]+tbl_ASM[[#This Row],[Est. Hours]])/(tbl_ASM[[#This Row],[Total Hours Act]]+tbl_ASM[[#This Row],[Act. Hours]]),"")</f>
        <v/>
      </c>
      <c r="S77" s="63"/>
      <c r="T77" s="63"/>
      <c r="U77" s="63"/>
      <c r="V77" s="63"/>
      <c r="W77" s="63"/>
    </row>
    <row r="78" spans="6:23" ht="25" customHeight="1">
      <c r="F78" s="53"/>
      <c r="H78" s="55" t="e">
        <f>tbl_ASM[[#This Row],[Qty Complete]]/tbl_ASM[[#This Row],[Qty Required]]</f>
        <v>#DIV/0!</v>
      </c>
      <c r="K78" s="57" t="str">
        <f>IFERROR(tbl_ASM[[#This Row],[Qty Required]]/tbl_ASM[[#This Row],[PPH]]*tbl_ASM[[#This Row],['# of men]],"")</f>
        <v/>
      </c>
      <c r="L78" s="58" t="e">
        <f>tbl_ASM[[#This Row],[Total hours]]*tbl_ASM[[#This Row],[% Complete]]</f>
        <v>#VALUE!</v>
      </c>
      <c r="M78" s="59" t="str">
        <f>IFERROR(tbl_ASM[[#This Row],[Qty Complete]]/tbl_ASM[[#This Row],[Total Hours Act]]*tbl_ASM[[#This Row],['# of men Act]],"")</f>
        <v/>
      </c>
      <c r="O78"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78" s="71" t="str">
        <f>IFERROR((tbl_ASM[[#This Row],[Adj. Total Hours]]+tbl_ASM[[#This Row],[Est. Hours]])/(tbl_ASM[[#This Row],[Total Hours Act]]+tbl_ASM[[#This Row],[Act. Hours]]),"")</f>
        <v/>
      </c>
      <c r="S78" s="63"/>
      <c r="T78" s="63"/>
      <c r="U78" s="63"/>
      <c r="V78" s="63"/>
      <c r="W78" s="63"/>
    </row>
    <row r="79" spans="6:23" ht="25" customHeight="1">
      <c r="F79" s="53"/>
      <c r="H79" s="55" t="e">
        <f>tbl_ASM[[#This Row],[Qty Complete]]/tbl_ASM[[#This Row],[Qty Required]]</f>
        <v>#DIV/0!</v>
      </c>
      <c r="K79" s="57" t="str">
        <f>IFERROR(tbl_ASM[[#This Row],[Qty Required]]/tbl_ASM[[#This Row],[PPH]]*tbl_ASM[[#This Row],['# of men]],"")</f>
        <v/>
      </c>
      <c r="L79" s="58" t="e">
        <f>tbl_ASM[[#This Row],[Total hours]]*tbl_ASM[[#This Row],[% Complete]]</f>
        <v>#VALUE!</v>
      </c>
      <c r="M79" s="59" t="str">
        <f>IFERROR(tbl_ASM[[#This Row],[Qty Complete]]/tbl_ASM[[#This Row],[Total Hours Act]]*tbl_ASM[[#This Row],['# of men Act]],"")</f>
        <v/>
      </c>
      <c r="O79"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79" s="71" t="str">
        <f>IFERROR((tbl_ASM[[#This Row],[Adj. Total Hours]]+tbl_ASM[[#This Row],[Est. Hours]])/(tbl_ASM[[#This Row],[Total Hours Act]]+tbl_ASM[[#This Row],[Act. Hours]]),"")</f>
        <v/>
      </c>
      <c r="S79" s="63"/>
      <c r="T79" s="63"/>
      <c r="U79" s="63"/>
      <c r="V79" s="63"/>
      <c r="W79" s="63"/>
    </row>
    <row r="80" spans="6:23" ht="25" customHeight="1">
      <c r="F80" s="53"/>
      <c r="H80" s="55" t="e">
        <f>tbl_ASM[[#This Row],[Qty Complete]]/tbl_ASM[[#This Row],[Qty Required]]</f>
        <v>#DIV/0!</v>
      </c>
      <c r="K80" s="57" t="str">
        <f>IFERROR(tbl_ASM[[#This Row],[Qty Required]]/tbl_ASM[[#This Row],[PPH]]*tbl_ASM[[#This Row],['# of men]],"")</f>
        <v/>
      </c>
      <c r="L80" s="58" t="e">
        <f>tbl_ASM[[#This Row],[Total hours]]*tbl_ASM[[#This Row],[% Complete]]</f>
        <v>#VALUE!</v>
      </c>
      <c r="M80" s="59" t="str">
        <f>IFERROR(tbl_ASM[[#This Row],[Qty Complete]]/tbl_ASM[[#This Row],[Total Hours Act]]*tbl_ASM[[#This Row],['# of men Act]],"")</f>
        <v/>
      </c>
      <c r="O80"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80" s="71" t="str">
        <f>IFERROR((tbl_ASM[[#This Row],[Adj. Total Hours]]+tbl_ASM[[#This Row],[Est. Hours]])/(tbl_ASM[[#This Row],[Total Hours Act]]+tbl_ASM[[#This Row],[Act. Hours]]),"")</f>
        <v/>
      </c>
      <c r="S80" s="63"/>
      <c r="T80" s="63"/>
      <c r="U80" s="63"/>
      <c r="V80" s="63"/>
      <c r="W80" s="63"/>
    </row>
    <row r="81" spans="6:23" ht="25" customHeight="1">
      <c r="F81" s="53"/>
      <c r="H81" s="55" t="e">
        <f>tbl_ASM[[#This Row],[Qty Complete]]/tbl_ASM[[#This Row],[Qty Required]]</f>
        <v>#DIV/0!</v>
      </c>
      <c r="K81" s="57" t="str">
        <f>IFERROR(tbl_ASM[[#This Row],[Qty Required]]/tbl_ASM[[#This Row],[PPH]]*tbl_ASM[[#This Row],['# of men]],"")</f>
        <v/>
      </c>
      <c r="L81" s="58" t="e">
        <f>tbl_ASM[[#This Row],[Total hours]]*tbl_ASM[[#This Row],[% Complete]]</f>
        <v>#VALUE!</v>
      </c>
      <c r="M81" s="59" t="str">
        <f>IFERROR(tbl_ASM[[#This Row],[Qty Complete]]/tbl_ASM[[#This Row],[Total Hours Act]]*tbl_ASM[[#This Row],['# of men Act]],"")</f>
        <v/>
      </c>
      <c r="O81"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81" s="71" t="str">
        <f>IFERROR((tbl_ASM[[#This Row],[Adj. Total Hours]]+tbl_ASM[[#This Row],[Est. Hours]])/(tbl_ASM[[#This Row],[Total Hours Act]]+tbl_ASM[[#This Row],[Act. Hours]]),"")</f>
        <v/>
      </c>
      <c r="S81" s="63"/>
      <c r="T81" s="63"/>
      <c r="U81" s="63"/>
      <c r="V81" s="63"/>
      <c r="W81" s="63"/>
    </row>
    <row r="82" spans="6:23" ht="25" customHeight="1">
      <c r="F82" s="53"/>
      <c r="H82" s="55" t="e">
        <f>tbl_ASM[[#This Row],[Qty Complete]]/tbl_ASM[[#This Row],[Qty Required]]</f>
        <v>#DIV/0!</v>
      </c>
      <c r="K82" s="57" t="str">
        <f>IFERROR(tbl_ASM[[#This Row],[Qty Required]]/tbl_ASM[[#This Row],[PPH]]*tbl_ASM[[#This Row],['# of men]],"")</f>
        <v/>
      </c>
      <c r="L82" s="58" t="e">
        <f>tbl_ASM[[#This Row],[Total hours]]*tbl_ASM[[#This Row],[% Complete]]</f>
        <v>#VALUE!</v>
      </c>
      <c r="M82" s="59" t="str">
        <f>IFERROR(tbl_ASM[[#This Row],[Qty Complete]]/tbl_ASM[[#This Row],[Total Hours Act]]*tbl_ASM[[#This Row],['# of men Act]],"")</f>
        <v/>
      </c>
      <c r="O82"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82" s="71" t="str">
        <f>IFERROR((tbl_ASM[[#This Row],[Adj. Total Hours]]+tbl_ASM[[#This Row],[Est. Hours]])/(tbl_ASM[[#This Row],[Total Hours Act]]+tbl_ASM[[#This Row],[Act. Hours]]),"")</f>
        <v/>
      </c>
      <c r="S82" s="63"/>
      <c r="T82" s="63"/>
      <c r="U82" s="63"/>
      <c r="V82" s="63"/>
      <c r="W82" s="63"/>
    </row>
    <row r="83" spans="6:23" ht="25" customHeight="1">
      <c r="F83" s="53"/>
      <c r="H83" s="55" t="e">
        <f>tbl_ASM[[#This Row],[Qty Complete]]/tbl_ASM[[#This Row],[Qty Required]]</f>
        <v>#DIV/0!</v>
      </c>
      <c r="K83" s="57" t="str">
        <f>IFERROR(tbl_ASM[[#This Row],[Qty Required]]/tbl_ASM[[#This Row],[PPH]]*tbl_ASM[[#This Row],['# of men]],"")</f>
        <v/>
      </c>
      <c r="L83" s="58" t="e">
        <f>tbl_ASM[[#This Row],[Total hours]]*tbl_ASM[[#This Row],[% Complete]]</f>
        <v>#VALUE!</v>
      </c>
      <c r="M83" s="59" t="str">
        <f>IFERROR(tbl_ASM[[#This Row],[Qty Complete]]/tbl_ASM[[#This Row],[Total Hours Act]]*tbl_ASM[[#This Row],['# of men Act]],"")</f>
        <v/>
      </c>
      <c r="O83"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83" s="71" t="str">
        <f>IFERROR((tbl_ASM[[#This Row],[Adj. Total Hours]]+tbl_ASM[[#This Row],[Est. Hours]])/(tbl_ASM[[#This Row],[Total Hours Act]]+tbl_ASM[[#This Row],[Act. Hours]]),"")</f>
        <v/>
      </c>
      <c r="S83" s="63"/>
      <c r="T83" s="63"/>
      <c r="U83" s="63"/>
      <c r="V83" s="63"/>
      <c r="W83" s="63"/>
    </row>
    <row r="84" spans="6:23" ht="25" customHeight="1">
      <c r="F84" s="53"/>
      <c r="H84" s="55" t="e">
        <f>tbl_ASM[[#This Row],[Qty Complete]]/tbl_ASM[[#This Row],[Qty Required]]</f>
        <v>#DIV/0!</v>
      </c>
      <c r="K84" s="57" t="str">
        <f>IFERROR(tbl_ASM[[#This Row],[Qty Required]]/tbl_ASM[[#This Row],[PPH]]*tbl_ASM[[#This Row],['# of men]],"")</f>
        <v/>
      </c>
      <c r="L84" s="58" t="e">
        <f>tbl_ASM[[#This Row],[Total hours]]*tbl_ASM[[#This Row],[% Complete]]</f>
        <v>#VALUE!</v>
      </c>
      <c r="M84" s="59" t="str">
        <f>IFERROR(tbl_ASM[[#This Row],[Qty Complete]]/tbl_ASM[[#This Row],[Total Hours Act]]*tbl_ASM[[#This Row],['# of men Act]],"")</f>
        <v/>
      </c>
      <c r="O84"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84" s="71" t="str">
        <f>IFERROR((tbl_ASM[[#This Row],[Adj. Total Hours]]+tbl_ASM[[#This Row],[Est. Hours]])/(tbl_ASM[[#This Row],[Total Hours Act]]+tbl_ASM[[#This Row],[Act. Hours]]),"")</f>
        <v/>
      </c>
      <c r="S84" s="63"/>
      <c r="T84" s="63"/>
      <c r="U84" s="63"/>
      <c r="V84" s="63"/>
      <c r="W84" s="63"/>
    </row>
    <row r="85" spans="6:23" ht="25" customHeight="1">
      <c r="F85" s="53"/>
      <c r="H85" s="55" t="e">
        <f>tbl_ASM[[#This Row],[Qty Complete]]/tbl_ASM[[#This Row],[Qty Required]]</f>
        <v>#DIV/0!</v>
      </c>
      <c r="K85" s="57" t="str">
        <f>IFERROR(tbl_ASM[[#This Row],[Qty Required]]/tbl_ASM[[#This Row],[PPH]]*tbl_ASM[[#This Row],['# of men]],"")</f>
        <v/>
      </c>
      <c r="L85" s="58" t="e">
        <f>tbl_ASM[[#This Row],[Total hours]]*tbl_ASM[[#This Row],[% Complete]]</f>
        <v>#VALUE!</v>
      </c>
      <c r="M85" s="59" t="str">
        <f>IFERROR(tbl_ASM[[#This Row],[Qty Complete]]/tbl_ASM[[#This Row],[Total Hours Act]]*tbl_ASM[[#This Row],['# of men Act]],"")</f>
        <v/>
      </c>
      <c r="O85"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85" s="71" t="str">
        <f>IFERROR((tbl_ASM[[#This Row],[Adj. Total Hours]]+tbl_ASM[[#This Row],[Est. Hours]])/(tbl_ASM[[#This Row],[Total Hours Act]]+tbl_ASM[[#This Row],[Act. Hours]]),"")</f>
        <v/>
      </c>
      <c r="S85" s="63"/>
      <c r="T85" s="63"/>
      <c r="U85" s="63"/>
      <c r="V85" s="63"/>
      <c r="W85" s="63"/>
    </row>
    <row r="86" spans="6:23" ht="25" customHeight="1">
      <c r="F86" s="53"/>
      <c r="H86" s="55" t="e">
        <f>tbl_ASM[[#This Row],[Qty Complete]]/tbl_ASM[[#This Row],[Qty Required]]</f>
        <v>#DIV/0!</v>
      </c>
      <c r="K86" s="57" t="str">
        <f>IFERROR(tbl_ASM[[#This Row],[Qty Required]]/tbl_ASM[[#This Row],[PPH]]*tbl_ASM[[#This Row],['# of men]],"")</f>
        <v/>
      </c>
      <c r="L86" s="58" t="e">
        <f>tbl_ASM[[#This Row],[Total hours]]*tbl_ASM[[#This Row],[% Complete]]</f>
        <v>#VALUE!</v>
      </c>
      <c r="M86" s="59" t="str">
        <f>IFERROR(tbl_ASM[[#This Row],[Qty Complete]]/tbl_ASM[[#This Row],[Total Hours Act]]*tbl_ASM[[#This Row],['# of men Act]],"")</f>
        <v/>
      </c>
      <c r="O86"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86" s="71" t="str">
        <f>IFERROR((tbl_ASM[[#This Row],[Adj. Total Hours]]+tbl_ASM[[#This Row],[Est. Hours]])/(tbl_ASM[[#This Row],[Total Hours Act]]+tbl_ASM[[#This Row],[Act. Hours]]),"")</f>
        <v/>
      </c>
      <c r="S86" s="63"/>
      <c r="T86" s="63"/>
      <c r="U86" s="63"/>
      <c r="V86" s="63"/>
      <c r="W86" s="63"/>
    </row>
    <row r="87" spans="6:23" ht="25" customHeight="1">
      <c r="F87" s="53"/>
      <c r="H87" s="55" t="e">
        <f>tbl_ASM[[#This Row],[Qty Complete]]/tbl_ASM[[#This Row],[Qty Required]]</f>
        <v>#DIV/0!</v>
      </c>
      <c r="K87" s="57" t="str">
        <f>IFERROR(tbl_ASM[[#This Row],[Qty Required]]/tbl_ASM[[#This Row],[PPH]]*tbl_ASM[[#This Row],['# of men]],"")</f>
        <v/>
      </c>
      <c r="L87" s="58" t="e">
        <f>tbl_ASM[[#This Row],[Total hours]]*tbl_ASM[[#This Row],[% Complete]]</f>
        <v>#VALUE!</v>
      </c>
      <c r="M87" s="59" t="str">
        <f>IFERROR(tbl_ASM[[#This Row],[Qty Complete]]/tbl_ASM[[#This Row],[Total Hours Act]]*tbl_ASM[[#This Row],['# of men Act]],"")</f>
        <v/>
      </c>
      <c r="O87"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87" s="71" t="str">
        <f>IFERROR((tbl_ASM[[#This Row],[Adj. Total Hours]]+tbl_ASM[[#This Row],[Est. Hours]])/(tbl_ASM[[#This Row],[Total Hours Act]]+tbl_ASM[[#This Row],[Act. Hours]]),"")</f>
        <v/>
      </c>
      <c r="S87" s="63"/>
      <c r="T87" s="63"/>
      <c r="U87" s="63"/>
      <c r="V87" s="63"/>
      <c r="W87" s="63"/>
    </row>
    <row r="88" spans="6:23" ht="25" customHeight="1">
      <c r="F88" s="53"/>
      <c r="H88" s="55" t="e">
        <f>tbl_ASM[[#This Row],[Qty Complete]]/tbl_ASM[[#This Row],[Qty Required]]</f>
        <v>#DIV/0!</v>
      </c>
      <c r="K88" s="57" t="str">
        <f>IFERROR(tbl_ASM[[#This Row],[Qty Required]]/tbl_ASM[[#This Row],[PPH]]*tbl_ASM[[#This Row],['# of men]],"")</f>
        <v/>
      </c>
      <c r="L88" s="58" t="e">
        <f>tbl_ASM[[#This Row],[Total hours]]*tbl_ASM[[#This Row],[% Complete]]</f>
        <v>#VALUE!</v>
      </c>
      <c r="M88" s="59" t="str">
        <f>IFERROR(tbl_ASM[[#This Row],[Qty Complete]]/tbl_ASM[[#This Row],[Total Hours Act]]*tbl_ASM[[#This Row],['# of men Act]],"")</f>
        <v/>
      </c>
      <c r="O88"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88" s="71" t="str">
        <f>IFERROR((tbl_ASM[[#This Row],[Adj. Total Hours]]+tbl_ASM[[#This Row],[Est. Hours]])/(tbl_ASM[[#This Row],[Total Hours Act]]+tbl_ASM[[#This Row],[Act. Hours]]),"")</f>
        <v/>
      </c>
      <c r="S88" s="63"/>
      <c r="T88" s="63"/>
      <c r="U88" s="63"/>
      <c r="V88" s="63"/>
      <c r="W88" s="63"/>
    </row>
    <row r="89" spans="6:23" ht="25" customHeight="1">
      <c r="F89" s="53"/>
      <c r="H89" s="55" t="e">
        <f>tbl_ASM[[#This Row],[Qty Complete]]/tbl_ASM[[#This Row],[Qty Required]]</f>
        <v>#DIV/0!</v>
      </c>
      <c r="K89" s="57" t="str">
        <f>IFERROR(tbl_ASM[[#This Row],[Qty Required]]/tbl_ASM[[#This Row],[PPH]]*tbl_ASM[[#This Row],['# of men]],"")</f>
        <v/>
      </c>
      <c r="L89" s="58" t="e">
        <f>tbl_ASM[[#This Row],[Total hours]]*tbl_ASM[[#This Row],[% Complete]]</f>
        <v>#VALUE!</v>
      </c>
      <c r="M89" s="59" t="str">
        <f>IFERROR(tbl_ASM[[#This Row],[Qty Complete]]/tbl_ASM[[#This Row],[Total Hours Act]]*tbl_ASM[[#This Row],['# of men Act]],"")</f>
        <v/>
      </c>
      <c r="O89"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89" s="71" t="str">
        <f>IFERROR((tbl_ASM[[#This Row],[Adj. Total Hours]]+tbl_ASM[[#This Row],[Est. Hours]])/(tbl_ASM[[#This Row],[Total Hours Act]]+tbl_ASM[[#This Row],[Act. Hours]]),"")</f>
        <v/>
      </c>
      <c r="S89" s="63"/>
      <c r="T89" s="63"/>
      <c r="U89" s="63"/>
      <c r="V89" s="63"/>
      <c r="W89" s="63"/>
    </row>
    <row r="90" spans="6:23" ht="25" customHeight="1">
      <c r="F90" s="53"/>
      <c r="H90" s="55" t="e">
        <f>tbl_ASM[[#This Row],[Qty Complete]]/tbl_ASM[[#This Row],[Qty Required]]</f>
        <v>#DIV/0!</v>
      </c>
      <c r="K90" s="57" t="str">
        <f>IFERROR(tbl_ASM[[#This Row],[Qty Required]]/tbl_ASM[[#This Row],[PPH]]*tbl_ASM[[#This Row],['# of men]],"")</f>
        <v/>
      </c>
      <c r="L90" s="58" t="e">
        <f>tbl_ASM[[#This Row],[Total hours]]*tbl_ASM[[#This Row],[% Complete]]</f>
        <v>#VALUE!</v>
      </c>
      <c r="M90" s="59" t="str">
        <f>IFERROR(tbl_ASM[[#This Row],[Qty Complete]]/tbl_ASM[[#This Row],[Total Hours Act]]*tbl_ASM[[#This Row],['# of men Act]],"")</f>
        <v/>
      </c>
      <c r="O90"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90" s="71" t="str">
        <f>IFERROR((tbl_ASM[[#This Row],[Adj. Total Hours]]+tbl_ASM[[#This Row],[Est. Hours]])/(tbl_ASM[[#This Row],[Total Hours Act]]+tbl_ASM[[#This Row],[Act. Hours]]),"")</f>
        <v/>
      </c>
      <c r="S90" s="63"/>
      <c r="T90" s="63"/>
      <c r="U90" s="63"/>
      <c r="V90" s="63"/>
      <c r="W90" s="63"/>
    </row>
    <row r="91" spans="6:23" ht="25" customHeight="1">
      <c r="F91" s="53"/>
      <c r="H91" s="55" t="e">
        <f>tbl_ASM[[#This Row],[Qty Complete]]/tbl_ASM[[#This Row],[Qty Required]]</f>
        <v>#DIV/0!</v>
      </c>
      <c r="K91" s="57" t="str">
        <f>IFERROR(tbl_ASM[[#This Row],[Qty Required]]/tbl_ASM[[#This Row],[PPH]]*tbl_ASM[[#This Row],['# of men]],"")</f>
        <v/>
      </c>
      <c r="L91" s="58" t="e">
        <f>tbl_ASM[[#This Row],[Total hours]]*tbl_ASM[[#This Row],[% Complete]]</f>
        <v>#VALUE!</v>
      </c>
      <c r="M91" s="59" t="str">
        <f>IFERROR(tbl_ASM[[#This Row],[Qty Complete]]/tbl_ASM[[#This Row],[Total Hours Act]]*tbl_ASM[[#This Row],['# of men Act]],"")</f>
        <v/>
      </c>
      <c r="O91"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91" s="71" t="str">
        <f>IFERROR((tbl_ASM[[#This Row],[Adj. Total Hours]]+tbl_ASM[[#This Row],[Est. Hours]])/(tbl_ASM[[#This Row],[Total Hours Act]]+tbl_ASM[[#This Row],[Act. Hours]]),"")</f>
        <v/>
      </c>
      <c r="S91" s="63"/>
      <c r="T91" s="63"/>
      <c r="U91" s="63"/>
      <c r="V91" s="63"/>
      <c r="W91" s="63"/>
    </row>
    <row r="92" spans="6:23" ht="25" customHeight="1">
      <c r="F92" s="53"/>
      <c r="H92" s="55" t="e">
        <f>tbl_ASM[[#This Row],[Qty Complete]]/tbl_ASM[[#This Row],[Qty Required]]</f>
        <v>#DIV/0!</v>
      </c>
      <c r="K92" s="57" t="str">
        <f>IFERROR(tbl_ASM[[#This Row],[Qty Required]]/tbl_ASM[[#This Row],[PPH]]*tbl_ASM[[#This Row],['# of men]],"")</f>
        <v/>
      </c>
      <c r="L92" s="58" t="e">
        <f>tbl_ASM[[#This Row],[Total hours]]*tbl_ASM[[#This Row],[% Complete]]</f>
        <v>#VALUE!</v>
      </c>
      <c r="M92" s="59" t="str">
        <f>IFERROR(tbl_ASM[[#This Row],[Qty Complete]]/tbl_ASM[[#This Row],[Total Hours Act]]*tbl_ASM[[#This Row],['# of men Act]],"")</f>
        <v/>
      </c>
      <c r="O92"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92" s="71" t="str">
        <f>IFERROR((tbl_ASM[[#This Row],[Adj. Total Hours]]+tbl_ASM[[#This Row],[Est. Hours]])/(tbl_ASM[[#This Row],[Total Hours Act]]+tbl_ASM[[#This Row],[Act. Hours]]),"")</f>
        <v/>
      </c>
      <c r="S92" s="63"/>
      <c r="T92" s="63"/>
      <c r="U92" s="63"/>
      <c r="V92" s="63"/>
      <c r="W92" s="63"/>
    </row>
    <row r="93" spans="6:23" ht="25" customHeight="1">
      <c r="F93" s="53"/>
      <c r="H93" s="55" t="e">
        <f>tbl_ASM[[#This Row],[Qty Complete]]/tbl_ASM[[#This Row],[Qty Required]]</f>
        <v>#DIV/0!</v>
      </c>
      <c r="K93" s="57" t="str">
        <f>IFERROR(tbl_ASM[[#This Row],[Qty Required]]/tbl_ASM[[#This Row],[PPH]]*tbl_ASM[[#This Row],['# of men]],"")</f>
        <v/>
      </c>
      <c r="L93" s="58" t="e">
        <f>tbl_ASM[[#This Row],[Total hours]]*tbl_ASM[[#This Row],[% Complete]]</f>
        <v>#VALUE!</v>
      </c>
      <c r="M93" s="59" t="str">
        <f>IFERROR(tbl_ASM[[#This Row],[Qty Complete]]/tbl_ASM[[#This Row],[Total Hours Act]]*tbl_ASM[[#This Row],['# of men Act]],"")</f>
        <v/>
      </c>
      <c r="O93"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93" s="71" t="str">
        <f>IFERROR((tbl_ASM[[#This Row],[Adj. Total Hours]]+tbl_ASM[[#This Row],[Est. Hours]])/(tbl_ASM[[#This Row],[Total Hours Act]]+tbl_ASM[[#This Row],[Act. Hours]]),"")</f>
        <v/>
      </c>
      <c r="S93" s="63"/>
      <c r="T93" s="63"/>
      <c r="U93" s="63"/>
      <c r="V93" s="63"/>
      <c r="W93" s="63"/>
    </row>
    <row r="94" spans="6:23" ht="25" customHeight="1">
      <c r="F94" s="53"/>
      <c r="H94" s="55" t="e">
        <f>tbl_ASM[[#This Row],[Qty Complete]]/tbl_ASM[[#This Row],[Qty Required]]</f>
        <v>#DIV/0!</v>
      </c>
      <c r="K94" s="57" t="str">
        <f>IFERROR(tbl_ASM[[#This Row],[Qty Required]]/tbl_ASM[[#This Row],[PPH]]*tbl_ASM[[#This Row],['# of men]],"")</f>
        <v/>
      </c>
      <c r="L94" s="58" t="e">
        <f>tbl_ASM[[#This Row],[Total hours]]*tbl_ASM[[#This Row],[% Complete]]</f>
        <v>#VALUE!</v>
      </c>
      <c r="M94" s="59" t="str">
        <f>IFERROR(tbl_ASM[[#This Row],[Qty Complete]]/tbl_ASM[[#This Row],[Total Hours Act]]*tbl_ASM[[#This Row],['# of men Act]],"")</f>
        <v/>
      </c>
      <c r="O94"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94" s="71" t="str">
        <f>IFERROR((tbl_ASM[[#This Row],[Adj. Total Hours]]+tbl_ASM[[#This Row],[Est. Hours]])/(tbl_ASM[[#This Row],[Total Hours Act]]+tbl_ASM[[#This Row],[Act. Hours]]),"")</f>
        <v/>
      </c>
      <c r="S94" s="63"/>
      <c r="T94" s="63"/>
      <c r="U94" s="63"/>
      <c r="V94" s="63"/>
      <c r="W94" s="63"/>
    </row>
    <row r="95" spans="6:23" ht="25" customHeight="1">
      <c r="F95" s="53"/>
      <c r="H95" s="55" t="e">
        <f>tbl_ASM[[#This Row],[Qty Complete]]/tbl_ASM[[#This Row],[Qty Required]]</f>
        <v>#DIV/0!</v>
      </c>
      <c r="K95" s="57" t="str">
        <f>IFERROR(tbl_ASM[[#This Row],[Qty Required]]/tbl_ASM[[#This Row],[PPH]]*tbl_ASM[[#This Row],['# of men]],"")</f>
        <v/>
      </c>
      <c r="L95" s="58" t="e">
        <f>tbl_ASM[[#This Row],[Total hours]]*tbl_ASM[[#This Row],[% Complete]]</f>
        <v>#VALUE!</v>
      </c>
      <c r="M95" s="59" t="str">
        <f>IFERROR(tbl_ASM[[#This Row],[Qty Complete]]/tbl_ASM[[#This Row],[Total Hours Act]]*tbl_ASM[[#This Row],['# of men Act]],"")</f>
        <v/>
      </c>
      <c r="O95"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95" s="71" t="str">
        <f>IFERROR((tbl_ASM[[#This Row],[Adj. Total Hours]]+tbl_ASM[[#This Row],[Est. Hours]])/(tbl_ASM[[#This Row],[Total Hours Act]]+tbl_ASM[[#This Row],[Act. Hours]]),"")</f>
        <v/>
      </c>
      <c r="S95" s="63"/>
      <c r="T95" s="63"/>
      <c r="U95" s="63"/>
      <c r="V95" s="63"/>
      <c r="W95" s="63"/>
    </row>
    <row r="96" spans="6:23" ht="25" customHeight="1">
      <c r="F96" s="53"/>
      <c r="H96" s="55" t="e">
        <f>tbl_ASM[[#This Row],[Qty Complete]]/tbl_ASM[[#This Row],[Qty Required]]</f>
        <v>#DIV/0!</v>
      </c>
      <c r="K96" s="57" t="str">
        <f>IFERROR(tbl_ASM[[#This Row],[Qty Required]]/tbl_ASM[[#This Row],[PPH]]*tbl_ASM[[#This Row],['# of men]],"")</f>
        <v/>
      </c>
      <c r="L96" s="58" t="e">
        <f>tbl_ASM[[#This Row],[Total hours]]*tbl_ASM[[#This Row],[% Complete]]</f>
        <v>#VALUE!</v>
      </c>
      <c r="M96" s="59" t="str">
        <f>IFERROR(tbl_ASM[[#This Row],[Qty Complete]]/tbl_ASM[[#This Row],[Total Hours Act]]*tbl_ASM[[#This Row],['# of men Act]],"")</f>
        <v/>
      </c>
      <c r="O96"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96" s="71" t="str">
        <f>IFERROR((tbl_ASM[[#This Row],[Adj. Total Hours]]+tbl_ASM[[#This Row],[Est. Hours]])/(tbl_ASM[[#This Row],[Total Hours Act]]+tbl_ASM[[#This Row],[Act. Hours]]),"")</f>
        <v/>
      </c>
      <c r="S96" s="63"/>
      <c r="T96" s="63"/>
      <c r="U96" s="63"/>
      <c r="V96" s="63"/>
      <c r="W96" s="63"/>
    </row>
    <row r="97" spans="6:23" ht="25" customHeight="1">
      <c r="F97" s="53"/>
      <c r="H97" s="55" t="e">
        <f>tbl_ASM[[#This Row],[Qty Complete]]/tbl_ASM[[#This Row],[Qty Required]]</f>
        <v>#DIV/0!</v>
      </c>
      <c r="K97" s="57" t="str">
        <f>IFERROR(tbl_ASM[[#This Row],[Qty Required]]/tbl_ASM[[#This Row],[PPH]]*tbl_ASM[[#This Row],['# of men]],"")</f>
        <v/>
      </c>
      <c r="L97" s="58" t="e">
        <f>tbl_ASM[[#This Row],[Total hours]]*tbl_ASM[[#This Row],[% Complete]]</f>
        <v>#VALUE!</v>
      </c>
      <c r="M97" s="59" t="str">
        <f>IFERROR(tbl_ASM[[#This Row],[Qty Complete]]/tbl_ASM[[#This Row],[Total Hours Act]]*tbl_ASM[[#This Row],['# of men Act]],"")</f>
        <v/>
      </c>
      <c r="O97"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97" s="71" t="str">
        <f>IFERROR((tbl_ASM[[#This Row],[Adj. Total Hours]]+tbl_ASM[[#This Row],[Est. Hours]])/(tbl_ASM[[#This Row],[Total Hours Act]]+tbl_ASM[[#This Row],[Act. Hours]]),"")</f>
        <v/>
      </c>
      <c r="S97" s="63"/>
      <c r="T97" s="63"/>
      <c r="U97" s="63"/>
      <c r="V97" s="63"/>
      <c r="W97" s="63"/>
    </row>
    <row r="98" spans="6:23" ht="25" customHeight="1">
      <c r="F98" s="53"/>
      <c r="H98" s="55" t="e">
        <f>tbl_ASM[[#This Row],[Qty Complete]]/tbl_ASM[[#This Row],[Qty Required]]</f>
        <v>#DIV/0!</v>
      </c>
      <c r="K98" s="57" t="str">
        <f>IFERROR(tbl_ASM[[#This Row],[Qty Required]]/tbl_ASM[[#This Row],[PPH]]*tbl_ASM[[#This Row],['# of men]],"")</f>
        <v/>
      </c>
      <c r="L98" s="58" t="e">
        <f>tbl_ASM[[#This Row],[Total hours]]*tbl_ASM[[#This Row],[% Complete]]</f>
        <v>#VALUE!</v>
      </c>
      <c r="M98" s="59" t="str">
        <f>IFERROR(tbl_ASM[[#This Row],[Qty Complete]]/tbl_ASM[[#This Row],[Total Hours Act]]*tbl_ASM[[#This Row],['# of men Act]],"")</f>
        <v/>
      </c>
      <c r="O98"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98" s="71" t="str">
        <f>IFERROR((tbl_ASM[[#This Row],[Adj. Total Hours]]+tbl_ASM[[#This Row],[Est. Hours]])/(tbl_ASM[[#This Row],[Total Hours Act]]+tbl_ASM[[#This Row],[Act. Hours]]),"")</f>
        <v/>
      </c>
      <c r="S98" s="63"/>
      <c r="T98" s="63"/>
      <c r="U98" s="63"/>
      <c r="V98" s="63"/>
      <c r="W98" s="63"/>
    </row>
    <row r="99" spans="6:23" ht="25" customHeight="1">
      <c r="F99" s="53"/>
      <c r="H99" s="55" t="e">
        <f>tbl_ASM[[#This Row],[Qty Complete]]/tbl_ASM[[#This Row],[Qty Required]]</f>
        <v>#DIV/0!</v>
      </c>
      <c r="K99" s="57" t="str">
        <f>IFERROR(tbl_ASM[[#This Row],[Qty Required]]/tbl_ASM[[#This Row],[PPH]]*tbl_ASM[[#This Row],['# of men]],"")</f>
        <v/>
      </c>
      <c r="L99" s="58" t="e">
        <f>tbl_ASM[[#This Row],[Total hours]]*tbl_ASM[[#This Row],[% Complete]]</f>
        <v>#VALUE!</v>
      </c>
      <c r="M99" s="59" t="str">
        <f>IFERROR(tbl_ASM[[#This Row],[Qty Complete]]/tbl_ASM[[#This Row],[Total Hours Act]]*tbl_ASM[[#This Row],['# of men Act]],"")</f>
        <v/>
      </c>
      <c r="O99"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99" s="71" t="str">
        <f>IFERROR((tbl_ASM[[#This Row],[Adj. Total Hours]]+tbl_ASM[[#This Row],[Est. Hours]])/(tbl_ASM[[#This Row],[Total Hours Act]]+tbl_ASM[[#This Row],[Act. Hours]]),"")</f>
        <v/>
      </c>
      <c r="S99" s="63"/>
      <c r="T99" s="63"/>
      <c r="U99" s="63"/>
      <c r="V99" s="63"/>
      <c r="W99" s="63"/>
    </row>
    <row r="100" spans="6:23" ht="25" customHeight="1">
      <c r="F100" s="53"/>
      <c r="H100" s="55" t="e">
        <f>tbl_ASM[[#This Row],[Qty Complete]]/tbl_ASM[[#This Row],[Qty Required]]</f>
        <v>#DIV/0!</v>
      </c>
      <c r="K100" s="57" t="str">
        <f>IFERROR(tbl_ASM[[#This Row],[Qty Required]]/tbl_ASM[[#This Row],[PPH]]*tbl_ASM[[#This Row],['# of men]],"")</f>
        <v/>
      </c>
      <c r="L100" s="58" t="e">
        <f>tbl_ASM[[#This Row],[Total hours]]*tbl_ASM[[#This Row],[% Complete]]</f>
        <v>#VALUE!</v>
      </c>
      <c r="M100" s="59" t="str">
        <f>IFERROR(tbl_ASM[[#This Row],[Qty Complete]]/tbl_ASM[[#This Row],[Total Hours Act]]*tbl_ASM[[#This Row],['# of men Act]],"")</f>
        <v/>
      </c>
      <c r="O100"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00" s="71" t="str">
        <f>IFERROR((tbl_ASM[[#This Row],[Adj. Total Hours]]+tbl_ASM[[#This Row],[Est. Hours]])/(tbl_ASM[[#This Row],[Total Hours Act]]+tbl_ASM[[#This Row],[Act. Hours]]),"")</f>
        <v/>
      </c>
      <c r="S100" s="63"/>
      <c r="T100" s="63"/>
      <c r="U100" s="63"/>
      <c r="V100" s="63"/>
      <c r="W100" s="63"/>
    </row>
    <row r="101" spans="6:23" ht="25" customHeight="1">
      <c r="F101" s="53"/>
      <c r="H101" s="55" t="e">
        <f>tbl_ASM[[#This Row],[Qty Complete]]/tbl_ASM[[#This Row],[Qty Required]]</f>
        <v>#DIV/0!</v>
      </c>
      <c r="K101" s="57" t="str">
        <f>IFERROR(tbl_ASM[[#This Row],[Qty Required]]/tbl_ASM[[#This Row],[PPH]]*tbl_ASM[[#This Row],['# of men]],"")</f>
        <v/>
      </c>
      <c r="L101" s="58" t="e">
        <f>tbl_ASM[[#This Row],[Total hours]]*tbl_ASM[[#This Row],[% Complete]]</f>
        <v>#VALUE!</v>
      </c>
      <c r="M101" s="59" t="str">
        <f>IFERROR(tbl_ASM[[#This Row],[Qty Complete]]/tbl_ASM[[#This Row],[Total Hours Act]]*tbl_ASM[[#This Row],['# of men Act]],"")</f>
        <v/>
      </c>
      <c r="O101"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01" s="71" t="str">
        <f>IFERROR((tbl_ASM[[#This Row],[Adj. Total Hours]]+tbl_ASM[[#This Row],[Est. Hours]])/(tbl_ASM[[#This Row],[Total Hours Act]]+tbl_ASM[[#This Row],[Act. Hours]]),"")</f>
        <v/>
      </c>
      <c r="S101" s="63"/>
      <c r="T101" s="63"/>
      <c r="U101" s="63"/>
      <c r="V101" s="63"/>
      <c r="W101" s="63"/>
    </row>
    <row r="102" spans="6:23" ht="25" customHeight="1">
      <c r="F102" s="53"/>
      <c r="H102" s="55" t="e">
        <f>tbl_ASM[[#This Row],[Qty Complete]]/tbl_ASM[[#This Row],[Qty Required]]</f>
        <v>#DIV/0!</v>
      </c>
      <c r="K102" s="57" t="str">
        <f>IFERROR(tbl_ASM[[#This Row],[Qty Required]]/tbl_ASM[[#This Row],[PPH]]*tbl_ASM[[#This Row],['# of men]],"")</f>
        <v/>
      </c>
      <c r="L102" s="58" t="e">
        <f>tbl_ASM[[#This Row],[Total hours]]*tbl_ASM[[#This Row],[% Complete]]</f>
        <v>#VALUE!</v>
      </c>
      <c r="M102" s="59" t="str">
        <f>IFERROR(tbl_ASM[[#This Row],[Qty Complete]]/tbl_ASM[[#This Row],[Total Hours Act]]*tbl_ASM[[#This Row],['# of men Act]],"")</f>
        <v/>
      </c>
      <c r="O102"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02" s="71" t="str">
        <f>IFERROR((tbl_ASM[[#This Row],[Adj. Total Hours]]+tbl_ASM[[#This Row],[Est. Hours]])/(tbl_ASM[[#This Row],[Total Hours Act]]+tbl_ASM[[#This Row],[Act. Hours]]),"")</f>
        <v/>
      </c>
      <c r="S102" s="63"/>
      <c r="T102" s="63"/>
      <c r="U102" s="63"/>
      <c r="V102" s="63"/>
      <c r="W102" s="63"/>
    </row>
    <row r="103" spans="6:23" ht="25" customHeight="1">
      <c r="F103" s="53"/>
      <c r="H103" s="55" t="e">
        <f>tbl_ASM[[#This Row],[Qty Complete]]/tbl_ASM[[#This Row],[Qty Required]]</f>
        <v>#DIV/0!</v>
      </c>
      <c r="K103" s="57" t="str">
        <f>IFERROR(tbl_ASM[[#This Row],[Qty Required]]/tbl_ASM[[#This Row],[PPH]]*tbl_ASM[[#This Row],['# of men]],"")</f>
        <v/>
      </c>
      <c r="L103" s="58" t="e">
        <f>tbl_ASM[[#This Row],[Total hours]]*tbl_ASM[[#This Row],[% Complete]]</f>
        <v>#VALUE!</v>
      </c>
      <c r="M103" s="59" t="str">
        <f>IFERROR(tbl_ASM[[#This Row],[Qty Complete]]/tbl_ASM[[#This Row],[Total Hours Act]]*tbl_ASM[[#This Row],['# of men Act]],"")</f>
        <v/>
      </c>
      <c r="O103"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03" s="71" t="str">
        <f>IFERROR((tbl_ASM[[#This Row],[Adj. Total Hours]]+tbl_ASM[[#This Row],[Est. Hours]])/(tbl_ASM[[#This Row],[Total Hours Act]]+tbl_ASM[[#This Row],[Act. Hours]]),"")</f>
        <v/>
      </c>
      <c r="S103" s="63"/>
      <c r="T103" s="63"/>
      <c r="U103" s="63"/>
      <c r="V103" s="63"/>
      <c r="W103" s="63"/>
    </row>
    <row r="104" spans="6:23" ht="25" customHeight="1">
      <c r="F104" s="53"/>
      <c r="H104" s="55" t="e">
        <f>tbl_ASM[[#This Row],[Qty Complete]]/tbl_ASM[[#This Row],[Qty Required]]</f>
        <v>#DIV/0!</v>
      </c>
      <c r="K104" s="57" t="str">
        <f>IFERROR(tbl_ASM[[#This Row],[Qty Required]]/tbl_ASM[[#This Row],[PPH]]*tbl_ASM[[#This Row],['# of men]],"")</f>
        <v/>
      </c>
      <c r="L104" s="58" t="e">
        <f>tbl_ASM[[#This Row],[Total hours]]*tbl_ASM[[#This Row],[% Complete]]</f>
        <v>#VALUE!</v>
      </c>
      <c r="M104" s="59" t="str">
        <f>IFERROR(tbl_ASM[[#This Row],[Qty Complete]]/tbl_ASM[[#This Row],[Total Hours Act]]*tbl_ASM[[#This Row],['# of men Act]],"")</f>
        <v/>
      </c>
      <c r="O104"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04" s="71" t="str">
        <f>IFERROR((tbl_ASM[[#This Row],[Adj. Total Hours]]+tbl_ASM[[#This Row],[Est. Hours]])/(tbl_ASM[[#This Row],[Total Hours Act]]+tbl_ASM[[#This Row],[Act. Hours]]),"")</f>
        <v/>
      </c>
      <c r="S104" s="63"/>
      <c r="T104" s="63"/>
      <c r="U104" s="63"/>
      <c r="V104" s="63"/>
      <c r="W104" s="63"/>
    </row>
    <row r="105" spans="6:23" ht="25" customHeight="1">
      <c r="F105" s="53"/>
      <c r="H105" s="55" t="e">
        <f>tbl_ASM[[#This Row],[Qty Complete]]/tbl_ASM[[#This Row],[Qty Required]]</f>
        <v>#DIV/0!</v>
      </c>
      <c r="K105" s="57" t="str">
        <f>IFERROR(tbl_ASM[[#This Row],[Qty Required]]/tbl_ASM[[#This Row],[PPH]]*tbl_ASM[[#This Row],['# of men]],"")</f>
        <v/>
      </c>
      <c r="L105" s="58" t="e">
        <f>tbl_ASM[[#This Row],[Total hours]]*tbl_ASM[[#This Row],[% Complete]]</f>
        <v>#VALUE!</v>
      </c>
      <c r="M105" s="59" t="str">
        <f>IFERROR(tbl_ASM[[#This Row],[Qty Complete]]/tbl_ASM[[#This Row],[Total Hours Act]]*tbl_ASM[[#This Row],['# of men Act]],"")</f>
        <v/>
      </c>
      <c r="O105"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05" s="71" t="str">
        <f>IFERROR((tbl_ASM[[#This Row],[Adj. Total Hours]]+tbl_ASM[[#This Row],[Est. Hours]])/(tbl_ASM[[#This Row],[Total Hours Act]]+tbl_ASM[[#This Row],[Act. Hours]]),"")</f>
        <v/>
      </c>
      <c r="S105" s="63"/>
      <c r="T105" s="63"/>
      <c r="U105" s="63"/>
      <c r="V105" s="63"/>
      <c r="W105" s="63"/>
    </row>
    <row r="106" spans="6:23" ht="25" customHeight="1">
      <c r="F106" s="53"/>
      <c r="H106" s="55" t="e">
        <f>tbl_ASM[[#This Row],[Qty Complete]]/tbl_ASM[[#This Row],[Qty Required]]</f>
        <v>#DIV/0!</v>
      </c>
      <c r="K106" s="57" t="str">
        <f>IFERROR(tbl_ASM[[#This Row],[Qty Required]]/tbl_ASM[[#This Row],[PPH]]*tbl_ASM[[#This Row],['# of men]],"")</f>
        <v/>
      </c>
      <c r="L106" s="58" t="e">
        <f>tbl_ASM[[#This Row],[Total hours]]*tbl_ASM[[#This Row],[% Complete]]</f>
        <v>#VALUE!</v>
      </c>
      <c r="M106" s="59" t="str">
        <f>IFERROR(tbl_ASM[[#This Row],[Qty Complete]]/tbl_ASM[[#This Row],[Total Hours Act]]*tbl_ASM[[#This Row],['# of men Act]],"")</f>
        <v/>
      </c>
      <c r="O106"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06" s="71" t="str">
        <f>IFERROR((tbl_ASM[[#This Row],[Adj. Total Hours]]+tbl_ASM[[#This Row],[Est. Hours]])/(tbl_ASM[[#This Row],[Total Hours Act]]+tbl_ASM[[#This Row],[Act. Hours]]),"")</f>
        <v/>
      </c>
      <c r="S106" s="63"/>
      <c r="T106" s="63"/>
      <c r="U106" s="63"/>
      <c r="V106" s="63"/>
      <c r="W106" s="63"/>
    </row>
    <row r="107" spans="6:23" ht="25" customHeight="1">
      <c r="F107" s="53"/>
      <c r="H107" s="55" t="e">
        <f>tbl_ASM[[#This Row],[Qty Complete]]/tbl_ASM[[#This Row],[Qty Required]]</f>
        <v>#DIV/0!</v>
      </c>
      <c r="K107" s="57" t="str">
        <f>IFERROR(tbl_ASM[[#This Row],[Qty Required]]/tbl_ASM[[#This Row],[PPH]]*tbl_ASM[[#This Row],['# of men]],"")</f>
        <v/>
      </c>
      <c r="L107" s="58" t="e">
        <f>tbl_ASM[[#This Row],[Total hours]]*tbl_ASM[[#This Row],[% Complete]]</f>
        <v>#VALUE!</v>
      </c>
      <c r="M107" s="59" t="str">
        <f>IFERROR(tbl_ASM[[#This Row],[Qty Complete]]/tbl_ASM[[#This Row],[Total Hours Act]]*tbl_ASM[[#This Row],['# of men Act]],"")</f>
        <v/>
      </c>
      <c r="O107"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07" s="71" t="str">
        <f>IFERROR((tbl_ASM[[#This Row],[Adj. Total Hours]]+tbl_ASM[[#This Row],[Est. Hours]])/(tbl_ASM[[#This Row],[Total Hours Act]]+tbl_ASM[[#This Row],[Act. Hours]]),"")</f>
        <v/>
      </c>
      <c r="S107" s="63"/>
      <c r="T107" s="63"/>
      <c r="U107" s="63"/>
      <c r="V107" s="63"/>
      <c r="W107" s="63"/>
    </row>
    <row r="108" spans="6:23" ht="25" customHeight="1">
      <c r="F108" s="53"/>
      <c r="H108" s="55" t="e">
        <f>tbl_ASM[[#This Row],[Qty Complete]]/tbl_ASM[[#This Row],[Qty Required]]</f>
        <v>#DIV/0!</v>
      </c>
      <c r="K108" s="57" t="str">
        <f>IFERROR(tbl_ASM[[#This Row],[Qty Required]]/tbl_ASM[[#This Row],[PPH]]*tbl_ASM[[#This Row],['# of men]],"")</f>
        <v/>
      </c>
      <c r="L108" s="58" t="e">
        <f>tbl_ASM[[#This Row],[Total hours]]*tbl_ASM[[#This Row],[% Complete]]</f>
        <v>#VALUE!</v>
      </c>
      <c r="M108" s="59" t="str">
        <f>IFERROR(tbl_ASM[[#This Row],[Qty Complete]]/tbl_ASM[[#This Row],[Total Hours Act]]*tbl_ASM[[#This Row],['# of men Act]],"")</f>
        <v/>
      </c>
      <c r="O108"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08" s="71" t="str">
        <f>IFERROR((tbl_ASM[[#This Row],[Adj. Total Hours]]+tbl_ASM[[#This Row],[Est. Hours]])/(tbl_ASM[[#This Row],[Total Hours Act]]+tbl_ASM[[#This Row],[Act. Hours]]),"")</f>
        <v/>
      </c>
      <c r="S108" s="63"/>
      <c r="T108" s="63"/>
      <c r="U108" s="63"/>
      <c r="V108" s="63"/>
      <c r="W108" s="63"/>
    </row>
    <row r="109" spans="6:23" ht="25" customHeight="1">
      <c r="F109" s="53"/>
      <c r="H109" s="55" t="e">
        <f>tbl_ASM[[#This Row],[Qty Complete]]/tbl_ASM[[#This Row],[Qty Required]]</f>
        <v>#DIV/0!</v>
      </c>
      <c r="K109" s="57" t="str">
        <f>IFERROR(tbl_ASM[[#This Row],[Qty Required]]/tbl_ASM[[#This Row],[PPH]]*tbl_ASM[[#This Row],['# of men]],"")</f>
        <v/>
      </c>
      <c r="L109" s="58" t="e">
        <f>tbl_ASM[[#This Row],[Total hours]]*tbl_ASM[[#This Row],[% Complete]]</f>
        <v>#VALUE!</v>
      </c>
      <c r="M109" s="59" t="str">
        <f>IFERROR(tbl_ASM[[#This Row],[Qty Complete]]/tbl_ASM[[#This Row],[Total Hours Act]]*tbl_ASM[[#This Row],['# of men Act]],"")</f>
        <v/>
      </c>
      <c r="O109"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09" s="71" t="str">
        <f>IFERROR((tbl_ASM[[#This Row],[Adj. Total Hours]]+tbl_ASM[[#This Row],[Est. Hours]])/(tbl_ASM[[#This Row],[Total Hours Act]]+tbl_ASM[[#This Row],[Act. Hours]]),"")</f>
        <v/>
      </c>
      <c r="S109" s="63"/>
      <c r="T109" s="63"/>
      <c r="U109" s="63"/>
      <c r="V109" s="63"/>
      <c r="W109" s="63"/>
    </row>
    <row r="110" spans="6:23" ht="25" customHeight="1">
      <c r="F110" s="53"/>
      <c r="H110" s="55" t="e">
        <f>tbl_ASM[[#This Row],[Qty Complete]]/tbl_ASM[[#This Row],[Qty Required]]</f>
        <v>#DIV/0!</v>
      </c>
      <c r="K110" s="57" t="str">
        <f>IFERROR(tbl_ASM[[#This Row],[Qty Required]]/tbl_ASM[[#This Row],[PPH]]*tbl_ASM[[#This Row],['# of men]],"")</f>
        <v/>
      </c>
      <c r="L110" s="58" t="e">
        <f>tbl_ASM[[#This Row],[Total hours]]*tbl_ASM[[#This Row],[% Complete]]</f>
        <v>#VALUE!</v>
      </c>
      <c r="M110" s="59" t="str">
        <f>IFERROR(tbl_ASM[[#This Row],[Qty Complete]]/tbl_ASM[[#This Row],[Total Hours Act]]*tbl_ASM[[#This Row],['# of men Act]],"")</f>
        <v/>
      </c>
      <c r="O110"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10" s="71" t="str">
        <f>IFERROR((tbl_ASM[[#This Row],[Adj. Total Hours]]+tbl_ASM[[#This Row],[Est. Hours]])/(tbl_ASM[[#This Row],[Total Hours Act]]+tbl_ASM[[#This Row],[Act. Hours]]),"")</f>
        <v/>
      </c>
      <c r="S110" s="63"/>
      <c r="T110" s="63"/>
      <c r="U110" s="63"/>
      <c r="V110" s="63"/>
      <c r="W110" s="63"/>
    </row>
    <row r="111" spans="6:23" ht="25" customHeight="1">
      <c r="F111" s="53"/>
      <c r="H111" s="55" t="e">
        <f>tbl_ASM[[#This Row],[Qty Complete]]/tbl_ASM[[#This Row],[Qty Required]]</f>
        <v>#DIV/0!</v>
      </c>
      <c r="K111" s="57" t="str">
        <f>IFERROR(tbl_ASM[[#This Row],[Qty Required]]/tbl_ASM[[#This Row],[PPH]]*tbl_ASM[[#This Row],['# of men]],"")</f>
        <v/>
      </c>
      <c r="L111" s="58" t="e">
        <f>tbl_ASM[[#This Row],[Total hours]]*tbl_ASM[[#This Row],[% Complete]]</f>
        <v>#VALUE!</v>
      </c>
      <c r="M111" s="59" t="str">
        <f>IFERROR(tbl_ASM[[#This Row],[Qty Complete]]/tbl_ASM[[#This Row],[Total Hours Act]]*tbl_ASM[[#This Row],['# of men Act]],"")</f>
        <v/>
      </c>
      <c r="O111"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11" s="71" t="str">
        <f>IFERROR((tbl_ASM[[#This Row],[Adj. Total Hours]]+tbl_ASM[[#This Row],[Est. Hours]])/(tbl_ASM[[#This Row],[Total Hours Act]]+tbl_ASM[[#This Row],[Act. Hours]]),"")</f>
        <v/>
      </c>
      <c r="S111" s="63"/>
      <c r="T111" s="63"/>
      <c r="U111" s="63"/>
      <c r="V111" s="63"/>
      <c r="W111" s="63"/>
    </row>
    <row r="112" spans="6:23" ht="25" customHeight="1">
      <c r="F112" s="53"/>
      <c r="H112" s="55" t="e">
        <f>tbl_ASM[[#This Row],[Qty Complete]]/tbl_ASM[[#This Row],[Qty Required]]</f>
        <v>#DIV/0!</v>
      </c>
      <c r="K112" s="57" t="str">
        <f>IFERROR(tbl_ASM[[#This Row],[Qty Required]]/tbl_ASM[[#This Row],[PPH]]*tbl_ASM[[#This Row],['# of men]],"")</f>
        <v/>
      </c>
      <c r="L112" s="58" t="e">
        <f>tbl_ASM[[#This Row],[Total hours]]*tbl_ASM[[#This Row],[% Complete]]</f>
        <v>#VALUE!</v>
      </c>
      <c r="M112" s="59" t="str">
        <f>IFERROR(tbl_ASM[[#This Row],[Qty Complete]]/tbl_ASM[[#This Row],[Total Hours Act]]*tbl_ASM[[#This Row],['# of men Act]],"")</f>
        <v/>
      </c>
      <c r="O112"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12" s="71" t="str">
        <f>IFERROR((tbl_ASM[[#This Row],[Adj. Total Hours]]+tbl_ASM[[#This Row],[Est. Hours]])/(tbl_ASM[[#This Row],[Total Hours Act]]+tbl_ASM[[#This Row],[Act. Hours]]),"")</f>
        <v/>
      </c>
      <c r="S112" s="63"/>
      <c r="T112" s="63"/>
      <c r="U112" s="63"/>
      <c r="V112" s="63"/>
      <c r="W112" s="63"/>
    </row>
    <row r="113" spans="6:23" ht="25" customHeight="1">
      <c r="F113" s="53"/>
      <c r="H113" s="55" t="e">
        <f>tbl_ASM[[#This Row],[Qty Complete]]/tbl_ASM[[#This Row],[Qty Required]]</f>
        <v>#DIV/0!</v>
      </c>
      <c r="K113" s="57" t="str">
        <f>IFERROR(tbl_ASM[[#This Row],[Qty Required]]/tbl_ASM[[#This Row],[PPH]]*tbl_ASM[[#This Row],['# of men]],"")</f>
        <v/>
      </c>
      <c r="L113" s="58" t="e">
        <f>tbl_ASM[[#This Row],[Total hours]]*tbl_ASM[[#This Row],[% Complete]]</f>
        <v>#VALUE!</v>
      </c>
      <c r="M113" s="59" t="str">
        <f>IFERROR(tbl_ASM[[#This Row],[Qty Complete]]/tbl_ASM[[#This Row],[Total Hours Act]]*tbl_ASM[[#This Row],['# of men Act]],"")</f>
        <v/>
      </c>
      <c r="O113"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13" s="71" t="str">
        <f>IFERROR((tbl_ASM[[#This Row],[Adj. Total Hours]]+tbl_ASM[[#This Row],[Est. Hours]])/(tbl_ASM[[#This Row],[Total Hours Act]]+tbl_ASM[[#This Row],[Act. Hours]]),"")</f>
        <v/>
      </c>
      <c r="S113" s="63"/>
      <c r="T113" s="63"/>
      <c r="U113" s="63"/>
      <c r="V113" s="63"/>
      <c r="W113" s="63"/>
    </row>
    <row r="114" spans="6:23" ht="25" customHeight="1">
      <c r="F114" s="53"/>
      <c r="H114" s="55" t="e">
        <f>tbl_ASM[[#This Row],[Qty Complete]]/tbl_ASM[[#This Row],[Qty Required]]</f>
        <v>#DIV/0!</v>
      </c>
      <c r="K114" s="57" t="str">
        <f>IFERROR(tbl_ASM[[#This Row],[Qty Required]]/tbl_ASM[[#This Row],[PPH]]*tbl_ASM[[#This Row],['# of men]],"")</f>
        <v/>
      </c>
      <c r="L114" s="58" t="e">
        <f>tbl_ASM[[#This Row],[Total hours]]*tbl_ASM[[#This Row],[% Complete]]</f>
        <v>#VALUE!</v>
      </c>
      <c r="M114" s="59" t="str">
        <f>IFERROR(tbl_ASM[[#This Row],[Qty Complete]]/tbl_ASM[[#This Row],[Total Hours Act]]*tbl_ASM[[#This Row],['# of men Act]],"")</f>
        <v/>
      </c>
      <c r="O114"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14" s="71" t="str">
        <f>IFERROR((tbl_ASM[[#This Row],[Adj. Total Hours]]+tbl_ASM[[#This Row],[Est. Hours]])/(tbl_ASM[[#This Row],[Total Hours Act]]+tbl_ASM[[#This Row],[Act. Hours]]),"")</f>
        <v/>
      </c>
      <c r="S114" s="63"/>
      <c r="T114" s="63"/>
      <c r="U114" s="63"/>
      <c r="V114" s="63"/>
      <c r="W114" s="63"/>
    </row>
    <row r="115" spans="6:23" ht="25" customHeight="1">
      <c r="F115" s="53"/>
      <c r="H115" s="55" t="e">
        <f>tbl_ASM[[#This Row],[Qty Complete]]/tbl_ASM[[#This Row],[Qty Required]]</f>
        <v>#DIV/0!</v>
      </c>
      <c r="K115" s="57" t="str">
        <f>IFERROR(tbl_ASM[[#This Row],[Qty Required]]/tbl_ASM[[#This Row],[PPH]]*tbl_ASM[[#This Row],['# of men]],"")</f>
        <v/>
      </c>
      <c r="L115" s="58" t="e">
        <f>tbl_ASM[[#This Row],[Total hours]]*tbl_ASM[[#This Row],[% Complete]]</f>
        <v>#VALUE!</v>
      </c>
      <c r="M115" s="59" t="str">
        <f>IFERROR(tbl_ASM[[#This Row],[Qty Complete]]/tbl_ASM[[#This Row],[Total Hours Act]]*tbl_ASM[[#This Row],['# of men Act]],"")</f>
        <v/>
      </c>
      <c r="O115"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15" s="71" t="str">
        <f>IFERROR((tbl_ASM[[#This Row],[Adj. Total Hours]]+tbl_ASM[[#This Row],[Est. Hours]])/(tbl_ASM[[#This Row],[Total Hours Act]]+tbl_ASM[[#This Row],[Act. Hours]]),"")</f>
        <v/>
      </c>
      <c r="S115" s="63"/>
      <c r="T115" s="63"/>
      <c r="U115" s="63"/>
      <c r="V115" s="63"/>
      <c r="W115" s="63"/>
    </row>
    <row r="116" spans="6:23" ht="25" customHeight="1">
      <c r="F116" s="53"/>
      <c r="H116" s="55" t="e">
        <f>tbl_ASM[[#This Row],[Qty Complete]]/tbl_ASM[[#This Row],[Qty Required]]</f>
        <v>#DIV/0!</v>
      </c>
      <c r="K116" s="57" t="str">
        <f>IFERROR(tbl_ASM[[#This Row],[Qty Required]]/tbl_ASM[[#This Row],[PPH]]*tbl_ASM[[#This Row],['# of men]],"")</f>
        <v/>
      </c>
      <c r="L116" s="58" t="e">
        <f>tbl_ASM[[#This Row],[Total hours]]*tbl_ASM[[#This Row],[% Complete]]</f>
        <v>#VALUE!</v>
      </c>
      <c r="M116" s="59" t="str">
        <f>IFERROR(tbl_ASM[[#This Row],[Qty Complete]]/tbl_ASM[[#This Row],[Total Hours Act]]*tbl_ASM[[#This Row],['# of men Act]],"")</f>
        <v/>
      </c>
      <c r="O116"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16" s="71" t="str">
        <f>IFERROR((tbl_ASM[[#This Row],[Adj. Total Hours]]+tbl_ASM[[#This Row],[Est. Hours]])/(tbl_ASM[[#This Row],[Total Hours Act]]+tbl_ASM[[#This Row],[Act. Hours]]),"")</f>
        <v/>
      </c>
      <c r="S116" s="63"/>
      <c r="T116" s="63"/>
      <c r="U116" s="63"/>
      <c r="V116" s="63"/>
      <c r="W116" s="63"/>
    </row>
    <row r="117" spans="6:23" ht="25" customHeight="1">
      <c r="F117" s="53"/>
      <c r="H117" s="55" t="e">
        <f>tbl_ASM[[#This Row],[Qty Complete]]/tbl_ASM[[#This Row],[Qty Required]]</f>
        <v>#DIV/0!</v>
      </c>
      <c r="K117" s="57" t="str">
        <f>IFERROR(tbl_ASM[[#This Row],[Qty Required]]/tbl_ASM[[#This Row],[PPH]]*tbl_ASM[[#This Row],['# of men]],"")</f>
        <v/>
      </c>
      <c r="L117" s="58" t="e">
        <f>tbl_ASM[[#This Row],[Total hours]]*tbl_ASM[[#This Row],[% Complete]]</f>
        <v>#VALUE!</v>
      </c>
      <c r="M117" s="59" t="str">
        <f>IFERROR(tbl_ASM[[#This Row],[Qty Complete]]/tbl_ASM[[#This Row],[Total Hours Act]]*tbl_ASM[[#This Row],['# of men Act]],"")</f>
        <v/>
      </c>
      <c r="O117"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17" s="71" t="str">
        <f>IFERROR((tbl_ASM[[#This Row],[Adj. Total Hours]]+tbl_ASM[[#This Row],[Est. Hours]])/(tbl_ASM[[#This Row],[Total Hours Act]]+tbl_ASM[[#This Row],[Act. Hours]]),"")</f>
        <v/>
      </c>
      <c r="S117" s="63"/>
      <c r="T117" s="63"/>
      <c r="U117" s="63"/>
      <c r="V117" s="63"/>
      <c r="W117" s="63"/>
    </row>
    <row r="118" spans="6:23" ht="25" customHeight="1">
      <c r="F118" s="53"/>
      <c r="H118" s="55" t="e">
        <f>tbl_ASM[[#This Row],[Qty Complete]]/tbl_ASM[[#This Row],[Qty Required]]</f>
        <v>#DIV/0!</v>
      </c>
      <c r="K118" s="57" t="str">
        <f>IFERROR(tbl_ASM[[#This Row],[Qty Required]]/tbl_ASM[[#This Row],[PPH]]*tbl_ASM[[#This Row],['# of men]],"")</f>
        <v/>
      </c>
      <c r="L118" s="58" t="e">
        <f>tbl_ASM[[#This Row],[Total hours]]*tbl_ASM[[#This Row],[% Complete]]</f>
        <v>#VALUE!</v>
      </c>
      <c r="M118" s="59" t="str">
        <f>IFERROR(tbl_ASM[[#This Row],[Qty Complete]]/tbl_ASM[[#This Row],[Total Hours Act]]*tbl_ASM[[#This Row],['# of men Act]],"")</f>
        <v/>
      </c>
      <c r="O118"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18" s="71" t="str">
        <f>IFERROR((tbl_ASM[[#This Row],[Adj. Total Hours]]+tbl_ASM[[#This Row],[Est. Hours]])/(tbl_ASM[[#This Row],[Total Hours Act]]+tbl_ASM[[#This Row],[Act. Hours]]),"")</f>
        <v/>
      </c>
      <c r="S118" s="63"/>
      <c r="T118" s="63"/>
      <c r="U118" s="63"/>
      <c r="V118" s="63"/>
      <c r="W118" s="63"/>
    </row>
    <row r="119" spans="6:23" ht="25" customHeight="1">
      <c r="F119" s="53"/>
      <c r="H119" s="55" t="e">
        <f>tbl_ASM[[#This Row],[Qty Complete]]/tbl_ASM[[#This Row],[Qty Required]]</f>
        <v>#DIV/0!</v>
      </c>
      <c r="K119" s="57" t="str">
        <f>IFERROR(tbl_ASM[[#This Row],[Qty Required]]/tbl_ASM[[#This Row],[PPH]]*tbl_ASM[[#This Row],['# of men]],"")</f>
        <v/>
      </c>
      <c r="L119" s="58" t="e">
        <f>tbl_ASM[[#This Row],[Total hours]]*tbl_ASM[[#This Row],[% Complete]]</f>
        <v>#VALUE!</v>
      </c>
      <c r="M119" s="59" t="str">
        <f>IFERROR(tbl_ASM[[#This Row],[Qty Complete]]/tbl_ASM[[#This Row],[Total Hours Act]]*tbl_ASM[[#This Row],['# of men Act]],"")</f>
        <v/>
      </c>
      <c r="O119"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19" s="71" t="str">
        <f>IFERROR((tbl_ASM[[#This Row],[Adj. Total Hours]]+tbl_ASM[[#This Row],[Est. Hours]])/(tbl_ASM[[#This Row],[Total Hours Act]]+tbl_ASM[[#This Row],[Act. Hours]]),"")</f>
        <v/>
      </c>
      <c r="S119" s="63"/>
      <c r="T119" s="63"/>
      <c r="U119" s="63"/>
      <c r="V119" s="63"/>
      <c r="W119" s="63"/>
    </row>
    <row r="120" spans="6:23" ht="25" customHeight="1">
      <c r="F120" s="53"/>
      <c r="H120" s="55" t="e">
        <f>tbl_ASM[[#This Row],[Qty Complete]]/tbl_ASM[[#This Row],[Qty Required]]</f>
        <v>#DIV/0!</v>
      </c>
      <c r="K120" s="57" t="str">
        <f>IFERROR(tbl_ASM[[#This Row],[Qty Required]]/tbl_ASM[[#This Row],[PPH]]*tbl_ASM[[#This Row],['# of men]],"")</f>
        <v/>
      </c>
      <c r="L120" s="58" t="e">
        <f>tbl_ASM[[#This Row],[Total hours]]*tbl_ASM[[#This Row],[% Complete]]</f>
        <v>#VALUE!</v>
      </c>
      <c r="M120" s="59" t="str">
        <f>IFERROR(tbl_ASM[[#This Row],[Qty Complete]]/tbl_ASM[[#This Row],[Total Hours Act]]*tbl_ASM[[#This Row],['# of men Act]],"")</f>
        <v/>
      </c>
      <c r="O120"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20" s="71" t="str">
        <f>IFERROR((tbl_ASM[[#This Row],[Adj. Total Hours]]+tbl_ASM[[#This Row],[Est. Hours]])/(tbl_ASM[[#This Row],[Total Hours Act]]+tbl_ASM[[#This Row],[Act. Hours]]),"")</f>
        <v/>
      </c>
      <c r="S120" s="63"/>
      <c r="T120" s="63"/>
      <c r="U120" s="63"/>
      <c r="V120" s="63"/>
      <c r="W120" s="63"/>
    </row>
    <row r="121" spans="6:23" ht="25" customHeight="1">
      <c r="F121" s="53"/>
      <c r="H121" s="55" t="e">
        <f>tbl_ASM[[#This Row],[Qty Complete]]/tbl_ASM[[#This Row],[Qty Required]]</f>
        <v>#DIV/0!</v>
      </c>
      <c r="K121" s="57" t="str">
        <f>IFERROR(tbl_ASM[[#This Row],[Qty Required]]/tbl_ASM[[#This Row],[PPH]]*tbl_ASM[[#This Row],['# of men]],"")</f>
        <v/>
      </c>
      <c r="L121" s="58" t="e">
        <f>tbl_ASM[[#This Row],[Total hours]]*tbl_ASM[[#This Row],[% Complete]]</f>
        <v>#VALUE!</v>
      </c>
      <c r="M121" s="59" t="str">
        <f>IFERROR(tbl_ASM[[#This Row],[Qty Complete]]/tbl_ASM[[#This Row],[Total Hours Act]]*tbl_ASM[[#This Row],['# of men Act]],"")</f>
        <v/>
      </c>
      <c r="O121"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21" s="71" t="str">
        <f>IFERROR((tbl_ASM[[#This Row],[Adj. Total Hours]]+tbl_ASM[[#This Row],[Est. Hours]])/(tbl_ASM[[#This Row],[Total Hours Act]]+tbl_ASM[[#This Row],[Act. Hours]]),"")</f>
        <v/>
      </c>
      <c r="S121" s="63"/>
      <c r="T121" s="63"/>
      <c r="U121" s="63"/>
      <c r="V121" s="63"/>
      <c r="W121" s="63"/>
    </row>
    <row r="122" spans="6:23" ht="25" customHeight="1">
      <c r="F122" s="53"/>
      <c r="H122" s="55" t="e">
        <f>tbl_ASM[[#This Row],[Qty Complete]]/tbl_ASM[[#This Row],[Qty Required]]</f>
        <v>#DIV/0!</v>
      </c>
      <c r="K122" s="57" t="str">
        <f>IFERROR(tbl_ASM[[#This Row],[Qty Required]]/tbl_ASM[[#This Row],[PPH]]*tbl_ASM[[#This Row],['# of men]],"")</f>
        <v/>
      </c>
      <c r="L122" s="58" t="e">
        <f>tbl_ASM[[#This Row],[Total hours]]*tbl_ASM[[#This Row],[% Complete]]</f>
        <v>#VALUE!</v>
      </c>
      <c r="M122" s="59" t="str">
        <f>IFERROR(tbl_ASM[[#This Row],[Qty Complete]]/tbl_ASM[[#This Row],[Total Hours Act]]*tbl_ASM[[#This Row],['# of men Act]],"")</f>
        <v/>
      </c>
      <c r="O122"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22" s="71" t="str">
        <f>IFERROR((tbl_ASM[[#This Row],[Adj. Total Hours]]+tbl_ASM[[#This Row],[Est. Hours]])/(tbl_ASM[[#This Row],[Total Hours Act]]+tbl_ASM[[#This Row],[Act. Hours]]),"")</f>
        <v/>
      </c>
      <c r="S122" s="63"/>
      <c r="T122" s="63"/>
      <c r="U122" s="63"/>
      <c r="V122" s="63"/>
      <c r="W122" s="63"/>
    </row>
    <row r="123" spans="6:23" ht="25" customHeight="1">
      <c r="F123" s="53"/>
      <c r="H123" s="55" t="e">
        <f>tbl_ASM[[#This Row],[Qty Complete]]/tbl_ASM[[#This Row],[Qty Required]]</f>
        <v>#DIV/0!</v>
      </c>
      <c r="K123" s="57" t="str">
        <f>IFERROR(tbl_ASM[[#This Row],[Qty Required]]/tbl_ASM[[#This Row],[PPH]]*tbl_ASM[[#This Row],['# of men]],"")</f>
        <v/>
      </c>
      <c r="L123" s="58" t="e">
        <f>tbl_ASM[[#This Row],[Total hours]]*tbl_ASM[[#This Row],[% Complete]]</f>
        <v>#VALUE!</v>
      </c>
      <c r="M123" s="59" t="str">
        <f>IFERROR(tbl_ASM[[#This Row],[Qty Complete]]/tbl_ASM[[#This Row],[Total Hours Act]]*tbl_ASM[[#This Row],['# of men Act]],"")</f>
        <v/>
      </c>
      <c r="O123"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23" s="71" t="str">
        <f>IFERROR((tbl_ASM[[#This Row],[Adj. Total Hours]]+tbl_ASM[[#This Row],[Est. Hours]])/(tbl_ASM[[#This Row],[Total Hours Act]]+tbl_ASM[[#This Row],[Act. Hours]]),"")</f>
        <v/>
      </c>
      <c r="S123" s="63"/>
      <c r="T123" s="63"/>
      <c r="U123" s="63"/>
      <c r="V123" s="63"/>
      <c r="W123" s="63"/>
    </row>
    <row r="124" spans="6:23" ht="25" customHeight="1">
      <c r="F124" s="53"/>
      <c r="H124" s="55" t="e">
        <f>tbl_ASM[[#This Row],[Qty Complete]]/tbl_ASM[[#This Row],[Qty Required]]</f>
        <v>#DIV/0!</v>
      </c>
      <c r="K124" s="57" t="str">
        <f>IFERROR(tbl_ASM[[#This Row],[Qty Required]]/tbl_ASM[[#This Row],[PPH]]*tbl_ASM[[#This Row],['# of men]],"")</f>
        <v/>
      </c>
      <c r="L124" s="58" t="e">
        <f>tbl_ASM[[#This Row],[Total hours]]*tbl_ASM[[#This Row],[% Complete]]</f>
        <v>#VALUE!</v>
      </c>
      <c r="M124" s="59" t="str">
        <f>IFERROR(tbl_ASM[[#This Row],[Qty Complete]]/tbl_ASM[[#This Row],[Total Hours Act]]*tbl_ASM[[#This Row],['# of men Act]],"")</f>
        <v/>
      </c>
      <c r="O124"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24" s="71" t="str">
        <f>IFERROR((tbl_ASM[[#This Row],[Adj. Total Hours]]+tbl_ASM[[#This Row],[Est. Hours]])/(tbl_ASM[[#This Row],[Total Hours Act]]+tbl_ASM[[#This Row],[Act. Hours]]),"")</f>
        <v/>
      </c>
      <c r="S124" s="63"/>
      <c r="T124" s="63"/>
      <c r="U124" s="63"/>
      <c r="V124" s="63"/>
      <c r="W124" s="63"/>
    </row>
    <row r="125" spans="6:23" ht="25" customHeight="1">
      <c r="F125" s="53"/>
      <c r="H125" s="55" t="e">
        <f>tbl_ASM[[#This Row],[Qty Complete]]/tbl_ASM[[#This Row],[Qty Required]]</f>
        <v>#DIV/0!</v>
      </c>
      <c r="K125" s="57" t="str">
        <f>IFERROR(tbl_ASM[[#This Row],[Qty Required]]/tbl_ASM[[#This Row],[PPH]]*tbl_ASM[[#This Row],['# of men]],"")</f>
        <v/>
      </c>
      <c r="L125" s="58" t="e">
        <f>tbl_ASM[[#This Row],[Total hours]]*tbl_ASM[[#This Row],[% Complete]]</f>
        <v>#VALUE!</v>
      </c>
      <c r="M125" s="59" t="str">
        <f>IFERROR(tbl_ASM[[#This Row],[Qty Complete]]/tbl_ASM[[#This Row],[Total Hours Act]]*tbl_ASM[[#This Row],['# of men Act]],"")</f>
        <v/>
      </c>
      <c r="O125"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25" s="71" t="str">
        <f>IFERROR((tbl_ASM[[#This Row],[Adj. Total Hours]]+tbl_ASM[[#This Row],[Est. Hours]])/(tbl_ASM[[#This Row],[Total Hours Act]]+tbl_ASM[[#This Row],[Act. Hours]]),"")</f>
        <v/>
      </c>
      <c r="S125" s="63"/>
      <c r="T125" s="63"/>
      <c r="U125" s="63"/>
      <c r="V125" s="63"/>
      <c r="W125" s="63"/>
    </row>
    <row r="126" spans="6:23" ht="25" customHeight="1">
      <c r="F126" s="53"/>
      <c r="H126" s="55" t="e">
        <f>tbl_ASM[[#This Row],[Qty Complete]]/tbl_ASM[[#This Row],[Qty Required]]</f>
        <v>#DIV/0!</v>
      </c>
      <c r="K126" s="57" t="str">
        <f>IFERROR(tbl_ASM[[#This Row],[Qty Required]]/tbl_ASM[[#This Row],[PPH]]*tbl_ASM[[#This Row],['# of men]],"")</f>
        <v/>
      </c>
      <c r="L126" s="58" t="e">
        <f>tbl_ASM[[#This Row],[Total hours]]*tbl_ASM[[#This Row],[% Complete]]</f>
        <v>#VALUE!</v>
      </c>
      <c r="M126" s="59" t="str">
        <f>IFERROR(tbl_ASM[[#This Row],[Qty Complete]]/tbl_ASM[[#This Row],[Total Hours Act]]*tbl_ASM[[#This Row],['# of men Act]],"")</f>
        <v/>
      </c>
      <c r="O126"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26" s="71" t="str">
        <f>IFERROR((tbl_ASM[[#This Row],[Adj. Total Hours]]+tbl_ASM[[#This Row],[Est. Hours]])/(tbl_ASM[[#This Row],[Total Hours Act]]+tbl_ASM[[#This Row],[Act. Hours]]),"")</f>
        <v/>
      </c>
      <c r="S126" s="63"/>
      <c r="T126" s="63"/>
      <c r="U126" s="63"/>
      <c r="V126" s="63"/>
      <c r="W126" s="63"/>
    </row>
    <row r="127" spans="6:23" ht="25" customHeight="1">
      <c r="F127" s="53"/>
      <c r="H127" s="55" t="e">
        <f>tbl_ASM[[#This Row],[Qty Complete]]/tbl_ASM[[#This Row],[Qty Required]]</f>
        <v>#DIV/0!</v>
      </c>
      <c r="K127" s="57" t="str">
        <f>IFERROR(tbl_ASM[[#This Row],[Qty Required]]/tbl_ASM[[#This Row],[PPH]]*tbl_ASM[[#This Row],['# of men]],"")</f>
        <v/>
      </c>
      <c r="L127" s="58" t="e">
        <f>tbl_ASM[[#This Row],[Total hours]]*tbl_ASM[[#This Row],[% Complete]]</f>
        <v>#VALUE!</v>
      </c>
      <c r="M127" s="59" t="str">
        <f>IFERROR(tbl_ASM[[#This Row],[Qty Complete]]/tbl_ASM[[#This Row],[Total Hours Act]]*tbl_ASM[[#This Row],['# of men Act]],"")</f>
        <v/>
      </c>
      <c r="O127"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27" s="71" t="str">
        <f>IFERROR((tbl_ASM[[#This Row],[Adj. Total Hours]]+tbl_ASM[[#This Row],[Est. Hours]])/(tbl_ASM[[#This Row],[Total Hours Act]]+tbl_ASM[[#This Row],[Act. Hours]]),"")</f>
        <v/>
      </c>
      <c r="S127" s="63"/>
      <c r="T127" s="63"/>
      <c r="U127" s="63"/>
      <c r="V127" s="63"/>
      <c r="W127" s="63"/>
    </row>
    <row r="128" spans="6:23" ht="25" customHeight="1">
      <c r="F128" s="53"/>
      <c r="H128" s="55" t="e">
        <f>tbl_ASM[[#This Row],[Qty Complete]]/tbl_ASM[[#This Row],[Qty Required]]</f>
        <v>#DIV/0!</v>
      </c>
      <c r="K128" s="57" t="str">
        <f>IFERROR(tbl_ASM[[#This Row],[Qty Required]]/tbl_ASM[[#This Row],[PPH]]*tbl_ASM[[#This Row],['# of men]],"")</f>
        <v/>
      </c>
      <c r="L128" s="58" t="e">
        <f>tbl_ASM[[#This Row],[Total hours]]*tbl_ASM[[#This Row],[% Complete]]</f>
        <v>#VALUE!</v>
      </c>
      <c r="M128" s="59" t="str">
        <f>IFERROR(tbl_ASM[[#This Row],[Qty Complete]]/tbl_ASM[[#This Row],[Total Hours Act]]*tbl_ASM[[#This Row],['# of men Act]],"")</f>
        <v/>
      </c>
      <c r="O128"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28" s="71" t="str">
        <f>IFERROR((tbl_ASM[[#This Row],[Adj. Total Hours]]+tbl_ASM[[#This Row],[Est. Hours]])/(tbl_ASM[[#This Row],[Total Hours Act]]+tbl_ASM[[#This Row],[Act. Hours]]),"")</f>
        <v/>
      </c>
      <c r="S128" s="63"/>
      <c r="T128" s="63"/>
      <c r="U128" s="63"/>
      <c r="V128" s="63"/>
      <c r="W128" s="63"/>
    </row>
    <row r="129" spans="6:23" ht="25" customHeight="1">
      <c r="F129" s="53"/>
      <c r="H129" s="55" t="e">
        <f>tbl_ASM[[#This Row],[Qty Complete]]/tbl_ASM[[#This Row],[Qty Required]]</f>
        <v>#DIV/0!</v>
      </c>
      <c r="K129" s="57" t="str">
        <f>IFERROR(tbl_ASM[[#This Row],[Qty Required]]/tbl_ASM[[#This Row],[PPH]]*tbl_ASM[[#This Row],['# of men]],"")</f>
        <v/>
      </c>
      <c r="L129" s="58" t="e">
        <f>tbl_ASM[[#This Row],[Total hours]]*tbl_ASM[[#This Row],[% Complete]]</f>
        <v>#VALUE!</v>
      </c>
      <c r="M129" s="59" t="str">
        <f>IFERROR(tbl_ASM[[#This Row],[Qty Complete]]/tbl_ASM[[#This Row],[Total Hours Act]]*tbl_ASM[[#This Row],['# of men Act]],"")</f>
        <v/>
      </c>
      <c r="O129"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29" s="71" t="str">
        <f>IFERROR((tbl_ASM[[#This Row],[Adj. Total Hours]]+tbl_ASM[[#This Row],[Est. Hours]])/(tbl_ASM[[#This Row],[Total Hours Act]]+tbl_ASM[[#This Row],[Act. Hours]]),"")</f>
        <v/>
      </c>
      <c r="S129" s="63"/>
      <c r="T129" s="63"/>
      <c r="U129" s="63"/>
      <c r="V129" s="63"/>
      <c r="W129" s="63"/>
    </row>
    <row r="130" spans="6:23" ht="25" customHeight="1">
      <c r="F130" s="53"/>
      <c r="H130" s="55" t="e">
        <f>tbl_ASM[[#This Row],[Qty Complete]]/tbl_ASM[[#This Row],[Qty Required]]</f>
        <v>#DIV/0!</v>
      </c>
      <c r="K130" s="57" t="str">
        <f>IFERROR(tbl_ASM[[#This Row],[Qty Required]]/tbl_ASM[[#This Row],[PPH]]*tbl_ASM[[#This Row],['# of men]],"")</f>
        <v/>
      </c>
      <c r="L130" s="58" t="e">
        <f>tbl_ASM[[#This Row],[Total hours]]*tbl_ASM[[#This Row],[% Complete]]</f>
        <v>#VALUE!</v>
      </c>
      <c r="M130" s="59" t="str">
        <f>IFERROR(tbl_ASM[[#This Row],[Qty Complete]]/tbl_ASM[[#This Row],[Total Hours Act]]*tbl_ASM[[#This Row],['# of men Act]],"")</f>
        <v/>
      </c>
      <c r="O130"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30" s="71" t="str">
        <f>IFERROR((tbl_ASM[[#This Row],[Adj. Total Hours]]+tbl_ASM[[#This Row],[Est. Hours]])/(tbl_ASM[[#This Row],[Total Hours Act]]+tbl_ASM[[#This Row],[Act. Hours]]),"")</f>
        <v/>
      </c>
      <c r="S130" s="63"/>
      <c r="T130" s="63"/>
      <c r="U130" s="63"/>
      <c r="V130" s="63"/>
      <c r="W130" s="63"/>
    </row>
    <row r="131" spans="6:23" ht="25" customHeight="1">
      <c r="F131" s="53"/>
      <c r="H131" s="55" t="e">
        <f>tbl_ASM[[#This Row],[Qty Complete]]/tbl_ASM[[#This Row],[Qty Required]]</f>
        <v>#DIV/0!</v>
      </c>
      <c r="K131" s="57" t="str">
        <f>IFERROR(tbl_ASM[[#This Row],[Qty Required]]/tbl_ASM[[#This Row],[PPH]]*tbl_ASM[[#This Row],['# of men]],"")</f>
        <v/>
      </c>
      <c r="L131" s="58" t="e">
        <f>tbl_ASM[[#This Row],[Total hours]]*tbl_ASM[[#This Row],[% Complete]]</f>
        <v>#VALUE!</v>
      </c>
      <c r="M131" s="59" t="str">
        <f>IFERROR(tbl_ASM[[#This Row],[Qty Complete]]/tbl_ASM[[#This Row],[Total Hours Act]]*tbl_ASM[[#This Row],['# of men Act]],"")</f>
        <v/>
      </c>
      <c r="O131"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31" s="71" t="str">
        <f>IFERROR((tbl_ASM[[#This Row],[Adj. Total Hours]]+tbl_ASM[[#This Row],[Est. Hours]])/(tbl_ASM[[#This Row],[Total Hours Act]]+tbl_ASM[[#This Row],[Act. Hours]]),"")</f>
        <v/>
      </c>
      <c r="S131" s="63"/>
      <c r="T131" s="63"/>
      <c r="U131" s="63"/>
      <c r="V131" s="63"/>
      <c r="W131" s="63"/>
    </row>
    <row r="132" spans="6:23" ht="25" customHeight="1">
      <c r="F132" s="53"/>
      <c r="H132" s="55" t="e">
        <f>tbl_ASM[[#This Row],[Qty Complete]]/tbl_ASM[[#This Row],[Qty Required]]</f>
        <v>#DIV/0!</v>
      </c>
      <c r="K132" s="57" t="str">
        <f>IFERROR(tbl_ASM[[#This Row],[Qty Required]]/tbl_ASM[[#This Row],[PPH]]*tbl_ASM[[#This Row],['# of men]],"")</f>
        <v/>
      </c>
      <c r="L132" s="58" t="e">
        <f>tbl_ASM[[#This Row],[Total hours]]*tbl_ASM[[#This Row],[% Complete]]</f>
        <v>#VALUE!</v>
      </c>
      <c r="M132" s="59" t="str">
        <f>IFERROR(tbl_ASM[[#This Row],[Qty Complete]]/tbl_ASM[[#This Row],[Total Hours Act]]*tbl_ASM[[#This Row],['# of men Act]],"")</f>
        <v/>
      </c>
      <c r="O132"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32" s="71" t="str">
        <f>IFERROR((tbl_ASM[[#This Row],[Adj. Total Hours]]+tbl_ASM[[#This Row],[Est. Hours]])/(tbl_ASM[[#This Row],[Total Hours Act]]+tbl_ASM[[#This Row],[Act. Hours]]),"")</f>
        <v/>
      </c>
      <c r="S132" s="63"/>
      <c r="T132" s="63"/>
      <c r="U132" s="63"/>
      <c r="V132" s="63"/>
      <c r="W132" s="63"/>
    </row>
    <row r="133" spans="6:23" ht="25" customHeight="1">
      <c r="F133" s="53"/>
      <c r="H133" s="55" t="e">
        <f>tbl_ASM[[#This Row],[Qty Complete]]/tbl_ASM[[#This Row],[Qty Required]]</f>
        <v>#DIV/0!</v>
      </c>
      <c r="K133" s="57" t="str">
        <f>IFERROR(tbl_ASM[[#This Row],[Qty Required]]/tbl_ASM[[#This Row],[PPH]]*tbl_ASM[[#This Row],['# of men]],"")</f>
        <v/>
      </c>
      <c r="L133" s="58" t="e">
        <f>tbl_ASM[[#This Row],[Total hours]]*tbl_ASM[[#This Row],[% Complete]]</f>
        <v>#VALUE!</v>
      </c>
      <c r="M133" s="59" t="str">
        <f>IFERROR(tbl_ASM[[#This Row],[Qty Complete]]/tbl_ASM[[#This Row],[Total Hours Act]]*tbl_ASM[[#This Row],['# of men Act]],"")</f>
        <v/>
      </c>
      <c r="O133"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33" s="71" t="str">
        <f>IFERROR((tbl_ASM[[#This Row],[Adj. Total Hours]]+tbl_ASM[[#This Row],[Est. Hours]])/(tbl_ASM[[#This Row],[Total Hours Act]]+tbl_ASM[[#This Row],[Act. Hours]]),"")</f>
        <v/>
      </c>
      <c r="S133" s="63"/>
      <c r="T133" s="63"/>
      <c r="U133" s="63"/>
      <c r="V133" s="63"/>
      <c r="W133" s="63"/>
    </row>
    <row r="134" spans="6:23" ht="25" customHeight="1">
      <c r="F134" s="53"/>
      <c r="H134" s="55" t="e">
        <f>tbl_ASM[[#This Row],[Qty Complete]]/tbl_ASM[[#This Row],[Qty Required]]</f>
        <v>#DIV/0!</v>
      </c>
      <c r="K134" s="57" t="str">
        <f>IFERROR(tbl_ASM[[#This Row],[Qty Required]]/tbl_ASM[[#This Row],[PPH]]*tbl_ASM[[#This Row],['# of men]],"")</f>
        <v/>
      </c>
      <c r="L134" s="58" t="e">
        <f>tbl_ASM[[#This Row],[Total hours]]*tbl_ASM[[#This Row],[% Complete]]</f>
        <v>#VALUE!</v>
      </c>
      <c r="M134" s="59" t="str">
        <f>IFERROR(tbl_ASM[[#This Row],[Qty Complete]]/tbl_ASM[[#This Row],[Total Hours Act]]*tbl_ASM[[#This Row],['# of men Act]],"")</f>
        <v/>
      </c>
      <c r="O134"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34" s="71" t="str">
        <f>IFERROR((tbl_ASM[[#This Row],[Adj. Total Hours]]+tbl_ASM[[#This Row],[Est. Hours]])/(tbl_ASM[[#This Row],[Total Hours Act]]+tbl_ASM[[#This Row],[Act. Hours]]),"")</f>
        <v/>
      </c>
      <c r="S134" s="63"/>
      <c r="T134" s="63"/>
      <c r="U134" s="63"/>
      <c r="V134" s="63"/>
      <c r="W134" s="63"/>
    </row>
    <row r="135" spans="6:23" ht="25" customHeight="1">
      <c r="F135" s="53"/>
      <c r="H135" s="55" t="e">
        <f>tbl_ASM[[#This Row],[Qty Complete]]/tbl_ASM[[#This Row],[Qty Required]]</f>
        <v>#DIV/0!</v>
      </c>
      <c r="K135" s="57" t="str">
        <f>IFERROR(tbl_ASM[[#This Row],[Qty Required]]/tbl_ASM[[#This Row],[PPH]]*tbl_ASM[[#This Row],['# of men]],"")</f>
        <v/>
      </c>
      <c r="L135" s="58" t="e">
        <f>tbl_ASM[[#This Row],[Total hours]]*tbl_ASM[[#This Row],[% Complete]]</f>
        <v>#VALUE!</v>
      </c>
      <c r="M135" s="59" t="str">
        <f>IFERROR(tbl_ASM[[#This Row],[Qty Complete]]/tbl_ASM[[#This Row],[Total Hours Act]]*tbl_ASM[[#This Row],['# of men Act]],"")</f>
        <v/>
      </c>
      <c r="O135"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35" s="71" t="str">
        <f>IFERROR((tbl_ASM[[#This Row],[Adj. Total Hours]]+tbl_ASM[[#This Row],[Est. Hours]])/(tbl_ASM[[#This Row],[Total Hours Act]]+tbl_ASM[[#This Row],[Act. Hours]]),"")</f>
        <v/>
      </c>
      <c r="S135" s="63"/>
      <c r="T135" s="63"/>
      <c r="U135" s="63"/>
      <c r="V135" s="63"/>
      <c r="W135" s="63"/>
    </row>
    <row r="136" spans="6:23" ht="25" customHeight="1">
      <c r="F136" s="53"/>
      <c r="H136" s="55" t="e">
        <f>tbl_ASM[[#This Row],[Qty Complete]]/tbl_ASM[[#This Row],[Qty Required]]</f>
        <v>#DIV/0!</v>
      </c>
      <c r="K136" s="57" t="str">
        <f>IFERROR(tbl_ASM[[#This Row],[Qty Required]]/tbl_ASM[[#This Row],[PPH]]*tbl_ASM[[#This Row],['# of men]],"")</f>
        <v/>
      </c>
      <c r="L136" s="58" t="e">
        <f>tbl_ASM[[#This Row],[Total hours]]*tbl_ASM[[#This Row],[% Complete]]</f>
        <v>#VALUE!</v>
      </c>
      <c r="M136" s="59" t="str">
        <f>IFERROR(tbl_ASM[[#This Row],[Qty Complete]]/tbl_ASM[[#This Row],[Total Hours Act]]*tbl_ASM[[#This Row],['# of men Act]],"")</f>
        <v/>
      </c>
      <c r="O136"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36" s="71" t="str">
        <f>IFERROR((tbl_ASM[[#This Row],[Adj. Total Hours]]+tbl_ASM[[#This Row],[Est. Hours]])/(tbl_ASM[[#This Row],[Total Hours Act]]+tbl_ASM[[#This Row],[Act. Hours]]),"")</f>
        <v/>
      </c>
      <c r="S136" s="63"/>
      <c r="T136" s="63"/>
      <c r="U136" s="63"/>
      <c r="V136" s="63"/>
      <c r="W136" s="63"/>
    </row>
    <row r="137" spans="6:23" ht="25" customHeight="1">
      <c r="F137" s="53"/>
      <c r="H137" s="55" t="e">
        <f>tbl_ASM[[#This Row],[Qty Complete]]/tbl_ASM[[#This Row],[Qty Required]]</f>
        <v>#DIV/0!</v>
      </c>
      <c r="K137" s="57" t="str">
        <f>IFERROR(tbl_ASM[[#This Row],[Qty Required]]/tbl_ASM[[#This Row],[PPH]]*tbl_ASM[[#This Row],['# of men]],"")</f>
        <v/>
      </c>
      <c r="L137" s="58" t="e">
        <f>tbl_ASM[[#This Row],[Total hours]]*tbl_ASM[[#This Row],[% Complete]]</f>
        <v>#VALUE!</v>
      </c>
      <c r="M137" s="59" t="str">
        <f>IFERROR(tbl_ASM[[#This Row],[Qty Complete]]/tbl_ASM[[#This Row],[Total Hours Act]]*tbl_ASM[[#This Row],['# of men Act]],"")</f>
        <v/>
      </c>
      <c r="O137"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37" s="71" t="str">
        <f>IFERROR((tbl_ASM[[#This Row],[Adj. Total Hours]]+tbl_ASM[[#This Row],[Est. Hours]])/(tbl_ASM[[#This Row],[Total Hours Act]]+tbl_ASM[[#This Row],[Act. Hours]]),"")</f>
        <v/>
      </c>
      <c r="S137" s="63"/>
      <c r="T137" s="63"/>
      <c r="U137" s="63"/>
      <c r="V137" s="63"/>
      <c r="W137" s="63"/>
    </row>
    <row r="138" spans="6:23" ht="25" customHeight="1">
      <c r="F138" s="53"/>
      <c r="H138" s="55" t="e">
        <f>tbl_ASM[[#This Row],[Qty Complete]]/tbl_ASM[[#This Row],[Qty Required]]</f>
        <v>#DIV/0!</v>
      </c>
      <c r="K138" s="57" t="str">
        <f>IFERROR(tbl_ASM[[#This Row],[Qty Required]]/tbl_ASM[[#This Row],[PPH]]*tbl_ASM[[#This Row],['# of men]],"")</f>
        <v/>
      </c>
      <c r="L138" s="58" t="e">
        <f>tbl_ASM[[#This Row],[Total hours]]*tbl_ASM[[#This Row],[% Complete]]</f>
        <v>#VALUE!</v>
      </c>
      <c r="M138" s="59" t="str">
        <f>IFERROR(tbl_ASM[[#This Row],[Qty Complete]]/tbl_ASM[[#This Row],[Total Hours Act]]*tbl_ASM[[#This Row],['# of men Act]],"")</f>
        <v/>
      </c>
      <c r="O138"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38" s="71" t="str">
        <f>IFERROR((tbl_ASM[[#This Row],[Adj. Total Hours]]+tbl_ASM[[#This Row],[Est. Hours]])/(tbl_ASM[[#This Row],[Total Hours Act]]+tbl_ASM[[#This Row],[Act. Hours]]),"")</f>
        <v/>
      </c>
      <c r="S138" s="63"/>
      <c r="T138" s="63"/>
      <c r="U138" s="63"/>
      <c r="V138" s="63"/>
      <c r="W138" s="63"/>
    </row>
    <row r="139" spans="6:23" ht="25" customHeight="1">
      <c r="F139" s="53"/>
      <c r="H139" s="55" t="e">
        <f>tbl_ASM[[#This Row],[Qty Complete]]/tbl_ASM[[#This Row],[Qty Required]]</f>
        <v>#DIV/0!</v>
      </c>
      <c r="K139" s="57" t="str">
        <f>IFERROR(tbl_ASM[[#This Row],[Qty Required]]/tbl_ASM[[#This Row],[PPH]]*tbl_ASM[[#This Row],['# of men]],"")</f>
        <v/>
      </c>
      <c r="L139" s="58" t="e">
        <f>tbl_ASM[[#This Row],[Total hours]]*tbl_ASM[[#This Row],[% Complete]]</f>
        <v>#VALUE!</v>
      </c>
      <c r="M139" s="59" t="str">
        <f>IFERROR(tbl_ASM[[#This Row],[Qty Complete]]/tbl_ASM[[#This Row],[Total Hours Act]]*tbl_ASM[[#This Row],['# of men Act]],"")</f>
        <v/>
      </c>
      <c r="O139"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39" s="71" t="str">
        <f>IFERROR((tbl_ASM[[#This Row],[Adj. Total Hours]]+tbl_ASM[[#This Row],[Est. Hours]])/(tbl_ASM[[#This Row],[Total Hours Act]]+tbl_ASM[[#This Row],[Act. Hours]]),"")</f>
        <v/>
      </c>
      <c r="S139" s="63"/>
      <c r="T139" s="63"/>
      <c r="U139" s="63"/>
      <c r="V139" s="63"/>
      <c r="W139" s="63"/>
    </row>
    <row r="140" spans="6:23" ht="25" customHeight="1">
      <c r="F140" s="53"/>
      <c r="H140" s="55" t="e">
        <f>tbl_ASM[[#This Row],[Qty Complete]]/tbl_ASM[[#This Row],[Qty Required]]</f>
        <v>#DIV/0!</v>
      </c>
      <c r="K140" s="57" t="str">
        <f>IFERROR(tbl_ASM[[#This Row],[Qty Required]]/tbl_ASM[[#This Row],[PPH]]*tbl_ASM[[#This Row],['# of men]],"")</f>
        <v/>
      </c>
      <c r="L140" s="58" t="e">
        <f>tbl_ASM[[#This Row],[Total hours]]*tbl_ASM[[#This Row],[% Complete]]</f>
        <v>#VALUE!</v>
      </c>
      <c r="M140" s="59" t="str">
        <f>IFERROR(tbl_ASM[[#This Row],[Qty Complete]]/tbl_ASM[[#This Row],[Total Hours Act]]*tbl_ASM[[#This Row],['# of men Act]],"")</f>
        <v/>
      </c>
      <c r="O140"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40" s="71" t="str">
        <f>IFERROR((tbl_ASM[[#This Row],[Adj. Total Hours]]+tbl_ASM[[#This Row],[Est. Hours]])/(tbl_ASM[[#This Row],[Total Hours Act]]+tbl_ASM[[#This Row],[Act. Hours]]),"")</f>
        <v/>
      </c>
      <c r="S140" s="63"/>
      <c r="T140" s="63"/>
      <c r="U140" s="63"/>
      <c r="V140" s="63"/>
      <c r="W140" s="63"/>
    </row>
    <row r="141" spans="6:23" ht="25" customHeight="1">
      <c r="F141" s="53"/>
      <c r="H141" s="55" t="e">
        <f>tbl_ASM[[#This Row],[Qty Complete]]/tbl_ASM[[#This Row],[Qty Required]]</f>
        <v>#DIV/0!</v>
      </c>
      <c r="K141" s="57" t="str">
        <f>IFERROR(tbl_ASM[[#This Row],[Qty Required]]/tbl_ASM[[#This Row],[PPH]]*tbl_ASM[[#This Row],['# of men]],"")</f>
        <v/>
      </c>
      <c r="L141" s="58" t="e">
        <f>tbl_ASM[[#This Row],[Total hours]]*tbl_ASM[[#This Row],[% Complete]]</f>
        <v>#VALUE!</v>
      </c>
      <c r="M141" s="59" t="str">
        <f>IFERROR(tbl_ASM[[#This Row],[Qty Complete]]/tbl_ASM[[#This Row],[Total Hours Act]]*tbl_ASM[[#This Row],['# of men Act]],"")</f>
        <v/>
      </c>
      <c r="O141"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41" s="71" t="str">
        <f>IFERROR((tbl_ASM[[#This Row],[Adj. Total Hours]]+tbl_ASM[[#This Row],[Est. Hours]])/(tbl_ASM[[#This Row],[Total Hours Act]]+tbl_ASM[[#This Row],[Act. Hours]]),"")</f>
        <v/>
      </c>
      <c r="S141" s="63"/>
      <c r="T141" s="63"/>
      <c r="U141" s="63"/>
      <c r="V141" s="63"/>
      <c r="W141" s="63"/>
    </row>
    <row r="142" spans="6:23" ht="25" customHeight="1">
      <c r="F142" s="53"/>
      <c r="H142" s="55" t="e">
        <f>tbl_ASM[[#This Row],[Qty Complete]]/tbl_ASM[[#This Row],[Qty Required]]</f>
        <v>#DIV/0!</v>
      </c>
      <c r="K142" s="57" t="str">
        <f>IFERROR(tbl_ASM[[#This Row],[Qty Required]]/tbl_ASM[[#This Row],[PPH]]*tbl_ASM[[#This Row],['# of men]],"")</f>
        <v/>
      </c>
      <c r="L142" s="58" t="e">
        <f>tbl_ASM[[#This Row],[Total hours]]*tbl_ASM[[#This Row],[% Complete]]</f>
        <v>#VALUE!</v>
      </c>
      <c r="M142" s="59" t="str">
        <f>IFERROR(tbl_ASM[[#This Row],[Qty Complete]]/tbl_ASM[[#This Row],[Total Hours Act]]*tbl_ASM[[#This Row],['# of men Act]],"")</f>
        <v/>
      </c>
      <c r="O142"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42" s="71" t="str">
        <f>IFERROR((tbl_ASM[[#This Row],[Adj. Total Hours]]+tbl_ASM[[#This Row],[Est. Hours]])/(tbl_ASM[[#This Row],[Total Hours Act]]+tbl_ASM[[#This Row],[Act. Hours]]),"")</f>
        <v/>
      </c>
      <c r="S142" s="63"/>
      <c r="T142" s="63"/>
      <c r="U142" s="63"/>
      <c r="V142" s="63"/>
      <c r="W142" s="63"/>
    </row>
    <row r="143" spans="6:23" ht="25" customHeight="1">
      <c r="F143" s="53"/>
      <c r="H143" s="55" t="e">
        <f>tbl_ASM[[#This Row],[Qty Complete]]/tbl_ASM[[#This Row],[Qty Required]]</f>
        <v>#DIV/0!</v>
      </c>
      <c r="K143" s="57" t="str">
        <f>IFERROR(tbl_ASM[[#This Row],[Qty Required]]/tbl_ASM[[#This Row],[PPH]]*tbl_ASM[[#This Row],['# of men]],"")</f>
        <v/>
      </c>
      <c r="L143" s="58" t="e">
        <f>tbl_ASM[[#This Row],[Total hours]]*tbl_ASM[[#This Row],[% Complete]]</f>
        <v>#VALUE!</v>
      </c>
      <c r="M143" s="59" t="str">
        <f>IFERROR(tbl_ASM[[#This Row],[Qty Complete]]/tbl_ASM[[#This Row],[Total Hours Act]]*tbl_ASM[[#This Row],['# of men Act]],"")</f>
        <v/>
      </c>
      <c r="O143"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43" s="71" t="str">
        <f>IFERROR((tbl_ASM[[#This Row],[Adj. Total Hours]]+tbl_ASM[[#This Row],[Est. Hours]])/(tbl_ASM[[#This Row],[Total Hours Act]]+tbl_ASM[[#This Row],[Act. Hours]]),"")</f>
        <v/>
      </c>
      <c r="S143" s="63"/>
      <c r="T143" s="63"/>
      <c r="U143" s="63"/>
      <c r="V143" s="63"/>
      <c r="W143" s="63"/>
    </row>
    <row r="144" spans="6:23" ht="25" customHeight="1">
      <c r="F144" s="53"/>
      <c r="H144" s="55" t="e">
        <f>tbl_ASM[[#This Row],[Qty Complete]]/tbl_ASM[[#This Row],[Qty Required]]</f>
        <v>#DIV/0!</v>
      </c>
      <c r="K144" s="57" t="str">
        <f>IFERROR(tbl_ASM[[#This Row],[Qty Required]]/tbl_ASM[[#This Row],[PPH]]*tbl_ASM[[#This Row],['# of men]],"")</f>
        <v/>
      </c>
      <c r="L144" s="58" t="e">
        <f>tbl_ASM[[#This Row],[Total hours]]*tbl_ASM[[#This Row],[% Complete]]</f>
        <v>#VALUE!</v>
      </c>
      <c r="M144" s="59" t="str">
        <f>IFERROR(tbl_ASM[[#This Row],[Qty Complete]]/tbl_ASM[[#This Row],[Total Hours Act]]*tbl_ASM[[#This Row],['# of men Act]],"")</f>
        <v/>
      </c>
      <c r="O144"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44" s="71" t="str">
        <f>IFERROR((tbl_ASM[[#This Row],[Adj. Total Hours]]+tbl_ASM[[#This Row],[Est. Hours]])/(tbl_ASM[[#This Row],[Total Hours Act]]+tbl_ASM[[#This Row],[Act. Hours]]),"")</f>
        <v/>
      </c>
      <c r="S144" s="63"/>
      <c r="T144" s="63"/>
      <c r="U144" s="63"/>
      <c r="V144" s="63"/>
      <c r="W144" s="63"/>
    </row>
    <row r="145" spans="6:23" ht="25" customHeight="1">
      <c r="F145" s="53"/>
      <c r="H145" s="55" t="e">
        <f>tbl_ASM[[#This Row],[Qty Complete]]/tbl_ASM[[#This Row],[Qty Required]]</f>
        <v>#DIV/0!</v>
      </c>
      <c r="K145" s="57" t="str">
        <f>IFERROR(tbl_ASM[[#This Row],[Qty Required]]/tbl_ASM[[#This Row],[PPH]]*tbl_ASM[[#This Row],['# of men]],"")</f>
        <v/>
      </c>
      <c r="L145" s="58" t="e">
        <f>tbl_ASM[[#This Row],[Total hours]]*tbl_ASM[[#This Row],[% Complete]]</f>
        <v>#VALUE!</v>
      </c>
      <c r="M145" s="59" t="str">
        <f>IFERROR(tbl_ASM[[#This Row],[Qty Complete]]/tbl_ASM[[#This Row],[Total Hours Act]]*tbl_ASM[[#This Row],['# of men Act]],"")</f>
        <v/>
      </c>
      <c r="O145"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45" s="71" t="str">
        <f>IFERROR((tbl_ASM[[#This Row],[Adj. Total Hours]]+tbl_ASM[[#This Row],[Est. Hours]])/(tbl_ASM[[#This Row],[Total Hours Act]]+tbl_ASM[[#This Row],[Act. Hours]]),"")</f>
        <v/>
      </c>
      <c r="S145" s="63"/>
      <c r="T145" s="63"/>
      <c r="U145" s="63"/>
      <c r="V145" s="63"/>
      <c r="W145" s="63"/>
    </row>
    <row r="146" spans="6:23" ht="25" customHeight="1">
      <c r="F146" s="53"/>
      <c r="H146" s="55" t="e">
        <f>tbl_ASM[[#This Row],[Qty Complete]]/tbl_ASM[[#This Row],[Qty Required]]</f>
        <v>#DIV/0!</v>
      </c>
      <c r="K146" s="57" t="str">
        <f>IFERROR(tbl_ASM[[#This Row],[Qty Required]]/tbl_ASM[[#This Row],[PPH]]*tbl_ASM[[#This Row],['# of men]],"")</f>
        <v/>
      </c>
      <c r="L146" s="58" t="e">
        <f>tbl_ASM[[#This Row],[Total hours]]*tbl_ASM[[#This Row],[% Complete]]</f>
        <v>#VALUE!</v>
      </c>
      <c r="M146" s="59" t="str">
        <f>IFERROR(tbl_ASM[[#This Row],[Qty Complete]]/tbl_ASM[[#This Row],[Total Hours Act]]*tbl_ASM[[#This Row],['# of men Act]],"")</f>
        <v/>
      </c>
      <c r="O146"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46" s="71" t="str">
        <f>IFERROR((tbl_ASM[[#This Row],[Adj. Total Hours]]+tbl_ASM[[#This Row],[Est. Hours]])/(tbl_ASM[[#This Row],[Total Hours Act]]+tbl_ASM[[#This Row],[Act. Hours]]),"")</f>
        <v/>
      </c>
      <c r="S146" s="63"/>
      <c r="T146" s="63"/>
      <c r="U146" s="63"/>
      <c r="V146" s="63"/>
      <c r="W146" s="63"/>
    </row>
    <row r="147" spans="6:23" ht="25" customHeight="1">
      <c r="F147" s="53"/>
      <c r="H147" s="55" t="e">
        <f>tbl_ASM[[#This Row],[Qty Complete]]/tbl_ASM[[#This Row],[Qty Required]]</f>
        <v>#DIV/0!</v>
      </c>
      <c r="K147" s="57" t="str">
        <f>IFERROR(tbl_ASM[[#This Row],[Qty Required]]/tbl_ASM[[#This Row],[PPH]]*tbl_ASM[[#This Row],['# of men]],"")</f>
        <v/>
      </c>
      <c r="L147" s="58" t="e">
        <f>tbl_ASM[[#This Row],[Total hours]]*tbl_ASM[[#This Row],[% Complete]]</f>
        <v>#VALUE!</v>
      </c>
      <c r="M147" s="59" t="str">
        <f>IFERROR(tbl_ASM[[#This Row],[Qty Complete]]/tbl_ASM[[#This Row],[Total Hours Act]]*tbl_ASM[[#This Row],['# of men Act]],"")</f>
        <v/>
      </c>
      <c r="O147"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47" s="71" t="str">
        <f>IFERROR((tbl_ASM[[#This Row],[Adj. Total Hours]]+tbl_ASM[[#This Row],[Est. Hours]])/(tbl_ASM[[#This Row],[Total Hours Act]]+tbl_ASM[[#This Row],[Act. Hours]]),"")</f>
        <v/>
      </c>
      <c r="S147" s="63"/>
      <c r="T147" s="63"/>
      <c r="U147" s="63"/>
      <c r="V147" s="63"/>
      <c r="W147" s="63"/>
    </row>
    <row r="148" spans="6:23" ht="25" customHeight="1">
      <c r="F148" s="53"/>
      <c r="H148" s="55" t="e">
        <f>tbl_ASM[[#This Row],[Qty Complete]]/tbl_ASM[[#This Row],[Qty Required]]</f>
        <v>#DIV/0!</v>
      </c>
      <c r="K148" s="57" t="str">
        <f>IFERROR(tbl_ASM[[#This Row],[Qty Required]]/tbl_ASM[[#This Row],[PPH]]*tbl_ASM[[#This Row],['# of men]],"")</f>
        <v/>
      </c>
      <c r="L148" s="58" t="e">
        <f>tbl_ASM[[#This Row],[Total hours]]*tbl_ASM[[#This Row],[% Complete]]</f>
        <v>#VALUE!</v>
      </c>
      <c r="M148" s="59" t="str">
        <f>IFERROR(tbl_ASM[[#This Row],[Qty Complete]]/tbl_ASM[[#This Row],[Total Hours Act]]*tbl_ASM[[#This Row],['# of men Act]],"")</f>
        <v/>
      </c>
      <c r="O148"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48" s="71" t="str">
        <f>IFERROR((tbl_ASM[[#This Row],[Adj. Total Hours]]+tbl_ASM[[#This Row],[Est. Hours]])/(tbl_ASM[[#This Row],[Total Hours Act]]+tbl_ASM[[#This Row],[Act. Hours]]),"")</f>
        <v/>
      </c>
      <c r="S148" s="63"/>
      <c r="T148" s="63"/>
      <c r="U148" s="63"/>
      <c r="V148" s="63"/>
      <c r="W148" s="63"/>
    </row>
    <row r="149" spans="6:23" ht="25" customHeight="1">
      <c r="F149" s="53"/>
      <c r="H149" s="55" t="e">
        <f>tbl_ASM[[#This Row],[Qty Complete]]/tbl_ASM[[#This Row],[Qty Required]]</f>
        <v>#DIV/0!</v>
      </c>
      <c r="K149" s="57" t="str">
        <f>IFERROR(tbl_ASM[[#This Row],[Qty Required]]/tbl_ASM[[#This Row],[PPH]]*tbl_ASM[[#This Row],['# of men]],"")</f>
        <v/>
      </c>
      <c r="L149" s="58" t="e">
        <f>tbl_ASM[[#This Row],[Total hours]]*tbl_ASM[[#This Row],[% Complete]]</f>
        <v>#VALUE!</v>
      </c>
      <c r="M149" s="59" t="str">
        <f>IFERROR(tbl_ASM[[#This Row],[Qty Complete]]/tbl_ASM[[#This Row],[Total Hours Act]]*tbl_ASM[[#This Row],['# of men Act]],"")</f>
        <v/>
      </c>
      <c r="O149"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49" s="71" t="str">
        <f>IFERROR((tbl_ASM[[#This Row],[Adj. Total Hours]]+tbl_ASM[[#This Row],[Est. Hours]])/(tbl_ASM[[#This Row],[Total Hours Act]]+tbl_ASM[[#This Row],[Act. Hours]]),"")</f>
        <v/>
      </c>
      <c r="S149" s="63"/>
      <c r="T149" s="63"/>
      <c r="U149" s="63"/>
      <c r="V149" s="63"/>
      <c r="W149" s="63"/>
    </row>
    <row r="150" spans="6:23" ht="25" customHeight="1">
      <c r="F150" s="53"/>
      <c r="H150" s="55" t="e">
        <f>tbl_ASM[[#This Row],[Qty Complete]]/tbl_ASM[[#This Row],[Qty Required]]</f>
        <v>#DIV/0!</v>
      </c>
      <c r="K150" s="57" t="str">
        <f>IFERROR(tbl_ASM[[#This Row],[Qty Required]]/tbl_ASM[[#This Row],[PPH]]*tbl_ASM[[#This Row],['# of men]],"")</f>
        <v/>
      </c>
      <c r="L150" s="58" t="e">
        <f>tbl_ASM[[#This Row],[Total hours]]*tbl_ASM[[#This Row],[% Complete]]</f>
        <v>#VALUE!</v>
      </c>
      <c r="M150" s="59" t="str">
        <f>IFERROR(tbl_ASM[[#This Row],[Qty Complete]]/tbl_ASM[[#This Row],[Total Hours Act]]*tbl_ASM[[#This Row],['# of men Act]],"")</f>
        <v/>
      </c>
      <c r="O150"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50" s="71" t="str">
        <f>IFERROR((tbl_ASM[[#This Row],[Adj. Total Hours]]+tbl_ASM[[#This Row],[Est. Hours]])/(tbl_ASM[[#This Row],[Total Hours Act]]+tbl_ASM[[#This Row],[Act. Hours]]),"")</f>
        <v/>
      </c>
      <c r="S150" s="63"/>
      <c r="T150" s="63"/>
      <c r="U150" s="63"/>
      <c r="V150" s="63"/>
      <c r="W150" s="63"/>
    </row>
    <row r="151" spans="6:23" ht="25" customHeight="1">
      <c r="F151" s="53"/>
      <c r="H151" s="55" t="e">
        <f>tbl_ASM[[#This Row],[Qty Complete]]/tbl_ASM[[#This Row],[Qty Required]]</f>
        <v>#DIV/0!</v>
      </c>
      <c r="K151" s="57" t="str">
        <f>IFERROR(tbl_ASM[[#This Row],[Qty Required]]/tbl_ASM[[#This Row],[PPH]]*tbl_ASM[[#This Row],['# of men]],"")</f>
        <v/>
      </c>
      <c r="L151" s="58" t="e">
        <f>tbl_ASM[[#This Row],[Total hours]]*tbl_ASM[[#This Row],[% Complete]]</f>
        <v>#VALUE!</v>
      </c>
      <c r="M151" s="59" t="str">
        <f>IFERROR(tbl_ASM[[#This Row],[Qty Complete]]/tbl_ASM[[#This Row],[Total Hours Act]]*tbl_ASM[[#This Row],['# of men Act]],"")</f>
        <v/>
      </c>
      <c r="O151"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51" s="71" t="str">
        <f>IFERROR((tbl_ASM[[#This Row],[Adj. Total Hours]]+tbl_ASM[[#This Row],[Est. Hours]])/(tbl_ASM[[#This Row],[Total Hours Act]]+tbl_ASM[[#This Row],[Act. Hours]]),"")</f>
        <v/>
      </c>
      <c r="S151" s="63"/>
      <c r="T151" s="63"/>
      <c r="U151" s="63"/>
      <c r="V151" s="63"/>
      <c r="W151" s="63"/>
    </row>
    <row r="152" spans="6:23" ht="25" customHeight="1">
      <c r="F152" s="53"/>
      <c r="H152" s="55" t="e">
        <f>tbl_ASM[[#This Row],[Qty Complete]]/tbl_ASM[[#This Row],[Qty Required]]</f>
        <v>#DIV/0!</v>
      </c>
      <c r="K152" s="57" t="str">
        <f>IFERROR(tbl_ASM[[#This Row],[Qty Required]]/tbl_ASM[[#This Row],[PPH]]*tbl_ASM[[#This Row],['# of men]],"")</f>
        <v/>
      </c>
      <c r="L152" s="58" t="e">
        <f>tbl_ASM[[#This Row],[Total hours]]*tbl_ASM[[#This Row],[% Complete]]</f>
        <v>#VALUE!</v>
      </c>
      <c r="M152" s="59" t="str">
        <f>IFERROR(tbl_ASM[[#This Row],[Qty Complete]]/tbl_ASM[[#This Row],[Total Hours Act]]*tbl_ASM[[#This Row],['# of men Act]],"")</f>
        <v/>
      </c>
      <c r="O152"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52" s="71" t="str">
        <f>IFERROR((tbl_ASM[[#This Row],[Adj. Total Hours]]+tbl_ASM[[#This Row],[Est. Hours]])/(tbl_ASM[[#This Row],[Total Hours Act]]+tbl_ASM[[#This Row],[Act. Hours]]),"")</f>
        <v/>
      </c>
      <c r="S152" s="63"/>
      <c r="T152" s="63"/>
      <c r="U152" s="63"/>
      <c r="V152" s="63"/>
      <c r="W152" s="63"/>
    </row>
    <row r="153" spans="6:23" ht="25" customHeight="1">
      <c r="F153" s="53"/>
      <c r="H153" s="55" t="e">
        <f>tbl_ASM[[#This Row],[Qty Complete]]/tbl_ASM[[#This Row],[Qty Required]]</f>
        <v>#DIV/0!</v>
      </c>
      <c r="K153" s="57" t="str">
        <f>IFERROR(tbl_ASM[[#This Row],[Qty Required]]/tbl_ASM[[#This Row],[PPH]]*tbl_ASM[[#This Row],['# of men]],"")</f>
        <v/>
      </c>
      <c r="L153" s="58" t="e">
        <f>tbl_ASM[[#This Row],[Total hours]]*tbl_ASM[[#This Row],[% Complete]]</f>
        <v>#VALUE!</v>
      </c>
      <c r="M153" s="59" t="str">
        <f>IFERROR(tbl_ASM[[#This Row],[Qty Complete]]/tbl_ASM[[#This Row],[Total Hours Act]]*tbl_ASM[[#This Row],['# of men Act]],"")</f>
        <v/>
      </c>
      <c r="O153"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53" s="71" t="str">
        <f>IFERROR((tbl_ASM[[#This Row],[Adj. Total Hours]]+tbl_ASM[[#This Row],[Est. Hours]])/(tbl_ASM[[#This Row],[Total Hours Act]]+tbl_ASM[[#This Row],[Act. Hours]]),"")</f>
        <v/>
      </c>
      <c r="S153" s="63"/>
      <c r="T153" s="63"/>
      <c r="U153" s="63"/>
      <c r="V153" s="63"/>
      <c r="W153" s="63"/>
    </row>
    <row r="154" spans="6:23" ht="25" customHeight="1">
      <c r="F154" s="53"/>
      <c r="H154" s="55" t="e">
        <f>tbl_ASM[[#This Row],[Qty Complete]]/tbl_ASM[[#This Row],[Qty Required]]</f>
        <v>#DIV/0!</v>
      </c>
      <c r="K154" s="57" t="str">
        <f>IFERROR(tbl_ASM[[#This Row],[Qty Required]]/tbl_ASM[[#This Row],[PPH]]*tbl_ASM[[#This Row],['# of men]],"")</f>
        <v/>
      </c>
      <c r="L154" s="58" t="e">
        <f>tbl_ASM[[#This Row],[Total hours]]*tbl_ASM[[#This Row],[% Complete]]</f>
        <v>#VALUE!</v>
      </c>
      <c r="M154" s="59" t="str">
        <f>IFERROR(tbl_ASM[[#This Row],[Qty Complete]]/tbl_ASM[[#This Row],[Total Hours Act]]*tbl_ASM[[#This Row],['# of men Act]],"")</f>
        <v/>
      </c>
      <c r="O154"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54" s="71" t="str">
        <f>IFERROR((tbl_ASM[[#This Row],[Adj. Total Hours]]+tbl_ASM[[#This Row],[Est. Hours]])/(tbl_ASM[[#This Row],[Total Hours Act]]+tbl_ASM[[#This Row],[Act. Hours]]),"")</f>
        <v/>
      </c>
      <c r="S154" s="63"/>
      <c r="T154" s="63"/>
      <c r="U154" s="63"/>
      <c r="V154" s="63"/>
      <c r="W154" s="63"/>
    </row>
    <row r="155" spans="6:23" ht="25" customHeight="1">
      <c r="F155" s="53"/>
      <c r="H155" s="55" t="e">
        <f>tbl_ASM[[#This Row],[Qty Complete]]/tbl_ASM[[#This Row],[Qty Required]]</f>
        <v>#DIV/0!</v>
      </c>
      <c r="K155" s="57" t="str">
        <f>IFERROR(tbl_ASM[[#This Row],[Qty Required]]/tbl_ASM[[#This Row],[PPH]]*tbl_ASM[[#This Row],['# of men]],"")</f>
        <v/>
      </c>
      <c r="L155" s="58" t="e">
        <f>tbl_ASM[[#This Row],[Total hours]]*tbl_ASM[[#This Row],[% Complete]]</f>
        <v>#VALUE!</v>
      </c>
      <c r="M155" s="59" t="str">
        <f>IFERROR(tbl_ASM[[#This Row],[Qty Complete]]/tbl_ASM[[#This Row],[Total Hours Act]]*tbl_ASM[[#This Row],['# of men Act]],"")</f>
        <v/>
      </c>
      <c r="O155"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55" s="71" t="str">
        <f>IFERROR((tbl_ASM[[#This Row],[Adj. Total Hours]]+tbl_ASM[[#This Row],[Est. Hours]])/(tbl_ASM[[#This Row],[Total Hours Act]]+tbl_ASM[[#This Row],[Act. Hours]]),"")</f>
        <v/>
      </c>
      <c r="S155" s="63"/>
      <c r="T155" s="63"/>
      <c r="U155" s="63"/>
      <c r="V155" s="63"/>
      <c r="W155" s="63"/>
    </row>
    <row r="156" spans="6:23" ht="25" customHeight="1">
      <c r="F156" s="53"/>
      <c r="H156" s="55" t="e">
        <f>tbl_ASM[[#This Row],[Qty Complete]]/tbl_ASM[[#This Row],[Qty Required]]</f>
        <v>#DIV/0!</v>
      </c>
      <c r="K156" s="57" t="str">
        <f>IFERROR(tbl_ASM[[#This Row],[Qty Required]]/tbl_ASM[[#This Row],[PPH]]*tbl_ASM[[#This Row],['# of men]],"")</f>
        <v/>
      </c>
      <c r="L156" s="58" t="e">
        <f>tbl_ASM[[#This Row],[Total hours]]*tbl_ASM[[#This Row],[% Complete]]</f>
        <v>#VALUE!</v>
      </c>
      <c r="M156" s="59" t="str">
        <f>IFERROR(tbl_ASM[[#This Row],[Qty Complete]]/tbl_ASM[[#This Row],[Total Hours Act]]*tbl_ASM[[#This Row],['# of men Act]],"")</f>
        <v/>
      </c>
      <c r="O156"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56" s="71" t="str">
        <f>IFERROR((tbl_ASM[[#This Row],[Adj. Total Hours]]+tbl_ASM[[#This Row],[Est. Hours]])/(tbl_ASM[[#This Row],[Total Hours Act]]+tbl_ASM[[#This Row],[Act. Hours]]),"")</f>
        <v/>
      </c>
      <c r="S156" s="63"/>
      <c r="T156" s="63"/>
      <c r="U156" s="63"/>
      <c r="V156" s="63"/>
      <c r="W156" s="63"/>
    </row>
    <row r="157" spans="6:23" ht="25" customHeight="1">
      <c r="F157" s="53"/>
      <c r="H157" s="55" t="e">
        <f>tbl_ASM[[#This Row],[Qty Complete]]/tbl_ASM[[#This Row],[Qty Required]]</f>
        <v>#DIV/0!</v>
      </c>
      <c r="K157" s="57" t="str">
        <f>IFERROR(tbl_ASM[[#This Row],[Qty Required]]/tbl_ASM[[#This Row],[PPH]]*tbl_ASM[[#This Row],['# of men]],"")</f>
        <v/>
      </c>
      <c r="L157" s="58" t="e">
        <f>tbl_ASM[[#This Row],[Total hours]]*tbl_ASM[[#This Row],[% Complete]]</f>
        <v>#VALUE!</v>
      </c>
      <c r="M157" s="59" t="str">
        <f>IFERROR(tbl_ASM[[#This Row],[Qty Complete]]/tbl_ASM[[#This Row],[Total Hours Act]]*tbl_ASM[[#This Row],['# of men Act]],"")</f>
        <v/>
      </c>
      <c r="O157"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57" s="71" t="str">
        <f>IFERROR((tbl_ASM[[#This Row],[Adj. Total Hours]]+tbl_ASM[[#This Row],[Est. Hours]])/(tbl_ASM[[#This Row],[Total Hours Act]]+tbl_ASM[[#This Row],[Act. Hours]]),"")</f>
        <v/>
      </c>
      <c r="S157" s="63"/>
      <c r="T157" s="63"/>
      <c r="U157" s="63"/>
      <c r="V157" s="63"/>
      <c r="W157" s="63"/>
    </row>
    <row r="158" spans="6:23" ht="25" customHeight="1">
      <c r="F158" s="53"/>
      <c r="H158" s="55" t="e">
        <f>tbl_ASM[[#This Row],[Qty Complete]]/tbl_ASM[[#This Row],[Qty Required]]</f>
        <v>#DIV/0!</v>
      </c>
      <c r="K158" s="57" t="str">
        <f>IFERROR(tbl_ASM[[#This Row],[Qty Required]]/tbl_ASM[[#This Row],[PPH]]*tbl_ASM[[#This Row],['# of men]],"")</f>
        <v/>
      </c>
      <c r="L158" s="58" t="e">
        <f>tbl_ASM[[#This Row],[Total hours]]*tbl_ASM[[#This Row],[% Complete]]</f>
        <v>#VALUE!</v>
      </c>
      <c r="M158" s="59" t="str">
        <f>IFERROR(tbl_ASM[[#This Row],[Qty Complete]]/tbl_ASM[[#This Row],[Total Hours Act]]*tbl_ASM[[#This Row],['# of men Act]],"")</f>
        <v/>
      </c>
      <c r="O158"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58" s="71" t="str">
        <f>IFERROR((tbl_ASM[[#This Row],[Adj. Total Hours]]+tbl_ASM[[#This Row],[Est. Hours]])/(tbl_ASM[[#This Row],[Total Hours Act]]+tbl_ASM[[#This Row],[Act. Hours]]),"")</f>
        <v/>
      </c>
      <c r="S158" s="63"/>
      <c r="T158" s="63"/>
      <c r="U158" s="63"/>
      <c r="V158" s="63"/>
      <c r="W158" s="63"/>
    </row>
    <row r="159" spans="6:23" ht="25" customHeight="1">
      <c r="F159" s="53"/>
      <c r="H159" s="55" t="e">
        <f>tbl_ASM[[#This Row],[Qty Complete]]/tbl_ASM[[#This Row],[Qty Required]]</f>
        <v>#DIV/0!</v>
      </c>
      <c r="K159" s="57" t="str">
        <f>IFERROR(tbl_ASM[[#This Row],[Qty Required]]/tbl_ASM[[#This Row],[PPH]]*tbl_ASM[[#This Row],['# of men]],"")</f>
        <v/>
      </c>
      <c r="L159" s="58" t="e">
        <f>tbl_ASM[[#This Row],[Total hours]]*tbl_ASM[[#This Row],[% Complete]]</f>
        <v>#VALUE!</v>
      </c>
      <c r="M159" s="59" t="str">
        <f>IFERROR(tbl_ASM[[#This Row],[Qty Complete]]/tbl_ASM[[#This Row],[Total Hours Act]]*tbl_ASM[[#This Row],['# of men Act]],"")</f>
        <v/>
      </c>
      <c r="O159"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59" s="71" t="str">
        <f>IFERROR((tbl_ASM[[#This Row],[Adj. Total Hours]]+tbl_ASM[[#This Row],[Est. Hours]])/(tbl_ASM[[#This Row],[Total Hours Act]]+tbl_ASM[[#This Row],[Act. Hours]]),"")</f>
        <v/>
      </c>
      <c r="S159" s="63"/>
      <c r="T159" s="63"/>
      <c r="U159" s="63"/>
      <c r="V159" s="63"/>
      <c r="W159" s="63"/>
    </row>
    <row r="160" spans="6:23" ht="25" customHeight="1">
      <c r="F160" s="53"/>
      <c r="H160" s="55" t="e">
        <f>tbl_ASM[[#This Row],[Qty Complete]]/tbl_ASM[[#This Row],[Qty Required]]</f>
        <v>#DIV/0!</v>
      </c>
      <c r="K160" s="57" t="str">
        <f>IFERROR(tbl_ASM[[#This Row],[Qty Required]]/tbl_ASM[[#This Row],[PPH]]*tbl_ASM[[#This Row],['# of men]],"")</f>
        <v/>
      </c>
      <c r="L160" s="58" t="e">
        <f>tbl_ASM[[#This Row],[Total hours]]*tbl_ASM[[#This Row],[% Complete]]</f>
        <v>#VALUE!</v>
      </c>
      <c r="M160" s="59" t="str">
        <f>IFERROR(tbl_ASM[[#This Row],[Qty Complete]]/tbl_ASM[[#This Row],[Total Hours Act]]*tbl_ASM[[#This Row],['# of men Act]],"")</f>
        <v/>
      </c>
      <c r="O160"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60" s="71" t="str">
        <f>IFERROR((tbl_ASM[[#This Row],[Adj. Total Hours]]+tbl_ASM[[#This Row],[Est. Hours]])/(tbl_ASM[[#This Row],[Total Hours Act]]+tbl_ASM[[#This Row],[Act. Hours]]),"")</f>
        <v/>
      </c>
      <c r="S160" s="63"/>
      <c r="T160" s="63"/>
      <c r="U160" s="63"/>
      <c r="V160" s="63"/>
      <c r="W160" s="63"/>
    </row>
    <row r="161" spans="6:23" ht="25" customHeight="1">
      <c r="F161" s="53"/>
      <c r="H161" s="55" t="e">
        <f>tbl_ASM[[#This Row],[Qty Complete]]/tbl_ASM[[#This Row],[Qty Required]]</f>
        <v>#DIV/0!</v>
      </c>
      <c r="K161" s="57" t="str">
        <f>IFERROR(tbl_ASM[[#This Row],[Qty Required]]/tbl_ASM[[#This Row],[PPH]]*tbl_ASM[[#This Row],['# of men]],"")</f>
        <v/>
      </c>
      <c r="L161" s="58" t="e">
        <f>tbl_ASM[[#This Row],[Total hours]]*tbl_ASM[[#This Row],[% Complete]]</f>
        <v>#VALUE!</v>
      </c>
      <c r="M161" s="59" t="str">
        <f>IFERROR(tbl_ASM[[#This Row],[Qty Complete]]/tbl_ASM[[#This Row],[Total Hours Act]]*tbl_ASM[[#This Row],['# of men Act]],"")</f>
        <v/>
      </c>
      <c r="O161"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61" s="71" t="str">
        <f>IFERROR((tbl_ASM[[#This Row],[Adj. Total Hours]]+tbl_ASM[[#This Row],[Est. Hours]])/(tbl_ASM[[#This Row],[Total Hours Act]]+tbl_ASM[[#This Row],[Act. Hours]]),"")</f>
        <v/>
      </c>
      <c r="S161" s="63"/>
      <c r="T161" s="63"/>
      <c r="U161" s="63"/>
      <c r="V161" s="63"/>
      <c r="W161" s="63"/>
    </row>
    <row r="162" spans="6:23" ht="25" customHeight="1">
      <c r="F162" s="53"/>
      <c r="H162" s="55" t="e">
        <f>tbl_ASM[[#This Row],[Qty Complete]]/tbl_ASM[[#This Row],[Qty Required]]</f>
        <v>#DIV/0!</v>
      </c>
      <c r="K162" s="57" t="str">
        <f>IFERROR(tbl_ASM[[#This Row],[Qty Required]]/tbl_ASM[[#This Row],[PPH]]*tbl_ASM[[#This Row],['# of men]],"")</f>
        <v/>
      </c>
      <c r="L162" s="58" t="e">
        <f>tbl_ASM[[#This Row],[Total hours]]*tbl_ASM[[#This Row],[% Complete]]</f>
        <v>#VALUE!</v>
      </c>
      <c r="M162" s="59" t="str">
        <f>IFERROR(tbl_ASM[[#This Row],[Qty Complete]]/tbl_ASM[[#This Row],[Total Hours Act]]*tbl_ASM[[#This Row],['# of men Act]],"")</f>
        <v/>
      </c>
      <c r="O162"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62" s="71" t="str">
        <f>IFERROR((tbl_ASM[[#This Row],[Adj. Total Hours]]+tbl_ASM[[#This Row],[Est. Hours]])/(tbl_ASM[[#This Row],[Total Hours Act]]+tbl_ASM[[#This Row],[Act. Hours]]),"")</f>
        <v/>
      </c>
      <c r="S162" s="63"/>
      <c r="T162" s="63"/>
      <c r="U162" s="63"/>
      <c r="V162" s="63"/>
      <c r="W162" s="63"/>
    </row>
    <row r="163" spans="6:23" ht="25" customHeight="1">
      <c r="F163" s="53"/>
      <c r="H163" s="55" t="e">
        <f>tbl_ASM[[#This Row],[Qty Complete]]/tbl_ASM[[#This Row],[Qty Required]]</f>
        <v>#DIV/0!</v>
      </c>
      <c r="K163" s="57" t="str">
        <f>IFERROR(tbl_ASM[[#This Row],[Qty Required]]/tbl_ASM[[#This Row],[PPH]]*tbl_ASM[[#This Row],['# of men]],"")</f>
        <v/>
      </c>
      <c r="L163" s="58" t="e">
        <f>tbl_ASM[[#This Row],[Total hours]]*tbl_ASM[[#This Row],[% Complete]]</f>
        <v>#VALUE!</v>
      </c>
      <c r="M163" s="59" t="str">
        <f>IFERROR(tbl_ASM[[#This Row],[Qty Complete]]/tbl_ASM[[#This Row],[Total Hours Act]]*tbl_ASM[[#This Row],['# of men Act]],"")</f>
        <v/>
      </c>
      <c r="O163"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63" s="71" t="str">
        <f>IFERROR((tbl_ASM[[#This Row],[Adj. Total Hours]]+tbl_ASM[[#This Row],[Est. Hours]])/(tbl_ASM[[#This Row],[Total Hours Act]]+tbl_ASM[[#This Row],[Act. Hours]]),"")</f>
        <v/>
      </c>
      <c r="S163" s="63"/>
      <c r="T163" s="63"/>
      <c r="U163" s="63"/>
      <c r="V163" s="63"/>
      <c r="W163" s="63"/>
    </row>
    <row r="164" spans="6:23" ht="25" customHeight="1">
      <c r="F164" s="53"/>
      <c r="H164" s="55" t="e">
        <f>tbl_ASM[[#This Row],[Qty Complete]]/tbl_ASM[[#This Row],[Qty Required]]</f>
        <v>#DIV/0!</v>
      </c>
      <c r="K164" s="57" t="str">
        <f>IFERROR(tbl_ASM[[#This Row],[Qty Required]]/tbl_ASM[[#This Row],[PPH]]*tbl_ASM[[#This Row],['# of men]],"")</f>
        <v/>
      </c>
      <c r="L164" s="58" t="e">
        <f>tbl_ASM[[#This Row],[Total hours]]*tbl_ASM[[#This Row],[% Complete]]</f>
        <v>#VALUE!</v>
      </c>
      <c r="M164" s="59" t="str">
        <f>IFERROR(tbl_ASM[[#This Row],[Qty Complete]]/tbl_ASM[[#This Row],[Total Hours Act]]*tbl_ASM[[#This Row],['# of men Act]],"")</f>
        <v/>
      </c>
      <c r="O164"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64" s="71" t="str">
        <f>IFERROR((tbl_ASM[[#This Row],[Adj. Total Hours]]+tbl_ASM[[#This Row],[Est. Hours]])/(tbl_ASM[[#This Row],[Total Hours Act]]+tbl_ASM[[#This Row],[Act. Hours]]),"")</f>
        <v/>
      </c>
      <c r="S164" s="63"/>
      <c r="T164" s="63"/>
      <c r="U164" s="63"/>
      <c r="V164" s="63"/>
      <c r="W164" s="63"/>
    </row>
    <row r="165" spans="6:23" ht="25" customHeight="1">
      <c r="F165" s="53"/>
      <c r="H165" s="55" t="e">
        <f>tbl_ASM[[#This Row],[Qty Complete]]/tbl_ASM[[#This Row],[Qty Required]]</f>
        <v>#DIV/0!</v>
      </c>
      <c r="K165" s="57" t="str">
        <f>IFERROR(tbl_ASM[[#This Row],[Qty Required]]/tbl_ASM[[#This Row],[PPH]]*tbl_ASM[[#This Row],['# of men]],"")</f>
        <v/>
      </c>
      <c r="L165" s="58" t="e">
        <f>tbl_ASM[[#This Row],[Total hours]]*tbl_ASM[[#This Row],[% Complete]]</f>
        <v>#VALUE!</v>
      </c>
      <c r="M165" s="59" t="str">
        <f>IFERROR(tbl_ASM[[#This Row],[Qty Complete]]/tbl_ASM[[#This Row],[Total Hours Act]]*tbl_ASM[[#This Row],['# of men Act]],"")</f>
        <v/>
      </c>
      <c r="O165"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65" s="71" t="str">
        <f>IFERROR((tbl_ASM[[#This Row],[Adj. Total Hours]]+tbl_ASM[[#This Row],[Est. Hours]])/(tbl_ASM[[#This Row],[Total Hours Act]]+tbl_ASM[[#This Row],[Act. Hours]]),"")</f>
        <v/>
      </c>
      <c r="S165" s="63"/>
      <c r="T165" s="63"/>
      <c r="U165" s="63"/>
      <c r="V165" s="63"/>
      <c r="W165" s="63"/>
    </row>
    <row r="166" spans="6:23" ht="25" customHeight="1">
      <c r="F166" s="53"/>
      <c r="H166" s="55" t="e">
        <f>tbl_ASM[[#This Row],[Qty Complete]]/tbl_ASM[[#This Row],[Qty Required]]</f>
        <v>#DIV/0!</v>
      </c>
      <c r="K166" s="57" t="str">
        <f>IFERROR(tbl_ASM[[#This Row],[Qty Required]]/tbl_ASM[[#This Row],[PPH]]*tbl_ASM[[#This Row],['# of men]],"")</f>
        <v/>
      </c>
      <c r="L166" s="58" t="e">
        <f>tbl_ASM[[#This Row],[Total hours]]*tbl_ASM[[#This Row],[% Complete]]</f>
        <v>#VALUE!</v>
      </c>
      <c r="M166" s="59" t="str">
        <f>IFERROR(tbl_ASM[[#This Row],[Qty Complete]]/tbl_ASM[[#This Row],[Total Hours Act]]*tbl_ASM[[#This Row],['# of men Act]],"")</f>
        <v/>
      </c>
      <c r="O166"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66" s="71" t="str">
        <f>IFERROR((tbl_ASM[[#This Row],[Adj. Total Hours]]+tbl_ASM[[#This Row],[Est. Hours]])/(tbl_ASM[[#This Row],[Total Hours Act]]+tbl_ASM[[#This Row],[Act. Hours]]),"")</f>
        <v/>
      </c>
      <c r="S166" s="63"/>
      <c r="T166" s="63"/>
      <c r="U166" s="63"/>
      <c r="V166" s="63"/>
      <c r="W166" s="63"/>
    </row>
    <row r="167" spans="6:23" ht="25" customHeight="1">
      <c r="F167" s="53"/>
      <c r="H167" s="55" t="e">
        <f>tbl_ASM[[#This Row],[Qty Complete]]/tbl_ASM[[#This Row],[Qty Required]]</f>
        <v>#DIV/0!</v>
      </c>
      <c r="K167" s="57" t="str">
        <f>IFERROR(tbl_ASM[[#This Row],[Qty Required]]/tbl_ASM[[#This Row],[PPH]]*tbl_ASM[[#This Row],['# of men]],"")</f>
        <v/>
      </c>
      <c r="L167" s="58" t="e">
        <f>tbl_ASM[[#This Row],[Total hours]]*tbl_ASM[[#This Row],[% Complete]]</f>
        <v>#VALUE!</v>
      </c>
      <c r="M167" s="59" t="str">
        <f>IFERROR(tbl_ASM[[#This Row],[Qty Complete]]/tbl_ASM[[#This Row],[Total Hours Act]]*tbl_ASM[[#This Row],['# of men Act]],"")</f>
        <v/>
      </c>
      <c r="O167"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67" s="71" t="str">
        <f>IFERROR((tbl_ASM[[#This Row],[Adj. Total Hours]]+tbl_ASM[[#This Row],[Est. Hours]])/(tbl_ASM[[#This Row],[Total Hours Act]]+tbl_ASM[[#This Row],[Act. Hours]]),"")</f>
        <v/>
      </c>
      <c r="S167" s="63"/>
      <c r="T167" s="63"/>
      <c r="U167" s="63"/>
      <c r="V167" s="63"/>
      <c r="W167" s="63"/>
    </row>
    <row r="168" spans="6:23" ht="25" customHeight="1">
      <c r="F168" s="53"/>
      <c r="H168" s="55" t="e">
        <f>tbl_ASM[[#This Row],[Qty Complete]]/tbl_ASM[[#This Row],[Qty Required]]</f>
        <v>#DIV/0!</v>
      </c>
      <c r="K168" s="57" t="str">
        <f>IFERROR(tbl_ASM[[#This Row],[Qty Required]]/tbl_ASM[[#This Row],[PPH]]*tbl_ASM[[#This Row],['# of men]],"")</f>
        <v/>
      </c>
      <c r="L168" s="58" t="e">
        <f>tbl_ASM[[#This Row],[Total hours]]*tbl_ASM[[#This Row],[% Complete]]</f>
        <v>#VALUE!</v>
      </c>
      <c r="M168" s="59" t="str">
        <f>IFERROR(tbl_ASM[[#This Row],[Qty Complete]]/tbl_ASM[[#This Row],[Total Hours Act]]*tbl_ASM[[#This Row],['# of men Act]],"")</f>
        <v/>
      </c>
      <c r="O168"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68" s="71" t="str">
        <f>IFERROR((tbl_ASM[[#This Row],[Adj. Total Hours]]+tbl_ASM[[#This Row],[Est. Hours]])/(tbl_ASM[[#This Row],[Total Hours Act]]+tbl_ASM[[#This Row],[Act. Hours]]),"")</f>
        <v/>
      </c>
      <c r="S168" s="63"/>
      <c r="T168" s="63"/>
      <c r="U168" s="63"/>
      <c r="V168" s="63"/>
      <c r="W168" s="63"/>
    </row>
    <row r="169" spans="6:23" ht="25" customHeight="1">
      <c r="F169" s="53"/>
      <c r="H169" s="55" t="e">
        <f>tbl_ASM[[#This Row],[Qty Complete]]/tbl_ASM[[#This Row],[Qty Required]]</f>
        <v>#DIV/0!</v>
      </c>
      <c r="K169" s="57" t="str">
        <f>IFERROR(tbl_ASM[[#This Row],[Qty Required]]/tbl_ASM[[#This Row],[PPH]]*tbl_ASM[[#This Row],['# of men]],"")</f>
        <v/>
      </c>
      <c r="L169" s="58" t="e">
        <f>tbl_ASM[[#This Row],[Total hours]]*tbl_ASM[[#This Row],[% Complete]]</f>
        <v>#VALUE!</v>
      </c>
      <c r="M169" s="59" t="str">
        <f>IFERROR(tbl_ASM[[#This Row],[Qty Complete]]/tbl_ASM[[#This Row],[Total Hours Act]]*tbl_ASM[[#This Row],['# of men Act]],"")</f>
        <v/>
      </c>
      <c r="O169"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69" s="71" t="str">
        <f>IFERROR((tbl_ASM[[#This Row],[Adj. Total Hours]]+tbl_ASM[[#This Row],[Est. Hours]])/(tbl_ASM[[#This Row],[Total Hours Act]]+tbl_ASM[[#This Row],[Act. Hours]]),"")</f>
        <v/>
      </c>
      <c r="S169" s="63"/>
      <c r="T169" s="63"/>
      <c r="U169" s="63"/>
      <c r="V169" s="63"/>
      <c r="W169" s="63"/>
    </row>
    <row r="170" spans="6:23" ht="25" customHeight="1">
      <c r="F170" s="53"/>
      <c r="H170" s="55" t="e">
        <f>tbl_ASM[[#This Row],[Qty Complete]]/tbl_ASM[[#This Row],[Qty Required]]</f>
        <v>#DIV/0!</v>
      </c>
      <c r="K170" s="57" t="str">
        <f>IFERROR(tbl_ASM[[#This Row],[Qty Required]]/tbl_ASM[[#This Row],[PPH]]*tbl_ASM[[#This Row],['# of men]],"")</f>
        <v/>
      </c>
      <c r="L170" s="58" t="e">
        <f>tbl_ASM[[#This Row],[Total hours]]*tbl_ASM[[#This Row],[% Complete]]</f>
        <v>#VALUE!</v>
      </c>
      <c r="M170" s="59" t="str">
        <f>IFERROR(tbl_ASM[[#This Row],[Qty Complete]]/tbl_ASM[[#This Row],[Total Hours Act]]*tbl_ASM[[#This Row],['# of men Act]],"")</f>
        <v/>
      </c>
      <c r="O170"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70" s="71" t="str">
        <f>IFERROR((tbl_ASM[[#This Row],[Adj. Total Hours]]+tbl_ASM[[#This Row],[Est. Hours]])/(tbl_ASM[[#This Row],[Total Hours Act]]+tbl_ASM[[#This Row],[Act. Hours]]),"")</f>
        <v/>
      </c>
      <c r="S170" s="63"/>
      <c r="T170" s="63"/>
      <c r="U170" s="63"/>
      <c r="V170" s="63"/>
      <c r="W170" s="63"/>
    </row>
    <row r="171" spans="6:23" ht="25" customHeight="1">
      <c r="F171" s="53"/>
      <c r="H171" s="55" t="e">
        <f>tbl_ASM[[#This Row],[Qty Complete]]/tbl_ASM[[#This Row],[Qty Required]]</f>
        <v>#DIV/0!</v>
      </c>
      <c r="K171" s="57" t="str">
        <f>IFERROR(tbl_ASM[[#This Row],[Qty Required]]/tbl_ASM[[#This Row],[PPH]]*tbl_ASM[[#This Row],['# of men]],"")</f>
        <v/>
      </c>
      <c r="L171" s="58" t="e">
        <f>tbl_ASM[[#This Row],[Total hours]]*tbl_ASM[[#This Row],[% Complete]]</f>
        <v>#VALUE!</v>
      </c>
      <c r="M171" s="59" t="str">
        <f>IFERROR(tbl_ASM[[#This Row],[Qty Complete]]/tbl_ASM[[#This Row],[Total Hours Act]]*tbl_ASM[[#This Row],['# of men Act]],"")</f>
        <v/>
      </c>
      <c r="O171"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71" s="71" t="str">
        <f>IFERROR((tbl_ASM[[#This Row],[Adj. Total Hours]]+tbl_ASM[[#This Row],[Est. Hours]])/(tbl_ASM[[#This Row],[Total Hours Act]]+tbl_ASM[[#This Row],[Act. Hours]]),"")</f>
        <v/>
      </c>
      <c r="S171" s="63"/>
      <c r="T171" s="63"/>
      <c r="U171" s="63"/>
      <c r="V171" s="63"/>
      <c r="W171" s="63"/>
    </row>
    <row r="172" spans="6:23" ht="25" customHeight="1">
      <c r="F172" s="53"/>
      <c r="H172" s="55" t="e">
        <f>tbl_ASM[[#This Row],[Qty Complete]]/tbl_ASM[[#This Row],[Qty Required]]</f>
        <v>#DIV/0!</v>
      </c>
      <c r="K172" s="57" t="str">
        <f>IFERROR(tbl_ASM[[#This Row],[Qty Required]]/tbl_ASM[[#This Row],[PPH]]*tbl_ASM[[#This Row],['# of men]],"")</f>
        <v/>
      </c>
      <c r="L172" s="58" t="e">
        <f>tbl_ASM[[#This Row],[Total hours]]*tbl_ASM[[#This Row],[% Complete]]</f>
        <v>#VALUE!</v>
      </c>
      <c r="M172" s="59" t="str">
        <f>IFERROR(tbl_ASM[[#This Row],[Qty Complete]]/tbl_ASM[[#This Row],[Total Hours Act]]*tbl_ASM[[#This Row],['# of men Act]],"")</f>
        <v/>
      </c>
      <c r="O172"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72" s="71" t="str">
        <f>IFERROR((tbl_ASM[[#This Row],[Adj. Total Hours]]+tbl_ASM[[#This Row],[Est. Hours]])/(tbl_ASM[[#This Row],[Total Hours Act]]+tbl_ASM[[#This Row],[Act. Hours]]),"")</f>
        <v/>
      </c>
      <c r="S172" s="63"/>
      <c r="T172" s="63"/>
      <c r="U172" s="63"/>
      <c r="V172" s="63"/>
      <c r="W172" s="63"/>
    </row>
    <row r="173" spans="6:23" ht="25" customHeight="1">
      <c r="F173" s="53"/>
      <c r="H173" s="55" t="e">
        <f>tbl_ASM[[#This Row],[Qty Complete]]/tbl_ASM[[#This Row],[Qty Required]]</f>
        <v>#DIV/0!</v>
      </c>
      <c r="K173" s="57" t="str">
        <f>IFERROR(tbl_ASM[[#This Row],[Qty Required]]/tbl_ASM[[#This Row],[PPH]]*tbl_ASM[[#This Row],['# of men]],"")</f>
        <v/>
      </c>
      <c r="L173" s="58" t="e">
        <f>tbl_ASM[[#This Row],[Total hours]]*tbl_ASM[[#This Row],[% Complete]]</f>
        <v>#VALUE!</v>
      </c>
      <c r="M173" s="59" t="str">
        <f>IFERROR(tbl_ASM[[#This Row],[Qty Complete]]/tbl_ASM[[#This Row],[Total Hours Act]]*tbl_ASM[[#This Row],['# of men Act]],"")</f>
        <v/>
      </c>
      <c r="O173"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73" s="71" t="str">
        <f>IFERROR((tbl_ASM[[#This Row],[Adj. Total Hours]]+tbl_ASM[[#This Row],[Est. Hours]])/(tbl_ASM[[#This Row],[Total Hours Act]]+tbl_ASM[[#This Row],[Act. Hours]]),"")</f>
        <v/>
      </c>
      <c r="S173" s="63"/>
      <c r="T173" s="63"/>
      <c r="U173" s="63"/>
      <c r="V173" s="63"/>
      <c r="W173" s="63"/>
    </row>
    <row r="174" spans="6:23" ht="25" customHeight="1">
      <c r="F174" s="53"/>
      <c r="H174" s="55" t="e">
        <f>tbl_ASM[[#This Row],[Qty Complete]]/tbl_ASM[[#This Row],[Qty Required]]</f>
        <v>#DIV/0!</v>
      </c>
      <c r="K174" s="57" t="str">
        <f>IFERROR(tbl_ASM[[#This Row],[Qty Required]]/tbl_ASM[[#This Row],[PPH]]*tbl_ASM[[#This Row],['# of men]],"")</f>
        <v/>
      </c>
      <c r="L174" s="58" t="e">
        <f>tbl_ASM[[#This Row],[Total hours]]*tbl_ASM[[#This Row],[% Complete]]</f>
        <v>#VALUE!</v>
      </c>
      <c r="M174" s="59" t="str">
        <f>IFERROR(tbl_ASM[[#This Row],[Qty Complete]]/tbl_ASM[[#This Row],[Total Hours Act]]*tbl_ASM[[#This Row],['# of men Act]],"")</f>
        <v/>
      </c>
      <c r="O174"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74" s="71" t="str">
        <f>IFERROR((tbl_ASM[[#This Row],[Adj. Total Hours]]+tbl_ASM[[#This Row],[Est. Hours]])/(tbl_ASM[[#This Row],[Total Hours Act]]+tbl_ASM[[#This Row],[Act. Hours]]),"")</f>
        <v/>
      </c>
      <c r="S174" s="63"/>
      <c r="T174" s="63"/>
      <c r="U174" s="63"/>
      <c r="V174" s="63"/>
      <c r="W174" s="63"/>
    </row>
    <row r="175" spans="6:23" ht="25" customHeight="1">
      <c r="F175" s="53"/>
      <c r="H175" s="55" t="e">
        <f>tbl_ASM[[#This Row],[Qty Complete]]/tbl_ASM[[#This Row],[Qty Required]]</f>
        <v>#DIV/0!</v>
      </c>
      <c r="K175" s="57" t="str">
        <f>IFERROR(tbl_ASM[[#This Row],[Qty Required]]/tbl_ASM[[#This Row],[PPH]]*tbl_ASM[[#This Row],['# of men]],"")</f>
        <v/>
      </c>
      <c r="L175" s="58" t="e">
        <f>tbl_ASM[[#This Row],[Total hours]]*tbl_ASM[[#This Row],[% Complete]]</f>
        <v>#VALUE!</v>
      </c>
      <c r="M175" s="59" t="str">
        <f>IFERROR(tbl_ASM[[#This Row],[Qty Complete]]/tbl_ASM[[#This Row],[Total Hours Act]]*tbl_ASM[[#This Row],['# of men Act]],"")</f>
        <v/>
      </c>
      <c r="O175"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75" s="71" t="str">
        <f>IFERROR((tbl_ASM[[#This Row],[Adj. Total Hours]]+tbl_ASM[[#This Row],[Est. Hours]])/(tbl_ASM[[#This Row],[Total Hours Act]]+tbl_ASM[[#This Row],[Act. Hours]]),"")</f>
        <v/>
      </c>
      <c r="S175" s="63"/>
      <c r="T175" s="63"/>
      <c r="U175" s="63"/>
      <c r="V175" s="63"/>
      <c r="W175" s="63"/>
    </row>
    <row r="176" spans="6:23" ht="25" customHeight="1">
      <c r="F176" s="53"/>
      <c r="H176" s="55" t="e">
        <f>tbl_ASM[[#This Row],[Qty Complete]]/tbl_ASM[[#This Row],[Qty Required]]</f>
        <v>#DIV/0!</v>
      </c>
      <c r="K176" s="57" t="str">
        <f>IFERROR(tbl_ASM[[#This Row],[Qty Required]]/tbl_ASM[[#This Row],[PPH]]*tbl_ASM[[#This Row],['# of men]],"")</f>
        <v/>
      </c>
      <c r="L176" s="58" t="e">
        <f>tbl_ASM[[#This Row],[Total hours]]*tbl_ASM[[#This Row],[% Complete]]</f>
        <v>#VALUE!</v>
      </c>
      <c r="M176" s="59" t="str">
        <f>IFERROR(tbl_ASM[[#This Row],[Qty Complete]]/tbl_ASM[[#This Row],[Total Hours Act]]*tbl_ASM[[#This Row],['# of men Act]],"")</f>
        <v/>
      </c>
      <c r="O176"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76" s="71" t="str">
        <f>IFERROR((tbl_ASM[[#This Row],[Adj. Total Hours]]+tbl_ASM[[#This Row],[Est. Hours]])/(tbl_ASM[[#This Row],[Total Hours Act]]+tbl_ASM[[#This Row],[Act. Hours]]),"")</f>
        <v/>
      </c>
      <c r="S176" s="63"/>
      <c r="T176" s="63"/>
      <c r="U176" s="63"/>
      <c r="V176" s="63"/>
      <c r="W176" s="63"/>
    </row>
    <row r="177" spans="6:23" ht="25" customHeight="1">
      <c r="F177" s="53"/>
      <c r="H177" s="55" t="e">
        <f>tbl_ASM[[#This Row],[Qty Complete]]/tbl_ASM[[#This Row],[Qty Required]]</f>
        <v>#DIV/0!</v>
      </c>
      <c r="K177" s="57" t="str">
        <f>IFERROR(tbl_ASM[[#This Row],[Qty Required]]/tbl_ASM[[#This Row],[PPH]]*tbl_ASM[[#This Row],['# of men]],"")</f>
        <v/>
      </c>
      <c r="L177" s="58" t="e">
        <f>tbl_ASM[[#This Row],[Total hours]]*tbl_ASM[[#This Row],[% Complete]]</f>
        <v>#VALUE!</v>
      </c>
      <c r="M177" s="59" t="str">
        <f>IFERROR(tbl_ASM[[#This Row],[Qty Complete]]/tbl_ASM[[#This Row],[Total Hours Act]]*tbl_ASM[[#This Row],['# of men Act]],"")</f>
        <v/>
      </c>
      <c r="O177"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77" s="71" t="str">
        <f>IFERROR((tbl_ASM[[#This Row],[Adj. Total Hours]]+tbl_ASM[[#This Row],[Est. Hours]])/(tbl_ASM[[#This Row],[Total Hours Act]]+tbl_ASM[[#This Row],[Act. Hours]]),"")</f>
        <v/>
      </c>
      <c r="S177" s="63"/>
      <c r="T177" s="63"/>
      <c r="U177" s="63"/>
      <c r="V177" s="63"/>
      <c r="W177" s="63"/>
    </row>
    <row r="178" spans="6:23" ht="25" customHeight="1">
      <c r="F178" s="53"/>
      <c r="H178" s="55" t="e">
        <f>tbl_ASM[[#This Row],[Qty Complete]]/tbl_ASM[[#This Row],[Qty Required]]</f>
        <v>#DIV/0!</v>
      </c>
      <c r="K178" s="57" t="str">
        <f>IFERROR(tbl_ASM[[#This Row],[Qty Required]]/tbl_ASM[[#This Row],[PPH]]*tbl_ASM[[#This Row],['# of men]],"")</f>
        <v/>
      </c>
      <c r="L178" s="58" t="e">
        <f>tbl_ASM[[#This Row],[Total hours]]*tbl_ASM[[#This Row],[% Complete]]</f>
        <v>#VALUE!</v>
      </c>
      <c r="M178" s="59" t="str">
        <f>IFERROR(tbl_ASM[[#This Row],[Qty Complete]]/tbl_ASM[[#This Row],[Total Hours Act]]*tbl_ASM[[#This Row],['# of men Act]],"")</f>
        <v/>
      </c>
      <c r="O178"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78" s="71" t="str">
        <f>IFERROR((tbl_ASM[[#This Row],[Adj. Total Hours]]+tbl_ASM[[#This Row],[Est. Hours]])/(tbl_ASM[[#This Row],[Total Hours Act]]+tbl_ASM[[#This Row],[Act. Hours]]),"")</f>
        <v/>
      </c>
      <c r="S178" s="63"/>
      <c r="T178" s="63"/>
      <c r="U178" s="63"/>
      <c r="V178" s="63"/>
      <c r="W178" s="63"/>
    </row>
    <row r="179" spans="6:23" ht="25" customHeight="1">
      <c r="F179" s="53"/>
      <c r="H179" s="55" t="e">
        <f>tbl_ASM[[#This Row],[Qty Complete]]/tbl_ASM[[#This Row],[Qty Required]]</f>
        <v>#DIV/0!</v>
      </c>
      <c r="K179" s="57" t="str">
        <f>IFERROR(tbl_ASM[[#This Row],[Qty Required]]/tbl_ASM[[#This Row],[PPH]]*tbl_ASM[[#This Row],['# of men]],"")</f>
        <v/>
      </c>
      <c r="L179" s="58" t="e">
        <f>tbl_ASM[[#This Row],[Total hours]]*tbl_ASM[[#This Row],[% Complete]]</f>
        <v>#VALUE!</v>
      </c>
      <c r="M179" s="59" t="str">
        <f>IFERROR(tbl_ASM[[#This Row],[Qty Complete]]/tbl_ASM[[#This Row],[Total Hours Act]]*tbl_ASM[[#This Row],['# of men Act]],"")</f>
        <v/>
      </c>
      <c r="O179"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79" s="71" t="str">
        <f>IFERROR((tbl_ASM[[#This Row],[Adj. Total Hours]]+tbl_ASM[[#This Row],[Est. Hours]])/(tbl_ASM[[#This Row],[Total Hours Act]]+tbl_ASM[[#This Row],[Act. Hours]]),"")</f>
        <v/>
      </c>
      <c r="S179" s="63"/>
      <c r="T179" s="63"/>
      <c r="U179" s="63"/>
      <c r="V179" s="63"/>
      <c r="W179" s="63"/>
    </row>
    <row r="180" spans="6:23" ht="25" customHeight="1">
      <c r="F180" s="53"/>
      <c r="H180" s="55" t="e">
        <f>tbl_ASM[[#This Row],[Qty Complete]]/tbl_ASM[[#This Row],[Qty Required]]</f>
        <v>#DIV/0!</v>
      </c>
      <c r="K180" s="57" t="str">
        <f>IFERROR(tbl_ASM[[#This Row],[Qty Required]]/tbl_ASM[[#This Row],[PPH]]*tbl_ASM[[#This Row],['# of men]],"")</f>
        <v/>
      </c>
      <c r="L180" s="58" t="e">
        <f>tbl_ASM[[#This Row],[Total hours]]*tbl_ASM[[#This Row],[% Complete]]</f>
        <v>#VALUE!</v>
      </c>
      <c r="M180" s="59" t="str">
        <f>IFERROR(tbl_ASM[[#This Row],[Qty Complete]]/tbl_ASM[[#This Row],[Total Hours Act]]*tbl_ASM[[#This Row],['# of men Act]],"")</f>
        <v/>
      </c>
      <c r="O180"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80" s="71" t="str">
        <f>IFERROR((tbl_ASM[[#This Row],[Adj. Total Hours]]+tbl_ASM[[#This Row],[Est. Hours]])/(tbl_ASM[[#This Row],[Total Hours Act]]+tbl_ASM[[#This Row],[Act. Hours]]),"")</f>
        <v/>
      </c>
      <c r="S180" s="63"/>
      <c r="T180" s="63"/>
      <c r="U180" s="63"/>
      <c r="V180" s="63"/>
      <c r="W180" s="63"/>
    </row>
    <row r="181" spans="6:23" ht="25" customHeight="1">
      <c r="F181" s="53"/>
      <c r="H181" s="55" t="e">
        <f>tbl_ASM[[#This Row],[Qty Complete]]/tbl_ASM[[#This Row],[Qty Required]]</f>
        <v>#DIV/0!</v>
      </c>
      <c r="K181" s="57" t="str">
        <f>IFERROR(tbl_ASM[[#This Row],[Qty Required]]/tbl_ASM[[#This Row],[PPH]]*tbl_ASM[[#This Row],['# of men]],"")</f>
        <v/>
      </c>
      <c r="L181" s="58" t="e">
        <f>tbl_ASM[[#This Row],[Total hours]]*tbl_ASM[[#This Row],[% Complete]]</f>
        <v>#VALUE!</v>
      </c>
      <c r="M181" s="59" t="str">
        <f>IFERROR(tbl_ASM[[#This Row],[Qty Complete]]/tbl_ASM[[#This Row],[Total Hours Act]]*tbl_ASM[[#This Row],['# of men Act]],"")</f>
        <v/>
      </c>
      <c r="O181"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81" s="71" t="str">
        <f>IFERROR((tbl_ASM[[#This Row],[Adj. Total Hours]]+tbl_ASM[[#This Row],[Est. Hours]])/(tbl_ASM[[#This Row],[Total Hours Act]]+tbl_ASM[[#This Row],[Act. Hours]]),"")</f>
        <v/>
      </c>
      <c r="S181" s="63"/>
      <c r="T181" s="63"/>
      <c r="U181" s="63"/>
      <c r="V181" s="63"/>
      <c r="W181" s="63"/>
    </row>
    <row r="182" spans="6:23" ht="25" customHeight="1">
      <c r="F182" s="53"/>
      <c r="H182" s="55" t="e">
        <f>tbl_ASM[[#This Row],[Qty Complete]]/tbl_ASM[[#This Row],[Qty Required]]</f>
        <v>#DIV/0!</v>
      </c>
      <c r="K182" s="57" t="str">
        <f>IFERROR(tbl_ASM[[#This Row],[Qty Required]]/tbl_ASM[[#This Row],[PPH]]*tbl_ASM[[#This Row],['# of men]],"")</f>
        <v/>
      </c>
      <c r="L182" s="58" t="e">
        <f>tbl_ASM[[#This Row],[Total hours]]*tbl_ASM[[#This Row],[% Complete]]</f>
        <v>#VALUE!</v>
      </c>
      <c r="M182" s="59" t="str">
        <f>IFERROR(tbl_ASM[[#This Row],[Qty Complete]]/tbl_ASM[[#This Row],[Total Hours Act]]*tbl_ASM[[#This Row],['# of men Act]],"")</f>
        <v/>
      </c>
      <c r="O182"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82" s="71" t="str">
        <f>IFERROR((tbl_ASM[[#This Row],[Adj. Total Hours]]+tbl_ASM[[#This Row],[Est. Hours]])/(tbl_ASM[[#This Row],[Total Hours Act]]+tbl_ASM[[#This Row],[Act. Hours]]),"")</f>
        <v/>
      </c>
      <c r="S182" s="63"/>
      <c r="T182" s="63"/>
      <c r="U182" s="63"/>
      <c r="V182" s="63"/>
      <c r="W182" s="63"/>
    </row>
    <row r="183" spans="6:23" ht="25" customHeight="1">
      <c r="F183" s="53"/>
      <c r="H183" s="55" t="e">
        <f>tbl_ASM[[#This Row],[Qty Complete]]/tbl_ASM[[#This Row],[Qty Required]]</f>
        <v>#DIV/0!</v>
      </c>
      <c r="K183" s="57" t="str">
        <f>IFERROR(tbl_ASM[[#This Row],[Qty Required]]/tbl_ASM[[#This Row],[PPH]]*tbl_ASM[[#This Row],['# of men]],"")</f>
        <v/>
      </c>
      <c r="L183" s="58" t="e">
        <f>tbl_ASM[[#This Row],[Total hours]]*tbl_ASM[[#This Row],[% Complete]]</f>
        <v>#VALUE!</v>
      </c>
      <c r="M183" s="59" t="str">
        <f>IFERROR(tbl_ASM[[#This Row],[Qty Complete]]/tbl_ASM[[#This Row],[Total Hours Act]]*tbl_ASM[[#This Row],['# of men Act]],"")</f>
        <v/>
      </c>
      <c r="O183"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83" s="71" t="str">
        <f>IFERROR((tbl_ASM[[#This Row],[Adj. Total Hours]]+tbl_ASM[[#This Row],[Est. Hours]])/(tbl_ASM[[#This Row],[Total Hours Act]]+tbl_ASM[[#This Row],[Act. Hours]]),"")</f>
        <v/>
      </c>
      <c r="S183" s="63"/>
      <c r="T183" s="63"/>
      <c r="U183" s="63"/>
      <c r="V183" s="63"/>
      <c r="W183" s="63"/>
    </row>
    <row r="184" spans="6:23" ht="25" customHeight="1">
      <c r="F184" s="53"/>
      <c r="H184" s="55" t="e">
        <f>tbl_ASM[[#This Row],[Qty Complete]]/tbl_ASM[[#This Row],[Qty Required]]</f>
        <v>#DIV/0!</v>
      </c>
      <c r="K184" s="57" t="str">
        <f>IFERROR(tbl_ASM[[#This Row],[Qty Required]]/tbl_ASM[[#This Row],[PPH]]*tbl_ASM[[#This Row],['# of men]],"")</f>
        <v/>
      </c>
      <c r="L184" s="58" t="e">
        <f>tbl_ASM[[#This Row],[Total hours]]*tbl_ASM[[#This Row],[% Complete]]</f>
        <v>#VALUE!</v>
      </c>
      <c r="M184" s="59" t="str">
        <f>IFERROR(tbl_ASM[[#This Row],[Qty Complete]]/tbl_ASM[[#This Row],[Total Hours Act]]*tbl_ASM[[#This Row],['# of men Act]],"")</f>
        <v/>
      </c>
      <c r="O184"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84" s="71" t="str">
        <f>IFERROR((tbl_ASM[[#This Row],[Adj. Total Hours]]+tbl_ASM[[#This Row],[Est. Hours]])/(tbl_ASM[[#This Row],[Total Hours Act]]+tbl_ASM[[#This Row],[Act. Hours]]),"")</f>
        <v/>
      </c>
      <c r="S184" s="63"/>
      <c r="T184" s="63"/>
      <c r="U184" s="63"/>
      <c r="V184" s="63"/>
      <c r="W184" s="63"/>
    </row>
    <row r="185" spans="6:23" ht="25" customHeight="1">
      <c r="F185" s="53"/>
      <c r="H185" s="55" t="e">
        <f>tbl_ASM[[#This Row],[Qty Complete]]/tbl_ASM[[#This Row],[Qty Required]]</f>
        <v>#DIV/0!</v>
      </c>
      <c r="K185" s="57" t="str">
        <f>IFERROR(tbl_ASM[[#This Row],[Qty Required]]/tbl_ASM[[#This Row],[PPH]]*tbl_ASM[[#This Row],['# of men]],"")</f>
        <v/>
      </c>
      <c r="L185" s="58" t="e">
        <f>tbl_ASM[[#This Row],[Total hours]]*tbl_ASM[[#This Row],[% Complete]]</f>
        <v>#VALUE!</v>
      </c>
      <c r="M185" s="59" t="str">
        <f>IFERROR(tbl_ASM[[#This Row],[Qty Complete]]/tbl_ASM[[#This Row],[Total Hours Act]]*tbl_ASM[[#This Row],['# of men Act]],"")</f>
        <v/>
      </c>
      <c r="O185"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85" s="71" t="str">
        <f>IFERROR((tbl_ASM[[#This Row],[Adj. Total Hours]]+tbl_ASM[[#This Row],[Est. Hours]])/(tbl_ASM[[#This Row],[Total Hours Act]]+tbl_ASM[[#This Row],[Act. Hours]]),"")</f>
        <v/>
      </c>
      <c r="S185" s="63"/>
      <c r="T185" s="63"/>
      <c r="U185" s="63"/>
      <c r="V185" s="63"/>
      <c r="W185" s="63"/>
    </row>
    <row r="186" spans="6:23" ht="25" customHeight="1">
      <c r="F186" s="53"/>
      <c r="H186" s="55" t="e">
        <f>tbl_ASM[[#This Row],[Qty Complete]]/tbl_ASM[[#This Row],[Qty Required]]</f>
        <v>#DIV/0!</v>
      </c>
      <c r="K186" s="57" t="str">
        <f>IFERROR(tbl_ASM[[#This Row],[Qty Required]]/tbl_ASM[[#This Row],[PPH]]*tbl_ASM[[#This Row],['# of men]],"")</f>
        <v/>
      </c>
      <c r="L186" s="58" t="e">
        <f>tbl_ASM[[#This Row],[Total hours]]*tbl_ASM[[#This Row],[% Complete]]</f>
        <v>#VALUE!</v>
      </c>
      <c r="M186" s="59" t="str">
        <f>IFERROR(tbl_ASM[[#This Row],[Qty Complete]]/tbl_ASM[[#This Row],[Total Hours Act]]*tbl_ASM[[#This Row],['# of men Act]],"")</f>
        <v/>
      </c>
      <c r="O186"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86" s="71" t="str">
        <f>IFERROR((tbl_ASM[[#This Row],[Adj. Total Hours]]+tbl_ASM[[#This Row],[Est. Hours]])/(tbl_ASM[[#This Row],[Total Hours Act]]+tbl_ASM[[#This Row],[Act. Hours]]),"")</f>
        <v/>
      </c>
      <c r="S186" s="63"/>
      <c r="T186" s="63"/>
      <c r="U186" s="63"/>
      <c r="V186" s="63"/>
      <c r="W186" s="63"/>
    </row>
    <row r="187" spans="6:23" ht="25" customHeight="1">
      <c r="F187" s="53"/>
      <c r="H187" s="55" t="e">
        <f>tbl_ASM[[#This Row],[Qty Complete]]/tbl_ASM[[#This Row],[Qty Required]]</f>
        <v>#DIV/0!</v>
      </c>
      <c r="K187" s="57" t="str">
        <f>IFERROR(tbl_ASM[[#This Row],[Qty Required]]/tbl_ASM[[#This Row],[PPH]]*tbl_ASM[[#This Row],['# of men]],"")</f>
        <v/>
      </c>
      <c r="L187" s="58" t="e">
        <f>tbl_ASM[[#This Row],[Total hours]]*tbl_ASM[[#This Row],[% Complete]]</f>
        <v>#VALUE!</v>
      </c>
      <c r="M187" s="59" t="str">
        <f>IFERROR(tbl_ASM[[#This Row],[Qty Complete]]/tbl_ASM[[#This Row],[Total Hours Act]]*tbl_ASM[[#This Row],['# of men Act]],"")</f>
        <v/>
      </c>
      <c r="O187"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87" s="71" t="str">
        <f>IFERROR((tbl_ASM[[#This Row],[Adj. Total Hours]]+tbl_ASM[[#This Row],[Est. Hours]])/(tbl_ASM[[#This Row],[Total Hours Act]]+tbl_ASM[[#This Row],[Act. Hours]]),"")</f>
        <v/>
      </c>
      <c r="S187" s="63"/>
      <c r="T187" s="63"/>
      <c r="U187" s="63"/>
      <c r="V187" s="63"/>
      <c r="W187" s="63"/>
    </row>
    <row r="188" spans="6:23" ht="25" customHeight="1">
      <c r="F188" s="53"/>
      <c r="H188" s="55" t="e">
        <f>tbl_ASM[[#This Row],[Qty Complete]]/tbl_ASM[[#This Row],[Qty Required]]</f>
        <v>#DIV/0!</v>
      </c>
      <c r="K188" s="57" t="str">
        <f>IFERROR(tbl_ASM[[#This Row],[Qty Required]]/tbl_ASM[[#This Row],[PPH]]*tbl_ASM[[#This Row],['# of men]],"")</f>
        <v/>
      </c>
      <c r="L188" s="58" t="e">
        <f>tbl_ASM[[#This Row],[Total hours]]*tbl_ASM[[#This Row],[% Complete]]</f>
        <v>#VALUE!</v>
      </c>
      <c r="M188" s="59" t="str">
        <f>IFERROR(tbl_ASM[[#This Row],[Qty Complete]]/tbl_ASM[[#This Row],[Total Hours Act]]*tbl_ASM[[#This Row],['# of men Act]],"")</f>
        <v/>
      </c>
      <c r="O188"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88" s="71" t="str">
        <f>IFERROR((tbl_ASM[[#This Row],[Adj. Total Hours]]+tbl_ASM[[#This Row],[Est. Hours]])/(tbl_ASM[[#This Row],[Total Hours Act]]+tbl_ASM[[#This Row],[Act. Hours]]),"")</f>
        <v/>
      </c>
      <c r="S188" s="63"/>
      <c r="T188" s="63"/>
      <c r="U188" s="63"/>
      <c r="V188" s="63"/>
      <c r="W188" s="63"/>
    </row>
    <row r="189" spans="6:23" ht="25" customHeight="1">
      <c r="F189" s="53"/>
      <c r="H189" s="55" t="e">
        <f>tbl_ASM[[#This Row],[Qty Complete]]/tbl_ASM[[#This Row],[Qty Required]]</f>
        <v>#DIV/0!</v>
      </c>
      <c r="K189" s="57" t="str">
        <f>IFERROR(tbl_ASM[[#This Row],[Qty Required]]/tbl_ASM[[#This Row],[PPH]]*tbl_ASM[[#This Row],['# of men]],"")</f>
        <v/>
      </c>
      <c r="L189" s="58" t="e">
        <f>tbl_ASM[[#This Row],[Total hours]]*tbl_ASM[[#This Row],[% Complete]]</f>
        <v>#VALUE!</v>
      </c>
      <c r="M189" s="59" t="str">
        <f>IFERROR(tbl_ASM[[#This Row],[Qty Complete]]/tbl_ASM[[#This Row],[Total Hours Act]]*tbl_ASM[[#This Row],['# of men Act]],"")</f>
        <v/>
      </c>
      <c r="O189"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89" s="71" t="str">
        <f>IFERROR((tbl_ASM[[#This Row],[Adj. Total Hours]]+tbl_ASM[[#This Row],[Est. Hours]])/(tbl_ASM[[#This Row],[Total Hours Act]]+tbl_ASM[[#This Row],[Act. Hours]]),"")</f>
        <v/>
      </c>
      <c r="S189" s="63"/>
      <c r="T189" s="63"/>
      <c r="U189" s="63"/>
      <c r="V189" s="63"/>
      <c r="W189" s="63"/>
    </row>
    <row r="190" spans="6:23" ht="25" customHeight="1">
      <c r="F190" s="53"/>
      <c r="H190" s="55" t="e">
        <f>tbl_ASM[[#This Row],[Qty Complete]]/tbl_ASM[[#This Row],[Qty Required]]</f>
        <v>#DIV/0!</v>
      </c>
      <c r="K190" s="57" t="str">
        <f>IFERROR(tbl_ASM[[#This Row],[Qty Required]]/tbl_ASM[[#This Row],[PPH]]*tbl_ASM[[#This Row],['# of men]],"")</f>
        <v/>
      </c>
      <c r="L190" s="58" t="e">
        <f>tbl_ASM[[#This Row],[Total hours]]*tbl_ASM[[#This Row],[% Complete]]</f>
        <v>#VALUE!</v>
      </c>
      <c r="M190" s="59" t="str">
        <f>IFERROR(tbl_ASM[[#This Row],[Qty Complete]]/tbl_ASM[[#This Row],[Total Hours Act]]*tbl_ASM[[#This Row],['# of men Act]],"")</f>
        <v/>
      </c>
      <c r="O190"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90" s="71" t="str">
        <f>IFERROR((tbl_ASM[[#This Row],[Adj. Total Hours]]+tbl_ASM[[#This Row],[Est. Hours]])/(tbl_ASM[[#This Row],[Total Hours Act]]+tbl_ASM[[#This Row],[Act. Hours]]),"")</f>
        <v/>
      </c>
      <c r="S190" s="63"/>
      <c r="T190" s="63"/>
      <c r="U190" s="63"/>
      <c r="V190" s="63"/>
      <c r="W190" s="63"/>
    </row>
    <row r="191" spans="6:23" ht="25" customHeight="1">
      <c r="F191" s="53"/>
      <c r="H191" s="55" t="e">
        <f>tbl_ASM[[#This Row],[Qty Complete]]/tbl_ASM[[#This Row],[Qty Required]]</f>
        <v>#DIV/0!</v>
      </c>
      <c r="K191" s="57" t="str">
        <f>IFERROR(tbl_ASM[[#This Row],[Qty Required]]/tbl_ASM[[#This Row],[PPH]]*tbl_ASM[[#This Row],['# of men]],"")</f>
        <v/>
      </c>
      <c r="L191" s="58" t="e">
        <f>tbl_ASM[[#This Row],[Total hours]]*tbl_ASM[[#This Row],[% Complete]]</f>
        <v>#VALUE!</v>
      </c>
      <c r="M191" s="59" t="str">
        <f>IFERROR(tbl_ASM[[#This Row],[Qty Complete]]/tbl_ASM[[#This Row],[Total Hours Act]]*tbl_ASM[[#This Row],['# of men Act]],"")</f>
        <v/>
      </c>
      <c r="O191"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91" s="71" t="str">
        <f>IFERROR((tbl_ASM[[#This Row],[Adj. Total Hours]]+tbl_ASM[[#This Row],[Est. Hours]])/(tbl_ASM[[#This Row],[Total Hours Act]]+tbl_ASM[[#This Row],[Act. Hours]]),"")</f>
        <v/>
      </c>
      <c r="S191" s="63"/>
      <c r="T191" s="63"/>
      <c r="U191" s="63"/>
      <c r="V191" s="63"/>
      <c r="W191" s="63"/>
    </row>
    <row r="192" spans="6:23" ht="25" customHeight="1">
      <c r="F192" s="53"/>
      <c r="H192" s="55" t="e">
        <f>tbl_ASM[[#This Row],[Qty Complete]]/tbl_ASM[[#This Row],[Qty Required]]</f>
        <v>#DIV/0!</v>
      </c>
      <c r="K192" s="57" t="str">
        <f>IFERROR(tbl_ASM[[#This Row],[Qty Required]]/tbl_ASM[[#This Row],[PPH]]*tbl_ASM[[#This Row],['# of men]],"")</f>
        <v/>
      </c>
      <c r="L192" s="58" t="e">
        <f>tbl_ASM[[#This Row],[Total hours]]*tbl_ASM[[#This Row],[% Complete]]</f>
        <v>#VALUE!</v>
      </c>
      <c r="M192" s="59" t="str">
        <f>IFERROR(tbl_ASM[[#This Row],[Qty Complete]]/tbl_ASM[[#This Row],[Total Hours Act]]*tbl_ASM[[#This Row],['# of men Act]],"")</f>
        <v/>
      </c>
      <c r="O192"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92" s="71" t="str">
        <f>IFERROR((tbl_ASM[[#This Row],[Adj. Total Hours]]+tbl_ASM[[#This Row],[Est. Hours]])/(tbl_ASM[[#This Row],[Total Hours Act]]+tbl_ASM[[#This Row],[Act. Hours]]),"")</f>
        <v/>
      </c>
      <c r="S192" s="63"/>
      <c r="T192" s="63"/>
      <c r="U192" s="63"/>
      <c r="V192" s="63"/>
      <c r="W192" s="63"/>
    </row>
    <row r="193" spans="6:23" ht="25" customHeight="1">
      <c r="F193" s="53"/>
      <c r="H193" s="55" t="e">
        <f>tbl_ASM[[#This Row],[Qty Complete]]/tbl_ASM[[#This Row],[Qty Required]]</f>
        <v>#DIV/0!</v>
      </c>
      <c r="K193" s="57" t="str">
        <f>IFERROR(tbl_ASM[[#This Row],[Qty Required]]/tbl_ASM[[#This Row],[PPH]]*tbl_ASM[[#This Row],['# of men]],"")</f>
        <v/>
      </c>
      <c r="L193" s="58" t="e">
        <f>tbl_ASM[[#This Row],[Total hours]]*tbl_ASM[[#This Row],[% Complete]]</f>
        <v>#VALUE!</v>
      </c>
      <c r="M193" s="59" t="str">
        <f>IFERROR(tbl_ASM[[#This Row],[Qty Complete]]/tbl_ASM[[#This Row],[Total Hours Act]]*tbl_ASM[[#This Row],['# of men Act]],"")</f>
        <v/>
      </c>
      <c r="O193"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93" s="71" t="str">
        <f>IFERROR((tbl_ASM[[#This Row],[Adj. Total Hours]]+tbl_ASM[[#This Row],[Est. Hours]])/(tbl_ASM[[#This Row],[Total Hours Act]]+tbl_ASM[[#This Row],[Act. Hours]]),"")</f>
        <v/>
      </c>
      <c r="S193" s="63"/>
      <c r="T193" s="63"/>
      <c r="U193" s="63"/>
      <c r="V193" s="63"/>
      <c r="W193" s="63"/>
    </row>
    <row r="194" spans="6:23" ht="25" customHeight="1">
      <c r="F194" s="53"/>
      <c r="H194" s="55" t="e">
        <f>tbl_ASM[[#This Row],[Qty Complete]]/tbl_ASM[[#This Row],[Qty Required]]</f>
        <v>#DIV/0!</v>
      </c>
      <c r="K194" s="57" t="str">
        <f>IFERROR(tbl_ASM[[#This Row],[Qty Required]]/tbl_ASM[[#This Row],[PPH]]*tbl_ASM[[#This Row],['# of men]],"")</f>
        <v/>
      </c>
      <c r="L194" s="58" t="e">
        <f>tbl_ASM[[#This Row],[Total hours]]*tbl_ASM[[#This Row],[% Complete]]</f>
        <v>#VALUE!</v>
      </c>
      <c r="M194" s="59" t="str">
        <f>IFERROR(tbl_ASM[[#This Row],[Qty Complete]]/tbl_ASM[[#This Row],[Total Hours Act]]*tbl_ASM[[#This Row],['# of men Act]],"")</f>
        <v/>
      </c>
      <c r="O194"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94" s="71" t="str">
        <f>IFERROR((tbl_ASM[[#This Row],[Adj. Total Hours]]+tbl_ASM[[#This Row],[Est. Hours]])/(tbl_ASM[[#This Row],[Total Hours Act]]+tbl_ASM[[#This Row],[Act. Hours]]),"")</f>
        <v/>
      </c>
      <c r="S194" s="63"/>
      <c r="T194" s="63"/>
      <c r="U194" s="63"/>
      <c r="V194" s="63"/>
      <c r="W194" s="63"/>
    </row>
    <row r="195" spans="6:23" ht="25" customHeight="1">
      <c r="F195" s="53"/>
      <c r="H195" s="55" t="e">
        <f>tbl_ASM[[#This Row],[Qty Complete]]/tbl_ASM[[#This Row],[Qty Required]]</f>
        <v>#DIV/0!</v>
      </c>
      <c r="K195" s="57" t="str">
        <f>IFERROR(tbl_ASM[[#This Row],[Qty Required]]/tbl_ASM[[#This Row],[PPH]]*tbl_ASM[[#This Row],['# of men]],"")</f>
        <v/>
      </c>
      <c r="L195" s="58" t="e">
        <f>tbl_ASM[[#This Row],[Total hours]]*tbl_ASM[[#This Row],[% Complete]]</f>
        <v>#VALUE!</v>
      </c>
      <c r="M195" s="59" t="str">
        <f>IFERROR(tbl_ASM[[#This Row],[Qty Complete]]/tbl_ASM[[#This Row],[Total Hours Act]]*tbl_ASM[[#This Row],['# of men Act]],"")</f>
        <v/>
      </c>
      <c r="O195"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95" s="71" t="str">
        <f>IFERROR((tbl_ASM[[#This Row],[Adj. Total Hours]]+tbl_ASM[[#This Row],[Est. Hours]])/(tbl_ASM[[#This Row],[Total Hours Act]]+tbl_ASM[[#This Row],[Act. Hours]]),"")</f>
        <v/>
      </c>
      <c r="S195" s="63"/>
      <c r="T195" s="63"/>
      <c r="U195" s="63"/>
      <c r="V195" s="63"/>
      <c r="W195" s="63"/>
    </row>
    <row r="196" spans="6:23" ht="25" customHeight="1">
      <c r="F196" s="53"/>
      <c r="H196" s="55" t="e">
        <f>tbl_ASM[[#This Row],[Qty Complete]]/tbl_ASM[[#This Row],[Qty Required]]</f>
        <v>#DIV/0!</v>
      </c>
      <c r="K196" s="57" t="str">
        <f>IFERROR(tbl_ASM[[#This Row],[Qty Required]]/tbl_ASM[[#This Row],[PPH]]*tbl_ASM[[#This Row],['# of men]],"")</f>
        <v/>
      </c>
      <c r="L196" s="58" t="e">
        <f>tbl_ASM[[#This Row],[Total hours]]*tbl_ASM[[#This Row],[% Complete]]</f>
        <v>#VALUE!</v>
      </c>
      <c r="M196" s="59" t="str">
        <f>IFERROR(tbl_ASM[[#This Row],[Qty Complete]]/tbl_ASM[[#This Row],[Total Hours Act]]*tbl_ASM[[#This Row],['# of men Act]],"")</f>
        <v/>
      </c>
      <c r="O196"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96" s="71" t="str">
        <f>IFERROR((tbl_ASM[[#This Row],[Adj. Total Hours]]+tbl_ASM[[#This Row],[Est. Hours]])/(tbl_ASM[[#This Row],[Total Hours Act]]+tbl_ASM[[#This Row],[Act. Hours]]),"")</f>
        <v/>
      </c>
      <c r="S196" s="63"/>
      <c r="T196" s="63"/>
      <c r="U196" s="63"/>
      <c r="V196" s="63"/>
      <c r="W196" s="63"/>
    </row>
    <row r="197" spans="6:23" ht="25" customHeight="1">
      <c r="F197" s="53"/>
      <c r="H197" s="55" t="e">
        <f>tbl_ASM[[#This Row],[Qty Complete]]/tbl_ASM[[#This Row],[Qty Required]]</f>
        <v>#DIV/0!</v>
      </c>
      <c r="K197" s="57" t="str">
        <f>IFERROR(tbl_ASM[[#This Row],[Qty Required]]/tbl_ASM[[#This Row],[PPH]]*tbl_ASM[[#This Row],['# of men]],"")</f>
        <v/>
      </c>
      <c r="L197" s="58" t="e">
        <f>tbl_ASM[[#This Row],[Total hours]]*tbl_ASM[[#This Row],[% Complete]]</f>
        <v>#VALUE!</v>
      </c>
      <c r="M197" s="59" t="str">
        <f>IFERROR(tbl_ASM[[#This Row],[Qty Complete]]/tbl_ASM[[#This Row],[Total Hours Act]]*tbl_ASM[[#This Row],['# of men Act]],"")</f>
        <v/>
      </c>
      <c r="O197"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97" s="71" t="str">
        <f>IFERROR((tbl_ASM[[#This Row],[Adj. Total Hours]]+tbl_ASM[[#This Row],[Est. Hours]])/(tbl_ASM[[#This Row],[Total Hours Act]]+tbl_ASM[[#This Row],[Act. Hours]]),"")</f>
        <v/>
      </c>
      <c r="S197" s="63"/>
      <c r="T197" s="63"/>
      <c r="U197" s="63"/>
      <c r="V197" s="63"/>
      <c r="W197" s="63"/>
    </row>
    <row r="198" spans="6:23" ht="25" customHeight="1">
      <c r="F198" s="53"/>
      <c r="H198" s="55" t="e">
        <f>tbl_ASM[[#This Row],[Qty Complete]]/tbl_ASM[[#This Row],[Qty Required]]</f>
        <v>#DIV/0!</v>
      </c>
      <c r="K198" s="57" t="str">
        <f>IFERROR(tbl_ASM[[#This Row],[Qty Required]]/tbl_ASM[[#This Row],[PPH]]*tbl_ASM[[#This Row],['# of men]],"")</f>
        <v/>
      </c>
      <c r="L198" s="58" t="e">
        <f>tbl_ASM[[#This Row],[Total hours]]*tbl_ASM[[#This Row],[% Complete]]</f>
        <v>#VALUE!</v>
      </c>
      <c r="M198" s="59" t="str">
        <f>IFERROR(tbl_ASM[[#This Row],[Qty Complete]]/tbl_ASM[[#This Row],[Total Hours Act]]*tbl_ASM[[#This Row],['# of men Act]],"")</f>
        <v/>
      </c>
      <c r="O198"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98" s="71" t="str">
        <f>IFERROR((tbl_ASM[[#This Row],[Adj. Total Hours]]+tbl_ASM[[#This Row],[Est. Hours]])/(tbl_ASM[[#This Row],[Total Hours Act]]+tbl_ASM[[#This Row],[Act. Hours]]),"")</f>
        <v/>
      </c>
      <c r="S198" s="63"/>
      <c r="T198" s="63"/>
      <c r="U198" s="63"/>
      <c r="V198" s="63"/>
      <c r="W198" s="63"/>
    </row>
    <row r="199" spans="6:23" ht="25" customHeight="1">
      <c r="F199" s="53"/>
      <c r="H199" s="55" t="e">
        <f>tbl_ASM[[#This Row],[Qty Complete]]/tbl_ASM[[#This Row],[Qty Required]]</f>
        <v>#DIV/0!</v>
      </c>
      <c r="K199" s="57" t="str">
        <f>IFERROR(tbl_ASM[[#This Row],[Qty Required]]/tbl_ASM[[#This Row],[PPH]]*tbl_ASM[[#This Row],['# of men]],"")</f>
        <v/>
      </c>
      <c r="L199" s="58" t="e">
        <f>tbl_ASM[[#This Row],[Total hours]]*tbl_ASM[[#This Row],[% Complete]]</f>
        <v>#VALUE!</v>
      </c>
      <c r="M199" s="59" t="str">
        <f>IFERROR(tbl_ASM[[#This Row],[Qty Complete]]/tbl_ASM[[#This Row],[Total Hours Act]]*tbl_ASM[[#This Row],['# of men Act]],"")</f>
        <v/>
      </c>
      <c r="O199"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199" s="71" t="str">
        <f>IFERROR((tbl_ASM[[#This Row],[Adj. Total Hours]]+tbl_ASM[[#This Row],[Est. Hours]])/(tbl_ASM[[#This Row],[Total Hours Act]]+tbl_ASM[[#This Row],[Act. Hours]]),"")</f>
        <v/>
      </c>
      <c r="S199" s="63"/>
      <c r="T199" s="63"/>
      <c r="U199" s="63"/>
      <c r="V199" s="63"/>
      <c r="W199" s="63"/>
    </row>
    <row r="200" spans="6:23" ht="25" customHeight="1">
      <c r="F200" s="53"/>
      <c r="H200" s="55" t="e">
        <f>tbl_ASM[[#This Row],[Qty Complete]]/tbl_ASM[[#This Row],[Qty Required]]</f>
        <v>#DIV/0!</v>
      </c>
      <c r="K200" s="57" t="str">
        <f>IFERROR(tbl_ASM[[#This Row],[Qty Required]]/tbl_ASM[[#This Row],[PPH]]*tbl_ASM[[#This Row],['# of men]],"")</f>
        <v/>
      </c>
      <c r="L200" s="58" t="e">
        <f>tbl_ASM[[#This Row],[Total hours]]*tbl_ASM[[#This Row],[% Complete]]</f>
        <v>#VALUE!</v>
      </c>
      <c r="M200" s="59" t="str">
        <f>IFERROR(tbl_ASM[[#This Row],[Qty Complete]]/tbl_ASM[[#This Row],[Total Hours Act]]*tbl_ASM[[#This Row],['# of men Act]],"")</f>
        <v/>
      </c>
      <c r="O200"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00" s="71" t="str">
        <f>IFERROR((tbl_ASM[[#This Row],[Adj. Total Hours]]+tbl_ASM[[#This Row],[Est. Hours]])/(tbl_ASM[[#This Row],[Total Hours Act]]+tbl_ASM[[#This Row],[Act. Hours]]),"")</f>
        <v/>
      </c>
      <c r="S200" s="63"/>
      <c r="T200" s="63"/>
      <c r="U200" s="63"/>
      <c r="V200" s="63"/>
      <c r="W200" s="63"/>
    </row>
    <row r="201" spans="6:23" ht="25" customHeight="1">
      <c r="F201" s="53"/>
      <c r="H201" s="55" t="e">
        <f>tbl_ASM[[#This Row],[Qty Complete]]/tbl_ASM[[#This Row],[Qty Required]]</f>
        <v>#DIV/0!</v>
      </c>
      <c r="K201" s="57" t="str">
        <f>IFERROR(tbl_ASM[[#This Row],[Qty Required]]/tbl_ASM[[#This Row],[PPH]]*tbl_ASM[[#This Row],['# of men]],"")</f>
        <v/>
      </c>
      <c r="L201" s="58" t="e">
        <f>tbl_ASM[[#This Row],[Total hours]]*tbl_ASM[[#This Row],[% Complete]]</f>
        <v>#VALUE!</v>
      </c>
      <c r="M201" s="59" t="str">
        <f>IFERROR(tbl_ASM[[#This Row],[Qty Complete]]/tbl_ASM[[#This Row],[Total Hours Act]]*tbl_ASM[[#This Row],['# of men Act]],"")</f>
        <v/>
      </c>
      <c r="O201"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01" s="71" t="str">
        <f>IFERROR((tbl_ASM[[#This Row],[Adj. Total Hours]]+tbl_ASM[[#This Row],[Est. Hours]])/(tbl_ASM[[#This Row],[Total Hours Act]]+tbl_ASM[[#This Row],[Act. Hours]]),"")</f>
        <v/>
      </c>
      <c r="S201" s="63"/>
      <c r="T201" s="63"/>
      <c r="U201" s="63"/>
      <c r="V201" s="63"/>
      <c r="W201" s="63"/>
    </row>
    <row r="202" spans="6:23" ht="25" customHeight="1">
      <c r="F202" s="53"/>
      <c r="H202" s="55" t="e">
        <f>tbl_ASM[[#This Row],[Qty Complete]]/tbl_ASM[[#This Row],[Qty Required]]</f>
        <v>#DIV/0!</v>
      </c>
      <c r="K202" s="57" t="str">
        <f>IFERROR(tbl_ASM[[#This Row],[Qty Required]]/tbl_ASM[[#This Row],[PPH]]*tbl_ASM[[#This Row],['# of men]],"")</f>
        <v/>
      </c>
      <c r="L202" s="58" t="e">
        <f>tbl_ASM[[#This Row],[Total hours]]*tbl_ASM[[#This Row],[% Complete]]</f>
        <v>#VALUE!</v>
      </c>
      <c r="M202" s="59" t="str">
        <f>IFERROR(tbl_ASM[[#This Row],[Qty Complete]]/tbl_ASM[[#This Row],[Total Hours Act]]*tbl_ASM[[#This Row],['# of men Act]],"")</f>
        <v/>
      </c>
      <c r="O202"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02" s="71" t="str">
        <f>IFERROR((tbl_ASM[[#This Row],[Adj. Total Hours]]+tbl_ASM[[#This Row],[Est. Hours]])/(tbl_ASM[[#This Row],[Total Hours Act]]+tbl_ASM[[#This Row],[Act. Hours]]),"")</f>
        <v/>
      </c>
      <c r="S202" s="63"/>
      <c r="T202" s="63"/>
      <c r="U202" s="63"/>
      <c r="V202" s="63"/>
      <c r="W202" s="63"/>
    </row>
    <row r="203" spans="6:23" ht="25" customHeight="1">
      <c r="F203" s="53"/>
      <c r="H203" s="55" t="e">
        <f>tbl_ASM[[#This Row],[Qty Complete]]/tbl_ASM[[#This Row],[Qty Required]]</f>
        <v>#DIV/0!</v>
      </c>
      <c r="K203" s="57" t="str">
        <f>IFERROR(tbl_ASM[[#This Row],[Qty Required]]/tbl_ASM[[#This Row],[PPH]]*tbl_ASM[[#This Row],['# of men]],"")</f>
        <v/>
      </c>
      <c r="L203" s="58" t="e">
        <f>tbl_ASM[[#This Row],[Total hours]]*tbl_ASM[[#This Row],[% Complete]]</f>
        <v>#VALUE!</v>
      </c>
      <c r="M203" s="59" t="str">
        <f>IFERROR(tbl_ASM[[#This Row],[Qty Complete]]/tbl_ASM[[#This Row],[Total Hours Act]]*tbl_ASM[[#This Row],['# of men Act]],"")</f>
        <v/>
      </c>
      <c r="O203"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03" s="71" t="str">
        <f>IFERROR((tbl_ASM[[#This Row],[Adj. Total Hours]]+tbl_ASM[[#This Row],[Est. Hours]])/(tbl_ASM[[#This Row],[Total Hours Act]]+tbl_ASM[[#This Row],[Act. Hours]]),"")</f>
        <v/>
      </c>
      <c r="S203" s="63"/>
      <c r="T203" s="63"/>
      <c r="U203" s="63"/>
      <c r="V203" s="63"/>
      <c r="W203" s="63"/>
    </row>
    <row r="204" spans="6:23" ht="25" customHeight="1">
      <c r="F204" s="53"/>
      <c r="H204" s="55" t="e">
        <f>tbl_ASM[[#This Row],[Qty Complete]]/tbl_ASM[[#This Row],[Qty Required]]</f>
        <v>#DIV/0!</v>
      </c>
      <c r="K204" s="57" t="str">
        <f>IFERROR(tbl_ASM[[#This Row],[Qty Required]]/tbl_ASM[[#This Row],[PPH]]*tbl_ASM[[#This Row],['# of men]],"")</f>
        <v/>
      </c>
      <c r="L204" s="58" t="e">
        <f>tbl_ASM[[#This Row],[Total hours]]*tbl_ASM[[#This Row],[% Complete]]</f>
        <v>#VALUE!</v>
      </c>
      <c r="M204" s="59" t="str">
        <f>IFERROR(tbl_ASM[[#This Row],[Qty Complete]]/tbl_ASM[[#This Row],[Total Hours Act]]*tbl_ASM[[#This Row],['# of men Act]],"")</f>
        <v/>
      </c>
      <c r="O204"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04" s="71" t="str">
        <f>IFERROR((tbl_ASM[[#This Row],[Adj. Total Hours]]+tbl_ASM[[#This Row],[Est. Hours]])/(tbl_ASM[[#This Row],[Total Hours Act]]+tbl_ASM[[#This Row],[Act. Hours]]),"")</f>
        <v/>
      </c>
      <c r="S204" s="63"/>
      <c r="T204" s="63"/>
      <c r="U204" s="63"/>
      <c r="V204" s="63"/>
      <c r="W204" s="63"/>
    </row>
    <row r="205" spans="6:23" ht="25" customHeight="1">
      <c r="F205" s="53"/>
      <c r="H205" s="55" t="e">
        <f>tbl_ASM[[#This Row],[Qty Complete]]/tbl_ASM[[#This Row],[Qty Required]]</f>
        <v>#DIV/0!</v>
      </c>
      <c r="K205" s="57" t="str">
        <f>IFERROR(tbl_ASM[[#This Row],[Qty Required]]/tbl_ASM[[#This Row],[PPH]]*tbl_ASM[[#This Row],['# of men]],"")</f>
        <v/>
      </c>
      <c r="L205" s="58" t="e">
        <f>tbl_ASM[[#This Row],[Total hours]]*tbl_ASM[[#This Row],[% Complete]]</f>
        <v>#VALUE!</v>
      </c>
      <c r="M205" s="59" t="str">
        <f>IFERROR(tbl_ASM[[#This Row],[Qty Complete]]/tbl_ASM[[#This Row],[Total Hours Act]]*tbl_ASM[[#This Row],['# of men Act]],"")</f>
        <v/>
      </c>
      <c r="O205"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05" s="71" t="str">
        <f>IFERROR((tbl_ASM[[#This Row],[Adj. Total Hours]]+tbl_ASM[[#This Row],[Est. Hours]])/(tbl_ASM[[#This Row],[Total Hours Act]]+tbl_ASM[[#This Row],[Act. Hours]]),"")</f>
        <v/>
      </c>
      <c r="S205" s="63"/>
      <c r="T205" s="63"/>
      <c r="U205" s="63"/>
      <c r="V205" s="63"/>
      <c r="W205" s="63"/>
    </row>
    <row r="206" spans="6:23" ht="25" customHeight="1">
      <c r="F206" s="53"/>
      <c r="H206" s="55" t="e">
        <f>tbl_ASM[[#This Row],[Qty Complete]]/tbl_ASM[[#This Row],[Qty Required]]</f>
        <v>#DIV/0!</v>
      </c>
      <c r="K206" s="57" t="str">
        <f>IFERROR(tbl_ASM[[#This Row],[Qty Required]]/tbl_ASM[[#This Row],[PPH]]*tbl_ASM[[#This Row],['# of men]],"")</f>
        <v/>
      </c>
      <c r="L206" s="58" t="e">
        <f>tbl_ASM[[#This Row],[Total hours]]*tbl_ASM[[#This Row],[% Complete]]</f>
        <v>#VALUE!</v>
      </c>
      <c r="M206" s="59" t="str">
        <f>IFERROR(tbl_ASM[[#This Row],[Qty Complete]]/tbl_ASM[[#This Row],[Total Hours Act]]*tbl_ASM[[#This Row],['# of men Act]],"")</f>
        <v/>
      </c>
      <c r="O206"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06" s="71" t="str">
        <f>IFERROR((tbl_ASM[[#This Row],[Adj. Total Hours]]+tbl_ASM[[#This Row],[Est. Hours]])/(tbl_ASM[[#This Row],[Total Hours Act]]+tbl_ASM[[#This Row],[Act. Hours]]),"")</f>
        <v/>
      </c>
      <c r="S206" s="63"/>
      <c r="T206" s="63"/>
      <c r="U206" s="63"/>
      <c r="V206" s="63"/>
      <c r="W206" s="63"/>
    </row>
    <row r="207" spans="6:23" ht="25" customHeight="1">
      <c r="F207" s="53"/>
      <c r="H207" s="55" t="e">
        <f>tbl_ASM[[#This Row],[Qty Complete]]/tbl_ASM[[#This Row],[Qty Required]]</f>
        <v>#DIV/0!</v>
      </c>
      <c r="K207" s="57" t="str">
        <f>IFERROR(tbl_ASM[[#This Row],[Qty Required]]/tbl_ASM[[#This Row],[PPH]]*tbl_ASM[[#This Row],['# of men]],"")</f>
        <v/>
      </c>
      <c r="L207" s="58" t="e">
        <f>tbl_ASM[[#This Row],[Total hours]]*tbl_ASM[[#This Row],[% Complete]]</f>
        <v>#VALUE!</v>
      </c>
      <c r="M207" s="59" t="str">
        <f>IFERROR(tbl_ASM[[#This Row],[Qty Complete]]/tbl_ASM[[#This Row],[Total Hours Act]]*tbl_ASM[[#This Row],['# of men Act]],"")</f>
        <v/>
      </c>
      <c r="O207"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07" s="71" t="str">
        <f>IFERROR((tbl_ASM[[#This Row],[Adj. Total Hours]]+tbl_ASM[[#This Row],[Est. Hours]])/(tbl_ASM[[#This Row],[Total Hours Act]]+tbl_ASM[[#This Row],[Act. Hours]]),"")</f>
        <v/>
      </c>
      <c r="S207" s="63"/>
      <c r="T207" s="63"/>
      <c r="U207" s="63"/>
      <c r="V207" s="63"/>
      <c r="W207" s="63"/>
    </row>
    <row r="208" spans="6:23" ht="25" customHeight="1">
      <c r="F208" s="53"/>
      <c r="H208" s="55" t="e">
        <f>tbl_ASM[[#This Row],[Qty Complete]]/tbl_ASM[[#This Row],[Qty Required]]</f>
        <v>#DIV/0!</v>
      </c>
      <c r="K208" s="57" t="str">
        <f>IFERROR(tbl_ASM[[#This Row],[Qty Required]]/tbl_ASM[[#This Row],[PPH]]*tbl_ASM[[#This Row],['# of men]],"")</f>
        <v/>
      </c>
      <c r="L208" s="58" t="e">
        <f>tbl_ASM[[#This Row],[Total hours]]*tbl_ASM[[#This Row],[% Complete]]</f>
        <v>#VALUE!</v>
      </c>
      <c r="M208" s="59" t="str">
        <f>IFERROR(tbl_ASM[[#This Row],[Qty Complete]]/tbl_ASM[[#This Row],[Total Hours Act]]*tbl_ASM[[#This Row],['# of men Act]],"")</f>
        <v/>
      </c>
      <c r="O208"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08" s="71" t="str">
        <f>IFERROR((tbl_ASM[[#This Row],[Adj. Total Hours]]+tbl_ASM[[#This Row],[Est. Hours]])/(tbl_ASM[[#This Row],[Total Hours Act]]+tbl_ASM[[#This Row],[Act. Hours]]),"")</f>
        <v/>
      </c>
      <c r="S208" s="63"/>
      <c r="T208" s="63"/>
      <c r="U208" s="63"/>
      <c r="V208" s="63"/>
      <c r="W208" s="63"/>
    </row>
    <row r="209" spans="6:23" ht="25" customHeight="1">
      <c r="F209" s="53"/>
      <c r="H209" s="55" t="e">
        <f>tbl_ASM[[#This Row],[Qty Complete]]/tbl_ASM[[#This Row],[Qty Required]]</f>
        <v>#DIV/0!</v>
      </c>
      <c r="K209" s="57" t="str">
        <f>IFERROR(tbl_ASM[[#This Row],[Qty Required]]/tbl_ASM[[#This Row],[PPH]]*tbl_ASM[[#This Row],['# of men]],"")</f>
        <v/>
      </c>
      <c r="L209" s="58" t="e">
        <f>tbl_ASM[[#This Row],[Total hours]]*tbl_ASM[[#This Row],[% Complete]]</f>
        <v>#VALUE!</v>
      </c>
      <c r="M209" s="59" t="str">
        <f>IFERROR(tbl_ASM[[#This Row],[Qty Complete]]/tbl_ASM[[#This Row],[Total Hours Act]]*tbl_ASM[[#This Row],['# of men Act]],"")</f>
        <v/>
      </c>
      <c r="O209"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09" s="71" t="str">
        <f>IFERROR((tbl_ASM[[#This Row],[Adj. Total Hours]]+tbl_ASM[[#This Row],[Est. Hours]])/(tbl_ASM[[#This Row],[Total Hours Act]]+tbl_ASM[[#This Row],[Act. Hours]]),"")</f>
        <v/>
      </c>
      <c r="S209" s="63"/>
      <c r="T209" s="63"/>
      <c r="U209" s="63"/>
      <c r="V209" s="63"/>
      <c r="W209" s="63"/>
    </row>
    <row r="210" spans="6:23" ht="25" customHeight="1">
      <c r="F210" s="53"/>
      <c r="H210" s="55" t="e">
        <f>tbl_ASM[[#This Row],[Qty Complete]]/tbl_ASM[[#This Row],[Qty Required]]</f>
        <v>#DIV/0!</v>
      </c>
      <c r="K210" s="57" t="str">
        <f>IFERROR(tbl_ASM[[#This Row],[Qty Required]]/tbl_ASM[[#This Row],[PPH]]*tbl_ASM[[#This Row],['# of men]],"")</f>
        <v/>
      </c>
      <c r="L210" s="58" t="e">
        <f>tbl_ASM[[#This Row],[Total hours]]*tbl_ASM[[#This Row],[% Complete]]</f>
        <v>#VALUE!</v>
      </c>
      <c r="M210" s="59" t="str">
        <f>IFERROR(tbl_ASM[[#This Row],[Qty Complete]]/tbl_ASM[[#This Row],[Total Hours Act]]*tbl_ASM[[#This Row],['# of men Act]],"")</f>
        <v/>
      </c>
      <c r="O210"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10" s="71" t="str">
        <f>IFERROR((tbl_ASM[[#This Row],[Adj. Total Hours]]+tbl_ASM[[#This Row],[Est. Hours]])/(tbl_ASM[[#This Row],[Total Hours Act]]+tbl_ASM[[#This Row],[Act. Hours]]),"")</f>
        <v/>
      </c>
      <c r="S210" s="63"/>
      <c r="T210" s="63"/>
      <c r="U210" s="63"/>
      <c r="V210" s="63"/>
      <c r="W210" s="63"/>
    </row>
    <row r="211" spans="6:23" ht="25" customHeight="1">
      <c r="F211" s="53"/>
      <c r="H211" s="55" t="e">
        <f>tbl_ASM[[#This Row],[Qty Complete]]/tbl_ASM[[#This Row],[Qty Required]]</f>
        <v>#DIV/0!</v>
      </c>
      <c r="K211" s="57" t="str">
        <f>IFERROR(tbl_ASM[[#This Row],[Qty Required]]/tbl_ASM[[#This Row],[PPH]]*tbl_ASM[[#This Row],['# of men]],"")</f>
        <v/>
      </c>
      <c r="L211" s="58" t="e">
        <f>tbl_ASM[[#This Row],[Total hours]]*tbl_ASM[[#This Row],[% Complete]]</f>
        <v>#VALUE!</v>
      </c>
      <c r="M211" s="59" t="str">
        <f>IFERROR(tbl_ASM[[#This Row],[Qty Complete]]/tbl_ASM[[#This Row],[Total Hours Act]]*tbl_ASM[[#This Row],['# of men Act]],"")</f>
        <v/>
      </c>
      <c r="O211"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11" s="71" t="str">
        <f>IFERROR((tbl_ASM[[#This Row],[Adj. Total Hours]]+tbl_ASM[[#This Row],[Est. Hours]])/(tbl_ASM[[#This Row],[Total Hours Act]]+tbl_ASM[[#This Row],[Act. Hours]]),"")</f>
        <v/>
      </c>
      <c r="S211" s="63"/>
      <c r="T211" s="63"/>
      <c r="U211" s="63"/>
      <c r="V211" s="63"/>
      <c r="W211" s="63"/>
    </row>
    <row r="212" spans="6:23" ht="25" customHeight="1">
      <c r="F212" s="53"/>
      <c r="H212" s="55" t="e">
        <f>tbl_ASM[[#This Row],[Qty Complete]]/tbl_ASM[[#This Row],[Qty Required]]</f>
        <v>#DIV/0!</v>
      </c>
      <c r="K212" s="57" t="str">
        <f>IFERROR(tbl_ASM[[#This Row],[Qty Required]]/tbl_ASM[[#This Row],[PPH]]*tbl_ASM[[#This Row],['# of men]],"")</f>
        <v/>
      </c>
      <c r="L212" s="58" t="e">
        <f>tbl_ASM[[#This Row],[Total hours]]*tbl_ASM[[#This Row],[% Complete]]</f>
        <v>#VALUE!</v>
      </c>
      <c r="M212" s="59" t="str">
        <f>IFERROR(tbl_ASM[[#This Row],[Qty Complete]]/tbl_ASM[[#This Row],[Total Hours Act]]*tbl_ASM[[#This Row],['# of men Act]],"")</f>
        <v/>
      </c>
      <c r="O212"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12" s="71" t="str">
        <f>IFERROR((tbl_ASM[[#This Row],[Adj. Total Hours]]+tbl_ASM[[#This Row],[Est. Hours]])/(tbl_ASM[[#This Row],[Total Hours Act]]+tbl_ASM[[#This Row],[Act. Hours]]),"")</f>
        <v/>
      </c>
      <c r="S212" s="63"/>
      <c r="T212" s="63"/>
      <c r="U212" s="63"/>
      <c r="V212" s="63"/>
      <c r="W212" s="63"/>
    </row>
    <row r="213" spans="6:23" ht="25" customHeight="1">
      <c r="F213" s="53"/>
      <c r="H213" s="55" t="e">
        <f>tbl_ASM[[#This Row],[Qty Complete]]/tbl_ASM[[#This Row],[Qty Required]]</f>
        <v>#DIV/0!</v>
      </c>
      <c r="K213" s="57" t="str">
        <f>IFERROR(tbl_ASM[[#This Row],[Qty Required]]/tbl_ASM[[#This Row],[PPH]]*tbl_ASM[[#This Row],['# of men]],"")</f>
        <v/>
      </c>
      <c r="L213" s="58" t="e">
        <f>tbl_ASM[[#This Row],[Total hours]]*tbl_ASM[[#This Row],[% Complete]]</f>
        <v>#VALUE!</v>
      </c>
      <c r="M213" s="59" t="str">
        <f>IFERROR(tbl_ASM[[#This Row],[Qty Complete]]/tbl_ASM[[#This Row],[Total Hours Act]]*tbl_ASM[[#This Row],['# of men Act]],"")</f>
        <v/>
      </c>
      <c r="O213"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13" s="71" t="str">
        <f>IFERROR((tbl_ASM[[#This Row],[Adj. Total Hours]]+tbl_ASM[[#This Row],[Est. Hours]])/(tbl_ASM[[#This Row],[Total Hours Act]]+tbl_ASM[[#This Row],[Act. Hours]]),"")</f>
        <v/>
      </c>
      <c r="S213" s="63"/>
      <c r="T213" s="63"/>
      <c r="U213" s="63"/>
      <c r="V213" s="63"/>
      <c r="W213" s="63"/>
    </row>
    <row r="214" spans="6:23" ht="25" customHeight="1">
      <c r="F214" s="53"/>
      <c r="H214" s="55" t="e">
        <f>tbl_ASM[[#This Row],[Qty Complete]]/tbl_ASM[[#This Row],[Qty Required]]</f>
        <v>#DIV/0!</v>
      </c>
      <c r="K214" s="57" t="str">
        <f>IFERROR(tbl_ASM[[#This Row],[Qty Required]]/tbl_ASM[[#This Row],[PPH]]*tbl_ASM[[#This Row],['# of men]],"")</f>
        <v/>
      </c>
      <c r="L214" s="58" t="e">
        <f>tbl_ASM[[#This Row],[Total hours]]*tbl_ASM[[#This Row],[% Complete]]</f>
        <v>#VALUE!</v>
      </c>
      <c r="M214" s="59" t="str">
        <f>IFERROR(tbl_ASM[[#This Row],[Qty Complete]]/tbl_ASM[[#This Row],[Total Hours Act]]*tbl_ASM[[#This Row],['# of men Act]],"")</f>
        <v/>
      </c>
      <c r="O214"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14" s="71" t="str">
        <f>IFERROR((tbl_ASM[[#This Row],[Adj. Total Hours]]+tbl_ASM[[#This Row],[Est. Hours]])/(tbl_ASM[[#This Row],[Total Hours Act]]+tbl_ASM[[#This Row],[Act. Hours]]),"")</f>
        <v/>
      </c>
      <c r="S214" s="63"/>
      <c r="T214" s="63"/>
      <c r="U214" s="63"/>
      <c r="V214" s="63"/>
      <c r="W214" s="63"/>
    </row>
    <row r="215" spans="6:23" ht="25" customHeight="1">
      <c r="F215" s="53"/>
      <c r="H215" s="55" t="e">
        <f>tbl_ASM[[#This Row],[Qty Complete]]/tbl_ASM[[#This Row],[Qty Required]]</f>
        <v>#DIV/0!</v>
      </c>
      <c r="K215" s="57" t="str">
        <f>IFERROR(tbl_ASM[[#This Row],[Qty Required]]/tbl_ASM[[#This Row],[PPH]]*tbl_ASM[[#This Row],['# of men]],"")</f>
        <v/>
      </c>
      <c r="L215" s="58" t="e">
        <f>tbl_ASM[[#This Row],[Total hours]]*tbl_ASM[[#This Row],[% Complete]]</f>
        <v>#VALUE!</v>
      </c>
      <c r="M215" s="59" t="str">
        <f>IFERROR(tbl_ASM[[#This Row],[Qty Complete]]/tbl_ASM[[#This Row],[Total Hours Act]]*tbl_ASM[[#This Row],['# of men Act]],"")</f>
        <v/>
      </c>
      <c r="O215"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15" s="71" t="str">
        <f>IFERROR((tbl_ASM[[#This Row],[Adj. Total Hours]]+tbl_ASM[[#This Row],[Est. Hours]])/(tbl_ASM[[#This Row],[Total Hours Act]]+tbl_ASM[[#This Row],[Act. Hours]]),"")</f>
        <v/>
      </c>
      <c r="S215" s="63"/>
      <c r="T215" s="63"/>
      <c r="U215" s="63"/>
      <c r="V215" s="63"/>
      <c r="W215" s="63"/>
    </row>
    <row r="216" spans="6:23" ht="25" customHeight="1">
      <c r="F216" s="53"/>
      <c r="H216" s="55" t="e">
        <f>tbl_ASM[[#This Row],[Qty Complete]]/tbl_ASM[[#This Row],[Qty Required]]</f>
        <v>#DIV/0!</v>
      </c>
      <c r="K216" s="57" t="str">
        <f>IFERROR(tbl_ASM[[#This Row],[Qty Required]]/tbl_ASM[[#This Row],[PPH]]*tbl_ASM[[#This Row],['# of men]],"")</f>
        <v/>
      </c>
      <c r="L216" s="58" t="e">
        <f>tbl_ASM[[#This Row],[Total hours]]*tbl_ASM[[#This Row],[% Complete]]</f>
        <v>#VALUE!</v>
      </c>
      <c r="M216" s="59" t="str">
        <f>IFERROR(tbl_ASM[[#This Row],[Qty Complete]]/tbl_ASM[[#This Row],[Total Hours Act]]*tbl_ASM[[#This Row],['# of men Act]],"")</f>
        <v/>
      </c>
      <c r="O216"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16" s="71" t="str">
        <f>IFERROR((tbl_ASM[[#This Row],[Adj. Total Hours]]+tbl_ASM[[#This Row],[Est. Hours]])/(tbl_ASM[[#This Row],[Total Hours Act]]+tbl_ASM[[#This Row],[Act. Hours]]),"")</f>
        <v/>
      </c>
      <c r="S216" s="63"/>
      <c r="T216" s="63"/>
      <c r="U216" s="63"/>
      <c r="V216" s="63"/>
      <c r="W216" s="63"/>
    </row>
    <row r="217" spans="6:23" ht="25" customHeight="1">
      <c r="F217" s="53"/>
      <c r="H217" s="55" t="e">
        <f>tbl_ASM[[#This Row],[Qty Complete]]/tbl_ASM[[#This Row],[Qty Required]]</f>
        <v>#DIV/0!</v>
      </c>
      <c r="K217" s="57" t="str">
        <f>IFERROR(tbl_ASM[[#This Row],[Qty Required]]/tbl_ASM[[#This Row],[PPH]]*tbl_ASM[[#This Row],['# of men]],"")</f>
        <v/>
      </c>
      <c r="L217" s="58" t="e">
        <f>tbl_ASM[[#This Row],[Total hours]]*tbl_ASM[[#This Row],[% Complete]]</f>
        <v>#VALUE!</v>
      </c>
      <c r="M217" s="59" t="str">
        <f>IFERROR(tbl_ASM[[#This Row],[Qty Complete]]/tbl_ASM[[#This Row],[Total Hours Act]]*tbl_ASM[[#This Row],['# of men Act]],"")</f>
        <v/>
      </c>
      <c r="O217"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17" s="71" t="str">
        <f>IFERROR((tbl_ASM[[#This Row],[Adj. Total Hours]]+tbl_ASM[[#This Row],[Est. Hours]])/(tbl_ASM[[#This Row],[Total Hours Act]]+tbl_ASM[[#This Row],[Act. Hours]]),"")</f>
        <v/>
      </c>
      <c r="S217" s="63"/>
      <c r="T217" s="63"/>
      <c r="U217" s="63"/>
      <c r="V217" s="63"/>
      <c r="W217" s="63"/>
    </row>
    <row r="218" spans="6:23" ht="25" customHeight="1">
      <c r="F218" s="53"/>
      <c r="H218" s="55" t="e">
        <f>tbl_ASM[[#This Row],[Qty Complete]]/tbl_ASM[[#This Row],[Qty Required]]</f>
        <v>#DIV/0!</v>
      </c>
      <c r="K218" s="57" t="str">
        <f>IFERROR(tbl_ASM[[#This Row],[Qty Required]]/tbl_ASM[[#This Row],[PPH]]*tbl_ASM[[#This Row],['# of men]],"")</f>
        <v/>
      </c>
      <c r="L218" s="58" t="e">
        <f>tbl_ASM[[#This Row],[Total hours]]*tbl_ASM[[#This Row],[% Complete]]</f>
        <v>#VALUE!</v>
      </c>
      <c r="M218" s="59" t="str">
        <f>IFERROR(tbl_ASM[[#This Row],[Qty Complete]]/tbl_ASM[[#This Row],[Total Hours Act]]*tbl_ASM[[#This Row],['# of men Act]],"")</f>
        <v/>
      </c>
      <c r="O218"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18" s="71" t="str">
        <f>IFERROR((tbl_ASM[[#This Row],[Adj. Total Hours]]+tbl_ASM[[#This Row],[Est. Hours]])/(tbl_ASM[[#This Row],[Total Hours Act]]+tbl_ASM[[#This Row],[Act. Hours]]),"")</f>
        <v/>
      </c>
      <c r="S218" s="63"/>
      <c r="T218" s="63"/>
      <c r="U218" s="63"/>
      <c r="V218" s="63"/>
      <c r="W218" s="63"/>
    </row>
    <row r="219" spans="6:23" ht="25" customHeight="1">
      <c r="F219" s="53"/>
      <c r="H219" s="55" t="e">
        <f>tbl_ASM[[#This Row],[Qty Complete]]/tbl_ASM[[#This Row],[Qty Required]]</f>
        <v>#DIV/0!</v>
      </c>
      <c r="K219" s="57" t="str">
        <f>IFERROR(tbl_ASM[[#This Row],[Qty Required]]/tbl_ASM[[#This Row],[PPH]]*tbl_ASM[[#This Row],['# of men]],"")</f>
        <v/>
      </c>
      <c r="L219" s="58" t="e">
        <f>tbl_ASM[[#This Row],[Total hours]]*tbl_ASM[[#This Row],[% Complete]]</f>
        <v>#VALUE!</v>
      </c>
      <c r="M219" s="59" t="str">
        <f>IFERROR(tbl_ASM[[#This Row],[Qty Complete]]/tbl_ASM[[#This Row],[Total Hours Act]]*tbl_ASM[[#This Row],['# of men Act]],"")</f>
        <v/>
      </c>
      <c r="O219"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19" s="71" t="str">
        <f>IFERROR((tbl_ASM[[#This Row],[Adj. Total Hours]]+tbl_ASM[[#This Row],[Est. Hours]])/(tbl_ASM[[#This Row],[Total Hours Act]]+tbl_ASM[[#This Row],[Act. Hours]]),"")</f>
        <v/>
      </c>
      <c r="S219" s="63"/>
      <c r="T219" s="63"/>
      <c r="U219" s="63"/>
      <c r="V219" s="63"/>
      <c r="W219" s="63"/>
    </row>
    <row r="220" spans="6:23" ht="25" customHeight="1">
      <c r="F220" s="53"/>
      <c r="H220" s="55" t="e">
        <f>tbl_ASM[[#This Row],[Qty Complete]]/tbl_ASM[[#This Row],[Qty Required]]</f>
        <v>#DIV/0!</v>
      </c>
      <c r="K220" s="57" t="str">
        <f>IFERROR(tbl_ASM[[#This Row],[Qty Required]]/tbl_ASM[[#This Row],[PPH]]*tbl_ASM[[#This Row],['# of men]],"")</f>
        <v/>
      </c>
      <c r="L220" s="58" t="e">
        <f>tbl_ASM[[#This Row],[Total hours]]*tbl_ASM[[#This Row],[% Complete]]</f>
        <v>#VALUE!</v>
      </c>
      <c r="M220" s="59" t="str">
        <f>IFERROR(tbl_ASM[[#This Row],[Qty Complete]]/tbl_ASM[[#This Row],[Total Hours Act]]*tbl_ASM[[#This Row],['# of men Act]],"")</f>
        <v/>
      </c>
      <c r="O220"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20" s="71" t="str">
        <f>IFERROR((tbl_ASM[[#This Row],[Adj. Total Hours]]+tbl_ASM[[#This Row],[Est. Hours]])/(tbl_ASM[[#This Row],[Total Hours Act]]+tbl_ASM[[#This Row],[Act. Hours]]),"")</f>
        <v/>
      </c>
      <c r="S220" s="63"/>
      <c r="T220" s="63"/>
      <c r="U220" s="63"/>
      <c r="V220" s="63"/>
      <c r="W220" s="63"/>
    </row>
    <row r="221" spans="6:23" ht="25" customHeight="1">
      <c r="F221" s="53"/>
      <c r="H221" s="55" t="e">
        <f>tbl_ASM[[#This Row],[Qty Complete]]/tbl_ASM[[#This Row],[Qty Required]]</f>
        <v>#DIV/0!</v>
      </c>
      <c r="K221" s="57" t="str">
        <f>IFERROR(tbl_ASM[[#This Row],[Qty Required]]/tbl_ASM[[#This Row],[PPH]]*tbl_ASM[[#This Row],['# of men]],"")</f>
        <v/>
      </c>
      <c r="L221" s="58" t="e">
        <f>tbl_ASM[[#This Row],[Total hours]]*tbl_ASM[[#This Row],[% Complete]]</f>
        <v>#VALUE!</v>
      </c>
      <c r="M221" s="59" t="str">
        <f>IFERROR(tbl_ASM[[#This Row],[Qty Complete]]/tbl_ASM[[#This Row],[Total Hours Act]]*tbl_ASM[[#This Row],['# of men Act]],"")</f>
        <v/>
      </c>
      <c r="O221"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21" s="71" t="str">
        <f>IFERROR((tbl_ASM[[#This Row],[Adj. Total Hours]]+tbl_ASM[[#This Row],[Est. Hours]])/(tbl_ASM[[#This Row],[Total Hours Act]]+tbl_ASM[[#This Row],[Act. Hours]]),"")</f>
        <v/>
      </c>
      <c r="S221" s="63"/>
      <c r="T221" s="63"/>
      <c r="U221" s="63"/>
      <c r="V221" s="63"/>
      <c r="W221" s="63"/>
    </row>
    <row r="222" spans="6:23" ht="25" customHeight="1">
      <c r="F222" s="53"/>
      <c r="H222" s="55" t="e">
        <f>tbl_ASM[[#This Row],[Qty Complete]]/tbl_ASM[[#This Row],[Qty Required]]</f>
        <v>#DIV/0!</v>
      </c>
      <c r="K222" s="57" t="str">
        <f>IFERROR(tbl_ASM[[#This Row],[Qty Required]]/tbl_ASM[[#This Row],[PPH]]*tbl_ASM[[#This Row],['# of men]],"")</f>
        <v/>
      </c>
      <c r="L222" s="58" t="e">
        <f>tbl_ASM[[#This Row],[Total hours]]*tbl_ASM[[#This Row],[% Complete]]</f>
        <v>#VALUE!</v>
      </c>
      <c r="M222" s="59" t="str">
        <f>IFERROR(tbl_ASM[[#This Row],[Qty Complete]]/tbl_ASM[[#This Row],[Total Hours Act]]*tbl_ASM[[#This Row],['# of men Act]],"")</f>
        <v/>
      </c>
      <c r="O222"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22" s="71" t="str">
        <f>IFERROR((tbl_ASM[[#This Row],[Adj. Total Hours]]+tbl_ASM[[#This Row],[Est. Hours]])/(tbl_ASM[[#This Row],[Total Hours Act]]+tbl_ASM[[#This Row],[Act. Hours]]),"")</f>
        <v/>
      </c>
      <c r="S222" s="63"/>
      <c r="T222" s="63"/>
      <c r="U222" s="63"/>
      <c r="V222" s="63"/>
      <c r="W222" s="63"/>
    </row>
    <row r="223" spans="6:23" ht="25" customHeight="1">
      <c r="F223" s="53"/>
      <c r="H223" s="55" t="e">
        <f>tbl_ASM[[#This Row],[Qty Complete]]/tbl_ASM[[#This Row],[Qty Required]]</f>
        <v>#DIV/0!</v>
      </c>
      <c r="K223" s="57" t="str">
        <f>IFERROR(tbl_ASM[[#This Row],[Qty Required]]/tbl_ASM[[#This Row],[PPH]]*tbl_ASM[[#This Row],['# of men]],"")</f>
        <v/>
      </c>
      <c r="L223" s="58" t="e">
        <f>tbl_ASM[[#This Row],[Total hours]]*tbl_ASM[[#This Row],[% Complete]]</f>
        <v>#VALUE!</v>
      </c>
      <c r="M223" s="59" t="str">
        <f>IFERROR(tbl_ASM[[#This Row],[Qty Complete]]/tbl_ASM[[#This Row],[Total Hours Act]]*tbl_ASM[[#This Row],['# of men Act]],"")</f>
        <v/>
      </c>
      <c r="O223"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23" s="71" t="str">
        <f>IFERROR((tbl_ASM[[#This Row],[Adj. Total Hours]]+tbl_ASM[[#This Row],[Est. Hours]])/(tbl_ASM[[#This Row],[Total Hours Act]]+tbl_ASM[[#This Row],[Act. Hours]]),"")</f>
        <v/>
      </c>
      <c r="S223" s="63"/>
      <c r="T223" s="63"/>
      <c r="U223" s="63"/>
      <c r="V223" s="63"/>
      <c r="W223" s="63"/>
    </row>
    <row r="224" spans="6:23" ht="25" customHeight="1">
      <c r="F224" s="53"/>
      <c r="H224" s="55" t="e">
        <f>tbl_ASM[[#This Row],[Qty Complete]]/tbl_ASM[[#This Row],[Qty Required]]</f>
        <v>#DIV/0!</v>
      </c>
      <c r="K224" s="57" t="str">
        <f>IFERROR(tbl_ASM[[#This Row],[Qty Required]]/tbl_ASM[[#This Row],[PPH]]*tbl_ASM[[#This Row],['# of men]],"")</f>
        <v/>
      </c>
      <c r="L224" s="58" t="e">
        <f>tbl_ASM[[#This Row],[Total hours]]*tbl_ASM[[#This Row],[% Complete]]</f>
        <v>#VALUE!</v>
      </c>
      <c r="M224" s="59" t="str">
        <f>IFERROR(tbl_ASM[[#This Row],[Qty Complete]]/tbl_ASM[[#This Row],[Total Hours Act]]*tbl_ASM[[#This Row],['# of men Act]],"")</f>
        <v/>
      </c>
      <c r="O224"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24" s="71" t="str">
        <f>IFERROR((tbl_ASM[[#This Row],[Adj. Total Hours]]+tbl_ASM[[#This Row],[Est. Hours]])/(tbl_ASM[[#This Row],[Total Hours Act]]+tbl_ASM[[#This Row],[Act. Hours]]),"")</f>
        <v/>
      </c>
      <c r="S224" s="63"/>
      <c r="T224" s="63"/>
      <c r="U224" s="63"/>
      <c r="V224" s="63"/>
      <c r="W224" s="63"/>
    </row>
    <row r="225" spans="6:23" ht="25" customHeight="1">
      <c r="F225" s="53"/>
      <c r="H225" s="55" t="e">
        <f>tbl_ASM[[#This Row],[Qty Complete]]/tbl_ASM[[#This Row],[Qty Required]]</f>
        <v>#DIV/0!</v>
      </c>
      <c r="K225" s="57" t="str">
        <f>IFERROR(tbl_ASM[[#This Row],[Qty Required]]/tbl_ASM[[#This Row],[PPH]]*tbl_ASM[[#This Row],['# of men]],"")</f>
        <v/>
      </c>
      <c r="L225" s="58" t="e">
        <f>tbl_ASM[[#This Row],[Total hours]]*tbl_ASM[[#This Row],[% Complete]]</f>
        <v>#VALUE!</v>
      </c>
      <c r="M225" s="59" t="str">
        <f>IFERROR(tbl_ASM[[#This Row],[Qty Complete]]/tbl_ASM[[#This Row],[Total Hours Act]]*tbl_ASM[[#This Row],['# of men Act]],"")</f>
        <v/>
      </c>
      <c r="O225"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25" s="71" t="str">
        <f>IFERROR((tbl_ASM[[#This Row],[Adj. Total Hours]]+tbl_ASM[[#This Row],[Est. Hours]])/(tbl_ASM[[#This Row],[Total Hours Act]]+tbl_ASM[[#This Row],[Act. Hours]]),"")</f>
        <v/>
      </c>
      <c r="S225" s="63"/>
      <c r="T225" s="63"/>
      <c r="U225" s="63"/>
      <c r="V225" s="63"/>
      <c r="W225" s="63"/>
    </row>
    <row r="226" spans="6:23" ht="25" customHeight="1">
      <c r="F226" s="53"/>
      <c r="H226" s="55" t="e">
        <f>tbl_ASM[[#This Row],[Qty Complete]]/tbl_ASM[[#This Row],[Qty Required]]</f>
        <v>#DIV/0!</v>
      </c>
      <c r="K226" s="57" t="str">
        <f>IFERROR(tbl_ASM[[#This Row],[Qty Required]]/tbl_ASM[[#This Row],[PPH]]*tbl_ASM[[#This Row],['# of men]],"")</f>
        <v/>
      </c>
      <c r="L226" s="58" t="e">
        <f>tbl_ASM[[#This Row],[Total hours]]*tbl_ASM[[#This Row],[% Complete]]</f>
        <v>#VALUE!</v>
      </c>
      <c r="M226" s="59" t="str">
        <f>IFERROR(tbl_ASM[[#This Row],[Qty Complete]]/tbl_ASM[[#This Row],[Total Hours Act]]*tbl_ASM[[#This Row],['# of men Act]],"")</f>
        <v/>
      </c>
      <c r="O226"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26" s="71" t="str">
        <f>IFERROR((tbl_ASM[[#This Row],[Adj. Total Hours]]+tbl_ASM[[#This Row],[Est. Hours]])/(tbl_ASM[[#This Row],[Total Hours Act]]+tbl_ASM[[#This Row],[Act. Hours]]),"")</f>
        <v/>
      </c>
      <c r="S226" s="63"/>
      <c r="T226" s="63"/>
      <c r="U226" s="63"/>
      <c r="V226" s="63"/>
      <c r="W226" s="63"/>
    </row>
    <row r="227" spans="6:23" ht="25" customHeight="1">
      <c r="F227" s="53"/>
      <c r="H227" s="55" t="e">
        <f>tbl_ASM[[#This Row],[Qty Complete]]/tbl_ASM[[#This Row],[Qty Required]]</f>
        <v>#DIV/0!</v>
      </c>
      <c r="K227" s="57" t="str">
        <f>IFERROR(tbl_ASM[[#This Row],[Qty Required]]/tbl_ASM[[#This Row],[PPH]]*tbl_ASM[[#This Row],['# of men]],"")</f>
        <v/>
      </c>
      <c r="L227" s="58" t="e">
        <f>tbl_ASM[[#This Row],[Total hours]]*tbl_ASM[[#This Row],[% Complete]]</f>
        <v>#VALUE!</v>
      </c>
      <c r="M227" s="59" t="str">
        <f>IFERROR(tbl_ASM[[#This Row],[Qty Complete]]/tbl_ASM[[#This Row],[Total Hours Act]]*tbl_ASM[[#This Row],['# of men Act]],"")</f>
        <v/>
      </c>
      <c r="O227"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27" s="71" t="str">
        <f>IFERROR((tbl_ASM[[#This Row],[Adj. Total Hours]]+tbl_ASM[[#This Row],[Est. Hours]])/(tbl_ASM[[#This Row],[Total Hours Act]]+tbl_ASM[[#This Row],[Act. Hours]]),"")</f>
        <v/>
      </c>
      <c r="S227" s="63"/>
      <c r="T227" s="63"/>
      <c r="U227" s="63"/>
      <c r="V227" s="63"/>
      <c r="W227" s="63"/>
    </row>
    <row r="228" spans="6:23" ht="25" customHeight="1">
      <c r="F228" s="53"/>
      <c r="H228" s="55" t="e">
        <f>tbl_ASM[[#This Row],[Qty Complete]]/tbl_ASM[[#This Row],[Qty Required]]</f>
        <v>#DIV/0!</v>
      </c>
      <c r="K228" s="57" t="str">
        <f>IFERROR(tbl_ASM[[#This Row],[Qty Required]]/tbl_ASM[[#This Row],[PPH]]*tbl_ASM[[#This Row],['# of men]],"")</f>
        <v/>
      </c>
      <c r="L228" s="58" t="e">
        <f>tbl_ASM[[#This Row],[Total hours]]*tbl_ASM[[#This Row],[% Complete]]</f>
        <v>#VALUE!</v>
      </c>
      <c r="M228" s="59" t="str">
        <f>IFERROR(tbl_ASM[[#This Row],[Qty Complete]]/tbl_ASM[[#This Row],[Total Hours Act]]*tbl_ASM[[#This Row],['# of men Act]],"")</f>
        <v/>
      </c>
      <c r="O228"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28" s="71" t="str">
        <f>IFERROR((tbl_ASM[[#This Row],[Adj. Total Hours]]+tbl_ASM[[#This Row],[Est. Hours]])/(tbl_ASM[[#This Row],[Total Hours Act]]+tbl_ASM[[#This Row],[Act. Hours]]),"")</f>
        <v/>
      </c>
      <c r="S228" s="63"/>
      <c r="T228" s="63"/>
      <c r="U228" s="63"/>
      <c r="V228" s="63"/>
      <c r="W228" s="63"/>
    </row>
    <row r="229" spans="6:23" ht="25" customHeight="1">
      <c r="F229" s="53"/>
      <c r="H229" s="55" t="e">
        <f>tbl_ASM[[#This Row],[Qty Complete]]/tbl_ASM[[#This Row],[Qty Required]]</f>
        <v>#DIV/0!</v>
      </c>
      <c r="K229" s="57" t="str">
        <f>IFERROR(tbl_ASM[[#This Row],[Qty Required]]/tbl_ASM[[#This Row],[PPH]]*tbl_ASM[[#This Row],['# of men]],"")</f>
        <v/>
      </c>
      <c r="L229" s="58" t="e">
        <f>tbl_ASM[[#This Row],[Total hours]]*tbl_ASM[[#This Row],[% Complete]]</f>
        <v>#VALUE!</v>
      </c>
      <c r="M229" s="59" t="str">
        <f>IFERROR(tbl_ASM[[#This Row],[Qty Complete]]/tbl_ASM[[#This Row],[Total Hours Act]]*tbl_ASM[[#This Row],['# of men Act]],"")</f>
        <v/>
      </c>
      <c r="O229"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29" s="71" t="str">
        <f>IFERROR((tbl_ASM[[#This Row],[Adj. Total Hours]]+tbl_ASM[[#This Row],[Est. Hours]])/(tbl_ASM[[#This Row],[Total Hours Act]]+tbl_ASM[[#This Row],[Act. Hours]]),"")</f>
        <v/>
      </c>
      <c r="S229" s="63"/>
      <c r="T229" s="63"/>
      <c r="U229" s="63"/>
      <c r="V229" s="63"/>
      <c r="W229" s="63"/>
    </row>
    <row r="230" spans="6:23" ht="25" customHeight="1">
      <c r="F230" s="53"/>
      <c r="H230" s="55" t="e">
        <f>tbl_ASM[[#This Row],[Qty Complete]]/tbl_ASM[[#This Row],[Qty Required]]</f>
        <v>#DIV/0!</v>
      </c>
      <c r="K230" s="57" t="str">
        <f>IFERROR(tbl_ASM[[#This Row],[Qty Required]]/tbl_ASM[[#This Row],[PPH]]*tbl_ASM[[#This Row],['# of men]],"")</f>
        <v/>
      </c>
      <c r="L230" s="58" t="e">
        <f>tbl_ASM[[#This Row],[Total hours]]*tbl_ASM[[#This Row],[% Complete]]</f>
        <v>#VALUE!</v>
      </c>
      <c r="M230" s="59" t="str">
        <f>IFERROR(tbl_ASM[[#This Row],[Qty Complete]]/tbl_ASM[[#This Row],[Total Hours Act]]*tbl_ASM[[#This Row],['# of men Act]],"")</f>
        <v/>
      </c>
      <c r="O230"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30" s="71" t="str">
        <f>IFERROR((tbl_ASM[[#This Row],[Adj. Total Hours]]+tbl_ASM[[#This Row],[Est. Hours]])/(tbl_ASM[[#This Row],[Total Hours Act]]+tbl_ASM[[#This Row],[Act. Hours]]),"")</f>
        <v/>
      </c>
      <c r="S230" s="63"/>
      <c r="T230" s="63"/>
      <c r="U230" s="63"/>
      <c r="V230" s="63"/>
      <c r="W230" s="63"/>
    </row>
    <row r="231" spans="6:23" ht="25" customHeight="1">
      <c r="F231" s="53"/>
      <c r="H231" s="55" t="e">
        <f>tbl_ASM[[#This Row],[Qty Complete]]/tbl_ASM[[#This Row],[Qty Required]]</f>
        <v>#DIV/0!</v>
      </c>
      <c r="K231" s="57" t="str">
        <f>IFERROR(tbl_ASM[[#This Row],[Qty Required]]/tbl_ASM[[#This Row],[PPH]]*tbl_ASM[[#This Row],['# of men]],"")</f>
        <v/>
      </c>
      <c r="L231" s="58" t="e">
        <f>tbl_ASM[[#This Row],[Total hours]]*tbl_ASM[[#This Row],[% Complete]]</f>
        <v>#VALUE!</v>
      </c>
      <c r="M231" s="59" t="str">
        <f>IFERROR(tbl_ASM[[#This Row],[Qty Complete]]/tbl_ASM[[#This Row],[Total Hours Act]]*tbl_ASM[[#This Row],['# of men Act]],"")</f>
        <v/>
      </c>
      <c r="O231"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31" s="71" t="str">
        <f>IFERROR((tbl_ASM[[#This Row],[Adj. Total Hours]]+tbl_ASM[[#This Row],[Est. Hours]])/(tbl_ASM[[#This Row],[Total Hours Act]]+tbl_ASM[[#This Row],[Act. Hours]]),"")</f>
        <v/>
      </c>
      <c r="S231" s="63"/>
      <c r="T231" s="63"/>
      <c r="U231" s="63"/>
      <c r="V231" s="63"/>
      <c r="W231" s="63"/>
    </row>
    <row r="232" spans="6:23" ht="25" customHeight="1">
      <c r="F232" s="53"/>
      <c r="H232" s="55" t="e">
        <f>tbl_ASM[[#This Row],[Qty Complete]]/tbl_ASM[[#This Row],[Qty Required]]</f>
        <v>#DIV/0!</v>
      </c>
      <c r="K232" s="57" t="str">
        <f>IFERROR(tbl_ASM[[#This Row],[Qty Required]]/tbl_ASM[[#This Row],[PPH]]*tbl_ASM[[#This Row],['# of men]],"")</f>
        <v/>
      </c>
      <c r="L232" s="58" t="e">
        <f>tbl_ASM[[#This Row],[Total hours]]*tbl_ASM[[#This Row],[% Complete]]</f>
        <v>#VALUE!</v>
      </c>
      <c r="M232" s="59" t="str">
        <f>IFERROR(tbl_ASM[[#This Row],[Qty Complete]]/tbl_ASM[[#This Row],[Total Hours Act]]*tbl_ASM[[#This Row],['# of men Act]],"")</f>
        <v/>
      </c>
      <c r="O232"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32" s="71" t="str">
        <f>IFERROR((tbl_ASM[[#This Row],[Adj. Total Hours]]+tbl_ASM[[#This Row],[Est. Hours]])/(tbl_ASM[[#This Row],[Total Hours Act]]+tbl_ASM[[#This Row],[Act. Hours]]),"")</f>
        <v/>
      </c>
      <c r="S232" s="63"/>
      <c r="T232" s="63"/>
      <c r="U232" s="63"/>
      <c r="V232" s="63"/>
      <c r="W232" s="63"/>
    </row>
    <row r="233" spans="6:23" ht="25" customHeight="1">
      <c r="F233" s="53"/>
      <c r="H233" s="55" t="e">
        <f>tbl_ASM[[#This Row],[Qty Complete]]/tbl_ASM[[#This Row],[Qty Required]]</f>
        <v>#DIV/0!</v>
      </c>
      <c r="K233" s="57" t="str">
        <f>IFERROR(tbl_ASM[[#This Row],[Qty Required]]/tbl_ASM[[#This Row],[PPH]]*tbl_ASM[[#This Row],['# of men]],"")</f>
        <v/>
      </c>
      <c r="L233" s="58" t="e">
        <f>tbl_ASM[[#This Row],[Total hours]]*tbl_ASM[[#This Row],[% Complete]]</f>
        <v>#VALUE!</v>
      </c>
      <c r="M233" s="59" t="str">
        <f>IFERROR(tbl_ASM[[#This Row],[Qty Complete]]/tbl_ASM[[#This Row],[Total Hours Act]]*tbl_ASM[[#This Row],['# of men Act]],"")</f>
        <v/>
      </c>
      <c r="O233"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33" s="71" t="str">
        <f>IFERROR((tbl_ASM[[#This Row],[Adj. Total Hours]]+tbl_ASM[[#This Row],[Est. Hours]])/(tbl_ASM[[#This Row],[Total Hours Act]]+tbl_ASM[[#This Row],[Act. Hours]]),"")</f>
        <v/>
      </c>
      <c r="S233" s="63"/>
      <c r="T233" s="63"/>
      <c r="U233" s="63"/>
      <c r="V233" s="63"/>
      <c r="W233" s="63"/>
    </row>
    <row r="234" spans="6:23" ht="25" customHeight="1">
      <c r="F234" s="53"/>
      <c r="H234" s="55" t="e">
        <f>tbl_ASM[[#This Row],[Qty Complete]]/tbl_ASM[[#This Row],[Qty Required]]</f>
        <v>#DIV/0!</v>
      </c>
      <c r="K234" s="57" t="str">
        <f>IFERROR(tbl_ASM[[#This Row],[Qty Required]]/tbl_ASM[[#This Row],[PPH]]*tbl_ASM[[#This Row],['# of men]],"")</f>
        <v/>
      </c>
      <c r="L234" s="58" t="e">
        <f>tbl_ASM[[#This Row],[Total hours]]*tbl_ASM[[#This Row],[% Complete]]</f>
        <v>#VALUE!</v>
      </c>
      <c r="M234" s="59" t="str">
        <f>IFERROR(tbl_ASM[[#This Row],[Qty Complete]]/tbl_ASM[[#This Row],[Total Hours Act]]*tbl_ASM[[#This Row],['# of men Act]],"")</f>
        <v/>
      </c>
      <c r="O234"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34" s="71" t="str">
        <f>IFERROR((tbl_ASM[[#This Row],[Adj. Total Hours]]+tbl_ASM[[#This Row],[Est. Hours]])/(tbl_ASM[[#This Row],[Total Hours Act]]+tbl_ASM[[#This Row],[Act. Hours]]),"")</f>
        <v/>
      </c>
      <c r="S234" s="63"/>
      <c r="T234" s="63"/>
      <c r="U234" s="63"/>
      <c r="V234" s="63"/>
      <c r="W234" s="63"/>
    </row>
    <row r="235" spans="6:23" ht="25" customHeight="1">
      <c r="F235" s="53"/>
      <c r="H235" s="55" t="e">
        <f>tbl_ASM[[#This Row],[Qty Complete]]/tbl_ASM[[#This Row],[Qty Required]]</f>
        <v>#DIV/0!</v>
      </c>
      <c r="K235" s="57" t="str">
        <f>IFERROR(tbl_ASM[[#This Row],[Qty Required]]/tbl_ASM[[#This Row],[PPH]]*tbl_ASM[[#This Row],['# of men]],"")</f>
        <v/>
      </c>
      <c r="L235" s="58" t="e">
        <f>tbl_ASM[[#This Row],[Total hours]]*tbl_ASM[[#This Row],[% Complete]]</f>
        <v>#VALUE!</v>
      </c>
      <c r="M235" s="59" t="str">
        <f>IFERROR(tbl_ASM[[#This Row],[Qty Complete]]/tbl_ASM[[#This Row],[Total Hours Act]]*tbl_ASM[[#This Row],['# of men Act]],"")</f>
        <v/>
      </c>
      <c r="O235"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35" s="71" t="str">
        <f>IFERROR((tbl_ASM[[#This Row],[Adj. Total Hours]]+tbl_ASM[[#This Row],[Est. Hours]])/(tbl_ASM[[#This Row],[Total Hours Act]]+tbl_ASM[[#This Row],[Act. Hours]]),"")</f>
        <v/>
      </c>
      <c r="S235" s="63"/>
      <c r="T235" s="63"/>
      <c r="U235" s="63"/>
      <c r="V235" s="63"/>
      <c r="W235" s="63"/>
    </row>
    <row r="236" spans="6:23" ht="25" customHeight="1">
      <c r="F236" s="53"/>
      <c r="H236" s="55" t="e">
        <f>tbl_ASM[[#This Row],[Qty Complete]]/tbl_ASM[[#This Row],[Qty Required]]</f>
        <v>#DIV/0!</v>
      </c>
      <c r="K236" s="57" t="str">
        <f>IFERROR(tbl_ASM[[#This Row],[Qty Required]]/tbl_ASM[[#This Row],[PPH]]*tbl_ASM[[#This Row],['# of men]],"")</f>
        <v/>
      </c>
      <c r="L236" s="58" t="e">
        <f>tbl_ASM[[#This Row],[Total hours]]*tbl_ASM[[#This Row],[% Complete]]</f>
        <v>#VALUE!</v>
      </c>
      <c r="M236" s="59" t="str">
        <f>IFERROR(tbl_ASM[[#This Row],[Qty Complete]]/tbl_ASM[[#This Row],[Total Hours Act]]*tbl_ASM[[#This Row],['# of men Act]],"")</f>
        <v/>
      </c>
      <c r="O236"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36" s="71" t="str">
        <f>IFERROR((tbl_ASM[[#This Row],[Adj. Total Hours]]+tbl_ASM[[#This Row],[Est. Hours]])/(tbl_ASM[[#This Row],[Total Hours Act]]+tbl_ASM[[#This Row],[Act. Hours]]),"")</f>
        <v/>
      </c>
      <c r="S236" s="63"/>
      <c r="T236" s="63"/>
      <c r="U236" s="63"/>
      <c r="V236" s="63"/>
      <c r="W236" s="63"/>
    </row>
    <row r="237" spans="6:23" ht="25" customHeight="1">
      <c r="F237" s="53"/>
      <c r="H237" s="55" t="e">
        <f>tbl_ASM[[#This Row],[Qty Complete]]/tbl_ASM[[#This Row],[Qty Required]]</f>
        <v>#DIV/0!</v>
      </c>
      <c r="K237" s="57" t="str">
        <f>IFERROR(tbl_ASM[[#This Row],[Qty Required]]/tbl_ASM[[#This Row],[PPH]]*tbl_ASM[[#This Row],['# of men]],"")</f>
        <v/>
      </c>
      <c r="L237" s="58" t="e">
        <f>tbl_ASM[[#This Row],[Total hours]]*tbl_ASM[[#This Row],[% Complete]]</f>
        <v>#VALUE!</v>
      </c>
      <c r="M237" s="59" t="str">
        <f>IFERROR(tbl_ASM[[#This Row],[Qty Complete]]/tbl_ASM[[#This Row],[Total Hours Act]]*tbl_ASM[[#This Row],['# of men Act]],"")</f>
        <v/>
      </c>
      <c r="O237"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37" s="71" t="str">
        <f>IFERROR((tbl_ASM[[#This Row],[Adj. Total Hours]]+tbl_ASM[[#This Row],[Est. Hours]])/(tbl_ASM[[#This Row],[Total Hours Act]]+tbl_ASM[[#This Row],[Act. Hours]]),"")</f>
        <v/>
      </c>
      <c r="S237" s="63"/>
      <c r="T237" s="63"/>
      <c r="U237" s="63"/>
      <c r="V237" s="63"/>
      <c r="W237" s="63"/>
    </row>
    <row r="238" spans="6:23" ht="25" customHeight="1">
      <c r="F238" s="53"/>
      <c r="H238" s="55" t="e">
        <f>tbl_ASM[[#This Row],[Qty Complete]]/tbl_ASM[[#This Row],[Qty Required]]</f>
        <v>#DIV/0!</v>
      </c>
      <c r="K238" s="57" t="str">
        <f>IFERROR(tbl_ASM[[#This Row],[Qty Required]]/tbl_ASM[[#This Row],[PPH]]*tbl_ASM[[#This Row],['# of men]],"")</f>
        <v/>
      </c>
      <c r="L238" s="58" t="e">
        <f>tbl_ASM[[#This Row],[Total hours]]*tbl_ASM[[#This Row],[% Complete]]</f>
        <v>#VALUE!</v>
      </c>
      <c r="M238" s="59" t="str">
        <f>IFERROR(tbl_ASM[[#This Row],[Qty Complete]]/tbl_ASM[[#This Row],[Total Hours Act]]*tbl_ASM[[#This Row],['# of men Act]],"")</f>
        <v/>
      </c>
      <c r="O238"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38" s="71" t="str">
        <f>IFERROR((tbl_ASM[[#This Row],[Adj. Total Hours]]+tbl_ASM[[#This Row],[Est. Hours]])/(tbl_ASM[[#This Row],[Total Hours Act]]+tbl_ASM[[#This Row],[Act. Hours]]),"")</f>
        <v/>
      </c>
      <c r="S238" s="63"/>
      <c r="T238" s="63"/>
      <c r="U238" s="63"/>
      <c r="V238" s="63"/>
      <c r="W238" s="63"/>
    </row>
    <row r="239" spans="6:23" ht="25" customHeight="1">
      <c r="F239" s="53"/>
      <c r="H239" s="55" t="e">
        <f>tbl_ASM[[#This Row],[Qty Complete]]/tbl_ASM[[#This Row],[Qty Required]]</f>
        <v>#DIV/0!</v>
      </c>
      <c r="K239" s="57" t="str">
        <f>IFERROR(tbl_ASM[[#This Row],[Qty Required]]/tbl_ASM[[#This Row],[PPH]]*tbl_ASM[[#This Row],['# of men]],"")</f>
        <v/>
      </c>
      <c r="L239" s="58" t="e">
        <f>tbl_ASM[[#This Row],[Total hours]]*tbl_ASM[[#This Row],[% Complete]]</f>
        <v>#VALUE!</v>
      </c>
      <c r="M239" s="59" t="str">
        <f>IFERROR(tbl_ASM[[#This Row],[Qty Complete]]/tbl_ASM[[#This Row],[Total Hours Act]]*tbl_ASM[[#This Row],['# of men Act]],"")</f>
        <v/>
      </c>
      <c r="O239"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39" s="71" t="str">
        <f>IFERROR((tbl_ASM[[#This Row],[Adj. Total Hours]]+tbl_ASM[[#This Row],[Est. Hours]])/(tbl_ASM[[#This Row],[Total Hours Act]]+tbl_ASM[[#This Row],[Act. Hours]]),"")</f>
        <v/>
      </c>
      <c r="S239" s="63"/>
      <c r="T239" s="63"/>
      <c r="U239" s="63"/>
      <c r="V239" s="63"/>
      <c r="W239" s="63"/>
    </row>
    <row r="240" spans="6:23" ht="25" customHeight="1">
      <c r="F240" s="53"/>
      <c r="H240" s="55" t="e">
        <f>tbl_ASM[[#This Row],[Qty Complete]]/tbl_ASM[[#This Row],[Qty Required]]</f>
        <v>#DIV/0!</v>
      </c>
      <c r="K240" s="57" t="str">
        <f>IFERROR(tbl_ASM[[#This Row],[Qty Required]]/tbl_ASM[[#This Row],[PPH]]*tbl_ASM[[#This Row],['# of men]],"")</f>
        <v/>
      </c>
      <c r="L240" s="58" t="e">
        <f>tbl_ASM[[#This Row],[Total hours]]*tbl_ASM[[#This Row],[% Complete]]</f>
        <v>#VALUE!</v>
      </c>
      <c r="M240" s="59" t="str">
        <f>IFERROR(tbl_ASM[[#This Row],[Qty Complete]]/tbl_ASM[[#This Row],[Total Hours Act]]*tbl_ASM[[#This Row],['# of men Act]],"")</f>
        <v/>
      </c>
      <c r="O240"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40" s="71" t="str">
        <f>IFERROR((tbl_ASM[[#This Row],[Adj. Total Hours]]+tbl_ASM[[#This Row],[Est. Hours]])/(tbl_ASM[[#This Row],[Total Hours Act]]+tbl_ASM[[#This Row],[Act. Hours]]),"")</f>
        <v/>
      </c>
      <c r="S240" s="63"/>
      <c r="T240" s="63"/>
      <c r="U240" s="63"/>
      <c r="V240" s="63"/>
      <c r="W240" s="63"/>
    </row>
    <row r="241" spans="6:23" ht="25" customHeight="1">
      <c r="F241" s="53"/>
      <c r="H241" s="55" t="e">
        <f>tbl_ASM[[#This Row],[Qty Complete]]/tbl_ASM[[#This Row],[Qty Required]]</f>
        <v>#DIV/0!</v>
      </c>
      <c r="K241" s="57" t="str">
        <f>IFERROR(tbl_ASM[[#This Row],[Qty Required]]/tbl_ASM[[#This Row],[PPH]]*tbl_ASM[[#This Row],['# of men]],"")</f>
        <v/>
      </c>
      <c r="L241" s="58" t="e">
        <f>tbl_ASM[[#This Row],[Total hours]]*tbl_ASM[[#This Row],[% Complete]]</f>
        <v>#VALUE!</v>
      </c>
      <c r="M241" s="59" t="str">
        <f>IFERROR(tbl_ASM[[#This Row],[Qty Complete]]/tbl_ASM[[#This Row],[Total Hours Act]]*tbl_ASM[[#This Row],['# of men Act]],"")</f>
        <v/>
      </c>
      <c r="O241"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41" s="71" t="str">
        <f>IFERROR((tbl_ASM[[#This Row],[Adj. Total Hours]]+tbl_ASM[[#This Row],[Est. Hours]])/(tbl_ASM[[#This Row],[Total Hours Act]]+tbl_ASM[[#This Row],[Act. Hours]]),"")</f>
        <v/>
      </c>
      <c r="S241" s="63"/>
      <c r="T241" s="63"/>
      <c r="U241" s="63"/>
      <c r="V241" s="63"/>
      <c r="W241" s="63"/>
    </row>
    <row r="242" spans="6:23" ht="25" customHeight="1">
      <c r="F242" s="53"/>
      <c r="H242" s="55" t="e">
        <f>tbl_ASM[[#This Row],[Qty Complete]]/tbl_ASM[[#This Row],[Qty Required]]</f>
        <v>#DIV/0!</v>
      </c>
      <c r="K242" s="57" t="str">
        <f>IFERROR(tbl_ASM[[#This Row],[Qty Required]]/tbl_ASM[[#This Row],[PPH]]*tbl_ASM[[#This Row],['# of men]],"")</f>
        <v/>
      </c>
      <c r="L242" s="58" t="e">
        <f>tbl_ASM[[#This Row],[Total hours]]*tbl_ASM[[#This Row],[% Complete]]</f>
        <v>#VALUE!</v>
      </c>
      <c r="M242" s="59" t="str">
        <f>IFERROR(tbl_ASM[[#This Row],[Qty Complete]]/tbl_ASM[[#This Row],[Total Hours Act]]*tbl_ASM[[#This Row],['# of men Act]],"")</f>
        <v/>
      </c>
      <c r="O242"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42" s="71" t="str">
        <f>IFERROR((tbl_ASM[[#This Row],[Adj. Total Hours]]+tbl_ASM[[#This Row],[Est. Hours]])/(tbl_ASM[[#This Row],[Total Hours Act]]+tbl_ASM[[#This Row],[Act. Hours]]),"")</f>
        <v/>
      </c>
      <c r="S242" s="63"/>
      <c r="T242" s="63"/>
      <c r="U242" s="63"/>
      <c r="V242" s="63"/>
      <c r="W242" s="63"/>
    </row>
    <row r="243" spans="6:23" ht="25" customHeight="1">
      <c r="F243" s="53"/>
      <c r="H243" s="55" t="e">
        <f>tbl_ASM[[#This Row],[Qty Complete]]/tbl_ASM[[#This Row],[Qty Required]]</f>
        <v>#DIV/0!</v>
      </c>
      <c r="K243" s="57" t="str">
        <f>IFERROR(tbl_ASM[[#This Row],[Qty Required]]/tbl_ASM[[#This Row],[PPH]]*tbl_ASM[[#This Row],['# of men]],"")</f>
        <v/>
      </c>
      <c r="L243" s="58" t="e">
        <f>tbl_ASM[[#This Row],[Total hours]]*tbl_ASM[[#This Row],[% Complete]]</f>
        <v>#VALUE!</v>
      </c>
      <c r="M243" s="59" t="str">
        <f>IFERROR(tbl_ASM[[#This Row],[Qty Complete]]/tbl_ASM[[#This Row],[Total Hours Act]]*tbl_ASM[[#This Row],['# of men Act]],"")</f>
        <v/>
      </c>
      <c r="O243"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43" s="71" t="str">
        <f>IFERROR((tbl_ASM[[#This Row],[Adj. Total Hours]]+tbl_ASM[[#This Row],[Est. Hours]])/(tbl_ASM[[#This Row],[Total Hours Act]]+tbl_ASM[[#This Row],[Act. Hours]]),"")</f>
        <v/>
      </c>
      <c r="S243" s="63"/>
      <c r="T243" s="63"/>
      <c r="U243" s="63"/>
      <c r="V243" s="63"/>
      <c r="W243" s="63"/>
    </row>
    <row r="244" spans="6:23" ht="25" customHeight="1">
      <c r="F244" s="53"/>
      <c r="H244" s="55" t="e">
        <f>tbl_ASM[[#This Row],[Qty Complete]]/tbl_ASM[[#This Row],[Qty Required]]</f>
        <v>#DIV/0!</v>
      </c>
      <c r="K244" s="57" t="str">
        <f>IFERROR(tbl_ASM[[#This Row],[Qty Required]]/tbl_ASM[[#This Row],[PPH]]*tbl_ASM[[#This Row],['# of men]],"")</f>
        <v/>
      </c>
      <c r="L244" s="58" t="e">
        <f>tbl_ASM[[#This Row],[Total hours]]*tbl_ASM[[#This Row],[% Complete]]</f>
        <v>#VALUE!</v>
      </c>
      <c r="M244" s="59" t="str">
        <f>IFERROR(tbl_ASM[[#This Row],[Qty Complete]]/tbl_ASM[[#This Row],[Total Hours Act]]*tbl_ASM[[#This Row],['# of men Act]],"")</f>
        <v/>
      </c>
      <c r="O244"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44" s="71" t="str">
        <f>IFERROR((tbl_ASM[[#This Row],[Adj. Total Hours]]+tbl_ASM[[#This Row],[Est. Hours]])/(tbl_ASM[[#This Row],[Total Hours Act]]+tbl_ASM[[#This Row],[Act. Hours]]),"")</f>
        <v/>
      </c>
      <c r="S244" s="63"/>
      <c r="T244" s="63"/>
      <c r="U244" s="63"/>
      <c r="V244" s="63"/>
      <c r="W244" s="63"/>
    </row>
    <row r="245" spans="6:23" ht="25" customHeight="1">
      <c r="F245" s="53"/>
      <c r="H245" s="55" t="e">
        <f>tbl_ASM[[#This Row],[Qty Complete]]/tbl_ASM[[#This Row],[Qty Required]]</f>
        <v>#DIV/0!</v>
      </c>
      <c r="K245" s="57" t="str">
        <f>IFERROR(tbl_ASM[[#This Row],[Qty Required]]/tbl_ASM[[#This Row],[PPH]]*tbl_ASM[[#This Row],['# of men]],"")</f>
        <v/>
      </c>
      <c r="L245" s="58" t="e">
        <f>tbl_ASM[[#This Row],[Total hours]]*tbl_ASM[[#This Row],[% Complete]]</f>
        <v>#VALUE!</v>
      </c>
      <c r="M245" s="59" t="str">
        <f>IFERROR(tbl_ASM[[#This Row],[Qty Complete]]/tbl_ASM[[#This Row],[Total Hours Act]]*tbl_ASM[[#This Row],['# of men Act]],"")</f>
        <v/>
      </c>
      <c r="O245"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45" s="71" t="str">
        <f>IFERROR((tbl_ASM[[#This Row],[Adj. Total Hours]]+tbl_ASM[[#This Row],[Est. Hours]])/(tbl_ASM[[#This Row],[Total Hours Act]]+tbl_ASM[[#This Row],[Act. Hours]]),"")</f>
        <v/>
      </c>
      <c r="S245" s="63"/>
      <c r="T245" s="63"/>
      <c r="U245" s="63"/>
      <c r="V245" s="63"/>
      <c r="W245" s="63"/>
    </row>
    <row r="246" spans="6:23" ht="25" customHeight="1">
      <c r="F246" s="53"/>
      <c r="H246" s="55" t="e">
        <f>tbl_ASM[[#This Row],[Qty Complete]]/tbl_ASM[[#This Row],[Qty Required]]</f>
        <v>#DIV/0!</v>
      </c>
      <c r="K246" s="57" t="str">
        <f>IFERROR(tbl_ASM[[#This Row],[Qty Required]]/tbl_ASM[[#This Row],[PPH]]*tbl_ASM[[#This Row],['# of men]],"")</f>
        <v/>
      </c>
      <c r="L246" s="58" t="e">
        <f>tbl_ASM[[#This Row],[Total hours]]*tbl_ASM[[#This Row],[% Complete]]</f>
        <v>#VALUE!</v>
      </c>
      <c r="M246" s="59" t="str">
        <f>IFERROR(tbl_ASM[[#This Row],[Qty Complete]]/tbl_ASM[[#This Row],[Total Hours Act]]*tbl_ASM[[#This Row],['# of men Act]],"")</f>
        <v/>
      </c>
      <c r="O246"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46" s="71" t="str">
        <f>IFERROR((tbl_ASM[[#This Row],[Adj. Total Hours]]+tbl_ASM[[#This Row],[Est. Hours]])/(tbl_ASM[[#This Row],[Total Hours Act]]+tbl_ASM[[#This Row],[Act. Hours]]),"")</f>
        <v/>
      </c>
      <c r="S246" s="63"/>
      <c r="T246" s="63"/>
      <c r="U246" s="63"/>
      <c r="V246" s="63"/>
      <c r="W246" s="63"/>
    </row>
    <row r="247" spans="6:23" ht="25" customHeight="1">
      <c r="F247" s="53"/>
      <c r="H247" s="55" t="e">
        <f>tbl_ASM[[#This Row],[Qty Complete]]/tbl_ASM[[#This Row],[Qty Required]]</f>
        <v>#DIV/0!</v>
      </c>
      <c r="K247" s="57" t="str">
        <f>IFERROR(tbl_ASM[[#This Row],[Qty Required]]/tbl_ASM[[#This Row],[PPH]]*tbl_ASM[[#This Row],['# of men]],"")</f>
        <v/>
      </c>
      <c r="L247" s="58" t="e">
        <f>tbl_ASM[[#This Row],[Total hours]]*tbl_ASM[[#This Row],[% Complete]]</f>
        <v>#VALUE!</v>
      </c>
      <c r="M247" s="59" t="str">
        <f>IFERROR(tbl_ASM[[#This Row],[Qty Complete]]/tbl_ASM[[#This Row],[Total Hours Act]]*tbl_ASM[[#This Row],['# of men Act]],"")</f>
        <v/>
      </c>
      <c r="O247"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47" s="71" t="str">
        <f>IFERROR((tbl_ASM[[#This Row],[Adj. Total Hours]]+tbl_ASM[[#This Row],[Est. Hours]])/(tbl_ASM[[#This Row],[Total Hours Act]]+tbl_ASM[[#This Row],[Act. Hours]]),"")</f>
        <v/>
      </c>
      <c r="S247" s="63"/>
      <c r="T247" s="63"/>
      <c r="U247" s="63"/>
      <c r="V247" s="63"/>
      <c r="W247" s="63"/>
    </row>
    <row r="248" spans="6:23" ht="25" customHeight="1">
      <c r="F248" s="53"/>
      <c r="H248" s="55" t="e">
        <f>tbl_ASM[[#This Row],[Qty Complete]]/tbl_ASM[[#This Row],[Qty Required]]</f>
        <v>#DIV/0!</v>
      </c>
      <c r="K248" s="57" t="str">
        <f>IFERROR(tbl_ASM[[#This Row],[Qty Required]]/tbl_ASM[[#This Row],[PPH]]*tbl_ASM[[#This Row],['# of men]],"")</f>
        <v/>
      </c>
      <c r="L248" s="58" t="e">
        <f>tbl_ASM[[#This Row],[Total hours]]*tbl_ASM[[#This Row],[% Complete]]</f>
        <v>#VALUE!</v>
      </c>
      <c r="M248" s="59" t="str">
        <f>IFERROR(tbl_ASM[[#This Row],[Qty Complete]]/tbl_ASM[[#This Row],[Total Hours Act]]*tbl_ASM[[#This Row],['# of men Act]],"")</f>
        <v/>
      </c>
      <c r="O248"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48" s="71" t="str">
        <f>IFERROR((tbl_ASM[[#This Row],[Adj. Total Hours]]+tbl_ASM[[#This Row],[Est. Hours]])/(tbl_ASM[[#This Row],[Total Hours Act]]+tbl_ASM[[#This Row],[Act. Hours]]),"")</f>
        <v/>
      </c>
      <c r="S248" s="63"/>
      <c r="T248" s="63"/>
      <c r="U248" s="63"/>
      <c r="V248" s="63"/>
      <c r="W248" s="63"/>
    </row>
    <row r="249" spans="6:23" ht="25" customHeight="1">
      <c r="F249" s="53"/>
      <c r="H249" s="55" t="e">
        <f>tbl_ASM[[#This Row],[Qty Complete]]/tbl_ASM[[#This Row],[Qty Required]]</f>
        <v>#DIV/0!</v>
      </c>
      <c r="K249" s="57" t="str">
        <f>IFERROR(tbl_ASM[[#This Row],[Qty Required]]/tbl_ASM[[#This Row],[PPH]]*tbl_ASM[[#This Row],['# of men]],"")</f>
        <v/>
      </c>
      <c r="L249" s="58" t="e">
        <f>tbl_ASM[[#This Row],[Total hours]]*tbl_ASM[[#This Row],[% Complete]]</f>
        <v>#VALUE!</v>
      </c>
      <c r="M249" s="59" t="str">
        <f>IFERROR(tbl_ASM[[#This Row],[Qty Complete]]/tbl_ASM[[#This Row],[Total Hours Act]]*tbl_ASM[[#This Row],['# of men Act]],"")</f>
        <v/>
      </c>
      <c r="O249"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49" s="71" t="str">
        <f>IFERROR((tbl_ASM[[#This Row],[Adj. Total Hours]]+tbl_ASM[[#This Row],[Est. Hours]])/(tbl_ASM[[#This Row],[Total Hours Act]]+tbl_ASM[[#This Row],[Act. Hours]]),"")</f>
        <v/>
      </c>
      <c r="S249" s="63"/>
      <c r="T249" s="63"/>
      <c r="U249" s="63"/>
      <c r="V249" s="63"/>
      <c r="W249" s="63"/>
    </row>
    <row r="250" spans="6:23" ht="25" customHeight="1">
      <c r="F250" s="53"/>
      <c r="H250" s="55" t="e">
        <f>tbl_ASM[[#This Row],[Qty Complete]]/tbl_ASM[[#This Row],[Qty Required]]</f>
        <v>#DIV/0!</v>
      </c>
      <c r="K250" s="57" t="str">
        <f>IFERROR(tbl_ASM[[#This Row],[Qty Required]]/tbl_ASM[[#This Row],[PPH]]*tbl_ASM[[#This Row],['# of men]],"")</f>
        <v/>
      </c>
      <c r="L250" s="58" t="e">
        <f>tbl_ASM[[#This Row],[Total hours]]*tbl_ASM[[#This Row],[% Complete]]</f>
        <v>#VALUE!</v>
      </c>
      <c r="M250" s="59" t="str">
        <f>IFERROR(tbl_ASM[[#This Row],[Qty Complete]]/tbl_ASM[[#This Row],[Total Hours Act]]*tbl_ASM[[#This Row],['# of men Act]],"")</f>
        <v/>
      </c>
      <c r="O250" s="60">
        <f>(MOD(tbl_ASM[[#This Row],[End Time]]-tbl_ASM[[#This Row],[Start Time]],1)*24*tbl_ASM[[#This Row],['# of men Act]])-
(
IF(AND(tbl_ASM[[#This Row],[Start Time]]&lt;=Data!$B$2+(Data!$B$2&lt;tbl_ASM[[#This Row],[Start Time]]),tbl_ASM[[#This Row],[Start Time]]+MOD(tbl_ASM[[#This Row],[End Time]]-tbl_ASM[[#This Row],[Start Time]],1)&gt;=Data!$C$2+(Data!$C$2&lt;tbl_ASM[[#This Row],[Start Time]])),0.5*tbl_ASM[[#This Row],['# of men Act]],0)
+
IF(AND(tbl_ASM[[#This Row],[Start Time]]&lt;=Data!$B$3+(Data!$B$3&lt;tbl_ASM[[#This Row],[Start Time]]),tbl_ASM[[#This Row],[Start Time]]+MOD(tbl_ASM[[#This Row],[End Time]]-tbl_ASM[[#This Row],[Start Time]],1)&gt;=Data!$C$3+(Data!$C$3&lt;tbl_ASM[[#This Row],[Start Time]])),0.5*tbl_ASM[[#This Row],['# of men Act]],0)
)</f>
        <v>0</v>
      </c>
      <c r="R250" s="71" t="str">
        <f>IFERROR((tbl_ASM[[#This Row],[Adj. Total Hours]]+tbl_ASM[[#This Row],[Est. Hours]])/(tbl_ASM[[#This Row],[Total Hours Act]]+tbl_ASM[[#This Row],[Act. Hours]]),"")</f>
        <v/>
      </c>
      <c r="S250" s="63"/>
      <c r="T250" s="63"/>
      <c r="U250" s="63"/>
      <c r="V250" s="63"/>
      <c r="W250" s="63"/>
    </row>
  </sheetData>
  <sheetProtection sheet="1" objects="1" scenarios="1"/>
  <protectedRanges>
    <protectedRange sqref="A1:G1048576 I1:J1048576 N1:N1048576 P1:Q1048576 S1:W1048576" name="Range1"/>
  </protectedRanges>
  <mergeCells count="1">
    <mergeCell ref="P1:Q1"/>
  </mergeCells>
  <conditionalFormatting sqref="R3:R3852">
    <cfRule type="expression" dxfId="29" priority="1">
      <formula>AND(R3&gt;0.85,R3&lt;&gt;"")</formula>
    </cfRule>
    <cfRule type="expression" dxfId="28" priority="2">
      <formula>AND(R3&gt;=0.7,R3&lt;=0.85,R3&lt;&gt;"")</formula>
    </cfRule>
    <cfRule type="expression" dxfId="27" priority="3">
      <formula>AND(R3&lt;0.7,R3&lt;&gt;"")</formula>
    </cfRule>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3FBCF-6945-45EB-B29F-217A31B75863}">
  <dimension ref="A1:X250"/>
  <sheetViews>
    <sheetView workbookViewId="0">
      <pane ySplit="2" topLeftCell="A69" activePane="bottomLeft" state="frozen"/>
      <selection pane="bottomLeft" activeCell="F80" sqref="F80"/>
    </sheetView>
  </sheetViews>
  <sheetFormatPr defaultColWidth="9.1796875" defaultRowHeight="25" customHeight="1"/>
  <cols>
    <col min="1" max="1" width="11.54296875" style="52" customWidth="1"/>
    <col min="2" max="2" width="13.1796875" style="53" customWidth="1"/>
    <col min="3" max="3" width="14.1796875" style="53" customWidth="1"/>
    <col min="4" max="4" width="15.54296875" style="54" bestFit="1" customWidth="1"/>
    <col min="5" max="5" width="14.7265625" style="54" bestFit="1" customWidth="1"/>
    <col min="6" max="6" width="18.26953125" style="54" bestFit="1" customWidth="1"/>
    <col min="7" max="7" width="19" style="53" bestFit="1" customWidth="1"/>
    <col min="8" max="8" width="19" style="53" hidden="1" customWidth="1"/>
    <col min="9" max="9" width="10.1796875" style="56" bestFit="1" customWidth="1"/>
    <col min="10" max="10" width="14" style="53" bestFit="1" customWidth="1"/>
    <col min="11" max="11" width="16.453125" style="66" bestFit="1" customWidth="1"/>
    <col min="12" max="12" width="16.453125" style="47" hidden="1" customWidth="1"/>
    <col min="13" max="13" width="13.453125" style="67" bestFit="1" customWidth="1"/>
    <col min="14" max="14" width="17.26953125" style="53" bestFit="1" customWidth="1"/>
    <col min="15" max="15" width="20.1796875" style="68" bestFit="1" customWidth="1"/>
    <col min="16" max="17" width="15.7265625" style="61" bestFit="1" customWidth="1"/>
    <col min="18" max="18" width="15.1796875" style="73" bestFit="1" customWidth="1"/>
    <col min="19" max="19" width="18" style="47" hidden="1" customWidth="1"/>
    <col min="20" max="20" width="55.26953125" style="94" customWidth="1"/>
    <col min="21" max="24" width="16.81640625" style="53" bestFit="1" customWidth="1"/>
    <col min="25" max="16384" width="9.1796875" style="47"/>
  </cols>
  <sheetData>
    <row r="1" spans="1:24" ht="47.25" customHeight="1">
      <c r="A1" s="8"/>
      <c r="B1" s="7"/>
      <c r="C1" s="7"/>
      <c r="D1" s="9"/>
      <c r="E1" s="9"/>
      <c r="F1" s="9"/>
      <c r="G1" s="7"/>
      <c r="H1" s="7"/>
      <c r="I1" s="13"/>
      <c r="J1" s="40" t="s">
        <v>0</v>
      </c>
      <c r="K1" s="46"/>
      <c r="L1" s="46"/>
      <c r="M1" s="4"/>
      <c r="N1" s="41" t="s">
        <v>1</v>
      </c>
      <c r="O1" s="5"/>
      <c r="P1" s="113" t="s">
        <v>2</v>
      </c>
      <c r="Q1" s="114"/>
      <c r="R1" s="126" t="s">
        <v>3</v>
      </c>
      <c r="S1" s="126"/>
      <c r="T1" s="91"/>
      <c r="U1" s="7"/>
      <c r="V1" s="7"/>
      <c r="W1" s="7"/>
      <c r="X1" s="7"/>
    </row>
    <row r="2" spans="1:24" ht="17">
      <c r="A2" s="10" t="s">
        <v>4</v>
      </c>
      <c r="B2" s="6" t="s">
        <v>5</v>
      </c>
      <c r="C2" s="6" t="s">
        <v>7</v>
      </c>
      <c r="D2" s="11" t="s">
        <v>8</v>
      </c>
      <c r="E2" s="11" t="s">
        <v>9</v>
      </c>
      <c r="F2" s="11" t="s">
        <v>10</v>
      </c>
      <c r="G2" s="6" t="s">
        <v>11</v>
      </c>
      <c r="H2" s="48" t="s">
        <v>12</v>
      </c>
      <c r="I2" s="12" t="s">
        <v>13</v>
      </c>
      <c r="J2" s="6" t="s">
        <v>14</v>
      </c>
      <c r="K2" s="49" t="s">
        <v>15</v>
      </c>
      <c r="L2" s="50" t="s">
        <v>16</v>
      </c>
      <c r="M2" s="2" t="s">
        <v>21</v>
      </c>
      <c r="N2" s="6" t="s">
        <v>22</v>
      </c>
      <c r="O2" s="3" t="s">
        <v>23</v>
      </c>
      <c r="P2" s="25" t="s">
        <v>25</v>
      </c>
      <c r="Q2" s="25" t="s">
        <v>26</v>
      </c>
      <c r="R2" s="51" t="s">
        <v>27</v>
      </c>
      <c r="S2" s="87" t="s">
        <v>28</v>
      </c>
      <c r="T2" s="92" t="s">
        <v>31</v>
      </c>
      <c r="U2" s="6" t="s">
        <v>32</v>
      </c>
      <c r="V2" s="6" t="s">
        <v>33</v>
      </c>
      <c r="W2" s="6" t="s">
        <v>34</v>
      </c>
      <c r="X2" s="6" t="s">
        <v>35</v>
      </c>
    </row>
    <row r="3" spans="1:24" ht="25" customHeight="1">
      <c r="A3" s="52">
        <v>46119</v>
      </c>
      <c r="B3" s="53">
        <v>143050</v>
      </c>
      <c r="C3" s="53" t="s">
        <v>459</v>
      </c>
      <c r="D3" s="54">
        <v>0.20833333333333334</v>
      </c>
      <c r="E3" s="54">
        <v>0.23958333333333334</v>
      </c>
      <c r="F3" s="53">
        <v>57</v>
      </c>
      <c r="G3" s="53">
        <v>32</v>
      </c>
      <c r="H3" s="55">
        <f>tbl_Form[[#This Row],[Qty Complete]]/tbl_Form[[#This Row],[Qty Required]]</f>
        <v>0.56140350877192979</v>
      </c>
      <c r="I3" s="56">
        <v>85</v>
      </c>
      <c r="J3" s="53">
        <v>1</v>
      </c>
      <c r="K3" s="57">
        <f>IFERROR(tbl_Form[[#This Row],[Qty Required]]/tbl_Form[[#This Row],[PPH]]*tbl_Form[[#This Row],['# of men]],"")</f>
        <v>0.6705882352941176</v>
      </c>
      <c r="L3" s="58">
        <f>tbl_Form[[#This Row],[Total hours]]*tbl_Form[[#This Row],[% Complete]]</f>
        <v>0.37647058823529406</v>
      </c>
      <c r="M3" s="59">
        <f>IFERROR(tbl_Form[[#This Row],[Qty Complete]]/tbl_Form[[#This Row],[Total Hours Act]]*tbl_Form[[#This Row],['# of men Act]],"")</f>
        <v>42.666666666666664</v>
      </c>
      <c r="N3" s="53">
        <v>1</v>
      </c>
      <c r="O3"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0.75</v>
      </c>
      <c r="P3" s="61">
        <v>0.5</v>
      </c>
      <c r="Q3" s="61">
        <v>0.15</v>
      </c>
      <c r="R3" s="72">
        <f>IFERROR((tbl_Form[[#This Row],[Adj. Total Hours]]+tbl_Form[[#This Row],[Est. Hours]])/(tbl_Form[[#This Row],[Total Hours Act]]+tbl_Form[[#This Row],[Act. Hours]]),"")</f>
        <v>0.97385620915032678</v>
      </c>
      <c r="S3" s="88"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3" s="93"/>
      <c r="U3" s="64"/>
      <c r="V3" s="65"/>
      <c r="W3" s="63"/>
      <c r="X3" s="63"/>
    </row>
    <row r="4" spans="1:24" ht="25" customHeight="1">
      <c r="A4" s="52">
        <v>46119</v>
      </c>
      <c r="B4" s="53">
        <v>143086</v>
      </c>
      <c r="C4" s="53" t="s">
        <v>460</v>
      </c>
      <c r="D4" s="54">
        <v>0.2986111111111111</v>
      </c>
      <c r="E4" s="54">
        <v>0.33888888888888891</v>
      </c>
      <c r="F4" s="53">
        <v>60</v>
      </c>
      <c r="G4" s="53">
        <v>59</v>
      </c>
      <c r="H4" s="55">
        <f>tbl_Form[[#This Row],[Qty Complete]]/tbl_Form[[#This Row],[Qty Required]]</f>
        <v>0.98333333333333328</v>
      </c>
      <c r="I4" s="56">
        <v>85</v>
      </c>
      <c r="J4" s="53">
        <v>1</v>
      </c>
      <c r="K4" s="57">
        <f>IFERROR(tbl_Form[[#This Row],[Qty Required]]/tbl_Form[[#This Row],[PPH]]*tbl_Form[[#This Row],['# of men]],"")</f>
        <v>0.70588235294117652</v>
      </c>
      <c r="L4" s="58">
        <f>tbl_Form[[#This Row],[Total hours]]*tbl_Form[[#This Row],[% Complete]]</f>
        <v>0.69411764705882351</v>
      </c>
      <c r="M4" s="59">
        <f>IFERROR(tbl_Form[[#This Row],[Qty Complete]]/tbl_Form[[#This Row],[Total Hours Act]]*tbl_Form[[#This Row],['# of men Act]],"")</f>
        <v>61.034482758620655</v>
      </c>
      <c r="N4" s="53">
        <v>1</v>
      </c>
      <c r="O4"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0.96666666666666723</v>
      </c>
      <c r="P4" s="61">
        <v>0.5</v>
      </c>
      <c r="Q4" s="61">
        <v>0.5</v>
      </c>
      <c r="R4" s="90">
        <f>IFERROR((tbl_Form[[#This Row],[Adj. Total Hours]]+tbl_Form[[#This Row],[Est. Hours]])/(tbl_Form[[#This Row],[Total Hours Act]]+tbl_Form[[#This Row],[Act. Hours]]),"")</f>
        <v>0.81417112299465211</v>
      </c>
      <c r="S4"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4" s="93" t="s">
        <v>461</v>
      </c>
      <c r="U4" s="63"/>
      <c r="V4" s="63"/>
      <c r="W4" s="63"/>
      <c r="X4" s="63"/>
    </row>
    <row r="5" spans="1:24" ht="25" customHeight="1">
      <c r="A5" s="52">
        <v>46120</v>
      </c>
      <c r="B5" s="53" t="s">
        <v>462</v>
      </c>
      <c r="C5" s="53">
        <v>30112804</v>
      </c>
      <c r="D5" s="54">
        <v>0.20833333333333334</v>
      </c>
      <c r="E5" s="54">
        <v>0.28680555555555554</v>
      </c>
      <c r="F5" s="53">
        <v>100</v>
      </c>
      <c r="G5" s="53">
        <v>29</v>
      </c>
      <c r="H5" s="55">
        <f>tbl_Form[[#This Row],[Qty Complete]]/tbl_Form[[#This Row],[Qty Required]]</f>
        <v>0.28999999999999998</v>
      </c>
      <c r="I5" s="56">
        <v>68</v>
      </c>
      <c r="J5" s="53">
        <v>1</v>
      </c>
      <c r="K5" s="57">
        <f>IFERROR(tbl_Form[[#This Row],[Qty Required]]/tbl_Form[[#This Row],[PPH]]*tbl_Form[[#This Row],['# of men]],"")</f>
        <v>1.4705882352941178</v>
      </c>
      <c r="L5" s="58">
        <f>tbl_Form[[#This Row],[Total hours]]*tbl_Form[[#This Row],[% Complete]]</f>
        <v>0.4264705882352941</v>
      </c>
      <c r="M5" s="59">
        <f>IFERROR(tbl_Form[[#This Row],[Qty Complete]]/tbl_Form[[#This Row],[Total Hours Act]]*tbl_Form[[#This Row],['# of men Act]],"")</f>
        <v>15.398230088495581</v>
      </c>
      <c r="N5" s="53">
        <v>1</v>
      </c>
      <c r="O5"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1.8833333333333326</v>
      </c>
      <c r="P5" s="61">
        <v>0.5</v>
      </c>
      <c r="Q5" s="61">
        <v>0.5</v>
      </c>
      <c r="R5" s="90">
        <f>IFERROR((tbl_Form[[#This Row],[Adj. Total Hours]]+tbl_Form[[#This Row],[Est. Hours]])/(tbl_Form[[#This Row],[Total Hours Act]]+tbl_Form[[#This Row],[Act. Hours]]),"")</f>
        <v>0.38872891814068294</v>
      </c>
      <c r="S5"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5" s="93" t="s">
        <v>463</v>
      </c>
      <c r="U5" s="63"/>
      <c r="V5" s="63"/>
      <c r="W5" s="63"/>
      <c r="X5" s="63"/>
    </row>
    <row r="6" spans="1:24" ht="25" customHeight="1">
      <c r="A6" s="52">
        <v>46120</v>
      </c>
      <c r="B6" s="53">
        <v>143052</v>
      </c>
      <c r="C6" s="53" t="s">
        <v>464</v>
      </c>
      <c r="D6" s="54">
        <v>0.31597222222222221</v>
      </c>
      <c r="E6" s="54">
        <v>0.45833333333333331</v>
      </c>
      <c r="F6" s="53">
        <v>35</v>
      </c>
      <c r="G6" s="53">
        <v>35</v>
      </c>
      <c r="H6" s="55">
        <f>tbl_Form[[#This Row],[Qty Complete]]/tbl_Form[[#This Row],[Qty Required]]</f>
        <v>1</v>
      </c>
      <c r="I6" s="56">
        <v>26</v>
      </c>
      <c r="J6" s="53">
        <v>1</v>
      </c>
      <c r="K6" s="57">
        <f>IFERROR(tbl_Form[[#This Row],[Qty Required]]/tbl_Form[[#This Row],[PPH]]*tbl_Form[[#This Row],['# of men]],"")</f>
        <v>1.3461538461538463</v>
      </c>
      <c r="L6" s="58">
        <f>tbl_Form[[#This Row],[Total hours]]*tbl_Form[[#This Row],[% Complete]]</f>
        <v>1.3461538461538463</v>
      </c>
      <c r="M6" s="59">
        <f>IFERROR(tbl_Form[[#This Row],[Qty Complete]]/tbl_Form[[#This Row],[Total Hours Act]]*tbl_Form[[#This Row],['# of men Act]],"")</f>
        <v>10.24390243902439</v>
      </c>
      <c r="N6" s="53">
        <v>1</v>
      </c>
      <c r="O6"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3.4166666666666665</v>
      </c>
      <c r="P6" s="61">
        <v>0.5</v>
      </c>
      <c r="Q6" s="61">
        <v>1</v>
      </c>
      <c r="R6" s="90">
        <f>IFERROR((tbl_Form[[#This Row],[Adj. Total Hours]]+tbl_Form[[#This Row],[Est. Hours]])/(tbl_Form[[#This Row],[Total Hours Act]]+tbl_Form[[#This Row],[Act. Hours]]),"")</f>
        <v>0.41799709724238032</v>
      </c>
      <c r="S6" s="89">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0.41799709724238032</v>
      </c>
      <c r="T6" s="93" t="s">
        <v>465</v>
      </c>
      <c r="U6" s="63"/>
      <c r="V6" s="63"/>
      <c r="W6" s="63"/>
      <c r="X6" s="63"/>
    </row>
    <row r="7" spans="1:24" ht="25" customHeight="1">
      <c r="A7" s="52">
        <v>46120</v>
      </c>
      <c r="B7" s="53">
        <v>143016</v>
      </c>
      <c r="C7" s="53" t="s">
        <v>466</v>
      </c>
      <c r="D7" s="54">
        <v>0.41666666666666669</v>
      </c>
      <c r="E7" s="54">
        <v>0.4861111111111111</v>
      </c>
      <c r="F7" s="53">
        <v>748</v>
      </c>
      <c r="G7" s="53">
        <v>140</v>
      </c>
      <c r="H7" s="55">
        <f>tbl_Form[[#This Row],[Qty Complete]]/tbl_Form[[#This Row],[Qty Required]]</f>
        <v>0.18716577540106952</v>
      </c>
      <c r="I7" s="56">
        <v>85</v>
      </c>
      <c r="J7" s="53">
        <v>1</v>
      </c>
      <c r="K7" s="57">
        <f>IFERROR(tbl_Form[[#This Row],[Qty Required]]/tbl_Form[[#This Row],[PPH]]*tbl_Form[[#This Row],['# of men]],"")</f>
        <v>8.8000000000000007</v>
      </c>
      <c r="L7" s="58">
        <f>tbl_Form[[#This Row],[Total hours]]*tbl_Form[[#This Row],[% Complete]]</f>
        <v>1.6470588235294119</v>
      </c>
      <c r="M7" s="59">
        <f>IFERROR(tbl_Form[[#This Row],[Qty Complete]]/tbl_Form[[#This Row],[Total Hours Act]]*tbl_Form[[#This Row],['# of men Act]],"")</f>
        <v>84.000000000000028</v>
      </c>
      <c r="N7" s="53">
        <v>1</v>
      </c>
      <c r="O7"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1.6666666666666661</v>
      </c>
      <c r="P7" s="61">
        <v>0.5</v>
      </c>
      <c r="Q7" s="61">
        <v>0.5</v>
      </c>
      <c r="R7" s="90">
        <f>IFERROR((tbl_Form[[#This Row],[Adj. Total Hours]]+tbl_Form[[#This Row],[Est. Hours]])/(tbl_Form[[#This Row],[Total Hours Act]]+tbl_Form[[#This Row],[Act. Hours]]),"")</f>
        <v>0.99095022624434437</v>
      </c>
      <c r="S7"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7" s="93" t="s">
        <v>467</v>
      </c>
      <c r="U7" s="63"/>
      <c r="V7" s="63"/>
      <c r="W7" s="63"/>
      <c r="X7" s="63"/>
    </row>
    <row r="8" spans="1:24" ht="25" customHeight="1">
      <c r="A8" s="52">
        <v>46120</v>
      </c>
      <c r="B8" s="53" t="s">
        <v>222</v>
      </c>
      <c r="C8" s="53">
        <v>32070901</v>
      </c>
      <c r="D8" s="54">
        <v>0.4861111111111111</v>
      </c>
      <c r="E8" s="54">
        <v>0.64583333333333337</v>
      </c>
      <c r="F8" s="53">
        <v>50</v>
      </c>
      <c r="G8" s="53">
        <v>16</v>
      </c>
      <c r="H8" s="55">
        <f>tbl_Form[[#This Row],[Qty Complete]]/tbl_Form[[#This Row],[Qty Required]]</f>
        <v>0.32</v>
      </c>
      <c r="I8" s="56">
        <v>7</v>
      </c>
      <c r="J8" s="53">
        <v>2</v>
      </c>
      <c r="K8" s="57">
        <f>IFERROR(tbl_Form[[#This Row],[Qty Required]]/tbl_Form[[#This Row],[PPH]]*tbl_Form[[#This Row],['# of men]],"")</f>
        <v>14.285714285714286</v>
      </c>
      <c r="L8" s="58">
        <f>tbl_Form[[#This Row],[Total hours]]*tbl_Form[[#This Row],[% Complete]]</f>
        <v>4.5714285714285721</v>
      </c>
      <c r="M8" s="59">
        <f>IFERROR(tbl_Form[[#This Row],[Qty Complete]]/tbl_Form[[#This Row],[Total Hours Act]]*tbl_Form[[#This Row],['# of men Act]],"")</f>
        <v>4.7999999999999989</v>
      </c>
      <c r="N8" s="53">
        <v>2</v>
      </c>
      <c r="O8"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6.6666666666666687</v>
      </c>
      <c r="P8" s="61">
        <v>0.5</v>
      </c>
      <c r="Q8" s="61">
        <v>0.45</v>
      </c>
      <c r="R8" s="90">
        <f>IFERROR((tbl_Form[[#This Row],[Adj. Total Hours]]+tbl_Form[[#This Row],[Est. Hours]])/(tbl_Form[[#This Row],[Total Hours Act]]+tbl_Form[[#This Row],[Act. Hours]]),"")</f>
        <v>0.71261291401806615</v>
      </c>
      <c r="S8"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8" s="93"/>
      <c r="U8" s="63"/>
      <c r="V8" s="63"/>
      <c r="W8" s="63"/>
      <c r="X8" s="63"/>
    </row>
    <row r="9" spans="1:24" ht="25" customHeight="1">
      <c r="A9" s="52">
        <v>46120</v>
      </c>
      <c r="B9" s="53">
        <v>143016</v>
      </c>
      <c r="C9" s="53" t="s">
        <v>466</v>
      </c>
      <c r="D9" s="54">
        <v>0.47916666666666669</v>
      </c>
      <c r="E9" s="54">
        <v>0.61111111111111116</v>
      </c>
      <c r="F9" s="53">
        <v>748</v>
      </c>
      <c r="G9" s="53">
        <v>171</v>
      </c>
      <c r="H9" s="55">
        <f>tbl_Form[[#This Row],[Qty Complete]]/tbl_Form[[#This Row],[Qty Required]]</f>
        <v>0.2286096256684492</v>
      </c>
      <c r="I9" s="56">
        <v>85</v>
      </c>
      <c r="J9" s="53">
        <v>1</v>
      </c>
      <c r="K9" s="57">
        <f>IFERROR(tbl_Form[[#This Row],[Qty Required]]/tbl_Form[[#This Row],[PPH]]*tbl_Form[[#This Row],['# of men]],"")</f>
        <v>8.8000000000000007</v>
      </c>
      <c r="L9" s="58">
        <f>tbl_Form[[#This Row],[Total hours]]*tbl_Form[[#This Row],[% Complete]]</f>
        <v>2.0117647058823529</v>
      </c>
      <c r="M9" s="59">
        <f>IFERROR(tbl_Form[[#This Row],[Qty Complete]]/tbl_Form[[#This Row],[Total Hours Act]]*tbl_Form[[#This Row],['# of men Act]],"")</f>
        <v>64.124999999999986</v>
      </c>
      <c r="N9" s="53">
        <v>1</v>
      </c>
      <c r="O9"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2.6666666666666674</v>
      </c>
      <c r="P9" s="61">
        <v>0.5</v>
      </c>
      <c r="Q9" s="61">
        <v>0.15</v>
      </c>
      <c r="R9" s="90">
        <f>IFERROR((tbl_Form[[#This Row],[Adj. Total Hours]]+tbl_Form[[#This Row],[Est. Hours]])/(tbl_Form[[#This Row],[Total Hours Act]]+tbl_Form[[#This Row],[Act. Hours]]),"")</f>
        <v>0.89175078315349787</v>
      </c>
      <c r="S9"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9" s="93"/>
      <c r="U9" s="63"/>
      <c r="V9" s="63"/>
      <c r="W9" s="63"/>
      <c r="X9" s="63"/>
    </row>
    <row r="10" spans="1:24" ht="25" customHeight="1">
      <c r="A10" s="52">
        <v>46121</v>
      </c>
      <c r="B10" s="53" t="s">
        <v>468</v>
      </c>
      <c r="C10" s="53" t="s">
        <v>469</v>
      </c>
      <c r="D10" s="54">
        <v>0.70833333333333337</v>
      </c>
      <c r="E10" s="54">
        <v>0.12152777777777778</v>
      </c>
      <c r="F10" s="53">
        <v>1000</v>
      </c>
      <c r="G10" s="53">
        <v>696</v>
      </c>
      <c r="H10" s="55">
        <f>tbl_Form[[#This Row],[Qty Complete]]/tbl_Form[[#This Row],[Qty Required]]</f>
        <v>0.69599999999999995</v>
      </c>
      <c r="I10" s="56">
        <v>85</v>
      </c>
      <c r="J10" s="53">
        <v>1</v>
      </c>
      <c r="K10" s="57">
        <f>IFERROR(tbl_Form[[#This Row],[Qty Required]]/tbl_Form[[#This Row],[PPH]]*tbl_Form[[#This Row],['# of men]],"")</f>
        <v>11.764705882352942</v>
      </c>
      <c r="L10" s="58">
        <f>tbl_Form[[#This Row],[Total hours]]*tbl_Form[[#This Row],[% Complete]]</f>
        <v>8.1882352941176464</v>
      </c>
      <c r="M10" s="59">
        <f>IFERROR(tbl_Form[[#This Row],[Qty Complete]]/tbl_Form[[#This Row],[Total Hours Act]]*tbl_Form[[#This Row],['# of men Act]],"")</f>
        <v>73.911504424778769</v>
      </c>
      <c r="N10" s="53">
        <v>1</v>
      </c>
      <c r="O10"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9.4166666666666661</v>
      </c>
      <c r="R10" s="90">
        <f>IFERROR((tbl_Form[[#This Row],[Adj. Total Hours]]+tbl_Form[[#This Row],[Est. Hours]])/(tbl_Form[[#This Row],[Total Hours Act]]+tbl_Form[[#This Row],[Act. Hours]]),"")</f>
        <v>0.86954711087975012</v>
      </c>
      <c r="S10"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0" s="93"/>
      <c r="U10" s="63"/>
      <c r="V10" s="63"/>
      <c r="W10" s="63"/>
      <c r="X10" s="63"/>
    </row>
    <row r="11" spans="1:24" ht="25" customHeight="1">
      <c r="A11" s="52">
        <v>46122</v>
      </c>
      <c r="B11" s="53" t="s">
        <v>468</v>
      </c>
      <c r="C11" s="53" t="s">
        <v>469</v>
      </c>
      <c r="D11" s="54">
        <v>0.20347222222222222</v>
      </c>
      <c r="E11" s="54">
        <v>0.32291666666666669</v>
      </c>
      <c r="F11" s="53">
        <v>696</v>
      </c>
      <c r="G11" s="53">
        <v>140</v>
      </c>
      <c r="H11" s="55">
        <f>tbl_Form[[#This Row],[Qty Complete]]/tbl_Form[[#This Row],[Qty Required]]</f>
        <v>0.20114942528735633</v>
      </c>
      <c r="I11" s="56">
        <v>85</v>
      </c>
      <c r="J11" s="53">
        <v>1</v>
      </c>
      <c r="K11" s="57">
        <f>IFERROR(tbl_Form[[#This Row],[Qty Required]]/tbl_Form[[#This Row],[PPH]]*tbl_Form[[#This Row],['# of men]],"")</f>
        <v>8.1882352941176464</v>
      </c>
      <c r="L11" s="58">
        <f>tbl_Form[[#This Row],[Total hours]]*tbl_Form[[#This Row],[% Complete]]</f>
        <v>1.6470588235294117</v>
      </c>
      <c r="M11" s="59">
        <f>IFERROR(tbl_Form[[#This Row],[Qty Complete]]/tbl_Form[[#This Row],[Total Hours Act]]*tbl_Form[[#This Row],['# of men Act]],"")</f>
        <v>48.837209302325576</v>
      </c>
      <c r="N11" s="53">
        <v>1</v>
      </c>
      <c r="O11"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2.8666666666666671</v>
      </c>
      <c r="P11" s="61">
        <v>0.5</v>
      </c>
      <c r="R11" s="90">
        <f>IFERROR((tbl_Form[[#This Row],[Adj. Total Hours]]+tbl_Form[[#This Row],[Est. Hours]])/(tbl_Form[[#This Row],[Total Hours Act]]+tbl_Form[[#This Row],[Act. Hours]]),"")</f>
        <v>0.74897400820793414</v>
      </c>
      <c r="S11"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1" s="93" t="s">
        <v>470</v>
      </c>
      <c r="U11" s="63" t="s">
        <v>471</v>
      </c>
      <c r="V11" s="63"/>
      <c r="W11" s="63"/>
      <c r="X11" s="63"/>
    </row>
    <row r="12" spans="1:24" ht="25" customHeight="1">
      <c r="A12" s="52">
        <v>46122</v>
      </c>
      <c r="B12" s="53">
        <v>143212</v>
      </c>
      <c r="C12" s="53" t="s">
        <v>264</v>
      </c>
      <c r="D12" s="54">
        <v>0.2326388888888889</v>
      </c>
      <c r="E12" s="54">
        <v>0.27500000000000002</v>
      </c>
      <c r="F12" s="53">
        <v>60</v>
      </c>
      <c r="G12" s="53">
        <v>60</v>
      </c>
      <c r="H12" s="55">
        <f>tbl_Form[[#This Row],[Qty Complete]]/tbl_Form[[#This Row],[Qty Required]]</f>
        <v>1</v>
      </c>
      <c r="I12" s="56">
        <v>85</v>
      </c>
      <c r="J12" s="53">
        <v>1</v>
      </c>
      <c r="K12" s="57">
        <f>IFERROR(tbl_Form[[#This Row],[Qty Required]]/tbl_Form[[#This Row],[PPH]]*tbl_Form[[#This Row],['# of men]],"")</f>
        <v>0.70588235294117652</v>
      </c>
      <c r="L12" s="58">
        <f>tbl_Form[[#This Row],[Total hours]]*tbl_Form[[#This Row],[% Complete]]</f>
        <v>0.70588235294117652</v>
      </c>
      <c r="M12" s="59">
        <f>IFERROR(tbl_Form[[#This Row],[Qty Complete]]/tbl_Form[[#This Row],[Total Hours Act]]*tbl_Form[[#This Row],['# of men Act]],"")</f>
        <v>59.016393442622928</v>
      </c>
      <c r="N12" s="53">
        <v>1</v>
      </c>
      <c r="O12"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1.0166666666666671</v>
      </c>
      <c r="P12" s="61">
        <v>0.5</v>
      </c>
      <c r="Q12" s="61">
        <v>0.55000000000000004</v>
      </c>
      <c r="R12" s="90">
        <f>IFERROR((tbl_Form[[#This Row],[Adj. Total Hours]]+tbl_Form[[#This Row],[Est. Hours]])/(tbl_Form[[#This Row],[Total Hours Act]]+tbl_Form[[#This Row],[Act. Hours]]),"")</f>
        <v>0.76971214017521894</v>
      </c>
      <c r="S12" s="89">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0.76971214017521894</v>
      </c>
      <c r="T12" s="93"/>
      <c r="U12" s="63"/>
      <c r="V12" s="63"/>
      <c r="W12" s="63"/>
      <c r="X12" s="63"/>
    </row>
    <row r="13" spans="1:24" ht="25" customHeight="1">
      <c r="A13" s="52">
        <v>46122</v>
      </c>
      <c r="B13" s="53">
        <v>143089</v>
      </c>
      <c r="C13" s="53" t="s">
        <v>261</v>
      </c>
      <c r="D13" s="54">
        <v>0.30902777777777779</v>
      </c>
      <c r="E13" s="54">
        <v>0.43472222222222223</v>
      </c>
      <c r="F13" s="53">
        <v>48</v>
      </c>
      <c r="G13" s="53">
        <v>48</v>
      </c>
      <c r="H13" s="55">
        <f>tbl_Form[[#This Row],[Qty Complete]]/tbl_Form[[#This Row],[Qty Required]]</f>
        <v>1</v>
      </c>
      <c r="I13" s="56">
        <v>26</v>
      </c>
      <c r="J13" s="53">
        <v>1</v>
      </c>
      <c r="K13" s="57">
        <f>IFERROR(tbl_Form[[#This Row],[Qty Required]]/tbl_Form[[#This Row],[PPH]]*tbl_Form[[#This Row],['# of men]],"")</f>
        <v>1.8461538461538463</v>
      </c>
      <c r="L13" s="58">
        <f>tbl_Form[[#This Row],[Total hours]]*tbl_Form[[#This Row],[% Complete]]</f>
        <v>1.8461538461538463</v>
      </c>
      <c r="M13" s="59">
        <f>IFERROR(tbl_Form[[#This Row],[Qty Complete]]/tbl_Form[[#This Row],[Total Hours Act]]*tbl_Form[[#This Row],['# of men Act]],"")</f>
        <v>15.911602209944752</v>
      </c>
      <c r="N13" s="53">
        <v>1</v>
      </c>
      <c r="O13"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3.0166666666666666</v>
      </c>
      <c r="P13" s="61">
        <v>0.5</v>
      </c>
      <c r="Q13" s="61">
        <v>0.75</v>
      </c>
      <c r="R13" s="90">
        <f>IFERROR((tbl_Form[[#This Row],[Adj. Total Hours]]+tbl_Form[[#This Row],[Est. Hours]])/(tbl_Form[[#This Row],[Total Hours Act]]+tbl_Form[[#This Row],[Act. Hours]]),"")</f>
        <v>0.62287270251872029</v>
      </c>
      <c r="S13" s="89">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0.62287270251872029</v>
      </c>
      <c r="T13" s="93"/>
      <c r="U13" s="63"/>
      <c r="V13" s="63"/>
      <c r="W13" s="63"/>
      <c r="X13" s="63"/>
    </row>
    <row r="14" spans="1:24" ht="25" customHeight="1">
      <c r="A14" s="52">
        <v>46122</v>
      </c>
      <c r="B14" s="53">
        <v>143016</v>
      </c>
      <c r="C14" s="53" t="s">
        <v>472</v>
      </c>
      <c r="D14" s="54">
        <v>0.45416666666666666</v>
      </c>
      <c r="E14" s="54">
        <v>0.69930555555555551</v>
      </c>
      <c r="F14" s="53">
        <v>748</v>
      </c>
      <c r="G14" s="53">
        <v>486</v>
      </c>
      <c r="H14" s="55">
        <f>tbl_Form[[#This Row],[Qty Complete]]/tbl_Form[[#This Row],[Qty Required]]</f>
        <v>0.64973262032085566</v>
      </c>
      <c r="I14" s="56">
        <v>85</v>
      </c>
      <c r="J14" s="53">
        <v>1</v>
      </c>
      <c r="K14" s="57">
        <f>IFERROR(tbl_Form[[#This Row],[Qty Required]]/tbl_Form[[#This Row],[PPH]]*tbl_Form[[#This Row],['# of men]],"")</f>
        <v>8.8000000000000007</v>
      </c>
      <c r="L14" s="58">
        <f>tbl_Form[[#This Row],[Total hours]]*tbl_Form[[#This Row],[% Complete]]</f>
        <v>5.7176470588235304</v>
      </c>
      <c r="M14" s="59">
        <f>IFERROR(tbl_Form[[#This Row],[Qty Complete]]/tbl_Form[[#This Row],[Total Hours Act]]*tbl_Form[[#This Row],['# of men Act]],"")</f>
        <v>90.278637770897845</v>
      </c>
      <c r="N14" s="53">
        <v>1</v>
      </c>
      <c r="O14"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5.3833333333333329</v>
      </c>
      <c r="P14" s="61">
        <v>0.5</v>
      </c>
      <c r="Q14" s="61">
        <v>0.5</v>
      </c>
      <c r="R14" s="90">
        <f>IFERROR((tbl_Form[[#This Row],[Adj. Total Hours]]+tbl_Form[[#This Row],[Est. Hours]])/(tbl_Form[[#This Row],[Total Hours Act]]+tbl_Form[[#This Row],[Act. Hours]]),"")</f>
        <v>1.0568238626895521</v>
      </c>
      <c r="S14" s="89">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1.0009022013713462</v>
      </c>
      <c r="T14" s="93"/>
      <c r="U14" s="63"/>
      <c r="V14" s="63"/>
      <c r="W14" s="63"/>
      <c r="X14" s="63"/>
    </row>
    <row r="15" spans="1:24" ht="25" customHeight="1">
      <c r="A15" s="52">
        <v>46122</v>
      </c>
      <c r="B15" s="53" t="s">
        <v>254</v>
      </c>
      <c r="C15" s="53" t="s">
        <v>255</v>
      </c>
      <c r="D15" s="54">
        <v>0.77083333333333337</v>
      </c>
      <c r="E15" s="54">
        <v>0.20833333333333334</v>
      </c>
      <c r="F15" s="53">
        <v>220</v>
      </c>
      <c r="G15" s="53">
        <v>136</v>
      </c>
      <c r="H15" s="55">
        <f>tbl_Form[[#This Row],[Qty Complete]]/tbl_Form[[#This Row],[Qty Required]]</f>
        <v>0.61818181818181817</v>
      </c>
      <c r="I15" s="56">
        <v>20</v>
      </c>
      <c r="J15" s="53">
        <v>1</v>
      </c>
      <c r="K15" s="57">
        <f>IFERROR(tbl_Form[[#This Row],[Qty Required]]/tbl_Form[[#This Row],[PPH]]*tbl_Form[[#This Row],['# of men]],"")</f>
        <v>11</v>
      </c>
      <c r="L15" s="58">
        <f>tbl_Form[[#This Row],[Total hours]]*tbl_Form[[#This Row],[% Complete]]</f>
        <v>6.8</v>
      </c>
      <c r="M15" s="59">
        <f>IFERROR(tbl_Form[[#This Row],[Qty Complete]]/tbl_Form[[#This Row],[Total Hours Act]]*tbl_Form[[#This Row],['# of men Act]],"")</f>
        <v>13.6</v>
      </c>
      <c r="N15" s="53">
        <v>1</v>
      </c>
      <c r="O15"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10</v>
      </c>
      <c r="P15" s="61">
        <v>0.95</v>
      </c>
      <c r="Q15" s="61">
        <v>1</v>
      </c>
      <c r="R15" s="90">
        <f>IFERROR((tbl_Form[[#This Row],[Adj. Total Hours]]+tbl_Form[[#This Row],[Est. Hours]])/(tbl_Form[[#This Row],[Total Hours Act]]+tbl_Form[[#This Row],[Act. Hours]]),"")</f>
        <v>0.70454545454545459</v>
      </c>
      <c r="S15"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5" s="93"/>
      <c r="U15" s="63" t="s">
        <v>473</v>
      </c>
      <c r="V15" s="63"/>
      <c r="W15" s="63"/>
      <c r="X15" s="63"/>
    </row>
    <row r="16" spans="1:24" ht="25" customHeight="1">
      <c r="A16" s="52">
        <v>46123</v>
      </c>
      <c r="B16" s="53" t="s">
        <v>474</v>
      </c>
      <c r="C16" s="53" t="s">
        <v>255</v>
      </c>
      <c r="D16" s="54">
        <v>0.20833333333333334</v>
      </c>
      <c r="E16" s="54">
        <v>0.38055555555555554</v>
      </c>
      <c r="F16" s="53">
        <v>220</v>
      </c>
      <c r="G16" s="53">
        <v>49</v>
      </c>
      <c r="H16" s="55">
        <f>tbl_Form[[#This Row],[Qty Complete]]/tbl_Form[[#This Row],[Qty Required]]</f>
        <v>0.22272727272727272</v>
      </c>
      <c r="I16" s="56">
        <v>20</v>
      </c>
      <c r="J16" s="53">
        <v>1</v>
      </c>
      <c r="K16" s="57">
        <f>IFERROR(tbl_Form[[#This Row],[Qty Required]]/tbl_Form[[#This Row],[PPH]]*tbl_Form[[#This Row],['# of men]],"")</f>
        <v>11</v>
      </c>
      <c r="L16" s="58">
        <f>tbl_Form[[#This Row],[Total hours]]*tbl_Form[[#This Row],[% Complete]]</f>
        <v>2.4499999999999997</v>
      </c>
      <c r="M16" s="59">
        <f>IFERROR(tbl_Form[[#This Row],[Qty Complete]]/tbl_Form[[#This Row],[Total Hours Act]]*tbl_Form[[#This Row],['# of men Act]],"")</f>
        <v>11.85483870967742</v>
      </c>
      <c r="N16" s="53">
        <v>1</v>
      </c>
      <c r="O16"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4.1333333333333329</v>
      </c>
      <c r="R16" s="90">
        <f>IFERROR((tbl_Form[[#This Row],[Adj. Total Hours]]+tbl_Form[[#This Row],[Est. Hours]])/(tbl_Form[[#This Row],[Total Hours Act]]+tbl_Form[[#This Row],[Act. Hours]]),"")</f>
        <v>0.592741935483871</v>
      </c>
      <c r="S16"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6" s="93"/>
      <c r="U16" s="63"/>
      <c r="V16" s="63"/>
      <c r="W16" s="63"/>
      <c r="X16" s="63"/>
    </row>
    <row r="17" spans="1:24" ht="25" customHeight="1">
      <c r="A17" s="52">
        <v>46123</v>
      </c>
      <c r="B17" s="53">
        <v>143171</v>
      </c>
      <c r="C17" s="53" t="s">
        <v>475</v>
      </c>
      <c r="D17" s="54">
        <v>0.43472222222222223</v>
      </c>
      <c r="E17" s="54">
        <v>0.45624999999999999</v>
      </c>
      <c r="F17" s="53">
        <v>48</v>
      </c>
      <c r="G17" s="53">
        <v>48</v>
      </c>
      <c r="H17" s="55">
        <f>tbl_Form[[#This Row],[Qty Complete]]/tbl_Form[[#This Row],[Qty Required]]</f>
        <v>1</v>
      </c>
      <c r="I17" s="56">
        <v>85</v>
      </c>
      <c r="J17" s="53">
        <v>1</v>
      </c>
      <c r="K17" s="57">
        <f>IFERROR(tbl_Form[[#This Row],[Qty Required]]/tbl_Form[[#This Row],[PPH]]*tbl_Form[[#This Row],['# of men]],"")</f>
        <v>0.56470588235294117</v>
      </c>
      <c r="L17" s="58">
        <f>tbl_Form[[#This Row],[Total hours]]*tbl_Form[[#This Row],[% Complete]]</f>
        <v>0.56470588235294117</v>
      </c>
      <c r="M17" s="59">
        <f>IFERROR(tbl_Form[[#This Row],[Qty Complete]]/tbl_Form[[#This Row],[Total Hours Act]]*tbl_Form[[#This Row],['# of men Act]],"")</f>
        <v>92.903225806451701</v>
      </c>
      <c r="N17" s="53">
        <v>1</v>
      </c>
      <c r="O17"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0.51666666666666616</v>
      </c>
      <c r="P17" s="61">
        <v>0.5</v>
      </c>
      <c r="R17" s="90">
        <f>IFERROR((tbl_Form[[#This Row],[Adj. Total Hours]]+tbl_Form[[#This Row],[Est. Hours]])/(tbl_Form[[#This Row],[Total Hours Act]]+tbl_Form[[#This Row],[Act. Hours]]),"")</f>
        <v>2.0607210626185979</v>
      </c>
      <c r="S17" s="89">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2.0607210626185979</v>
      </c>
      <c r="T17" s="93"/>
      <c r="U17" s="63"/>
      <c r="V17" s="63"/>
      <c r="W17" s="63"/>
      <c r="X17" s="63"/>
    </row>
    <row r="18" spans="1:24" ht="25" customHeight="1">
      <c r="A18" s="52">
        <v>46123</v>
      </c>
      <c r="B18" s="53">
        <v>143180</v>
      </c>
      <c r="C18" s="53" t="s">
        <v>476</v>
      </c>
      <c r="D18" s="54">
        <v>0.46458333333333335</v>
      </c>
      <c r="E18" s="54">
        <v>0.47708333333333336</v>
      </c>
      <c r="F18" s="53">
        <v>40</v>
      </c>
      <c r="G18" s="53">
        <v>40</v>
      </c>
      <c r="H18" s="55">
        <f>tbl_Form[[#This Row],[Qty Complete]]/tbl_Form[[#This Row],[Qty Required]]</f>
        <v>1</v>
      </c>
      <c r="I18" s="56">
        <v>52</v>
      </c>
      <c r="J18" s="53">
        <v>1</v>
      </c>
      <c r="K18" s="57">
        <f>IFERROR(tbl_Form[[#This Row],[Qty Required]]/tbl_Form[[#This Row],[PPH]]*tbl_Form[[#This Row],['# of men]],"")</f>
        <v>0.76923076923076927</v>
      </c>
      <c r="L18" s="58">
        <f>tbl_Form[[#This Row],[Total hours]]*tbl_Form[[#This Row],[% Complete]]</f>
        <v>0.76923076923076927</v>
      </c>
      <c r="M18" s="59">
        <f>IFERROR(tbl_Form[[#This Row],[Qty Complete]]/tbl_Form[[#This Row],[Total Hours Act]]*tbl_Form[[#This Row],['# of men Act]],"")</f>
        <v>133.3333333333332</v>
      </c>
      <c r="N18" s="53">
        <v>1</v>
      </c>
      <c r="O18"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0.30000000000000027</v>
      </c>
      <c r="R18" s="90">
        <f>IFERROR((tbl_Form[[#This Row],[Adj. Total Hours]]+tbl_Form[[#This Row],[Est. Hours]])/(tbl_Form[[#This Row],[Total Hours Act]]+tbl_Form[[#This Row],[Act. Hours]]),"")</f>
        <v>2.5641025641025621</v>
      </c>
      <c r="S18" s="89">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2.5641025641025621</v>
      </c>
      <c r="T18" s="93"/>
      <c r="U18" s="63"/>
      <c r="V18" s="63"/>
      <c r="W18" s="63"/>
      <c r="X18" s="63"/>
    </row>
    <row r="19" spans="1:24" ht="25" customHeight="1">
      <c r="A19" s="52">
        <v>46123</v>
      </c>
      <c r="B19" s="53">
        <v>143161</v>
      </c>
      <c r="C19" s="53" t="s">
        <v>477</v>
      </c>
      <c r="D19" s="54">
        <v>0.52361111111111114</v>
      </c>
      <c r="E19" s="54">
        <v>0.53749999999999998</v>
      </c>
      <c r="F19" s="53">
        <v>34</v>
      </c>
      <c r="G19" s="53">
        <v>27</v>
      </c>
      <c r="H19" s="55">
        <f>tbl_Form[[#This Row],[Qty Complete]]/tbl_Form[[#This Row],[Qty Required]]</f>
        <v>0.79411764705882348</v>
      </c>
      <c r="I19" s="56">
        <v>34</v>
      </c>
      <c r="J19" s="53">
        <v>1</v>
      </c>
      <c r="K19" s="57">
        <f>IFERROR(tbl_Form[[#This Row],[Qty Required]]/tbl_Form[[#This Row],[PPH]]*tbl_Form[[#This Row],['# of men]],"")</f>
        <v>1</v>
      </c>
      <c r="L19" s="58">
        <f>tbl_Form[[#This Row],[Total hours]]*tbl_Form[[#This Row],[% Complete]]</f>
        <v>0.79411764705882348</v>
      </c>
      <c r="M19" s="59">
        <f>IFERROR(tbl_Form[[#This Row],[Qty Complete]]/tbl_Form[[#This Row],[Total Hours Act]]*tbl_Form[[#This Row],['# of men Act]],"")</f>
        <v>81.000000000000284</v>
      </c>
      <c r="N19" s="53">
        <v>1</v>
      </c>
      <c r="O19"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0.33333333333333215</v>
      </c>
      <c r="R19" s="90">
        <f>IFERROR((tbl_Form[[#This Row],[Adj. Total Hours]]+tbl_Form[[#This Row],[Est. Hours]])/(tbl_Form[[#This Row],[Total Hours Act]]+tbl_Form[[#This Row],[Act. Hours]]),"")</f>
        <v>2.382352941176479</v>
      </c>
      <c r="S19"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9" s="93"/>
      <c r="U19" s="63"/>
      <c r="V19" s="63"/>
      <c r="W19" s="63"/>
      <c r="X19" s="63"/>
    </row>
    <row r="20" spans="1:24" ht="25" customHeight="1">
      <c r="A20" s="52">
        <v>46123</v>
      </c>
      <c r="B20" s="53">
        <v>143173</v>
      </c>
      <c r="C20" s="53" t="s">
        <v>478</v>
      </c>
      <c r="D20" s="54">
        <v>0.55763888888888891</v>
      </c>
      <c r="E20" s="54">
        <v>0.58125000000000004</v>
      </c>
      <c r="F20" s="53">
        <v>66</v>
      </c>
      <c r="G20" s="53">
        <v>67</v>
      </c>
      <c r="H20" s="55">
        <f>tbl_Form[[#This Row],[Qty Complete]]/tbl_Form[[#This Row],[Qty Required]]</f>
        <v>1.0151515151515151</v>
      </c>
      <c r="I20" s="56">
        <v>51</v>
      </c>
      <c r="J20" s="53">
        <v>1</v>
      </c>
      <c r="K20" s="57">
        <f>IFERROR(tbl_Form[[#This Row],[Qty Required]]/tbl_Form[[#This Row],[PPH]]*tbl_Form[[#This Row],['# of men]],"")</f>
        <v>1.2941176470588236</v>
      </c>
      <c r="L20" s="58">
        <f>tbl_Form[[#This Row],[Total hours]]*tbl_Form[[#This Row],[% Complete]]</f>
        <v>1.3137254901960784</v>
      </c>
      <c r="M20" s="59">
        <f>IFERROR(tbl_Form[[#This Row],[Qty Complete]]/tbl_Form[[#This Row],[Total Hours Act]]*tbl_Form[[#This Row],['# of men Act]],"")</f>
        <v>118.23529411764692</v>
      </c>
      <c r="N20" s="53">
        <v>1</v>
      </c>
      <c r="O20"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0.56666666666666732</v>
      </c>
      <c r="R20" s="90">
        <f>IFERROR((tbl_Form[[#This Row],[Adj. Total Hours]]+tbl_Form[[#This Row],[Est. Hours]])/(tbl_Form[[#This Row],[Total Hours Act]]+tbl_Form[[#This Row],[Act. Hours]]),"")</f>
        <v>2.3183391003460181</v>
      </c>
      <c r="S20" s="89">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2.3183391003460181</v>
      </c>
      <c r="T20" s="93"/>
      <c r="U20" s="63"/>
      <c r="V20" s="63"/>
      <c r="W20" s="63"/>
      <c r="X20" s="63"/>
    </row>
    <row r="21" spans="1:24" ht="25" customHeight="1">
      <c r="A21" s="52">
        <v>46123</v>
      </c>
      <c r="B21" s="53" t="s">
        <v>479</v>
      </c>
      <c r="C21" s="53" t="s">
        <v>480</v>
      </c>
      <c r="D21" s="54">
        <v>0.58125000000000004</v>
      </c>
      <c r="E21" s="54">
        <v>0.67847222222222225</v>
      </c>
      <c r="F21" s="53">
        <v>400</v>
      </c>
      <c r="G21" s="53">
        <v>138</v>
      </c>
      <c r="H21" s="55">
        <f>tbl_Form[[#This Row],[Qty Complete]]/tbl_Form[[#This Row],[Qty Required]]</f>
        <v>0.34499999999999997</v>
      </c>
      <c r="I21" s="56">
        <v>76</v>
      </c>
      <c r="J21" s="53">
        <v>1</v>
      </c>
      <c r="K21" s="57">
        <f>IFERROR(tbl_Form[[#This Row],[Qty Required]]/tbl_Form[[#This Row],[PPH]]*tbl_Form[[#This Row],['# of men]],"")</f>
        <v>5.2631578947368425</v>
      </c>
      <c r="L21" s="58">
        <f>tbl_Form[[#This Row],[Total hours]]*tbl_Form[[#This Row],[% Complete]]</f>
        <v>1.8157894736842106</v>
      </c>
      <c r="M21" s="59">
        <f>IFERROR(tbl_Form[[#This Row],[Qty Complete]]/tbl_Form[[#This Row],[Total Hours Act]]*tbl_Form[[#This Row],['# of men Act]],"")</f>
        <v>59.142857142857153</v>
      </c>
      <c r="N21" s="53">
        <v>1</v>
      </c>
      <c r="O21"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2.333333333333333</v>
      </c>
      <c r="R21" s="90">
        <f>IFERROR((tbl_Form[[#This Row],[Adj. Total Hours]]+tbl_Form[[#This Row],[Est. Hours]])/(tbl_Form[[#This Row],[Total Hours Act]]+tbl_Form[[#This Row],[Act. Hours]]),"")</f>
        <v>0.77819548872180466</v>
      </c>
      <c r="S21"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21" s="93"/>
      <c r="U21" s="63"/>
      <c r="V21" s="63"/>
      <c r="W21" s="63"/>
      <c r="X21" s="63"/>
    </row>
    <row r="22" spans="1:24" ht="25" customHeight="1">
      <c r="A22" s="52">
        <v>46123</v>
      </c>
      <c r="B22" s="53" t="s">
        <v>481</v>
      </c>
      <c r="C22" s="53" t="s">
        <v>482</v>
      </c>
      <c r="D22" s="54">
        <v>0.67847222222222225</v>
      </c>
      <c r="E22" s="54">
        <v>0.70833333333333337</v>
      </c>
      <c r="F22" s="53">
        <v>400</v>
      </c>
      <c r="G22" s="53">
        <v>26</v>
      </c>
      <c r="H22" s="55">
        <f>tbl_Form[[#This Row],[Qty Complete]]/tbl_Form[[#This Row],[Qty Required]]</f>
        <v>6.5000000000000002E-2</v>
      </c>
      <c r="I22" s="56">
        <v>76</v>
      </c>
      <c r="J22" s="53">
        <v>1</v>
      </c>
      <c r="K22" s="57">
        <f>IFERROR(tbl_Form[[#This Row],[Qty Required]]/tbl_Form[[#This Row],[PPH]]*tbl_Form[[#This Row],['# of men]],"")</f>
        <v>5.2631578947368425</v>
      </c>
      <c r="L22" s="58">
        <f>tbl_Form[[#This Row],[Total hours]]*tbl_Form[[#This Row],[% Complete]]</f>
        <v>0.34210526315789475</v>
      </c>
      <c r="M22" s="59">
        <f>IFERROR(tbl_Form[[#This Row],[Qty Complete]]/tbl_Form[[#This Row],[Total Hours Act]]*tbl_Form[[#This Row],['# of men Act]],"")</f>
        <v>36.279069767441854</v>
      </c>
      <c r="N22" s="53">
        <v>1</v>
      </c>
      <c r="O22"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0.71666666666666679</v>
      </c>
      <c r="P22" s="61">
        <v>0.5</v>
      </c>
      <c r="R22" s="90">
        <f>IFERROR((tbl_Form[[#This Row],[Adj. Total Hours]]+tbl_Form[[#This Row],[Est. Hours]])/(tbl_Form[[#This Row],[Total Hours Act]]+tbl_Form[[#This Row],[Act. Hours]]),"")</f>
        <v>1.1750305997552017</v>
      </c>
      <c r="S22"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22" s="93"/>
      <c r="U22" s="63"/>
      <c r="V22" s="63"/>
      <c r="W22" s="63"/>
      <c r="X22" s="63"/>
    </row>
    <row r="23" spans="1:24" ht="25" customHeight="1">
      <c r="A23" s="52">
        <v>46123</v>
      </c>
      <c r="B23" s="53" t="s">
        <v>483</v>
      </c>
      <c r="C23" s="53" t="s">
        <v>484</v>
      </c>
      <c r="D23" s="54">
        <v>0.20833333333333334</v>
      </c>
      <c r="E23" s="54">
        <v>0.3888888888888889</v>
      </c>
      <c r="F23" s="53">
        <v>6</v>
      </c>
      <c r="G23" s="53">
        <v>70</v>
      </c>
      <c r="H23" s="55">
        <f>tbl_Form[[#This Row],[Qty Complete]]/tbl_Form[[#This Row],[Qty Required]]</f>
        <v>11.666666666666666</v>
      </c>
      <c r="I23" s="56">
        <v>10</v>
      </c>
      <c r="J23" s="53">
        <v>1</v>
      </c>
      <c r="K23" s="57">
        <f>IFERROR(tbl_Form[[#This Row],[Qty Required]]/tbl_Form[[#This Row],[PPH]]*tbl_Form[[#This Row],['# of men]],"")</f>
        <v>0.6</v>
      </c>
      <c r="L23" s="58">
        <f>tbl_Form[[#This Row],[Total hours]]*tbl_Form[[#This Row],[% Complete]]</f>
        <v>6.9999999999999991</v>
      </c>
      <c r="M23" s="59">
        <f>IFERROR(tbl_Form[[#This Row],[Qty Complete]]/tbl_Form[[#This Row],[Total Hours Act]]*tbl_Form[[#This Row],['# of men Act]],"")</f>
        <v>16.153846153846153</v>
      </c>
      <c r="N23" s="53">
        <v>2</v>
      </c>
      <c r="O23"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8.6666666666666661</v>
      </c>
      <c r="R23" s="90">
        <f>IFERROR((tbl_Form[[#This Row],[Adj. Total Hours]]+tbl_Form[[#This Row],[Est. Hours]])/(tbl_Form[[#This Row],[Total Hours Act]]+tbl_Form[[#This Row],[Act. Hours]]),"")</f>
        <v>0.8076923076923076</v>
      </c>
      <c r="S23" s="89">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0.8076923076923076</v>
      </c>
      <c r="T23" s="93"/>
      <c r="U23" s="63"/>
      <c r="V23" s="63"/>
      <c r="W23" s="63"/>
      <c r="X23" s="63"/>
    </row>
    <row r="24" spans="1:24" ht="25" customHeight="1">
      <c r="A24" s="52">
        <v>46123</v>
      </c>
      <c r="B24" s="53" t="s">
        <v>241</v>
      </c>
      <c r="C24" s="53" t="s">
        <v>469</v>
      </c>
      <c r="D24" s="54">
        <v>0.3888888888888889</v>
      </c>
      <c r="E24" s="54">
        <v>0.70833333333333337</v>
      </c>
      <c r="F24" s="53">
        <v>2000</v>
      </c>
      <c r="G24" s="53">
        <v>497</v>
      </c>
      <c r="H24" s="55">
        <f>tbl_Form[[#This Row],[Qty Complete]]/tbl_Form[[#This Row],[Qty Required]]</f>
        <v>0.2485</v>
      </c>
      <c r="I24" s="56">
        <v>72</v>
      </c>
      <c r="J24" s="53">
        <v>1</v>
      </c>
      <c r="K24" s="57">
        <f>IFERROR(tbl_Form[[#This Row],[Qty Required]]/tbl_Form[[#This Row],[PPH]]*tbl_Form[[#This Row],['# of men]],"")</f>
        <v>27.777777777777779</v>
      </c>
      <c r="L24" s="58">
        <f>tbl_Form[[#This Row],[Total hours]]*tbl_Form[[#This Row],[% Complete]]</f>
        <v>6.9027777777777777</v>
      </c>
      <c r="M24" s="59">
        <f>IFERROR(tbl_Form[[#This Row],[Qty Complete]]/tbl_Form[[#This Row],[Total Hours Act]]*tbl_Form[[#This Row],['# of men Act]],"")</f>
        <v>69.348837209302317</v>
      </c>
      <c r="N24" s="53">
        <v>1</v>
      </c>
      <c r="O24"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7.1666666666666679</v>
      </c>
      <c r="R24" s="90">
        <f>IFERROR((tbl_Form[[#This Row],[Adj. Total Hours]]+tbl_Form[[#This Row],[Est. Hours]])/(tbl_Form[[#This Row],[Total Hours Act]]+tbl_Form[[#This Row],[Act. Hours]]),"")</f>
        <v>0.96317829457364323</v>
      </c>
      <c r="S24"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24" s="93"/>
      <c r="U24" s="63"/>
      <c r="V24" s="63"/>
      <c r="W24" s="63"/>
      <c r="X24" s="63"/>
    </row>
    <row r="25" spans="1:24" ht="25" customHeight="1">
      <c r="A25" s="52">
        <v>46124</v>
      </c>
      <c r="B25" s="53" t="s">
        <v>396</v>
      </c>
      <c r="C25" s="53" t="s">
        <v>397</v>
      </c>
      <c r="D25" s="54">
        <v>0.20833333333333334</v>
      </c>
      <c r="E25" s="54">
        <v>0.66666666666666663</v>
      </c>
      <c r="F25" s="53">
        <v>1485</v>
      </c>
      <c r="G25" s="53">
        <v>195</v>
      </c>
      <c r="H25" s="55">
        <f>tbl_Form[[#This Row],[Qty Complete]]/tbl_Form[[#This Row],[Qty Required]]</f>
        <v>0.13131313131313133</v>
      </c>
      <c r="I25" s="56">
        <v>20</v>
      </c>
      <c r="J25" s="53">
        <v>1</v>
      </c>
      <c r="K25" s="57">
        <f>IFERROR(tbl_Form[[#This Row],[Qty Required]]/tbl_Form[[#This Row],[PPH]]*tbl_Form[[#This Row],['# of men]],"")</f>
        <v>74.25</v>
      </c>
      <c r="L25" s="58">
        <f>tbl_Form[[#This Row],[Total hours]]*tbl_Form[[#This Row],[% Complete]]</f>
        <v>9.7500000000000018</v>
      </c>
      <c r="M25" s="59">
        <f>IFERROR(tbl_Form[[#This Row],[Qty Complete]]/tbl_Form[[#This Row],[Total Hours Act]]*tbl_Form[[#This Row],['# of men Act]],"")</f>
        <v>18.571428571428573</v>
      </c>
      <c r="N25" s="53">
        <v>1</v>
      </c>
      <c r="O25"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10.499999999999998</v>
      </c>
      <c r="R25" s="90">
        <f>IFERROR((tbl_Form[[#This Row],[Adj. Total Hours]]+tbl_Form[[#This Row],[Est. Hours]])/(tbl_Form[[#This Row],[Total Hours Act]]+tbl_Form[[#This Row],[Act. Hours]]),"")</f>
        <v>0.92857142857142894</v>
      </c>
      <c r="S25"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25" s="93"/>
      <c r="U25" s="63"/>
      <c r="V25" s="63"/>
      <c r="W25" s="63"/>
      <c r="X25" s="63"/>
    </row>
    <row r="26" spans="1:24" ht="25" customHeight="1">
      <c r="A26" s="52">
        <v>46124</v>
      </c>
      <c r="B26" s="53">
        <v>143179</v>
      </c>
      <c r="C26" s="53" t="s">
        <v>485</v>
      </c>
      <c r="D26" s="54">
        <v>0.23749999999999999</v>
      </c>
      <c r="E26" s="54">
        <v>0.24930555555555556</v>
      </c>
      <c r="F26" s="53">
        <v>30</v>
      </c>
      <c r="G26" s="53">
        <v>30</v>
      </c>
      <c r="H26" s="55">
        <f>tbl_Form[[#This Row],[Qty Complete]]/tbl_Form[[#This Row],[Qty Required]]</f>
        <v>1</v>
      </c>
      <c r="I26" s="56">
        <v>85</v>
      </c>
      <c r="J26" s="53">
        <v>1</v>
      </c>
      <c r="K26" s="57">
        <f>IFERROR(tbl_Form[[#This Row],[Qty Required]]/tbl_Form[[#This Row],[PPH]]*tbl_Form[[#This Row],['# of men]],"")</f>
        <v>0.35294117647058826</v>
      </c>
      <c r="L26" s="58">
        <f>tbl_Form[[#This Row],[Total hours]]*tbl_Form[[#This Row],[% Complete]]</f>
        <v>0.35294117647058826</v>
      </c>
      <c r="M26" s="59">
        <f>IFERROR(tbl_Form[[#This Row],[Qty Complete]]/tbl_Form[[#This Row],[Total Hours Act]]*tbl_Form[[#This Row],['# of men Act]],"")</f>
        <v>105.88235294117635</v>
      </c>
      <c r="N26" s="53">
        <v>1</v>
      </c>
      <c r="O26"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0.28333333333333366</v>
      </c>
      <c r="R26" s="90">
        <f>IFERROR((tbl_Form[[#This Row],[Adj. Total Hours]]+tbl_Form[[#This Row],[Est. Hours]])/(tbl_Form[[#This Row],[Total Hours Act]]+tbl_Form[[#This Row],[Act. Hours]]),"")</f>
        <v>1.2456747404844277</v>
      </c>
      <c r="S26" s="89">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1.2456747404844277</v>
      </c>
      <c r="T26" s="93"/>
      <c r="U26" s="63"/>
      <c r="V26" s="63"/>
      <c r="W26" s="63"/>
      <c r="X26" s="63"/>
    </row>
    <row r="27" spans="1:24" ht="25" customHeight="1">
      <c r="A27" s="52">
        <v>46124</v>
      </c>
      <c r="B27" s="53">
        <v>143162</v>
      </c>
      <c r="C27" s="53" t="s">
        <v>486</v>
      </c>
      <c r="D27" s="54">
        <v>0.26874999999999999</v>
      </c>
      <c r="E27" s="54">
        <v>0.28125</v>
      </c>
      <c r="F27" s="53">
        <v>19</v>
      </c>
      <c r="G27" s="53">
        <v>19</v>
      </c>
      <c r="H27" s="55">
        <f>tbl_Form[[#This Row],[Qty Complete]]/tbl_Form[[#This Row],[Qty Required]]</f>
        <v>1</v>
      </c>
      <c r="I27" s="56">
        <v>51</v>
      </c>
      <c r="J27" s="53">
        <v>1</v>
      </c>
      <c r="K27" s="57">
        <f>IFERROR(tbl_Form[[#This Row],[Qty Required]]/tbl_Form[[#This Row],[PPH]]*tbl_Form[[#This Row],['# of men]],"")</f>
        <v>0.37254901960784315</v>
      </c>
      <c r="L27" s="58">
        <f>tbl_Form[[#This Row],[Total hours]]*tbl_Form[[#This Row],[% Complete]]</f>
        <v>0.37254901960784315</v>
      </c>
      <c r="M27" s="59">
        <f>IFERROR(tbl_Form[[#This Row],[Qty Complete]]/tbl_Form[[#This Row],[Total Hours Act]]*tbl_Form[[#This Row],['# of men Act]],"")</f>
        <v>63.333333333333279</v>
      </c>
      <c r="N27" s="53">
        <v>1</v>
      </c>
      <c r="O27"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0.30000000000000027</v>
      </c>
      <c r="R27" s="90">
        <f>IFERROR((tbl_Form[[#This Row],[Adj. Total Hours]]+tbl_Form[[#This Row],[Est. Hours]])/(tbl_Form[[#This Row],[Total Hours Act]]+tbl_Form[[#This Row],[Act. Hours]]),"")</f>
        <v>1.241830065359476</v>
      </c>
      <c r="S27" s="89">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1.241830065359476</v>
      </c>
      <c r="T27" s="93"/>
      <c r="U27" s="63"/>
      <c r="V27" s="63"/>
      <c r="W27" s="63"/>
      <c r="X27" s="63"/>
    </row>
    <row r="28" spans="1:24" ht="25" customHeight="1">
      <c r="A28" s="52">
        <v>46124</v>
      </c>
      <c r="B28" s="53" t="s">
        <v>254</v>
      </c>
      <c r="C28" s="53" t="s">
        <v>255</v>
      </c>
      <c r="D28" s="54">
        <v>0.28125</v>
      </c>
      <c r="E28" s="54">
        <v>0.3263888888888889</v>
      </c>
      <c r="F28" s="53">
        <v>220</v>
      </c>
      <c r="G28" s="53">
        <v>8</v>
      </c>
      <c r="H28" s="55">
        <f>tbl_Form[[#This Row],[Qty Complete]]/tbl_Form[[#This Row],[Qty Required]]</f>
        <v>3.6363636363636362E-2</v>
      </c>
      <c r="I28" s="56">
        <v>20</v>
      </c>
      <c r="J28" s="53">
        <v>1</v>
      </c>
      <c r="K28" s="57">
        <f>IFERROR(tbl_Form[[#This Row],[Qty Required]]/tbl_Form[[#This Row],[PPH]]*tbl_Form[[#This Row],['# of men]],"")</f>
        <v>11</v>
      </c>
      <c r="L28" s="58">
        <f>tbl_Form[[#This Row],[Total hours]]*tbl_Form[[#This Row],[% Complete]]</f>
        <v>0.39999999999999997</v>
      </c>
      <c r="M28" s="59">
        <f>IFERROR(tbl_Form[[#This Row],[Qty Complete]]/tbl_Form[[#This Row],[Total Hours Act]]*tbl_Form[[#This Row],['# of men Act]],"")</f>
        <v>7.3846153846153832</v>
      </c>
      <c r="N28" s="53">
        <v>1</v>
      </c>
      <c r="O28"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1.0833333333333335</v>
      </c>
      <c r="R28" s="90">
        <f>IFERROR((tbl_Form[[#This Row],[Adj. Total Hours]]+tbl_Form[[#This Row],[Est. Hours]])/(tbl_Form[[#This Row],[Total Hours Act]]+tbl_Form[[#This Row],[Act. Hours]]),"")</f>
        <v>0.36923076923076914</v>
      </c>
      <c r="S28"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28" s="93"/>
      <c r="U28" s="63"/>
      <c r="V28" s="63"/>
      <c r="W28" s="63"/>
      <c r="X28" s="63"/>
    </row>
    <row r="29" spans="1:24" ht="25" customHeight="1">
      <c r="A29" s="52">
        <v>46124</v>
      </c>
      <c r="B29" s="53">
        <v>143181</v>
      </c>
      <c r="C29" s="53" t="s">
        <v>487</v>
      </c>
      <c r="D29" s="54">
        <v>0.37152777777777779</v>
      </c>
      <c r="E29" s="54">
        <v>0.38680555555555557</v>
      </c>
      <c r="F29" s="53">
        <v>18</v>
      </c>
      <c r="G29" s="53">
        <v>18</v>
      </c>
      <c r="H29" s="55">
        <f>tbl_Form[[#This Row],[Qty Complete]]/tbl_Form[[#This Row],[Qty Required]]</f>
        <v>1</v>
      </c>
      <c r="I29" s="56">
        <v>51</v>
      </c>
      <c r="J29" s="53">
        <v>1</v>
      </c>
      <c r="K29" s="57">
        <f>IFERROR(tbl_Form[[#This Row],[Qty Required]]/tbl_Form[[#This Row],[PPH]]*tbl_Form[[#This Row],['# of men]],"")</f>
        <v>0.35294117647058826</v>
      </c>
      <c r="L29" s="58">
        <f>tbl_Form[[#This Row],[Total hours]]*tbl_Form[[#This Row],[% Complete]]</f>
        <v>0.35294117647058826</v>
      </c>
      <c r="M29" s="59">
        <f>IFERROR(tbl_Form[[#This Row],[Qty Complete]]/tbl_Form[[#This Row],[Total Hours Act]]*tbl_Form[[#This Row],['# of men Act]],"")</f>
        <v>49.090909090909086</v>
      </c>
      <c r="N29" s="53">
        <v>1</v>
      </c>
      <c r="O29"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0.3666666666666667</v>
      </c>
      <c r="R29" s="90">
        <f>IFERROR((tbl_Form[[#This Row],[Adj. Total Hours]]+tbl_Form[[#This Row],[Est. Hours]])/(tbl_Form[[#This Row],[Total Hours Act]]+tbl_Form[[#This Row],[Act. Hours]]),"")</f>
        <v>0.96256684491978606</v>
      </c>
      <c r="S29" s="89">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0.96256684491978606</v>
      </c>
      <c r="T29" s="93"/>
      <c r="U29" s="63"/>
      <c r="V29" s="63"/>
      <c r="W29" s="63"/>
      <c r="X29" s="63"/>
    </row>
    <row r="30" spans="1:24" ht="25" customHeight="1">
      <c r="A30" s="52">
        <v>46124</v>
      </c>
      <c r="B30" s="53">
        <v>143172</v>
      </c>
      <c r="C30" s="53" t="s">
        <v>299</v>
      </c>
      <c r="D30" s="54">
        <v>0.41111111111111109</v>
      </c>
      <c r="E30" s="54">
        <v>0.42916666666666664</v>
      </c>
      <c r="F30" s="53">
        <v>26</v>
      </c>
      <c r="G30" s="53">
        <v>26</v>
      </c>
      <c r="H30" s="55">
        <f>tbl_Form[[#This Row],[Qty Complete]]/tbl_Form[[#This Row],[Qty Required]]</f>
        <v>1</v>
      </c>
      <c r="I30" s="56">
        <v>51</v>
      </c>
      <c r="J30" s="53">
        <v>1</v>
      </c>
      <c r="K30" s="57">
        <f>IFERROR(tbl_Form[[#This Row],[Qty Required]]/tbl_Form[[#This Row],[PPH]]*tbl_Form[[#This Row],['# of men]],"")</f>
        <v>0.50980392156862742</v>
      </c>
      <c r="L30" s="58">
        <f>tbl_Form[[#This Row],[Total hours]]*tbl_Form[[#This Row],[% Complete]]</f>
        <v>0.50980392156862742</v>
      </c>
      <c r="M30" s="59">
        <f>IFERROR(tbl_Form[[#This Row],[Qty Complete]]/tbl_Form[[#This Row],[Total Hours Act]]*tbl_Form[[#This Row],['# of men Act]],"")</f>
        <v>60.000000000000028</v>
      </c>
      <c r="N30" s="53">
        <v>1</v>
      </c>
      <c r="O30"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0.43333333333333313</v>
      </c>
      <c r="R30" s="90">
        <f>IFERROR((tbl_Form[[#This Row],[Adj. Total Hours]]+tbl_Form[[#This Row],[Est. Hours]])/(tbl_Form[[#This Row],[Total Hours Act]]+tbl_Form[[#This Row],[Act. Hours]]),"")</f>
        <v>1.1764705882352946</v>
      </c>
      <c r="S30" s="89">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1.1764705882352946</v>
      </c>
      <c r="T30" s="93"/>
      <c r="U30" s="63"/>
      <c r="V30" s="63"/>
      <c r="W30" s="63"/>
      <c r="X30" s="63"/>
    </row>
    <row r="31" spans="1:24" ht="25" customHeight="1">
      <c r="A31" s="52">
        <v>46124</v>
      </c>
      <c r="B31" s="53">
        <v>143175</v>
      </c>
      <c r="C31" s="53" t="s">
        <v>488</v>
      </c>
      <c r="D31" s="54">
        <v>0.46180555555555558</v>
      </c>
      <c r="E31" s="54">
        <v>0.52222222222222225</v>
      </c>
      <c r="F31" s="53">
        <v>20</v>
      </c>
      <c r="G31" s="53">
        <v>20</v>
      </c>
      <c r="H31" s="55">
        <f>tbl_Form[[#This Row],[Qty Complete]]/tbl_Form[[#This Row],[Qty Required]]</f>
        <v>1</v>
      </c>
      <c r="I31" s="56">
        <v>34</v>
      </c>
      <c r="J31" s="53">
        <v>1</v>
      </c>
      <c r="K31" s="57">
        <f>IFERROR(tbl_Form[[#This Row],[Qty Required]]/tbl_Form[[#This Row],[PPH]]*tbl_Form[[#This Row],['# of men]],"")</f>
        <v>0.58823529411764708</v>
      </c>
      <c r="L31" s="58">
        <f>tbl_Form[[#This Row],[Total hours]]*tbl_Form[[#This Row],[% Complete]]</f>
        <v>0.58823529411764708</v>
      </c>
      <c r="M31" s="59">
        <f>IFERROR(tbl_Form[[#This Row],[Qty Complete]]/tbl_Form[[#This Row],[Total Hours Act]]*tbl_Form[[#This Row],['# of men Act]],"")</f>
        <v>21.052631578947363</v>
      </c>
      <c r="N31" s="53">
        <v>1</v>
      </c>
      <c r="O31"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0.95000000000000018</v>
      </c>
      <c r="R31" s="90">
        <f>IFERROR((tbl_Form[[#This Row],[Adj. Total Hours]]+tbl_Form[[#This Row],[Est. Hours]])/(tbl_Form[[#This Row],[Total Hours Act]]+tbl_Form[[#This Row],[Act. Hours]]),"")</f>
        <v>0.61919504643962842</v>
      </c>
      <c r="S31" s="89">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0.61919504643962842</v>
      </c>
      <c r="T31" s="93"/>
      <c r="U31" s="63"/>
      <c r="V31" s="63"/>
      <c r="W31" s="63"/>
      <c r="X31" s="63"/>
    </row>
    <row r="32" spans="1:24" ht="25" customHeight="1">
      <c r="A32" s="52">
        <v>46124</v>
      </c>
      <c r="B32" s="53">
        <v>143182</v>
      </c>
      <c r="C32" s="53" t="s">
        <v>489</v>
      </c>
      <c r="D32" s="54">
        <v>0.55902777777777779</v>
      </c>
      <c r="E32" s="54">
        <v>0.58472222222222225</v>
      </c>
      <c r="F32" s="53">
        <v>21</v>
      </c>
      <c r="G32" s="53">
        <v>21</v>
      </c>
      <c r="H32" s="55">
        <f>tbl_Form[[#This Row],[Qty Complete]]/tbl_Form[[#This Row],[Qty Required]]</f>
        <v>1</v>
      </c>
      <c r="I32" s="56">
        <v>34</v>
      </c>
      <c r="J32" s="53">
        <v>1</v>
      </c>
      <c r="K32" s="57">
        <f>IFERROR(tbl_Form[[#This Row],[Qty Required]]/tbl_Form[[#This Row],[PPH]]*tbl_Form[[#This Row],['# of men]],"")</f>
        <v>0.61764705882352944</v>
      </c>
      <c r="L32" s="58">
        <f>tbl_Form[[#This Row],[Total hours]]*tbl_Form[[#This Row],[% Complete]]</f>
        <v>0.61764705882352944</v>
      </c>
      <c r="M32" s="59">
        <f>IFERROR(tbl_Form[[#This Row],[Qty Complete]]/tbl_Form[[#This Row],[Total Hours Act]]*tbl_Form[[#This Row],['# of men Act]],"")</f>
        <v>34.054054054054028</v>
      </c>
      <c r="N32" s="53">
        <v>1</v>
      </c>
      <c r="O32"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0.61666666666666714</v>
      </c>
      <c r="R32" s="90">
        <f>IFERROR((tbl_Form[[#This Row],[Adj. Total Hours]]+tbl_Form[[#This Row],[Est. Hours]])/(tbl_Form[[#This Row],[Total Hours Act]]+tbl_Form[[#This Row],[Act. Hours]]),"")</f>
        <v>1.0015898251192361</v>
      </c>
      <c r="S32" s="89">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1.0015898251192361</v>
      </c>
      <c r="T32" s="93"/>
      <c r="U32" s="63"/>
      <c r="V32" s="63"/>
      <c r="W32" s="63"/>
      <c r="X32" s="63"/>
    </row>
    <row r="33" spans="1:24" ht="25" customHeight="1">
      <c r="A33" s="52">
        <v>46124</v>
      </c>
      <c r="B33" s="53">
        <v>143193</v>
      </c>
      <c r="C33" s="53" t="s">
        <v>490</v>
      </c>
      <c r="D33" s="54">
        <v>0.60138888888888886</v>
      </c>
      <c r="E33" s="54">
        <v>0.625</v>
      </c>
      <c r="F33" s="53">
        <v>54</v>
      </c>
      <c r="G33" s="53">
        <v>40</v>
      </c>
      <c r="H33" s="55">
        <f>tbl_Form[[#This Row],[Qty Complete]]/tbl_Form[[#This Row],[Qty Required]]</f>
        <v>0.7407407407407407</v>
      </c>
      <c r="I33" s="56">
        <v>85</v>
      </c>
      <c r="J33" s="53">
        <v>1</v>
      </c>
      <c r="K33" s="57">
        <f>IFERROR(tbl_Form[[#This Row],[Qty Required]]/tbl_Form[[#This Row],[PPH]]*tbl_Form[[#This Row],['# of men]],"")</f>
        <v>0.63529411764705879</v>
      </c>
      <c r="L33" s="58">
        <f>tbl_Form[[#This Row],[Total hours]]*tbl_Form[[#This Row],[% Complete]]</f>
        <v>0.47058823529411759</v>
      </c>
      <c r="M33" s="59">
        <f>IFERROR(tbl_Form[[#This Row],[Qty Complete]]/tbl_Form[[#This Row],[Total Hours Act]]*tbl_Form[[#This Row],['# of men Act]],"")</f>
        <v>70.588235294117567</v>
      </c>
      <c r="N33" s="53">
        <v>1</v>
      </c>
      <c r="O33"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0.56666666666666732</v>
      </c>
      <c r="R33" s="90">
        <f>IFERROR((tbl_Form[[#This Row],[Adj. Total Hours]]+tbl_Form[[#This Row],[Est. Hours]])/(tbl_Form[[#This Row],[Total Hours Act]]+tbl_Form[[#This Row],[Act. Hours]]),"")</f>
        <v>0.83044982698961833</v>
      </c>
      <c r="S33"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33" s="93"/>
      <c r="U33" s="63"/>
      <c r="V33" s="63"/>
      <c r="W33" s="63"/>
      <c r="X33" s="63"/>
    </row>
    <row r="34" spans="1:24" ht="25" customHeight="1">
      <c r="A34" s="52">
        <v>46123</v>
      </c>
      <c r="B34" s="53">
        <v>143144</v>
      </c>
      <c r="C34" s="53" t="s">
        <v>271</v>
      </c>
      <c r="D34" s="54">
        <v>0.82777777777777772</v>
      </c>
      <c r="E34" s="54">
        <v>0.8618055555555556</v>
      </c>
      <c r="F34" s="53">
        <v>8</v>
      </c>
      <c r="G34" s="53">
        <v>8</v>
      </c>
      <c r="H34" s="55">
        <f>tbl_Form[[#This Row],[Qty Complete]]/tbl_Form[[#This Row],[Qty Required]]</f>
        <v>1</v>
      </c>
      <c r="I34" s="56">
        <v>26</v>
      </c>
      <c r="J34" s="53">
        <v>2</v>
      </c>
      <c r="K34" s="57">
        <f>IFERROR(tbl_Form[[#This Row],[Qty Required]]/tbl_Form[[#This Row],[PPH]]*tbl_Form[[#This Row],['# of men]],"")</f>
        <v>0.61538461538461542</v>
      </c>
      <c r="L34" s="58">
        <f>tbl_Form[[#This Row],[Total hours]]*tbl_Form[[#This Row],[% Complete]]</f>
        <v>0.61538461538461542</v>
      </c>
      <c r="M34" s="59">
        <f>IFERROR(tbl_Form[[#This Row],[Qty Complete]]/tbl_Form[[#This Row],[Total Hours Act]]*tbl_Form[[#This Row],['# of men Act]],"")</f>
        <v>9.7959183673469088</v>
      </c>
      <c r="N34" s="53">
        <v>2</v>
      </c>
      <c r="O34"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1.6333333333333382</v>
      </c>
      <c r="P34" s="61">
        <v>0.5</v>
      </c>
      <c r="Q34" s="61">
        <v>0.5</v>
      </c>
      <c r="R34" s="90">
        <f>IFERROR((tbl_Form[[#This Row],[Adj. Total Hours]]+tbl_Form[[#This Row],[Est. Hours]])/(tbl_Form[[#This Row],[Total Hours Act]]+tbl_Form[[#This Row],[Act. Hours]]),"")</f>
        <v>0.52283653846153733</v>
      </c>
      <c r="S34" s="89">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0.52283653846153733</v>
      </c>
      <c r="T34" s="93" t="s">
        <v>491</v>
      </c>
      <c r="U34" s="63"/>
      <c r="V34" s="63"/>
      <c r="W34" s="63"/>
      <c r="X34" s="63"/>
    </row>
    <row r="35" spans="1:24" ht="25" customHeight="1">
      <c r="A35" s="52">
        <v>46125</v>
      </c>
      <c r="B35" s="53">
        <v>143131</v>
      </c>
      <c r="C35" s="53" t="s">
        <v>492</v>
      </c>
      <c r="D35" s="54">
        <v>0.3972222222222222</v>
      </c>
      <c r="E35" s="54">
        <v>0.41666666666666669</v>
      </c>
      <c r="F35" s="53">
        <v>16</v>
      </c>
      <c r="G35" s="53">
        <v>16</v>
      </c>
      <c r="H35" s="55">
        <f>tbl_Form[[#This Row],[Qty Complete]]/tbl_Form[[#This Row],[Qty Required]]</f>
        <v>1</v>
      </c>
      <c r="I35" s="56">
        <v>51</v>
      </c>
      <c r="J35" s="53">
        <v>1</v>
      </c>
      <c r="K35" s="57">
        <f>IFERROR(tbl_Form[[#This Row],[Qty Required]]/tbl_Form[[#This Row],[PPH]]*tbl_Form[[#This Row],['# of men]],"")</f>
        <v>0.31372549019607843</v>
      </c>
      <c r="L35" s="58">
        <f>tbl_Form[[#This Row],[Total hours]]*tbl_Form[[#This Row],[% Complete]]</f>
        <v>0.31372549019607843</v>
      </c>
      <c r="M35" s="59">
        <f>IFERROR(tbl_Form[[#This Row],[Qty Complete]]/tbl_Form[[#This Row],[Total Hours Act]]*tbl_Form[[#This Row],['# of men Act]],"")</f>
        <v>34.285714285714214</v>
      </c>
      <c r="N35" s="53">
        <v>1</v>
      </c>
      <c r="O35"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0.46666666666666767</v>
      </c>
      <c r="P35" s="61">
        <v>0.5</v>
      </c>
      <c r="Q35" s="61">
        <v>0.5</v>
      </c>
      <c r="R35" s="90">
        <f>IFERROR((tbl_Form[[#This Row],[Adj. Total Hours]]+tbl_Form[[#This Row],[Est. Hours]])/(tbl_Form[[#This Row],[Total Hours Act]]+tbl_Form[[#This Row],[Act. Hours]]),"")</f>
        <v>0.84178498985801131</v>
      </c>
      <c r="S35" s="89">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0.84178498985801131</v>
      </c>
      <c r="T35" s="93" t="s">
        <v>493</v>
      </c>
      <c r="U35" s="63" t="s">
        <v>494</v>
      </c>
      <c r="V35" s="63"/>
      <c r="W35" s="63"/>
      <c r="X35" s="63"/>
    </row>
    <row r="36" spans="1:24" ht="25" customHeight="1">
      <c r="A36" s="52">
        <v>46125</v>
      </c>
      <c r="B36" s="53" t="s">
        <v>447</v>
      </c>
      <c r="C36" s="53" t="s">
        <v>495</v>
      </c>
      <c r="D36" s="54">
        <v>0.26041666666666669</v>
      </c>
      <c r="E36" s="54">
        <v>0.3298611111111111</v>
      </c>
      <c r="F36" s="53">
        <v>12</v>
      </c>
      <c r="G36" s="53">
        <v>12</v>
      </c>
      <c r="H36" s="55">
        <f>tbl_Form[[#This Row],[Qty Complete]]/tbl_Form[[#This Row],[Qty Required]]</f>
        <v>1</v>
      </c>
      <c r="I36" s="56">
        <v>26</v>
      </c>
      <c r="J36" s="53">
        <v>2</v>
      </c>
      <c r="K36" s="57">
        <f>IFERROR(tbl_Form[[#This Row],[Qty Required]]/tbl_Form[[#This Row],[PPH]]*tbl_Form[[#This Row],['# of men]],"")</f>
        <v>0.92307692307692313</v>
      </c>
      <c r="L36" s="58">
        <f>tbl_Form[[#This Row],[Total hours]]*tbl_Form[[#This Row],[% Complete]]</f>
        <v>0.92307692307692313</v>
      </c>
      <c r="M36" s="59">
        <f>IFERROR(tbl_Form[[#This Row],[Qty Complete]]/tbl_Form[[#This Row],[Total Hours Act]]*tbl_Form[[#This Row],['# of men Act]],"")</f>
        <v>7.2000000000000028</v>
      </c>
      <c r="N36" s="53">
        <v>2</v>
      </c>
      <c r="O36"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3.3333333333333321</v>
      </c>
      <c r="P36" s="61">
        <v>0.5</v>
      </c>
      <c r="Q36" s="61">
        <v>1</v>
      </c>
      <c r="R36" s="90">
        <f>IFERROR((tbl_Form[[#This Row],[Adj. Total Hours]]+tbl_Form[[#This Row],[Est. Hours]])/(tbl_Form[[#This Row],[Total Hours Act]]+tbl_Form[[#This Row],[Act. Hours]]),"")</f>
        <v>0.32840236686390545</v>
      </c>
      <c r="S36" s="89">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0.32840236686390545</v>
      </c>
      <c r="T36" s="93" t="s">
        <v>496</v>
      </c>
      <c r="U36" s="63" t="s">
        <v>494</v>
      </c>
      <c r="V36" s="63" t="s">
        <v>497</v>
      </c>
      <c r="W36" s="63"/>
      <c r="X36" s="63"/>
    </row>
    <row r="37" spans="1:24" ht="25" customHeight="1">
      <c r="A37" s="52">
        <v>46125</v>
      </c>
      <c r="B37" s="53">
        <v>143137</v>
      </c>
      <c r="C37" s="53" t="s">
        <v>498</v>
      </c>
      <c r="D37" s="54">
        <v>0.3298611111111111</v>
      </c>
      <c r="E37" s="54">
        <v>0.39583333333333331</v>
      </c>
      <c r="F37" s="53">
        <v>14</v>
      </c>
      <c r="G37" s="53">
        <v>14</v>
      </c>
      <c r="H37" s="55">
        <f>tbl_Form[[#This Row],[Qty Complete]]/tbl_Form[[#This Row],[Qty Required]]</f>
        <v>1</v>
      </c>
      <c r="I37" s="56">
        <v>51</v>
      </c>
      <c r="J37" s="53">
        <v>2</v>
      </c>
      <c r="K37" s="57">
        <f>IFERROR(tbl_Form[[#This Row],[Qty Required]]/tbl_Form[[#This Row],[PPH]]*tbl_Form[[#This Row],['# of men]],"")</f>
        <v>0.5490196078431373</v>
      </c>
      <c r="L37" s="58">
        <f>tbl_Form[[#This Row],[Total hours]]*tbl_Form[[#This Row],[% Complete]]</f>
        <v>0.5490196078431373</v>
      </c>
      <c r="M37" s="59">
        <f>IFERROR(tbl_Form[[#This Row],[Qty Complete]]/tbl_Form[[#This Row],[Total Hours Act]]*tbl_Form[[#This Row],['# of men Act]],"")</f>
        <v>8.8421052631578956</v>
      </c>
      <c r="N37" s="53">
        <v>2</v>
      </c>
      <c r="O37"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3.1666666666666661</v>
      </c>
      <c r="P37" s="61">
        <v>0.5</v>
      </c>
      <c r="Q37" s="61">
        <v>1</v>
      </c>
      <c r="R37" s="90">
        <f>IFERROR((tbl_Form[[#This Row],[Adj. Total Hours]]+tbl_Form[[#This Row],[Est. Hours]])/(tbl_Form[[#This Row],[Total Hours Act]]+tbl_Form[[#This Row],[Act. Hours]]),"")</f>
        <v>0.251764705882353</v>
      </c>
      <c r="S37" s="89">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0.251764705882353</v>
      </c>
      <c r="T37" s="93" t="s">
        <v>499</v>
      </c>
      <c r="U37" s="63" t="s">
        <v>494</v>
      </c>
      <c r="V37" s="63" t="s">
        <v>497</v>
      </c>
      <c r="W37" s="63"/>
      <c r="X37" s="63"/>
    </row>
    <row r="38" spans="1:24" ht="25" customHeight="1">
      <c r="A38" s="52">
        <v>46125</v>
      </c>
      <c r="B38" s="53">
        <v>143126</v>
      </c>
      <c r="C38" s="53" t="s">
        <v>500</v>
      </c>
      <c r="D38" s="54">
        <v>0.41666666666666669</v>
      </c>
      <c r="E38" s="54">
        <v>0.47569444444444442</v>
      </c>
      <c r="F38" s="53">
        <v>22</v>
      </c>
      <c r="G38" s="53">
        <v>22</v>
      </c>
      <c r="H38" s="55">
        <f>tbl_Form[[#This Row],[Qty Complete]]/tbl_Form[[#This Row],[Qty Required]]</f>
        <v>1</v>
      </c>
      <c r="I38" s="56">
        <v>51</v>
      </c>
      <c r="J38" s="53">
        <v>1</v>
      </c>
      <c r="K38" s="57">
        <f>IFERROR(tbl_Form[[#This Row],[Qty Required]]/tbl_Form[[#This Row],[PPH]]*tbl_Form[[#This Row],['# of men]],"")</f>
        <v>0.43137254901960786</v>
      </c>
      <c r="L38" s="58">
        <f>tbl_Form[[#This Row],[Total hours]]*tbl_Form[[#This Row],[% Complete]]</f>
        <v>0.43137254901960786</v>
      </c>
      <c r="M38" s="59">
        <f>IFERROR(tbl_Form[[#This Row],[Qty Complete]]/tbl_Form[[#This Row],[Total Hours Act]]*tbl_Form[[#This Row],['# of men Act]],"")</f>
        <v>15.529411764705893</v>
      </c>
      <c r="N38" s="53">
        <v>1</v>
      </c>
      <c r="O38"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1.4166666666666656</v>
      </c>
      <c r="P38" s="61">
        <v>0.5</v>
      </c>
      <c r="Q38" s="61">
        <v>0.5</v>
      </c>
      <c r="R38" s="90">
        <f>IFERROR((tbl_Form[[#This Row],[Adj. Total Hours]]+tbl_Form[[#This Row],[Est. Hours]])/(tbl_Form[[#This Row],[Total Hours Act]]+tbl_Form[[#This Row],[Act. Hours]]),"")</f>
        <v>0.48593350383631739</v>
      </c>
      <c r="S38" s="89">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0.48593350383631739</v>
      </c>
      <c r="T38" s="93" t="s">
        <v>499</v>
      </c>
      <c r="U38" s="63" t="s">
        <v>494</v>
      </c>
      <c r="V38" s="63"/>
      <c r="W38" s="63"/>
      <c r="X38" s="63"/>
    </row>
    <row r="39" spans="1:24" ht="25" customHeight="1">
      <c r="A39" s="52">
        <v>46125</v>
      </c>
      <c r="B39" s="53">
        <v>143120</v>
      </c>
      <c r="C39" s="53" t="s">
        <v>501</v>
      </c>
      <c r="D39" s="54">
        <v>0.47569444444444442</v>
      </c>
      <c r="E39" s="54">
        <v>0.52430555555555558</v>
      </c>
      <c r="F39" s="53">
        <v>16</v>
      </c>
      <c r="G39" s="53">
        <v>16</v>
      </c>
      <c r="H39" s="55">
        <f>tbl_Form[[#This Row],[Qty Complete]]/tbl_Form[[#This Row],[Qty Required]]</f>
        <v>1</v>
      </c>
      <c r="I39" s="56">
        <v>51</v>
      </c>
      <c r="J39" s="53">
        <v>1</v>
      </c>
      <c r="K39" s="57">
        <f>IFERROR(tbl_Form[[#This Row],[Qty Required]]/tbl_Form[[#This Row],[PPH]]*tbl_Form[[#This Row],['# of men]],"")</f>
        <v>0.31372549019607843</v>
      </c>
      <c r="L39" s="58">
        <f>tbl_Form[[#This Row],[Total hours]]*tbl_Form[[#This Row],[% Complete]]</f>
        <v>0.31372549019607843</v>
      </c>
      <c r="M39" s="59">
        <f>IFERROR(tbl_Form[[#This Row],[Qty Complete]]/tbl_Form[[#This Row],[Total Hours Act]]*tbl_Form[[#This Row],['# of men Act]],"")</f>
        <v>23.999999999999957</v>
      </c>
      <c r="N39" s="53">
        <v>1</v>
      </c>
      <c r="O39"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0.66666666666666785</v>
      </c>
      <c r="P39" s="61">
        <v>0.5</v>
      </c>
      <c r="Q39" s="61">
        <v>0.5</v>
      </c>
      <c r="R39" s="90">
        <f>IFERROR((tbl_Form[[#This Row],[Adj. Total Hours]]+tbl_Form[[#This Row],[Est. Hours]])/(tbl_Form[[#This Row],[Total Hours Act]]+tbl_Form[[#This Row],[Act. Hours]]),"")</f>
        <v>0.69747899159663795</v>
      </c>
      <c r="S39" s="89">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0.69747899159663795</v>
      </c>
      <c r="T39" s="93" t="s">
        <v>499</v>
      </c>
      <c r="U39" s="63" t="s">
        <v>494</v>
      </c>
      <c r="V39" s="63"/>
      <c r="W39" s="63"/>
      <c r="X39" s="63"/>
    </row>
    <row r="40" spans="1:24" ht="25" customHeight="1">
      <c r="A40" s="52">
        <v>46125</v>
      </c>
      <c r="B40" s="53" t="s">
        <v>241</v>
      </c>
      <c r="C40" s="53" t="s">
        <v>469</v>
      </c>
      <c r="D40" s="54">
        <v>0.2638888888888889</v>
      </c>
      <c r="E40" s="54">
        <v>0.47916666666666669</v>
      </c>
      <c r="F40" s="53">
        <v>2000</v>
      </c>
      <c r="G40" s="53">
        <v>281</v>
      </c>
      <c r="H40" s="55">
        <f>tbl_Form[[#This Row],[Qty Complete]]/tbl_Form[[#This Row],[Qty Required]]</f>
        <v>0.14050000000000001</v>
      </c>
      <c r="I40" s="56">
        <v>72</v>
      </c>
      <c r="J40" s="53">
        <v>1</v>
      </c>
      <c r="K40" s="57">
        <f>IFERROR(tbl_Form[[#This Row],[Qty Required]]/tbl_Form[[#This Row],[PPH]]*tbl_Form[[#This Row],['# of men]],"")</f>
        <v>27.777777777777779</v>
      </c>
      <c r="L40" s="58">
        <f>tbl_Form[[#This Row],[Total hours]]*tbl_Form[[#This Row],[% Complete]]</f>
        <v>3.9027777777777781</v>
      </c>
      <c r="M40" s="59">
        <f>IFERROR(tbl_Form[[#This Row],[Qty Complete]]/tbl_Form[[#This Row],[Total Hours Act]]*tbl_Form[[#This Row],['# of men Act]],"")</f>
        <v>54.387096774193544</v>
      </c>
      <c r="N40" s="53">
        <v>1</v>
      </c>
      <c r="O40"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5.166666666666667</v>
      </c>
      <c r="P40" s="61">
        <v>0.5</v>
      </c>
      <c r="Q40" s="61">
        <v>0.5</v>
      </c>
      <c r="R40" s="90">
        <f>IFERROR((tbl_Form[[#This Row],[Adj. Total Hours]]+tbl_Form[[#This Row],[Est. Hours]])/(tbl_Form[[#This Row],[Total Hours Act]]+tbl_Form[[#This Row],[Act. Hours]]),"")</f>
        <v>0.77696078431372562</v>
      </c>
      <c r="S40"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40" s="93" t="s">
        <v>502</v>
      </c>
      <c r="U40" s="63" t="s">
        <v>503</v>
      </c>
      <c r="V40" s="63"/>
      <c r="W40" s="63"/>
      <c r="X40" s="63"/>
    </row>
    <row r="41" spans="1:24" ht="25" customHeight="1">
      <c r="A41" s="52">
        <v>46125</v>
      </c>
      <c r="B41" s="53">
        <v>143193</v>
      </c>
      <c r="C41" s="53" t="s">
        <v>504</v>
      </c>
      <c r="D41" s="54">
        <v>0.47916666666666669</v>
      </c>
      <c r="E41" s="54">
        <v>0.55625000000000002</v>
      </c>
      <c r="F41" s="53">
        <v>44</v>
      </c>
      <c r="G41" s="53">
        <v>44</v>
      </c>
      <c r="H41" s="55">
        <f>tbl_Form[[#This Row],[Qty Complete]]/tbl_Form[[#This Row],[Qty Required]]</f>
        <v>1</v>
      </c>
      <c r="I41" s="56">
        <v>85</v>
      </c>
      <c r="J41" s="53">
        <v>1</v>
      </c>
      <c r="K41" s="57">
        <f>IFERROR(tbl_Form[[#This Row],[Qty Required]]/tbl_Form[[#This Row],[PPH]]*tbl_Form[[#This Row],['# of men]],"")</f>
        <v>0.51764705882352946</v>
      </c>
      <c r="L41" s="58">
        <f>tbl_Form[[#This Row],[Total hours]]*tbl_Form[[#This Row],[% Complete]]</f>
        <v>0.51764705882352946</v>
      </c>
      <c r="M41" s="59">
        <f>IFERROR(tbl_Form[[#This Row],[Qty Complete]]/tbl_Form[[#This Row],[Total Hours Act]]*tbl_Form[[#This Row],['# of men Act]],"")</f>
        <v>32.592592592592588</v>
      </c>
      <c r="N41" s="53">
        <v>1</v>
      </c>
      <c r="O41"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1.35</v>
      </c>
      <c r="P41" s="61">
        <v>0.5</v>
      </c>
      <c r="Q41" s="61">
        <v>0.5</v>
      </c>
      <c r="R41" s="90">
        <f>IFERROR((tbl_Form[[#This Row],[Adj. Total Hours]]+tbl_Form[[#This Row],[Est. Hours]])/(tbl_Form[[#This Row],[Total Hours Act]]+tbl_Form[[#This Row],[Act. Hours]]),"")</f>
        <v>0.55007949125596178</v>
      </c>
      <c r="S41" s="89">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0.61582150101419864</v>
      </c>
      <c r="T41" s="93" t="s">
        <v>505</v>
      </c>
      <c r="U41" s="63" t="s">
        <v>494</v>
      </c>
      <c r="V41" s="63"/>
      <c r="W41" s="63"/>
      <c r="X41" s="63"/>
    </row>
    <row r="42" spans="1:24" ht="25" customHeight="1">
      <c r="A42" s="52">
        <v>46126</v>
      </c>
      <c r="B42" s="53" t="s">
        <v>506</v>
      </c>
      <c r="C42" s="53">
        <v>1502895000</v>
      </c>
      <c r="D42" s="54">
        <v>0.20833333333333334</v>
      </c>
      <c r="E42" s="54">
        <v>0.28125</v>
      </c>
      <c r="F42" s="53">
        <v>16</v>
      </c>
      <c r="G42" s="53">
        <v>16</v>
      </c>
      <c r="H42" s="55">
        <f>tbl_Form[[#This Row],[Qty Complete]]/tbl_Form[[#This Row],[Qty Required]]</f>
        <v>1</v>
      </c>
      <c r="I42" s="56">
        <v>13</v>
      </c>
      <c r="J42" s="53">
        <v>2</v>
      </c>
      <c r="K42" s="57">
        <f>IFERROR(tbl_Form[[#This Row],[Qty Required]]/tbl_Form[[#This Row],[PPH]]*tbl_Form[[#This Row],['# of men]],"")</f>
        <v>2.4615384615384617</v>
      </c>
      <c r="L42" s="58">
        <f>tbl_Form[[#This Row],[Total hours]]*tbl_Form[[#This Row],[% Complete]]</f>
        <v>2.4615384615384617</v>
      </c>
      <c r="M42" s="59">
        <f>IFERROR(tbl_Form[[#This Row],[Qty Complete]]/tbl_Form[[#This Row],[Total Hours Act]]*tbl_Form[[#This Row],['# of men Act]],"")</f>
        <v>9.1428571428571441</v>
      </c>
      <c r="N42" s="53">
        <v>2</v>
      </c>
      <c r="O42"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3.4999999999999996</v>
      </c>
      <c r="P42" s="61">
        <v>0.5</v>
      </c>
      <c r="Q42" s="61">
        <v>0.45</v>
      </c>
      <c r="R42" s="90">
        <f>IFERROR((tbl_Form[[#This Row],[Adj. Total Hours]]+tbl_Form[[#This Row],[Est. Hours]])/(tbl_Form[[#This Row],[Total Hours Act]]+tbl_Form[[#This Row],[Act. Hours]]),"")</f>
        <v>0.74975657254138273</v>
      </c>
      <c r="S42"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42" s="93" t="s">
        <v>507</v>
      </c>
      <c r="U42" s="63" t="s">
        <v>494</v>
      </c>
      <c r="V42" s="63" t="s">
        <v>497</v>
      </c>
      <c r="W42" s="63"/>
      <c r="X42" s="63"/>
    </row>
    <row r="43" spans="1:24" ht="25" customHeight="1">
      <c r="A43" s="52">
        <v>46126</v>
      </c>
      <c r="B43" s="53">
        <v>143130</v>
      </c>
      <c r="C43" s="53" t="s">
        <v>508</v>
      </c>
      <c r="D43" s="54">
        <v>0.25</v>
      </c>
      <c r="E43" s="54">
        <v>0.39583333333333331</v>
      </c>
      <c r="F43" s="53">
        <v>20</v>
      </c>
      <c r="G43" s="53">
        <v>20</v>
      </c>
      <c r="H43" s="55">
        <f>tbl_Form[[#This Row],[Qty Complete]]/tbl_Form[[#This Row],[Qty Required]]</f>
        <v>1</v>
      </c>
      <c r="I43" s="56">
        <v>34</v>
      </c>
      <c r="J43" s="53">
        <v>2</v>
      </c>
      <c r="K43" s="57">
        <f>IFERROR(tbl_Form[[#This Row],[Qty Required]]/tbl_Form[[#This Row],[PPH]]*tbl_Form[[#This Row],['# of men]],"")</f>
        <v>1.1764705882352942</v>
      </c>
      <c r="L43" s="58">
        <f>tbl_Form[[#This Row],[Total hours]]*tbl_Form[[#This Row],[% Complete]]</f>
        <v>1.1764705882352942</v>
      </c>
      <c r="M43" s="59">
        <f>IFERROR(tbl_Form[[#This Row],[Qty Complete]]/tbl_Form[[#This Row],[Total Hours Act]]*tbl_Form[[#This Row],['# of men Act]],"")</f>
        <v>5.7142857142857153</v>
      </c>
      <c r="N43" s="53">
        <v>2</v>
      </c>
      <c r="O43"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6.9999999999999991</v>
      </c>
      <c r="P43" s="61">
        <v>0.5</v>
      </c>
      <c r="Q43" s="61">
        <v>0.45</v>
      </c>
      <c r="R43" s="90">
        <f>IFERROR((tbl_Form[[#This Row],[Adj. Total Hours]]+tbl_Form[[#This Row],[Est. Hours]])/(tbl_Form[[#This Row],[Total Hours Act]]+tbl_Form[[#This Row],[Act. Hours]]),"")</f>
        <v>0.22502960915909992</v>
      </c>
      <c r="S43" s="89">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0.22502960915909992</v>
      </c>
      <c r="T43" s="93" t="s">
        <v>509</v>
      </c>
      <c r="U43" s="63" t="s">
        <v>510</v>
      </c>
      <c r="V43" s="63" t="s">
        <v>511</v>
      </c>
      <c r="W43" s="63"/>
      <c r="X43" s="63"/>
    </row>
    <row r="44" spans="1:24" ht="25" customHeight="1">
      <c r="A44" s="52">
        <v>46126</v>
      </c>
      <c r="B44" s="53">
        <v>143185</v>
      </c>
      <c r="C44" s="53" t="s">
        <v>512</v>
      </c>
      <c r="D44" s="54">
        <v>0.39583333333333331</v>
      </c>
      <c r="E44" s="54">
        <v>0.47916666666666669</v>
      </c>
      <c r="F44" s="53">
        <v>9</v>
      </c>
      <c r="G44" s="53">
        <v>9</v>
      </c>
      <c r="H44" s="55">
        <f>tbl_Form[[#This Row],[Qty Complete]]/tbl_Form[[#This Row],[Qty Required]]</f>
        <v>1</v>
      </c>
      <c r="I44" s="56">
        <v>51</v>
      </c>
      <c r="J44" s="53">
        <v>2</v>
      </c>
      <c r="K44" s="57">
        <f>IFERROR(tbl_Form[[#This Row],[Qty Required]]/tbl_Form[[#This Row],[PPH]]*tbl_Form[[#This Row],['# of men]],"")</f>
        <v>0.35294117647058826</v>
      </c>
      <c r="L44" s="58">
        <f>tbl_Form[[#This Row],[Total hours]]*tbl_Form[[#This Row],[% Complete]]</f>
        <v>0.35294117647058826</v>
      </c>
      <c r="M44" s="59">
        <f>IFERROR(tbl_Form[[#This Row],[Qty Complete]]/tbl_Form[[#This Row],[Total Hours Act]]*tbl_Form[[#This Row],['# of men Act]],"")</f>
        <v>4.4999999999999982</v>
      </c>
      <c r="N44" s="53">
        <v>2</v>
      </c>
      <c r="O44"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4.0000000000000018</v>
      </c>
      <c r="P44" s="61">
        <v>0.5</v>
      </c>
      <c r="Q44" s="61">
        <v>0.45</v>
      </c>
      <c r="R44" s="90">
        <f>IFERROR((tbl_Form[[#This Row],[Adj. Total Hours]]+tbl_Form[[#This Row],[Est. Hours]])/(tbl_Form[[#This Row],[Total Hours Act]]+tbl_Form[[#This Row],[Act. Hours]]),"")</f>
        <v>0.19167217448777257</v>
      </c>
      <c r="S44" s="89">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0.19167217448777257</v>
      </c>
      <c r="T44" s="93" t="s">
        <v>513</v>
      </c>
      <c r="U44" s="63" t="s">
        <v>510</v>
      </c>
      <c r="V44" s="63" t="s">
        <v>511</v>
      </c>
      <c r="W44" s="63"/>
      <c r="X44" s="63"/>
    </row>
    <row r="45" spans="1:24" ht="25" customHeight="1">
      <c r="A45" s="52">
        <v>46126</v>
      </c>
      <c r="B45" s="53" t="s">
        <v>506</v>
      </c>
      <c r="C45" s="53">
        <v>1502895000</v>
      </c>
      <c r="D45" s="54">
        <v>0.20833333333333334</v>
      </c>
      <c r="E45" s="54">
        <v>0.32291666666666669</v>
      </c>
      <c r="F45" s="53">
        <v>16</v>
      </c>
      <c r="G45" s="53">
        <v>16</v>
      </c>
      <c r="H45" s="55">
        <f>tbl_Form[[#This Row],[Qty Complete]]/tbl_Form[[#This Row],[Qty Required]]</f>
        <v>1</v>
      </c>
      <c r="I45" s="56">
        <v>13</v>
      </c>
      <c r="J45" s="53">
        <v>2</v>
      </c>
      <c r="K45" s="57">
        <f>IFERROR(tbl_Form[[#This Row],[Qty Required]]/tbl_Form[[#This Row],[PPH]]*tbl_Form[[#This Row],['# of men]],"")</f>
        <v>2.4615384615384617</v>
      </c>
      <c r="L45" s="58">
        <f>tbl_Form[[#This Row],[Total hours]]*tbl_Form[[#This Row],[% Complete]]</f>
        <v>2.4615384615384617</v>
      </c>
      <c r="M45" s="59">
        <f>IFERROR(tbl_Form[[#This Row],[Qty Complete]]/tbl_Form[[#This Row],[Total Hours Act]]*tbl_Form[[#This Row],['# of men Act]],"")</f>
        <v>5.8181818181818183</v>
      </c>
      <c r="N45" s="53">
        <v>2</v>
      </c>
      <c r="O45"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5.5</v>
      </c>
      <c r="P45" s="61">
        <v>0.5</v>
      </c>
      <c r="Q45" s="61">
        <v>1</v>
      </c>
      <c r="R45" s="90">
        <f>IFERROR((tbl_Form[[#This Row],[Adj. Total Hours]]+tbl_Form[[#This Row],[Est. Hours]])/(tbl_Form[[#This Row],[Total Hours Act]]+tbl_Form[[#This Row],[Act. Hours]]),"")</f>
        <v>0.45562130177514792</v>
      </c>
      <c r="S45" s="89">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0.5668016194331984</v>
      </c>
      <c r="T45" s="93" t="s">
        <v>514</v>
      </c>
      <c r="U45" s="63" t="s">
        <v>494</v>
      </c>
      <c r="V45" s="63" t="s">
        <v>511</v>
      </c>
      <c r="W45" s="63"/>
      <c r="X45" s="63"/>
    </row>
    <row r="46" spans="1:24" ht="25" customHeight="1">
      <c r="A46" s="52">
        <v>46126</v>
      </c>
      <c r="B46" s="53" t="s">
        <v>298</v>
      </c>
      <c r="C46" s="53">
        <v>1502882700</v>
      </c>
      <c r="D46" s="54">
        <v>0.32291666666666669</v>
      </c>
      <c r="E46" s="54">
        <v>0.53472222222222221</v>
      </c>
      <c r="F46" s="53">
        <v>24</v>
      </c>
      <c r="G46" s="53">
        <v>24</v>
      </c>
      <c r="H46" s="55">
        <f>tbl_Form[[#This Row],[Qty Complete]]/tbl_Form[[#This Row],[Qty Required]]</f>
        <v>1</v>
      </c>
      <c r="I46" s="56">
        <v>26</v>
      </c>
      <c r="J46" s="53">
        <v>2</v>
      </c>
      <c r="K46" s="57">
        <f>IFERROR(tbl_Form[[#This Row],[Qty Required]]/tbl_Form[[#This Row],[PPH]]*tbl_Form[[#This Row],['# of men]],"")</f>
        <v>1.8461538461538463</v>
      </c>
      <c r="L46" s="58">
        <f>tbl_Form[[#This Row],[Total hours]]*tbl_Form[[#This Row],[% Complete]]</f>
        <v>1.8461538461538463</v>
      </c>
      <c r="M46" s="59">
        <f>IFERROR(tbl_Form[[#This Row],[Qty Complete]]/tbl_Form[[#This Row],[Total Hours Act]]*tbl_Form[[#This Row],['# of men Act]],"")</f>
        <v>5.2363636363636381</v>
      </c>
      <c r="N46" s="53">
        <v>2</v>
      </c>
      <c r="O46"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9.1666666666666643</v>
      </c>
      <c r="P46" s="61">
        <v>0.5</v>
      </c>
      <c r="Q46" s="61">
        <v>0.5</v>
      </c>
      <c r="R46" s="90">
        <f>IFERROR((tbl_Form[[#This Row],[Adj. Total Hours]]+tbl_Form[[#This Row],[Est. Hours]])/(tbl_Form[[#This Row],[Total Hours Act]]+tbl_Form[[#This Row],[Act. Hours]]),"")</f>
        <v>0.24270557029177725</v>
      </c>
      <c r="S46" s="89">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0.24270557029177725</v>
      </c>
      <c r="T46" s="93" t="s">
        <v>515</v>
      </c>
      <c r="U46" s="63" t="s">
        <v>494</v>
      </c>
      <c r="V46" s="63" t="s">
        <v>511</v>
      </c>
      <c r="W46" s="63"/>
      <c r="X46" s="63"/>
    </row>
    <row r="47" spans="1:24" ht="25" customHeight="1">
      <c r="A47" s="52">
        <v>46126</v>
      </c>
      <c r="B47" s="53" t="s">
        <v>516</v>
      </c>
      <c r="C47" s="53">
        <v>100293639</v>
      </c>
      <c r="D47" s="54">
        <v>0.20833333333333334</v>
      </c>
      <c r="E47" s="54">
        <v>0.375</v>
      </c>
      <c r="F47" s="53">
        <v>400</v>
      </c>
      <c r="G47" s="53">
        <v>191</v>
      </c>
      <c r="H47" s="55">
        <f>tbl_Form[[#This Row],[Qty Complete]]/tbl_Form[[#This Row],[Qty Required]]</f>
        <v>0.47749999999999998</v>
      </c>
      <c r="I47" s="56">
        <v>30</v>
      </c>
      <c r="J47" s="53">
        <v>1</v>
      </c>
      <c r="K47" s="57">
        <f>IFERROR(tbl_Form[[#This Row],[Qty Required]]/tbl_Form[[#This Row],[PPH]]*tbl_Form[[#This Row],['# of men]],"")</f>
        <v>13.333333333333334</v>
      </c>
      <c r="L47" s="58">
        <f>tbl_Form[[#This Row],[Total hours]]*tbl_Form[[#This Row],[% Complete]]</f>
        <v>6.3666666666666663</v>
      </c>
      <c r="M47" s="59">
        <f>IFERROR(tbl_Form[[#This Row],[Qty Complete]]/tbl_Form[[#This Row],[Total Hours Act]]*tbl_Form[[#This Row],['# of men Act]],"")</f>
        <v>47.75</v>
      </c>
      <c r="N47" s="53">
        <v>1</v>
      </c>
      <c r="O47"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4</v>
      </c>
      <c r="P47" s="61">
        <v>0.5</v>
      </c>
      <c r="Q47" s="61">
        <v>0.5</v>
      </c>
      <c r="R47" s="90">
        <f>IFERROR((tbl_Form[[#This Row],[Adj. Total Hours]]+tbl_Form[[#This Row],[Est. Hours]])/(tbl_Form[[#This Row],[Total Hours Act]]+tbl_Form[[#This Row],[Act. Hours]]),"")</f>
        <v>1.5259259259259259</v>
      </c>
      <c r="S47"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47" s="93"/>
      <c r="U47" s="63"/>
      <c r="V47" s="63"/>
      <c r="W47" s="63"/>
      <c r="X47" s="63"/>
    </row>
    <row r="48" spans="1:24" ht="25" customHeight="1">
      <c r="A48" s="52">
        <v>46126</v>
      </c>
      <c r="B48" s="53" t="s">
        <v>516</v>
      </c>
      <c r="C48" s="53">
        <v>100293639</v>
      </c>
      <c r="D48" s="54">
        <v>0.43125000000000002</v>
      </c>
      <c r="E48" s="54">
        <v>0.63194444444444442</v>
      </c>
      <c r="F48" s="53">
        <v>400</v>
      </c>
      <c r="G48" s="53">
        <v>199</v>
      </c>
      <c r="H48" s="55">
        <f>tbl_Form[[#This Row],[Qty Complete]]/tbl_Form[[#This Row],[Qty Required]]</f>
        <v>0.4975</v>
      </c>
      <c r="I48" s="56">
        <v>30</v>
      </c>
      <c r="J48" s="53">
        <v>1</v>
      </c>
      <c r="K48" s="57">
        <f>IFERROR(tbl_Form[[#This Row],[Qty Required]]/tbl_Form[[#This Row],[PPH]]*tbl_Form[[#This Row],['# of men]],"")</f>
        <v>13.333333333333334</v>
      </c>
      <c r="L48" s="58">
        <f>tbl_Form[[#This Row],[Total hours]]*tbl_Form[[#This Row],[% Complete]]</f>
        <v>6.6333333333333337</v>
      </c>
      <c r="M48" s="59">
        <f>IFERROR(tbl_Form[[#This Row],[Qty Complete]]/tbl_Form[[#This Row],[Total Hours Act]]*tbl_Form[[#This Row],['# of men Act]],"")</f>
        <v>46.10038610038611</v>
      </c>
      <c r="N48" s="53">
        <v>1</v>
      </c>
      <c r="O48"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4.3166666666666655</v>
      </c>
      <c r="P48" s="61">
        <v>0</v>
      </c>
      <c r="Q48" s="61">
        <v>0</v>
      </c>
      <c r="R48" s="90">
        <f>IFERROR((tbl_Form[[#This Row],[Adj. Total Hours]]+tbl_Form[[#This Row],[Est. Hours]])/(tbl_Form[[#This Row],[Total Hours Act]]+tbl_Form[[#This Row],[Act. Hours]]),"")</f>
        <v>1.5366795366795372</v>
      </c>
      <c r="S48"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48" s="93"/>
      <c r="U48" s="63"/>
      <c r="V48" s="63"/>
      <c r="W48" s="63"/>
      <c r="X48" s="63"/>
    </row>
    <row r="49" spans="1:24" ht="25" customHeight="1">
      <c r="A49" s="52">
        <v>46126</v>
      </c>
      <c r="B49" s="53" t="s">
        <v>517</v>
      </c>
      <c r="C49" s="53">
        <v>100323030</v>
      </c>
      <c r="D49" s="54">
        <v>0.45347222222222222</v>
      </c>
      <c r="E49" s="54">
        <v>0.6875</v>
      </c>
      <c r="F49" s="53">
        <v>300</v>
      </c>
      <c r="G49" s="53">
        <v>118</v>
      </c>
      <c r="H49" s="55">
        <f>tbl_Form[[#This Row],[Qty Complete]]/tbl_Form[[#This Row],[Qty Required]]</f>
        <v>0.39333333333333331</v>
      </c>
      <c r="I49" s="56">
        <v>24</v>
      </c>
      <c r="J49" s="53">
        <v>1</v>
      </c>
      <c r="K49" s="57">
        <f>IFERROR(tbl_Form[[#This Row],[Qty Required]]/tbl_Form[[#This Row],[PPH]]*tbl_Form[[#This Row],['# of men]],"")</f>
        <v>12.5</v>
      </c>
      <c r="L49" s="58">
        <f>tbl_Form[[#This Row],[Total hours]]*tbl_Form[[#This Row],[% Complete]]</f>
        <v>4.9166666666666661</v>
      </c>
      <c r="M49" s="59">
        <f>IFERROR(tbl_Form[[#This Row],[Qty Complete]]/tbl_Form[[#This Row],[Total Hours Act]]*tbl_Form[[#This Row],['# of men Act]],"")</f>
        <v>23.061889250814332</v>
      </c>
      <c r="N49" s="53">
        <v>1</v>
      </c>
      <c r="O49"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5.1166666666666671</v>
      </c>
      <c r="P49" s="61">
        <v>0.5</v>
      </c>
      <c r="Q49" s="61">
        <v>0.5</v>
      </c>
      <c r="R49" s="90">
        <f>IFERROR((tbl_Form[[#This Row],[Adj. Total Hours]]+tbl_Form[[#This Row],[Est. Hours]])/(tbl_Form[[#This Row],[Total Hours Act]]+tbl_Form[[#This Row],[Act. Hours]]),"")</f>
        <v>0.96439169139465852</v>
      </c>
      <c r="S49"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49" s="93"/>
      <c r="U49" s="63"/>
      <c r="V49" s="63"/>
      <c r="W49" s="63"/>
      <c r="X49" s="63"/>
    </row>
    <row r="50" spans="1:24" ht="25" customHeight="1">
      <c r="A50" s="52">
        <v>46126</v>
      </c>
      <c r="B50" s="53" t="s">
        <v>310</v>
      </c>
      <c r="C50" s="53" t="s">
        <v>311</v>
      </c>
      <c r="D50" s="54">
        <v>0.375</v>
      </c>
      <c r="E50" s="54">
        <v>0.40625</v>
      </c>
      <c r="F50" s="53">
        <v>100</v>
      </c>
      <c r="G50" s="53">
        <v>4</v>
      </c>
      <c r="H50" s="55">
        <f>tbl_Form[[#This Row],[Qty Complete]]/tbl_Form[[#This Row],[Qty Required]]</f>
        <v>0.04</v>
      </c>
      <c r="I50" s="56">
        <v>26</v>
      </c>
      <c r="J50" s="53">
        <v>1</v>
      </c>
      <c r="K50" s="57">
        <f>IFERROR(tbl_Form[[#This Row],[Qty Required]]/tbl_Form[[#This Row],[PPH]]*tbl_Form[[#This Row],['# of men]],"")</f>
        <v>3.8461538461538463</v>
      </c>
      <c r="L50" s="58">
        <f>tbl_Form[[#This Row],[Total hours]]*tbl_Form[[#This Row],[% Complete]]</f>
        <v>0.15384615384615385</v>
      </c>
      <c r="M50" s="59">
        <f>IFERROR(tbl_Form[[#This Row],[Qty Complete]]/tbl_Form[[#This Row],[Total Hours Act]]*tbl_Form[[#This Row],['# of men Act]],"")</f>
        <v>5.333333333333333</v>
      </c>
      <c r="N50" s="53">
        <v>1</v>
      </c>
      <c r="O50"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0.75</v>
      </c>
      <c r="P50" s="61">
        <v>0.5</v>
      </c>
      <c r="Q50" s="61">
        <v>0.15</v>
      </c>
      <c r="R50" s="90">
        <f>IFERROR((tbl_Form[[#This Row],[Adj. Total Hours]]+tbl_Form[[#This Row],[Est. Hours]])/(tbl_Form[[#This Row],[Total Hours Act]]+tbl_Form[[#This Row],[Act. Hours]]),"")</f>
        <v>0.72649572649572647</v>
      </c>
      <c r="S50"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50" s="93" t="s">
        <v>518</v>
      </c>
      <c r="U50" s="63" t="s">
        <v>519</v>
      </c>
      <c r="V50" s="63"/>
      <c r="W50" s="63"/>
      <c r="X50" s="63"/>
    </row>
    <row r="51" spans="1:24" ht="25" customHeight="1">
      <c r="A51" s="52">
        <v>46125</v>
      </c>
      <c r="B51" s="53" t="s">
        <v>520</v>
      </c>
      <c r="C51" s="53">
        <v>100293640</v>
      </c>
      <c r="D51" s="54">
        <v>0.73750000000000004</v>
      </c>
      <c r="E51" s="54">
        <v>0.16666666666666666</v>
      </c>
      <c r="F51" s="53">
        <v>300</v>
      </c>
      <c r="G51" s="53">
        <v>285</v>
      </c>
      <c r="H51" s="55">
        <f>tbl_Form[[#This Row],[Qty Complete]]/tbl_Form[[#This Row],[Qty Required]]</f>
        <v>0.95</v>
      </c>
      <c r="I51" s="56">
        <v>30</v>
      </c>
      <c r="J51" s="53">
        <v>1</v>
      </c>
      <c r="K51" s="57">
        <f>IFERROR(tbl_Form[[#This Row],[Qty Required]]/tbl_Form[[#This Row],[PPH]]*tbl_Form[[#This Row],['# of men]],"")</f>
        <v>10</v>
      </c>
      <c r="L51" s="58">
        <f>tbl_Form[[#This Row],[Total hours]]*tbl_Form[[#This Row],[% Complete]]</f>
        <v>9.5</v>
      </c>
      <c r="M51" s="59">
        <f>IFERROR(tbl_Form[[#This Row],[Qty Complete]]/tbl_Form[[#This Row],[Total Hours Act]]*tbl_Form[[#This Row],['# of men Act]],"")</f>
        <v>29.081632653061234</v>
      </c>
      <c r="N51" s="53">
        <v>1</v>
      </c>
      <c r="O51"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9.7999999999999972</v>
      </c>
      <c r="P51" s="61">
        <v>0.5</v>
      </c>
      <c r="Q51" s="61">
        <v>0.5</v>
      </c>
      <c r="R51" s="90">
        <f>IFERROR((tbl_Form[[#This Row],[Adj. Total Hours]]+tbl_Form[[#This Row],[Est. Hours]])/(tbl_Form[[#This Row],[Total Hours Act]]+tbl_Form[[#This Row],[Act. Hours]]),"")</f>
        <v>0.97087378640776723</v>
      </c>
      <c r="S51"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51" s="93"/>
      <c r="U51" s="63" t="s">
        <v>521</v>
      </c>
      <c r="V51" s="63"/>
      <c r="W51" s="63"/>
      <c r="X51" s="63"/>
    </row>
    <row r="52" spans="1:24" ht="25" customHeight="1">
      <c r="A52" s="52">
        <v>46125</v>
      </c>
      <c r="B52" s="53" t="s">
        <v>516</v>
      </c>
      <c r="C52" s="53">
        <v>100293639</v>
      </c>
      <c r="D52" s="54">
        <v>0.17708333333333334</v>
      </c>
      <c r="E52" s="54">
        <v>0.18680555555555556</v>
      </c>
      <c r="F52" s="53">
        <v>400</v>
      </c>
      <c r="G52" s="53">
        <v>10</v>
      </c>
      <c r="H52" s="55">
        <f>tbl_Form[[#This Row],[Qty Complete]]/tbl_Form[[#This Row],[Qty Required]]</f>
        <v>2.5000000000000001E-2</v>
      </c>
      <c r="I52" s="56">
        <v>30</v>
      </c>
      <c r="J52" s="53">
        <v>1</v>
      </c>
      <c r="K52" s="57">
        <f>IFERROR(tbl_Form[[#This Row],[Qty Required]]/tbl_Form[[#This Row],[PPH]]*tbl_Form[[#This Row],['# of men]],"")</f>
        <v>13.333333333333334</v>
      </c>
      <c r="L52" s="58">
        <f>tbl_Form[[#This Row],[Total hours]]*tbl_Form[[#This Row],[% Complete]]</f>
        <v>0.33333333333333337</v>
      </c>
      <c r="M52" s="59">
        <f>IFERROR(tbl_Form[[#This Row],[Qty Complete]]/tbl_Form[[#This Row],[Total Hours Act]]*tbl_Form[[#This Row],['# of men Act]],"")</f>
        <v>42.85714285714289</v>
      </c>
      <c r="N52" s="53">
        <v>1</v>
      </c>
      <c r="O52"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0.23333333333333317</v>
      </c>
      <c r="P52" s="61">
        <v>0.5</v>
      </c>
      <c r="Q52" s="61">
        <v>0.5</v>
      </c>
      <c r="R52" s="90">
        <f>IFERROR((tbl_Form[[#This Row],[Adj. Total Hours]]+tbl_Form[[#This Row],[Est. Hours]])/(tbl_Form[[#This Row],[Total Hours Act]]+tbl_Form[[#This Row],[Act. Hours]]),"")</f>
        <v>1.1363636363636367</v>
      </c>
      <c r="S52" s="89">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1.5008726003490405</v>
      </c>
      <c r="T52" s="93"/>
      <c r="U52" s="63" t="s">
        <v>521</v>
      </c>
      <c r="V52" s="63"/>
      <c r="W52" s="63"/>
      <c r="X52" s="63"/>
    </row>
    <row r="53" spans="1:24" ht="25" customHeight="1">
      <c r="A53" s="52">
        <v>46126</v>
      </c>
      <c r="B53" s="53" t="s">
        <v>420</v>
      </c>
      <c r="C53" s="53" t="s">
        <v>401</v>
      </c>
      <c r="D53" s="54">
        <v>0.70902777777777781</v>
      </c>
      <c r="E53" s="54">
        <v>0.875</v>
      </c>
      <c r="F53" s="53">
        <v>196</v>
      </c>
      <c r="G53" s="53">
        <v>124</v>
      </c>
      <c r="H53" s="55">
        <f>tbl_Form[[#This Row],[Qty Complete]]/tbl_Form[[#This Row],[Qty Required]]</f>
        <v>0.63265306122448983</v>
      </c>
      <c r="I53" s="56">
        <v>60</v>
      </c>
      <c r="J53" s="53">
        <v>1</v>
      </c>
      <c r="K53" s="57">
        <f>IFERROR(tbl_Form[[#This Row],[Qty Required]]/tbl_Form[[#This Row],[PPH]]*tbl_Form[[#This Row],['# of men]],"")</f>
        <v>3.2666666666666666</v>
      </c>
      <c r="L53" s="58">
        <f>tbl_Form[[#This Row],[Total hours]]*tbl_Form[[#This Row],[% Complete]]</f>
        <v>2.0666666666666669</v>
      </c>
      <c r="M53" s="59">
        <f>IFERROR(tbl_Form[[#This Row],[Qty Complete]]/tbl_Form[[#This Row],[Total Hours Act]]*tbl_Form[[#This Row],['# of men Act]],"")</f>
        <v>31.129707112970717</v>
      </c>
      <c r="N53" s="53">
        <v>1</v>
      </c>
      <c r="O53"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3.9833333333333325</v>
      </c>
      <c r="P53" s="61">
        <v>0.5</v>
      </c>
      <c r="Q53" s="61">
        <v>0.5</v>
      </c>
      <c r="R53" s="90">
        <f>IFERROR((tbl_Form[[#This Row],[Adj. Total Hours]]+tbl_Form[[#This Row],[Est. Hours]])/(tbl_Form[[#This Row],[Total Hours Act]]+tbl_Form[[#This Row],[Act. Hours]]),"")</f>
        <v>0.57249070631970278</v>
      </c>
      <c r="S53"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53" s="93"/>
      <c r="U53" s="63" t="s">
        <v>522</v>
      </c>
      <c r="V53" s="63"/>
      <c r="W53" s="63"/>
      <c r="X53" s="63"/>
    </row>
    <row r="54" spans="1:24" ht="25" customHeight="1">
      <c r="A54" s="52">
        <v>46126</v>
      </c>
      <c r="B54" s="53" t="s">
        <v>418</v>
      </c>
      <c r="C54" s="53" t="s">
        <v>401</v>
      </c>
      <c r="D54" s="54">
        <v>0.9291666666666667</v>
      </c>
      <c r="E54" s="54">
        <v>4.3749999999999997E-2</v>
      </c>
      <c r="F54" s="53">
        <v>196</v>
      </c>
      <c r="G54" s="53">
        <v>102</v>
      </c>
      <c r="H54" s="55">
        <f>tbl_Form[[#This Row],[Qty Complete]]/tbl_Form[[#This Row],[Qty Required]]</f>
        <v>0.52040816326530615</v>
      </c>
      <c r="I54" s="56">
        <v>60</v>
      </c>
      <c r="J54" s="53">
        <v>1</v>
      </c>
      <c r="K54" s="57">
        <f>IFERROR(tbl_Form[[#This Row],[Qty Required]]/tbl_Form[[#This Row],[PPH]]*tbl_Form[[#This Row],['# of men]],"")</f>
        <v>3.2666666666666666</v>
      </c>
      <c r="L54" s="58">
        <f>tbl_Form[[#This Row],[Total hours]]*tbl_Form[[#This Row],[% Complete]]</f>
        <v>1.7</v>
      </c>
      <c r="M54" s="59">
        <f>IFERROR(tbl_Form[[#This Row],[Qty Complete]]/tbl_Form[[#This Row],[Total Hours Act]]*tbl_Form[[#This Row],['# of men Act]],"")</f>
        <v>45.333333333333371</v>
      </c>
      <c r="N54" s="53">
        <v>1</v>
      </c>
      <c r="O54"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2.2499999999999982</v>
      </c>
      <c r="P54" s="61">
        <v>0.5</v>
      </c>
      <c r="Q54" s="61">
        <v>0.5</v>
      </c>
      <c r="R54" s="90">
        <f>IFERROR((tbl_Form[[#This Row],[Adj. Total Hours]]+tbl_Form[[#This Row],[Est. Hours]])/(tbl_Form[[#This Row],[Total Hours Act]]+tbl_Form[[#This Row],[Act. Hours]]),"")</f>
        <v>0.8000000000000006</v>
      </c>
      <c r="S54"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54" s="93" t="s">
        <v>523</v>
      </c>
      <c r="U54" s="63" t="s">
        <v>524</v>
      </c>
      <c r="V54" s="63"/>
      <c r="W54" s="63"/>
      <c r="X54" s="63"/>
    </row>
    <row r="55" spans="1:24" ht="25" customHeight="1">
      <c r="A55" s="52">
        <v>46126</v>
      </c>
      <c r="B55" s="53" t="s">
        <v>517</v>
      </c>
      <c r="C55" s="53">
        <v>100323030</v>
      </c>
      <c r="D55" s="54">
        <v>0.70833333333333337</v>
      </c>
      <c r="E55" s="54">
        <v>5.347222222222222E-2</v>
      </c>
      <c r="F55" s="53">
        <v>300</v>
      </c>
      <c r="G55" s="53">
        <v>270</v>
      </c>
      <c r="H55" s="55">
        <f>tbl_Form[[#This Row],[Qty Complete]]/tbl_Form[[#This Row],[Qty Required]]</f>
        <v>0.9</v>
      </c>
      <c r="I55" s="56">
        <v>24</v>
      </c>
      <c r="J55" s="53">
        <v>1</v>
      </c>
      <c r="K55" s="57">
        <f>IFERROR(tbl_Form[[#This Row],[Qty Required]]/tbl_Form[[#This Row],[PPH]]*tbl_Form[[#This Row],['# of men]],"")</f>
        <v>12.5</v>
      </c>
      <c r="L55" s="58">
        <f>tbl_Form[[#This Row],[Total hours]]*tbl_Form[[#This Row],[% Complete]]</f>
        <v>11.25</v>
      </c>
      <c r="M55" s="59">
        <f>IFERROR(tbl_Form[[#This Row],[Qty Complete]]/tbl_Form[[#This Row],[Total Hours Act]]*tbl_Form[[#This Row],['# of men Act]],"")</f>
        <v>34.689507494646683</v>
      </c>
      <c r="N55" s="53">
        <v>1</v>
      </c>
      <c r="O55"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7.7833333333333332</v>
      </c>
      <c r="P55" s="61">
        <v>0.5</v>
      </c>
      <c r="Q55" s="61">
        <v>0.5</v>
      </c>
      <c r="R55" s="90">
        <f>IFERROR((tbl_Form[[#This Row],[Adj. Total Hours]]+tbl_Form[[#This Row],[Est. Hours]])/(tbl_Form[[#This Row],[Total Hours Act]]+tbl_Form[[#This Row],[Act. Hours]]),"")</f>
        <v>1.4185110663983904</v>
      </c>
      <c r="S55" s="89">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1.2350119904076737</v>
      </c>
      <c r="T55" s="93"/>
      <c r="U55" s="63" t="s">
        <v>521</v>
      </c>
      <c r="V55" s="63"/>
      <c r="W55" s="63"/>
      <c r="X55" s="63"/>
    </row>
    <row r="56" spans="1:24" ht="25" customHeight="1">
      <c r="A56" s="52">
        <v>46126</v>
      </c>
      <c r="B56" s="53" t="s">
        <v>413</v>
      </c>
      <c r="C56" s="53">
        <v>4788600</v>
      </c>
      <c r="D56" s="54">
        <v>5.347222222222222E-2</v>
      </c>
      <c r="E56" s="54">
        <v>0.18680555555555556</v>
      </c>
      <c r="F56" s="53">
        <v>75</v>
      </c>
      <c r="G56" s="53">
        <v>75</v>
      </c>
      <c r="H56" s="55">
        <f>tbl_Form[[#This Row],[Qty Complete]]/tbl_Form[[#This Row],[Qty Required]]</f>
        <v>1</v>
      </c>
      <c r="I56" s="56">
        <v>31</v>
      </c>
      <c r="J56" s="53">
        <v>1</v>
      </c>
      <c r="K56" s="57">
        <f>IFERROR(tbl_Form[[#This Row],[Qty Required]]/tbl_Form[[#This Row],[PPH]]*tbl_Form[[#This Row],['# of men]],"")</f>
        <v>2.4193548387096775</v>
      </c>
      <c r="L56" s="58">
        <f>tbl_Form[[#This Row],[Total hours]]*tbl_Form[[#This Row],[% Complete]]</f>
        <v>2.4193548387096775</v>
      </c>
      <c r="M56" s="59">
        <f>IFERROR(tbl_Form[[#This Row],[Qty Complete]]/tbl_Form[[#This Row],[Total Hours Act]]*tbl_Form[[#This Row],['# of men Act]],"")</f>
        <v>23.4375</v>
      </c>
      <c r="N56" s="53">
        <v>1</v>
      </c>
      <c r="O56"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3.2</v>
      </c>
      <c r="P56" s="61">
        <v>0.5</v>
      </c>
      <c r="Q56" s="61">
        <v>0.5</v>
      </c>
      <c r="R56" s="90">
        <f>IFERROR((tbl_Form[[#This Row],[Adj. Total Hours]]+tbl_Form[[#This Row],[Est. Hours]])/(tbl_Form[[#This Row],[Total Hours Act]]+tbl_Form[[#This Row],[Act. Hours]]),"")</f>
        <v>0.7890148212728858</v>
      </c>
      <c r="S56" s="89">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0.7890148212728858</v>
      </c>
      <c r="T56" s="93" t="s">
        <v>525</v>
      </c>
      <c r="U56" s="63" t="s">
        <v>521</v>
      </c>
      <c r="V56" s="63"/>
      <c r="W56" s="63"/>
      <c r="X56" s="63"/>
    </row>
    <row r="57" spans="1:24" ht="25" customHeight="1">
      <c r="A57" s="52">
        <v>46127</v>
      </c>
      <c r="B57" s="53" t="s">
        <v>526</v>
      </c>
      <c r="C57" s="53">
        <v>1502893800</v>
      </c>
      <c r="D57" s="54">
        <v>0.20833333333333334</v>
      </c>
      <c r="E57" s="54">
        <v>0.28055555555555556</v>
      </c>
      <c r="F57" s="53">
        <v>12</v>
      </c>
      <c r="G57" s="53">
        <v>12</v>
      </c>
      <c r="H57" s="55">
        <f>tbl_Form[[#This Row],[Qty Complete]]/tbl_Form[[#This Row],[Qty Required]]</f>
        <v>1</v>
      </c>
      <c r="I57" s="56">
        <v>12</v>
      </c>
      <c r="J57" s="53">
        <v>2</v>
      </c>
      <c r="K57" s="57">
        <f>IFERROR(tbl_Form[[#This Row],[Qty Required]]/tbl_Form[[#This Row],[PPH]]*tbl_Form[[#This Row],['# of men]],"")</f>
        <v>2</v>
      </c>
      <c r="L57" s="58">
        <f>tbl_Form[[#This Row],[Total hours]]*tbl_Form[[#This Row],[% Complete]]</f>
        <v>2</v>
      </c>
      <c r="M57" s="59">
        <f>IFERROR(tbl_Form[[#This Row],[Qty Complete]]/tbl_Form[[#This Row],[Total Hours Act]]*tbl_Form[[#This Row],['# of men Act]],"")</f>
        <v>6.9230769230769234</v>
      </c>
      <c r="N57" s="53">
        <v>2</v>
      </c>
      <c r="O57"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3.4666666666666663</v>
      </c>
      <c r="P57" s="61">
        <v>0.5</v>
      </c>
      <c r="Q57" s="61">
        <v>0.5</v>
      </c>
      <c r="R57" s="90">
        <f>IFERROR((tbl_Form[[#This Row],[Adj. Total Hours]]+tbl_Form[[#This Row],[Est. Hours]])/(tbl_Form[[#This Row],[Total Hours Act]]+tbl_Form[[#This Row],[Act. Hours]]),"")</f>
        <v>0.63025210084033623</v>
      </c>
      <c r="S57" s="89">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0.63025210084033623</v>
      </c>
      <c r="T57" s="93" t="s">
        <v>527</v>
      </c>
      <c r="U57" s="63" t="s">
        <v>494</v>
      </c>
      <c r="V57" s="63" t="s">
        <v>497</v>
      </c>
      <c r="W57" s="63"/>
      <c r="X57" s="63"/>
    </row>
    <row r="58" spans="1:24" ht="25" customHeight="1">
      <c r="A58" s="52">
        <v>46127</v>
      </c>
      <c r="B58" s="53" t="s">
        <v>528</v>
      </c>
      <c r="C58" s="53">
        <v>1502893800</v>
      </c>
      <c r="D58" s="54">
        <v>0.28125</v>
      </c>
      <c r="E58" s="54">
        <v>0.36666666666666664</v>
      </c>
      <c r="F58" s="53">
        <v>15</v>
      </c>
      <c r="G58" s="53">
        <v>15</v>
      </c>
      <c r="H58" s="55">
        <f>tbl_Form[[#This Row],[Qty Complete]]/tbl_Form[[#This Row],[Qty Required]]</f>
        <v>1</v>
      </c>
      <c r="I58" s="56">
        <v>12</v>
      </c>
      <c r="J58" s="53">
        <v>2</v>
      </c>
      <c r="K58" s="57">
        <f>IFERROR(tbl_Form[[#This Row],[Qty Required]]/tbl_Form[[#This Row],[PPH]]*tbl_Form[[#This Row],['# of men]],"")</f>
        <v>2.5</v>
      </c>
      <c r="L58" s="58">
        <f>tbl_Form[[#This Row],[Total hours]]*tbl_Form[[#This Row],[% Complete]]</f>
        <v>2.5</v>
      </c>
      <c r="M58" s="59">
        <f>IFERROR(tbl_Form[[#This Row],[Qty Complete]]/tbl_Form[[#This Row],[Total Hours Act]]*tbl_Form[[#This Row],['# of men Act]],"")</f>
        <v>7.3170731707317094</v>
      </c>
      <c r="N58" s="53">
        <v>2</v>
      </c>
      <c r="O58"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4.0999999999999988</v>
      </c>
      <c r="P58" s="61">
        <v>0.5</v>
      </c>
      <c r="Q58" s="61">
        <v>0.5</v>
      </c>
      <c r="R58" s="90">
        <f>IFERROR((tbl_Form[[#This Row],[Adj. Total Hours]]+tbl_Form[[#This Row],[Est. Hours]])/(tbl_Form[[#This Row],[Total Hours Act]]+tbl_Form[[#This Row],[Act. Hours]]),"")</f>
        <v>0.65217391304347849</v>
      </c>
      <c r="S58" s="89">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0.65217391304347849</v>
      </c>
      <c r="T58" s="93" t="s">
        <v>529</v>
      </c>
      <c r="U58" s="63" t="s">
        <v>494</v>
      </c>
      <c r="V58" s="63" t="s">
        <v>497</v>
      </c>
      <c r="W58" s="63"/>
      <c r="X58" s="63"/>
    </row>
    <row r="59" spans="1:24" ht="25" customHeight="1">
      <c r="A59" s="52">
        <v>46127</v>
      </c>
      <c r="B59" s="53" t="s">
        <v>385</v>
      </c>
      <c r="C59" s="53" t="s">
        <v>530</v>
      </c>
      <c r="D59" s="54">
        <v>0.35416666666666669</v>
      </c>
      <c r="E59" s="54">
        <v>0.47916666666666669</v>
      </c>
      <c r="F59" s="53">
        <v>70</v>
      </c>
      <c r="G59" s="53">
        <v>70</v>
      </c>
      <c r="H59" s="55">
        <f>tbl_Form[[#This Row],[Qty Complete]]/tbl_Form[[#This Row],[Qty Required]]</f>
        <v>1</v>
      </c>
      <c r="I59" s="56">
        <v>76</v>
      </c>
      <c r="J59" s="53">
        <v>1</v>
      </c>
      <c r="K59" s="57">
        <f>IFERROR(tbl_Form[[#This Row],[Qty Required]]/tbl_Form[[#This Row],[PPH]]*tbl_Form[[#This Row],['# of men]],"")</f>
        <v>0.92105263157894735</v>
      </c>
      <c r="L59" s="58">
        <f>tbl_Form[[#This Row],[Total hours]]*tbl_Form[[#This Row],[% Complete]]</f>
        <v>0.92105263157894735</v>
      </c>
      <c r="M59" s="59">
        <f>IFERROR(tbl_Form[[#This Row],[Qty Complete]]/tbl_Form[[#This Row],[Total Hours Act]]*tbl_Form[[#This Row],['# of men Act]],"")</f>
        <v>23.333333333333332</v>
      </c>
      <c r="N59" s="53">
        <v>1</v>
      </c>
      <c r="O59"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3</v>
      </c>
      <c r="P59" s="61">
        <v>0.5</v>
      </c>
      <c r="Q59" s="61">
        <v>0.5</v>
      </c>
      <c r="R59" s="90">
        <f>IFERROR((tbl_Form[[#This Row],[Adj. Total Hours]]+tbl_Form[[#This Row],[Est. Hours]])/(tbl_Form[[#This Row],[Total Hours Act]]+tbl_Form[[#This Row],[Act. Hours]]),"")</f>
        <v>0.40601503759398494</v>
      </c>
      <c r="S59" s="89">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0.40601503759398494</v>
      </c>
      <c r="T59" s="93" t="s">
        <v>531</v>
      </c>
      <c r="U59" s="63" t="s">
        <v>519</v>
      </c>
      <c r="V59" s="63"/>
      <c r="W59" s="63"/>
      <c r="X59" s="63"/>
    </row>
    <row r="60" spans="1:24" ht="25" customHeight="1">
      <c r="A60" s="52">
        <v>46127</v>
      </c>
      <c r="B60" s="53" t="s">
        <v>400</v>
      </c>
      <c r="C60" s="53" t="s">
        <v>532</v>
      </c>
      <c r="D60" s="54">
        <v>0.47916666666666669</v>
      </c>
      <c r="E60" s="54">
        <v>0.53055555555555556</v>
      </c>
      <c r="F60" s="53">
        <v>196</v>
      </c>
      <c r="G60" s="53">
        <v>36</v>
      </c>
      <c r="H60" s="55">
        <f>tbl_Form[[#This Row],[Qty Complete]]/tbl_Form[[#This Row],[Qty Required]]</f>
        <v>0.18367346938775511</v>
      </c>
      <c r="I60" s="56">
        <v>60</v>
      </c>
      <c r="J60" s="53">
        <v>1</v>
      </c>
      <c r="K60" s="57">
        <f>IFERROR(tbl_Form[[#This Row],[Qty Required]]/tbl_Form[[#This Row],[PPH]]*tbl_Form[[#This Row],['# of men]],"")</f>
        <v>3.2666666666666666</v>
      </c>
      <c r="L60" s="58">
        <f>tbl_Form[[#This Row],[Total hours]]*tbl_Form[[#This Row],[% Complete]]</f>
        <v>0.6</v>
      </c>
      <c r="M60" s="59">
        <f>IFERROR(tbl_Form[[#This Row],[Qty Complete]]/tbl_Form[[#This Row],[Total Hours Act]]*tbl_Form[[#This Row],['# of men Act]],"")</f>
        <v>49.090909090909115</v>
      </c>
      <c r="N60" s="53">
        <v>1</v>
      </c>
      <c r="O60"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0.73333333333333295</v>
      </c>
      <c r="P60" s="61">
        <v>0.5</v>
      </c>
      <c r="Q60" s="61">
        <v>0.5</v>
      </c>
      <c r="R60" s="90">
        <f>IFERROR((tbl_Form[[#This Row],[Adj. Total Hours]]+tbl_Form[[#This Row],[Est. Hours]])/(tbl_Form[[#This Row],[Total Hours Act]]+tbl_Form[[#This Row],[Act. Hours]]),"")</f>
        <v>0.89189189189189222</v>
      </c>
      <c r="S60"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60" s="93"/>
      <c r="U60" s="63"/>
      <c r="V60" s="63"/>
      <c r="W60" s="63"/>
      <c r="X60" s="63"/>
    </row>
    <row r="61" spans="1:24" ht="25" customHeight="1">
      <c r="A61" s="52">
        <v>46127</v>
      </c>
      <c r="B61" s="53" t="s">
        <v>533</v>
      </c>
      <c r="C61" s="53">
        <v>6738058</v>
      </c>
      <c r="D61" s="54">
        <v>0.34027777777777779</v>
      </c>
      <c r="E61" s="54">
        <v>0.375</v>
      </c>
      <c r="F61" s="53">
        <v>6</v>
      </c>
      <c r="G61" s="53">
        <v>1</v>
      </c>
      <c r="H61" s="55">
        <f>tbl_Form[[#This Row],[Qty Complete]]/tbl_Form[[#This Row],[Qty Required]]</f>
        <v>0.16666666666666666</v>
      </c>
      <c r="I61" s="56">
        <v>26</v>
      </c>
      <c r="J61" s="53">
        <v>2</v>
      </c>
      <c r="K61" s="57">
        <f>IFERROR(tbl_Form[[#This Row],[Qty Required]]/tbl_Form[[#This Row],[PPH]]*tbl_Form[[#This Row],['# of men]],"")</f>
        <v>0.46153846153846156</v>
      </c>
      <c r="L61" s="58">
        <f>tbl_Form[[#This Row],[Total hours]]*tbl_Form[[#This Row],[% Complete]]</f>
        <v>7.6923076923076927E-2</v>
      </c>
      <c r="M61" s="59">
        <f>IFERROR(tbl_Form[[#This Row],[Qty Complete]]/tbl_Form[[#This Row],[Total Hours Act]]*tbl_Form[[#This Row],['# of men Act]],"")</f>
        <v>1.2000000000000004</v>
      </c>
      <c r="N61" s="53">
        <v>2</v>
      </c>
      <c r="O61"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1.6666666666666661</v>
      </c>
      <c r="P61" s="61">
        <v>0.5</v>
      </c>
      <c r="Q61" s="61">
        <v>0.5</v>
      </c>
      <c r="R61" s="90">
        <f>IFERROR((tbl_Form[[#This Row],[Adj. Total Hours]]+tbl_Form[[#This Row],[Est. Hours]])/(tbl_Form[[#This Row],[Total Hours Act]]+tbl_Form[[#This Row],[Act. Hours]]),"")</f>
        <v>0.26627218934911245</v>
      </c>
      <c r="S61"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61" s="93" t="s">
        <v>534</v>
      </c>
      <c r="U61" s="63" t="s">
        <v>510</v>
      </c>
      <c r="V61" s="63" t="s">
        <v>535</v>
      </c>
      <c r="W61" s="63"/>
      <c r="X61" s="63"/>
    </row>
    <row r="62" spans="1:24" ht="25" customHeight="1">
      <c r="A62" s="52">
        <v>46127</v>
      </c>
      <c r="B62" s="53">
        <v>143146</v>
      </c>
      <c r="C62" s="53" t="s">
        <v>536</v>
      </c>
      <c r="D62" s="54">
        <v>0.39166666666666666</v>
      </c>
      <c r="E62" s="54">
        <v>0.53194444444444444</v>
      </c>
      <c r="F62" s="53">
        <v>16</v>
      </c>
      <c r="G62" s="53">
        <v>16</v>
      </c>
      <c r="H62" s="55">
        <f>tbl_Form[[#This Row],[Qty Complete]]/tbl_Form[[#This Row],[Qty Required]]</f>
        <v>1</v>
      </c>
      <c r="I62" s="56">
        <v>34</v>
      </c>
      <c r="J62" s="53">
        <v>2</v>
      </c>
      <c r="K62" s="57">
        <f>IFERROR(tbl_Form[[#This Row],[Qty Required]]/tbl_Form[[#This Row],[PPH]]*tbl_Form[[#This Row],['# of men]],"")</f>
        <v>0.94117647058823528</v>
      </c>
      <c r="L62" s="58">
        <f>tbl_Form[[#This Row],[Total hours]]*tbl_Form[[#This Row],[% Complete]]</f>
        <v>0.94117647058823528</v>
      </c>
      <c r="M62" s="59">
        <f>IFERROR(tbl_Form[[#This Row],[Qty Complete]]/tbl_Form[[#This Row],[Total Hours Act]]*tbl_Form[[#This Row],['# of men Act]],"")</f>
        <v>5.5813953488372094</v>
      </c>
      <c r="N62" s="53">
        <v>2</v>
      </c>
      <c r="O62"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5.7333333333333334</v>
      </c>
      <c r="P62" s="61">
        <v>0.5</v>
      </c>
      <c r="Q62" s="61">
        <v>0.5</v>
      </c>
      <c r="R62" s="90">
        <f>IFERROR((tbl_Form[[#This Row],[Adj. Total Hours]]+tbl_Form[[#This Row],[Est. Hours]])/(tbl_Form[[#This Row],[Total Hours Act]]+tbl_Form[[#This Row],[Act. Hours]]),"")</f>
        <v>0.23120478137779174</v>
      </c>
      <c r="S62" s="89">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0.23120478137779174</v>
      </c>
      <c r="T62" s="93" t="s">
        <v>537</v>
      </c>
      <c r="U62" s="63" t="s">
        <v>538</v>
      </c>
      <c r="V62" s="63" t="s">
        <v>535</v>
      </c>
      <c r="W62" s="63"/>
      <c r="X62" s="63"/>
    </row>
    <row r="63" spans="1:24" ht="25" customHeight="1">
      <c r="A63" s="52">
        <v>46127</v>
      </c>
      <c r="B63" s="53" t="s">
        <v>433</v>
      </c>
      <c r="C63" s="53" t="s">
        <v>539</v>
      </c>
      <c r="D63" s="54">
        <v>0.70833333333333337</v>
      </c>
      <c r="E63" s="54">
        <v>0.875</v>
      </c>
      <c r="F63" s="53">
        <v>182</v>
      </c>
      <c r="G63" s="53">
        <v>81</v>
      </c>
      <c r="H63" s="55">
        <f>tbl_Form[[#This Row],[Qty Complete]]/tbl_Form[[#This Row],[Qty Required]]</f>
        <v>0.44505494505494503</v>
      </c>
      <c r="I63" s="56">
        <v>30</v>
      </c>
      <c r="J63" s="53">
        <v>1</v>
      </c>
      <c r="K63" s="57">
        <f>IFERROR(tbl_Form[[#This Row],[Qty Required]]/tbl_Form[[#This Row],[PPH]]*tbl_Form[[#This Row],['# of men]],"")</f>
        <v>6.0666666666666664</v>
      </c>
      <c r="L63" s="58">
        <f>tbl_Form[[#This Row],[Total hours]]*tbl_Form[[#This Row],[% Complete]]</f>
        <v>2.6999999999999997</v>
      </c>
      <c r="M63" s="59">
        <f>IFERROR(tbl_Form[[#This Row],[Qty Complete]]/tbl_Form[[#This Row],[Total Hours Act]]*tbl_Form[[#This Row],['# of men Act]],"")</f>
        <v>20.250000000000004</v>
      </c>
      <c r="N63" s="53">
        <v>1</v>
      </c>
      <c r="O63"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3.9999999999999991</v>
      </c>
      <c r="P63" s="61">
        <v>0.5</v>
      </c>
      <c r="Q63" s="61">
        <v>0.25</v>
      </c>
      <c r="R63" s="90">
        <f>IFERROR((tbl_Form[[#This Row],[Adj. Total Hours]]+tbl_Form[[#This Row],[Est. Hours]])/(tbl_Form[[#This Row],[Total Hours Act]]+tbl_Form[[#This Row],[Act. Hours]]),"")</f>
        <v>0.75294117647058834</v>
      </c>
      <c r="S63"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63" s="93"/>
      <c r="U63" s="63" t="s">
        <v>522</v>
      </c>
      <c r="V63" s="63"/>
      <c r="W63" s="63"/>
      <c r="X63" s="63"/>
    </row>
    <row r="64" spans="1:24" ht="25" customHeight="1">
      <c r="A64" s="52">
        <v>46127</v>
      </c>
      <c r="B64" s="53">
        <v>143297</v>
      </c>
      <c r="C64" s="53" t="s">
        <v>341</v>
      </c>
      <c r="D64" s="54">
        <v>0.70833333333333337</v>
      </c>
      <c r="E64" s="54">
        <v>0.8618055555555556</v>
      </c>
      <c r="F64" s="53">
        <v>263</v>
      </c>
      <c r="G64" s="53">
        <v>329</v>
      </c>
      <c r="H64" s="55">
        <f>tbl_Form[[#This Row],[Qty Complete]]/tbl_Form[[#This Row],[Qty Required]]</f>
        <v>1.2509505703422052</v>
      </c>
      <c r="I64" s="56">
        <v>60</v>
      </c>
      <c r="J64" s="53">
        <v>1</v>
      </c>
      <c r="K64" s="57">
        <f>IFERROR(tbl_Form[[#This Row],[Qty Required]]/tbl_Form[[#This Row],[PPH]]*tbl_Form[[#This Row],['# of men]],"")</f>
        <v>4.3833333333333337</v>
      </c>
      <c r="L64" s="58">
        <f>tbl_Form[[#This Row],[Total hours]]*tbl_Form[[#This Row],[% Complete]]</f>
        <v>5.4833333333333334</v>
      </c>
      <c r="M64" s="59">
        <f>IFERROR(tbl_Form[[#This Row],[Qty Complete]]/tbl_Form[[#This Row],[Total Hours Act]]*tbl_Form[[#This Row],['# of men Act]],"")</f>
        <v>89.321266968325787</v>
      </c>
      <c r="N64" s="53">
        <v>1</v>
      </c>
      <c r="O64"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3.6833333333333336</v>
      </c>
      <c r="P64" s="61">
        <v>0.5</v>
      </c>
      <c r="Q64" s="61">
        <v>0.5</v>
      </c>
      <c r="R64" s="90">
        <f>IFERROR((tbl_Form[[#This Row],[Adj. Total Hours]]+tbl_Form[[#This Row],[Est. Hours]])/(tbl_Form[[#This Row],[Total Hours Act]]+tbl_Form[[#This Row],[Act. Hours]]),"")</f>
        <v>1.4302788844621512</v>
      </c>
      <c r="S64" s="89">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1.4302788844621512</v>
      </c>
      <c r="T64" s="93" t="s">
        <v>540</v>
      </c>
      <c r="U64" s="63" t="s">
        <v>541</v>
      </c>
      <c r="V64" s="63"/>
      <c r="W64" s="63"/>
      <c r="X64" s="63"/>
    </row>
    <row r="65" spans="1:24" ht="25" customHeight="1">
      <c r="A65" s="52">
        <v>46127</v>
      </c>
      <c r="B65" s="53" t="s">
        <v>433</v>
      </c>
      <c r="C65" s="53" t="s">
        <v>434</v>
      </c>
      <c r="D65" s="54">
        <v>0.8618055555555556</v>
      </c>
      <c r="E65" s="54">
        <v>8.2638888888888887E-2</v>
      </c>
      <c r="F65" s="53">
        <v>182</v>
      </c>
      <c r="G65" s="53">
        <v>93</v>
      </c>
      <c r="H65" s="55">
        <f>tbl_Form[[#This Row],[Qty Complete]]/tbl_Form[[#This Row],[Qty Required]]</f>
        <v>0.51098901098901095</v>
      </c>
      <c r="I65" s="56">
        <v>30</v>
      </c>
      <c r="J65" s="53">
        <v>1</v>
      </c>
      <c r="K65" s="57">
        <f>IFERROR(tbl_Form[[#This Row],[Qty Required]]/tbl_Form[[#This Row],[PPH]]*tbl_Form[[#This Row],['# of men]],"")</f>
        <v>6.0666666666666664</v>
      </c>
      <c r="L65" s="58">
        <f>tbl_Form[[#This Row],[Total hours]]*tbl_Form[[#This Row],[% Complete]]</f>
        <v>3.0999999999999996</v>
      </c>
      <c r="M65" s="59">
        <f>IFERROR(tbl_Form[[#This Row],[Qty Complete]]/tbl_Form[[#This Row],[Total Hours Act]]*tbl_Form[[#This Row],['# of men Act]],"")</f>
        <v>19.375</v>
      </c>
      <c r="N65" s="53">
        <v>1</v>
      </c>
      <c r="O65"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4.8</v>
      </c>
      <c r="P65" s="61">
        <v>0.5</v>
      </c>
      <c r="Q65" s="61">
        <v>0.2</v>
      </c>
      <c r="R65" s="90">
        <f>IFERROR((tbl_Form[[#This Row],[Adj. Total Hours]]+tbl_Form[[#This Row],[Est. Hours]])/(tbl_Form[[#This Row],[Total Hours Act]]+tbl_Form[[#This Row],[Act. Hours]]),"")</f>
        <v>0.72</v>
      </c>
      <c r="S65"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65" s="93" t="s">
        <v>542</v>
      </c>
      <c r="U65" s="63" t="s">
        <v>541</v>
      </c>
      <c r="V65" s="63"/>
      <c r="W65" s="63"/>
      <c r="X65" s="63"/>
    </row>
    <row r="66" spans="1:24" ht="25" customHeight="1">
      <c r="A66" s="52">
        <v>46127</v>
      </c>
      <c r="B66" s="53" t="s">
        <v>435</v>
      </c>
      <c r="C66" s="53" t="s">
        <v>434</v>
      </c>
      <c r="D66" s="54">
        <v>8.2638888888888887E-2</v>
      </c>
      <c r="E66" s="54">
        <v>0.18680555555555556</v>
      </c>
      <c r="F66" s="53">
        <v>273</v>
      </c>
      <c r="G66" s="53">
        <v>46</v>
      </c>
      <c r="H66" s="55">
        <f>tbl_Form[[#This Row],[Qty Complete]]/tbl_Form[[#This Row],[Qty Required]]</f>
        <v>0.16849816849816851</v>
      </c>
      <c r="I66" s="56">
        <v>30</v>
      </c>
      <c r="J66" s="53">
        <v>1</v>
      </c>
      <c r="K66" s="57">
        <f>IFERROR(tbl_Form[[#This Row],[Qty Required]]/tbl_Form[[#This Row],[PPH]]*tbl_Form[[#This Row],['# of men]],"")</f>
        <v>9.1</v>
      </c>
      <c r="L66" s="58">
        <f>tbl_Form[[#This Row],[Total hours]]*tbl_Form[[#This Row],[% Complete]]</f>
        <v>1.5333333333333334</v>
      </c>
      <c r="M66" s="59">
        <f>IFERROR(tbl_Form[[#This Row],[Qty Complete]]/tbl_Form[[#This Row],[Total Hours Act]]*tbl_Form[[#This Row],['# of men Act]],"")</f>
        <v>18.399999999999999</v>
      </c>
      <c r="N66" s="53">
        <v>1</v>
      </c>
      <c r="O66"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2.5</v>
      </c>
      <c r="P66" s="61">
        <v>0.5</v>
      </c>
      <c r="Q66" s="61">
        <v>0.2</v>
      </c>
      <c r="R66" s="90">
        <f>IFERROR((tbl_Form[[#This Row],[Adj. Total Hours]]+tbl_Form[[#This Row],[Est. Hours]])/(tbl_Form[[#This Row],[Total Hours Act]]+tbl_Form[[#This Row],[Act. Hours]]),"")</f>
        <v>0.75308641975308632</v>
      </c>
      <c r="S66"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66" s="93" t="s">
        <v>542</v>
      </c>
      <c r="U66" s="63" t="s">
        <v>541</v>
      </c>
      <c r="V66" s="63"/>
      <c r="W66" s="63"/>
      <c r="X66" s="63"/>
    </row>
    <row r="67" spans="1:24" ht="25" customHeight="1">
      <c r="A67" s="52">
        <v>46128</v>
      </c>
      <c r="B67" s="53">
        <v>143176</v>
      </c>
      <c r="C67" s="53" t="s">
        <v>543</v>
      </c>
      <c r="D67" s="54">
        <v>0.21111111111111111</v>
      </c>
      <c r="E67" s="54">
        <v>0.2361111111111111</v>
      </c>
      <c r="F67" s="53">
        <v>9</v>
      </c>
      <c r="G67" s="53">
        <v>4</v>
      </c>
      <c r="H67" s="55">
        <f>tbl_Form[[#This Row],[Qty Complete]]/tbl_Form[[#This Row],[Qty Required]]</f>
        <v>0.44444444444444442</v>
      </c>
      <c r="I67" s="56">
        <v>34</v>
      </c>
      <c r="J67" s="53">
        <v>2</v>
      </c>
      <c r="K67" s="57">
        <f>IFERROR(tbl_Form[[#This Row],[Qty Required]]/tbl_Form[[#This Row],[PPH]]*tbl_Form[[#This Row],['# of men]],"")</f>
        <v>0.52941176470588236</v>
      </c>
      <c r="L67" s="58">
        <f>tbl_Form[[#This Row],[Total hours]]*tbl_Form[[#This Row],[% Complete]]</f>
        <v>0.23529411764705882</v>
      </c>
      <c r="M67" s="59">
        <f>IFERROR(tbl_Form[[#This Row],[Qty Complete]]/tbl_Form[[#This Row],[Total Hours Act]]*tbl_Form[[#This Row],['# of men Act]],"")</f>
        <v>6.6666666666666679</v>
      </c>
      <c r="N67" s="53">
        <v>2</v>
      </c>
      <c r="O67"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1.1999999999999997</v>
      </c>
      <c r="P67" s="61">
        <v>0.5</v>
      </c>
      <c r="Q67" s="61">
        <v>0.1</v>
      </c>
      <c r="R67" s="90">
        <f>IFERROR((tbl_Form[[#This Row],[Adj. Total Hours]]+tbl_Form[[#This Row],[Est. Hours]])/(tbl_Form[[#This Row],[Total Hours Act]]+tbl_Form[[#This Row],[Act. Hours]]),"")</f>
        <v>0.56561085972850689</v>
      </c>
      <c r="S67"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67" s="93" t="s">
        <v>544</v>
      </c>
      <c r="U67" s="63" t="s">
        <v>494</v>
      </c>
      <c r="V67" s="63" t="s">
        <v>497</v>
      </c>
      <c r="W67" s="63"/>
      <c r="X67" s="63"/>
    </row>
    <row r="68" spans="1:24" ht="25" customHeight="1">
      <c r="A68" s="52">
        <v>46128</v>
      </c>
      <c r="B68" s="53">
        <v>143189</v>
      </c>
      <c r="C68" s="53" t="s">
        <v>545</v>
      </c>
      <c r="D68" s="54">
        <v>0.25</v>
      </c>
      <c r="E68" s="54">
        <v>0.3263888888888889</v>
      </c>
      <c r="F68" s="53">
        <v>9</v>
      </c>
      <c r="G68" s="53">
        <v>9</v>
      </c>
      <c r="H68" s="55">
        <f>tbl_Form[[#This Row],[Qty Complete]]/tbl_Form[[#This Row],[Qty Required]]</f>
        <v>1</v>
      </c>
      <c r="I68" s="56">
        <v>51</v>
      </c>
      <c r="J68" s="53">
        <v>2</v>
      </c>
      <c r="K68" s="57">
        <f>IFERROR(tbl_Form[[#This Row],[Qty Required]]/tbl_Form[[#This Row],[PPH]]*tbl_Form[[#This Row],['# of men]],"")</f>
        <v>0.35294117647058826</v>
      </c>
      <c r="L68" s="58">
        <f>tbl_Form[[#This Row],[Total hours]]*tbl_Form[[#This Row],[% Complete]]</f>
        <v>0.35294117647058826</v>
      </c>
      <c r="M68" s="59">
        <f>IFERROR(tbl_Form[[#This Row],[Qty Complete]]/tbl_Form[[#This Row],[Total Hours Act]]*tbl_Form[[#This Row],['# of men Act]],"")</f>
        <v>4.9090909090909083</v>
      </c>
      <c r="N68" s="53">
        <v>2</v>
      </c>
      <c r="O68"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3.666666666666667</v>
      </c>
      <c r="P68" s="61">
        <v>0.5</v>
      </c>
      <c r="Q68" s="61">
        <v>0.5</v>
      </c>
      <c r="R68" s="90">
        <f>IFERROR((tbl_Form[[#This Row],[Adj. Total Hours]]+tbl_Form[[#This Row],[Est. Hours]])/(tbl_Form[[#This Row],[Total Hours Act]]+tbl_Form[[#This Row],[Act. Hours]]),"")</f>
        <v>0.20470588235294118</v>
      </c>
      <c r="S68" s="89">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0.20470588235294118</v>
      </c>
      <c r="T68" s="93" t="s">
        <v>546</v>
      </c>
      <c r="U68" s="63" t="s">
        <v>494</v>
      </c>
      <c r="V68" s="63" t="s">
        <v>497</v>
      </c>
      <c r="W68" s="63"/>
      <c r="X68" s="63"/>
    </row>
    <row r="69" spans="1:24" ht="25" customHeight="1">
      <c r="A69" s="52">
        <v>46128</v>
      </c>
      <c r="B69" s="53">
        <v>143231</v>
      </c>
      <c r="C69" s="53" t="s">
        <v>547</v>
      </c>
      <c r="D69" s="54">
        <v>0.27361111111111114</v>
      </c>
      <c r="E69" s="54">
        <v>0.33333333333333331</v>
      </c>
      <c r="F69" s="53">
        <v>147</v>
      </c>
      <c r="G69" s="53">
        <v>147</v>
      </c>
      <c r="H69" s="55">
        <f>tbl_Form[[#This Row],[Qty Complete]]/tbl_Form[[#This Row],[Qty Required]]</f>
        <v>1</v>
      </c>
      <c r="I69" s="56">
        <v>51</v>
      </c>
      <c r="J69" s="53">
        <v>2</v>
      </c>
      <c r="K69" s="57">
        <f>IFERROR(tbl_Form[[#This Row],[Qty Required]]/tbl_Form[[#This Row],[PPH]]*tbl_Form[[#This Row],['# of men]],"")</f>
        <v>5.7647058823529411</v>
      </c>
      <c r="L69" s="58">
        <f>tbl_Form[[#This Row],[Total hours]]*tbl_Form[[#This Row],[% Complete]]</f>
        <v>5.7647058823529411</v>
      </c>
      <c r="M69" s="59">
        <f>IFERROR(tbl_Form[[#This Row],[Qty Complete]]/tbl_Form[[#This Row],[Total Hours Act]]*tbl_Form[[#This Row],['# of men Act]],"")</f>
        <v>102.55813953488379</v>
      </c>
      <c r="N69" s="53">
        <v>2</v>
      </c>
      <c r="O69"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2.8666666666666645</v>
      </c>
      <c r="P69" s="61">
        <v>0.5</v>
      </c>
      <c r="Q69" s="61">
        <v>0.15</v>
      </c>
      <c r="R69" s="90">
        <f>IFERROR((tbl_Form[[#This Row],[Adj. Total Hours]]+tbl_Form[[#This Row],[Est. Hours]])/(tbl_Form[[#This Row],[Total Hours Act]]+tbl_Form[[#This Row],[Act. Hours]]),"")</f>
        <v>2.0766980825479378</v>
      </c>
      <c r="S69" s="89">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2.0766980825479378</v>
      </c>
      <c r="T69" s="93"/>
      <c r="U69" s="63" t="s">
        <v>519</v>
      </c>
      <c r="V69" s="63"/>
      <c r="W69" s="63"/>
      <c r="X69" s="63"/>
    </row>
    <row r="70" spans="1:24" ht="25" customHeight="1">
      <c r="A70" s="52">
        <v>46128</v>
      </c>
      <c r="B70" s="53">
        <v>143166</v>
      </c>
      <c r="C70" s="53" t="s">
        <v>548</v>
      </c>
      <c r="D70" s="54">
        <v>0.33333333333333331</v>
      </c>
      <c r="E70" s="54">
        <v>0.36458333333333331</v>
      </c>
      <c r="F70" s="53">
        <v>9</v>
      </c>
      <c r="G70" s="53">
        <v>9</v>
      </c>
      <c r="H70" s="55">
        <f>tbl_Form[[#This Row],[Qty Complete]]/tbl_Form[[#This Row],[Qty Required]]</f>
        <v>1</v>
      </c>
      <c r="I70" s="56">
        <v>51</v>
      </c>
      <c r="J70" s="53">
        <v>2</v>
      </c>
      <c r="K70" s="57">
        <f>IFERROR(tbl_Form[[#This Row],[Qty Required]]/tbl_Form[[#This Row],[PPH]]*tbl_Form[[#This Row],['# of men]],"")</f>
        <v>0.35294117647058826</v>
      </c>
      <c r="L70" s="58">
        <f>tbl_Form[[#This Row],[Total hours]]*tbl_Form[[#This Row],[% Complete]]</f>
        <v>0.35294117647058826</v>
      </c>
      <c r="M70" s="59">
        <f>IFERROR(tbl_Form[[#This Row],[Qty Complete]]/tbl_Form[[#This Row],[Total Hours Act]]*tbl_Form[[#This Row],['# of men Act]],"")</f>
        <v>12</v>
      </c>
      <c r="N70" s="53">
        <v>2</v>
      </c>
      <c r="O70"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1.5</v>
      </c>
      <c r="P70" s="61">
        <v>0.5</v>
      </c>
      <c r="Q70" s="61">
        <v>0.5</v>
      </c>
      <c r="R70" s="90">
        <f>IFERROR((tbl_Form[[#This Row],[Adj. Total Hours]]+tbl_Form[[#This Row],[Est. Hours]])/(tbl_Form[[#This Row],[Total Hours Act]]+tbl_Form[[#This Row],[Act. Hours]]),"")</f>
        <v>0.42647058823529416</v>
      </c>
      <c r="S70" s="89">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0.42647058823529416</v>
      </c>
      <c r="T70" s="93" t="s">
        <v>549</v>
      </c>
      <c r="U70" s="63" t="s">
        <v>494</v>
      </c>
      <c r="V70" s="63" t="s">
        <v>497</v>
      </c>
      <c r="W70" s="63"/>
      <c r="X70" s="63"/>
    </row>
    <row r="71" spans="1:24" ht="25" customHeight="1">
      <c r="A71" s="52">
        <v>46128</v>
      </c>
      <c r="B71" s="53" t="s">
        <v>435</v>
      </c>
      <c r="C71" s="53" t="s">
        <v>539</v>
      </c>
      <c r="D71" s="54">
        <v>0.20833333333333334</v>
      </c>
      <c r="E71" s="54">
        <v>0.25</v>
      </c>
      <c r="F71" s="53">
        <v>50</v>
      </c>
      <c r="G71" s="53">
        <v>50</v>
      </c>
      <c r="H71" s="55">
        <f>tbl_Form[[#This Row],[Qty Complete]]/tbl_Form[[#This Row],[Qty Required]]</f>
        <v>1</v>
      </c>
      <c r="I71" s="56">
        <v>30</v>
      </c>
      <c r="J71" s="53">
        <v>1</v>
      </c>
      <c r="K71" s="57">
        <f>IFERROR(tbl_Form[[#This Row],[Qty Required]]/tbl_Form[[#This Row],[PPH]]*tbl_Form[[#This Row],['# of men]],"")</f>
        <v>1.6666666666666667</v>
      </c>
      <c r="L71" s="58">
        <f>tbl_Form[[#This Row],[Total hours]]*tbl_Form[[#This Row],[% Complete]]</f>
        <v>1.6666666666666667</v>
      </c>
      <c r="M71" s="59">
        <f>IFERROR(tbl_Form[[#This Row],[Qty Complete]]/tbl_Form[[#This Row],[Total Hours Act]]*tbl_Form[[#This Row],['# of men Act]],"")</f>
        <v>50.000000000000014</v>
      </c>
      <c r="N71" s="53">
        <v>1</v>
      </c>
      <c r="O71"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0.99999999999999978</v>
      </c>
      <c r="P71" s="61">
        <v>0.5</v>
      </c>
      <c r="Q71" s="61">
        <v>0.5</v>
      </c>
      <c r="R71" s="90">
        <f>IFERROR((tbl_Form[[#This Row],[Adj. Total Hours]]+tbl_Form[[#This Row],[Est. Hours]])/(tbl_Form[[#This Row],[Total Hours Act]]+tbl_Form[[#This Row],[Act. Hours]]),"")</f>
        <v>1.4444444444444449</v>
      </c>
      <c r="S71"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71" s="93"/>
      <c r="U71" s="63" t="s">
        <v>550</v>
      </c>
      <c r="V71" s="63"/>
      <c r="W71" s="63"/>
      <c r="X71" s="63"/>
    </row>
    <row r="72" spans="1:24" ht="25" customHeight="1">
      <c r="A72" s="52">
        <v>46128</v>
      </c>
      <c r="B72" s="53">
        <v>143230</v>
      </c>
      <c r="C72" s="53" t="s">
        <v>551</v>
      </c>
      <c r="D72" s="54">
        <v>0.40972222222222221</v>
      </c>
      <c r="E72" s="54">
        <v>0.45277777777777778</v>
      </c>
      <c r="F72" s="53">
        <v>98</v>
      </c>
      <c r="G72" s="53">
        <v>69</v>
      </c>
      <c r="H72" s="55">
        <f>tbl_Form[[#This Row],[Qty Complete]]/tbl_Form[[#This Row],[Qty Required]]</f>
        <v>0.70408163265306123</v>
      </c>
      <c r="I72" s="56">
        <v>51</v>
      </c>
      <c r="J72" s="53">
        <v>1</v>
      </c>
      <c r="K72" s="57">
        <f>IFERROR(tbl_Form[[#This Row],[Qty Required]]/tbl_Form[[#This Row],[PPH]]*tbl_Form[[#This Row],['# of men]],"")</f>
        <v>1.9215686274509804</v>
      </c>
      <c r="L72" s="58">
        <f>tbl_Form[[#This Row],[Total hours]]*tbl_Form[[#This Row],[% Complete]]</f>
        <v>1.3529411764705883</v>
      </c>
      <c r="M72" s="59">
        <f>IFERROR(tbl_Form[[#This Row],[Qty Complete]]/tbl_Form[[#This Row],[Total Hours Act]]*tbl_Form[[#This Row],['# of men Act]],"")</f>
        <v>66.774193548387075</v>
      </c>
      <c r="N72" s="53">
        <v>1</v>
      </c>
      <c r="O72"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1.0333333333333337</v>
      </c>
      <c r="P72" s="61">
        <v>0.5</v>
      </c>
      <c r="Q72" s="61">
        <v>0.5</v>
      </c>
      <c r="R72" s="90">
        <f>IFERROR((tbl_Form[[#This Row],[Adj. Total Hours]]+tbl_Form[[#This Row],[Est. Hours]])/(tbl_Form[[#This Row],[Total Hours Act]]+tbl_Form[[#This Row],[Act. Hours]]),"")</f>
        <v>1.2084398976982096</v>
      </c>
      <c r="S72"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72" s="93"/>
      <c r="U72" s="63" t="s">
        <v>519</v>
      </c>
      <c r="V72" s="63"/>
      <c r="W72" s="63"/>
      <c r="X72" s="63"/>
    </row>
    <row r="73" spans="1:24" ht="25" customHeight="1">
      <c r="A73" s="52">
        <v>46128</v>
      </c>
      <c r="B73" s="53">
        <v>143230</v>
      </c>
      <c r="C73" s="53" t="s">
        <v>551</v>
      </c>
      <c r="D73" s="54">
        <v>0.60416666666666663</v>
      </c>
      <c r="E73" s="54">
        <v>0.63472222222222219</v>
      </c>
      <c r="F73" s="53">
        <v>98</v>
      </c>
      <c r="G73" s="53">
        <v>28</v>
      </c>
      <c r="H73" s="55">
        <f>tbl_Form[[#This Row],[Qty Complete]]/tbl_Form[[#This Row],[Qty Required]]</f>
        <v>0.2857142857142857</v>
      </c>
      <c r="I73" s="56">
        <v>51</v>
      </c>
      <c r="J73" s="53">
        <v>1</v>
      </c>
      <c r="K73" s="57">
        <f>IFERROR(tbl_Form[[#This Row],[Qty Required]]/tbl_Form[[#This Row],[PPH]]*tbl_Form[[#This Row],['# of men]],"")</f>
        <v>1.9215686274509804</v>
      </c>
      <c r="L73" s="58">
        <f>tbl_Form[[#This Row],[Total hours]]*tbl_Form[[#This Row],[% Complete]]</f>
        <v>0.54901960784313719</v>
      </c>
      <c r="M73" s="59">
        <f>IFERROR(tbl_Form[[#This Row],[Qty Complete]]/tbl_Form[[#This Row],[Total Hours Act]]*tbl_Form[[#This Row],['# of men Act]],"")</f>
        <v>38.18181818181818</v>
      </c>
      <c r="N73" s="53">
        <v>1</v>
      </c>
      <c r="O73"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0.73333333333333339</v>
      </c>
      <c r="P73" s="61">
        <v>0.5</v>
      </c>
      <c r="Q73" s="61">
        <v>0</v>
      </c>
      <c r="R73" s="90">
        <f>IFERROR((tbl_Form[[#This Row],[Adj. Total Hours]]+tbl_Form[[#This Row],[Est. Hours]])/(tbl_Form[[#This Row],[Total Hours Act]]+tbl_Form[[#This Row],[Act. Hours]]),"")</f>
        <v>1.4304812834224596</v>
      </c>
      <c r="S73"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73" s="93"/>
      <c r="U73" s="63" t="s">
        <v>550</v>
      </c>
      <c r="V73" s="63"/>
      <c r="W73" s="63"/>
      <c r="X73" s="63"/>
    </row>
    <row r="74" spans="1:24" ht="25" customHeight="1">
      <c r="A74" s="52">
        <v>46128</v>
      </c>
      <c r="B74" s="53">
        <v>143069</v>
      </c>
      <c r="C74" s="53" t="s">
        <v>552</v>
      </c>
      <c r="D74" s="54">
        <v>0.20833333333333334</v>
      </c>
      <c r="E74" s="54">
        <v>0.25</v>
      </c>
      <c r="F74" s="53">
        <v>14</v>
      </c>
      <c r="G74" s="53">
        <v>14</v>
      </c>
      <c r="H74" s="55">
        <f>tbl_Form[[#This Row],[Qty Complete]]/tbl_Form[[#This Row],[Qty Required]]</f>
        <v>1</v>
      </c>
      <c r="I74" s="56">
        <v>51</v>
      </c>
      <c r="J74" s="53">
        <v>1</v>
      </c>
      <c r="K74" s="57">
        <f>IFERROR(tbl_Form[[#This Row],[Qty Required]]/tbl_Form[[#This Row],[PPH]]*tbl_Form[[#This Row],['# of men]],"")</f>
        <v>0.27450980392156865</v>
      </c>
      <c r="L74" s="58">
        <f>tbl_Form[[#This Row],[Total hours]]*tbl_Form[[#This Row],[% Complete]]</f>
        <v>0.27450980392156865</v>
      </c>
      <c r="M74" s="59">
        <f>IFERROR(tbl_Form[[#This Row],[Qty Complete]]/tbl_Form[[#This Row],[Total Hours Act]]*tbl_Form[[#This Row],['# of men Act]],"")</f>
        <v>14.000000000000004</v>
      </c>
      <c r="N74" s="53">
        <v>1</v>
      </c>
      <c r="O74"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0.99999999999999978</v>
      </c>
      <c r="P74" s="61">
        <v>0.5</v>
      </c>
      <c r="Q74" s="61">
        <v>0.5</v>
      </c>
      <c r="R74" s="90">
        <f>IFERROR((tbl_Form[[#This Row],[Adj. Total Hours]]+tbl_Form[[#This Row],[Est. Hours]])/(tbl_Form[[#This Row],[Total Hours Act]]+tbl_Form[[#This Row],[Act. Hours]]),"")</f>
        <v>0.5163398692810458</v>
      </c>
      <c r="S74" s="89">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0.5163398692810458</v>
      </c>
      <c r="T74" s="93" t="s">
        <v>461</v>
      </c>
      <c r="U74" s="63" t="s">
        <v>535</v>
      </c>
      <c r="V74" s="63"/>
      <c r="W74" s="63"/>
      <c r="X74" s="63"/>
    </row>
    <row r="75" spans="1:24" ht="25" customHeight="1">
      <c r="A75" s="52">
        <v>46128</v>
      </c>
      <c r="B75" s="53" t="s">
        <v>435</v>
      </c>
      <c r="C75" s="53">
        <v>1786396</v>
      </c>
      <c r="D75" s="54">
        <v>0.25</v>
      </c>
      <c r="E75" s="54">
        <v>0.4375</v>
      </c>
      <c r="F75" s="53">
        <v>273</v>
      </c>
      <c r="G75" s="53">
        <v>184</v>
      </c>
      <c r="H75" s="55">
        <f>tbl_Form[[#This Row],[Qty Complete]]/tbl_Form[[#This Row],[Qty Required]]</f>
        <v>0.67399267399267404</v>
      </c>
      <c r="I75" s="56">
        <v>30</v>
      </c>
      <c r="J75" s="53">
        <v>1</v>
      </c>
      <c r="K75" s="57">
        <f>IFERROR(tbl_Form[[#This Row],[Qty Required]]/tbl_Form[[#This Row],[PPH]]*tbl_Form[[#This Row],['# of men]],"")</f>
        <v>9.1</v>
      </c>
      <c r="L75" s="58">
        <f>tbl_Form[[#This Row],[Total hours]]*tbl_Form[[#This Row],[% Complete]]</f>
        <v>6.1333333333333337</v>
      </c>
      <c r="M75" s="59">
        <f>IFERROR(tbl_Form[[#This Row],[Qty Complete]]/tbl_Form[[#This Row],[Total Hours Act]]*tbl_Form[[#This Row],['# of men Act]],"")</f>
        <v>40.888888888888886</v>
      </c>
      <c r="N75" s="53">
        <v>1</v>
      </c>
      <c r="O75"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4.5</v>
      </c>
      <c r="P75" s="61">
        <v>0.5</v>
      </c>
      <c r="Q75" s="61">
        <v>0.5</v>
      </c>
      <c r="R75" s="90">
        <f>IFERROR((tbl_Form[[#This Row],[Adj. Total Hours]]+tbl_Form[[#This Row],[Est. Hours]])/(tbl_Form[[#This Row],[Total Hours Act]]+tbl_Form[[#This Row],[Act. Hours]]),"")</f>
        <v>1.3266666666666667</v>
      </c>
      <c r="S75" s="89">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1.1775362318840581</v>
      </c>
      <c r="T75" s="93"/>
      <c r="U75" s="63" t="s">
        <v>535</v>
      </c>
      <c r="V75" s="63"/>
      <c r="W75" s="63"/>
      <c r="X75" s="63"/>
    </row>
    <row r="76" spans="1:24" ht="25" customHeight="1">
      <c r="A76" s="52">
        <v>46128</v>
      </c>
      <c r="B76" s="53" t="s">
        <v>396</v>
      </c>
      <c r="C76" s="53">
        <v>1786394</v>
      </c>
      <c r="D76" s="54">
        <v>0.4375</v>
      </c>
      <c r="E76" s="54">
        <v>0.1875</v>
      </c>
      <c r="F76" s="53">
        <v>1485</v>
      </c>
      <c r="G76" s="53">
        <v>200</v>
      </c>
      <c r="H76" s="55">
        <f>tbl_Form[[#This Row],[Qty Complete]]/tbl_Form[[#This Row],[Qty Required]]</f>
        <v>0.13468013468013468</v>
      </c>
      <c r="I76" s="56">
        <v>30</v>
      </c>
      <c r="J76" s="53">
        <v>1</v>
      </c>
      <c r="K76" s="57">
        <f>IFERROR(tbl_Form[[#This Row],[Qty Required]]/tbl_Form[[#This Row],[PPH]]*tbl_Form[[#This Row],['# of men]],"")</f>
        <v>49.5</v>
      </c>
      <c r="L76" s="58">
        <f>tbl_Form[[#This Row],[Total hours]]*tbl_Form[[#This Row],[% Complete]]</f>
        <v>6.666666666666667</v>
      </c>
      <c r="M76" s="59">
        <f>IFERROR(tbl_Form[[#This Row],[Qty Complete]]/tbl_Form[[#This Row],[Total Hours Act]]*tbl_Form[[#This Row],['# of men Act]],"")</f>
        <v>11.764705882352942</v>
      </c>
      <c r="N76" s="53">
        <v>1</v>
      </c>
      <c r="O76"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17</v>
      </c>
      <c r="P76" s="61">
        <v>0.5</v>
      </c>
      <c r="Q76" s="61">
        <v>0.5</v>
      </c>
      <c r="R76" s="90">
        <f>IFERROR((tbl_Form[[#This Row],[Adj. Total Hours]]+tbl_Form[[#This Row],[Est. Hours]])/(tbl_Form[[#This Row],[Total Hours Act]]+tbl_Form[[#This Row],[Act. Hours]]),"")</f>
        <v>0.40952380952380957</v>
      </c>
      <c r="S76"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76" s="93" t="s">
        <v>553</v>
      </c>
      <c r="U76" s="63" t="s">
        <v>535</v>
      </c>
      <c r="V76" s="63"/>
      <c r="W76" s="63"/>
      <c r="X76" s="63"/>
    </row>
    <row r="77" spans="1:24" ht="25" customHeight="1">
      <c r="A77" s="52">
        <v>46128</v>
      </c>
      <c r="B77" s="53" t="s">
        <v>296</v>
      </c>
      <c r="C77" s="53">
        <v>1502882800</v>
      </c>
      <c r="D77" s="54">
        <v>0.70833333333333337</v>
      </c>
      <c r="E77" s="54">
        <v>0.8881944444444444</v>
      </c>
      <c r="F77" s="53">
        <v>16</v>
      </c>
      <c r="G77" s="53">
        <v>13</v>
      </c>
      <c r="H77" s="55">
        <f>tbl_Form[[#This Row],[Qty Complete]]/tbl_Form[[#This Row],[Qty Required]]</f>
        <v>0.8125</v>
      </c>
      <c r="I77" s="56">
        <v>8</v>
      </c>
      <c r="J77" s="53">
        <v>2</v>
      </c>
      <c r="K77" s="57">
        <f>IFERROR(tbl_Form[[#This Row],[Qty Required]]/tbl_Form[[#This Row],[PPH]]*tbl_Form[[#This Row],['# of men]],"")</f>
        <v>4</v>
      </c>
      <c r="L77" s="58">
        <f>tbl_Form[[#This Row],[Total hours]]*tbl_Form[[#This Row],[% Complete]]</f>
        <v>3.25</v>
      </c>
      <c r="M77" s="59">
        <f>IFERROR(tbl_Form[[#This Row],[Qty Complete]]/tbl_Form[[#This Row],[Total Hours Act]]*tbl_Form[[#This Row],['# of men Act]],"")</f>
        <v>3.0115830115830131</v>
      </c>
      <c r="N77" s="53">
        <v>2</v>
      </c>
      <c r="O77"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8.6333333333333293</v>
      </c>
      <c r="P77" s="61">
        <v>0.5</v>
      </c>
      <c r="Q77" s="61">
        <v>0.3</v>
      </c>
      <c r="R77" s="90">
        <f>IFERROR((tbl_Form[[#This Row],[Adj. Total Hours]]+tbl_Form[[#This Row],[Est. Hours]])/(tbl_Form[[#This Row],[Total Hours Act]]+tbl_Form[[#This Row],[Act. Hours]]),"")</f>
        <v>0.4197761194029852</v>
      </c>
      <c r="S77"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77" s="93" t="s">
        <v>554</v>
      </c>
      <c r="U77" s="63" t="s">
        <v>555</v>
      </c>
      <c r="V77" s="63"/>
      <c r="W77" s="63"/>
      <c r="X77" s="63"/>
    </row>
    <row r="78" spans="1:24" ht="25" customHeight="1">
      <c r="A78" s="52">
        <v>46128</v>
      </c>
      <c r="B78" s="53" t="s">
        <v>318</v>
      </c>
      <c r="C78" s="53">
        <v>1502882800</v>
      </c>
      <c r="D78" s="54">
        <v>0.8881944444444444</v>
      </c>
      <c r="E78" s="54">
        <v>3.2638888888888891E-2</v>
      </c>
      <c r="F78" s="53">
        <v>16</v>
      </c>
      <c r="G78" s="53">
        <v>8</v>
      </c>
      <c r="H78" s="55">
        <f>tbl_Form[[#This Row],[Qty Complete]]/tbl_Form[[#This Row],[Qty Required]]</f>
        <v>0.5</v>
      </c>
      <c r="I78" s="56">
        <v>8</v>
      </c>
      <c r="J78" s="53">
        <v>2</v>
      </c>
      <c r="K78" s="57">
        <f>IFERROR(tbl_Form[[#This Row],[Qty Required]]/tbl_Form[[#This Row],[PPH]]*tbl_Form[[#This Row],['# of men]],"")</f>
        <v>4</v>
      </c>
      <c r="L78" s="58">
        <f>tbl_Form[[#This Row],[Total hours]]*tbl_Form[[#This Row],[% Complete]]</f>
        <v>2</v>
      </c>
      <c r="M78" s="59">
        <f>IFERROR(tbl_Form[[#This Row],[Qty Complete]]/tbl_Form[[#This Row],[Total Hours Act]]*tbl_Form[[#This Row],['# of men Act]],"")</f>
        <v>2.6966292134831451</v>
      </c>
      <c r="N78" s="53">
        <v>2</v>
      </c>
      <c r="O78"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5.9333333333333353</v>
      </c>
      <c r="P78" s="61">
        <v>0.5</v>
      </c>
      <c r="Q78" s="61">
        <v>0.2</v>
      </c>
      <c r="R78" s="90">
        <f>IFERROR((tbl_Form[[#This Row],[Adj. Total Hours]]+tbl_Form[[#This Row],[Est. Hours]])/(tbl_Form[[#This Row],[Total Hours Act]]+tbl_Form[[#This Row],[Act. Hours]]),"")</f>
        <v>0.40760869565217378</v>
      </c>
      <c r="S78"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78" s="93" t="s">
        <v>556</v>
      </c>
      <c r="U78" s="63" t="s">
        <v>555</v>
      </c>
      <c r="V78" s="63"/>
      <c r="W78" s="63"/>
      <c r="X78" s="63"/>
    </row>
    <row r="79" spans="1:24" ht="25" customHeight="1">
      <c r="A79" s="52">
        <v>46128</v>
      </c>
      <c r="B79" s="53" t="s">
        <v>316</v>
      </c>
      <c r="C79" s="53">
        <v>1502882900</v>
      </c>
      <c r="D79" s="54">
        <v>3.2638888888888891E-2</v>
      </c>
      <c r="E79" s="54">
        <v>0.1875</v>
      </c>
      <c r="F79" s="53">
        <v>16</v>
      </c>
      <c r="G79" s="53">
        <v>8</v>
      </c>
      <c r="H79" s="55">
        <f>tbl_Form[[#This Row],[Qty Complete]]/tbl_Form[[#This Row],[Qty Required]]</f>
        <v>0.5</v>
      </c>
      <c r="I79" s="56">
        <v>8</v>
      </c>
      <c r="J79" s="53">
        <v>2</v>
      </c>
      <c r="K79" s="57">
        <f>IFERROR(tbl_Form[[#This Row],[Qty Required]]/tbl_Form[[#This Row],[PPH]]*tbl_Form[[#This Row],['# of men]],"")</f>
        <v>4</v>
      </c>
      <c r="L79" s="58">
        <f>tbl_Form[[#This Row],[Total hours]]*tbl_Form[[#This Row],[% Complete]]</f>
        <v>2</v>
      </c>
      <c r="M79" s="59">
        <f>IFERROR(tbl_Form[[#This Row],[Qty Complete]]/tbl_Form[[#This Row],[Total Hours Act]]*tbl_Form[[#This Row],['# of men Act]],"")</f>
        <v>2.1524663677130045</v>
      </c>
      <c r="N79" s="53">
        <v>2</v>
      </c>
      <c r="O79"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7.4333333333333336</v>
      </c>
      <c r="P79" s="61">
        <v>0.5</v>
      </c>
      <c r="Q79" s="61">
        <v>0.2</v>
      </c>
      <c r="R79" s="90">
        <f>IFERROR((tbl_Form[[#This Row],[Adj. Total Hours]]+tbl_Form[[#This Row],[Est. Hours]])/(tbl_Form[[#This Row],[Total Hours Act]]+tbl_Form[[#This Row],[Act. Hours]]),"")</f>
        <v>0.32751091703056767</v>
      </c>
      <c r="S79"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79" s="93" t="s">
        <v>556</v>
      </c>
      <c r="U79" s="63" t="s">
        <v>557</v>
      </c>
      <c r="V79" s="63"/>
      <c r="W79" s="63"/>
      <c r="X79" s="63"/>
    </row>
    <row r="80" spans="1:24" ht="25" customHeight="1">
      <c r="A80" s="52">
        <v>46129</v>
      </c>
      <c r="B80" s="53" t="s">
        <v>396</v>
      </c>
      <c r="C80" s="53" t="s">
        <v>786</v>
      </c>
      <c r="D80" s="54">
        <v>0.20833333333333334</v>
      </c>
      <c r="E80" s="54">
        <v>0.27083333333333331</v>
      </c>
      <c r="F80" s="53">
        <v>1485</v>
      </c>
      <c r="G80" s="53">
        <v>159</v>
      </c>
      <c r="H80" s="55">
        <f>tbl_Form[[#This Row],[Qty Complete]]/tbl_Form[[#This Row],[Qty Required]]</f>
        <v>0.10707070707070707</v>
      </c>
      <c r="I80" s="56">
        <v>20</v>
      </c>
      <c r="J80" s="53">
        <v>1</v>
      </c>
      <c r="K80" s="57">
        <f>IFERROR(tbl_Form[[#This Row],[Qty Required]]/tbl_Form[[#This Row],[PPH]]*tbl_Form[[#This Row],['# of men]],"")</f>
        <v>74.25</v>
      </c>
      <c r="L80" s="58">
        <f>tbl_Form[[#This Row],[Total hours]]*tbl_Form[[#This Row],[% Complete]]</f>
        <v>7.9499999999999993</v>
      </c>
      <c r="M80" s="59">
        <f>IFERROR(tbl_Form[[#This Row],[Qty Complete]]/tbl_Form[[#This Row],[Total Hours Act]]*tbl_Form[[#This Row],['# of men Act]],"")</f>
        <v>106.00000000000004</v>
      </c>
      <c r="N80" s="53">
        <v>1</v>
      </c>
      <c r="O80"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1.4999999999999993</v>
      </c>
      <c r="R80" s="90">
        <f>IFERROR((tbl_Form[[#This Row],[Adj. Total Hours]]+tbl_Form[[#This Row],[Est. Hours]])/(tbl_Form[[#This Row],[Total Hours Act]]+tbl_Form[[#This Row],[Act. Hours]]),"")</f>
        <v>5.3000000000000016</v>
      </c>
      <c r="S80"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80" s="93"/>
      <c r="U80" s="63"/>
      <c r="V80" s="63"/>
      <c r="W80" s="63"/>
      <c r="X80" s="63"/>
    </row>
    <row r="81" spans="1:24" ht="25" customHeight="1">
      <c r="A81" s="52">
        <v>46129</v>
      </c>
      <c r="B81" s="53" t="s">
        <v>436</v>
      </c>
      <c r="C81" s="53" t="s">
        <v>786</v>
      </c>
      <c r="D81" s="54">
        <v>0.27152777777777776</v>
      </c>
      <c r="E81" s="54">
        <v>0.70833333333333337</v>
      </c>
      <c r="F81" s="53">
        <v>891</v>
      </c>
      <c r="G81" s="53">
        <v>286</v>
      </c>
      <c r="H81" s="55">
        <f>tbl_Form[[#This Row],[Qty Complete]]/tbl_Form[[#This Row],[Qty Required]]</f>
        <v>0.32098765432098764</v>
      </c>
      <c r="I81" s="56">
        <v>20</v>
      </c>
      <c r="J81" s="53">
        <v>1</v>
      </c>
      <c r="K81" s="57">
        <f>IFERROR(tbl_Form[[#This Row],[Qty Required]]/tbl_Form[[#This Row],[PPH]]*tbl_Form[[#This Row],['# of men]],"")</f>
        <v>44.55</v>
      </c>
      <c r="L81" s="58">
        <f>tbl_Form[[#This Row],[Total hours]]*tbl_Form[[#This Row],[% Complete]]</f>
        <v>14.299999999999999</v>
      </c>
      <c r="M81" s="59">
        <f>IFERROR(tbl_Form[[#This Row],[Qty Complete]]/tbl_Form[[#This Row],[Total Hours Act]]*tbl_Form[[#This Row],['# of men Act]],"")</f>
        <v>28.647746243739562</v>
      </c>
      <c r="N81" s="53">
        <v>1</v>
      </c>
      <c r="O81"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9.9833333333333343</v>
      </c>
      <c r="R81" s="90">
        <f>IFERROR((tbl_Form[[#This Row],[Adj. Total Hours]]+tbl_Form[[#This Row],[Est. Hours]])/(tbl_Form[[#This Row],[Total Hours Act]]+tbl_Form[[#This Row],[Act. Hours]]),"")</f>
        <v>1.4323873121869781</v>
      </c>
      <c r="S81"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81" s="93"/>
      <c r="U81" s="63"/>
      <c r="V81" s="63"/>
      <c r="W81" s="63"/>
      <c r="X81" s="63"/>
    </row>
    <row r="82" spans="1:24" ht="25" customHeight="1">
      <c r="A82" s="52">
        <v>46129</v>
      </c>
      <c r="B82" s="53">
        <v>143234</v>
      </c>
      <c r="C82" s="53" t="s">
        <v>355</v>
      </c>
      <c r="D82" s="54">
        <v>0.20972222222222223</v>
      </c>
      <c r="E82" s="54">
        <v>0.27430555555555558</v>
      </c>
      <c r="F82" s="53">
        <v>114</v>
      </c>
      <c r="G82" s="53">
        <v>95</v>
      </c>
      <c r="H82" s="55">
        <f>tbl_Form[[#This Row],[Qty Complete]]/tbl_Form[[#This Row],[Qty Required]]</f>
        <v>0.83333333333333337</v>
      </c>
      <c r="I82" s="56">
        <v>180</v>
      </c>
      <c r="J82" s="53">
        <v>1</v>
      </c>
      <c r="K82" s="57">
        <f>IFERROR(tbl_Form[[#This Row],[Qty Required]]/tbl_Form[[#This Row],[PPH]]*tbl_Form[[#This Row],['# of men]],"")</f>
        <v>0.6333333333333333</v>
      </c>
      <c r="L82" s="58">
        <f>tbl_Form[[#This Row],[Total hours]]*tbl_Form[[#This Row],[% Complete]]</f>
        <v>0.52777777777777779</v>
      </c>
      <c r="M82" s="59">
        <f>IFERROR(tbl_Form[[#This Row],[Qty Complete]]/tbl_Form[[#This Row],[Total Hours Act]]*tbl_Form[[#This Row],['# of men Act]],"")</f>
        <v>61.290322580645139</v>
      </c>
      <c r="N82" s="53">
        <v>1</v>
      </c>
      <c r="O82"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1.5500000000000005</v>
      </c>
      <c r="P82" s="61">
        <v>0.5</v>
      </c>
      <c r="R82" s="90">
        <f>IFERROR((tbl_Form[[#This Row],[Adj. Total Hours]]+tbl_Form[[#This Row],[Est. Hours]])/(tbl_Form[[#This Row],[Total Hours Act]]+tbl_Form[[#This Row],[Act. Hours]]),"")</f>
        <v>0.66308243727598537</v>
      </c>
      <c r="S82"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82" s="93"/>
      <c r="U82" s="63"/>
      <c r="V82" s="63"/>
      <c r="W82" s="63"/>
      <c r="X82" s="63"/>
    </row>
    <row r="83" spans="1:24" ht="25" customHeight="1">
      <c r="A83" s="52">
        <v>46129</v>
      </c>
      <c r="B83" s="53">
        <v>143312</v>
      </c>
      <c r="C83" s="53" t="s">
        <v>373</v>
      </c>
      <c r="D83" s="54">
        <v>0.28055555555555556</v>
      </c>
      <c r="E83" s="54">
        <v>0.29097222222222224</v>
      </c>
      <c r="F83" s="53">
        <v>84</v>
      </c>
      <c r="G83" s="53">
        <v>5</v>
      </c>
      <c r="H83" s="55">
        <f>tbl_Form[[#This Row],[Qty Complete]]/tbl_Form[[#This Row],[Qty Required]]</f>
        <v>5.9523809523809521E-2</v>
      </c>
      <c r="I83" s="56">
        <v>94</v>
      </c>
      <c r="J83" s="53">
        <v>1</v>
      </c>
      <c r="K83" s="57">
        <f>IFERROR(tbl_Form[[#This Row],[Qty Required]]/tbl_Form[[#This Row],[PPH]]*tbl_Form[[#This Row],['# of men]],"")</f>
        <v>0.8936170212765957</v>
      </c>
      <c r="L83" s="58">
        <f>tbl_Form[[#This Row],[Total hours]]*tbl_Form[[#This Row],[% Complete]]</f>
        <v>5.3191489361702121E-2</v>
      </c>
      <c r="M83" s="59">
        <f>IFERROR(tbl_Form[[#This Row],[Qty Complete]]/tbl_Form[[#This Row],[Total Hours Act]]*tbl_Form[[#This Row],['# of men Act]],"")</f>
        <v>19.999999999999964</v>
      </c>
      <c r="N83" s="53">
        <v>1</v>
      </c>
      <c r="O83"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0.25000000000000044</v>
      </c>
      <c r="P83" s="61">
        <v>0.5</v>
      </c>
      <c r="R83" s="90">
        <f>IFERROR((tbl_Form[[#This Row],[Adj. Total Hours]]+tbl_Form[[#This Row],[Est. Hours]])/(tbl_Form[[#This Row],[Total Hours Act]]+tbl_Form[[#This Row],[Act. Hours]]),"")</f>
        <v>2.2127659574468046</v>
      </c>
      <c r="S83"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83" s="93"/>
      <c r="U83" s="63"/>
      <c r="V83" s="63"/>
      <c r="W83" s="63"/>
      <c r="X83" s="63"/>
    </row>
    <row r="84" spans="1:24" ht="25" customHeight="1">
      <c r="A84" s="52">
        <v>46129</v>
      </c>
      <c r="B84" s="53">
        <v>143074</v>
      </c>
      <c r="C84" s="53" t="s">
        <v>369</v>
      </c>
      <c r="D84" s="54">
        <v>0.32361111111111113</v>
      </c>
      <c r="E84" s="54">
        <v>0.62222222222222223</v>
      </c>
      <c r="F84" s="53">
        <v>718</v>
      </c>
      <c r="G84" s="53">
        <v>472</v>
      </c>
      <c r="H84" s="55">
        <f>tbl_Form[[#This Row],[Qty Complete]]/tbl_Form[[#This Row],[Qty Required]]</f>
        <v>0.65738161559888575</v>
      </c>
      <c r="I84" s="56">
        <v>85</v>
      </c>
      <c r="J84" s="53">
        <v>1</v>
      </c>
      <c r="K84" s="57">
        <f>IFERROR(tbl_Form[[#This Row],[Qty Required]]/tbl_Form[[#This Row],[PPH]]*tbl_Form[[#This Row],['# of men]],"")</f>
        <v>8.447058823529412</v>
      </c>
      <c r="L84" s="58">
        <f>tbl_Form[[#This Row],[Total hours]]*tbl_Form[[#This Row],[% Complete]]</f>
        <v>5.552941176470588</v>
      </c>
      <c r="M84" s="59">
        <f>IFERROR(tbl_Form[[#This Row],[Qty Complete]]/tbl_Form[[#This Row],[Total Hours Act]]*tbl_Form[[#This Row],['# of men Act]],"")</f>
        <v>70.800000000000011</v>
      </c>
      <c r="N84" s="53">
        <v>1</v>
      </c>
      <c r="O84"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6.6666666666666661</v>
      </c>
      <c r="R84" s="90">
        <f>IFERROR((tbl_Form[[#This Row],[Adj. Total Hours]]+tbl_Form[[#This Row],[Est. Hours]])/(tbl_Form[[#This Row],[Total Hours Act]]+tbl_Form[[#This Row],[Act. Hours]]),"")</f>
        <v>0.8329411764705883</v>
      </c>
      <c r="S84"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84" s="93"/>
      <c r="U84" s="63"/>
      <c r="V84" s="63"/>
      <c r="W84" s="63"/>
      <c r="X84" s="63"/>
    </row>
    <row r="85" spans="1:24" ht="25" customHeight="1">
      <c r="A85" s="52">
        <v>46129</v>
      </c>
      <c r="B85" s="53" t="s">
        <v>436</v>
      </c>
      <c r="C85" s="53" t="s">
        <v>786</v>
      </c>
      <c r="D85" s="54">
        <v>0.72638888888888886</v>
      </c>
      <c r="E85" s="54">
        <v>0.81805555555555554</v>
      </c>
      <c r="F85" s="53">
        <v>891</v>
      </c>
      <c r="G85" s="53">
        <v>113</v>
      </c>
      <c r="H85" s="55">
        <f>tbl_Form[[#This Row],[Qty Complete]]/tbl_Form[[#This Row],[Qty Required]]</f>
        <v>0.12682379349046016</v>
      </c>
      <c r="I85" s="56">
        <v>30</v>
      </c>
      <c r="J85" s="53">
        <v>1</v>
      </c>
      <c r="K85" s="57">
        <f>IFERROR(tbl_Form[[#This Row],[Qty Required]]/tbl_Form[[#This Row],[PPH]]*tbl_Form[[#This Row],['# of men]],"")</f>
        <v>29.7</v>
      </c>
      <c r="L85" s="58">
        <f>tbl_Form[[#This Row],[Total hours]]*tbl_Form[[#This Row],[% Complete]]</f>
        <v>3.7666666666666666</v>
      </c>
      <c r="M85" s="59">
        <f>IFERROR(tbl_Form[[#This Row],[Qty Complete]]/tbl_Form[[#This Row],[Total Hours Act]]*tbl_Form[[#This Row],['# of men Act]],"")</f>
        <v>51.36363636363636</v>
      </c>
      <c r="N85" s="53">
        <v>1</v>
      </c>
      <c r="O85"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2.2000000000000002</v>
      </c>
      <c r="P85" s="61">
        <v>0.5</v>
      </c>
      <c r="Q85" s="61">
        <v>0</v>
      </c>
      <c r="R85" s="90">
        <f>IFERROR((tbl_Form[[#This Row],[Adj. Total Hours]]+tbl_Form[[#This Row],[Est. Hours]])/(tbl_Form[[#This Row],[Total Hours Act]]+tbl_Form[[#This Row],[Act. Hours]]),"")</f>
        <v>1.9393939393939392</v>
      </c>
      <c r="S85"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85" s="93"/>
      <c r="U85" s="63" t="s">
        <v>793</v>
      </c>
      <c r="V85" s="63"/>
      <c r="W85" s="63"/>
      <c r="X85" s="63"/>
    </row>
    <row r="86" spans="1:24" ht="25" customHeight="1">
      <c r="A86" s="52">
        <v>46129</v>
      </c>
      <c r="B86" s="53" t="s">
        <v>436</v>
      </c>
      <c r="C86" s="53" t="s">
        <v>786</v>
      </c>
      <c r="D86" s="54">
        <v>0.91041666666666665</v>
      </c>
      <c r="E86" s="54">
        <v>0.20833333333333334</v>
      </c>
      <c r="F86" s="53">
        <v>891</v>
      </c>
      <c r="G86" s="53">
        <v>293</v>
      </c>
      <c r="H86" s="55">
        <f>tbl_Form[[#This Row],[Qty Complete]]/tbl_Form[[#This Row],[Qty Required]]</f>
        <v>0.32884399551066218</v>
      </c>
      <c r="I86" s="56">
        <v>30</v>
      </c>
      <c r="J86" s="53">
        <v>1</v>
      </c>
      <c r="K86" s="57">
        <f>IFERROR(tbl_Form[[#This Row],[Qty Required]]/tbl_Form[[#This Row],[PPH]]*tbl_Form[[#This Row],['# of men]],"")</f>
        <v>29.7</v>
      </c>
      <c r="L86" s="58">
        <f>tbl_Form[[#This Row],[Total hours]]*tbl_Form[[#This Row],[% Complete]]</f>
        <v>9.7666666666666657</v>
      </c>
      <c r="M86" s="59">
        <f>IFERROR(tbl_Form[[#This Row],[Qty Complete]]/tbl_Form[[#This Row],[Total Hours Act]]*tbl_Form[[#This Row],['# of men Act]],"")</f>
        <v>44.060150375939841</v>
      </c>
      <c r="N86" s="53">
        <v>1</v>
      </c>
      <c r="O86"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6.6500000000000012</v>
      </c>
      <c r="P86" s="61">
        <v>0.5</v>
      </c>
      <c r="R86" s="90">
        <f>IFERROR((tbl_Form[[#This Row],[Adj. Total Hours]]+tbl_Form[[#This Row],[Est. Hours]])/(tbl_Form[[#This Row],[Total Hours Act]]+tbl_Form[[#This Row],[Act. Hours]]),"")</f>
        <v>1.5438596491228065</v>
      </c>
      <c r="S86"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86" s="93"/>
      <c r="U86" s="63" t="s">
        <v>793</v>
      </c>
      <c r="V86" s="63"/>
      <c r="W86" s="63"/>
      <c r="X86" s="63"/>
    </row>
    <row r="87" spans="1:24" ht="25" customHeight="1">
      <c r="A87" s="52">
        <v>46129</v>
      </c>
      <c r="B87" s="53">
        <v>143312</v>
      </c>
      <c r="C87" s="53" t="s">
        <v>373</v>
      </c>
      <c r="D87" s="54">
        <v>0.94305555555555554</v>
      </c>
      <c r="E87" s="54">
        <v>0.97847222222222219</v>
      </c>
      <c r="F87" s="53">
        <v>84</v>
      </c>
      <c r="G87" s="53">
        <v>79</v>
      </c>
      <c r="H87" s="55">
        <f>tbl_Form[[#This Row],[Qty Complete]]/tbl_Form[[#This Row],[Qty Required]]</f>
        <v>0.94047619047619047</v>
      </c>
      <c r="I87" s="56">
        <v>85</v>
      </c>
      <c r="J87" s="53">
        <v>1</v>
      </c>
      <c r="K87" s="57">
        <f>IFERROR(tbl_Form[[#This Row],[Qty Required]]/tbl_Form[[#This Row],[PPH]]*tbl_Form[[#This Row],['# of men]],"")</f>
        <v>0.9882352941176471</v>
      </c>
      <c r="L87" s="58">
        <f>tbl_Form[[#This Row],[Total hours]]*tbl_Form[[#This Row],[% Complete]]</f>
        <v>0.92941176470588238</v>
      </c>
      <c r="M87" s="59">
        <f>IFERROR(tbl_Form[[#This Row],[Qty Complete]]/tbl_Form[[#This Row],[Total Hours Act]]*tbl_Form[[#This Row],['# of men Act]],"")</f>
        <v>92.941176470588275</v>
      </c>
      <c r="N87" s="53">
        <v>1</v>
      </c>
      <c r="O87"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0.84999999999999964</v>
      </c>
      <c r="P87" s="61">
        <v>0.5</v>
      </c>
      <c r="R87" s="90">
        <f>IFERROR((tbl_Form[[#This Row],[Adj. Total Hours]]+tbl_Form[[#This Row],[Est. Hours]])/(tbl_Form[[#This Row],[Total Hours Act]]+tbl_Form[[#This Row],[Act. Hours]]),"")</f>
        <v>1.6816608996539799</v>
      </c>
      <c r="S87" s="89">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1.8023665946068947</v>
      </c>
      <c r="T87" s="93"/>
      <c r="U87" s="63" t="s">
        <v>797</v>
      </c>
      <c r="V87" s="63"/>
      <c r="W87" s="63"/>
      <c r="X87" s="63"/>
    </row>
    <row r="88" spans="1:24" ht="25" customHeight="1">
      <c r="A88" s="52">
        <v>46129</v>
      </c>
      <c r="B88" s="53">
        <v>143307</v>
      </c>
      <c r="C88" s="53" t="s">
        <v>372</v>
      </c>
      <c r="D88" s="54">
        <v>0.97847222222222219</v>
      </c>
      <c r="E88" s="54">
        <v>3.888888888888889E-2</v>
      </c>
      <c r="F88" s="53">
        <v>104</v>
      </c>
      <c r="G88" s="53">
        <v>104</v>
      </c>
      <c r="H88" s="55">
        <f>tbl_Form[[#This Row],[Qty Complete]]/tbl_Form[[#This Row],[Qty Required]]</f>
        <v>1</v>
      </c>
      <c r="I88" s="56">
        <v>118</v>
      </c>
      <c r="J88" s="53">
        <v>1</v>
      </c>
      <c r="K88" s="57">
        <f>IFERROR(tbl_Form[[#This Row],[Qty Required]]/tbl_Form[[#This Row],[PPH]]*tbl_Form[[#This Row],['# of men]],"")</f>
        <v>0.88135593220338981</v>
      </c>
      <c r="L88" s="58">
        <f>tbl_Form[[#This Row],[Total hours]]*tbl_Form[[#This Row],[% Complete]]</f>
        <v>0.88135593220338981</v>
      </c>
      <c r="M88" s="59">
        <f>IFERROR(tbl_Form[[#This Row],[Qty Complete]]/tbl_Form[[#This Row],[Total Hours Act]]*tbl_Form[[#This Row],['# of men Act]],"")</f>
        <v>109.4736842105263</v>
      </c>
      <c r="N88" s="53">
        <v>1</v>
      </c>
      <c r="O88"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0.95000000000000018</v>
      </c>
      <c r="P88" s="61">
        <v>0.5</v>
      </c>
      <c r="Q88" s="61">
        <v>0.2</v>
      </c>
      <c r="R88" s="90">
        <f>IFERROR((tbl_Form[[#This Row],[Adj. Total Hours]]+tbl_Form[[#This Row],[Est. Hours]])/(tbl_Form[[#This Row],[Total Hours Act]]+tbl_Form[[#This Row],[Act. Hours]]),"")</f>
        <v>1.2011790714812083</v>
      </c>
      <c r="S88" s="89">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1.2011790714812083</v>
      </c>
      <c r="T88" s="93"/>
      <c r="U88" s="63" t="s">
        <v>797</v>
      </c>
      <c r="V88" s="63"/>
      <c r="W88" s="63"/>
      <c r="X88" s="63"/>
    </row>
    <row r="89" spans="1:24" ht="25" customHeight="1">
      <c r="A89" s="52">
        <v>46130</v>
      </c>
      <c r="B89" s="53">
        <v>143074</v>
      </c>
      <c r="C89" s="53" t="s">
        <v>369</v>
      </c>
      <c r="D89" s="54">
        <v>3.888888888888889E-2</v>
      </c>
      <c r="E89" s="54">
        <v>0.10208333333333333</v>
      </c>
      <c r="F89" s="53">
        <v>718</v>
      </c>
      <c r="G89" s="53">
        <v>248</v>
      </c>
      <c r="H89" s="55">
        <f>tbl_Form[[#This Row],[Qty Complete]]/tbl_Form[[#This Row],[Qty Required]]</f>
        <v>0.34540389972144847</v>
      </c>
      <c r="I89" s="56">
        <v>85</v>
      </c>
      <c r="J89" s="53">
        <v>1</v>
      </c>
      <c r="K89" s="57">
        <f>IFERROR(tbl_Form[[#This Row],[Qty Required]]/tbl_Form[[#This Row],[PPH]]*tbl_Form[[#This Row],['# of men]],"")</f>
        <v>8.447058823529412</v>
      </c>
      <c r="L89" s="58">
        <f>tbl_Form[[#This Row],[Total hours]]*tbl_Form[[#This Row],[% Complete]]</f>
        <v>2.9176470588235297</v>
      </c>
      <c r="M89" s="59">
        <f>IFERROR(tbl_Form[[#This Row],[Qty Complete]]/tbl_Form[[#This Row],[Total Hours Act]]*tbl_Form[[#This Row],['# of men Act]],"")</f>
        <v>163.51648351648353</v>
      </c>
      <c r="N89" s="53">
        <v>1</v>
      </c>
      <c r="O89"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1.5166666666666666</v>
      </c>
      <c r="P89" s="61">
        <v>0.5</v>
      </c>
      <c r="R89" s="90">
        <f>IFERROR((tbl_Form[[#This Row],[Adj. Total Hours]]+tbl_Form[[#This Row],[Est. Hours]])/(tbl_Form[[#This Row],[Total Hours Act]]+tbl_Form[[#This Row],[Act. Hours]]),"")</f>
        <v>2.2533936651583715</v>
      </c>
      <c r="S89" s="89">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1.0962022283455133</v>
      </c>
      <c r="T89" s="93"/>
      <c r="U89" s="63" t="s">
        <v>797</v>
      </c>
      <c r="V89" s="63"/>
      <c r="W89" s="63"/>
      <c r="X89" s="63"/>
    </row>
    <row r="90" spans="1:24" ht="25" customHeight="1">
      <c r="A90" s="52">
        <v>46130</v>
      </c>
      <c r="B90" s="53">
        <v>143210</v>
      </c>
      <c r="C90" s="53" t="s">
        <v>348</v>
      </c>
      <c r="D90" s="54">
        <v>0.10277777777777777</v>
      </c>
      <c r="E90" s="54">
        <v>0.1986111111111111</v>
      </c>
      <c r="F90" s="53">
        <v>35</v>
      </c>
      <c r="G90" s="53">
        <v>35</v>
      </c>
      <c r="H90" s="55">
        <f>tbl_Form[[#This Row],[Qty Complete]]/tbl_Form[[#This Row],[Qty Required]]</f>
        <v>1</v>
      </c>
      <c r="I90" s="56">
        <v>26</v>
      </c>
      <c r="J90" s="53">
        <v>1</v>
      </c>
      <c r="K90" s="57">
        <f>IFERROR(tbl_Form[[#This Row],[Qty Required]]/tbl_Form[[#This Row],[PPH]]*tbl_Form[[#This Row],['# of men]],"")</f>
        <v>1.3461538461538463</v>
      </c>
      <c r="L90" s="58">
        <f>tbl_Form[[#This Row],[Total hours]]*tbl_Form[[#This Row],[% Complete]]</f>
        <v>1.3461538461538463</v>
      </c>
      <c r="M90" s="59">
        <f>IFERROR(tbl_Form[[#This Row],[Qty Complete]]/tbl_Form[[#This Row],[Total Hours Act]]*tbl_Form[[#This Row],['# of men Act]],"")</f>
        <v>15.217391304347828</v>
      </c>
      <c r="N90" s="53">
        <v>1</v>
      </c>
      <c r="O90"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2.2999999999999998</v>
      </c>
      <c r="P90" s="61">
        <v>0.5</v>
      </c>
      <c r="Q90" s="61">
        <v>0.2</v>
      </c>
      <c r="R90" s="90">
        <f>IFERROR((tbl_Form[[#This Row],[Adj. Total Hours]]+tbl_Form[[#This Row],[Est. Hours]])/(tbl_Form[[#This Row],[Total Hours Act]]+tbl_Form[[#This Row],[Act. Hours]]),"")</f>
        <v>0.7384615384615385</v>
      </c>
      <c r="S90" s="89">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0.7384615384615385</v>
      </c>
      <c r="T90" s="93"/>
      <c r="U90" s="63" t="s">
        <v>797</v>
      </c>
      <c r="V90" s="63"/>
      <c r="W90" s="63"/>
      <c r="X90" s="63"/>
    </row>
    <row r="91" spans="1:24" ht="25" customHeight="1">
      <c r="F91" s="53"/>
      <c r="H91" s="55" t="e">
        <f>tbl_Form[[#This Row],[Qty Complete]]/tbl_Form[[#This Row],[Qty Required]]</f>
        <v>#DIV/0!</v>
      </c>
      <c r="K91" s="57" t="str">
        <f>IFERROR(tbl_Form[[#This Row],[Qty Required]]/tbl_Form[[#This Row],[PPH]]*tbl_Form[[#This Row],['# of men]],"")</f>
        <v/>
      </c>
      <c r="L91" s="58" t="e">
        <f>tbl_Form[[#This Row],[Total hours]]*tbl_Form[[#This Row],[% Complete]]</f>
        <v>#VALUE!</v>
      </c>
      <c r="M91" s="59" t="str">
        <f>IFERROR(tbl_Form[[#This Row],[Qty Complete]]/tbl_Form[[#This Row],[Total Hours Act]]*tbl_Form[[#This Row],['# of men Act]],"")</f>
        <v/>
      </c>
      <c r="O91"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91" s="90" t="str">
        <f>IFERROR((tbl_Form[[#This Row],[Adj. Total Hours]]+tbl_Form[[#This Row],[Est. Hours]])/(tbl_Form[[#This Row],[Total Hours Act]]+tbl_Form[[#This Row],[Act. Hours]]),"")</f>
        <v/>
      </c>
      <c r="S91"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91" s="93"/>
      <c r="U91" s="63"/>
      <c r="V91" s="63"/>
      <c r="W91" s="63"/>
      <c r="X91" s="63"/>
    </row>
    <row r="92" spans="1:24" ht="25" customHeight="1">
      <c r="F92" s="53"/>
      <c r="H92" s="55" t="e">
        <f>tbl_Form[[#This Row],[Qty Complete]]/tbl_Form[[#This Row],[Qty Required]]</f>
        <v>#DIV/0!</v>
      </c>
      <c r="K92" s="57" t="str">
        <f>IFERROR(tbl_Form[[#This Row],[Qty Required]]/tbl_Form[[#This Row],[PPH]]*tbl_Form[[#This Row],['# of men]],"")</f>
        <v/>
      </c>
      <c r="L92" s="58" t="e">
        <f>tbl_Form[[#This Row],[Total hours]]*tbl_Form[[#This Row],[% Complete]]</f>
        <v>#VALUE!</v>
      </c>
      <c r="M92" s="59" t="str">
        <f>IFERROR(tbl_Form[[#This Row],[Qty Complete]]/tbl_Form[[#This Row],[Total Hours Act]]*tbl_Form[[#This Row],['# of men Act]],"")</f>
        <v/>
      </c>
      <c r="O92"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92" s="90" t="str">
        <f>IFERROR((tbl_Form[[#This Row],[Adj. Total Hours]]+tbl_Form[[#This Row],[Est. Hours]])/(tbl_Form[[#This Row],[Total Hours Act]]+tbl_Form[[#This Row],[Act. Hours]]),"")</f>
        <v/>
      </c>
      <c r="S92"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92" s="93"/>
      <c r="U92" s="63"/>
      <c r="V92" s="63"/>
      <c r="W92" s="63"/>
      <c r="X92" s="63"/>
    </row>
    <row r="93" spans="1:24" ht="25" customHeight="1">
      <c r="F93" s="53"/>
      <c r="H93" s="55" t="e">
        <f>tbl_Form[[#This Row],[Qty Complete]]/tbl_Form[[#This Row],[Qty Required]]</f>
        <v>#DIV/0!</v>
      </c>
      <c r="K93" s="57" t="str">
        <f>IFERROR(tbl_Form[[#This Row],[Qty Required]]/tbl_Form[[#This Row],[PPH]]*tbl_Form[[#This Row],['# of men]],"")</f>
        <v/>
      </c>
      <c r="L93" s="58" t="e">
        <f>tbl_Form[[#This Row],[Total hours]]*tbl_Form[[#This Row],[% Complete]]</f>
        <v>#VALUE!</v>
      </c>
      <c r="M93" s="59" t="str">
        <f>IFERROR(tbl_Form[[#This Row],[Qty Complete]]/tbl_Form[[#This Row],[Total Hours Act]]*tbl_Form[[#This Row],['# of men Act]],"")</f>
        <v/>
      </c>
      <c r="O93"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93" s="90" t="str">
        <f>IFERROR((tbl_Form[[#This Row],[Adj. Total Hours]]+tbl_Form[[#This Row],[Est. Hours]])/(tbl_Form[[#This Row],[Total Hours Act]]+tbl_Form[[#This Row],[Act. Hours]]),"")</f>
        <v/>
      </c>
      <c r="S93"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93" s="93"/>
      <c r="U93" s="63"/>
      <c r="V93" s="63"/>
      <c r="W93" s="63"/>
      <c r="X93" s="63"/>
    </row>
    <row r="94" spans="1:24" ht="25" customHeight="1">
      <c r="F94" s="53"/>
      <c r="H94" s="55" t="e">
        <f>tbl_Form[[#This Row],[Qty Complete]]/tbl_Form[[#This Row],[Qty Required]]</f>
        <v>#DIV/0!</v>
      </c>
      <c r="K94" s="57" t="str">
        <f>IFERROR(tbl_Form[[#This Row],[Qty Required]]/tbl_Form[[#This Row],[PPH]]*tbl_Form[[#This Row],['# of men]],"")</f>
        <v/>
      </c>
      <c r="L94" s="58" t="e">
        <f>tbl_Form[[#This Row],[Total hours]]*tbl_Form[[#This Row],[% Complete]]</f>
        <v>#VALUE!</v>
      </c>
      <c r="M94" s="59" t="str">
        <f>IFERROR(tbl_Form[[#This Row],[Qty Complete]]/tbl_Form[[#This Row],[Total Hours Act]]*tbl_Form[[#This Row],['# of men Act]],"")</f>
        <v/>
      </c>
      <c r="O94"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94" s="90" t="str">
        <f>IFERROR((tbl_Form[[#This Row],[Adj. Total Hours]]+tbl_Form[[#This Row],[Est. Hours]])/(tbl_Form[[#This Row],[Total Hours Act]]+tbl_Form[[#This Row],[Act. Hours]]),"")</f>
        <v/>
      </c>
      <c r="S94"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94" s="93"/>
      <c r="U94" s="63"/>
      <c r="V94" s="63"/>
      <c r="W94" s="63"/>
      <c r="X94" s="63"/>
    </row>
    <row r="95" spans="1:24" ht="25" customHeight="1">
      <c r="F95" s="53"/>
      <c r="H95" s="55" t="e">
        <f>tbl_Form[[#This Row],[Qty Complete]]/tbl_Form[[#This Row],[Qty Required]]</f>
        <v>#DIV/0!</v>
      </c>
      <c r="K95" s="57" t="str">
        <f>IFERROR(tbl_Form[[#This Row],[Qty Required]]/tbl_Form[[#This Row],[PPH]]*tbl_Form[[#This Row],['# of men]],"")</f>
        <v/>
      </c>
      <c r="L95" s="58" t="e">
        <f>tbl_Form[[#This Row],[Total hours]]*tbl_Form[[#This Row],[% Complete]]</f>
        <v>#VALUE!</v>
      </c>
      <c r="M95" s="59" t="str">
        <f>IFERROR(tbl_Form[[#This Row],[Qty Complete]]/tbl_Form[[#This Row],[Total Hours Act]]*tbl_Form[[#This Row],['# of men Act]],"")</f>
        <v/>
      </c>
      <c r="O95"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95" s="90" t="str">
        <f>IFERROR((tbl_Form[[#This Row],[Adj. Total Hours]]+tbl_Form[[#This Row],[Est. Hours]])/(tbl_Form[[#This Row],[Total Hours Act]]+tbl_Form[[#This Row],[Act. Hours]]),"")</f>
        <v/>
      </c>
      <c r="S95"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95" s="93"/>
      <c r="U95" s="63"/>
      <c r="V95" s="63"/>
      <c r="W95" s="63"/>
      <c r="X95" s="63"/>
    </row>
    <row r="96" spans="1:24" ht="25" customHeight="1">
      <c r="F96" s="53"/>
      <c r="H96" s="55" t="e">
        <f>tbl_Form[[#This Row],[Qty Complete]]/tbl_Form[[#This Row],[Qty Required]]</f>
        <v>#DIV/0!</v>
      </c>
      <c r="K96" s="57" t="str">
        <f>IFERROR(tbl_Form[[#This Row],[Qty Required]]/tbl_Form[[#This Row],[PPH]]*tbl_Form[[#This Row],['# of men]],"")</f>
        <v/>
      </c>
      <c r="L96" s="58" t="e">
        <f>tbl_Form[[#This Row],[Total hours]]*tbl_Form[[#This Row],[% Complete]]</f>
        <v>#VALUE!</v>
      </c>
      <c r="M96" s="59" t="str">
        <f>IFERROR(tbl_Form[[#This Row],[Qty Complete]]/tbl_Form[[#This Row],[Total Hours Act]]*tbl_Form[[#This Row],['# of men Act]],"")</f>
        <v/>
      </c>
      <c r="O96"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96" s="90" t="str">
        <f>IFERROR((tbl_Form[[#This Row],[Adj. Total Hours]]+tbl_Form[[#This Row],[Est. Hours]])/(tbl_Form[[#This Row],[Total Hours Act]]+tbl_Form[[#This Row],[Act. Hours]]),"")</f>
        <v/>
      </c>
      <c r="S96"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96" s="93"/>
      <c r="U96" s="63"/>
      <c r="V96" s="63"/>
      <c r="W96" s="63"/>
      <c r="X96" s="63"/>
    </row>
    <row r="97" spans="6:24" ht="25" customHeight="1">
      <c r="F97" s="53"/>
      <c r="H97" s="55" t="e">
        <f>tbl_Form[[#This Row],[Qty Complete]]/tbl_Form[[#This Row],[Qty Required]]</f>
        <v>#DIV/0!</v>
      </c>
      <c r="K97" s="57" t="str">
        <f>IFERROR(tbl_Form[[#This Row],[Qty Required]]/tbl_Form[[#This Row],[PPH]]*tbl_Form[[#This Row],['# of men]],"")</f>
        <v/>
      </c>
      <c r="L97" s="58" t="e">
        <f>tbl_Form[[#This Row],[Total hours]]*tbl_Form[[#This Row],[% Complete]]</f>
        <v>#VALUE!</v>
      </c>
      <c r="M97" s="59" t="str">
        <f>IFERROR(tbl_Form[[#This Row],[Qty Complete]]/tbl_Form[[#This Row],[Total Hours Act]]*tbl_Form[[#This Row],['# of men Act]],"")</f>
        <v/>
      </c>
      <c r="O97"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97" s="90" t="str">
        <f>IFERROR((tbl_Form[[#This Row],[Adj. Total Hours]]+tbl_Form[[#This Row],[Est. Hours]])/(tbl_Form[[#This Row],[Total Hours Act]]+tbl_Form[[#This Row],[Act. Hours]]),"")</f>
        <v/>
      </c>
      <c r="S97"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97" s="93"/>
      <c r="U97" s="63"/>
      <c r="V97" s="63"/>
      <c r="W97" s="63"/>
      <c r="X97" s="63"/>
    </row>
    <row r="98" spans="6:24" ht="25" customHeight="1">
      <c r="F98" s="53"/>
      <c r="H98" s="55" t="e">
        <f>tbl_Form[[#This Row],[Qty Complete]]/tbl_Form[[#This Row],[Qty Required]]</f>
        <v>#DIV/0!</v>
      </c>
      <c r="K98" s="57" t="str">
        <f>IFERROR(tbl_Form[[#This Row],[Qty Required]]/tbl_Form[[#This Row],[PPH]]*tbl_Form[[#This Row],['# of men]],"")</f>
        <v/>
      </c>
      <c r="L98" s="58" t="e">
        <f>tbl_Form[[#This Row],[Total hours]]*tbl_Form[[#This Row],[% Complete]]</f>
        <v>#VALUE!</v>
      </c>
      <c r="M98" s="59" t="str">
        <f>IFERROR(tbl_Form[[#This Row],[Qty Complete]]/tbl_Form[[#This Row],[Total Hours Act]]*tbl_Form[[#This Row],['# of men Act]],"")</f>
        <v/>
      </c>
      <c r="O98"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98" s="90" t="str">
        <f>IFERROR((tbl_Form[[#This Row],[Adj. Total Hours]]+tbl_Form[[#This Row],[Est. Hours]])/(tbl_Form[[#This Row],[Total Hours Act]]+tbl_Form[[#This Row],[Act. Hours]]),"")</f>
        <v/>
      </c>
      <c r="S98"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98" s="93"/>
      <c r="U98" s="63"/>
      <c r="V98" s="63"/>
      <c r="W98" s="63"/>
      <c r="X98" s="63"/>
    </row>
    <row r="99" spans="6:24" ht="25" customHeight="1">
      <c r="F99" s="53"/>
      <c r="H99" s="55" t="e">
        <f>tbl_Form[[#This Row],[Qty Complete]]/tbl_Form[[#This Row],[Qty Required]]</f>
        <v>#DIV/0!</v>
      </c>
      <c r="K99" s="57" t="str">
        <f>IFERROR(tbl_Form[[#This Row],[Qty Required]]/tbl_Form[[#This Row],[PPH]]*tbl_Form[[#This Row],['# of men]],"")</f>
        <v/>
      </c>
      <c r="L99" s="58" t="e">
        <f>tbl_Form[[#This Row],[Total hours]]*tbl_Form[[#This Row],[% Complete]]</f>
        <v>#VALUE!</v>
      </c>
      <c r="M99" s="59" t="str">
        <f>IFERROR(tbl_Form[[#This Row],[Qty Complete]]/tbl_Form[[#This Row],[Total Hours Act]]*tbl_Form[[#This Row],['# of men Act]],"")</f>
        <v/>
      </c>
      <c r="O99"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99" s="90" t="str">
        <f>IFERROR((tbl_Form[[#This Row],[Adj. Total Hours]]+tbl_Form[[#This Row],[Est. Hours]])/(tbl_Form[[#This Row],[Total Hours Act]]+tbl_Form[[#This Row],[Act. Hours]]),"")</f>
        <v/>
      </c>
      <c r="S99"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99" s="93"/>
      <c r="U99" s="63"/>
      <c r="V99" s="63"/>
      <c r="W99" s="63"/>
      <c r="X99" s="63"/>
    </row>
    <row r="100" spans="6:24" ht="25" customHeight="1">
      <c r="F100" s="53"/>
      <c r="H100" s="55" t="e">
        <f>tbl_Form[[#This Row],[Qty Complete]]/tbl_Form[[#This Row],[Qty Required]]</f>
        <v>#DIV/0!</v>
      </c>
      <c r="K100" s="57" t="str">
        <f>IFERROR(tbl_Form[[#This Row],[Qty Required]]/tbl_Form[[#This Row],[PPH]]*tbl_Form[[#This Row],['# of men]],"")</f>
        <v/>
      </c>
      <c r="L100" s="58" t="e">
        <f>tbl_Form[[#This Row],[Total hours]]*tbl_Form[[#This Row],[% Complete]]</f>
        <v>#VALUE!</v>
      </c>
      <c r="M100" s="59" t="str">
        <f>IFERROR(tbl_Form[[#This Row],[Qty Complete]]/tbl_Form[[#This Row],[Total Hours Act]]*tbl_Form[[#This Row],['# of men Act]],"")</f>
        <v/>
      </c>
      <c r="O100"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00" s="90" t="str">
        <f>IFERROR((tbl_Form[[#This Row],[Adj. Total Hours]]+tbl_Form[[#This Row],[Est. Hours]])/(tbl_Form[[#This Row],[Total Hours Act]]+tbl_Form[[#This Row],[Act. Hours]]),"")</f>
        <v/>
      </c>
      <c r="S100"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00" s="93"/>
      <c r="U100" s="63"/>
      <c r="V100" s="63"/>
      <c r="W100" s="63"/>
      <c r="X100" s="63"/>
    </row>
    <row r="101" spans="6:24" ht="25" customHeight="1">
      <c r="F101" s="53"/>
      <c r="H101" s="55" t="e">
        <f>tbl_Form[[#This Row],[Qty Complete]]/tbl_Form[[#This Row],[Qty Required]]</f>
        <v>#DIV/0!</v>
      </c>
      <c r="K101" s="57" t="str">
        <f>IFERROR(tbl_Form[[#This Row],[Qty Required]]/tbl_Form[[#This Row],[PPH]]*tbl_Form[[#This Row],['# of men]],"")</f>
        <v/>
      </c>
      <c r="L101" s="58" t="e">
        <f>tbl_Form[[#This Row],[Total hours]]*tbl_Form[[#This Row],[% Complete]]</f>
        <v>#VALUE!</v>
      </c>
      <c r="M101" s="59" t="str">
        <f>IFERROR(tbl_Form[[#This Row],[Qty Complete]]/tbl_Form[[#This Row],[Total Hours Act]]*tbl_Form[[#This Row],['# of men Act]],"")</f>
        <v/>
      </c>
      <c r="O101"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01" s="90" t="str">
        <f>IFERROR((tbl_Form[[#This Row],[Adj. Total Hours]]+tbl_Form[[#This Row],[Est. Hours]])/(tbl_Form[[#This Row],[Total Hours Act]]+tbl_Form[[#This Row],[Act. Hours]]),"")</f>
        <v/>
      </c>
      <c r="S101"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01" s="93"/>
      <c r="U101" s="63"/>
      <c r="V101" s="63"/>
      <c r="W101" s="63"/>
      <c r="X101" s="63"/>
    </row>
    <row r="102" spans="6:24" ht="25" customHeight="1">
      <c r="F102" s="53"/>
      <c r="H102" s="55" t="e">
        <f>tbl_Form[[#This Row],[Qty Complete]]/tbl_Form[[#This Row],[Qty Required]]</f>
        <v>#DIV/0!</v>
      </c>
      <c r="K102" s="57" t="str">
        <f>IFERROR(tbl_Form[[#This Row],[Qty Required]]/tbl_Form[[#This Row],[PPH]]*tbl_Form[[#This Row],['# of men]],"")</f>
        <v/>
      </c>
      <c r="L102" s="58" t="e">
        <f>tbl_Form[[#This Row],[Total hours]]*tbl_Form[[#This Row],[% Complete]]</f>
        <v>#VALUE!</v>
      </c>
      <c r="M102" s="59" t="str">
        <f>IFERROR(tbl_Form[[#This Row],[Qty Complete]]/tbl_Form[[#This Row],[Total Hours Act]]*tbl_Form[[#This Row],['# of men Act]],"")</f>
        <v/>
      </c>
      <c r="O102"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02" s="90" t="str">
        <f>IFERROR((tbl_Form[[#This Row],[Adj. Total Hours]]+tbl_Form[[#This Row],[Est. Hours]])/(tbl_Form[[#This Row],[Total Hours Act]]+tbl_Form[[#This Row],[Act. Hours]]),"")</f>
        <v/>
      </c>
      <c r="S102"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02" s="93"/>
      <c r="U102" s="63"/>
      <c r="V102" s="63"/>
      <c r="W102" s="63"/>
      <c r="X102" s="63"/>
    </row>
    <row r="103" spans="6:24" ht="25" customHeight="1">
      <c r="F103" s="53"/>
      <c r="H103" s="55" t="e">
        <f>tbl_Form[[#This Row],[Qty Complete]]/tbl_Form[[#This Row],[Qty Required]]</f>
        <v>#DIV/0!</v>
      </c>
      <c r="K103" s="57" t="str">
        <f>IFERROR(tbl_Form[[#This Row],[Qty Required]]/tbl_Form[[#This Row],[PPH]]*tbl_Form[[#This Row],['# of men]],"")</f>
        <v/>
      </c>
      <c r="L103" s="58" t="e">
        <f>tbl_Form[[#This Row],[Total hours]]*tbl_Form[[#This Row],[% Complete]]</f>
        <v>#VALUE!</v>
      </c>
      <c r="M103" s="59" t="str">
        <f>IFERROR(tbl_Form[[#This Row],[Qty Complete]]/tbl_Form[[#This Row],[Total Hours Act]]*tbl_Form[[#This Row],['# of men Act]],"")</f>
        <v/>
      </c>
      <c r="O103"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03" s="90" t="str">
        <f>IFERROR((tbl_Form[[#This Row],[Adj. Total Hours]]+tbl_Form[[#This Row],[Est. Hours]])/(tbl_Form[[#This Row],[Total Hours Act]]+tbl_Form[[#This Row],[Act. Hours]]),"")</f>
        <v/>
      </c>
      <c r="S103"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03" s="93"/>
      <c r="U103" s="63"/>
      <c r="V103" s="63"/>
      <c r="W103" s="63"/>
      <c r="X103" s="63"/>
    </row>
    <row r="104" spans="6:24" ht="25" customHeight="1">
      <c r="F104" s="53"/>
      <c r="H104" s="55" t="e">
        <f>tbl_Form[[#This Row],[Qty Complete]]/tbl_Form[[#This Row],[Qty Required]]</f>
        <v>#DIV/0!</v>
      </c>
      <c r="K104" s="57" t="str">
        <f>IFERROR(tbl_Form[[#This Row],[Qty Required]]/tbl_Form[[#This Row],[PPH]]*tbl_Form[[#This Row],['# of men]],"")</f>
        <v/>
      </c>
      <c r="L104" s="58" t="e">
        <f>tbl_Form[[#This Row],[Total hours]]*tbl_Form[[#This Row],[% Complete]]</f>
        <v>#VALUE!</v>
      </c>
      <c r="M104" s="59" t="str">
        <f>IFERROR(tbl_Form[[#This Row],[Qty Complete]]/tbl_Form[[#This Row],[Total Hours Act]]*tbl_Form[[#This Row],['# of men Act]],"")</f>
        <v/>
      </c>
      <c r="O104"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04" s="90" t="str">
        <f>IFERROR((tbl_Form[[#This Row],[Adj. Total Hours]]+tbl_Form[[#This Row],[Est. Hours]])/(tbl_Form[[#This Row],[Total Hours Act]]+tbl_Form[[#This Row],[Act. Hours]]),"")</f>
        <v/>
      </c>
      <c r="S104"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04" s="93"/>
      <c r="U104" s="63"/>
      <c r="V104" s="63"/>
      <c r="W104" s="63"/>
      <c r="X104" s="63"/>
    </row>
    <row r="105" spans="6:24" ht="25" customHeight="1">
      <c r="F105" s="53"/>
      <c r="H105" s="55" t="e">
        <f>tbl_Form[[#This Row],[Qty Complete]]/tbl_Form[[#This Row],[Qty Required]]</f>
        <v>#DIV/0!</v>
      </c>
      <c r="K105" s="57" t="str">
        <f>IFERROR(tbl_Form[[#This Row],[Qty Required]]/tbl_Form[[#This Row],[PPH]]*tbl_Form[[#This Row],['# of men]],"")</f>
        <v/>
      </c>
      <c r="L105" s="58" t="e">
        <f>tbl_Form[[#This Row],[Total hours]]*tbl_Form[[#This Row],[% Complete]]</f>
        <v>#VALUE!</v>
      </c>
      <c r="M105" s="59" t="str">
        <f>IFERROR(tbl_Form[[#This Row],[Qty Complete]]/tbl_Form[[#This Row],[Total Hours Act]]*tbl_Form[[#This Row],['# of men Act]],"")</f>
        <v/>
      </c>
      <c r="O105"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05" s="90" t="str">
        <f>IFERROR((tbl_Form[[#This Row],[Adj. Total Hours]]+tbl_Form[[#This Row],[Est. Hours]])/(tbl_Form[[#This Row],[Total Hours Act]]+tbl_Form[[#This Row],[Act. Hours]]),"")</f>
        <v/>
      </c>
      <c r="S105"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05" s="93"/>
      <c r="U105" s="63"/>
      <c r="V105" s="63"/>
      <c r="W105" s="63"/>
      <c r="X105" s="63"/>
    </row>
    <row r="106" spans="6:24" ht="25" customHeight="1">
      <c r="F106" s="53"/>
      <c r="H106" s="55" t="e">
        <f>tbl_Form[[#This Row],[Qty Complete]]/tbl_Form[[#This Row],[Qty Required]]</f>
        <v>#DIV/0!</v>
      </c>
      <c r="K106" s="57" t="str">
        <f>IFERROR(tbl_Form[[#This Row],[Qty Required]]/tbl_Form[[#This Row],[PPH]]*tbl_Form[[#This Row],['# of men]],"")</f>
        <v/>
      </c>
      <c r="L106" s="58" t="e">
        <f>tbl_Form[[#This Row],[Total hours]]*tbl_Form[[#This Row],[% Complete]]</f>
        <v>#VALUE!</v>
      </c>
      <c r="M106" s="59" t="str">
        <f>IFERROR(tbl_Form[[#This Row],[Qty Complete]]/tbl_Form[[#This Row],[Total Hours Act]]*tbl_Form[[#This Row],['# of men Act]],"")</f>
        <v/>
      </c>
      <c r="O106"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06" s="90" t="str">
        <f>IFERROR((tbl_Form[[#This Row],[Adj. Total Hours]]+tbl_Form[[#This Row],[Est. Hours]])/(tbl_Form[[#This Row],[Total Hours Act]]+tbl_Form[[#This Row],[Act. Hours]]),"")</f>
        <v/>
      </c>
      <c r="S106"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06" s="93"/>
      <c r="U106" s="63"/>
      <c r="V106" s="63"/>
      <c r="W106" s="63"/>
      <c r="X106" s="63"/>
    </row>
    <row r="107" spans="6:24" ht="25" customHeight="1">
      <c r="F107" s="53"/>
      <c r="H107" s="55" t="e">
        <f>tbl_Form[[#This Row],[Qty Complete]]/tbl_Form[[#This Row],[Qty Required]]</f>
        <v>#DIV/0!</v>
      </c>
      <c r="K107" s="57" t="str">
        <f>IFERROR(tbl_Form[[#This Row],[Qty Required]]/tbl_Form[[#This Row],[PPH]]*tbl_Form[[#This Row],['# of men]],"")</f>
        <v/>
      </c>
      <c r="L107" s="58" t="e">
        <f>tbl_Form[[#This Row],[Total hours]]*tbl_Form[[#This Row],[% Complete]]</f>
        <v>#VALUE!</v>
      </c>
      <c r="M107" s="59" t="str">
        <f>IFERROR(tbl_Form[[#This Row],[Qty Complete]]/tbl_Form[[#This Row],[Total Hours Act]]*tbl_Form[[#This Row],['# of men Act]],"")</f>
        <v/>
      </c>
      <c r="O107"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07" s="90" t="str">
        <f>IFERROR((tbl_Form[[#This Row],[Adj. Total Hours]]+tbl_Form[[#This Row],[Est. Hours]])/(tbl_Form[[#This Row],[Total Hours Act]]+tbl_Form[[#This Row],[Act. Hours]]),"")</f>
        <v/>
      </c>
      <c r="S107"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07" s="93"/>
      <c r="U107" s="63"/>
      <c r="V107" s="63"/>
      <c r="W107" s="63"/>
      <c r="X107" s="63"/>
    </row>
    <row r="108" spans="6:24" ht="25" customHeight="1">
      <c r="F108" s="53"/>
      <c r="H108" s="55" t="e">
        <f>tbl_Form[[#This Row],[Qty Complete]]/tbl_Form[[#This Row],[Qty Required]]</f>
        <v>#DIV/0!</v>
      </c>
      <c r="K108" s="57" t="str">
        <f>IFERROR(tbl_Form[[#This Row],[Qty Required]]/tbl_Form[[#This Row],[PPH]]*tbl_Form[[#This Row],['# of men]],"")</f>
        <v/>
      </c>
      <c r="L108" s="58" t="e">
        <f>tbl_Form[[#This Row],[Total hours]]*tbl_Form[[#This Row],[% Complete]]</f>
        <v>#VALUE!</v>
      </c>
      <c r="M108" s="59" t="str">
        <f>IFERROR(tbl_Form[[#This Row],[Qty Complete]]/tbl_Form[[#This Row],[Total Hours Act]]*tbl_Form[[#This Row],['# of men Act]],"")</f>
        <v/>
      </c>
      <c r="O108"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08" s="90" t="str">
        <f>IFERROR((tbl_Form[[#This Row],[Adj. Total Hours]]+tbl_Form[[#This Row],[Est. Hours]])/(tbl_Form[[#This Row],[Total Hours Act]]+tbl_Form[[#This Row],[Act. Hours]]),"")</f>
        <v/>
      </c>
      <c r="S108"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08" s="93"/>
      <c r="U108" s="63"/>
      <c r="V108" s="63"/>
      <c r="W108" s="63"/>
      <c r="X108" s="63"/>
    </row>
    <row r="109" spans="6:24" ht="25" customHeight="1">
      <c r="F109" s="53"/>
      <c r="H109" s="55" t="e">
        <f>tbl_Form[[#This Row],[Qty Complete]]/tbl_Form[[#This Row],[Qty Required]]</f>
        <v>#DIV/0!</v>
      </c>
      <c r="K109" s="57" t="str">
        <f>IFERROR(tbl_Form[[#This Row],[Qty Required]]/tbl_Form[[#This Row],[PPH]]*tbl_Form[[#This Row],['# of men]],"")</f>
        <v/>
      </c>
      <c r="L109" s="58" t="e">
        <f>tbl_Form[[#This Row],[Total hours]]*tbl_Form[[#This Row],[% Complete]]</f>
        <v>#VALUE!</v>
      </c>
      <c r="M109" s="59" t="str">
        <f>IFERROR(tbl_Form[[#This Row],[Qty Complete]]/tbl_Form[[#This Row],[Total Hours Act]]*tbl_Form[[#This Row],['# of men Act]],"")</f>
        <v/>
      </c>
      <c r="O109"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09" s="90" t="str">
        <f>IFERROR((tbl_Form[[#This Row],[Adj. Total Hours]]+tbl_Form[[#This Row],[Est. Hours]])/(tbl_Form[[#This Row],[Total Hours Act]]+tbl_Form[[#This Row],[Act. Hours]]),"")</f>
        <v/>
      </c>
      <c r="S109"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09" s="93"/>
      <c r="U109" s="63"/>
      <c r="V109" s="63"/>
      <c r="W109" s="63"/>
      <c r="X109" s="63"/>
    </row>
    <row r="110" spans="6:24" ht="25" customHeight="1">
      <c r="F110" s="53"/>
      <c r="H110" s="55" t="e">
        <f>tbl_Form[[#This Row],[Qty Complete]]/tbl_Form[[#This Row],[Qty Required]]</f>
        <v>#DIV/0!</v>
      </c>
      <c r="K110" s="57" t="str">
        <f>IFERROR(tbl_Form[[#This Row],[Qty Required]]/tbl_Form[[#This Row],[PPH]]*tbl_Form[[#This Row],['# of men]],"")</f>
        <v/>
      </c>
      <c r="L110" s="58" t="e">
        <f>tbl_Form[[#This Row],[Total hours]]*tbl_Form[[#This Row],[% Complete]]</f>
        <v>#VALUE!</v>
      </c>
      <c r="M110" s="59" t="str">
        <f>IFERROR(tbl_Form[[#This Row],[Qty Complete]]/tbl_Form[[#This Row],[Total Hours Act]]*tbl_Form[[#This Row],['# of men Act]],"")</f>
        <v/>
      </c>
      <c r="O110"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10" s="90" t="str">
        <f>IFERROR((tbl_Form[[#This Row],[Adj. Total Hours]]+tbl_Form[[#This Row],[Est. Hours]])/(tbl_Form[[#This Row],[Total Hours Act]]+tbl_Form[[#This Row],[Act. Hours]]),"")</f>
        <v/>
      </c>
      <c r="S110"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10" s="93"/>
      <c r="U110" s="63"/>
      <c r="V110" s="63"/>
      <c r="W110" s="63"/>
      <c r="X110" s="63"/>
    </row>
    <row r="111" spans="6:24" ht="25" customHeight="1">
      <c r="F111" s="53"/>
      <c r="H111" s="55" t="e">
        <f>tbl_Form[[#This Row],[Qty Complete]]/tbl_Form[[#This Row],[Qty Required]]</f>
        <v>#DIV/0!</v>
      </c>
      <c r="K111" s="57" t="str">
        <f>IFERROR(tbl_Form[[#This Row],[Qty Required]]/tbl_Form[[#This Row],[PPH]]*tbl_Form[[#This Row],['# of men]],"")</f>
        <v/>
      </c>
      <c r="L111" s="58" t="e">
        <f>tbl_Form[[#This Row],[Total hours]]*tbl_Form[[#This Row],[% Complete]]</f>
        <v>#VALUE!</v>
      </c>
      <c r="M111" s="59" t="str">
        <f>IFERROR(tbl_Form[[#This Row],[Qty Complete]]/tbl_Form[[#This Row],[Total Hours Act]]*tbl_Form[[#This Row],['# of men Act]],"")</f>
        <v/>
      </c>
      <c r="O111"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11" s="90" t="str">
        <f>IFERROR((tbl_Form[[#This Row],[Adj. Total Hours]]+tbl_Form[[#This Row],[Est. Hours]])/(tbl_Form[[#This Row],[Total Hours Act]]+tbl_Form[[#This Row],[Act. Hours]]),"")</f>
        <v/>
      </c>
      <c r="S111"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11" s="93"/>
      <c r="U111" s="63"/>
      <c r="V111" s="63"/>
      <c r="W111" s="63"/>
      <c r="X111" s="63"/>
    </row>
    <row r="112" spans="6:24" ht="25" customHeight="1">
      <c r="F112" s="53"/>
      <c r="H112" s="55" t="e">
        <f>tbl_Form[[#This Row],[Qty Complete]]/tbl_Form[[#This Row],[Qty Required]]</f>
        <v>#DIV/0!</v>
      </c>
      <c r="K112" s="57" t="str">
        <f>IFERROR(tbl_Form[[#This Row],[Qty Required]]/tbl_Form[[#This Row],[PPH]]*tbl_Form[[#This Row],['# of men]],"")</f>
        <v/>
      </c>
      <c r="L112" s="58" t="e">
        <f>tbl_Form[[#This Row],[Total hours]]*tbl_Form[[#This Row],[% Complete]]</f>
        <v>#VALUE!</v>
      </c>
      <c r="M112" s="59" t="str">
        <f>IFERROR(tbl_Form[[#This Row],[Qty Complete]]/tbl_Form[[#This Row],[Total Hours Act]]*tbl_Form[[#This Row],['# of men Act]],"")</f>
        <v/>
      </c>
      <c r="O112"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12" s="90" t="str">
        <f>IFERROR((tbl_Form[[#This Row],[Adj. Total Hours]]+tbl_Form[[#This Row],[Est. Hours]])/(tbl_Form[[#This Row],[Total Hours Act]]+tbl_Form[[#This Row],[Act. Hours]]),"")</f>
        <v/>
      </c>
      <c r="S112"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12" s="93"/>
      <c r="U112" s="63"/>
      <c r="V112" s="63"/>
      <c r="W112" s="63"/>
      <c r="X112" s="63"/>
    </row>
    <row r="113" spans="6:24" ht="25" customHeight="1">
      <c r="F113" s="53"/>
      <c r="H113" s="55" t="e">
        <f>tbl_Form[[#This Row],[Qty Complete]]/tbl_Form[[#This Row],[Qty Required]]</f>
        <v>#DIV/0!</v>
      </c>
      <c r="K113" s="57" t="str">
        <f>IFERROR(tbl_Form[[#This Row],[Qty Required]]/tbl_Form[[#This Row],[PPH]]*tbl_Form[[#This Row],['# of men]],"")</f>
        <v/>
      </c>
      <c r="L113" s="58" t="e">
        <f>tbl_Form[[#This Row],[Total hours]]*tbl_Form[[#This Row],[% Complete]]</f>
        <v>#VALUE!</v>
      </c>
      <c r="M113" s="59" t="str">
        <f>IFERROR(tbl_Form[[#This Row],[Qty Complete]]/tbl_Form[[#This Row],[Total Hours Act]]*tbl_Form[[#This Row],['# of men Act]],"")</f>
        <v/>
      </c>
      <c r="O113"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13" s="90" t="str">
        <f>IFERROR((tbl_Form[[#This Row],[Adj. Total Hours]]+tbl_Form[[#This Row],[Est. Hours]])/(tbl_Form[[#This Row],[Total Hours Act]]+tbl_Form[[#This Row],[Act. Hours]]),"")</f>
        <v/>
      </c>
      <c r="S113"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13" s="93"/>
      <c r="U113" s="63"/>
      <c r="V113" s="63"/>
      <c r="W113" s="63"/>
      <c r="X113" s="63"/>
    </row>
    <row r="114" spans="6:24" ht="25" customHeight="1">
      <c r="F114" s="53"/>
      <c r="H114" s="55" t="e">
        <f>tbl_Form[[#This Row],[Qty Complete]]/tbl_Form[[#This Row],[Qty Required]]</f>
        <v>#DIV/0!</v>
      </c>
      <c r="K114" s="57" t="str">
        <f>IFERROR(tbl_Form[[#This Row],[Qty Required]]/tbl_Form[[#This Row],[PPH]]*tbl_Form[[#This Row],['# of men]],"")</f>
        <v/>
      </c>
      <c r="L114" s="58" t="e">
        <f>tbl_Form[[#This Row],[Total hours]]*tbl_Form[[#This Row],[% Complete]]</f>
        <v>#VALUE!</v>
      </c>
      <c r="M114" s="59" t="str">
        <f>IFERROR(tbl_Form[[#This Row],[Qty Complete]]/tbl_Form[[#This Row],[Total Hours Act]]*tbl_Form[[#This Row],['# of men Act]],"")</f>
        <v/>
      </c>
      <c r="O114"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14" s="90" t="str">
        <f>IFERROR((tbl_Form[[#This Row],[Adj. Total Hours]]+tbl_Form[[#This Row],[Est. Hours]])/(tbl_Form[[#This Row],[Total Hours Act]]+tbl_Form[[#This Row],[Act. Hours]]),"")</f>
        <v/>
      </c>
      <c r="S114"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14" s="93"/>
      <c r="U114" s="63"/>
      <c r="V114" s="63"/>
      <c r="W114" s="63"/>
      <c r="X114" s="63"/>
    </row>
    <row r="115" spans="6:24" ht="25" customHeight="1">
      <c r="F115" s="53"/>
      <c r="H115" s="55" t="e">
        <f>tbl_Form[[#This Row],[Qty Complete]]/tbl_Form[[#This Row],[Qty Required]]</f>
        <v>#DIV/0!</v>
      </c>
      <c r="K115" s="57" t="str">
        <f>IFERROR(tbl_Form[[#This Row],[Qty Required]]/tbl_Form[[#This Row],[PPH]]*tbl_Form[[#This Row],['# of men]],"")</f>
        <v/>
      </c>
      <c r="L115" s="58" t="e">
        <f>tbl_Form[[#This Row],[Total hours]]*tbl_Form[[#This Row],[% Complete]]</f>
        <v>#VALUE!</v>
      </c>
      <c r="M115" s="59" t="str">
        <f>IFERROR(tbl_Form[[#This Row],[Qty Complete]]/tbl_Form[[#This Row],[Total Hours Act]]*tbl_Form[[#This Row],['# of men Act]],"")</f>
        <v/>
      </c>
      <c r="O115"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15" s="90" t="str">
        <f>IFERROR((tbl_Form[[#This Row],[Adj. Total Hours]]+tbl_Form[[#This Row],[Est. Hours]])/(tbl_Form[[#This Row],[Total Hours Act]]+tbl_Form[[#This Row],[Act. Hours]]),"")</f>
        <v/>
      </c>
      <c r="S115"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15" s="93"/>
      <c r="U115" s="63"/>
      <c r="V115" s="63"/>
      <c r="W115" s="63"/>
      <c r="X115" s="63"/>
    </row>
    <row r="116" spans="6:24" ht="25" customHeight="1">
      <c r="F116" s="53"/>
      <c r="H116" s="55" t="e">
        <f>tbl_Form[[#This Row],[Qty Complete]]/tbl_Form[[#This Row],[Qty Required]]</f>
        <v>#DIV/0!</v>
      </c>
      <c r="K116" s="57" t="str">
        <f>IFERROR(tbl_Form[[#This Row],[Qty Required]]/tbl_Form[[#This Row],[PPH]]*tbl_Form[[#This Row],['# of men]],"")</f>
        <v/>
      </c>
      <c r="L116" s="58" t="e">
        <f>tbl_Form[[#This Row],[Total hours]]*tbl_Form[[#This Row],[% Complete]]</f>
        <v>#VALUE!</v>
      </c>
      <c r="M116" s="59" t="str">
        <f>IFERROR(tbl_Form[[#This Row],[Qty Complete]]/tbl_Form[[#This Row],[Total Hours Act]]*tbl_Form[[#This Row],['# of men Act]],"")</f>
        <v/>
      </c>
      <c r="O116"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16" s="90" t="str">
        <f>IFERROR((tbl_Form[[#This Row],[Adj. Total Hours]]+tbl_Form[[#This Row],[Est. Hours]])/(tbl_Form[[#This Row],[Total Hours Act]]+tbl_Form[[#This Row],[Act. Hours]]),"")</f>
        <v/>
      </c>
      <c r="S116"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16" s="93"/>
      <c r="U116" s="63"/>
      <c r="V116" s="63"/>
      <c r="W116" s="63"/>
      <c r="X116" s="63"/>
    </row>
    <row r="117" spans="6:24" ht="25" customHeight="1">
      <c r="F117" s="53"/>
      <c r="H117" s="55" t="e">
        <f>tbl_Form[[#This Row],[Qty Complete]]/tbl_Form[[#This Row],[Qty Required]]</f>
        <v>#DIV/0!</v>
      </c>
      <c r="K117" s="57" t="str">
        <f>IFERROR(tbl_Form[[#This Row],[Qty Required]]/tbl_Form[[#This Row],[PPH]]*tbl_Form[[#This Row],['# of men]],"")</f>
        <v/>
      </c>
      <c r="L117" s="58" t="e">
        <f>tbl_Form[[#This Row],[Total hours]]*tbl_Form[[#This Row],[% Complete]]</f>
        <v>#VALUE!</v>
      </c>
      <c r="M117" s="59" t="str">
        <f>IFERROR(tbl_Form[[#This Row],[Qty Complete]]/tbl_Form[[#This Row],[Total Hours Act]]*tbl_Form[[#This Row],['# of men Act]],"")</f>
        <v/>
      </c>
      <c r="O117"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17" s="90" t="str">
        <f>IFERROR((tbl_Form[[#This Row],[Adj. Total Hours]]+tbl_Form[[#This Row],[Est. Hours]])/(tbl_Form[[#This Row],[Total Hours Act]]+tbl_Form[[#This Row],[Act. Hours]]),"")</f>
        <v/>
      </c>
      <c r="S117"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17" s="93"/>
      <c r="U117" s="63"/>
      <c r="V117" s="63"/>
      <c r="W117" s="63"/>
      <c r="X117" s="63"/>
    </row>
    <row r="118" spans="6:24" ht="25" customHeight="1">
      <c r="F118" s="53"/>
      <c r="H118" s="55" t="e">
        <f>tbl_Form[[#This Row],[Qty Complete]]/tbl_Form[[#This Row],[Qty Required]]</f>
        <v>#DIV/0!</v>
      </c>
      <c r="K118" s="57" t="str">
        <f>IFERROR(tbl_Form[[#This Row],[Qty Required]]/tbl_Form[[#This Row],[PPH]]*tbl_Form[[#This Row],['# of men]],"")</f>
        <v/>
      </c>
      <c r="L118" s="58" t="e">
        <f>tbl_Form[[#This Row],[Total hours]]*tbl_Form[[#This Row],[% Complete]]</f>
        <v>#VALUE!</v>
      </c>
      <c r="M118" s="59" t="str">
        <f>IFERROR(tbl_Form[[#This Row],[Qty Complete]]/tbl_Form[[#This Row],[Total Hours Act]]*tbl_Form[[#This Row],['# of men Act]],"")</f>
        <v/>
      </c>
      <c r="O118"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18" s="90" t="str">
        <f>IFERROR((tbl_Form[[#This Row],[Adj. Total Hours]]+tbl_Form[[#This Row],[Est. Hours]])/(tbl_Form[[#This Row],[Total Hours Act]]+tbl_Form[[#This Row],[Act. Hours]]),"")</f>
        <v/>
      </c>
      <c r="S118"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18" s="93"/>
      <c r="U118" s="63"/>
      <c r="V118" s="63"/>
      <c r="W118" s="63"/>
      <c r="X118" s="63"/>
    </row>
    <row r="119" spans="6:24" ht="25" customHeight="1">
      <c r="F119" s="53"/>
      <c r="H119" s="55" t="e">
        <f>tbl_Form[[#This Row],[Qty Complete]]/tbl_Form[[#This Row],[Qty Required]]</f>
        <v>#DIV/0!</v>
      </c>
      <c r="K119" s="57" t="str">
        <f>IFERROR(tbl_Form[[#This Row],[Qty Required]]/tbl_Form[[#This Row],[PPH]]*tbl_Form[[#This Row],['# of men]],"")</f>
        <v/>
      </c>
      <c r="L119" s="58" t="e">
        <f>tbl_Form[[#This Row],[Total hours]]*tbl_Form[[#This Row],[% Complete]]</f>
        <v>#VALUE!</v>
      </c>
      <c r="M119" s="59" t="str">
        <f>IFERROR(tbl_Form[[#This Row],[Qty Complete]]/tbl_Form[[#This Row],[Total Hours Act]]*tbl_Form[[#This Row],['# of men Act]],"")</f>
        <v/>
      </c>
      <c r="O119"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19" s="90" t="str">
        <f>IFERROR((tbl_Form[[#This Row],[Adj. Total Hours]]+tbl_Form[[#This Row],[Est. Hours]])/(tbl_Form[[#This Row],[Total Hours Act]]+tbl_Form[[#This Row],[Act. Hours]]),"")</f>
        <v/>
      </c>
      <c r="S119"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19" s="93"/>
      <c r="U119" s="63"/>
      <c r="V119" s="63"/>
      <c r="W119" s="63"/>
      <c r="X119" s="63"/>
    </row>
    <row r="120" spans="6:24" ht="25" customHeight="1">
      <c r="F120" s="53"/>
      <c r="H120" s="55" t="e">
        <f>tbl_Form[[#This Row],[Qty Complete]]/tbl_Form[[#This Row],[Qty Required]]</f>
        <v>#DIV/0!</v>
      </c>
      <c r="K120" s="57" t="str">
        <f>IFERROR(tbl_Form[[#This Row],[Qty Required]]/tbl_Form[[#This Row],[PPH]]*tbl_Form[[#This Row],['# of men]],"")</f>
        <v/>
      </c>
      <c r="L120" s="58" t="e">
        <f>tbl_Form[[#This Row],[Total hours]]*tbl_Form[[#This Row],[% Complete]]</f>
        <v>#VALUE!</v>
      </c>
      <c r="M120" s="59" t="str">
        <f>IFERROR(tbl_Form[[#This Row],[Qty Complete]]/tbl_Form[[#This Row],[Total Hours Act]]*tbl_Form[[#This Row],['# of men Act]],"")</f>
        <v/>
      </c>
      <c r="O120"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20" s="90" t="str">
        <f>IFERROR((tbl_Form[[#This Row],[Adj. Total Hours]]+tbl_Form[[#This Row],[Est. Hours]])/(tbl_Form[[#This Row],[Total Hours Act]]+tbl_Form[[#This Row],[Act. Hours]]),"")</f>
        <v/>
      </c>
      <c r="S120"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20" s="93"/>
      <c r="U120" s="63"/>
      <c r="V120" s="63"/>
      <c r="W120" s="63"/>
      <c r="X120" s="63"/>
    </row>
    <row r="121" spans="6:24" ht="25" customHeight="1">
      <c r="F121" s="53"/>
      <c r="H121" s="55" t="e">
        <f>tbl_Form[[#This Row],[Qty Complete]]/tbl_Form[[#This Row],[Qty Required]]</f>
        <v>#DIV/0!</v>
      </c>
      <c r="K121" s="57" t="str">
        <f>IFERROR(tbl_Form[[#This Row],[Qty Required]]/tbl_Form[[#This Row],[PPH]]*tbl_Form[[#This Row],['# of men]],"")</f>
        <v/>
      </c>
      <c r="L121" s="58" t="e">
        <f>tbl_Form[[#This Row],[Total hours]]*tbl_Form[[#This Row],[% Complete]]</f>
        <v>#VALUE!</v>
      </c>
      <c r="M121" s="59" t="str">
        <f>IFERROR(tbl_Form[[#This Row],[Qty Complete]]/tbl_Form[[#This Row],[Total Hours Act]]*tbl_Form[[#This Row],['# of men Act]],"")</f>
        <v/>
      </c>
      <c r="O121"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21" s="90" t="str">
        <f>IFERROR((tbl_Form[[#This Row],[Adj. Total Hours]]+tbl_Form[[#This Row],[Est. Hours]])/(tbl_Form[[#This Row],[Total Hours Act]]+tbl_Form[[#This Row],[Act. Hours]]),"")</f>
        <v/>
      </c>
      <c r="S121"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21" s="93"/>
      <c r="U121" s="63"/>
      <c r="V121" s="63"/>
      <c r="W121" s="63"/>
      <c r="X121" s="63"/>
    </row>
    <row r="122" spans="6:24" ht="25" customHeight="1">
      <c r="F122" s="53"/>
      <c r="H122" s="55" t="e">
        <f>tbl_Form[[#This Row],[Qty Complete]]/tbl_Form[[#This Row],[Qty Required]]</f>
        <v>#DIV/0!</v>
      </c>
      <c r="K122" s="57" t="str">
        <f>IFERROR(tbl_Form[[#This Row],[Qty Required]]/tbl_Form[[#This Row],[PPH]]*tbl_Form[[#This Row],['# of men]],"")</f>
        <v/>
      </c>
      <c r="L122" s="58" t="e">
        <f>tbl_Form[[#This Row],[Total hours]]*tbl_Form[[#This Row],[% Complete]]</f>
        <v>#VALUE!</v>
      </c>
      <c r="M122" s="59" t="str">
        <f>IFERROR(tbl_Form[[#This Row],[Qty Complete]]/tbl_Form[[#This Row],[Total Hours Act]]*tbl_Form[[#This Row],['# of men Act]],"")</f>
        <v/>
      </c>
      <c r="O122"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22" s="90" t="str">
        <f>IFERROR((tbl_Form[[#This Row],[Adj. Total Hours]]+tbl_Form[[#This Row],[Est. Hours]])/(tbl_Form[[#This Row],[Total Hours Act]]+tbl_Form[[#This Row],[Act. Hours]]),"")</f>
        <v/>
      </c>
      <c r="S122"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22" s="93"/>
      <c r="U122" s="63"/>
      <c r="V122" s="63"/>
      <c r="W122" s="63"/>
      <c r="X122" s="63"/>
    </row>
    <row r="123" spans="6:24" ht="25" customHeight="1">
      <c r="F123" s="53"/>
      <c r="H123" s="55" t="e">
        <f>tbl_Form[[#This Row],[Qty Complete]]/tbl_Form[[#This Row],[Qty Required]]</f>
        <v>#DIV/0!</v>
      </c>
      <c r="K123" s="57" t="str">
        <f>IFERROR(tbl_Form[[#This Row],[Qty Required]]/tbl_Form[[#This Row],[PPH]]*tbl_Form[[#This Row],['# of men]],"")</f>
        <v/>
      </c>
      <c r="L123" s="58" t="e">
        <f>tbl_Form[[#This Row],[Total hours]]*tbl_Form[[#This Row],[% Complete]]</f>
        <v>#VALUE!</v>
      </c>
      <c r="M123" s="59" t="str">
        <f>IFERROR(tbl_Form[[#This Row],[Qty Complete]]/tbl_Form[[#This Row],[Total Hours Act]]*tbl_Form[[#This Row],['# of men Act]],"")</f>
        <v/>
      </c>
      <c r="O123"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23" s="90" t="str">
        <f>IFERROR((tbl_Form[[#This Row],[Adj. Total Hours]]+tbl_Form[[#This Row],[Est. Hours]])/(tbl_Form[[#This Row],[Total Hours Act]]+tbl_Form[[#This Row],[Act. Hours]]),"")</f>
        <v/>
      </c>
      <c r="S123"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23" s="93"/>
      <c r="U123" s="63"/>
      <c r="V123" s="63"/>
      <c r="W123" s="63"/>
      <c r="X123" s="63"/>
    </row>
    <row r="124" spans="6:24" ht="25" customHeight="1">
      <c r="F124" s="53"/>
      <c r="H124" s="55" t="e">
        <f>tbl_Form[[#This Row],[Qty Complete]]/tbl_Form[[#This Row],[Qty Required]]</f>
        <v>#DIV/0!</v>
      </c>
      <c r="K124" s="57" t="str">
        <f>IFERROR(tbl_Form[[#This Row],[Qty Required]]/tbl_Form[[#This Row],[PPH]]*tbl_Form[[#This Row],['# of men]],"")</f>
        <v/>
      </c>
      <c r="L124" s="58" t="e">
        <f>tbl_Form[[#This Row],[Total hours]]*tbl_Form[[#This Row],[% Complete]]</f>
        <v>#VALUE!</v>
      </c>
      <c r="M124" s="59" t="str">
        <f>IFERROR(tbl_Form[[#This Row],[Qty Complete]]/tbl_Form[[#This Row],[Total Hours Act]]*tbl_Form[[#This Row],['# of men Act]],"")</f>
        <v/>
      </c>
      <c r="O124"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24" s="90" t="str">
        <f>IFERROR((tbl_Form[[#This Row],[Adj. Total Hours]]+tbl_Form[[#This Row],[Est. Hours]])/(tbl_Form[[#This Row],[Total Hours Act]]+tbl_Form[[#This Row],[Act. Hours]]),"")</f>
        <v/>
      </c>
      <c r="S124"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24" s="93"/>
      <c r="U124" s="63"/>
      <c r="V124" s="63"/>
      <c r="W124" s="63"/>
      <c r="X124" s="63"/>
    </row>
    <row r="125" spans="6:24" ht="25" customHeight="1">
      <c r="F125" s="53"/>
      <c r="H125" s="55" t="e">
        <f>tbl_Form[[#This Row],[Qty Complete]]/tbl_Form[[#This Row],[Qty Required]]</f>
        <v>#DIV/0!</v>
      </c>
      <c r="K125" s="57" t="str">
        <f>IFERROR(tbl_Form[[#This Row],[Qty Required]]/tbl_Form[[#This Row],[PPH]]*tbl_Form[[#This Row],['# of men]],"")</f>
        <v/>
      </c>
      <c r="L125" s="58" t="e">
        <f>tbl_Form[[#This Row],[Total hours]]*tbl_Form[[#This Row],[% Complete]]</f>
        <v>#VALUE!</v>
      </c>
      <c r="M125" s="59" t="str">
        <f>IFERROR(tbl_Form[[#This Row],[Qty Complete]]/tbl_Form[[#This Row],[Total Hours Act]]*tbl_Form[[#This Row],['# of men Act]],"")</f>
        <v/>
      </c>
      <c r="O125"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25" s="90" t="str">
        <f>IFERROR((tbl_Form[[#This Row],[Adj. Total Hours]]+tbl_Form[[#This Row],[Est. Hours]])/(tbl_Form[[#This Row],[Total Hours Act]]+tbl_Form[[#This Row],[Act. Hours]]),"")</f>
        <v/>
      </c>
      <c r="S125"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25" s="93"/>
      <c r="U125" s="63"/>
      <c r="V125" s="63"/>
      <c r="W125" s="63"/>
      <c r="X125" s="63"/>
    </row>
    <row r="126" spans="6:24" ht="25" customHeight="1">
      <c r="F126" s="53"/>
      <c r="H126" s="55" t="e">
        <f>tbl_Form[[#This Row],[Qty Complete]]/tbl_Form[[#This Row],[Qty Required]]</f>
        <v>#DIV/0!</v>
      </c>
      <c r="K126" s="57" t="str">
        <f>IFERROR(tbl_Form[[#This Row],[Qty Required]]/tbl_Form[[#This Row],[PPH]]*tbl_Form[[#This Row],['# of men]],"")</f>
        <v/>
      </c>
      <c r="L126" s="58" t="e">
        <f>tbl_Form[[#This Row],[Total hours]]*tbl_Form[[#This Row],[% Complete]]</f>
        <v>#VALUE!</v>
      </c>
      <c r="M126" s="59" t="str">
        <f>IFERROR(tbl_Form[[#This Row],[Qty Complete]]/tbl_Form[[#This Row],[Total Hours Act]]*tbl_Form[[#This Row],['# of men Act]],"")</f>
        <v/>
      </c>
      <c r="O126"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26" s="90" t="str">
        <f>IFERROR((tbl_Form[[#This Row],[Adj. Total Hours]]+tbl_Form[[#This Row],[Est. Hours]])/(tbl_Form[[#This Row],[Total Hours Act]]+tbl_Form[[#This Row],[Act. Hours]]),"")</f>
        <v/>
      </c>
      <c r="S126"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26" s="93"/>
      <c r="U126" s="63"/>
      <c r="V126" s="63"/>
      <c r="W126" s="63"/>
      <c r="X126" s="63"/>
    </row>
    <row r="127" spans="6:24" ht="25" customHeight="1">
      <c r="F127" s="53"/>
      <c r="H127" s="55" t="e">
        <f>tbl_Form[[#This Row],[Qty Complete]]/tbl_Form[[#This Row],[Qty Required]]</f>
        <v>#DIV/0!</v>
      </c>
      <c r="K127" s="57" t="str">
        <f>IFERROR(tbl_Form[[#This Row],[Qty Required]]/tbl_Form[[#This Row],[PPH]]*tbl_Form[[#This Row],['# of men]],"")</f>
        <v/>
      </c>
      <c r="L127" s="58" t="e">
        <f>tbl_Form[[#This Row],[Total hours]]*tbl_Form[[#This Row],[% Complete]]</f>
        <v>#VALUE!</v>
      </c>
      <c r="M127" s="59" t="str">
        <f>IFERROR(tbl_Form[[#This Row],[Qty Complete]]/tbl_Form[[#This Row],[Total Hours Act]]*tbl_Form[[#This Row],['# of men Act]],"")</f>
        <v/>
      </c>
      <c r="O127"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27" s="90" t="str">
        <f>IFERROR((tbl_Form[[#This Row],[Adj. Total Hours]]+tbl_Form[[#This Row],[Est. Hours]])/(tbl_Form[[#This Row],[Total Hours Act]]+tbl_Form[[#This Row],[Act. Hours]]),"")</f>
        <v/>
      </c>
      <c r="S127"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27" s="93"/>
      <c r="U127" s="63"/>
      <c r="V127" s="63"/>
      <c r="W127" s="63"/>
      <c r="X127" s="63"/>
    </row>
    <row r="128" spans="6:24" ht="25" customHeight="1">
      <c r="F128" s="53"/>
      <c r="H128" s="55" t="e">
        <f>tbl_Form[[#This Row],[Qty Complete]]/tbl_Form[[#This Row],[Qty Required]]</f>
        <v>#DIV/0!</v>
      </c>
      <c r="K128" s="57" t="str">
        <f>IFERROR(tbl_Form[[#This Row],[Qty Required]]/tbl_Form[[#This Row],[PPH]]*tbl_Form[[#This Row],['# of men]],"")</f>
        <v/>
      </c>
      <c r="L128" s="58" t="e">
        <f>tbl_Form[[#This Row],[Total hours]]*tbl_Form[[#This Row],[% Complete]]</f>
        <v>#VALUE!</v>
      </c>
      <c r="M128" s="59" t="str">
        <f>IFERROR(tbl_Form[[#This Row],[Qty Complete]]/tbl_Form[[#This Row],[Total Hours Act]]*tbl_Form[[#This Row],['# of men Act]],"")</f>
        <v/>
      </c>
      <c r="O128"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28" s="90" t="str">
        <f>IFERROR((tbl_Form[[#This Row],[Adj. Total Hours]]+tbl_Form[[#This Row],[Est. Hours]])/(tbl_Form[[#This Row],[Total Hours Act]]+tbl_Form[[#This Row],[Act. Hours]]),"")</f>
        <v/>
      </c>
      <c r="S128"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28" s="93"/>
      <c r="U128" s="63"/>
      <c r="V128" s="63"/>
      <c r="W128" s="63"/>
      <c r="X128" s="63"/>
    </row>
    <row r="129" spans="6:24" ht="25" customHeight="1">
      <c r="F129" s="53"/>
      <c r="H129" s="55" t="e">
        <f>tbl_Form[[#This Row],[Qty Complete]]/tbl_Form[[#This Row],[Qty Required]]</f>
        <v>#DIV/0!</v>
      </c>
      <c r="K129" s="57" t="str">
        <f>IFERROR(tbl_Form[[#This Row],[Qty Required]]/tbl_Form[[#This Row],[PPH]]*tbl_Form[[#This Row],['# of men]],"")</f>
        <v/>
      </c>
      <c r="L129" s="58" t="e">
        <f>tbl_Form[[#This Row],[Total hours]]*tbl_Form[[#This Row],[% Complete]]</f>
        <v>#VALUE!</v>
      </c>
      <c r="M129" s="59" t="str">
        <f>IFERROR(tbl_Form[[#This Row],[Qty Complete]]/tbl_Form[[#This Row],[Total Hours Act]]*tbl_Form[[#This Row],['# of men Act]],"")</f>
        <v/>
      </c>
      <c r="O129"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29" s="90" t="str">
        <f>IFERROR((tbl_Form[[#This Row],[Adj. Total Hours]]+tbl_Form[[#This Row],[Est. Hours]])/(tbl_Form[[#This Row],[Total Hours Act]]+tbl_Form[[#This Row],[Act. Hours]]),"")</f>
        <v/>
      </c>
      <c r="S129"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29" s="93"/>
      <c r="U129" s="63"/>
      <c r="V129" s="63"/>
      <c r="W129" s="63"/>
      <c r="X129" s="63"/>
    </row>
    <row r="130" spans="6:24" ht="25" customHeight="1">
      <c r="F130" s="53"/>
      <c r="H130" s="55" t="e">
        <f>tbl_Form[[#This Row],[Qty Complete]]/tbl_Form[[#This Row],[Qty Required]]</f>
        <v>#DIV/0!</v>
      </c>
      <c r="K130" s="57" t="str">
        <f>IFERROR(tbl_Form[[#This Row],[Qty Required]]/tbl_Form[[#This Row],[PPH]]*tbl_Form[[#This Row],['# of men]],"")</f>
        <v/>
      </c>
      <c r="L130" s="58" t="e">
        <f>tbl_Form[[#This Row],[Total hours]]*tbl_Form[[#This Row],[% Complete]]</f>
        <v>#VALUE!</v>
      </c>
      <c r="M130" s="59" t="str">
        <f>IFERROR(tbl_Form[[#This Row],[Qty Complete]]/tbl_Form[[#This Row],[Total Hours Act]]*tbl_Form[[#This Row],['# of men Act]],"")</f>
        <v/>
      </c>
      <c r="O130"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30" s="90" t="str">
        <f>IFERROR((tbl_Form[[#This Row],[Adj. Total Hours]]+tbl_Form[[#This Row],[Est. Hours]])/(tbl_Form[[#This Row],[Total Hours Act]]+tbl_Form[[#This Row],[Act. Hours]]),"")</f>
        <v/>
      </c>
      <c r="S130"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30" s="93"/>
      <c r="U130" s="63"/>
      <c r="V130" s="63"/>
      <c r="W130" s="63"/>
      <c r="X130" s="63"/>
    </row>
    <row r="131" spans="6:24" ht="25" customHeight="1">
      <c r="F131" s="53"/>
      <c r="H131" s="55" t="e">
        <f>tbl_Form[[#This Row],[Qty Complete]]/tbl_Form[[#This Row],[Qty Required]]</f>
        <v>#DIV/0!</v>
      </c>
      <c r="K131" s="57" t="str">
        <f>IFERROR(tbl_Form[[#This Row],[Qty Required]]/tbl_Form[[#This Row],[PPH]]*tbl_Form[[#This Row],['# of men]],"")</f>
        <v/>
      </c>
      <c r="L131" s="58" t="e">
        <f>tbl_Form[[#This Row],[Total hours]]*tbl_Form[[#This Row],[% Complete]]</f>
        <v>#VALUE!</v>
      </c>
      <c r="M131" s="59" t="str">
        <f>IFERROR(tbl_Form[[#This Row],[Qty Complete]]/tbl_Form[[#This Row],[Total Hours Act]]*tbl_Form[[#This Row],['# of men Act]],"")</f>
        <v/>
      </c>
      <c r="O131"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31" s="90" t="str">
        <f>IFERROR((tbl_Form[[#This Row],[Adj. Total Hours]]+tbl_Form[[#This Row],[Est. Hours]])/(tbl_Form[[#This Row],[Total Hours Act]]+tbl_Form[[#This Row],[Act. Hours]]),"")</f>
        <v/>
      </c>
      <c r="S131"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31" s="93"/>
      <c r="U131" s="63"/>
      <c r="V131" s="63"/>
      <c r="W131" s="63"/>
      <c r="X131" s="63"/>
    </row>
    <row r="132" spans="6:24" ht="25" customHeight="1">
      <c r="F132" s="53"/>
      <c r="H132" s="55" t="e">
        <f>tbl_Form[[#This Row],[Qty Complete]]/tbl_Form[[#This Row],[Qty Required]]</f>
        <v>#DIV/0!</v>
      </c>
      <c r="K132" s="57" t="str">
        <f>IFERROR(tbl_Form[[#This Row],[Qty Required]]/tbl_Form[[#This Row],[PPH]]*tbl_Form[[#This Row],['# of men]],"")</f>
        <v/>
      </c>
      <c r="L132" s="58" t="e">
        <f>tbl_Form[[#This Row],[Total hours]]*tbl_Form[[#This Row],[% Complete]]</f>
        <v>#VALUE!</v>
      </c>
      <c r="M132" s="59" t="str">
        <f>IFERROR(tbl_Form[[#This Row],[Qty Complete]]/tbl_Form[[#This Row],[Total Hours Act]]*tbl_Form[[#This Row],['# of men Act]],"")</f>
        <v/>
      </c>
      <c r="O132"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32" s="90" t="str">
        <f>IFERROR((tbl_Form[[#This Row],[Adj. Total Hours]]+tbl_Form[[#This Row],[Est. Hours]])/(tbl_Form[[#This Row],[Total Hours Act]]+tbl_Form[[#This Row],[Act. Hours]]),"")</f>
        <v/>
      </c>
      <c r="S132"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32" s="93"/>
      <c r="U132" s="63"/>
      <c r="V132" s="63"/>
      <c r="W132" s="63"/>
      <c r="X132" s="63"/>
    </row>
    <row r="133" spans="6:24" ht="25" customHeight="1">
      <c r="F133" s="53"/>
      <c r="H133" s="55" t="e">
        <f>tbl_Form[[#This Row],[Qty Complete]]/tbl_Form[[#This Row],[Qty Required]]</f>
        <v>#DIV/0!</v>
      </c>
      <c r="K133" s="57" t="str">
        <f>IFERROR(tbl_Form[[#This Row],[Qty Required]]/tbl_Form[[#This Row],[PPH]]*tbl_Form[[#This Row],['# of men]],"")</f>
        <v/>
      </c>
      <c r="L133" s="58" t="e">
        <f>tbl_Form[[#This Row],[Total hours]]*tbl_Form[[#This Row],[% Complete]]</f>
        <v>#VALUE!</v>
      </c>
      <c r="M133" s="59" t="str">
        <f>IFERROR(tbl_Form[[#This Row],[Qty Complete]]/tbl_Form[[#This Row],[Total Hours Act]]*tbl_Form[[#This Row],['# of men Act]],"")</f>
        <v/>
      </c>
      <c r="O133"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33" s="90" t="str">
        <f>IFERROR((tbl_Form[[#This Row],[Adj. Total Hours]]+tbl_Form[[#This Row],[Est. Hours]])/(tbl_Form[[#This Row],[Total Hours Act]]+tbl_Form[[#This Row],[Act. Hours]]),"")</f>
        <v/>
      </c>
      <c r="S133"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33" s="93"/>
      <c r="U133" s="63"/>
      <c r="V133" s="63"/>
      <c r="W133" s="63"/>
      <c r="X133" s="63"/>
    </row>
    <row r="134" spans="6:24" ht="25" customHeight="1">
      <c r="F134" s="53"/>
      <c r="H134" s="55" t="e">
        <f>tbl_Form[[#This Row],[Qty Complete]]/tbl_Form[[#This Row],[Qty Required]]</f>
        <v>#DIV/0!</v>
      </c>
      <c r="K134" s="57" t="str">
        <f>IFERROR(tbl_Form[[#This Row],[Qty Required]]/tbl_Form[[#This Row],[PPH]]*tbl_Form[[#This Row],['# of men]],"")</f>
        <v/>
      </c>
      <c r="L134" s="58" t="e">
        <f>tbl_Form[[#This Row],[Total hours]]*tbl_Form[[#This Row],[% Complete]]</f>
        <v>#VALUE!</v>
      </c>
      <c r="M134" s="59" t="str">
        <f>IFERROR(tbl_Form[[#This Row],[Qty Complete]]/tbl_Form[[#This Row],[Total Hours Act]]*tbl_Form[[#This Row],['# of men Act]],"")</f>
        <v/>
      </c>
      <c r="O134"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34" s="90" t="str">
        <f>IFERROR((tbl_Form[[#This Row],[Adj. Total Hours]]+tbl_Form[[#This Row],[Est. Hours]])/(tbl_Form[[#This Row],[Total Hours Act]]+tbl_Form[[#This Row],[Act. Hours]]),"")</f>
        <v/>
      </c>
      <c r="S134"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34" s="93"/>
      <c r="U134" s="63"/>
      <c r="V134" s="63"/>
      <c r="W134" s="63"/>
      <c r="X134" s="63"/>
    </row>
    <row r="135" spans="6:24" ht="25" customHeight="1">
      <c r="F135" s="53"/>
      <c r="H135" s="55" t="e">
        <f>tbl_Form[[#This Row],[Qty Complete]]/tbl_Form[[#This Row],[Qty Required]]</f>
        <v>#DIV/0!</v>
      </c>
      <c r="K135" s="57" t="str">
        <f>IFERROR(tbl_Form[[#This Row],[Qty Required]]/tbl_Form[[#This Row],[PPH]]*tbl_Form[[#This Row],['# of men]],"")</f>
        <v/>
      </c>
      <c r="L135" s="58" t="e">
        <f>tbl_Form[[#This Row],[Total hours]]*tbl_Form[[#This Row],[% Complete]]</f>
        <v>#VALUE!</v>
      </c>
      <c r="M135" s="59" t="str">
        <f>IFERROR(tbl_Form[[#This Row],[Qty Complete]]/tbl_Form[[#This Row],[Total Hours Act]]*tbl_Form[[#This Row],['# of men Act]],"")</f>
        <v/>
      </c>
      <c r="O135"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35" s="90" t="str">
        <f>IFERROR((tbl_Form[[#This Row],[Adj. Total Hours]]+tbl_Form[[#This Row],[Est. Hours]])/(tbl_Form[[#This Row],[Total Hours Act]]+tbl_Form[[#This Row],[Act. Hours]]),"")</f>
        <v/>
      </c>
      <c r="S135"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35" s="93"/>
      <c r="U135" s="63"/>
      <c r="V135" s="63"/>
      <c r="W135" s="63"/>
      <c r="X135" s="63"/>
    </row>
    <row r="136" spans="6:24" ht="25" customHeight="1">
      <c r="F136" s="53"/>
      <c r="H136" s="55" t="e">
        <f>tbl_Form[[#This Row],[Qty Complete]]/tbl_Form[[#This Row],[Qty Required]]</f>
        <v>#DIV/0!</v>
      </c>
      <c r="K136" s="57" t="str">
        <f>IFERROR(tbl_Form[[#This Row],[Qty Required]]/tbl_Form[[#This Row],[PPH]]*tbl_Form[[#This Row],['# of men]],"")</f>
        <v/>
      </c>
      <c r="L136" s="58" t="e">
        <f>tbl_Form[[#This Row],[Total hours]]*tbl_Form[[#This Row],[% Complete]]</f>
        <v>#VALUE!</v>
      </c>
      <c r="M136" s="59" t="str">
        <f>IFERROR(tbl_Form[[#This Row],[Qty Complete]]/tbl_Form[[#This Row],[Total Hours Act]]*tbl_Form[[#This Row],['# of men Act]],"")</f>
        <v/>
      </c>
      <c r="O136"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36" s="90" t="str">
        <f>IFERROR((tbl_Form[[#This Row],[Adj. Total Hours]]+tbl_Form[[#This Row],[Est. Hours]])/(tbl_Form[[#This Row],[Total Hours Act]]+tbl_Form[[#This Row],[Act. Hours]]),"")</f>
        <v/>
      </c>
      <c r="S136"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36" s="93"/>
      <c r="U136" s="63"/>
      <c r="V136" s="63"/>
      <c r="W136" s="63"/>
      <c r="X136" s="63"/>
    </row>
    <row r="137" spans="6:24" ht="25" customHeight="1">
      <c r="F137" s="53"/>
      <c r="H137" s="55" t="e">
        <f>tbl_Form[[#This Row],[Qty Complete]]/tbl_Form[[#This Row],[Qty Required]]</f>
        <v>#DIV/0!</v>
      </c>
      <c r="K137" s="57" t="str">
        <f>IFERROR(tbl_Form[[#This Row],[Qty Required]]/tbl_Form[[#This Row],[PPH]]*tbl_Form[[#This Row],['# of men]],"")</f>
        <v/>
      </c>
      <c r="L137" s="58" t="e">
        <f>tbl_Form[[#This Row],[Total hours]]*tbl_Form[[#This Row],[% Complete]]</f>
        <v>#VALUE!</v>
      </c>
      <c r="M137" s="59" t="str">
        <f>IFERROR(tbl_Form[[#This Row],[Qty Complete]]/tbl_Form[[#This Row],[Total Hours Act]]*tbl_Form[[#This Row],['# of men Act]],"")</f>
        <v/>
      </c>
      <c r="O137"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37" s="90" t="str">
        <f>IFERROR((tbl_Form[[#This Row],[Adj. Total Hours]]+tbl_Form[[#This Row],[Est. Hours]])/(tbl_Form[[#This Row],[Total Hours Act]]+tbl_Form[[#This Row],[Act. Hours]]),"")</f>
        <v/>
      </c>
      <c r="S137"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37" s="93"/>
      <c r="U137" s="63"/>
      <c r="V137" s="63"/>
      <c r="W137" s="63"/>
      <c r="X137" s="63"/>
    </row>
    <row r="138" spans="6:24" ht="25" customHeight="1">
      <c r="F138" s="53"/>
      <c r="H138" s="55" t="e">
        <f>tbl_Form[[#This Row],[Qty Complete]]/tbl_Form[[#This Row],[Qty Required]]</f>
        <v>#DIV/0!</v>
      </c>
      <c r="K138" s="57" t="str">
        <f>IFERROR(tbl_Form[[#This Row],[Qty Required]]/tbl_Form[[#This Row],[PPH]]*tbl_Form[[#This Row],['# of men]],"")</f>
        <v/>
      </c>
      <c r="L138" s="58" t="e">
        <f>tbl_Form[[#This Row],[Total hours]]*tbl_Form[[#This Row],[% Complete]]</f>
        <v>#VALUE!</v>
      </c>
      <c r="M138" s="59" t="str">
        <f>IFERROR(tbl_Form[[#This Row],[Qty Complete]]/tbl_Form[[#This Row],[Total Hours Act]]*tbl_Form[[#This Row],['# of men Act]],"")</f>
        <v/>
      </c>
      <c r="O138"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38" s="90" t="str">
        <f>IFERROR((tbl_Form[[#This Row],[Adj. Total Hours]]+tbl_Form[[#This Row],[Est. Hours]])/(tbl_Form[[#This Row],[Total Hours Act]]+tbl_Form[[#This Row],[Act. Hours]]),"")</f>
        <v/>
      </c>
      <c r="S138"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38" s="93"/>
      <c r="U138" s="63"/>
      <c r="V138" s="63"/>
      <c r="W138" s="63"/>
      <c r="X138" s="63"/>
    </row>
    <row r="139" spans="6:24" ht="25" customHeight="1">
      <c r="F139" s="53"/>
      <c r="H139" s="55" t="e">
        <f>tbl_Form[[#This Row],[Qty Complete]]/tbl_Form[[#This Row],[Qty Required]]</f>
        <v>#DIV/0!</v>
      </c>
      <c r="K139" s="57" t="str">
        <f>IFERROR(tbl_Form[[#This Row],[Qty Required]]/tbl_Form[[#This Row],[PPH]]*tbl_Form[[#This Row],['# of men]],"")</f>
        <v/>
      </c>
      <c r="L139" s="58" t="e">
        <f>tbl_Form[[#This Row],[Total hours]]*tbl_Form[[#This Row],[% Complete]]</f>
        <v>#VALUE!</v>
      </c>
      <c r="M139" s="59" t="str">
        <f>IFERROR(tbl_Form[[#This Row],[Qty Complete]]/tbl_Form[[#This Row],[Total Hours Act]]*tbl_Form[[#This Row],['# of men Act]],"")</f>
        <v/>
      </c>
      <c r="O139"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39" s="90" t="str">
        <f>IFERROR((tbl_Form[[#This Row],[Adj. Total Hours]]+tbl_Form[[#This Row],[Est. Hours]])/(tbl_Form[[#This Row],[Total Hours Act]]+tbl_Form[[#This Row],[Act. Hours]]),"")</f>
        <v/>
      </c>
      <c r="S139"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39" s="93"/>
      <c r="U139" s="63"/>
      <c r="V139" s="63"/>
      <c r="W139" s="63"/>
      <c r="X139" s="63"/>
    </row>
    <row r="140" spans="6:24" ht="25" customHeight="1">
      <c r="F140" s="53"/>
      <c r="H140" s="55" t="e">
        <f>tbl_Form[[#This Row],[Qty Complete]]/tbl_Form[[#This Row],[Qty Required]]</f>
        <v>#DIV/0!</v>
      </c>
      <c r="K140" s="57" t="str">
        <f>IFERROR(tbl_Form[[#This Row],[Qty Required]]/tbl_Form[[#This Row],[PPH]]*tbl_Form[[#This Row],['# of men]],"")</f>
        <v/>
      </c>
      <c r="L140" s="58" t="e">
        <f>tbl_Form[[#This Row],[Total hours]]*tbl_Form[[#This Row],[% Complete]]</f>
        <v>#VALUE!</v>
      </c>
      <c r="M140" s="59" t="str">
        <f>IFERROR(tbl_Form[[#This Row],[Qty Complete]]/tbl_Form[[#This Row],[Total Hours Act]]*tbl_Form[[#This Row],['# of men Act]],"")</f>
        <v/>
      </c>
      <c r="O140"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40" s="90" t="str">
        <f>IFERROR((tbl_Form[[#This Row],[Adj. Total Hours]]+tbl_Form[[#This Row],[Est. Hours]])/(tbl_Form[[#This Row],[Total Hours Act]]+tbl_Form[[#This Row],[Act. Hours]]),"")</f>
        <v/>
      </c>
      <c r="S140"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40" s="93"/>
      <c r="U140" s="63"/>
      <c r="V140" s="63"/>
      <c r="W140" s="63"/>
      <c r="X140" s="63"/>
    </row>
    <row r="141" spans="6:24" ht="25" customHeight="1">
      <c r="F141" s="53"/>
      <c r="H141" s="55" t="e">
        <f>tbl_Form[[#This Row],[Qty Complete]]/tbl_Form[[#This Row],[Qty Required]]</f>
        <v>#DIV/0!</v>
      </c>
      <c r="K141" s="57" t="str">
        <f>IFERROR(tbl_Form[[#This Row],[Qty Required]]/tbl_Form[[#This Row],[PPH]]*tbl_Form[[#This Row],['# of men]],"")</f>
        <v/>
      </c>
      <c r="L141" s="58" t="e">
        <f>tbl_Form[[#This Row],[Total hours]]*tbl_Form[[#This Row],[% Complete]]</f>
        <v>#VALUE!</v>
      </c>
      <c r="M141" s="59" t="str">
        <f>IFERROR(tbl_Form[[#This Row],[Qty Complete]]/tbl_Form[[#This Row],[Total Hours Act]]*tbl_Form[[#This Row],['# of men Act]],"")</f>
        <v/>
      </c>
      <c r="O141"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41" s="90" t="str">
        <f>IFERROR((tbl_Form[[#This Row],[Adj. Total Hours]]+tbl_Form[[#This Row],[Est. Hours]])/(tbl_Form[[#This Row],[Total Hours Act]]+tbl_Form[[#This Row],[Act. Hours]]),"")</f>
        <v/>
      </c>
      <c r="S141"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41" s="93"/>
      <c r="U141" s="63"/>
      <c r="V141" s="63"/>
      <c r="W141" s="63"/>
      <c r="X141" s="63"/>
    </row>
    <row r="142" spans="6:24" ht="25" customHeight="1">
      <c r="F142" s="53"/>
      <c r="H142" s="55" t="e">
        <f>tbl_Form[[#This Row],[Qty Complete]]/tbl_Form[[#This Row],[Qty Required]]</f>
        <v>#DIV/0!</v>
      </c>
      <c r="K142" s="57" t="str">
        <f>IFERROR(tbl_Form[[#This Row],[Qty Required]]/tbl_Form[[#This Row],[PPH]]*tbl_Form[[#This Row],['# of men]],"")</f>
        <v/>
      </c>
      <c r="L142" s="58" t="e">
        <f>tbl_Form[[#This Row],[Total hours]]*tbl_Form[[#This Row],[% Complete]]</f>
        <v>#VALUE!</v>
      </c>
      <c r="M142" s="59" t="str">
        <f>IFERROR(tbl_Form[[#This Row],[Qty Complete]]/tbl_Form[[#This Row],[Total Hours Act]]*tbl_Form[[#This Row],['# of men Act]],"")</f>
        <v/>
      </c>
      <c r="O142"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42" s="90" t="str">
        <f>IFERROR((tbl_Form[[#This Row],[Adj. Total Hours]]+tbl_Form[[#This Row],[Est. Hours]])/(tbl_Form[[#This Row],[Total Hours Act]]+tbl_Form[[#This Row],[Act. Hours]]),"")</f>
        <v/>
      </c>
      <c r="S142"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42" s="93"/>
      <c r="U142" s="63"/>
      <c r="V142" s="63"/>
      <c r="W142" s="63"/>
      <c r="X142" s="63"/>
    </row>
    <row r="143" spans="6:24" ht="25" customHeight="1">
      <c r="F143" s="53"/>
      <c r="H143" s="55" t="e">
        <f>tbl_Form[[#This Row],[Qty Complete]]/tbl_Form[[#This Row],[Qty Required]]</f>
        <v>#DIV/0!</v>
      </c>
      <c r="K143" s="57" t="str">
        <f>IFERROR(tbl_Form[[#This Row],[Qty Required]]/tbl_Form[[#This Row],[PPH]]*tbl_Form[[#This Row],['# of men]],"")</f>
        <v/>
      </c>
      <c r="L143" s="58" t="e">
        <f>tbl_Form[[#This Row],[Total hours]]*tbl_Form[[#This Row],[% Complete]]</f>
        <v>#VALUE!</v>
      </c>
      <c r="M143" s="59" t="str">
        <f>IFERROR(tbl_Form[[#This Row],[Qty Complete]]/tbl_Form[[#This Row],[Total Hours Act]]*tbl_Form[[#This Row],['# of men Act]],"")</f>
        <v/>
      </c>
      <c r="O143"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43" s="90" t="str">
        <f>IFERROR((tbl_Form[[#This Row],[Adj. Total Hours]]+tbl_Form[[#This Row],[Est. Hours]])/(tbl_Form[[#This Row],[Total Hours Act]]+tbl_Form[[#This Row],[Act. Hours]]),"")</f>
        <v/>
      </c>
      <c r="S143"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43" s="93"/>
      <c r="U143" s="63"/>
      <c r="V143" s="63"/>
      <c r="W143" s="63"/>
      <c r="X143" s="63"/>
    </row>
    <row r="144" spans="6:24" ht="25" customHeight="1">
      <c r="F144" s="53"/>
      <c r="H144" s="55" t="e">
        <f>tbl_Form[[#This Row],[Qty Complete]]/tbl_Form[[#This Row],[Qty Required]]</f>
        <v>#DIV/0!</v>
      </c>
      <c r="K144" s="57" t="str">
        <f>IFERROR(tbl_Form[[#This Row],[Qty Required]]/tbl_Form[[#This Row],[PPH]]*tbl_Form[[#This Row],['# of men]],"")</f>
        <v/>
      </c>
      <c r="L144" s="58" t="e">
        <f>tbl_Form[[#This Row],[Total hours]]*tbl_Form[[#This Row],[% Complete]]</f>
        <v>#VALUE!</v>
      </c>
      <c r="M144" s="59" t="str">
        <f>IFERROR(tbl_Form[[#This Row],[Qty Complete]]/tbl_Form[[#This Row],[Total Hours Act]]*tbl_Form[[#This Row],['# of men Act]],"")</f>
        <v/>
      </c>
      <c r="O144"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44" s="90" t="str">
        <f>IFERROR((tbl_Form[[#This Row],[Adj. Total Hours]]+tbl_Form[[#This Row],[Est. Hours]])/(tbl_Form[[#This Row],[Total Hours Act]]+tbl_Form[[#This Row],[Act. Hours]]),"")</f>
        <v/>
      </c>
      <c r="S144"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44" s="93"/>
      <c r="U144" s="63"/>
      <c r="V144" s="63"/>
      <c r="W144" s="63"/>
      <c r="X144" s="63"/>
    </row>
    <row r="145" spans="6:24" ht="25" customHeight="1">
      <c r="F145" s="53"/>
      <c r="H145" s="55" t="e">
        <f>tbl_Form[[#This Row],[Qty Complete]]/tbl_Form[[#This Row],[Qty Required]]</f>
        <v>#DIV/0!</v>
      </c>
      <c r="K145" s="57" t="str">
        <f>IFERROR(tbl_Form[[#This Row],[Qty Required]]/tbl_Form[[#This Row],[PPH]]*tbl_Form[[#This Row],['# of men]],"")</f>
        <v/>
      </c>
      <c r="L145" s="58" t="e">
        <f>tbl_Form[[#This Row],[Total hours]]*tbl_Form[[#This Row],[% Complete]]</f>
        <v>#VALUE!</v>
      </c>
      <c r="M145" s="59" t="str">
        <f>IFERROR(tbl_Form[[#This Row],[Qty Complete]]/tbl_Form[[#This Row],[Total Hours Act]]*tbl_Form[[#This Row],['# of men Act]],"")</f>
        <v/>
      </c>
      <c r="O145"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45" s="90" t="str">
        <f>IFERROR((tbl_Form[[#This Row],[Adj. Total Hours]]+tbl_Form[[#This Row],[Est. Hours]])/(tbl_Form[[#This Row],[Total Hours Act]]+tbl_Form[[#This Row],[Act. Hours]]),"")</f>
        <v/>
      </c>
      <c r="S145"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45" s="93"/>
      <c r="U145" s="63"/>
      <c r="V145" s="63"/>
      <c r="W145" s="63"/>
      <c r="X145" s="63"/>
    </row>
    <row r="146" spans="6:24" ht="25" customHeight="1">
      <c r="F146" s="53"/>
      <c r="H146" s="55" t="e">
        <f>tbl_Form[[#This Row],[Qty Complete]]/tbl_Form[[#This Row],[Qty Required]]</f>
        <v>#DIV/0!</v>
      </c>
      <c r="K146" s="57" t="str">
        <f>IFERROR(tbl_Form[[#This Row],[Qty Required]]/tbl_Form[[#This Row],[PPH]]*tbl_Form[[#This Row],['# of men]],"")</f>
        <v/>
      </c>
      <c r="L146" s="58" t="e">
        <f>tbl_Form[[#This Row],[Total hours]]*tbl_Form[[#This Row],[% Complete]]</f>
        <v>#VALUE!</v>
      </c>
      <c r="M146" s="59" t="str">
        <f>IFERROR(tbl_Form[[#This Row],[Qty Complete]]/tbl_Form[[#This Row],[Total Hours Act]]*tbl_Form[[#This Row],['# of men Act]],"")</f>
        <v/>
      </c>
      <c r="O146"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46" s="90" t="str">
        <f>IFERROR((tbl_Form[[#This Row],[Adj. Total Hours]]+tbl_Form[[#This Row],[Est. Hours]])/(tbl_Form[[#This Row],[Total Hours Act]]+tbl_Form[[#This Row],[Act. Hours]]),"")</f>
        <v/>
      </c>
      <c r="S146"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46" s="93"/>
      <c r="U146" s="63"/>
      <c r="V146" s="63"/>
      <c r="W146" s="63"/>
      <c r="X146" s="63"/>
    </row>
    <row r="147" spans="6:24" ht="25" customHeight="1">
      <c r="F147" s="53"/>
      <c r="H147" s="55" t="e">
        <f>tbl_Form[[#This Row],[Qty Complete]]/tbl_Form[[#This Row],[Qty Required]]</f>
        <v>#DIV/0!</v>
      </c>
      <c r="K147" s="57" t="str">
        <f>IFERROR(tbl_Form[[#This Row],[Qty Required]]/tbl_Form[[#This Row],[PPH]]*tbl_Form[[#This Row],['# of men]],"")</f>
        <v/>
      </c>
      <c r="L147" s="58" t="e">
        <f>tbl_Form[[#This Row],[Total hours]]*tbl_Form[[#This Row],[% Complete]]</f>
        <v>#VALUE!</v>
      </c>
      <c r="M147" s="59" t="str">
        <f>IFERROR(tbl_Form[[#This Row],[Qty Complete]]/tbl_Form[[#This Row],[Total Hours Act]]*tbl_Form[[#This Row],['# of men Act]],"")</f>
        <v/>
      </c>
      <c r="O147"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47" s="90" t="str">
        <f>IFERROR((tbl_Form[[#This Row],[Adj. Total Hours]]+tbl_Form[[#This Row],[Est. Hours]])/(tbl_Form[[#This Row],[Total Hours Act]]+tbl_Form[[#This Row],[Act. Hours]]),"")</f>
        <v/>
      </c>
      <c r="S147"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47" s="93"/>
      <c r="U147" s="63"/>
      <c r="V147" s="63"/>
      <c r="W147" s="63"/>
      <c r="X147" s="63"/>
    </row>
    <row r="148" spans="6:24" ht="25" customHeight="1">
      <c r="F148" s="53"/>
      <c r="H148" s="55" t="e">
        <f>tbl_Form[[#This Row],[Qty Complete]]/tbl_Form[[#This Row],[Qty Required]]</f>
        <v>#DIV/0!</v>
      </c>
      <c r="K148" s="57" t="str">
        <f>IFERROR(tbl_Form[[#This Row],[Qty Required]]/tbl_Form[[#This Row],[PPH]]*tbl_Form[[#This Row],['# of men]],"")</f>
        <v/>
      </c>
      <c r="L148" s="58" t="e">
        <f>tbl_Form[[#This Row],[Total hours]]*tbl_Form[[#This Row],[% Complete]]</f>
        <v>#VALUE!</v>
      </c>
      <c r="M148" s="59" t="str">
        <f>IFERROR(tbl_Form[[#This Row],[Qty Complete]]/tbl_Form[[#This Row],[Total Hours Act]]*tbl_Form[[#This Row],['# of men Act]],"")</f>
        <v/>
      </c>
      <c r="O148"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48" s="90" t="str">
        <f>IFERROR((tbl_Form[[#This Row],[Adj. Total Hours]]+tbl_Form[[#This Row],[Est. Hours]])/(tbl_Form[[#This Row],[Total Hours Act]]+tbl_Form[[#This Row],[Act. Hours]]),"")</f>
        <v/>
      </c>
      <c r="S148"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48" s="93"/>
      <c r="U148" s="63"/>
      <c r="V148" s="63"/>
      <c r="W148" s="63"/>
      <c r="X148" s="63"/>
    </row>
    <row r="149" spans="6:24" ht="25" customHeight="1">
      <c r="F149" s="53"/>
      <c r="H149" s="55" t="e">
        <f>tbl_Form[[#This Row],[Qty Complete]]/tbl_Form[[#This Row],[Qty Required]]</f>
        <v>#DIV/0!</v>
      </c>
      <c r="K149" s="57" t="str">
        <f>IFERROR(tbl_Form[[#This Row],[Qty Required]]/tbl_Form[[#This Row],[PPH]]*tbl_Form[[#This Row],['# of men]],"")</f>
        <v/>
      </c>
      <c r="L149" s="58" t="e">
        <f>tbl_Form[[#This Row],[Total hours]]*tbl_Form[[#This Row],[% Complete]]</f>
        <v>#VALUE!</v>
      </c>
      <c r="M149" s="59" t="str">
        <f>IFERROR(tbl_Form[[#This Row],[Qty Complete]]/tbl_Form[[#This Row],[Total Hours Act]]*tbl_Form[[#This Row],['# of men Act]],"")</f>
        <v/>
      </c>
      <c r="O149"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49" s="90" t="str">
        <f>IFERROR((tbl_Form[[#This Row],[Adj. Total Hours]]+tbl_Form[[#This Row],[Est. Hours]])/(tbl_Form[[#This Row],[Total Hours Act]]+tbl_Form[[#This Row],[Act. Hours]]),"")</f>
        <v/>
      </c>
      <c r="S149"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49" s="93"/>
      <c r="U149" s="63"/>
      <c r="V149" s="63"/>
      <c r="W149" s="63"/>
      <c r="X149" s="63"/>
    </row>
    <row r="150" spans="6:24" ht="25" customHeight="1">
      <c r="F150" s="53"/>
      <c r="H150" s="55" t="e">
        <f>tbl_Form[[#This Row],[Qty Complete]]/tbl_Form[[#This Row],[Qty Required]]</f>
        <v>#DIV/0!</v>
      </c>
      <c r="K150" s="57" t="str">
        <f>IFERROR(tbl_Form[[#This Row],[Qty Required]]/tbl_Form[[#This Row],[PPH]]*tbl_Form[[#This Row],['# of men]],"")</f>
        <v/>
      </c>
      <c r="L150" s="58" t="e">
        <f>tbl_Form[[#This Row],[Total hours]]*tbl_Form[[#This Row],[% Complete]]</f>
        <v>#VALUE!</v>
      </c>
      <c r="M150" s="59" t="str">
        <f>IFERROR(tbl_Form[[#This Row],[Qty Complete]]/tbl_Form[[#This Row],[Total Hours Act]]*tbl_Form[[#This Row],['# of men Act]],"")</f>
        <v/>
      </c>
      <c r="O150"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50" s="90" t="str">
        <f>IFERROR((tbl_Form[[#This Row],[Adj. Total Hours]]+tbl_Form[[#This Row],[Est. Hours]])/(tbl_Form[[#This Row],[Total Hours Act]]+tbl_Form[[#This Row],[Act. Hours]]),"")</f>
        <v/>
      </c>
      <c r="S150"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50" s="93"/>
      <c r="U150" s="63"/>
      <c r="V150" s="63"/>
      <c r="W150" s="63"/>
      <c r="X150" s="63"/>
    </row>
    <row r="151" spans="6:24" ht="25" customHeight="1">
      <c r="F151" s="53"/>
      <c r="H151" s="55" t="e">
        <f>tbl_Form[[#This Row],[Qty Complete]]/tbl_Form[[#This Row],[Qty Required]]</f>
        <v>#DIV/0!</v>
      </c>
      <c r="K151" s="57" t="str">
        <f>IFERROR(tbl_Form[[#This Row],[Qty Required]]/tbl_Form[[#This Row],[PPH]]*tbl_Form[[#This Row],['# of men]],"")</f>
        <v/>
      </c>
      <c r="L151" s="58" t="e">
        <f>tbl_Form[[#This Row],[Total hours]]*tbl_Form[[#This Row],[% Complete]]</f>
        <v>#VALUE!</v>
      </c>
      <c r="M151" s="59" t="str">
        <f>IFERROR(tbl_Form[[#This Row],[Qty Complete]]/tbl_Form[[#This Row],[Total Hours Act]]*tbl_Form[[#This Row],['# of men Act]],"")</f>
        <v/>
      </c>
      <c r="O151"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51" s="90" t="str">
        <f>IFERROR((tbl_Form[[#This Row],[Adj. Total Hours]]+tbl_Form[[#This Row],[Est. Hours]])/(tbl_Form[[#This Row],[Total Hours Act]]+tbl_Form[[#This Row],[Act. Hours]]),"")</f>
        <v/>
      </c>
      <c r="S151"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51" s="93"/>
      <c r="U151" s="63"/>
      <c r="V151" s="63"/>
      <c r="W151" s="63"/>
      <c r="X151" s="63"/>
    </row>
    <row r="152" spans="6:24" ht="25" customHeight="1">
      <c r="F152" s="53"/>
      <c r="H152" s="55" t="e">
        <f>tbl_Form[[#This Row],[Qty Complete]]/tbl_Form[[#This Row],[Qty Required]]</f>
        <v>#DIV/0!</v>
      </c>
      <c r="K152" s="57" t="str">
        <f>IFERROR(tbl_Form[[#This Row],[Qty Required]]/tbl_Form[[#This Row],[PPH]]*tbl_Form[[#This Row],['# of men]],"")</f>
        <v/>
      </c>
      <c r="L152" s="58" t="e">
        <f>tbl_Form[[#This Row],[Total hours]]*tbl_Form[[#This Row],[% Complete]]</f>
        <v>#VALUE!</v>
      </c>
      <c r="M152" s="59" t="str">
        <f>IFERROR(tbl_Form[[#This Row],[Qty Complete]]/tbl_Form[[#This Row],[Total Hours Act]]*tbl_Form[[#This Row],['# of men Act]],"")</f>
        <v/>
      </c>
      <c r="O152"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52" s="90" t="str">
        <f>IFERROR((tbl_Form[[#This Row],[Adj. Total Hours]]+tbl_Form[[#This Row],[Est. Hours]])/(tbl_Form[[#This Row],[Total Hours Act]]+tbl_Form[[#This Row],[Act. Hours]]),"")</f>
        <v/>
      </c>
      <c r="S152"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52" s="93"/>
      <c r="U152" s="63"/>
      <c r="V152" s="63"/>
      <c r="W152" s="63"/>
      <c r="X152" s="63"/>
    </row>
    <row r="153" spans="6:24" ht="25" customHeight="1">
      <c r="F153" s="53"/>
      <c r="H153" s="55" t="e">
        <f>tbl_Form[[#This Row],[Qty Complete]]/tbl_Form[[#This Row],[Qty Required]]</f>
        <v>#DIV/0!</v>
      </c>
      <c r="K153" s="57" t="str">
        <f>IFERROR(tbl_Form[[#This Row],[Qty Required]]/tbl_Form[[#This Row],[PPH]]*tbl_Form[[#This Row],['# of men]],"")</f>
        <v/>
      </c>
      <c r="L153" s="58" t="e">
        <f>tbl_Form[[#This Row],[Total hours]]*tbl_Form[[#This Row],[% Complete]]</f>
        <v>#VALUE!</v>
      </c>
      <c r="M153" s="59" t="str">
        <f>IFERROR(tbl_Form[[#This Row],[Qty Complete]]/tbl_Form[[#This Row],[Total Hours Act]]*tbl_Form[[#This Row],['# of men Act]],"")</f>
        <v/>
      </c>
      <c r="O153"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53" s="90" t="str">
        <f>IFERROR((tbl_Form[[#This Row],[Adj. Total Hours]]+tbl_Form[[#This Row],[Est. Hours]])/(tbl_Form[[#This Row],[Total Hours Act]]+tbl_Form[[#This Row],[Act. Hours]]),"")</f>
        <v/>
      </c>
      <c r="S153"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53" s="93"/>
      <c r="U153" s="63"/>
      <c r="V153" s="63"/>
      <c r="W153" s="63"/>
      <c r="X153" s="63"/>
    </row>
    <row r="154" spans="6:24" ht="25" customHeight="1">
      <c r="F154" s="53"/>
      <c r="H154" s="55" t="e">
        <f>tbl_Form[[#This Row],[Qty Complete]]/tbl_Form[[#This Row],[Qty Required]]</f>
        <v>#DIV/0!</v>
      </c>
      <c r="K154" s="57" t="str">
        <f>IFERROR(tbl_Form[[#This Row],[Qty Required]]/tbl_Form[[#This Row],[PPH]]*tbl_Form[[#This Row],['# of men]],"")</f>
        <v/>
      </c>
      <c r="L154" s="58" t="e">
        <f>tbl_Form[[#This Row],[Total hours]]*tbl_Form[[#This Row],[% Complete]]</f>
        <v>#VALUE!</v>
      </c>
      <c r="M154" s="59" t="str">
        <f>IFERROR(tbl_Form[[#This Row],[Qty Complete]]/tbl_Form[[#This Row],[Total Hours Act]]*tbl_Form[[#This Row],['# of men Act]],"")</f>
        <v/>
      </c>
      <c r="O154"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54" s="90" t="str">
        <f>IFERROR((tbl_Form[[#This Row],[Adj. Total Hours]]+tbl_Form[[#This Row],[Est. Hours]])/(tbl_Form[[#This Row],[Total Hours Act]]+tbl_Form[[#This Row],[Act. Hours]]),"")</f>
        <v/>
      </c>
      <c r="S154"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54" s="93"/>
      <c r="U154" s="63"/>
      <c r="V154" s="63"/>
      <c r="W154" s="63"/>
      <c r="X154" s="63"/>
    </row>
    <row r="155" spans="6:24" ht="25" customHeight="1">
      <c r="F155" s="53"/>
      <c r="H155" s="55" t="e">
        <f>tbl_Form[[#This Row],[Qty Complete]]/tbl_Form[[#This Row],[Qty Required]]</f>
        <v>#DIV/0!</v>
      </c>
      <c r="K155" s="57" t="str">
        <f>IFERROR(tbl_Form[[#This Row],[Qty Required]]/tbl_Form[[#This Row],[PPH]]*tbl_Form[[#This Row],['# of men]],"")</f>
        <v/>
      </c>
      <c r="L155" s="58" t="e">
        <f>tbl_Form[[#This Row],[Total hours]]*tbl_Form[[#This Row],[% Complete]]</f>
        <v>#VALUE!</v>
      </c>
      <c r="M155" s="59" t="str">
        <f>IFERROR(tbl_Form[[#This Row],[Qty Complete]]/tbl_Form[[#This Row],[Total Hours Act]]*tbl_Form[[#This Row],['# of men Act]],"")</f>
        <v/>
      </c>
      <c r="O155"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55" s="90" t="str">
        <f>IFERROR((tbl_Form[[#This Row],[Adj. Total Hours]]+tbl_Form[[#This Row],[Est. Hours]])/(tbl_Form[[#This Row],[Total Hours Act]]+tbl_Form[[#This Row],[Act. Hours]]),"")</f>
        <v/>
      </c>
      <c r="S155"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55" s="93"/>
      <c r="U155" s="63"/>
      <c r="V155" s="63"/>
      <c r="W155" s="63"/>
      <c r="X155" s="63"/>
    </row>
    <row r="156" spans="6:24" ht="25" customHeight="1">
      <c r="F156" s="53"/>
      <c r="H156" s="55" t="e">
        <f>tbl_Form[[#This Row],[Qty Complete]]/tbl_Form[[#This Row],[Qty Required]]</f>
        <v>#DIV/0!</v>
      </c>
      <c r="K156" s="57" t="str">
        <f>IFERROR(tbl_Form[[#This Row],[Qty Required]]/tbl_Form[[#This Row],[PPH]]*tbl_Form[[#This Row],['# of men]],"")</f>
        <v/>
      </c>
      <c r="L156" s="58" t="e">
        <f>tbl_Form[[#This Row],[Total hours]]*tbl_Form[[#This Row],[% Complete]]</f>
        <v>#VALUE!</v>
      </c>
      <c r="M156" s="59" t="str">
        <f>IFERROR(tbl_Form[[#This Row],[Qty Complete]]/tbl_Form[[#This Row],[Total Hours Act]]*tbl_Form[[#This Row],['# of men Act]],"")</f>
        <v/>
      </c>
      <c r="O156"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56" s="90" t="str">
        <f>IFERROR((tbl_Form[[#This Row],[Adj. Total Hours]]+tbl_Form[[#This Row],[Est. Hours]])/(tbl_Form[[#This Row],[Total Hours Act]]+tbl_Form[[#This Row],[Act. Hours]]),"")</f>
        <v/>
      </c>
      <c r="S156"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56" s="93"/>
      <c r="U156" s="63"/>
      <c r="V156" s="63"/>
      <c r="W156" s="63"/>
      <c r="X156" s="63"/>
    </row>
    <row r="157" spans="6:24" ht="25" customHeight="1">
      <c r="F157" s="53"/>
      <c r="H157" s="55" t="e">
        <f>tbl_Form[[#This Row],[Qty Complete]]/tbl_Form[[#This Row],[Qty Required]]</f>
        <v>#DIV/0!</v>
      </c>
      <c r="K157" s="57" t="str">
        <f>IFERROR(tbl_Form[[#This Row],[Qty Required]]/tbl_Form[[#This Row],[PPH]]*tbl_Form[[#This Row],['# of men]],"")</f>
        <v/>
      </c>
      <c r="L157" s="58" t="e">
        <f>tbl_Form[[#This Row],[Total hours]]*tbl_Form[[#This Row],[% Complete]]</f>
        <v>#VALUE!</v>
      </c>
      <c r="M157" s="59" t="str">
        <f>IFERROR(tbl_Form[[#This Row],[Qty Complete]]/tbl_Form[[#This Row],[Total Hours Act]]*tbl_Form[[#This Row],['# of men Act]],"")</f>
        <v/>
      </c>
      <c r="O157"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57" s="90" t="str">
        <f>IFERROR((tbl_Form[[#This Row],[Adj. Total Hours]]+tbl_Form[[#This Row],[Est. Hours]])/(tbl_Form[[#This Row],[Total Hours Act]]+tbl_Form[[#This Row],[Act. Hours]]),"")</f>
        <v/>
      </c>
      <c r="S157"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57" s="93"/>
      <c r="U157" s="63"/>
      <c r="V157" s="63"/>
      <c r="W157" s="63"/>
      <c r="X157" s="63"/>
    </row>
    <row r="158" spans="6:24" ht="25" customHeight="1">
      <c r="F158" s="53"/>
      <c r="H158" s="55" t="e">
        <f>tbl_Form[[#This Row],[Qty Complete]]/tbl_Form[[#This Row],[Qty Required]]</f>
        <v>#DIV/0!</v>
      </c>
      <c r="K158" s="57" t="str">
        <f>IFERROR(tbl_Form[[#This Row],[Qty Required]]/tbl_Form[[#This Row],[PPH]]*tbl_Form[[#This Row],['# of men]],"")</f>
        <v/>
      </c>
      <c r="L158" s="58" t="e">
        <f>tbl_Form[[#This Row],[Total hours]]*tbl_Form[[#This Row],[% Complete]]</f>
        <v>#VALUE!</v>
      </c>
      <c r="M158" s="59" t="str">
        <f>IFERROR(tbl_Form[[#This Row],[Qty Complete]]/tbl_Form[[#This Row],[Total Hours Act]]*tbl_Form[[#This Row],['# of men Act]],"")</f>
        <v/>
      </c>
      <c r="O158"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58" s="90" t="str">
        <f>IFERROR((tbl_Form[[#This Row],[Adj. Total Hours]]+tbl_Form[[#This Row],[Est. Hours]])/(tbl_Form[[#This Row],[Total Hours Act]]+tbl_Form[[#This Row],[Act. Hours]]),"")</f>
        <v/>
      </c>
      <c r="S158"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58" s="93"/>
      <c r="U158" s="63"/>
      <c r="V158" s="63"/>
      <c r="W158" s="63"/>
      <c r="X158" s="63"/>
    </row>
    <row r="159" spans="6:24" ht="25" customHeight="1">
      <c r="F159" s="53"/>
      <c r="H159" s="55" t="e">
        <f>tbl_Form[[#This Row],[Qty Complete]]/tbl_Form[[#This Row],[Qty Required]]</f>
        <v>#DIV/0!</v>
      </c>
      <c r="K159" s="57" t="str">
        <f>IFERROR(tbl_Form[[#This Row],[Qty Required]]/tbl_Form[[#This Row],[PPH]]*tbl_Form[[#This Row],['# of men]],"")</f>
        <v/>
      </c>
      <c r="L159" s="58" t="e">
        <f>tbl_Form[[#This Row],[Total hours]]*tbl_Form[[#This Row],[% Complete]]</f>
        <v>#VALUE!</v>
      </c>
      <c r="M159" s="59" t="str">
        <f>IFERROR(tbl_Form[[#This Row],[Qty Complete]]/tbl_Form[[#This Row],[Total Hours Act]]*tbl_Form[[#This Row],['# of men Act]],"")</f>
        <v/>
      </c>
      <c r="O159"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59" s="90" t="str">
        <f>IFERROR((tbl_Form[[#This Row],[Adj. Total Hours]]+tbl_Form[[#This Row],[Est. Hours]])/(tbl_Form[[#This Row],[Total Hours Act]]+tbl_Form[[#This Row],[Act. Hours]]),"")</f>
        <v/>
      </c>
      <c r="S159"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59" s="93"/>
      <c r="U159" s="63"/>
      <c r="V159" s="63"/>
      <c r="W159" s="63"/>
      <c r="X159" s="63"/>
    </row>
    <row r="160" spans="6:24" ht="25" customHeight="1">
      <c r="F160" s="53"/>
      <c r="H160" s="55" t="e">
        <f>tbl_Form[[#This Row],[Qty Complete]]/tbl_Form[[#This Row],[Qty Required]]</f>
        <v>#DIV/0!</v>
      </c>
      <c r="K160" s="57" t="str">
        <f>IFERROR(tbl_Form[[#This Row],[Qty Required]]/tbl_Form[[#This Row],[PPH]]*tbl_Form[[#This Row],['# of men]],"")</f>
        <v/>
      </c>
      <c r="L160" s="58" t="e">
        <f>tbl_Form[[#This Row],[Total hours]]*tbl_Form[[#This Row],[% Complete]]</f>
        <v>#VALUE!</v>
      </c>
      <c r="M160" s="59" t="str">
        <f>IFERROR(tbl_Form[[#This Row],[Qty Complete]]/tbl_Form[[#This Row],[Total Hours Act]]*tbl_Form[[#This Row],['# of men Act]],"")</f>
        <v/>
      </c>
      <c r="O160"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60" s="90" t="str">
        <f>IFERROR((tbl_Form[[#This Row],[Adj. Total Hours]]+tbl_Form[[#This Row],[Est. Hours]])/(tbl_Form[[#This Row],[Total Hours Act]]+tbl_Form[[#This Row],[Act. Hours]]),"")</f>
        <v/>
      </c>
      <c r="S160"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60" s="93"/>
      <c r="U160" s="63"/>
      <c r="V160" s="63"/>
      <c r="W160" s="63"/>
      <c r="X160" s="63"/>
    </row>
    <row r="161" spans="6:24" ht="25" customHeight="1">
      <c r="F161" s="53"/>
      <c r="H161" s="55" t="e">
        <f>tbl_Form[[#This Row],[Qty Complete]]/tbl_Form[[#This Row],[Qty Required]]</f>
        <v>#DIV/0!</v>
      </c>
      <c r="K161" s="57" t="str">
        <f>IFERROR(tbl_Form[[#This Row],[Qty Required]]/tbl_Form[[#This Row],[PPH]]*tbl_Form[[#This Row],['# of men]],"")</f>
        <v/>
      </c>
      <c r="L161" s="58" t="e">
        <f>tbl_Form[[#This Row],[Total hours]]*tbl_Form[[#This Row],[% Complete]]</f>
        <v>#VALUE!</v>
      </c>
      <c r="M161" s="59" t="str">
        <f>IFERROR(tbl_Form[[#This Row],[Qty Complete]]/tbl_Form[[#This Row],[Total Hours Act]]*tbl_Form[[#This Row],['# of men Act]],"")</f>
        <v/>
      </c>
      <c r="O161"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61" s="90" t="str">
        <f>IFERROR((tbl_Form[[#This Row],[Adj. Total Hours]]+tbl_Form[[#This Row],[Est. Hours]])/(tbl_Form[[#This Row],[Total Hours Act]]+tbl_Form[[#This Row],[Act. Hours]]),"")</f>
        <v/>
      </c>
      <c r="S161"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61" s="93"/>
      <c r="U161" s="63"/>
      <c r="V161" s="63"/>
      <c r="W161" s="63"/>
      <c r="X161" s="63"/>
    </row>
    <row r="162" spans="6:24" ht="25" customHeight="1">
      <c r="F162" s="53"/>
      <c r="H162" s="55" t="e">
        <f>tbl_Form[[#This Row],[Qty Complete]]/tbl_Form[[#This Row],[Qty Required]]</f>
        <v>#DIV/0!</v>
      </c>
      <c r="K162" s="57" t="str">
        <f>IFERROR(tbl_Form[[#This Row],[Qty Required]]/tbl_Form[[#This Row],[PPH]]*tbl_Form[[#This Row],['# of men]],"")</f>
        <v/>
      </c>
      <c r="L162" s="58" t="e">
        <f>tbl_Form[[#This Row],[Total hours]]*tbl_Form[[#This Row],[% Complete]]</f>
        <v>#VALUE!</v>
      </c>
      <c r="M162" s="59" t="str">
        <f>IFERROR(tbl_Form[[#This Row],[Qty Complete]]/tbl_Form[[#This Row],[Total Hours Act]]*tbl_Form[[#This Row],['# of men Act]],"")</f>
        <v/>
      </c>
      <c r="O162"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62" s="90" t="str">
        <f>IFERROR((tbl_Form[[#This Row],[Adj. Total Hours]]+tbl_Form[[#This Row],[Est. Hours]])/(tbl_Form[[#This Row],[Total Hours Act]]+tbl_Form[[#This Row],[Act. Hours]]),"")</f>
        <v/>
      </c>
      <c r="S162"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62" s="93"/>
      <c r="U162" s="63"/>
      <c r="V162" s="63"/>
      <c r="W162" s="63"/>
      <c r="X162" s="63"/>
    </row>
    <row r="163" spans="6:24" ht="25" customHeight="1">
      <c r="F163" s="53"/>
      <c r="H163" s="55" t="e">
        <f>tbl_Form[[#This Row],[Qty Complete]]/tbl_Form[[#This Row],[Qty Required]]</f>
        <v>#DIV/0!</v>
      </c>
      <c r="K163" s="57" t="str">
        <f>IFERROR(tbl_Form[[#This Row],[Qty Required]]/tbl_Form[[#This Row],[PPH]]*tbl_Form[[#This Row],['# of men]],"")</f>
        <v/>
      </c>
      <c r="L163" s="58" t="e">
        <f>tbl_Form[[#This Row],[Total hours]]*tbl_Form[[#This Row],[% Complete]]</f>
        <v>#VALUE!</v>
      </c>
      <c r="M163" s="59" t="str">
        <f>IFERROR(tbl_Form[[#This Row],[Qty Complete]]/tbl_Form[[#This Row],[Total Hours Act]]*tbl_Form[[#This Row],['# of men Act]],"")</f>
        <v/>
      </c>
      <c r="O163"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63" s="90" t="str">
        <f>IFERROR((tbl_Form[[#This Row],[Adj. Total Hours]]+tbl_Form[[#This Row],[Est. Hours]])/(tbl_Form[[#This Row],[Total Hours Act]]+tbl_Form[[#This Row],[Act. Hours]]),"")</f>
        <v/>
      </c>
      <c r="S163"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63" s="93"/>
      <c r="U163" s="63"/>
      <c r="V163" s="63"/>
      <c r="W163" s="63"/>
      <c r="X163" s="63"/>
    </row>
    <row r="164" spans="6:24" ht="25" customHeight="1">
      <c r="F164" s="53"/>
      <c r="H164" s="55" t="e">
        <f>tbl_Form[[#This Row],[Qty Complete]]/tbl_Form[[#This Row],[Qty Required]]</f>
        <v>#DIV/0!</v>
      </c>
      <c r="K164" s="57" t="str">
        <f>IFERROR(tbl_Form[[#This Row],[Qty Required]]/tbl_Form[[#This Row],[PPH]]*tbl_Form[[#This Row],['# of men]],"")</f>
        <v/>
      </c>
      <c r="L164" s="58" t="e">
        <f>tbl_Form[[#This Row],[Total hours]]*tbl_Form[[#This Row],[% Complete]]</f>
        <v>#VALUE!</v>
      </c>
      <c r="M164" s="59" t="str">
        <f>IFERROR(tbl_Form[[#This Row],[Qty Complete]]/tbl_Form[[#This Row],[Total Hours Act]]*tbl_Form[[#This Row],['# of men Act]],"")</f>
        <v/>
      </c>
      <c r="O164"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64" s="90" t="str">
        <f>IFERROR((tbl_Form[[#This Row],[Adj. Total Hours]]+tbl_Form[[#This Row],[Est. Hours]])/(tbl_Form[[#This Row],[Total Hours Act]]+tbl_Form[[#This Row],[Act. Hours]]),"")</f>
        <v/>
      </c>
      <c r="S164"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64" s="93"/>
      <c r="U164" s="63"/>
      <c r="V164" s="63"/>
      <c r="W164" s="63"/>
      <c r="X164" s="63"/>
    </row>
    <row r="165" spans="6:24" ht="25" customHeight="1">
      <c r="F165" s="53"/>
      <c r="H165" s="55" t="e">
        <f>tbl_Form[[#This Row],[Qty Complete]]/tbl_Form[[#This Row],[Qty Required]]</f>
        <v>#DIV/0!</v>
      </c>
      <c r="K165" s="57" t="str">
        <f>IFERROR(tbl_Form[[#This Row],[Qty Required]]/tbl_Form[[#This Row],[PPH]]*tbl_Form[[#This Row],['# of men]],"")</f>
        <v/>
      </c>
      <c r="L165" s="58" t="e">
        <f>tbl_Form[[#This Row],[Total hours]]*tbl_Form[[#This Row],[% Complete]]</f>
        <v>#VALUE!</v>
      </c>
      <c r="M165" s="59" t="str">
        <f>IFERROR(tbl_Form[[#This Row],[Qty Complete]]/tbl_Form[[#This Row],[Total Hours Act]]*tbl_Form[[#This Row],['# of men Act]],"")</f>
        <v/>
      </c>
      <c r="O165"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65" s="90" t="str">
        <f>IFERROR((tbl_Form[[#This Row],[Adj. Total Hours]]+tbl_Form[[#This Row],[Est. Hours]])/(tbl_Form[[#This Row],[Total Hours Act]]+tbl_Form[[#This Row],[Act. Hours]]),"")</f>
        <v/>
      </c>
      <c r="S165"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65" s="93"/>
      <c r="U165" s="63"/>
      <c r="V165" s="63"/>
      <c r="W165" s="63"/>
      <c r="X165" s="63"/>
    </row>
    <row r="166" spans="6:24" ht="25" customHeight="1">
      <c r="F166" s="53"/>
      <c r="H166" s="55" t="e">
        <f>tbl_Form[[#This Row],[Qty Complete]]/tbl_Form[[#This Row],[Qty Required]]</f>
        <v>#DIV/0!</v>
      </c>
      <c r="K166" s="57" t="str">
        <f>IFERROR(tbl_Form[[#This Row],[Qty Required]]/tbl_Form[[#This Row],[PPH]]*tbl_Form[[#This Row],['# of men]],"")</f>
        <v/>
      </c>
      <c r="L166" s="58" t="e">
        <f>tbl_Form[[#This Row],[Total hours]]*tbl_Form[[#This Row],[% Complete]]</f>
        <v>#VALUE!</v>
      </c>
      <c r="M166" s="59" t="str">
        <f>IFERROR(tbl_Form[[#This Row],[Qty Complete]]/tbl_Form[[#This Row],[Total Hours Act]]*tbl_Form[[#This Row],['# of men Act]],"")</f>
        <v/>
      </c>
      <c r="O166"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66" s="90" t="str">
        <f>IFERROR((tbl_Form[[#This Row],[Adj. Total Hours]]+tbl_Form[[#This Row],[Est. Hours]])/(tbl_Form[[#This Row],[Total Hours Act]]+tbl_Form[[#This Row],[Act. Hours]]),"")</f>
        <v/>
      </c>
      <c r="S166"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66" s="93"/>
      <c r="U166" s="63"/>
      <c r="V166" s="63"/>
      <c r="W166" s="63"/>
      <c r="X166" s="63"/>
    </row>
    <row r="167" spans="6:24" ht="25" customHeight="1">
      <c r="F167" s="53"/>
      <c r="H167" s="55" t="e">
        <f>tbl_Form[[#This Row],[Qty Complete]]/tbl_Form[[#This Row],[Qty Required]]</f>
        <v>#DIV/0!</v>
      </c>
      <c r="K167" s="57" t="str">
        <f>IFERROR(tbl_Form[[#This Row],[Qty Required]]/tbl_Form[[#This Row],[PPH]]*tbl_Form[[#This Row],['# of men]],"")</f>
        <v/>
      </c>
      <c r="L167" s="58" t="e">
        <f>tbl_Form[[#This Row],[Total hours]]*tbl_Form[[#This Row],[% Complete]]</f>
        <v>#VALUE!</v>
      </c>
      <c r="M167" s="59" t="str">
        <f>IFERROR(tbl_Form[[#This Row],[Qty Complete]]/tbl_Form[[#This Row],[Total Hours Act]]*tbl_Form[[#This Row],['# of men Act]],"")</f>
        <v/>
      </c>
      <c r="O167"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67" s="90" t="str">
        <f>IFERROR((tbl_Form[[#This Row],[Adj. Total Hours]]+tbl_Form[[#This Row],[Est. Hours]])/(tbl_Form[[#This Row],[Total Hours Act]]+tbl_Form[[#This Row],[Act. Hours]]),"")</f>
        <v/>
      </c>
      <c r="S167"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67" s="93"/>
      <c r="U167" s="63"/>
      <c r="V167" s="63"/>
      <c r="W167" s="63"/>
      <c r="X167" s="63"/>
    </row>
    <row r="168" spans="6:24" ht="25" customHeight="1">
      <c r="F168" s="53"/>
      <c r="H168" s="55" t="e">
        <f>tbl_Form[[#This Row],[Qty Complete]]/tbl_Form[[#This Row],[Qty Required]]</f>
        <v>#DIV/0!</v>
      </c>
      <c r="K168" s="57" t="str">
        <f>IFERROR(tbl_Form[[#This Row],[Qty Required]]/tbl_Form[[#This Row],[PPH]]*tbl_Form[[#This Row],['# of men]],"")</f>
        <v/>
      </c>
      <c r="L168" s="58" t="e">
        <f>tbl_Form[[#This Row],[Total hours]]*tbl_Form[[#This Row],[% Complete]]</f>
        <v>#VALUE!</v>
      </c>
      <c r="M168" s="59" t="str">
        <f>IFERROR(tbl_Form[[#This Row],[Qty Complete]]/tbl_Form[[#This Row],[Total Hours Act]]*tbl_Form[[#This Row],['# of men Act]],"")</f>
        <v/>
      </c>
      <c r="O168"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68" s="90" t="str">
        <f>IFERROR((tbl_Form[[#This Row],[Adj. Total Hours]]+tbl_Form[[#This Row],[Est. Hours]])/(tbl_Form[[#This Row],[Total Hours Act]]+tbl_Form[[#This Row],[Act. Hours]]),"")</f>
        <v/>
      </c>
      <c r="S168"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68" s="93"/>
      <c r="U168" s="63"/>
      <c r="V168" s="63"/>
      <c r="W168" s="63"/>
      <c r="X168" s="63"/>
    </row>
    <row r="169" spans="6:24" ht="25" customHeight="1">
      <c r="F169" s="53"/>
      <c r="H169" s="55" t="e">
        <f>tbl_Form[[#This Row],[Qty Complete]]/tbl_Form[[#This Row],[Qty Required]]</f>
        <v>#DIV/0!</v>
      </c>
      <c r="K169" s="57" t="str">
        <f>IFERROR(tbl_Form[[#This Row],[Qty Required]]/tbl_Form[[#This Row],[PPH]]*tbl_Form[[#This Row],['# of men]],"")</f>
        <v/>
      </c>
      <c r="L169" s="58" t="e">
        <f>tbl_Form[[#This Row],[Total hours]]*tbl_Form[[#This Row],[% Complete]]</f>
        <v>#VALUE!</v>
      </c>
      <c r="M169" s="59" t="str">
        <f>IFERROR(tbl_Form[[#This Row],[Qty Complete]]/tbl_Form[[#This Row],[Total Hours Act]]*tbl_Form[[#This Row],['# of men Act]],"")</f>
        <v/>
      </c>
      <c r="O169"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69" s="90" t="str">
        <f>IFERROR((tbl_Form[[#This Row],[Adj. Total Hours]]+tbl_Form[[#This Row],[Est. Hours]])/(tbl_Form[[#This Row],[Total Hours Act]]+tbl_Form[[#This Row],[Act. Hours]]),"")</f>
        <v/>
      </c>
      <c r="S169"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69" s="93"/>
      <c r="U169" s="63"/>
      <c r="V169" s="63"/>
      <c r="W169" s="63"/>
      <c r="X169" s="63"/>
    </row>
    <row r="170" spans="6:24" ht="25" customHeight="1">
      <c r="F170" s="53"/>
      <c r="H170" s="55" t="e">
        <f>tbl_Form[[#This Row],[Qty Complete]]/tbl_Form[[#This Row],[Qty Required]]</f>
        <v>#DIV/0!</v>
      </c>
      <c r="K170" s="57" t="str">
        <f>IFERROR(tbl_Form[[#This Row],[Qty Required]]/tbl_Form[[#This Row],[PPH]]*tbl_Form[[#This Row],['# of men]],"")</f>
        <v/>
      </c>
      <c r="L170" s="58" t="e">
        <f>tbl_Form[[#This Row],[Total hours]]*tbl_Form[[#This Row],[% Complete]]</f>
        <v>#VALUE!</v>
      </c>
      <c r="M170" s="59" t="str">
        <f>IFERROR(tbl_Form[[#This Row],[Qty Complete]]/tbl_Form[[#This Row],[Total Hours Act]]*tbl_Form[[#This Row],['# of men Act]],"")</f>
        <v/>
      </c>
      <c r="O170"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70" s="90" t="str">
        <f>IFERROR((tbl_Form[[#This Row],[Adj. Total Hours]]+tbl_Form[[#This Row],[Est. Hours]])/(tbl_Form[[#This Row],[Total Hours Act]]+tbl_Form[[#This Row],[Act. Hours]]),"")</f>
        <v/>
      </c>
      <c r="S170"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70" s="93"/>
      <c r="U170" s="63"/>
      <c r="V170" s="63"/>
      <c r="W170" s="63"/>
      <c r="X170" s="63"/>
    </row>
    <row r="171" spans="6:24" ht="25" customHeight="1">
      <c r="F171" s="53"/>
      <c r="H171" s="55" t="e">
        <f>tbl_Form[[#This Row],[Qty Complete]]/tbl_Form[[#This Row],[Qty Required]]</f>
        <v>#DIV/0!</v>
      </c>
      <c r="K171" s="57" t="str">
        <f>IFERROR(tbl_Form[[#This Row],[Qty Required]]/tbl_Form[[#This Row],[PPH]]*tbl_Form[[#This Row],['# of men]],"")</f>
        <v/>
      </c>
      <c r="L171" s="58" t="e">
        <f>tbl_Form[[#This Row],[Total hours]]*tbl_Form[[#This Row],[% Complete]]</f>
        <v>#VALUE!</v>
      </c>
      <c r="M171" s="59" t="str">
        <f>IFERROR(tbl_Form[[#This Row],[Qty Complete]]/tbl_Form[[#This Row],[Total Hours Act]]*tbl_Form[[#This Row],['# of men Act]],"")</f>
        <v/>
      </c>
      <c r="O171"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71" s="90" t="str">
        <f>IFERROR((tbl_Form[[#This Row],[Adj. Total Hours]]+tbl_Form[[#This Row],[Est. Hours]])/(tbl_Form[[#This Row],[Total Hours Act]]+tbl_Form[[#This Row],[Act. Hours]]),"")</f>
        <v/>
      </c>
      <c r="S171"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71" s="93"/>
      <c r="U171" s="63"/>
      <c r="V171" s="63"/>
      <c r="W171" s="63"/>
      <c r="X171" s="63"/>
    </row>
    <row r="172" spans="6:24" ht="25" customHeight="1">
      <c r="F172" s="53"/>
      <c r="H172" s="55" t="e">
        <f>tbl_Form[[#This Row],[Qty Complete]]/tbl_Form[[#This Row],[Qty Required]]</f>
        <v>#DIV/0!</v>
      </c>
      <c r="K172" s="57" t="str">
        <f>IFERROR(tbl_Form[[#This Row],[Qty Required]]/tbl_Form[[#This Row],[PPH]]*tbl_Form[[#This Row],['# of men]],"")</f>
        <v/>
      </c>
      <c r="L172" s="58" t="e">
        <f>tbl_Form[[#This Row],[Total hours]]*tbl_Form[[#This Row],[% Complete]]</f>
        <v>#VALUE!</v>
      </c>
      <c r="M172" s="59" t="str">
        <f>IFERROR(tbl_Form[[#This Row],[Qty Complete]]/tbl_Form[[#This Row],[Total Hours Act]]*tbl_Form[[#This Row],['# of men Act]],"")</f>
        <v/>
      </c>
      <c r="O172"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72" s="90" t="str">
        <f>IFERROR((tbl_Form[[#This Row],[Adj. Total Hours]]+tbl_Form[[#This Row],[Est. Hours]])/(tbl_Form[[#This Row],[Total Hours Act]]+tbl_Form[[#This Row],[Act. Hours]]),"")</f>
        <v/>
      </c>
      <c r="S172"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72" s="93"/>
      <c r="U172" s="63"/>
      <c r="V172" s="63"/>
      <c r="W172" s="63"/>
      <c r="X172" s="63"/>
    </row>
    <row r="173" spans="6:24" ht="25" customHeight="1">
      <c r="F173" s="53"/>
      <c r="H173" s="55" t="e">
        <f>tbl_Form[[#This Row],[Qty Complete]]/tbl_Form[[#This Row],[Qty Required]]</f>
        <v>#DIV/0!</v>
      </c>
      <c r="K173" s="57" t="str">
        <f>IFERROR(tbl_Form[[#This Row],[Qty Required]]/tbl_Form[[#This Row],[PPH]]*tbl_Form[[#This Row],['# of men]],"")</f>
        <v/>
      </c>
      <c r="L173" s="58" t="e">
        <f>tbl_Form[[#This Row],[Total hours]]*tbl_Form[[#This Row],[% Complete]]</f>
        <v>#VALUE!</v>
      </c>
      <c r="M173" s="59" t="str">
        <f>IFERROR(tbl_Form[[#This Row],[Qty Complete]]/tbl_Form[[#This Row],[Total Hours Act]]*tbl_Form[[#This Row],['# of men Act]],"")</f>
        <v/>
      </c>
      <c r="O173"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73" s="90" t="str">
        <f>IFERROR((tbl_Form[[#This Row],[Adj. Total Hours]]+tbl_Form[[#This Row],[Est. Hours]])/(tbl_Form[[#This Row],[Total Hours Act]]+tbl_Form[[#This Row],[Act. Hours]]),"")</f>
        <v/>
      </c>
      <c r="S173"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73" s="93"/>
      <c r="U173" s="63"/>
      <c r="V173" s="63"/>
      <c r="W173" s="63"/>
      <c r="X173" s="63"/>
    </row>
    <row r="174" spans="6:24" ht="25" customHeight="1">
      <c r="F174" s="53"/>
      <c r="H174" s="55" t="e">
        <f>tbl_Form[[#This Row],[Qty Complete]]/tbl_Form[[#This Row],[Qty Required]]</f>
        <v>#DIV/0!</v>
      </c>
      <c r="K174" s="57" t="str">
        <f>IFERROR(tbl_Form[[#This Row],[Qty Required]]/tbl_Form[[#This Row],[PPH]]*tbl_Form[[#This Row],['# of men]],"")</f>
        <v/>
      </c>
      <c r="L174" s="58" t="e">
        <f>tbl_Form[[#This Row],[Total hours]]*tbl_Form[[#This Row],[% Complete]]</f>
        <v>#VALUE!</v>
      </c>
      <c r="M174" s="59" t="str">
        <f>IFERROR(tbl_Form[[#This Row],[Qty Complete]]/tbl_Form[[#This Row],[Total Hours Act]]*tbl_Form[[#This Row],['# of men Act]],"")</f>
        <v/>
      </c>
      <c r="O174"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74" s="90" t="str">
        <f>IFERROR((tbl_Form[[#This Row],[Adj. Total Hours]]+tbl_Form[[#This Row],[Est. Hours]])/(tbl_Form[[#This Row],[Total Hours Act]]+tbl_Form[[#This Row],[Act. Hours]]),"")</f>
        <v/>
      </c>
      <c r="S174"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74" s="93"/>
      <c r="U174" s="63"/>
      <c r="V174" s="63"/>
      <c r="W174" s="63"/>
      <c r="X174" s="63"/>
    </row>
    <row r="175" spans="6:24" ht="25" customHeight="1">
      <c r="F175" s="53"/>
      <c r="H175" s="55" t="e">
        <f>tbl_Form[[#This Row],[Qty Complete]]/tbl_Form[[#This Row],[Qty Required]]</f>
        <v>#DIV/0!</v>
      </c>
      <c r="K175" s="57" t="str">
        <f>IFERROR(tbl_Form[[#This Row],[Qty Required]]/tbl_Form[[#This Row],[PPH]]*tbl_Form[[#This Row],['# of men]],"")</f>
        <v/>
      </c>
      <c r="L175" s="58" t="e">
        <f>tbl_Form[[#This Row],[Total hours]]*tbl_Form[[#This Row],[% Complete]]</f>
        <v>#VALUE!</v>
      </c>
      <c r="M175" s="59" t="str">
        <f>IFERROR(tbl_Form[[#This Row],[Qty Complete]]/tbl_Form[[#This Row],[Total Hours Act]]*tbl_Form[[#This Row],['# of men Act]],"")</f>
        <v/>
      </c>
      <c r="O175"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75" s="90" t="str">
        <f>IFERROR((tbl_Form[[#This Row],[Adj. Total Hours]]+tbl_Form[[#This Row],[Est. Hours]])/(tbl_Form[[#This Row],[Total Hours Act]]+tbl_Form[[#This Row],[Act. Hours]]),"")</f>
        <v/>
      </c>
      <c r="S175"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75" s="93"/>
      <c r="U175" s="63"/>
      <c r="V175" s="63"/>
      <c r="W175" s="63"/>
      <c r="X175" s="63"/>
    </row>
    <row r="176" spans="6:24" ht="25" customHeight="1">
      <c r="F176" s="53"/>
      <c r="H176" s="55" t="e">
        <f>tbl_Form[[#This Row],[Qty Complete]]/tbl_Form[[#This Row],[Qty Required]]</f>
        <v>#DIV/0!</v>
      </c>
      <c r="K176" s="57" t="str">
        <f>IFERROR(tbl_Form[[#This Row],[Qty Required]]/tbl_Form[[#This Row],[PPH]]*tbl_Form[[#This Row],['# of men]],"")</f>
        <v/>
      </c>
      <c r="L176" s="58" t="e">
        <f>tbl_Form[[#This Row],[Total hours]]*tbl_Form[[#This Row],[% Complete]]</f>
        <v>#VALUE!</v>
      </c>
      <c r="M176" s="59" t="str">
        <f>IFERROR(tbl_Form[[#This Row],[Qty Complete]]/tbl_Form[[#This Row],[Total Hours Act]]*tbl_Form[[#This Row],['# of men Act]],"")</f>
        <v/>
      </c>
      <c r="O176"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76" s="90" t="str">
        <f>IFERROR((tbl_Form[[#This Row],[Adj. Total Hours]]+tbl_Form[[#This Row],[Est. Hours]])/(tbl_Form[[#This Row],[Total Hours Act]]+tbl_Form[[#This Row],[Act. Hours]]),"")</f>
        <v/>
      </c>
      <c r="S176"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76" s="93"/>
      <c r="U176" s="63"/>
      <c r="V176" s="63"/>
      <c r="W176" s="63"/>
      <c r="X176" s="63"/>
    </row>
    <row r="177" spans="6:24" ht="25" customHeight="1">
      <c r="F177" s="53"/>
      <c r="H177" s="55" t="e">
        <f>tbl_Form[[#This Row],[Qty Complete]]/tbl_Form[[#This Row],[Qty Required]]</f>
        <v>#DIV/0!</v>
      </c>
      <c r="K177" s="57" t="str">
        <f>IFERROR(tbl_Form[[#This Row],[Qty Required]]/tbl_Form[[#This Row],[PPH]]*tbl_Form[[#This Row],['# of men]],"")</f>
        <v/>
      </c>
      <c r="L177" s="58" t="e">
        <f>tbl_Form[[#This Row],[Total hours]]*tbl_Form[[#This Row],[% Complete]]</f>
        <v>#VALUE!</v>
      </c>
      <c r="M177" s="59" t="str">
        <f>IFERROR(tbl_Form[[#This Row],[Qty Complete]]/tbl_Form[[#This Row],[Total Hours Act]]*tbl_Form[[#This Row],['# of men Act]],"")</f>
        <v/>
      </c>
      <c r="O177"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77" s="90" t="str">
        <f>IFERROR((tbl_Form[[#This Row],[Adj. Total Hours]]+tbl_Form[[#This Row],[Est. Hours]])/(tbl_Form[[#This Row],[Total Hours Act]]+tbl_Form[[#This Row],[Act. Hours]]),"")</f>
        <v/>
      </c>
      <c r="S177"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77" s="93"/>
      <c r="U177" s="63"/>
      <c r="V177" s="63"/>
      <c r="W177" s="63"/>
      <c r="X177" s="63"/>
    </row>
    <row r="178" spans="6:24" ht="25" customHeight="1">
      <c r="F178" s="53"/>
      <c r="H178" s="55" t="e">
        <f>tbl_Form[[#This Row],[Qty Complete]]/tbl_Form[[#This Row],[Qty Required]]</f>
        <v>#DIV/0!</v>
      </c>
      <c r="K178" s="57" t="str">
        <f>IFERROR(tbl_Form[[#This Row],[Qty Required]]/tbl_Form[[#This Row],[PPH]]*tbl_Form[[#This Row],['# of men]],"")</f>
        <v/>
      </c>
      <c r="L178" s="58" t="e">
        <f>tbl_Form[[#This Row],[Total hours]]*tbl_Form[[#This Row],[% Complete]]</f>
        <v>#VALUE!</v>
      </c>
      <c r="M178" s="59" t="str">
        <f>IFERROR(tbl_Form[[#This Row],[Qty Complete]]/tbl_Form[[#This Row],[Total Hours Act]]*tbl_Form[[#This Row],['# of men Act]],"")</f>
        <v/>
      </c>
      <c r="O178"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78" s="90" t="str">
        <f>IFERROR((tbl_Form[[#This Row],[Adj. Total Hours]]+tbl_Form[[#This Row],[Est. Hours]])/(tbl_Form[[#This Row],[Total Hours Act]]+tbl_Form[[#This Row],[Act. Hours]]),"")</f>
        <v/>
      </c>
      <c r="S178"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78" s="93"/>
      <c r="U178" s="63"/>
      <c r="V178" s="63"/>
      <c r="W178" s="63"/>
      <c r="X178" s="63"/>
    </row>
    <row r="179" spans="6:24" ht="25" customHeight="1">
      <c r="F179" s="53"/>
      <c r="H179" s="55" t="e">
        <f>tbl_Form[[#This Row],[Qty Complete]]/tbl_Form[[#This Row],[Qty Required]]</f>
        <v>#DIV/0!</v>
      </c>
      <c r="K179" s="57" t="str">
        <f>IFERROR(tbl_Form[[#This Row],[Qty Required]]/tbl_Form[[#This Row],[PPH]]*tbl_Form[[#This Row],['# of men]],"")</f>
        <v/>
      </c>
      <c r="L179" s="58" t="e">
        <f>tbl_Form[[#This Row],[Total hours]]*tbl_Form[[#This Row],[% Complete]]</f>
        <v>#VALUE!</v>
      </c>
      <c r="M179" s="59" t="str">
        <f>IFERROR(tbl_Form[[#This Row],[Qty Complete]]/tbl_Form[[#This Row],[Total Hours Act]]*tbl_Form[[#This Row],['# of men Act]],"")</f>
        <v/>
      </c>
      <c r="O179"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79" s="90" t="str">
        <f>IFERROR((tbl_Form[[#This Row],[Adj. Total Hours]]+tbl_Form[[#This Row],[Est. Hours]])/(tbl_Form[[#This Row],[Total Hours Act]]+tbl_Form[[#This Row],[Act. Hours]]),"")</f>
        <v/>
      </c>
      <c r="S179"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79" s="93"/>
      <c r="U179" s="63"/>
      <c r="V179" s="63"/>
      <c r="W179" s="63"/>
      <c r="X179" s="63"/>
    </row>
    <row r="180" spans="6:24" ht="25" customHeight="1">
      <c r="F180" s="53"/>
      <c r="H180" s="55" t="e">
        <f>tbl_Form[[#This Row],[Qty Complete]]/tbl_Form[[#This Row],[Qty Required]]</f>
        <v>#DIV/0!</v>
      </c>
      <c r="K180" s="57" t="str">
        <f>IFERROR(tbl_Form[[#This Row],[Qty Required]]/tbl_Form[[#This Row],[PPH]]*tbl_Form[[#This Row],['# of men]],"")</f>
        <v/>
      </c>
      <c r="L180" s="58" t="e">
        <f>tbl_Form[[#This Row],[Total hours]]*tbl_Form[[#This Row],[% Complete]]</f>
        <v>#VALUE!</v>
      </c>
      <c r="M180" s="59" t="str">
        <f>IFERROR(tbl_Form[[#This Row],[Qty Complete]]/tbl_Form[[#This Row],[Total Hours Act]]*tbl_Form[[#This Row],['# of men Act]],"")</f>
        <v/>
      </c>
      <c r="O180"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80" s="90" t="str">
        <f>IFERROR((tbl_Form[[#This Row],[Adj. Total Hours]]+tbl_Form[[#This Row],[Est. Hours]])/(tbl_Form[[#This Row],[Total Hours Act]]+tbl_Form[[#This Row],[Act. Hours]]),"")</f>
        <v/>
      </c>
      <c r="S180"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80" s="93"/>
      <c r="U180" s="63"/>
      <c r="V180" s="63"/>
      <c r="W180" s="63"/>
      <c r="X180" s="63"/>
    </row>
    <row r="181" spans="6:24" ht="25" customHeight="1">
      <c r="F181" s="53"/>
      <c r="H181" s="55" t="e">
        <f>tbl_Form[[#This Row],[Qty Complete]]/tbl_Form[[#This Row],[Qty Required]]</f>
        <v>#DIV/0!</v>
      </c>
      <c r="K181" s="57" t="str">
        <f>IFERROR(tbl_Form[[#This Row],[Qty Required]]/tbl_Form[[#This Row],[PPH]]*tbl_Form[[#This Row],['# of men]],"")</f>
        <v/>
      </c>
      <c r="L181" s="58" t="e">
        <f>tbl_Form[[#This Row],[Total hours]]*tbl_Form[[#This Row],[% Complete]]</f>
        <v>#VALUE!</v>
      </c>
      <c r="M181" s="59" t="str">
        <f>IFERROR(tbl_Form[[#This Row],[Qty Complete]]/tbl_Form[[#This Row],[Total Hours Act]]*tbl_Form[[#This Row],['# of men Act]],"")</f>
        <v/>
      </c>
      <c r="O181"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81" s="90" t="str">
        <f>IFERROR((tbl_Form[[#This Row],[Adj. Total Hours]]+tbl_Form[[#This Row],[Est. Hours]])/(tbl_Form[[#This Row],[Total Hours Act]]+tbl_Form[[#This Row],[Act. Hours]]),"")</f>
        <v/>
      </c>
      <c r="S181"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81" s="93"/>
      <c r="U181" s="63"/>
      <c r="V181" s="63"/>
      <c r="W181" s="63"/>
      <c r="X181" s="63"/>
    </row>
    <row r="182" spans="6:24" ht="25" customHeight="1">
      <c r="F182" s="53"/>
      <c r="H182" s="55" t="e">
        <f>tbl_Form[[#This Row],[Qty Complete]]/tbl_Form[[#This Row],[Qty Required]]</f>
        <v>#DIV/0!</v>
      </c>
      <c r="K182" s="57" t="str">
        <f>IFERROR(tbl_Form[[#This Row],[Qty Required]]/tbl_Form[[#This Row],[PPH]]*tbl_Form[[#This Row],['# of men]],"")</f>
        <v/>
      </c>
      <c r="L182" s="58" t="e">
        <f>tbl_Form[[#This Row],[Total hours]]*tbl_Form[[#This Row],[% Complete]]</f>
        <v>#VALUE!</v>
      </c>
      <c r="M182" s="59" t="str">
        <f>IFERROR(tbl_Form[[#This Row],[Qty Complete]]/tbl_Form[[#This Row],[Total Hours Act]]*tbl_Form[[#This Row],['# of men Act]],"")</f>
        <v/>
      </c>
      <c r="O182"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82" s="90" t="str">
        <f>IFERROR((tbl_Form[[#This Row],[Adj. Total Hours]]+tbl_Form[[#This Row],[Est. Hours]])/(tbl_Form[[#This Row],[Total Hours Act]]+tbl_Form[[#This Row],[Act. Hours]]),"")</f>
        <v/>
      </c>
      <c r="S182"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82" s="93"/>
      <c r="U182" s="63"/>
      <c r="V182" s="63"/>
      <c r="W182" s="63"/>
      <c r="X182" s="63"/>
    </row>
    <row r="183" spans="6:24" ht="25" customHeight="1">
      <c r="F183" s="53"/>
      <c r="H183" s="55" t="e">
        <f>tbl_Form[[#This Row],[Qty Complete]]/tbl_Form[[#This Row],[Qty Required]]</f>
        <v>#DIV/0!</v>
      </c>
      <c r="K183" s="57" t="str">
        <f>IFERROR(tbl_Form[[#This Row],[Qty Required]]/tbl_Form[[#This Row],[PPH]]*tbl_Form[[#This Row],['# of men]],"")</f>
        <v/>
      </c>
      <c r="L183" s="58" t="e">
        <f>tbl_Form[[#This Row],[Total hours]]*tbl_Form[[#This Row],[% Complete]]</f>
        <v>#VALUE!</v>
      </c>
      <c r="M183" s="59" t="str">
        <f>IFERROR(tbl_Form[[#This Row],[Qty Complete]]/tbl_Form[[#This Row],[Total Hours Act]]*tbl_Form[[#This Row],['# of men Act]],"")</f>
        <v/>
      </c>
      <c r="O183"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83" s="90" t="str">
        <f>IFERROR((tbl_Form[[#This Row],[Adj. Total Hours]]+tbl_Form[[#This Row],[Est. Hours]])/(tbl_Form[[#This Row],[Total Hours Act]]+tbl_Form[[#This Row],[Act. Hours]]),"")</f>
        <v/>
      </c>
      <c r="S183"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83" s="93"/>
      <c r="U183" s="63"/>
      <c r="V183" s="63"/>
      <c r="W183" s="63"/>
      <c r="X183" s="63"/>
    </row>
    <row r="184" spans="6:24" ht="25" customHeight="1">
      <c r="F184" s="53"/>
      <c r="H184" s="55" t="e">
        <f>tbl_Form[[#This Row],[Qty Complete]]/tbl_Form[[#This Row],[Qty Required]]</f>
        <v>#DIV/0!</v>
      </c>
      <c r="K184" s="57" t="str">
        <f>IFERROR(tbl_Form[[#This Row],[Qty Required]]/tbl_Form[[#This Row],[PPH]]*tbl_Form[[#This Row],['# of men]],"")</f>
        <v/>
      </c>
      <c r="L184" s="58" t="e">
        <f>tbl_Form[[#This Row],[Total hours]]*tbl_Form[[#This Row],[% Complete]]</f>
        <v>#VALUE!</v>
      </c>
      <c r="M184" s="59" t="str">
        <f>IFERROR(tbl_Form[[#This Row],[Qty Complete]]/tbl_Form[[#This Row],[Total Hours Act]]*tbl_Form[[#This Row],['# of men Act]],"")</f>
        <v/>
      </c>
      <c r="O184"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84" s="90" t="str">
        <f>IFERROR((tbl_Form[[#This Row],[Adj. Total Hours]]+tbl_Form[[#This Row],[Est. Hours]])/(tbl_Form[[#This Row],[Total Hours Act]]+tbl_Form[[#This Row],[Act. Hours]]),"")</f>
        <v/>
      </c>
      <c r="S184"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84" s="93"/>
      <c r="U184" s="63"/>
      <c r="V184" s="63"/>
      <c r="W184" s="63"/>
      <c r="X184" s="63"/>
    </row>
    <row r="185" spans="6:24" ht="25" customHeight="1">
      <c r="F185" s="53"/>
      <c r="H185" s="55" t="e">
        <f>tbl_Form[[#This Row],[Qty Complete]]/tbl_Form[[#This Row],[Qty Required]]</f>
        <v>#DIV/0!</v>
      </c>
      <c r="K185" s="57" t="str">
        <f>IFERROR(tbl_Form[[#This Row],[Qty Required]]/tbl_Form[[#This Row],[PPH]]*tbl_Form[[#This Row],['# of men]],"")</f>
        <v/>
      </c>
      <c r="L185" s="58" t="e">
        <f>tbl_Form[[#This Row],[Total hours]]*tbl_Form[[#This Row],[% Complete]]</f>
        <v>#VALUE!</v>
      </c>
      <c r="M185" s="59" t="str">
        <f>IFERROR(tbl_Form[[#This Row],[Qty Complete]]/tbl_Form[[#This Row],[Total Hours Act]]*tbl_Form[[#This Row],['# of men Act]],"")</f>
        <v/>
      </c>
      <c r="O185"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85" s="90" t="str">
        <f>IFERROR((tbl_Form[[#This Row],[Adj. Total Hours]]+tbl_Form[[#This Row],[Est. Hours]])/(tbl_Form[[#This Row],[Total Hours Act]]+tbl_Form[[#This Row],[Act. Hours]]),"")</f>
        <v/>
      </c>
      <c r="S185"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85" s="93"/>
      <c r="U185" s="63"/>
      <c r="V185" s="63"/>
      <c r="W185" s="63"/>
      <c r="X185" s="63"/>
    </row>
    <row r="186" spans="6:24" ht="25" customHeight="1">
      <c r="F186" s="53"/>
      <c r="H186" s="55" t="e">
        <f>tbl_Form[[#This Row],[Qty Complete]]/tbl_Form[[#This Row],[Qty Required]]</f>
        <v>#DIV/0!</v>
      </c>
      <c r="K186" s="57" t="str">
        <f>IFERROR(tbl_Form[[#This Row],[Qty Required]]/tbl_Form[[#This Row],[PPH]]*tbl_Form[[#This Row],['# of men]],"")</f>
        <v/>
      </c>
      <c r="L186" s="58" t="e">
        <f>tbl_Form[[#This Row],[Total hours]]*tbl_Form[[#This Row],[% Complete]]</f>
        <v>#VALUE!</v>
      </c>
      <c r="M186" s="59" t="str">
        <f>IFERROR(tbl_Form[[#This Row],[Qty Complete]]/tbl_Form[[#This Row],[Total Hours Act]]*tbl_Form[[#This Row],['# of men Act]],"")</f>
        <v/>
      </c>
      <c r="O186"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86" s="90" t="str">
        <f>IFERROR((tbl_Form[[#This Row],[Adj. Total Hours]]+tbl_Form[[#This Row],[Est. Hours]])/(tbl_Form[[#This Row],[Total Hours Act]]+tbl_Form[[#This Row],[Act. Hours]]),"")</f>
        <v/>
      </c>
      <c r="S186"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86" s="93"/>
      <c r="U186" s="63"/>
      <c r="V186" s="63"/>
      <c r="W186" s="63"/>
      <c r="X186" s="63"/>
    </row>
    <row r="187" spans="6:24" ht="25" customHeight="1">
      <c r="F187" s="53"/>
      <c r="H187" s="55" t="e">
        <f>tbl_Form[[#This Row],[Qty Complete]]/tbl_Form[[#This Row],[Qty Required]]</f>
        <v>#DIV/0!</v>
      </c>
      <c r="K187" s="57" t="str">
        <f>IFERROR(tbl_Form[[#This Row],[Qty Required]]/tbl_Form[[#This Row],[PPH]]*tbl_Form[[#This Row],['# of men]],"")</f>
        <v/>
      </c>
      <c r="L187" s="58" t="e">
        <f>tbl_Form[[#This Row],[Total hours]]*tbl_Form[[#This Row],[% Complete]]</f>
        <v>#VALUE!</v>
      </c>
      <c r="M187" s="59" t="str">
        <f>IFERROR(tbl_Form[[#This Row],[Qty Complete]]/tbl_Form[[#This Row],[Total Hours Act]]*tbl_Form[[#This Row],['# of men Act]],"")</f>
        <v/>
      </c>
      <c r="O187"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87" s="90" t="str">
        <f>IFERROR((tbl_Form[[#This Row],[Adj. Total Hours]]+tbl_Form[[#This Row],[Est. Hours]])/(tbl_Form[[#This Row],[Total Hours Act]]+tbl_Form[[#This Row],[Act. Hours]]),"")</f>
        <v/>
      </c>
      <c r="S187"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87" s="93"/>
      <c r="U187" s="63"/>
      <c r="V187" s="63"/>
      <c r="W187" s="63"/>
      <c r="X187" s="63"/>
    </row>
    <row r="188" spans="6:24" ht="25" customHeight="1">
      <c r="F188" s="53"/>
      <c r="H188" s="55" t="e">
        <f>tbl_Form[[#This Row],[Qty Complete]]/tbl_Form[[#This Row],[Qty Required]]</f>
        <v>#DIV/0!</v>
      </c>
      <c r="K188" s="57" t="str">
        <f>IFERROR(tbl_Form[[#This Row],[Qty Required]]/tbl_Form[[#This Row],[PPH]]*tbl_Form[[#This Row],['# of men]],"")</f>
        <v/>
      </c>
      <c r="L188" s="58" t="e">
        <f>tbl_Form[[#This Row],[Total hours]]*tbl_Form[[#This Row],[% Complete]]</f>
        <v>#VALUE!</v>
      </c>
      <c r="M188" s="59" t="str">
        <f>IFERROR(tbl_Form[[#This Row],[Qty Complete]]/tbl_Form[[#This Row],[Total Hours Act]]*tbl_Form[[#This Row],['# of men Act]],"")</f>
        <v/>
      </c>
      <c r="O188"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88" s="90" t="str">
        <f>IFERROR((tbl_Form[[#This Row],[Adj. Total Hours]]+tbl_Form[[#This Row],[Est. Hours]])/(tbl_Form[[#This Row],[Total Hours Act]]+tbl_Form[[#This Row],[Act. Hours]]),"")</f>
        <v/>
      </c>
      <c r="S188"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88" s="93"/>
      <c r="U188" s="63"/>
      <c r="V188" s="63"/>
      <c r="W188" s="63"/>
      <c r="X188" s="63"/>
    </row>
    <row r="189" spans="6:24" ht="25" customHeight="1">
      <c r="F189" s="53"/>
      <c r="H189" s="55" t="e">
        <f>tbl_Form[[#This Row],[Qty Complete]]/tbl_Form[[#This Row],[Qty Required]]</f>
        <v>#DIV/0!</v>
      </c>
      <c r="K189" s="57" t="str">
        <f>IFERROR(tbl_Form[[#This Row],[Qty Required]]/tbl_Form[[#This Row],[PPH]]*tbl_Form[[#This Row],['# of men]],"")</f>
        <v/>
      </c>
      <c r="L189" s="58" t="e">
        <f>tbl_Form[[#This Row],[Total hours]]*tbl_Form[[#This Row],[% Complete]]</f>
        <v>#VALUE!</v>
      </c>
      <c r="M189" s="59" t="str">
        <f>IFERROR(tbl_Form[[#This Row],[Qty Complete]]/tbl_Form[[#This Row],[Total Hours Act]]*tbl_Form[[#This Row],['# of men Act]],"")</f>
        <v/>
      </c>
      <c r="O189"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89" s="90" t="str">
        <f>IFERROR((tbl_Form[[#This Row],[Adj. Total Hours]]+tbl_Form[[#This Row],[Est. Hours]])/(tbl_Form[[#This Row],[Total Hours Act]]+tbl_Form[[#This Row],[Act. Hours]]),"")</f>
        <v/>
      </c>
      <c r="S189"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89" s="93"/>
      <c r="U189" s="63"/>
      <c r="V189" s="63"/>
      <c r="W189" s="63"/>
      <c r="X189" s="63"/>
    </row>
    <row r="190" spans="6:24" ht="25" customHeight="1">
      <c r="F190" s="53"/>
      <c r="H190" s="55" t="e">
        <f>tbl_Form[[#This Row],[Qty Complete]]/tbl_Form[[#This Row],[Qty Required]]</f>
        <v>#DIV/0!</v>
      </c>
      <c r="K190" s="57" t="str">
        <f>IFERROR(tbl_Form[[#This Row],[Qty Required]]/tbl_Form[[#This Row],[PPH]]*tbl_Form[[#This Row],['# of men]],"")</f>
        <v/>
      </c>
      <c r="L190" s="58" t="e">
        <f>tbl_Form[[#This Row],[Total hours]]*tbl_Form[[#This Row],[% Complete]]</f>
        <v>#VALUE!</v>
      </c>
      <c r="M190" s="59" t="str">
        <f>IFERROR(tbl_Form[[#This Row],[Qty Complete]]/tbl_Form[[#This Row],[Total Hours Act]]*tbl_Form[[#This Row],['# of men Act]],"")</f>
        <v/>
      </c>
      <c r="O190"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90" s="90" t="str">
        <f>IFERROR((tbl_Form[[#This Row],[Adj. Total Hours]]+tbl_Form[[#This Row],[Est. Hours]])/(tbl_Form[[#This Row],[Total Hours Act]]+tbl_Form[[#This Row],[Act. Hours]]),"")</f>
        <v/>
      </c>
      <c r="S190"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90" s="93"/>
      <c r="U190" s="63"/>
      <c r="V190" s="63"/>
      <c r="W190" s="63"/>
      <c r="X190" s="63"/>
    </row>
    <row r="191" spans="6:24" ht="25" customHeight="1">
      <c r="F191" s="53"/>
      <c r="H191" s="55" t="e">
        <f>tbl_Form[[#This Row],[Qty Complete]]/tbl_Form[[#This Row],[Qty Required]]</f>
        <v>#DIV/0!</v>
      </c>
      <c r="K191" s="57" t="str">
        <f>IFERROR(tbl_Form[[#This Row],[Qty Required]]/tbl_Form[[#This Row],[PPH]]*tbl_Form[[#This Row],['# of men]],"")</f>
        <v/>
      </c>
      <c r="L191" s="58" t="e">
        <f>tbl_Form[[#This Row],[Total hours]]*tbl_Form[[#This Row],[% Complete]]</f>
        <v>#VALUE!</v>
      </c>
      <c r="M191" s="59" t="str">
        <f>IFERROR(tbl_Form[[#This Row],[Qty Complete]]/tbl_Form[[#This Row],[Total Hours Act]]*tbl_Form[[#This Row],['# of men Act]],"")</f>
        <v/>
      </c>
      <c r="O191"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91" s="90" t="str">
        <f>IFERROR((tbl_Form[[#This Row],[Adj. Total Hours]]+tbl_Form[[#This Row],[Est. Hours]])/(tbl_Form[[#This Row],[Total Hours Act]]+tbl_Form[[#This Row],[Act. Hours]]),"")</f>
        <v/>
      </c>
      <c r="S191"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91" s="93"/>
      <c r="U191" s="63"/>
      <c r="V191" s="63"/>
      <c r="W191" s="63"/>
      <c r="X191" s="63"/>
    </row>
    <row r="192" spans="6:24" ht="25" customHeight="1">
      <c r="F192" s="53"/>
      <c r="H192" s="55" t="e">
        <f>tbl_Form[[#This Row],[Qty Complete]]/tbl_Form[[#This Row],[Qty Required]]</f>
        <v>#DIV/0!</v>
      </c>
      <c r="K192" s="57" t="str">
        <f>IFERROR(tbl_Form[[#This Row],[Qty Required]]/tbl_Form[[#This Row],[PPH]]*tbl_Form[[#This Row],['# of men]],"")</f>
        <v/>
      </c>
      <c r="L192" s="58" t="e">
        <f>tbl_Form[[#This Row],[Total hours]]*tbl_Form[[#This Row],[% Complete]]</f>
        <v>#VALUE!</v>
      </c>
      <c r="M192" s="59" t="str">
        <f>IFERROR(tbl_Form[[#This Row],[Qty Complete]]/tbl_Form[[#This Row],[Total Hours Act]]*tbl_Form[[#This Row],['# of men Act]],"")</f>
        <v/>
      </c>
      <c r="O192"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92" s="90" t="str">
        <f>IFERROR((tbl_Form[[#This Row],[Adj. Total Hours]]+tbl_Form[[#This Row],[Est. Hours]])/(tbl_Form[[#This Row],[Total Hours Act]]+tbl_Form[[#This Row],[Act. Hours]]),"")</f>
        <v/>
      </c>
      <c r="S192"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92" s="93"/>
      <c r="U192" s="63"/>
      <c r="V192" s="63"/>
      <c r="W192" s="63"/>
      <c r="X192" s="63"/>
    </row>
    <row r="193" spans="6:24" ht="25" customHeight="1">
      <c r="F193" s="53"/>
      <c r="H193" s="55" t="e">
        <f>tbl_Form[[#This Row],[Qty Complete]]/tbl_Form[[#This Row],[Qty Required]]</f>
        <v>#DIV/0!</v>
      </c>
      <c r="K193" s="57" t="str">
        <f>IFERROR(tbl_Form[[#This Row],[Qty Required]]/tbl_Form[[#This Row],[PPH]]*tbl_Form[[#This Row],['# of men]],"")</f>
        <v/>
      </c>
      <c r="L193" s="58" t="e">
        <f>tbl_Form[[#This Row],[Total hours]]*tbl_Form[[#This Row],[% Complete]]</f>
        <v>#VALUE!</v>
      </c>
      <c r="M193" s="59" t="str">
        <f>IFERROR(tbl_Form[[#This Row],[Qty Complete]]/tbl_Form[[#This Row],[Total Hours Act]]*tbl_Form[[#This Row],['# of men Act]],"")</f>
        <v/>
      </c>
      <c r="O193"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93" s="90" t="str">
        <f>IFERROR((tbl_Form[[#This Row],[Adj. Total Hours]]+tbl_Form[[#This Row],[Est. Hours]])/(tbl_Form[[#This Row],[Total Hours Act]]+tbl_Form[[#This Row],[Act. Hours]]),"")</f>
        <v/>
      </c>
      <c r="S193"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93" s="93"/>
      <c r="U193" s="63"/>
      <c r="V193" s="63"/>
      <c r="W193" s="63"/>
      <c r="X193" s="63"/>
    </row>
    <row r="194" spans="6:24" ht="25" customHeight="1">
      <c r="F194" s="53"/>
      <c r="H194" s="55" t="e">
        <f>tbl_Form[[#This Row],[Qty Complete]]/tbl_Form[[#This Row],[Qty Required]]</f>
        <v>#DIV/0!</v>
      </c>
      <c r="K194" s="57" t="str">
        <f>IFERROR(tbl_Form[[#This Row],[Qty Required]]/tbl_Form[[#This Row],[PPH]]*tbl_Form[[#This Row],['# of men]],"")</f>
        <v/>
      </c>
      <c r="L194" s="58" t="e">
        <f>tbl_Form[[#This Row],[Total hours]]*tbl_Form[[#This Row],[% Complete]]</f>
        <v>#VALUE!</v>
      </c>
      <c r="M194" s="59" t="str">
        <f>IFERROR(tbl_Form[[#This Row],[Qty Complete]]/tbl_Form[[#This Row],[Total Hours Act]]*tbl_Form[[#This Row],['# of men Act]],"")</f>
        <v/>
      </c>
      <c r="O194"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94" s="90" t="str">
        <f>IFERROR((tbl_Form[[#This Row],[Adj. Total Hours]]+tbl_Form[[#This Row],[Est. Hours]])/(tbl_Form[[#This Row],[Total Hours Act]]+tbl_Form[[#This Row],[Act. Hours]]),"")</f>
        <v/>
      </c>
      <c r="S194"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94" s="93"/>
      <c r="U194" s="63"/>
      <c r="V194" s="63"/>
      <c r="W194" s="63"/>
      <c r="X194" s="63"/>
    </row>
    <row r="195" spans="6:24" ht="25" customHeight="1">
      <c r="F195" s="53"/>
      <c r="H195" s="55" t="e">
        <f>tbl_Form[[#This Row],[Qty Complete]]/tbl_Form[[#This Row],[Qty Required]]</f>
        <v>#DIV/0!</v>
      </c>
      <c r="K195" s="57" t="str">
        <f>IFERROR(tbl_Form[[#This Row],[Qty Required]]/tbl_Form[[#This Row],[PPH]]*tbl_Form[[#This Row],['# of men]],"")</f>
        <v/>
      </c>
      <c r="L195" s="58" t="e">
        <f>tbl_Form[[#This Row],[Total hours]]*tbl_Form[[#This Row],[% Complete]]</f>
        <v>#VALUE!</v>
      </c>
      <c r="M195" s="59" t="str">
        <f>IFERROR(tbl_Form[[#This Row],[Qty Complete]]/tbl_Form[[#This Row],[Total Hours Act]]*tbl_Form[[#This Row],['# of men Act]],"")</f>
        <v/>
      </c>
      <c r="O195"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95" s="90" t="str">
        <f>IFERROR((tbl_Form[[#This Row],[Adj. Total Hours]]+tbl_Form[[#This Row],[Est. Hours]])/(tbl_Form[[#This Row],[Total Hours Act]]+tbl_Form[[#This Row],[Act. Hours]]),"")</f>
        <v/>
      </c>
      <c r="S195"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95" s="93"/>
      <c r="U195" s="63"/>
      <c r="V195" s="63"/>
      <c r="W195" s="63"/>
      <c r="X195" s="63"/>
    </row>
    <row r="196" spans="6:24" ht="25" customHeight="1">
      <c r="F196" s="53"/>
      <c r="H196" s="55" t="e">
        <f>tbl_Form[[#This Row],[Qty Complete]]/tbl_Form[[#This Row],[Qty Required]]</f>
        <v>#DIV/0!</v>
      </c>
      <c r="K196" s="57" t="str">
        <f>IFERROR(tbl_Form[[#This Row],[Qty Required]]/tbl_Form[[#This Row],[PPH]]*tbl_Form[[#This Row],['# of men]],"")</f>
        <v/>
      </c>
      <c r="L196" s="58" t="e">
        <f>tbl_Form[[#This Row],[Total hours]]*tbl_Form[[#This Row],[% Complete]]</f>
        <v>#VALUE!</v>
      </c>
      <c r="M196" s="59" t="str">
        <f>IFERROR(tbl_Form[[#This Row],[Qty Complete]]/tbl_Form[[#This Row],[Total Hours Act]]*tbl_Form[[#This Row],['# of men Act]],"")</f>
        <v/>
      </c>
      <c r="O196"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96" s="90" t="str">
        <f>IFERROR((tbl_Form[[#This Row],[Adj. Total Hours]]+tbl_Form[[#This Row],[Est. Hours]])/(tbl_Form[[#This Row],[Total Hours Act]]+tbl_Form[[#This Row],[Act. Hours]]),"")</f>
        <v/>
      </c>
      <c r="S196"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96" s="93"/>
      <c r="U196" s="63"/>
      <c r="V196" s="63"/>
      <c r="W196" s="63"/>
      <c r="X196" s="63"/>
    </row>
    <row r="197" spans="6:24" ht="25" customHeight="1">
      <c r="F197" s="53"/>
      <c r="H197" s="55" t="e">
        <f>tbl_Form[[#This Row],[Qty Complete]]/tbl_Form[[#This Row],[Qty Required]]</f>
        <v>#DIV/0!</v>
      </c>
      <c r="K197" s="57" t="str">
        <f>IFERROR(tbl_Form[[#This Row],[Qty Required]]/tbl_Form[[#This Row],[PPH]]*tbl_Form[[#This Row],['# of men]],"")</f>
        <v/>
      </c>
      <c r="L197" s="58" t="e">
        <f>tbl_Form[[#This Row],[Total hours]]*tbl_Form[[#This Row],[% Complete]]</f>
        <v>#VALUE!</v>
      </c>
      <c r="M197" s="59" t="str">
        <f>IFERROR(tbl_Form[[#This Row],[Qty Complete]]/tbl_Form[[#This Row],[Total Hours Act]]*tbl_Form[[#This Row],['# of men Act]],"")</f>
        <v/>
      </c>
      <c r="O197"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97" s="90" t="str">
        <f>IFERROR((tbl_Form[[#This Row],[Adj. Total Hours]]+tbl_Form[[#This Row],[Est. Hours]])/(tbl_Form[[#This Row],[Total Hours Act]]+tbl_Form[[#This Row],[Act. Hours]]),"")</f>
        <v/>
      </c>
      <c r="S197"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97" s="93"/>
      <c r="U197" s="63"/>
      <c r="V197" s="63"/>
      <c r="W197" s="63"/>
      <c r="X197" s="63"/>
    </row>
    <row r="198" spans="6:24" ht="25" customHeight="1">
      <c r="F198" s="53"/>
      <c r="H198" s="55" t="e">
        <f>tbl_Form[[#This Row],[Qty Complete]]/tbl_Form[[#This Row],[Qty Required]]</f>
        <v>#DIV/0!</v>
      </c>
      <c r="K198" s="57" t="str">
        <f>IFERROR(tbl_Form[[#This Row],[Qty Required]]/tbl_Form[[#This Row],[PPH]]*tbl_Form[[#This Row],['# of men]],"")</f>
        <v/>
      </c>
      <c r="L198" s="58" t="e">
        <f>tbl_Form[[#This Row],[Total hours]]*tbl_Form[[#This Row],[% Complete]]</f>
        <v>#VALUE!</v>
      </c>
      <c r="M198" s="59" t="str">
        <f>IFERROR(tbl_Form[[#This Row],[Qty Complete]]/tbl_Form[[#This Row],[Total Hours Act]]*tbl_Form[[#This Row],['# of men Act]],"")</f>
        <v/>
      </c>
      <c r="O198"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98" s="90" t="str">
        <f>IFERROR((tbl_Form[[#This Row],[Adj. Total Hours]]+tbl_Form[[#This Row],[Est. Hours]])/(tbl_Form[[#This Row],[Total Hours Act]]+tbl_Form[[#This Row],[Act. Hours]]),"")</f>
        <v/>
      </c>
      <c r="S198"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98" s="93"/>
      <c r="U198" s="63"/>
      <c r="V198" s="63"/>
      <c r="W198" s="63"/>
      <c r="X198" s="63"/>
    </row>
    <row r="199" spans="6:24" ht="25" customHeight="1">
      <c r="F199" s="53"/>
      <c r="H199" s="55" t="e">
        <f>tbl_Form[[#This Row],[Qty Complete]]/tbl_Form[[#This Row],[Qty Required]]</f>
        <v>#DIV/0!</v>
      </c>
      <c r="K199" s="57" t="str">
        <f>IFERROR(tbl_Form[[#This Row],[Qty Required]]/tbl_Form[[#This Row],[PPH]]*tbl_Form[[#This Row],['# of men]],"")</f>
        <v/>
      </c>
      <c r="L199" s="58" t="e">
        <f>tbl_Form[[#This Row],[Total hours]]*tbl_Form[[#This Row],[% Complete]]</f>
        <v>#VALUE!</v>
      </c>
      <c r="M199" s="59" t="str">
        <f>IFERROR(tbl_Form[[#This Row],[Qty Complete]]/tbl_Form[[#This Row],[Total Hours Act]]*tbl_Form[[#This Row],['# of men Act]],"")</f>
        <v/>
      </c>
      <c r="O199"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199" s="90" t="str">
        <f>IFERROR((tbl_Form[[#This Row],[Adj. Total Hours]]+tbl_Form[[#This Row],[Est. Hours]])/(tbl_Form[[#This Row],[Total Hours Act]]+tbl_Form[[#This Row],[Act. Hours]]),"")</f>
        <v/>
      </c>
      <c r="S199"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199" s="93"/>
      <c r="U199" s="63"/>
      <c r="V199" s="63"/>
      <c r="W199" s="63"/>
      <c r="X199" s="63"/>
    </row>
    <row r="200" spans="6:24" ht="25" customHeight="1">
      <c r="F200" s="53"/>
      <c r="H200" s="55" t="e">
        <f>tbl_Form[[#This Row],[Qty Complete]]/tbl_Form[[#This Row],[Qty Required]]</f>
        <v>#DIV/0!</v>
      </c>
      <c r="K200" s="57" t="str">
        <f>IFERROR(tbl_Form[[#This Row],[Qty Required]]/tbl_Form[[#This Row],[PPH]]*tbl_Form[[#This Row],['# of men]],"")</f>
        <v/>
      </c>
      <c r="L200" s="58" t="e">
        <f>tbl_Form[[#This Row],[Total hours]]*tbl_Form[[#This Row],[% Complete]]</f>
        <v>#VALUE!</v>
      </c>
      <c r="M200" s="59" t="str">
        <f>IFERROR(tbl_Form[[#This Row],[Qty Complete]]/tbl_Form[[#This Row],[Total Hours Act]]*tbl_Form[[#This Row],['# of men Act]],"")</f>
        <v/>
      </c>
      <c r="O200"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200" s="90" t="str">
        <f>IFERROR((tbl_Form[[#This Row],[Adj. Total Hours]]+tbl_Form[[#This Row],[Est. Hours]])/(tbl_Form[[#This Row],[Total Hours Act]]+tbl_Form[[#This Row],[Act. Hours]]),"")</f>
        <v/>
      </c>
      <c r="S200"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200" s="93"/>
      <c r="U200" s="63"/>
      <c r="V200" s="63"/>
      <c r="W200" s="63"/>
      <c r="X200" s="63"/>
    </row>
    <row r="201" spans="6:24" ht="25" customHeight="1">
      <c r="F201" s="53"/>
      <c r="H201" s="55" t="e">
        <f>tbl_Form[[#This Row],[Qty Complete]]/tbl_Form[[#This Row],[Qty Required]]</f>
        <v>#DIV/0!</v>
      </c>
      <c r="K201" s="57" t="str">
        <f>IFERROR(tbl_Form[[#This Row],[Qty Required]]/tbl_Form[[#This Row],[PPH]]*tbl_Form[[#This Row],['# of men]],"")</f>
        <v/>
      </c>
      <c r="L201" s="58" t="e">
        <f>tbl_Form[[#This Row],[Total hours]]*tbl_Form[[#This Row],[% Complete]]</f>
        <v>#VALUE!</v>
      </c>
      <c r="M201" s="59" t="str">
        <f>IFERROR(tbl_Form[[#This Row],[Qty Complete]]/tbl_Form[[#This Row],[Total Hours Act]]*tbl_Form[[#This Row],['# of men Act]],"")</f>
        <v/>
      </c>
      <c r="O201"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201" s="90" t="str">
        <f>IFERROR((tbl_Form[[#This Row],[Adj. Total Hours]]+tbl_Form[[#This Row],[Est. Hours]])/(tbl_Form[[#This Row],[Total Hours Act]]+tbl_Form[[#This Row],[Act. Hours]]),"")</f>
        <v/>
      </c>
      <c r="S201"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201" s="93"/>
      <c r="U201" s="63"/>
      <c r="V201" s="63"/>
      <c r="W201" s="63"/>
      <c r="X201" s="63"/>
    </row>
    <row r="202" spans="6:24" ht="25" customHeight="1">
      <c r="F202" s="53"/>
      <c r="H202" s="55" t="e">
        <f>tbl_Form[[#This Row],[Qty Complete]]/tbl_Form[[#This Row],[Qty Required]]</f>
        <v>#DIV/0!</v>
      </c>
      <c r="K202" s="57" t="str">
        <f>IFERROR(tbl_Form[[#This Row],[Qty Required]]/tbl_Form[[#This Row],[PPH]]*tbl_Form[[#This Row],['# of men]],"")</f>
        <v/>
      </c>
      <c r="L202" s="58" t="e">
        <f>tbl_Form[[#This Row],[Total hours]]*tbl_Form[[#This Row],[% Complete]]</f>
        <v>#VALUE!</v>
      </c>
      <c r="M202" s="59" t="str">
        <f>IFERROR(tbl_Form[[#This Row],[Qty Complete]]/tbl_Form[[#This Row],[Total Hours Act]]*tbl_Form[[#This Row],['# of men Act]],"")</f>
        <v/>
      </c>
      <c r="O202"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202" s="90" t="str">
        <f>IFERROR((tbl_Form[[#This Row],[Adj. Total Hours]]+tbl_Form[[#This Row],[Est. Hours]])/(tbl_Form[[#This Row],[Total Hours Act]]+tbl_Form[[#This Row],[Act. Hours]]),"")</f>
        <v/>
      </c>
      <c r="S202"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202" s="93"/>
      <c r="U202" s="63"/>
      <c r="V202" s="63"/>
      <c r="W202" s="63"/>
      <c r="X202" s="63"/>
    </row>
    <row r="203" spans="6:24" ht="25" customHeight="1">
      <c r="F203" s="53"/>
      <c r="H203" s="55" t="e">
        <f>tbl_Form[[#This Row],[Qty Complete]]/tbl_Form[[#This Row],[Qty Required]]</f>
        <v>#DIV/0!</v>
      </c>
      <c r="K203" s="57" t="str">
        <f>IFERROR(tbl_Form[[#This Row],[Qty Required]]/tbl_Form[[#This Row],[PPH]]*tbl_Form[[#This Row],['# of men]],"")</f>
        <v/>
      </c>
      <c r="L203" s="58" t="e">
        <f>tbl_Form[[#This Row],[Total hours]]*tbl_Form[[#This Row],[% Complete]]</f>
        <v>#VALUE!</v>
      </c>
      <c r="M203" s="59" t="str">
        <f>IFERROR(tbl_Form[[#This Row],[Qty Complete]]/tbl_Form[[#This Row],[Total Hours Act]]*tbl_Form[[#This Row],['# of men Act]],"")</f>
        <v/>
      </c>
      <c r="O203"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203" s="90" t="str">
        <f>IFERROR((tbl_Form[[#This Row],[Adj. Total Hours]]+tbl_Form[[#This Row],[Est. Hours]])/(tbl_Form[[#This Row],[Total Hours Act]]+tbl_Form[[#This Row],[Act. Hours]]),"")</f>
        <v/>
      </c>
      <c r="S203"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203" s="93"/>
      <c r="U203" s="63"/>
      <c r="V203" s="63"/>
      <c r="W203" s="63"/>
      <c r="X203" s="63"/>
    </row>
    <row r="204" spans="6:24" ht="25" customHeight="1">
      <c r="F204" s="53"/>
      <c r="H204" s="55" t="e">
        <f>tbl_Form[[#This Row],[Qty Complete]]/tbl_Form[[#This Row],[Qty Required]]</f>
        <v>#DIV/0!</v>
      </c>
      <c r="K204" s="57" t="str">
        <f>IFERROR(tbl_Form[[#This Row],[Qty Required]]/tbl_Form[[#This Row],[PPH]]*tbl_Form[[#This Row],['# of men]],"")</f>
        <v/>
      </c>
      <c r="L204" s="58" t="e">
        <f>tbl_Form[[#This Row],[Total hours]]*tbl_Form[[#This Row],[% Complete]]</f>
        <v>#VALUE!</v>
      </c>
      <c r="M204" s="59" t="str">
        <f>IFERROR(tbl_Form[[#This Row],[Qty Complete]]/tbl_Form[[#This Row],[Total Hours Act]]*tbl_Form[[#This Row],['# of men Act]],"")</f>
        <v/>
      </c>
      <c r="O204"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204" s="90" t="str">
        <f>IFERROR((tbl_Form[[#This Row],[Adj. Total Hours]]+tbl_Form[[#This Row],[Est. Hours]])/(tbl_Form[[#This Row],[Total Hours Act]]+tbl_Form[[#This Row],[Act. Hours]]),"")</f>
        <v/>
      </c>
      <c r="S204"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204" s="93"/>
      <c r="U204" s="63"/>
      <c r="V204" s="63"/>
      <c r="W204" s="63"/>
      <c r="X204" s="63"/>
    </row>
    <row r="205" spans="6:24" ht="25" customHeight="1">
      <c r="F205" s="53"/>
      <c r="H205" s="55" t="e">
        <f>tbl_Form[[#This Row],[Qty Complete]]/tbl_Form[[#This Row],[Qty Required]]</f>
        <v>#DIV/0!</v>
      </c>
      <c r="K205" s="57" t="str">
        <f>IFERROR(tbl_Form[[#This Row],[Qty Required]]/tbl_Form[[#This Row],[PPH]]*tbl_Form[[#This Row],['# of men]],"")</f>
        <v/>
      </c>
      <c r="L205" s="58" t="e">
        <f>tbl_Form[[#This Row],[Total hours]]*tbl_Form[[#This Row],[% Complete]]</f>
        <v>#VALUE!</v>
      </c>
      <c r="M205" s="59" t="str">
        <f>IFERROR(tbl_Form[[#This Row],[Qty Complete]]/tbl_Form[[#This Row],[Total Hours Act]]*tbl_Form[[#This Row],['# of men Act]],"")</f>
        <v/>
      </c>
      <c r="O205"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205" s="90" t="str">
        <f>IFERROR((tbl_Form[[#This Row],[Adj. Total Hours]]+tbl_Form[[#This Row],[Est. Hours]])/(tbl_Form[[#This Row],[Total Hours Act]]+tbl_Form[[#This Row],[Act. Hours]]),"")</f>
        <v/>
      </c>
      <c r="S205"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205" s="93"/>
      <c r="U205" s="63"/>
      <c r="V205" s="63"/>
      <c r="W205" s="63"/>
      <c r="X205" s="63"/>
    </row>
    <row r="206" spans="6:24" ht="25" customHeight="1">
      <c r="F206" s="53"/>
      <c r="H206" s="55" t="e">
        <f>tbl_Form[[#This Row],[Qty Complete]]/tbl_Form[[#This Row],[Qty Required]]</f>
        <v>#DIV/0!</v>
      </c>
      <c r="K206" s="57" t="str">
        <f>IFERROR(tbl_Form[[#This Row],[Qty Required]]/tbl_Form[[#This Row],[PPH]]*tbl_Form[[#This Row],['# of men]],"")</f>
        <v/>
      </c>
      <c r="L206" s="58" t="e">
        <f>tbl_Form[[#This Row],[Total hours]]*tbl_Form[[#This Row],[% Complete]]</f>
        <v>#VALUE!</v>
      </c>
      <c r="M206" s="59" t="str">
        <f>IFERROR(tbl_Form[[#This Row],[Qty Complete]]/tbl_Form[[#This Row],[Total Hours Act]]*tbl_Form[[#This Row],['# of men Act]],"")</f>
        <v/>
      </c>
      <c r="O206"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206" s="90" t="str">
        <f>IFERROR((tbl_Form[[#This Row],[Adj. Total Hours]]+tbl_Form[[#This Row],[Est. Hours]])/(tbl_Form[[#This Row],[Total Hours Act]]+tbl_Form[[#This Row],[Act. Hours]]),"")</f>
        <v/>
      </c>
      <c r="S206"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206" s="93"/>
      <c r="U206" s="63"/>
      <c r="V206" s="63"/>
      <c r="W206" s="63"/>
      <c r="X206" s="63"/>
    </row>
    <row r="207" spans="6:24" ht="25" customHeight="1">
      <c r="F207" s="53"/>
      <c r="H207" s="55" t="e">
        <f>tbl_Form[[#This Row],[Qty Complete]]/tbl_Form[[#This Row],[Qty Required]]</f>
        <v>#DIV/0!</v>
      </c>
      <c r="K207" s="57" t="str">
        <f>IFERROR(tbl_Form[[#This Row],[Qty Required]]/tbl_Form[[#This Row],[PPH]]*tbl_Form[[#This Row],['# of men]],"")</f>
        <v/>
      </c>
      <c r="L207" s="58" t="e">
        <f>tbl_Form[[#This Row],[Total hours]]*tbl_Form[[#This Row],[% Complete]]</f>
        <v>#VALUE!</v>
      </c>
      <c r="M207" s="59" t="str">
        <f>IFERROR(tbl_Form[[#This Row],[Qty Complete]]/tbl_Form[[#This Row],[Total Hours Act]]*tbl_Form[[#This Row],['# of men Act]],"")</f>
        <v/>
      </c>
      <c r="O207"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207" s="90" t="str">
        <f>IFERROR((tbl_Form[[#This Row],[Adj. Total Hours]]+tbl_Form[[#This Row],[Est. Hours]])/(tbl_Form[[#This Row],[Total Hours Act]]+tbl_Form[[#This Row],[Act. Hours]]),"")</f>
        <v/>
      </c>
      <c r="S207"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207" s="93"/>
      <c r="U207" s="63"/>
      <c r="V207" s="63"/>
      <c r="W207" s="63"/>
      <c r="X207" s="63"/>
    </row>
    <row r="208" spans="6:24" ht="25" customHeight="1">
      <c r="F208" s="53"/>
      <c r="H208" s="55" t="e">
        <f>tbl_Form[[#This Row],[Qty Complete]]/tbl_Form[[#This Row],[Qty Required]]</f>
        <v>#DIV/0!</v>
      </c>
      <c r="K208" s="57" t="str">
        <f>IFERROR(tbl_Form[[#This Row],[Qty Required]]/tbl_Form[[#This Row],[PPH]]*tbl_Form[[#This Row],['# of men]],"")</f>
        <v/>
      </c>
      <c r="L208" s="58" t="e">
        <f>tbl_Form[[#This Row],[Total hours]]*tbl_Form[[#This Row],[% Complete]]</f>
        <v>#VALUE!</v>
      </c>
      <c r="M208" s="59" t="str">
        <f>IFERROR(tbl_Form[[#This Row],[Qty Complete]]/tbl_Form[[#This Row],[Total Hours Act]]*tbl_Form[[#This Row],['# of men Act]],"")</f>
        <v/>
      </c>
      <c r="O208"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208" s="90" t="str">
        <f>IFERROR((tbl_Form[[#This Row],[Adj. Total Hours]]+tbl_Form[[#This Row],[Est. Hours]])/(tbl_Form[[#This Row],[Total Hours Act]]+tbl_Form[[#This Row],[Act. Hours]]),"")</f>
        <v/>
      </c>
      <c r="S208"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208" s="93"/>
      <c r="U208" s="63"/>
      <c r="V208" s="63"/>
      <c r="W208" s="63"/>
      <c r="X208" s="63"/>
    </row>
    <row r="209" spans="6:24" ht="25" customHeight="1">
      <c r="F209" s="53"/>
      <c r="H209" s="55" t="e">
        <f>tbl_Form[[#This Row],[Qty Complete]]/tbl_Form[[#This Row],[Qty Required]]</f>
        <v>#DIV/0!</v>
      </c>
      <c r="K209" s="57" t="str">
        <f>IFERROR(tbl_Form[[#This Row],[Qty Required]]/tbl_Form[[#This Row],[PPH]]*tbl_Form[[#This Row],['# of men]],"")</f>
        <v/>
      </c>
      <c r="L209" s="58" t="e">
        <f>tbl_Form[[#This Row],[Total hours]]*tbl_Form[[#This Row],[% Complete]]</f>
        <v>#VALUE!</v>
      </c>
      <c r="M209" s="59" t="str">
        <f>IFERROR(tbl_Form[[#This Row],[Qty Complete]]/tbl_Form[[#This Row],[Total Hours Act]]*tbl_Form[[#This Row],['# of men Act]],"")</f>
        <v/>
      </c>
      <c r="O209"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209" s="90" t="str">
        <f>IFERROR((tbl_Form[[#This Row],[Adj. Total Hours]]+tbl_Form[[#This Row],[Est. Hours]])/(tbl_Form[[#This Row],[Total Hours Act]]+tbl_Form[[#This Row],[Act. Hours]]),"")</f>
        <v/>
      </c>
      <c r="S209"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209" s="93"/>
      <c r="U209" s="63"/>
      <c r="V209" s="63"/>
      <c r="W209" s="63"/>
      <c r="X209" s="63"/>
    </row>
    <row r="210" spans="6:24" ht="25" customHeight="1">
      <c r="F210" s="53"/>
      <c r="H210" s="55" t="e">
        <f>tbl_Form[[#This Row],[Qty Complete]]/tbl_Form[[#This Row],[Qty Required]]</f>
        <v>#DIV/0!</v>
      </c>
      <c r="K210" s="57" t="str">
        <f>IFERROR(tbl_Form[[#This Row],[Qty Required]]/tbl_Form[[#This Row],[PPH]]*tbl_Form[[#This Row],['# of men]],"")</f>
        <v/>
      </c>
      <c r="L210" s="58" t="e">
        <f>tbl_Form[[#This Row],[Total hours]]*tbl_Form[[#This Row],[% Complete]]</f>
        <v>#VALUE!</v>
      </c>
      <c r="M210" s="59" t="str">
        <f>IFERROR(tbl_Form[[#This Row],[Qty Complete]]/tbl_Form[[#This Row],[Total Hours Act]]*tbl_Form[[#This Row],['# of men Act]],"")</f>
        <v/>
      </c>
      <c r="O210"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210" s="90" t="str">
        <f>IFERROR((tbl_Form[[#This Row],[Adj. Total Hours]]+tbl_Form[[#This Row],[Est. Hours]])/(tbl_Form[[#This Row],[Total Hours Act]]+tbl_Form[[#This Row],[Act. Hours]]),"")</f>
        <v/>
      </c>
      <c r="S210"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210" s="93"/>
      <c r="U210" s="63"/>
      <c r="V210" s="63"/>
      <c r="W210" s="63"/>
      <c r="X210" s="63"/>
    </row>
    <row r="211" spans="6:24" ht="25" customHeight="1">
      <c r="F211" s="53"/>
      <c r="H211" s="55" t="e">
        <f>tbl_Form[[#This Row],[Qty Complete]]/tbl_Form[[#This Row],[Qty Required]]</f>
        <v>#DIV/0!</v>
      </c>
      <c r="K211" s="57" t="str">
        <f>IFERROR(tbl_Form[[#This Row],[Qty Required]]/tbl_Form[[#This Row],[PPH]]*tbl_Form[[#This Row],['# of men]],"")</f>
        <v/>
      </c>
      <c r="L211" s="58" t="e">
        <f>tbl_Form[[#This Row],[Total hours]]*tbl_Form[[#This Row],[% Complete]]</f>
        <v>#VALUE!</v>
      </c>
      <c r="M211" s="59" t="str">
        <f>IFERROR(tbl_Form[[#This Row],[Qty Complete]]/tbl_Form[[#This Row],[Total Hours Act]]*tbl_Form[[#This Row],['# of men Act]],"")</f>
        <v/>
      </c>
      <c r="O211"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211" s="90" t="str">
        <f>IFERROR((tbl_Form[[#This Row],[Adj. Total Hours]]+tbl_Form[[#This Row],[Est. Hours]])/(tbl_Form[[#This Row],[Total Hours Act]]+tbl_Form[[#This Row],[Act. Hours]]),"")</f>
        <v/>
      </c>
      <c r="S211"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211" s="93"/>
      <c r="U211" s="63"/>
      <c r="V211" s="63"/>
      <c r="W211" s="63"/>
      <c r="X211" s="63"/>
    </row>
    <row r="212" spans="6:24" ht="25" customHeight="1">
      <c r="F212" s="53"/>
      <c r="H212" s="55" t="e">
        <f>tbl_Form[[#This Row],[Qty Complete]]/tbl_Form[[#This Row],[Qty Required]]</f>
        <v>#DIV/0!</v>
      </c>
      <c r="K212" s="57" t="str">
        <f>IFERROR(tbl_Form[[#This Row],[Qty Required]]/tbl_Form[[#This Row],[PPH]]*tbl_Form[[#This Row],['# of men]],"")</f>
        <v/>
      </c>
      <c r="L212" s="58" t="e">
        <f>tbl_Form[[#This Row],[Total hours]]*tbl_Form[[#This Row],[% Complete]]</f>
        <v>#VALUE!</v>
      </c>
      <c r="M212" s="59" t="str">
        <f>IFERROR(tbl_Form[[#This Row],[Qty Complete]]/tbl_Form[[#This Row],[Total Hours Act]]*tbl_Form[[#This Row],['# of men Act]],"")</f>
        <v/>
      </c>
      <c r="O212"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212" s="90" t="str">
        <f>IFERROR((tbl_Form[[#This Row],[Adj. Total Hours]]+tbl_Form[[#This Row],[Est. Hours]])/(tbl_Form[[#This Row],[Total Hours Act]]+tbl_Form[[#This Row],[Act. Hours]]),"")</f>
        <v/>
      </c>
      <c r="S212"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212" s="93"/>
      <c r="U212" s="63"/>
      <c r="V212" s="63"/>
      <c r="W212" s="63"/>
      <c r="X212" s="63"/>
    </row>
    <row r="213" spans="6:24" ht="25" customHeight="1">
      <c r="F213" s="53"/>
      <c r="H213" s="55" t="e">
        <f>tbl_Form[[#This Row],[Qty Complete]]/tbl_Form[[#This Row],[Qty Required]]</f>
        <v>#DIV/0!</v>
      </c>
      <c r="K213" s="57" t="str">
        <f>IFERROR(tbl_Form[[#This Row],[Qty Required]]/tbl_Form[[#This Row],[PPH]]*tbl_Form[[#This Row],['# of men]],"")</f>
        <v/>
      </c>
      <c r="L213" s="58" t="e">
        <f>tbl_Form[[#This Row],[Total hours]]*tbl_Form[[#This Row],[% Complete]]</f>
        <v>#VALUE!</v>
      </c>
      <c r="M213" s="59" t="str">
        <f>IFERROR(tbl_Form[[#This Row],[Qty Complete]]/tbl_Form[[#This Row],[Total Hours Act]]*tbl_Form[[#This Row],['# of men Act]],"")</f>
        <v/>
      </c>
      <c r="O213"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213" s="90" t="str">
        <f>IFERROR((tbl_Form[[#This Row],[Adj. Total Hours]]+tbl_Form[[#This Row],[Est. Hours]])/(tbl_Form[[#This Row],[Total Hours Act]]+tbl_Form[[#This Row],[Act. Hours]]),"")</f>
        <v/>
      </c>
      <c r="S213"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213" s="93"/>
      <c r="U213" s="63"/>
      <c r="V213" s="63"/>
      <c r="W213" s="63"/>
      <c r="X213" s="63"/>
    </row>
    <row r="214" spans="6:24" ht="25" customHeight="1">
      <c r="F214" s="53"/>
      <c r="H214" s="55" t="e">
        <f>tbl_Form[[#This Row],[Qty Complete]]/tbl_Form[[#This Row],[Qty Required]]</f>
        <v>#DIV/0!</v>
      </c>
      <c r="K214" s="57" t="str">
        <f>IFERROR(tbl_Form[[#This Row],[Qty Required]]/tbl_Form[[#This Row],[PPH]]*tbl_Form[[#This Row],['# of men]],"")</f>
        <v/>
      </c>
      <c r="L214" s="58" t="e">
        <f>tbl_Form[[#This Row],[Total hours]]*tbl_Form[[#This Row],[% Complete]]</f>
        <v>#VALUE!</v>
      </c>
      <c r="M214" s="59" t="str">
        <f>IFERROR(tbl_Form[[#This Row],[Qty Complete]]/tbl_Form[[#This Row],[Total Hours Act]]*tbl_Form[[#This Row],['# of men Act]],"")</f>
        <v/>
      </c>
      <c r="O214"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214" s="90" t="str">
        <f>IFERROR((tbl_Form[[#This Row],[Adj. Total Hours]]+tbl_Form[[#This Row],[Est. Hours]])/(tbl_Form[[#This Row],[Total Hours Act]]+tbl_Form[[#This Row],[Act. Hours]]),"")</f>
        <v/>
      </c>
      <c r="S214"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214" s="93"/>
      <c r="U214" s="63"/>
      <c r="V214" s="63"/>
      <c r="W214" s="63"/>
      <c r="X214" s="63"/>
    </row>
    <row r="215" spans="6:24" ht="25" customHeight="1">
      <c r="F215" s="53"/>
      <c r="H215" s="55" t="e">
        <f>tbl_Form[[#This Row],[Qty Complete]]/tbl_Form[[#This Row],[Qty Required]]</f>
        <v>#DIV/0!</v>
      </c>
      <c r="K215" s="57" t="str">
        <f>IFERROR(tbl_Form[[#This Row],[Qty Required]]/tbl_Form[[#This Row],[PPH]]*tbl_Form[[#This Row],['# of men]],"")</f>
        <v/>
      </c>
      <c r="L215" s="58" t="e">
        <f>tbl_Form[[#This Row],[Total hours]]*tbl_Form[[#This Row],[% Complete]]</f>
        <v>#VALUE!</v>
      </c>
      <c r="M215" s="59" t="str">
        <f>IFERROR(tbl_Form[[#This Row],[Qty Complete]]/tbl_Form[[#This Row],[Total Hours Act]]*tbl_Form[[#This Row],['# of men Act]],"")</f>
        <v/>
      </c>
      <c r="O215"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215" s="90" t="str">
        <f>IFERROR((tbl_Form[[#This Row],[Adj. Total Hours]]+tbl_Form[[#This Row],[Est. Hours]])/(tbl_Form[[#This Row],[Total Hours Act]]+tbl_Form[[#This Row],[Act. Hours]]),"")</f>
        <v/>
      </c>
      <c r="S215"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215" s="93"/>
      <c r="U215" s="63"/>
      <c r="V215" s="63"/>
      <c r="W215" s="63"/>
      <c r="X215" s="63"/>
    </row>
    <row r="216" spans="6:24" ht="25" customHeight="1">
      <c r="F216" s="53"/>
      <c r="H216" s="55" t="e">
        <f>tbl_Form[[#This Row],[Qty Complete]]/tbl_Form[[#This Row],[Qty Required]]</f>
        <v>#DIV/0!</v>
      </c>
      <c r="K216" s="57" t="str">
        <f>IFERROR(tbl_Form[[#This Row],[Qty Required]]/tbl_Form[[#This Row],[PPH]]*tbl_Form[[#This Row],['# of men]],"")</f>
        <v/>
      </c>
      <c r="L216" s="58" t="e">
        <f>tbl_Form[[#This Row],[Total hours]]*tbl_Form[[#This Row],[% Complete]]</f>
        <v>#VALUE!</v>
      </c>
      <c r="M216" s="59" t="str">
        <f>IFERROR(tbl_Form[[#This Row],[Qty Complete]]/tbl_Form[[#This Row],[Total Hours Act]]*tbl_Form[[#This Row],['# of men Act]],"")</f>
        <v/>
      </c>
      <c r="O216"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216" s="90" t="str">
        <f>IFERROR((tbl_Form[[#This Row],[Adj. Total Hours]]+tbl_Form[[#This Row],[Est. Hours]])/(tbl_Form[[#This Row],[Total Hours Act]]+tbl_Form[[#This Row],[Act. Hours]]),"")</f>
        <v/>
      </c>
      <c r="S216"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216" s="93"/>
      <c r="U216" s="63"/>
      <c r="V216" s="63"/>
      <c r="W216" s="63"/>
      <c r="X216" s="63"/>
    </row>
    <row r="217" spans="6:24" ht="25" customHeight="1">
      <c r="F217" s="53"/>
      <c r="H217" s="55" t="e">
        <f>tbl_Form[[#This Row],[Qty Complete]]/tbl_Form[[#This Row],[Qty Required]]</f>
        <v>#DIV/0!</v>
      </c>
      <c r="K217" s="57" t="str">
        <f>IFERROR(tbl_Form[[#This Row],[Qty Required]]/tbl_Form[[#This Row],[PPH]]*tbl_Form[[#This Row],['# of men]],"")</f>
        <v/>
      </c>
      <c r="L217" s="58" t="e">
        <f>tbl_Form[[#This Row],[Total hours]]*tbl_Form[[#This Row],[% Complete]]</f>
        <v>#VALUE!</v>
      </c>
      <c r="M217" s="59" t="str">
        <f>IFERROR(tbl_Form[[#This Row],[Qty Complete]]/tbl_Form[[#This Row],[Total Hours Act]]*tbl_Form[[#This Row],['# of men Act]],"")</f>
        <v/>
      </c>
      <c r="O217"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217" s="90" t="str">
        <f>IFERROR((tbl_Form[[#This Row],[Adj. Total Hours]]+tbl_Form[[#This Row],[Est. Hours]])/(tbl_Form[[#This Row],[Total Hours Act]]+tbl_Form[[#This Row],[Act. Hours]]),"")</f>
        <v/>
      </c>
      <c r="S217"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217" s="93"/>
      <c r="U217" s="63"/>
      <c r="V217" s="63"/>
      <c r="W217" s="63"/>
      <c r="X217" s="63"/>
    </row>
    <row r="218" spans="6:24" ht="25" customHeight="1">
      <c r="F218" s="53"/>
      <c r="H218" s="55" t="e">
        <f>tbl_Form[[#This Row],[Qty Complete]]/tbl_Form[[#This Row],[Qty Required]]</f>
        <v>#DIV/0!</v>
      </c>
      <c r="K218" s="57" t="str">
        <f>IFERROR(tbl_Form[[#This Row],[Qty Required]]/tbl_Form[[#This Row],[PPH]]*tbl_Form[[#This Row],['# of men]],"")</f>
        <v/>
      </c>
      <c r="L218" s="58" t="e">
        <f>tbl_Form[[#This Row],[Total hours]]*tbl_Form[[#This Row],[% Complete]]</f>
        <v>#VALUE!</v>
      </c>
      <c r="M218" s="59" t="str">
        <f>IFERROR(tbl_Form[[#This Row],[Qty Complete]]/tbl_Form[[#This Row],[Total Hours Act]]*tbl_Form[[#This Row],['# of men Act]],"")</f>
        <v/>
      </c>
      <c r="O218"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218" s="90" t="str">
        <f>IFERROR((tbl_Form[[#This Row],[Adj. Total Hours]]+tbl_Form[[#This Row],[Est. Hours]])/(tbl_Form[[#This Row],[Total Hours Act]]+tbl_Form[[#This Row],[Act. Hours]]),"")</f>
        <v/>
      </c>
      <c r="S218"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218" s="93"/>
      <c r="U218" s="63"/>
      <c r="V218" s="63"/>
      <c r="W218" s="63"/>
      <c r="X218" s="63"/>
    </row>
    <row r="219" spans="6:24" ht="25" customHeight="1">
      <c r="F219" s="53"/>
      <c r="H219" s="55" t="e">
        <f>tbl_Form[[#This Row],[Qty Complete]]/tbl_Form[[#This Row],[Qty Required]]</f>
        <v>#DIV/0!</v>
      </c>
      <c r="K219" s="57" t="str">
        <f>IFERROR(tbl_Form[[#This Row],[Qty Required]]/tbl_Form[[#This Row],[PPH]]*tbl_Form[[#This Row],['# of men]],"")</f>
        <v/>
      </c>
      <c r="L219" s="58" t="e">
        <f>tbl_Form[[#This Row],[Total hours]]*tbl_Form[[#This Row],[% Complete]]</f>
        <v>#VALUE!</v>
      </c>
      <c r="M219" s="59" t="str">
        <f>IFERROR(tbl_Form[[#This Row],[Qty Complete]]/tbl_Form[[#This Row],[Total Hours Act]]*tbl_Form[[#This Row],['# of men Act]],"")</f>
        <v/>
      </c>
      <c r="O219"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219" s="90" t="str">
        <f>IFERROR((tbl_Form[[#This Row],[Adj. Total Hours]]+tbl_Form[[#This Row],[Est. Hours]])/(tbl_Form[[#This Row],[Total Hours Act]]+tbl_Form[[#This Row],[Act. Hours]]),"")</f>
        <v/>
      </c>
      <c r="S219"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219" s="93"/>
      <c r="U219" s="63"/>
      <c r="V219" s="63"/>
      <c r="W219" s="63"/>
      <c r="X219" s="63"/>
    </row>
    <row r="220" spans="6:24" ht="25" customHeight="1">
      <c r="F220" s="53"/>
      <c r="H220" s="55" t="e">
        <f>tbl_Form[[#This Row],[Qty Complete]]/tbl_Form[[#This Row],[Qty Required]]</f>
        <v>#DIV/0!</v>
      </c>
      <c r="K220" s="57" t="str">
        <f>IFERROR(tbl_Form[[#This Row],[Qty Required]]/tbl_Form[[#This Row],[PPH]]*tbl_Form[[#This Row],['# of men]],"")</f>
        <v/>
      </c>
      <c r="L220" s="58" t="e">
        <f>tbl_Form[[#This Row],[Total hours]]*tbl_Form[[#This Row],[% Complete]]</f>
        <v>#VALUE!</v>
      </c>
      <c r="M220" s="59" t="str">
        <f>IFERROR(tbl_Form[[#This Row],[Qty Complete]]/tbl_Form[[#This Row],[Total Hours Act]]*tbl_Form[[#This Row],['# of men Act]],"")</f>
        <v/>
      </c>
      <c r="O220"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220" s="90" t="str">
        <f>IFERROR((tbl_Form[[#This Row],[Adj. Total Hours]]+tbl_Form[[#This Row],[Est. Hours]])/(tbl_Form[[#This Row],[Total Hours Act]]+tbl_Form[[#This Row],[Act. Hours]]),"")</f>
        <v/>
      </c>
      <c r="S220"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220" s="93"/>
      <c r="U220" s="63"/>
      <c r="V220" s="63"/>
      <c r="W220" s="63"/>
      <c r="X220" s="63"/>
    </row>
    <row r="221" spans="6:24" ht="25" customHeight="1">
      <c r="F221" s="53"/>
      <c r="H221" s="55" t="e">
        <f>tbl_Form[[#This Row],[Qty Complete]]/tbl_Form[[#This Row],[Qty Required]]</f>
        <v>#DIV/0!</v>
      </c>
      <c r="K221" s="57" t="str">
        <f>IFERROR(tbl_Form[[#This Row],[Qty Required]]/tbl_Form[[#This Row],[PPH]]*tbl_Form[[#This Row],['# of men]],"")</f>
        <v/>
      </c>
      <c r="L221" s="58" t="e">
        <f>tbl_Form[[#This Row],[Total hours]]*tbl_Form[[#This Row],[% Complete]]</f>
        <v>#VALUE!</v>
      </c>
      <c r="M221" s="59" t="str">
        <f>IFERROR(tbl_Form[[#This Row],[Qty Complete]]/tbl_Form[[#This Row],[Total Hours Act]]*tbl_Form[[#This Row],['# of men Act]],"")</f>
        <v/>
      </c>
      <c r="O221"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221" s="90" t="str">
        <f>IFERROR((tbl_Form[[#This Row],[Adj. Total Hours]]+tbl_Form[[#This Row],[Est. Hours]])/(tbl_Form[[#This Row],[Total Hours Act]]+tbl_Form[[#This Row],[Act. Hours]]),"")</f>
        <v/>
      </c>
      <c r="S221"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221" s="93"/>
      <c r="U221" s="63"/>
      <c r="V221" s="63"/>
      <c r="W221" s="63"/>
      <c r="X221" s="63"/>
    </row>
    <row r="222" spans="6:24" ht="25" customHeight="1">
      <c r="F222" s="53"/>
      <c r="H222" s="55" t="e">
        <f>tbl_Form[[#This Row],[Qty Complete]]/tbl_Form[[#This Row],[Qty Required]]</f>
        <v>#DIV/0!</v>
      </c>
      <c r="K222" s="57" t="str">
        <f>IFERROR(tbl_Form[[#This Row],[Qty Required]]/tbl_Form[[#This Row],[PPH]]*tbl_Form[[#This Row],['# of men]],"")</f>
        <v/>
      </c>
      <c r="L222" s="58" t="e">
        <f>tbl_Form[[#This Row],[Total hours]]*tbl_Form[[#This Row],[% Complete]]</f>
        <v>#VALUE!</v>
      </c>
      <c r="M222" s="59" t="str">
        <f>IFERROR(tbl_Form[[#This Row],[Qty Complete]]/tbl_Form[[#This Row],[Total Hours Act]]*tbl_Form[[#This Row],['# of men Act]],"")</f>
        <v/>
      </c>
      <c r="O222"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222" s="90" t="str">
        <f>IFERROR((tbl_Form[[#This Row],[Adj. Total Hours]]+tbl_Form[[#This Row],[Est. Hours]])/(tbl_Form[[#This Row],[Total Hours Act]]+tbl_Form[[#This Row],[Act. Hours]]),"")</f>
        <v/>
      </c>
      <c r="S222"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222" s="93"/>
      <c r="U222" s="63"/>
      <c r="V222" s="63"/>
      <c r="W222" s="63"/>
      <c r="X222" s="63"/>
    </row>
    <row r="223" spans="6:24" ht="25" customHeight="1">
      <c r="F223" s="53"/>
      <c r="H223" s="55" t="e">
        <f>tbl_Form[[#This Row],[Qty Complete]]/tbl_Form[[#This Row],[Qty Required]]</f>
        <v>#DIV/0!</v>
      </c>
      <c r="K223" s="57" t="str">
        <f>IFERROR(tbl_Form[[#This Row],[Qty Required]]/tbl_Form[[#This Row],[PPH]]*tbl_Form[[#This Row],['# of men]],"")</f>
        <v/>
      </c>
      <c r="L223" s="58" t="e">
        <f>tbl_Form[[#This Row],[Total hours]]*tbl_Form[[#This Row],[% Complete]]</f>
        <v>#VALUE!</v>
      </c>
      <c r="M223" s="59" t="str">
        <f>IFERROR(tbl_Form[[#This Row],[Qty Complete]]/tbl_Form[[#This Row],[Total Hours Act]]*tbl_Form[[#This Row],['# of men Act]],"")</f>
        <v/>
      </c>
      <c r="O223"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223" s="90" t="str">
        <f>IFERROR((tbl_Form[[#This Row],[Adj. Total Hours]]+tbl_Form[[#This Row],[Est. Hours]])/(tbl_Form[[#This Row],[Total Hours Act]]+tbl_Form[[#This Row],[Act. Hours]]),"")</f>
        <v/>
      </c>
      <c r="S223"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223" s="93"/>
      <c r="U223" s="63"/>
      <c r="V223" s="63"/>
      <c r="W223" s="63"/>
      <c r="X223" s="63"/>
    </row>
    <row r="224" spans="6:24" ht="25" customHeight="1">
      <c r="F224" s="53"/>
      <c r="H224" s="55" t="e">
        <f>tbl_Form[[#This Row],[Qty Complete]]/tbl_Form[[#This Row],[Qty Required]]</f>
        <v>#DIV/0!</v>
      </c>
      <c r="K224" s="57" t="str">
        <f>IFERROR(tbl_Form[[#This Row],[Qty Required]]/tbl_Form[[#This Row],[PPH]]*tbl_Form[[#This Row],['# of men]],"")</f>
        <v/>
      </c>
      <c r="L224" s="58" t="e">
        <f>tbl_Form[[#This Row],[Total hours]]*tbl_Form[[#This Row],[% Complete]]</f>
        <v>#VALUE!</v>
      </c>
      <c r="M224" s="59" t="str">
        <f>IFERROR(tbl_Form[[#This Row],[Qty Complete]]/tbl_Form[[#This Row],[Total Hours Act]]*tbl_Form[[#This Row],['# of men Act]],"")</f>
        <v/>
      </c>
      <c r="O224"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224" s="90" t="str">
        <f>IFERROR((tbl_Form[[#This Row],[Adj. Total Hours]]+tbl_Form[[#This Row],[Est. Hours]])/(tbl_Form[[#This Row],[Total Hours Act]]+tbl_Form[[#This Row],[Act. Hours]]),"")</f>
        <v/>
      </c>
      <c r="S224"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224" s="93"/>
      <c r="U224" s="63"/>
      <c r="V224" s="63"/>
      <c r="W224" s="63"/>
      <c r="X224" s="63"/>
    </row>
    <row r="225" spans="6:24" ht="25" customHeight="1">
      <c r="F225" s="53"/>
      <c r="H225" s="55" t="e">
        <f>tbl_Form[[#This Row],[Qty Complete]]/tbl_Form[[#This Row],[Qty Required]]</f>
        <v>#DIV/0!</v>
      </c>
      <c r="K225" s="57" t="str">
        <f>IFERROR(tbl_Form[[#This Row],[Qty Required]]/tbl_Form[[#This Row],[PPH]]*tbl_Form[[#This Row],['# of men]],"")</f>
        <v/>
      </c>
      <c r="L225" s="58" t="e">
        <f>tbl_Form[[#This Row],[Total hours]]*tbl_Form[[#This Row],[% Complete]]</f>
        <v>#VALUE!</v>
      </c>
      <c r="M225" s="59" t="str">
        <f>IFERROR(tbl_Form[[#This Row],[Qty Complete]]/tbl_Form[[#This Row],[Total Hours Act]]*tbl_Form[[#This Row],['# of men Act]],"")</f>
        <v/>
      </c>
      <c r="O225"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225" s="90" t="str">
        <f>IFERROR((tbl_Form[[#This Row],[Adj. Total Hours]]+tbl_Form[[#This Row],[Est. Hours]])/(tbl_Form[[#This Row],[Total Hours Act]]+tbl_Form[[#This Row],[Act. Hours]]),"")</f>
        <v/>
      </c>
      <c r="S225"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225" s="93"/>
      <c r="U225" s="63"/>
      <c r="V225" s="63"/>
      <c r="W225" s="63"/>
      <c r="X225" s="63"/>
    </row>
    <row r="226" spans="6:24" ht="25" customHeight="1">
      <c r="F226" s="53"/>
      <c r="H226" s="55" t="e">
        <f>tbl_Form[[#This Row],[Qty Complete]]/tbl_Form[[#This Row],[Qty Required]]</f>
        <v>#DIV/0!</v>
      </c>
      <c r="K226" s="57" t="str">
        <f>IFERROR(tbl_Form[[#This Row],[Qty Required]]/tbl_Form[[#This Row],[PPH]]*tbl_Form[[#This Row],['# of men]],"")</f>
        <v/>
      </c>
      <c r="L226" s="58" t="e">
        <f>tbl_Form[[#This Row],[Total hours]]*tbl_Form[[#This Row],[% Complete]]</f>
        <v>#VALUE!</v>
      </c>
      <c r="M226" s="59" t="str">
        <f>IFERROR(tbl_Form[[#This Row],[Qty Complete]]/tbl_Form[[#This Row],[Total Hours Act]]*tbl_Form[[#This Row],['# of men Act]],"")</f>
        <v/>
      </c>
      <c r="O226"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226" s="90" t="str">
        <f>IFERROR((tbl_Form[[#This Row],[Adj. Total Hours]]+tbl_Form[[#This Row],[Est. Hours]])/(tbl_Form[[#This Row],[Total Hours Act]]+tbl_Form[[#This Row],[Act. Hours]]),"")</f>
        <v/>
      </c>
      <c r="S226"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226" s="93"/>
      <c r="U226" s="63"/>
      <c r="V226" s="63"/>
      <c r="W226" s="63"/>
      <c r="X226" s="63"/>
    </row>
    <row r="227" spans="6:24" ht="25" customHeight="1">
      <c r="F227" s="53"/>
      <c r="H227" s="55" t="e">
        <f>tbl_Form[[#This Row],[Qty Complete]]/tbl_Form[[#This Row],[Qty Required]]</f>
        <v>#DIV/0!</v>
      </c>
      <c r="K227" s="57" t="str">
        <f>IFERROR(tbl_Form[[#This Row],[Qty Required]]/tbl_Form[[#This Row],[PPH]]*tbl_Form[[#This Row],['# of men]],"")</f>
        <v/>
      </c>
      <c r="L227" s="58" t="e">
        <f>tbl_Form[[#This Row],[Total hours]]*tbl_Form[[#This Row],[% Complete]]</f>
        <v>#VALUE!</v>
      </c>
      <c r="M227" s="59" t="str">
        <f>IFERROR(tbl_Form[[#This Row],[Qty Complete]]/tbl_Form[[#This Row],[Total Hours Act]]*tbl_Form[[#This Row],['# of men Act]],"")</f>
        <v/>
      </c>
      <c r="O227"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227" s="90" t="str">
        <f>IFERROR((tbl_Form[[#This Row],[Adj. Total Hours]]+tbl_Form[[#This Row],[Est. Hours]])/(tbl_Form[[#This Row],[Total Hours Act]]+tbl_Form[[#This Row],[Act. Hours]]),"")</f>
        <v/>
      </c>
      <c r="S227"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227" s="93"/>
      <c r="U227" s="63"/>
      <c r="V227" s="63"/>
      <c r="W227" s="63"/>
      <c r="X227" s="63"/>
    </row>
    <row r="228" spans="6:24" ht="25" customHeight="1">
      <c r="F228" s="53"/>
      <c r="H228" s="55" t="e">
        <f>tbl_Form[[#This Row],[Qty Complete]]/tbl_Form[[#This Row],[Qty Required]]</f>
        <v>#DIV/0!</v>
      </c>
      <c r="K228" s="57" t="str">
        <f>IFERROR(tbl_Form[[#This Row],[Qty Required]]/tbl_Form[[#This Row],[PPH]]*tbl_Form[[#This Row],['# of men]],"")</f>
        <v/>
      </c>
      <c r="L228" s="58" t="e">
        <f>tbl_Form[[#This Row],[Total hours]]*tbl_Form[[#This Row],[% Complete]]</f>
        <v>#VALUE!</v>
      </c>
      <c r="M228" s="59" t="str">
        <f>IFERROR(tbl_Form[[#This Row],[Qty Complete]]/tbl_Form[[#This Row],[Total Hours Act]]*tbl_Form[[#This Row],['# of men Act]],"")</f>
        <v/>
      </c>
      <c r="O228"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228" s="90" t="str">
        <f>IFERROR((tbl_Form[[#This Row],[Adj. Total Hours]]+tbl_Form[[#This Row],[Est. Hours]])/(tbl_Form[[#This Row],[Total Hours Act]]+tbl_Form[[#This Row],[Act. Hours]]),"")</f>
        <v/>
      </c>
      <c r="S228"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228" s="93"/>
      <c r="U228" s="63"/>
      <c r="V228" s="63"/>
      <c r="W228" s="63"/>
      <c r="X228" s="63"/>
    </row>
    <row r="229" spans="6:24" ht="25" customHeight="1">
      <c r="F229" s="53"/>
      <c r="H229" s="55" t="e">
        <f>tbl_Form[[#This Row],[Qty Complete]]/tbl_Form[[#This Row],[Qty Required]]</f>
        <v>#DIV/0!</v>
      </c>
      <c r="K229" s="57" t="str">
        <f>IFERROR(tbl_Form[[#This Row],[Qty Required]]/tbl_Form[[#This Row],[PPH]]*tbl_Form[[#This Row],['# of men]],"")</f>
        <v/>
      </c>
      <c r="L229" s="58" t="e">
        <f>tbl_Form[[#This Row],[Total hours]]*tbl_Form[[#This Row],[% Complete]]</f>
        <v>#VALUE!</v>
      </c>
      <c r="M229" s="59" t="str">
        <f>IFERROR(tbl_Form[[#This Row],[Qty Complete]]/tbl_Form[[#This Row],[Total Hours Act]]*tbl_Form[[#This Row],['# of men Act]],"")</f>
        <v/>
      </c>
      <c r="O229"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229" s="90" t="str">
        <f>IFERROR((tbl_Form[[#This Row],[Adj. Total Hours]]+tbl_Form[[#This Row],[Est. Hours]])/(tbl_Form[[#This Row],[Total Hours Act]]+tbl_Form[[#This Row],[Act. Hours]]),"")</f>
        <v/>
      </c>
      <c r="S229"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229" s="93"/>
      <c r="U229" s="63"/>
      <c r="V229" s="63"/>
      <c r="W229" s="63"/>
      <c r="X229" s="63"/>
    </row>
    <row r="230" spans="6:24" ht="25" customHeight="1">
      <c r="F230" s="53"/>
      <c r="H230" s="55" t="e">
        <f>tbl_Form[[#This Row],[Qty Complete]]/tbl_Form[[#This Row],[Qty Required]]</f>
        <v>#DIV/0!</v>
      </c>
      <c r="K230" s="57" t="str">
        <f>IFERROR(tbl_Form[[#This Row],[Qty Required]]/tbl_Form[[#This Row],[PPH]]*tbl_Form[[#This Row],['# of men]],"")</f>
        <v/>
      </c>
      <c r="L230" s="58" t="e">
        <f>tbl_Form[[#This Row],[Total hours]]*tbl_Form[[#This Row],[% Complete]]</f>
        <v>#VALUE!</v>
      </c>
      <c r="M230" s="59" t="str">
        <f>IFERROR(tbl_Form[[#This Row],[Qty Complete]]/tbl_Form[[#This Row],[Total Hours Act]]*tbl_Form[[#This Row],['# of men Act]],"")</f>
        <v/>
      </c>
      <c r="O230"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230" s="90" t="str">
        <f>IFERROR((tbl_Form[[#This Row],[Adj. Total Hours]]+tbl_Form[[#This Row],[Est. Hours]])/(tbl_Form[[#This Row],[Total Hours Act]]+tbl_Form[[#This Row],[Act. Hours]]),"")</f>
        <v/>
      </c>
      <c r="S230"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230" s="93"/>
      <c r="U230" s="63"/>
      <c r="V230" s="63"/>
      <c r="W230" s="63"/>
      <c r="X230" s="63"/>
    </row>
    <row r="231" spans="6:24" ht="25" customHeight="1">
      <c r="F231" s="53"/>
      <c r="H231" s="55" t="e">
        <f>tbl_Form[[#This Row],[Qty Complete]]/tbl_Form[[#This Row],[Qty Required]]</f>
        <v>#DIV/0!</v>
      </c>
      <c r="K231" s="57" t="str">
        <f>IFERROR(tbl_Form[[#This Row],[Qty Required]]/tbl_Form[[#This Row],[PPH]]*tbl_Form[[#This Row],['# of men]],"")</f>
        <v/>
      </c>
      <c r="L231" s="58" t="e">
        <f>tbl_Form[[#This Row],[Total hours]]*tbl_Form[[#This Row],[% Complete]]</f>
        <v>#VALUE!</v>
      </c>
      <c r="M231" s="59" t="str">
        <f>IFERROR(tbl_Form[[#This Row],[Qty Complete]]/tbl_Form[[#This Row],[Total Hours Act]]*tbl_Form[[#This Row],['# of men Act]],"")</f>
        <v/>
      </c>
      <c r="O231"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231" s="90" t="str">
        <f>IFERROR((tbl_Form[[#This Row],[Adj. Total Hours]]+tbl_Form[[#This Row],[Est. Hours]])/(tbl_Form[[#This Row],[Total Hours Act]]+tbl_Form[[#This Row],[Act. Hours]]),"")</f>
        <v/>
      </c>
      <c r="S231"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231" s="93"/>
      <c r="U231" s="63"/>
      <c r="V231" s="63"/>
      <c r="W231" s="63"/>
      <c r="X231" s="63"/>
    </row>
    <row r="232" spans="6:24" ht="25" customHeight="1">
      <c r="F232" s="53"/>
      <c r="H232" s="55" t="e">
        <f>tbl_Form[[#This Row],[Qty Complete]]/tbl_Form[[#This Row],[Qty Required]]</f>
        <v>#DIV/0!</v>
      </c>
      <c r="K232" s="57" t="str">
        <f>IFERROR(tbl_Form[[#This Row],[Qty Required]]/tbl_Form[[#This Row],[PPH]]*tbl_Form[[#This Row],['# of men]],"")</f>
        <v/>
      </c>
      <c r="L232" s="58" t="e">
        <f>tbl_Form[[#This Row],[Total hours]]*tbl_Form[[#This Row],[% Complete]]</f>
        <v>#VALUE!</v>
      </c>
      <c r="M232" s="59" t="str">
        <f>IFERROR(tbl_Form[[#This Row],[Qty Complete]]/tbl_Form[[#This Row],[Total Hours Act]]*tbl_Form[[#This Row],['# of men Act]],"")</f>
        <v/>
      </c>
      <c r="O232"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232" s="90" t="str">
        <f>IFERROR((tbl_Form[[#This Row],[Adj. Total Hours]]+tbl_Form[[#This Row],[Est. Hours]])/(tbl_Form[[#This Row],[Total Hours Act]]+tbl_Form[[#This Row],[Act. Hours]]),"")</f>
        <v/>
      </c>
      <c r="S232"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232" s="93"/>
      <c r="U232" s="63"/>
      <c r="V232" s="63"/>
      <c r="W232" s="63"/>
      <c r="X232" s="63"/>
    </row>
    <row r="233" spans="6:24" ht="25" customHeight="1">
      <c r="F233" s="53"/>
      <c r="H233" s="55" t="e">
        <f>tbl_Form[[#This Row],[Qty Complete]]/tbl_Form[[#This Row],[Qty Required]]</f>
        <v>#DIV/0!</v>
      </c>
      <c r="K233" s="57" t="str">
        <f>IFERROR(tbl_Form[[#This Row],[Qty Required]]/tbl_Form[[#This Row],[PPH]]*tbl_Form[[#This Row],['# of men]],"")</f>
        <v/>
      </c>
      <c r="L233" s="58" t="e">
        <f>tbl_Form[[#This Row],[Total hours]]*tbl_Form[[#This Row],[% Complete]]</f>
        <v>#VALUE!</v>
      </c>
      <c r="M233" s="59" t="str">
        <f>IFERROR(tbl_Form[[#This Row],[Qty Complete]]/tbl_Form[[#This Row],[Total Hours Act]]*tbl_Form[[#This Row],['# of men Act]],"")</f>
        <v/>
      </c>
      <c r="O233"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233" s="90" t="str">
        <f>IFERROR((tbl_Form[[#This Row],[Adj. Total Hours]]+tbl_Form[[#This Row],[Est. Hours]])/(tbl_Form[[#This Row],[Total Hours Act]]+tbl_Form[[#This Row],[Act. Hours]]),"")</f>
        <v/>
      </c>
      <c r="S233"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233" s="93"/>
      <c r="U233" s="63"/>
      <c r="V233" s="63"/>
      <c r="W233" s="63"/>
      <c r="X233" s="63"/>
    </row>
    <row r="234" spans="6:24" ht="25" customHeight="1">
      <c r="F234" s="53"/>
      <c r="H234" s="55" t="e">
        <f>tbl_Form[[#This Row],[Qty Complete]]/tbl_Form[[#This Row],[Qty Required]]</f>
        <v>#DIV/0!</v>
      </c>
      <c r="K234" s="57" t="str">
        <f>IFERROR(tbl_Form[[#This Row],[Qty Required]]/tbl_Form[[#This Row],[PPH]]*tbl_Form[[#This Row],['# of men]],"")</f>
        <v/>
      </c>
      <c r="L234" s="58" t="e">
        <f>tbl_Form[[#This Row],[Total hours]]*tbl_Form[[#This Row],[% Complete]]</f>
        <v>#VALUE!</v>
      </c>
      <c r="M234" s="59" t="str">
        <f>IFERROR(tbl_Form[[#This Row],[Qty Complete]]/tbl_Form[[#This Row],[Total Hours Act]]*tbl_Form[[#This Row],['# of men Act]],"")</f>
        <v/>
      </c>
      <c r="O234"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234" s="90" t="str">
        <f>IFERROR((tbl_Form[[#This Row],[Adj. Total Hours]]+tbl_Form[[#This Row],[Est. Hours]])/(tbl_Form[[#This Row],[Total Hours Act]]+tbl_Form[[#This Row],[Act. Hours]]),"")</f>
        <v/>
      </c>
      <c r="S234"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234" s="93"/>
      <c r="U234" s="63"/>
      <c r="V234" s="63"/>
      <c r="W234" s="63"/>
      <c r="X234" s="63"/>
    </row>
    <row r="235" spans="6:24" ht="25" customHeight="1">
      <c r="F235" s="53"/>
      <c r="H235" s="55" t="e">
        <f>tbl_Form[[#This Row],[Qty Complete]]/tbl_Form[[#This Row],[Qty Required]]</f>
        <v>#DIV/0!</v>
      </c>
      <c r="K235" s="57" t="str">
        <f>IFERROR(tbl_Form[[#This Row],[Qty Required]]/tbl_Form[[#This Row],[PPH]]*tbl_Form[[#This Row],['# of men]],"")</f>
        <v/>
      </c>
      <c r="L235" s="58" t="e">
        <f>tbl_Form[[#This Row],[Total hours]]*tbl_Form[[#This Row],[% Complete]]</f>
        <v>#VALUE!</v>
      </c>
      <c r="M235" s="59" t="str">
        <f>IFERROR(tbl_Form[[#This Row],[Qty Complete]]/tbl_Form[[#This Row],[Total Hours Act]]*tbl_Form[[#This Row],['# of men Act]],"")</f>
        <v/>
      </c>
      <c r="O235"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235" s="90" t="str">
        <f>IFERROR((tbl_Form[[#This Row],[Adj. Total Hours]]+tbl_Form[[#This Row],[Est. Hours]])/(tbl_Form[[#This Row],[Total Hours Act]]+tbl_Form[[#This Row],[Act. Hours]]),"")</f>
        <v/>
      </c>
      <c r="S235"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235" s="93"/>
      <c r="U235" s="63"/>
      <c r="V235" s="63"/>
      <c r="W235" s="63"/>
      <c r="X235" s="63"/>
    </row>
    <row r="236" spans="6:24" ht="25" customHeight="1">
      <c r="F236" s="53"/>
      <c r="H236" s="55" t="e">
        <f>tbl_Form[[#This Row],[Qty Complete]]/tbl_Form[[#This Row],[Qty Required]]</f>
        <v>#DIV/0!</v>
      </c>
      <c r="K236" s="57" t="str">
        <f>IFERROR(tbl_Form[[#This Row],[Qty Required]]/tbl_Form[[#This Row],[PPH]]*tbl_Form[[#This Row],['# of men]],"")</f>
        <v/>
      </c>
      <c r="L236" s="58" t="e">
        <f>tbl_Form[[#This Row],[Total hours]]*tbl_Form[[#This Row],[% Complete]]</f>
        <v>#VALUE!</v>
      </c>
      <c r="M236" s="59" t="str">
        <f>IFERROR(tbl_Form[[#This Row],[Qty Complete]]/tbl_Form[[#This Row],[Total Hours Act]]*tbl_Form[[#This Row],['# of men Act]],"")</f>
        <v/>
      </c>
      <c r="O236"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236" s="90" t="str">
        <f>IFERROR((tbl_Form[[#This Row],[Adj. Total Hours]]+tbl_Form[[#This Row],[Est. Hours]])/(tbl_Form[[#This Row],[Total Hours Act]]+tbl_Form[[#This Row],[Act. Hours]]),"")</f>
        <v/>
      </c>
      <c r="S236"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236" s="93"/>
      <c r="U236" s="63"/>
      <c r="V236" s="63"/>
      <c r="W236" s="63"/>
      <c r="X236" s="63"/>
    </row>
    <row r="237" spans="6:24" ht="25" customHeight="1">
      <c r="F237" s="53"/>
      <c r="H237" s="55" t="e">
        <f>tbl_Form[[#This Row],[Qty Complete]]/tbl_Form[[#This Row],[Qty Required]]</f>
        <v>#DIV/0!</v>
      </c>
      <c r="K237" s="57" t="str">
        <f>IFERROR(tbl_Form[[#This Row],[Qty Required]]/tbl_Form[[#This Row],[PPH]]*tbl_Form[[#This Row],['# of men]],"")</f>
        <v/>
      </c>
      <c r="L237" s="58" t="e">
        <f>tbl_Form[[#This Row],[Total hours]]*tbl_Form[[#This Row],[% Complete]]</f>
        <v>#VALUE!</v>
      </c>
      <c r="M237" s="59" t="str">
        <f>IFERROR(tbl_Form[[#This Row],[Qty Complete]]/tbl_Form[[#This Row],[Total Hours Act]]*tbl_Form[[#This Row],['# of men Act]],"")</f>
        <v/>
      </c>
      <c r="O237"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237" s="90" t="str">
        <f>IFERROR((tbl_Form[[#This Row],[Adj. Total Hours]]+tbl_Form[[#This Row],[Est. Hours]])/(tbl_Form[[#This Row],[Total Hours Act]]+tbl_Form[[#This Row],[Act. Hours]]),"")</f>
        <v/>
      </c>
      <c r="S237"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237" s="93"/>
      <c r="U237" s="63"/>
      <c r="V237" s="63"/>
      <c r="W237" s="63"/>
      <c r="X237" s="63"/>
    </row>
    <row r="238" spans="6:24" ht="25" customHeight="1">
      <c r="F238" s="53"/>
      <c r="H238" s="55" t="e">
        <f>tbl_Form[[#This Row],[Qty Complete]]/tbl_Form[[#This Row],[Qty Required]]</f>
        <v>#DIV/0!</v>
      </c>
      <c r="K238" s="57" t="str">
        <f>IFERROR(tbl_Form[[#This Row],[Qty Required]]/tbl_Form[[#This Row],[PPH]]*tbl_Form[[#This Row],['# of men]],"")</f>
        <v/>
      </c>
      <c r="L238" s="58" t="e">
        <f>tbl_Form[[#This Row],[Total hours]]*tbl_Form[[#This Row],[% Complete]]</f>
        <v>#VALUE!</v>
      </c>
      <c r="M238" s="59" t="str">
        <f>IFERROR(tbl_Form[[#This Row],[Qty Complete]]/tbl_Form[[#This Row],[Total Hours Act]]*tbl_Form[[#This Row],['# of men Act]],"")</f>
        <v/>
      </c>
      <c r="O238"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238" s="90" t="str">
        <f>IFERROR((tbl_Form[[#This Row],[Adj. Total Hours]]+tbl_Form[[#This Row],[Est. Hours]])/(tbl_Form[[#This Row],[Total Hours Act]]+tbl_Form[[#This Row],[Act. Hours]]),"")</f>
        <v/>
      </c>
      <c r="S238"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238" s="93"/>
      <c r="U238" s="63"/>
      <c r="V238" s="63"/>
      <c r="W238" s="63"/>
      <c r="X238" s="63"/>
    </row>
    <row r="239" spans="6:24" ht="25" customHeight="1">
      <c r="F239" s="53"/>
      <c r="H239" s="55" t="e">
        <f>tbl_Form[[#This Row],[Qty Complete]]/tbl_Form[[#This Row],[Qty Required]]</f>
        <v>#DIV/0!</v>
      </c>
      <c r="K239" s="57" t="str">
        <f>IFERROR(tbl_Form[[#This Row],[Qty Required]]/tbl_Form[[#This Row],[PPH]]*tbl_Form[[#This Row],['# of men]],"")</f>
        <v/>
      </c>
      <c r="L239" s="58" t="e">
        <f>tbl_Form[[#This Row],[Total hours]]*tbl_Form[[#This Row],[% Complete]]</f>
        <v>#VALUE!</v>
      </c>
      <c r="M239" s="59" t="str">
        <f>IFERROR(tbl_Form[[#This Row],[Qty Complete]]/tbl_Form[[#This Row],[Total Hours Act]]*tbl_Form[[#This Row],['# of men Act]],"")</f>
        <v/>
      </c>
      <c r="O239"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239" s="90" t="str">
        <f>IFERROR((tbl_Form[[#This Row],[Adj. Total Hours]]+tbl_Form[[#This Row],[Est. Hours]])/(tbl_Form[[#This Row],[Total Hours Act]]+tbl_Form[[#This Row],[Act. Hours]]),"")</f>
        <v/>
      </c>
      <c r="S239"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239" s="93"/>
      <c r="U239" s="63"/>
      <c r="V239" s="63"/>
      <c r="W239" s="63"/>
      <c r="X239" s="63"/>
    </row>
    <row r="240" spans="6:24" ht="25" customHeight="1">
      <c r="F240" s="53"/>
      <c r="H240" s="55" t="e">
        <f>tbl_Form[[#This Row],[Qty Complete]]/tbl_Form[[#This Row],[Qty Required]]</f>
        <v>#DIV/0!</v>
      </c>
      <c r="K240" s="57" t="str">
        <f>IFERROR(tbl_Form[[#This Row],[Qty Required]]/tbl_Form[[#This Row],[PPH]]*tbl_Form[[#This Row],['# of men]],"")</f>
        <v/>
      </c>
      <c r="L240" s="58" t="e">
        <f>tbl_Form[[#This Row],[Total hours]]*tbl_Form[[#This Row],[% Complete]]</f>
        <v>#VALUE!</v>
      </c>
      <c r="M240" s="59" t="str">
        <f>IFERROR(tbl_Form[[#This Row],[Qty Complete]]/tbl_Form[[#This Row],[Total Hours Act]]*tbl_Form[[#This Row],['# of men Act]],"")</f>
        <v/>
      </c>
      <c r="O240"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240" s="90" t="str">
        <f>IFERROR((tbl_Form[[#This Row],[Adj. Total Hours]]+tbl_Form[[#This Row],[Est. Hours]])/(tbl_Form[[#This Row],[Total Hours Act]]+tbl_Form[[#This Row],[Act. Hours]]),"")</f>
        <v/>
      </c>
      <c r="S240"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240" s="93"/>
      <c r="U240" s="63"/>
      <c r="V240" s="63"/>
      <c r="W240" s="63"/>
      <c r="X240" s="63"/>
    </row>
    <row r="241" spans="6:24" ht="25" customHeight="1">
      <c r="F241" s="53"/>
      <c r="H241" s="55" t="e">
        <f>tbl_Form[[#This Row],[Qty Complete]]/tbl_Form[[#This Row],[Qty Required]]</f>
        <v>#DIV/0!</v>
      </c>
      <c r="K241" s="57" t="str">
        <f>IFERROR(tbl_Form[[#This Row],[Qty Required]]/tbl_Form[[#This Row],[PPH]]*tbl_Form[[#This Row],['# of men]],"")</f>
        <v/>
      </c>
      <c r="L241" s="58" t="e">
        <f>tbl_Form[[#This Row],[Total hours]]*tbl_Form[[#This Row],[% Complete]]</f>
        <v>#VALUE!</v>
      </c>
      <c r="M241" s="59" t="str">
        <f>IFERROR(tbl_Form[[#This Row],[Qty Complete]]/tbl_Form[[#This Row],[Total Hours Act]]*tbl_Form[[#This Row],['# of men Act]],"")</f>
        <v/>
      </c>
      <c r="O241"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241" s="90" t="str">
        <f>IFERROR((tbl_Form[[#This Row],[Adj. Total Hours]]+tbl_Form[[#This Row],[Est. Hours]])/(tbl_Form[[#This Row],[Total Hours Act]]+tbl_Form[[#This Row],[Act. Hours]]),"")</f>
        <v/>
      </c>
      <c r="S241"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241" s="93"/>
      <c r="U241" s="63"/>
      <c r="V241" s="63"/>
      <c r="W241" s="63"/>
      <c r="X241" s="63"/>
    </row>
    <row r="242" spans="6:24" ht="25" customHeight="1">
      <c r="F242" s="53"/>
      <c r="H242" s="55" t="e">
        <f>tbl_Form[[#This Row],[Qty Complete]]/tbl_Form[[#This Row],[Qty Required]]</f>
        <v>#DIV/0!</v>
      </c>
      <c r="K242" s="57" t="str">
        <f>IFERROR(tbl_Form[[#This Row],[Qty Required]]/tbl_Form[[#This Row],[PPH]]*tbl_Form[[#This Row],['# of men]],"")</f>
        <v/>
      </c>
      <c r="L242" s="58" t="e">
        <f>tbl_Form[[#This Row],[Total hours]]*tbl_Form[[#This Row],[% Complete]]</f>
        <v>#VALUE!</v>
      </c>
      <c r="M242" s="59" t="str">
        <f>IFERROR(tbl_Form[[#This Row],[Qty Complete]]/tbl_Form[[#This Row],[Total Hours Act]]*tbl_Form[[#This Row],['# of men Act]],"")</f>
        <v/>
      </c>
      <c r="O242"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242" s="90" t="str">
        <f>IFERROR((tbl_Form[[#This Row],[Adj. Total Hours]]+tbl_Form[[#This Row],[Est. Hours]])/(tbl_Form[[#This Row],[Total Hours Act]]+tbl_Form[[#This Row],[Act. Hours]]),"")</f>
        <v/>
      </c>
      <c r="S242"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242" s="93"/>
      <c r="U242" s="63"/>
      <c r="V242" s="63"/>
      <c r="W242" s="63"/>
      <c r="X242" s="63"/>
    </row>
    <row r="243" spans="6:24" ht="25" customHeight="1">
      <c r="F243" s="53"/>
      <c r="H243" s="55" t="e">
        <f>tbl_Form[[#This Row],[Qty Complete]]/tbl_Form[[#This Row],[Qty Required]]</f>
        <v>#DIV/0!</v>
      </c>
      <c r="K243" s="57" t="str">
        <f>IFERROR(tbl_Form[[#This Row],[Qty Required]]/tbl_Form[[#This Row],[PPH]]*tbl_Form[[#This Row],['# of men]],"")</f>
        <v/>
      </c>
      <c r="L243" s="58" t="e">
        <f>tbl_Form[[#This Row],[Total hours]]*tbl_Form[[#This Row],[% Complete]]</f>
        <v>#VALUE!</v>
      </c>
      <c r="M243" s="59" t="str">
        <f>IFERROR(tbl_Form[[#This Row],[Qty Complete]]/tbl_Form[[#This Row],[Total Hours Act]]*tbl_Form[[#This Row],['# of men Act]],"")</f>
        <v/>
      </c>
      <c r="O243"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243" s="90" t="str">
        <f>IFERROR((tbl_Form[[#This Row],[Adj. Total Hours]]+tbl_Form[[#This Row],[Est. Hours]])/(tbl_Form[[#This Row],[Total Hours Act]]+tbl_Form[[#This Row],[Act. Hours]]),"")</f>
        <v/>
      </c>
      <c r="S243"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243" s="93"/>
      <c r="U243" s="63"/>
      <c r="V243" s="63"/>
      <c r="W243" s="63"/>
      <c r="X243" s="63"/>
    </row>
    <row r="244" spans="6:24" ht="25" customHeight="1">
      <c r="F244" s="53"/>
      <c r="H244" s="55" t="e">
        <f>tbl_Form[[#This Row],[Qty Complete]]/tbl_Form[[#This Row],[Qty Required]]</f>
        <v>#DIV/0!</v>
      </c>
      <c r="K244" s="57" t="str">
        <f>IFERROR(tbl_Form[[#This Row],[Qty Required]]/tbl_Form[[#This Row],[PPH]]*tbl_Form[[#This Row],['# of men]],"")</f>
        <v/>
      </c>
      <c r="L244" s="58" t="e">
        <f>tbl_Form[[#This Row],[Total hours]]*tbl_Form[[#This Row],[% Complete]]</f>
        <v>#VALUE!</v>
      </c>
      <c r="M244" s="59" t="str">
        <f>IFERROR(tbl_Form[[#This Row],[Qty Complete]]/tbl_Form[[#This Row],[Total Hours Act]]*tbl_Form[[#This Row],['# of men Act]],"")</f>
        <v/>
      </c>
      <c r="O244"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244" s="90" t="str">
        <f>IFERROR((tbl_Form[[#This Row],[Adj. Total Hours]]+tbl_Form[[#This Row],[Est. Hours]])/(tbl_Form[[#This Row],[Total Hours Act]]+tbl_Form[[#This Row],[Act. Hours]]),"")</f>
        <v/>
      </c>
      <c r="S244"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244" s="93"/>
      <c r="U244" s="63"/>
      <c r="V244" s="63"/>
      <c r="W244" s="63"/>
      <c r="X244" s="63"/>
    </row>
    <row r="245" spans="6:24" ht="25" customHeight="1">
      <c r="F245" s="53"/>
      <c r="H245" s="55" t="e">
        <f>tbl_Form[[#This Row],[Qty Complete]]/tbl_Form[[#This Row],[Qty Required]]</f>
        <v>#DIV/0!</v>
      </c>
      <c r="K245" s="57" t="str">
        <f>IFERROR(tbl_Form[[#This Row],[Qty Required]]/tbl_Form[[#This Row],[PPH]]*tbl_Form[[#This Row],['# of men]],"")</f>
        <v/>
      </c>
      <c r="L245" s="58" t="e">
        <f>tbl_Form[[#This Row],[Total hours]]*tbl_Form[[#This Row],[% Complete]]</f>
        <v>#VALUE!</v>
      </c>
      <c r="M245" s="59" t="str">
        <f>IFERROR(tbl_Form[[#This Row],[Qty Complete]]/tbl_Form[[#This Row],[Total Hours Act]]*tbl_Form[[#This Row],['# of men Act]],"")</f>
        <v/>
      </c>
      <c r="O245"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245" s="90" t="str">
        <f>IFERROR((tbl_Form[[#This Row],[Adj. Total Hours]]+tbl_Form[[#This Row],[Est. Hours]])/(tbl_Form[[#This Row],[Total Hours Act]]+tbl_Form[[#This Row],[Act. Hours]]),"")</f>
        <v/>
      </c>
      <c r="S245"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245" s="93"/>
      <c r="U245" s="63"/>
      <c r="V245" s="63"/>
      <c r="W245" s="63"/>
      <c r="X245" s="63"/>
    </row>
    <row r="246" spans="6:24" ht="25" customHeight="1">
      <c r="F246" s="53"/>
      <c r="H246" s="55" t="e">
        <f>tbl_Form[[#This Row],[Qty Complete]]/tbl_Form[[#This Row],[Qty Required]]</f>
        <v>#DIV/0!</v>
      </c>
      <c r="K246" s="57" t="str">
        <f>IFERROR(tbl_Form[[#This Row],[Qty Required]]/tbl_Form[[#This Row],[PPH]]*tbl_Form[[#This Row],['# of men]],"")</f>
        <v/>
      </c>
      <c r="L246" s="58" t="e">
        <f>tbl_Form[[#This Row],[Total hours]]*tbl_Form[[#This Row],[% Complete]]</f>
        <v>#VALUE!</v>
      </c>
      <c r="M246" s="59" t="str">
        <f>IFERROR(tbl_Form[[#This Row],[Qty Complete]]/tbl_Form[[#This Row],[Total Hours Act]]*tbl_Form[[#This Row],['# of men Act]],"")</f>
        <v/>
      </c>
      <c r="O246"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246" s="90" t="str">
        <f>IFERROR((tbl_Form[[#This Row],[Adj. Total Hours]]+tbl_Form[[#This Row],[Est. Hours]])/(tbl_Form[[#This Row],[Total Hours Act]]+tbl_Form[[#This Row],[Act. Hours]]),"")</f>
        <v/>
      </c>
      <c r="S246"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246" s="93"/>
      <c r="U246" s="63"/>
      <c r="V246" s="63"/>
      <c r="W246" s="63"/>
      <c r="X246" s="63"/>
    </row>
    <row r="247" spans="6:24" ht="25" customHeight="1">
      <c r="F247" s="53"/>
      <c r="H247" s="55" t="e">
        <f>tbl_Form[[#This Row],[Qty Complete]]/tbl_Form[[#This Row],[Qty Required]]</f>
        <v>#DIV/0!</v>
      </c>
      <c r="K247" s="57" t="str">
        <f>IFERROR(tbl_Form[[#This Row],[Qty Required]]/tbl_Form[[#This Row],[PPH]]*tbl_Form[[#This Row],['# of men]],"")</f>
        <v/>
      </c>
      <c r="L247" s="58" t="e">
        <f>tbl_Form[[#This Row],[Total hours]]*tbl_Form[[#This Row],[% Complete]]</f>
        <v>#VALUE!</v>
      </c>
      <c r="M247" s="59" t="str">
        <f>IFERROR(tbl_Form[[#This Row],[Qty Complete]]/tbl_Form[[#This Row],[Total Hours Act]]*tbl_Form[[#This Row],['# of men Act]],"")</f>
        <v/>
      </c>
      <c r="O247"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247" s="90" t="str">
        <f>IFERROR((tbl_Form[[#This Row],[Adj. Total Hours]]+tbl_Form[[#This Row],[Est. Hours]])/(tbl_Form[[#This Row],[Total Hours Act]]+tbl_Form[[#This Row],[Act. Hours]]),"")</f>
        <v/>
      </c>
      <c r="S247"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247" s="93"/>
      <c r="U247" s="63"/>
      <c r="V247" s="63"/>
      <c r="W247" s="63"/>
      <c r="X247" s="63"/>
    </row>
    <row r="248" spans="6:24" ht="25" customHeight="1">
      <c r="F248" s="53"/>
      <c r="H248" s="55" t="e">
        <f>tbl_Form[[#This Row],[Qty Complete]]/tbl_Form[[#This Row],[Qty Required]]</f>
        <v>#DIV/0!</v>
      </c>
      <c r="K248" s="57" t="str">
        <f>IFERROR(tbl_Form[[#This Row],[Qty Required]]/tbl_Form[[#This Row],[PPH]]*tbl_Form[[#This Row],['# of men]],"")</f>
        <v/>
      </c>
      <c r="L248" s="58" t="e">
        <f>tbl_Form[[#This Row],[Total hours]]*tbl_Form[[#This Row],[% Complete]]</f>
        <v>#VALUE!</v>
      </c>
      <c r="M248" s="59" t="str">
        <f>IFERROR(tbl_Form[[#This Row],[Qty Complete]]/tbl_Form[[#This Row],[Total Hours Act]]*tbl_Form[[#This Row],['# of men Act]],"")</f>
        <v/>
      </c>
      <c r="O248"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248" s="90" t="str">
        <f>IFERROR((tbl_Form[[#This Row],[Adj. Total Hours]]+tbl_Form[[#This Row],[Est. Hours]])/(tbl_Form[[#This Row],[Total Hours Act]]+tbl_Form[[#This Row],[Act. Hours]]),"")</f>
        <v/>
      </c>
      <c r="S248"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248" s="93"/>
      <c r="U248" s="63"/>
      <c r="V248" s="63"/>
      <c r="W248" s="63"/>
      <c r="X248" s="63"/>
    </row>
    <row r="249" spans="6:24" ht="25" customHeight="1">
      <c r="F249" s="53"/>
      <c r="H249" s="55" t="e">
        <f>tbl_Form[[#This Row],[Qty Complete]]/tbl_Form[[#This Row],[Qty Required]]</f>
        <v>#DIV/0!</v>
      </c>
      <c r="K249" s="57" t="str">
        <f>IFERROR(tbl_Form[[#This Row],[Qty Required]]/tbl_Form[[#This Row],[PPH]]*tbl_Form[[#This Row],['# of men]],"")</f>
        <v/>
      </c>
      <c r="L249" s="58" t="e">
        <f>tbl_Form[[#This Row],[Total hours]]*tbl_Form[[#This Row],[% Complete]]</f>
        <v>#VALUE!</v>
      </c>
      <c r="M249" s="59" t="str">
        <f>IFERROR(tbl_Form[[#This Row],[Qty Complete]]/tbl_Form[[#This Row],[Total Hours Act]]*tbl_Form[[#This Row],['# of men Act]],"")</f>
        <v/>
      </c>
      <c r="O249"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249" s="90" t="str">
        <f>IFERROR((tbl_Form[[#This Row],[Adj. Total Hours]]+tbl_Form[[#This Row],[Est. Hours]])/(tbl_Form[[#This Row],[Total Hours Act]]+tbl_Form[[#This Row],[Act. Hours]]),"")</f>
        <v/>
      </c>
      <c r="S249"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249" s="93"/>
      <c r="U249" s="63"/>
      <c r="V249" s="63"/>
      <c r="W249" s="63"/>
      <c r="X249" s="63"/>
    </row>
    <row r="250" spans="6:24" ht="25" customHeight="1">
      <c r="F250" s="53"/>
      <c r="H250" s="55" t="e">
        <f>tbl_Form[[#This Row],[Qty Complete]]/tbl_Form[[#This Row],[Qty Required]]</f>
        <v>#DIV/0!</v>
      </c>
      <c r="K250" s="57" t="str">
        <f>IFERROR(tbl_Form[[#This Row],[Qty Required]]/tbl_Form[[#This Row],[PPH]]*tbl_Form[[#This Row],['# of men]],"")</f>
        <v/>
      </c>
      <c r="L250" s="58" t="e">
        <f>tbl_Form[[#This Row],[Total hours]]*tbl_Form[[#This Row],[% Complete]]</f>
        <v>#VALUE!</v>
      </c>
      <c r="M250" s="59" t="str">
        <f>IFERROR(tbl_Form[[#This Row],[Qty Complete]]/tbl_Form[[#This Row],[Total Hours Act]]*tbl_Form[[#This Row],['# of men Act]],"")</f>
        <v/>
      </c>
      <c r="O250" s="60">
        <f>(MOD(tbl_Form[[#This Row],[End Time]]-tbl_Form[[#This Row],[Start Time]],1)*24*tbl_Form[[#This Row],['# of men Act]])-
(
IF(AND(tbl_Form[[#This Row],[Start Time]]&lt;=Data!$B$2+(Data!$B$2&lt;tbl_Form[[#This Row],[Start Time]]),tbl_Form[[#This Row],[Start Time]]+MOD(tbl_Form[[#This Row],[End Time]]-tbl_Form[[#This Row],[Start Time]],1)&gt;=Data!$C$2+(Data!$C$2&lt;tbl_Form[[#This Row],[Start Time]])),0.5*tbl_Form[[#This Row],['# of men Act]],0)
+
IF(AND(tbl_Form[[#This Row],[Start Time]]&lt;=Data!$B$3+(Data!$B$3&lt;tbl_Form[[#This Row],[Start Time]]),tbl_Form[[#This Row],[Start Time]]+MOD(tbl_Form[[#This Row],[End Time]]-tbl_Form[[#This Row],[Start Time]],1)&gt;=Data!$C$3+(Data!$C$3&lt;tbl_Form[[#This Row],[Start Time]])),0.5*tbl_Form[[#This Row],['# of men Act]],0)
)</f>
        <v>0</v>
      </c>
      <c r="R250" s="90" t="str">
        <f>IFERROR((tbl_Form[[#This Row],[Adj. Total Hours]]+tbl_Form[[#This Row],[Est. Hours]])/(tbl_Form[[#This Row],[Total Hours Act]]+tbl_Form[[#This Row],[Act. Hours]]),"")</f>
        <v/>
      </c>
      <c r="S250" s="89" t="str">
        <f>IF(AND(SUMIFS(tbl_Form[% Complete],tbl_Form[Job'#],tbl_Form[[#This Row],[Job'#]])&gt;=1,COUNTIF(INDEX(tbl_Form[Job'#],1):tbl_Form[[#This Row],[Job'#]],tbl_Form[[#This Row],[Job'#]])=COUNTIF(tbl_Form[Job'#],tbl_Form[[#This Row],[Job'#]])),IFERROR((SUMIFS(tbl_Form[Adj. Total Hours],tbl_Form[Job'#],tbl_Form[[#This Row],[Job'#]])+SUMIFS(tbl_Form[Est. Hours],tbl_Form[Job'#],tbl_Form[[#This Row],[Job'#]]))/(SUMIFS(tbl_Form[Total Hours Act],tbl_Form[Job'#],tbl_Form[[#This Row],[Job'#]])+SUMIFS(tbl_Form[Act. Hours],tbl_Form[Job'#],tbl_Form[[#This Row],[Job'#]])),""),"")</f>
        <v/>
      </c>
      <c r="T250" s="93"/>
      <c r="U250" s="63"/>
      <c r="V250" s="63"/>
      <c r="W250" s="63"/>
      <c r="X250" s="63"/>
    </row>
  </sheetData>
  <sheetProtection sheet="1" objects="1" scenarios="1"/>
  <protectedRanges>
    <protectedRange sqref="A1:G1048576 I1:J1048576 N1:N1048576 P1:Q1048576 W1:X1048576 V1:V36 V38:V1048576 U1:U1048576 T1:T62 T64:T1048576" name="Range1"/>
  </protectedRanges>
  <mergeCells count="2">
    <mergeCell ref="P1:Q1"/>
    <mergeCell ref="R1:S1"/>
  </mergeCells>
  <conditionalFormatting sqref="R3:S3836">
    <cfRule type="expression" dxfId="26" priority="1">
      <formula>AND(R3&gt;0.85,R3&lt;&gt;"")</formula>
    </cfRule>
    <cfRule type="expression" dxfId="25" priority="2">
      <formula>AND(R3&gt;=0.7,R3&lt;=0.85,R3&lt;&gt;"")</formula>
    </cfRule>
    <cfRule type="expression" dxfId="24" priority="3">
      <formula>AND(R3&lt;0.7,R3&lt;&gt;"")</formula>
    </cfRule>
  </conditionalFormatting>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C2704-8DA7-401E-89FD-FE634E3A0BCF}">
  <dimension ref="A1:X250"/>
  <sheetViews>
    <sheetView topLeftCell="A4" zoomScale="60" zoomScaleNormal="60" workbookViewId="0">
      <selection activeCell="T37" sqref="T37"/>
    </sheetView>
  </sheetViews>
  <sheetFormatPr defaultColWidth="9.1796875" defaultRowHeight="24.75" customHeight="1"/>
  <cols>
    <col min="1" max="1" width="11.54296875" style="52" customWidth="1"/>
    <col min="2" max="2" width="13.1796875" style="53" customWidth="1"/>
    <col min="3" max="3" width="15.81640625" style="53" bestFit="1" customWidth="1"/>
    <col min="4" max="4" width="15.54296875" style="54" bestFit="1" customWidth="1"/>
    <col min="5" max="5" width="14.7265625" style="54" bestFit="1" customWidth="1"/>
    <col min="6" max="6" width="18.26953125" style="54" bestFit="1" customWidth="1"/>
    <col min="7" max="7" width="19" style="53" bestFit="1" customWidth="1"/>
    <col min="8" max="8" width="0" style="53" hidden="1" customWidth="1"/>
    <col min="9" max="9" width="10.453125" style="56" bestFit="1" customWidth="1"/>
    <col min="10" max="10" width="14" style="53" bestFit="1" customWidth="1"/>
    <col min="11" max="11" width="16.453125" style="66" bestFit="1" customWidth="1"/>
    <col min="12" max="12" width="0" style="47" hidden="1" customWidth="1"/>
    <col min="13" max="13" width="13.453125" style="67" bestFit="1" customWidth="1"/>
    <col min="14" max="14" width="17.26953125" style="53" bestFit="1" customWidth="1"/>
    <col min="15" max="15" width="20.1796875" style="68" bestFit="1" customWidth="1"/>
    <col min="16" max="17" width="15.7265625" style="61" bestFit="1" customWidth="1"/>
    <col min="18" max="18" width="15.1796875" style="73" bestFit="1" customWidth="1"/>
    <col min="19" max="19" width="18.7265625" style="74" bestFit="1" customWidth="1"/>
    <col min="20" max="20" width="55.26953125" style="53" customWidth="1"/>
    <col min="21" max="24" width="16.81640625" style="53" bestFit="1" customWidth="1"/>
    <col min="25" max="16384" width="9.1796875" style="47"/>
  </cols>
  <sheetData>
    <row r="1" spans="1:24" ht="24.75" customHeight="1">
      <c r="A1" s="8"/>
      <c r="B1" s="7"/>
      <c r="C1" s="7"/>
      <c r="D1" s="9"/>
      <c r="E1" s="9"/>
      <c r="F1" s="9"/>
      <c r="G1" s="7"/>
      <c r="H1" s="7"/>
      <c r="I1" s="13"/>
      <c r="J1" s="40" t="s">
        <v>0</v>
      </c>
      <c r="K1" s="46"/>
      <c r="L1" s="46"/>
      <c r="M1" s="4"/>
      <c r="N1" s="41" t="s">
        <v>1</v>
      </c>
      <c r="O1" s="5"/>
      <c r="P1" s="113" t="s">
        <v>2</v>
      </c>
      <c r="Q1" s="114"/>
      <c r="R1" s="126" t="s">
        <v>3</v>
      </c>
      <c r="S1" s="126"/>
      <c r="T1" s="7"/>
      <c r="U1" s="7"/>
      <c r="V1" s="7"/>
      <c r="W1" s="7"/>
      <c r="X1" s="7"/>
    </row>
    <row r="2" spans="1:24" ht="24.75" customHeight="1">
      <c r="A2" s="10" t="s">
        <v>4</v>
      </c>
      <c r="B2" s="6" t="s">
        <v>5</v>
      </c>
      <c r="C2" s="6" t="s">
        <v>7</v>
      </c>
      <c r="D2" s="11" t="s">
        <v>8</v>
      </c>
      <c r="E2" s="11" t="s">
        <v>9</v>
      </c>
      <c r="F2" s="11" t="s">
        <v>10</v>
      </c>
      <c r="G2" s="6" t="s">
        <v>11</v>
      </c>
      <c r="H2" s="48" t="s">
        <v>12</v>
      </c>
      <c r="I2" s="12" t="s">
        <v>13</v>
      </c>
      <c r="J2" s="6" t="s">
        <v>14</v>
      </c>
      <c r="K2" s="49" t="s">
        <v>15</v>
      </c>
      <c r="L2" s="50" t="s">
        <v>16</v>
      </c>
      <c r="M2" s="2" t="s">
        <v>21</v>
      </c>
      <c r="N2" s="6" t="s">
        <v>22</v>
      </c>
      <c r="O2" s="3" t="s">
        <v>23</v>
      </c>
      <c r="P2" s="25" t="s">
        <v>25</v>
      </c>
      <c r="Q2" s="25" t="s">
        <v>26</v>
      </c>
      <c r="R2" s="51" t="s">
        <v>27</v>
      </c>
      <c r="S2" s="75" t="s">
        <v>28</v>
      </c>
      <c r="T2" s="6" t="s">
        <v>31</v>
      </c>
      <c r="U2" s="6" t="s">
        <v>32</v>
      </c>
      <c r="V2" s="6" t="s">
        <v>33</v>
      </c>
      <c r="W2" s="6" t="s">
        <v>34</v>
      </c>
      <c r="X2" s="6" t="s">
        <v>35</v>
      </c>
    </row>
    <row r="3" spans="1:24" ht="24.75" customHeight="1">
      <c r="A3" s="52">
        <v>46120</v>
      </c>
      <c r="B3" s="53" t="s">
        <v>558</v>
      </c>
      <c r="C3" s="53">
        <v>1502881300</v>
      </c>
      <c r="D3" s="54">
        <v>0.20833333333333334</v>
      </c>
      <c r="E3" s="54">
        <v>0.6875</v>
      </c>
      <c r="F3" s="53">
        <v>8</v>
      </c>
      <c r="G3" s="53">
        <v>0</v>
      </c>
      <c r="H3" s="55">
        <f>tbl_Weld[[#This Row],[Qty Complete]]/tbl_Weld[[#This Row],[Qty Required]]</f>
        <v>0</v>
      </c>
      <c r="I3" s="56">
        <v>0.18181800000000001</v>
      </c>
      <c r="J3" s="53">
        <v>2</v>
      </c>
      <c r="K3" s="57">
        <f>IFERROR(tbl_Weld[[#This Row],[Qty Required]]/tbl_Weld[[#This Row],[PPH]]*tbl_Weld[[#This Row],['# of men]],"")</f>
        <v>88.000088000087999</v>
      </c>
      <c r="L3" s="58">
        <f>tbl_Weld[[#This Row],[Total hours]]*tbl_Weld[[#This Row],[% Complete]]</f>
        <v>0</v>
      </c>
      <c r="M3" s="59">
        <f>IFERROR(tbl_Weld[[#This Row],[Qty Complete]]/tbl_Weld[[#This Row],[Total Hours Act]]*tbl_Weld[[#This Row],['# of men Act]],"")</f>
        <v>0</v>
      </c>
      <c r="N3" s="53">
        <v>2</v>
      </c>
      <c r="O3"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22</v>
      </c>
      <c r="R3" s="72">
        <f>IFERROR((tbl_Weld[[#This Row],[Adj. Total Hours]]+tbl_Weld[[#This Row],[Est. Hours]])/(tbl_Weld[[#This Row],[Total Hours Act]]+tbl_Weld[[#This Row],[Act. Hours]]),"")</f>
        <v>0</v>
      </c>
      <c r="S3"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3" s="63"/>
      <c r="U3" s="64" t="s">
        <v>559</v>
      </c>
      <c r="V3" s="65" t="s">
        <v>560</v>
      </c>
      <c r="W3" s="63"/>
      <c r="X3" s="63"/>
    </row>
    <row r="4" spans="1:24" ht="24.75" customHeight="1">
      <c r="A4" s="52">
        <v>46120</v>
      </c>
      <c r="B4" s="53" t="s">
        <v>454</v>
      </c>
      <c r="C4" s="53" t="s">
        <v>455</v>
      </c>
      <c r="D4" s="54">
        <v>0.20833333333333334</v>
      </c>
      <c r="E4" s="54">
        <v>0.375</v>
      </c>
      <c r="F4" s="53">
        <v>4</v>
      </c>
      <c r="G4" s="53">
        <v>4</v>
      </c>
      <c r="H4" s="55">
        <f>tbl_Weld[[#This Row],[Qty Complete]]/tbl_Weld[[#This Row],[Qty Required]]</f>
        <v>1</v>
      </c>
      <c r="I4" s="56">
        <v>0.5</v>
      </c>
      <c r="J4" s="53">
        <v>1</v>
      </c>
      <c r="K4" s="57">
        <f>IFERROR(tbl_Weld[[#This Row],[Qty Required]]/tbl_Weld[[#This Row],[PPH]]*tbl_Weld[[#This Row],['# of men]],"")</f>
        <v>8</v>
      </c>
      <c r="L4" s="58">
        <f>tbl_Weld[[#This Row],[Total hours]]*tbl_Weld[[#This Row],[% Complete]]</f>
        <v>8</v>
      </c>
      <c r="M4" s="59">
        <f>IFERROR(tbl_Weld[[#This Row],[Qty Complete]]/tbl_Weld[[#This Row],[Total Hours Act]]*tbl_Weld[[#This Row],['# of men Act]],"")</f>
        <v>1</v>
      </c>
      <c r="N4" s="53">
        <v>2</v>
      </c>
      <c r="O4"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8</v>
      </c>
      <c r="R4" s="72">
        <f>IFERROR((tbl_Weld[[#This Row],[Adj. Total Hours]]+tbl_Weld[[#This Row],[Est. Hours]])/(tbl_Weld[[#This Row],[Total Hours Act]]+tbl_Weld[[#This Row],[Act. Hours]]),"")</f>
        <v>1</v>
      </c>
      <c r="S4" s="76">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1</v>
      </c>
      <c r="T4" s="63"/>
      <c r="U4" s="63" t="s">
        <v>561</v>
      </c>
      <c r="V4" s="63" t="s">
        <v>562</v>
      </c>
      <c r="W4" s="63"/>
      <c r="X4" s="63"/>
    </row>
    <row r="5" spans="1:24" ht="24.75" customHeight="1">
      <c r="A5" s="52">
        <v>46120</v>
      </c>
      <c r="B5" s="53" t="s">
        <v>563</v>
      </c>
      <c r="C5" s="53" t="s">
        <v>455</v>
      </c>
      <c r="D5" s="54">
        <v>0.20833333333333334</v>
      </c>
      <c r="E5" s="54">
        <v>0.5</v>
      </c>
      <c r="F5" s="53">
        <v>103</v>
      </c>
      <c r="G5" s="53">
        <v>8</v>
      </c>
      <c r="H5" s="55">
        <f>tbl_Weld[[#This Row],[Qty Complete]]/tbl_Weld[[#This Row],[Qty Required]]</f>
        <v>7.7669902912621352E-2</v>
      </c>
      <c r="I5" s="56">
        <v>0.5</v>
      </c>
      <c r="J5" s="53">
        <v>1</v>
      </c>
      <c r="K5" s="57">
        <f>IFERROR(tbl_Weld[[#This Row],[Qty Required]]/tbl_Weld[[#This Row],[PPH]]*tbl_Weld[[#This Row],['# of men]],"")</f>
        <v>206</v>
      </c>
      <c r="L5" s="58">
        <f>tbl_Weld[[#This Row],[Total hours]]*tbl_Weld[[#This Row],[% Complete]]</f>
        <v>15.999999999999998</v>
      </c>
      <c r="M5" s="59">
        <f>IFERROR(tbl_Weld[[#This Row],[Qty Complete]]/tbl_Weld[[#This Row],[Total Hours Act]]*tbl_Weld[[#This Row],['# of men Act]],"")</f>
        <v>1.142857142857143</v>
      </c>
      <c r="N5" s="53">
        <v>2</v>
      </c>
      <c r="O5"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13.999999999999998</v>
      </c>
      <c r="R5" s="72">
        <f>IFERROR((tbl_Weld[[#This Row],[Adj. Total Hours]]+tbl_Weld[[#This Row],[Est. Hours]])/(tbl_Weld[[#This Row],[Total Hours Act]]+tbl_Weld[[#This Row],[Act. Hours]]),"")</f>
        <v>1.1428571428571428</v>
      </c>
      <c r="S5"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5" s="63"/>
      <c r="U5" s="63" t="s">
        <v>561</v>
      </c>
      <c r="V5" s="63" t="s">
        <v>562</v>
      </c>
      <c r="W5" s="63"/>
      <c r="X5" s="63"/>
    </row>
    <row r="6" spans="1:24" ht="24.75" customHeight="1">
      <c r="A6" s="52">
        <v>46120</v>
      </c>
      <c r="B6" s="53" t="s">
        <v>564</v>
      </c>
      <c r="C6" s="53" t="s">
        <v>565</v>
      </c>
      <c r="D6" s="54">
        <v>0.20833333333333334</v>
      </c>
      <c r="E6" s="54">
        <v>0.6875</v>
      </c>
      <c r="F6" s="53">
        <v>55</v>
      </c>
      <c r="G6" s="53">
        <v>3</v>
      </c>
      <c r="H6" s="55">
        <f>tbl_Weld[[#This Row],[Qty Complete]]/tbl_Weld[[#This Row],[Qty Required]]</f>
        <v>5.4545454545454543E-2</v>
      </c>
      <c r="I6" s="56">
        <v>0.33333000000000002</v>
      </c>
      <c r="J6" s="53">
        <v>1</v>
      </c>
      <c r="K6" s="57">
        <f>IFERROR(tbl_Weld[[#This Row],[Qty Required]]/tbl_Weld[[#This Row],[PPH]]*tbl_Weld[[#This Row],['# of men]],"")</f>
        <v>165.00165001650015</v>
      </c>
      <c r="L6" s="58">
        <f>tbl_Weld[[#This Row],[Total hours]]*tbl_Weld[[#This Row],[% Complete]]</f>
        <v>9.0000900009000073</v>
      </c>
      <c r="M6" s="59">
        <f>IFERROR(tbl_Weld[[#This Row],[Qty Complete]]/tbl_Weld[[#This Row],[Total Hours Act]]*tbl_Weld[[#This Row],['# of men Act]],"")</f>
        <v>0.27272727272727271</v>
      </c>
      <c r="N6" s="53">
        <v>1</v>
      </c>
      <c r="O6"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11</v>
      </c>
      <c r="R6" s="72">
        <f>IFERROR((tbl_Weld[[#This Row],[Adj. Total Hours]]+tbl_Weld[[#This Row],[Est. Hours]])/(tbl_Weld[[#This Row],[Total Hours Act]]+tbl_Weld[[#This Row],[Act. Hours]]),"")</f>
        <v>0.81819000008181886</v>
      </c>
      <c r="S6"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6" s="63"/>
      <c r="U6" s="63" t="s">
        <v>566</v>
      </c>
      <c r="V6" s="63"/>
      <c r="W6" s="63"/>
      <c r="X6" s="63"/>
    </row>
    <row r="7" spans="1:24" ht="24.75" customHeight="1">
      <c r="A7" s="52">
        <v>46120</v>
      </c>
      <c r="B7" s="53" t="s">
        <v>564</v>
      </c>
      <c r="C7" s="53" t="s">
        <v>565</v>
      </c>
      <c r="D7" s="54">
        <v>0.20833333333333334</v>
      </c>
      <c r="E7" s="54">
        <v>0.625</v>
      </c>
      <c r="F7" s="53">
        <v>55</v>
      </c>
      <c r="G7" s="53">
        <v>3</v>
      </c>
      <c r="H7" s="55">
        <f>tbl_Weld[[#This Row],[Qty Complete]]/tbl_Weld[[#This Row],[Qty Required]]</f>
        <v>5.4545454545454543E-2</v>
      </c>
      <c r="I7" s="56">
        <v>0.33333000000000002</v>
      </c>
      <c r="J7" s="53">
        <v>1</v>
      </c>
      <c r="K7" s="57">
        <f>IFERROR(tbl_Weld[[#This Row],[Qty Required]]/tbl_Weld[[#This Row],[PPH]]*tbl_Weld[[#This Row],['# of men]],"")</f>
        <v>165.00165001650015</v>
      </c>
      <c r="L7" s="58">
        <f>tbl_Weld[[#This Row],[Total hours]]*tbl_Weld[[#This Row],[% Complete]]</f>
        <v>9.0000900009000073</v>
      </c>
      <c r="M7" s="59">
        <f>IFERROR(tbl_Weld[[#This Row],[Qty Complete]]/tbl_Weld[[#This Row],[Total Hours Act]]*tbl_Weld[[#This Row],['# of men Act]],"")</f>
        <v>0.31578947368421051</v>
      </c>
      <c r="N7" s="53">
        <v>1</v>
      </c>
      <c r="O7"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9.5</v>
      </c>
      <c r="R7" s="72">
        <f>IFERROR((tbl_Weld[[#This Row],[Adj. Total Hours]]+tbl_Weld[[#This Row],[Est. Hours]])/(tbl_Weld[[#This Row],[Total Hours Act]]+tbl_Weld[[#This Row],[Act. Hours]]),"")</f>
        <v>0.94737789483157975</v>
      </c>
      <c r="S7"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7" s="63"/>
      <c r="U7" s="63" t="s">
        <v>567</v>
      </c>
      <c r="V7" s="63"/>
      <c r="W7" s="63"/>
      <c r="X7" s="63"/>
    </row>
    <row r="8" spans="1:24" ht="24.75" customHeight="1">
      <c r="A8" s="52">
        <v>46122</v>
      </c>
      <c r="B8" s="53" t="s">
        <v>568</v>
      </c>
      <c r="C8" s="53" t="s">
        <v>569</v>
      </c>
      <c r="D8" s="54">
        <v>0.70833333333333337</v>
      </c>
      <c r="E8" s="54">
        <v>0.20833333333333334</v>
      </c>
      <c r="F8" s="53">
        <v>6</v>
      </c>
      <c r="G8" s="53">
        <v>5</v>
      </c>
      <c r="H8" s="55">
        <f>tbl_Weld[[#This Row],[Qty Complete]]/tbl_Weld[[#This Row],[Qty Required]]</f>
        <v>0.83333333333333337</v>
      </c>
      <c r="I8" s="56">
        <v>0.33333000000000002</v>
      </c>
      <c r="J8" s="53">
        <v>1</v>
      </c>
      <c r="K8" s="57">
        <f>IFERROR(tbl_Weld[[#This Row],[Qty Required]]/tbl_Weld[[#This Row],[PPH]]*tbl_Weld[[#This Row],['# of men]],"")</f>
        <v>18.000180001800018</v>
      </c>
      <c r="L8" s="58">
        <f>tbl_Weld[[#This Row],[Total hours]]*tbl_Weld[[#This Row],[% Complete]]</f>
        <v>15.000150001500016</v>
      </c>
      <c r="M8" s="59">
        <f>IFERROR(tbl_Weld[[#This Row],[Qty Complete]]/tbl_Weld[[#This Row],[Total Hours Act]]*tbl_Weld[[#This Row],['# of men Act]],"")</f>
        <v>0.43478260869565216</v>
      </c>
      <c r="N8" s="53">
        <v>1</v>
      </c>
      <c r="O8"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11.5</v>
      </c>
      <c r="R8" s="72">
        <f>IFERROR((tbl_Weld[[#This Row],[Adj. Total Hours]]+tbl_Weld[[#This Row],[Est. Hours]])/(tbl_Weld[[#This Row],[Total Hours Act]]+tbl_Weld[[#This Row],[Act. Hours]]),"")</f>
        <v>1.3043608696956535</v>
      </c>
      <c r="S8"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8" s="63"/>
      <c r="U8" s="63" t="s">
        <v>570</v>
      </c>
      <c r="V8" s="63"/>
      <c r="W8" s="63"/>
      <c r="X8" s="63"/>
    </row>
    <row r="9" spans="1:24" ht="24.75" customHeight="1">
      <c r="A9" s="52">
        <v>46123</v>
      </c>
      <c r="B9" s="53" t="s">
        <v>568</v>
      </c>
      <c r="C9" s="53" t="s">
        <v>569</v>
      </c>
      <c r="D9" s="54">
        <v>0.70833333333333337</v>
      </c>
      <c r="E9" s="54">
        <v>0.79166666666666663</v>
      </c>
      <c r="F9" s="53">
        <v>6</v>
      </c>
      <c r="G9" s="53">
        <v>1</v>
      </c>
      <c r="H9" s="55">
        <f>tbl_Weld[[#This Row],[Qty Complete]]/tbl_Weld[[#This Row],[Qty Required]]</f>
        <v>0.16666666666666666</v>
      </c>
      <c r="I9" s="56">
        <v>0.33333000000000002</v>
      </c>
      <c r="J9" s="53">
        <v>1</v>
      </c>
      <c r="K9" s="57">
        <f>IFERROR(tbl_Weld[[#This Row],[Qty Required]]/tbl_Weld[[#This Row],[PPH]]*tbl_Weld[[#This Row],['# of men]],"")</f>
        <v>18.000180001800018</v>
      </c>
      <c r="L9" s="58">
        <f>tbl_Weld[[#This Row],[Total hours]]*tbl_Weld[[#This Row],[% Complete]]</f>
        <v>3.0000300003000029</v>
      </c>
      <c r="M9" s="59">
        <f>IFERROR(tbl_Weld[[#This Row],[Qty Complete]]/tbl_Weld[[#This Row],[Total Hours Act]]*tbl_Weld[[#This Row],['# of men Act]],"")</f>
        <v>0.50000000000000044</v>
      </c>
      <c r="N9" s="53">
        <v>1</v>
      </c>
      <c r="O9"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1.9999999999999982</v>
      </c>
      <c r="R9" s="72">
        <f>IFERROR((tbl_Weld[[#This Row],[Adj. Total Hours]]+tbl_Weld[[#This Row],[Est. Hours]])/(tbl_Weld[[#This Row],[Total Hours Act]]+tbl_Weld[[#This Row],[Act. Hours]]),"")</f>
        <v>1.5000150001500028</v>
      </c>
      <c r="S9" s="76">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1.3333466668000016</v>
      </c>
      <c r="T9" s="63"/>
      <c r="U9" s="63" t="s">
        <v>570</v>
      </c>
      <c r="V9" s="63"/>
      <c r="W9" s="63"/>
      <c r="X9" s="63"/>
    </row>
    <row r="10" spans="1:24" ht="24.75" customHeight="1">
      <c r="A10" s="52">
        <v>46125</v>
      </c>
      <c r="B10" s="53">
        <v>143157</v>
      </c>
      <c r="C10" s="53" t="s">
        <v>571</v>
      </c>
      <c r="D10" s="54">
        <v>0.20833333333333334</v>
      </c>
      <c r="E10" s="54">
        <v>0.6875</v>
      </c>
      <c r="F10" s="53">
        <v>200</v>
      </c>
      <c r="G10" s="53">
        <v>42</v>
      </c>
      <c r="H10" s="55">
        <f>tbl_Weld[[#This Row],[Qty Complete]]/tbl_Weld[[#This Row],[Qty Required]]</f>
        <v>0.21</v>
      </c>
      <c r="I10" s="56">
        <v>10</v>
      </c>
      <c r="J10" s="53">
        <v>1</v>
      </c>
      <c r="K10" s="57">
        <f>IFERROR(tbl_Weld[[#This Row],[Qty Required]]/tbl_Weld[[#This Row],[PPH]]*tbl_Weld[[#This Row],['# of men]],"")</f>
        <v>20</v>
      </c>
      <c r="L10" s="58">
        <f>tbl_Weld[[#This Row],[Total hours]]*tbl_Weld[[#This Row],[% Complete]]</f>
        <v>4.2</v>
      </c>
      <c r="M10" s="59">
        <f>IFERROR(tbl_Weld[[#This Row],[Qty Complete]]/tbl_Weld[[#This Row],[Total Hours Act]]*tbl_Weld[[#This Row],['# of men Act]],"")</f>
        <v>3.8181818181818183</v>
      </c>
      <c r="N10" s="53">
        <v>1</v>
      </c>
      <c r="O10"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11</v>
      </c>
      <c r="R10" s="72">
        <f>IFERROR((tbl_Weld[[#This Row],[Adj. Total Hours]]+tbl_Weld[[#This Row],[Est. Hours]])/(tbl_Weld[[#This Row],[Total Hours Act]]+tbl_Weld[[#This Row],[Act. Hours]]),"")</f>
        <v>0.38181818181818183</v>
      </c>
      <c r="S10"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0" s="63" t="s">
        <v>572</v>
      </c>
      <c r="U10" s="63" t="s">
        <v>573</v>
      </c>
      <c r="V10" s="63"/>
      <c r="W10" s="63"/>
      <c r="X10" s="63"/>
    </row>
    <row r="11" spans="1:24" ht="24.75" customHeight="1">
      <c r="A11" s="52">
        <v>46125</v>
      </c>
      <c r="B11" s="53" t="s">
        <v>558</v>
      </c>
      <c r="C11" s="53">
        <v>1502881300</v>
      </c>
      <c r="D11" s="54">
        <v>0.20833333333333334</v>
      </c>
      <c r="E11" s="54">
        <v>0.6875</v>
      </c>
      <c r="F11" s="53">
        <v>8</v>
      </c>
      <c r="G11" s="53">
        <v>0</v>
      </c>
      <c r="H11" s="55">
        <f>tbl_Weld[[#This Row],[Qty Complete]]/tbl_Weld[[#This Row],[Qty Required]]</f>
        <v>0</v>
      </c>
      <c r="I11" s="56">
        <v>0.18182000000000001</v>
      </c>
      <c r="J11" s="53">
        <v>2</v>
      </c>
      <c r="K11" s="57">
        <f>IFERROR(tbl_Weld[[#This Row],[Qty Required]]/tbl_Weld[[#This Row],[PPH]]*tbl_Weld[[#This Row],['# of men]],"")</f>
        <v>87.999120008799906</v>
      </c>
      <c r="L11" s="58">
        <f>tbl_Weld[[#This Row],[Total hours]]*tbl_Weld[[#This Row],[% Complete]]</f>
        <v>0</v>
      </c>
      <c r="M11" s="59">
        <f>IFERROR(tbl_Weld[[#This Row],[Qty Complete]]/tbl_Weld[[#This Row],[Total Hours Act]]*tbl_Weld[[#This Row],['# of men Act]],"")</f>
        <v>0</v>
      </c>
      <c r="N11" s="53">
        <v>2</v>
      </c>
      <c r="O11"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22</v>
      </c>
      <c r="R11" s="72">
        <f>IFERROR((tbl_Weld[[#This Row],[Adj. Total Hours]]+tbl_Weld[[#This Row],[Est. Hours]])/(tbl_Weld[[#This Row],[Total Hours Act]]+tbl_Weld[[#This Row],[Act. Hours]]),"")</f>
        <v>0</v>
      </c>
      <c r="S11"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1" s="63" t="s">
        <v>574</v>
      </c>
      <c r="U11" s="63" t="s">
        <v>575</v>
      </c>
      <c r="V11" s="63" t="s">
        <v>560</v>
      </c>
      <c r="W11" s="63"/>
      <c r="X11" s="63"/>
    </row>
    <row r="12" spans="1:24" ht="24.75" customHeight="1">
      <c r="A12" s="52">
        <v>46125</v>
      </c>
      <c r="B12" s="53" t="s">
        <v>239</v>
      </c>
      <c r="C12" s="53">
        <v>1502883500</v>
      </c>
      <c r="D12" s="54">
        <v>0.20833333333333334</v>
      </c>
      <c r="E12" s="54">
        <v>0.6875</v>
      </c>
      <c r="F12" s="53">
        <v>36</v>
      </c>
      <c r="G12" s="53">
        <v>11</v>
      </c>
      <c r="H12" s="55">
        <f>tbl_Weld[[#This Row],[Qty Complete]]/tbl_Weld[[#This Row],[Qty Required]]</f>
        <v>0.30555555555555558</v>
      </c>
      <c r="I12" s="56">
        <v>1</v>
      </c>
      <c r="J12" s="53">
        <v>1</v>
      </c>
      <c r="K12" s="57">
        <f>IFERROR(tbl_Weld[[#This Row],[Qty Required]]/tbl_Weld[[#This Row],[PPH]]*tbl_Weld[[#This Row],['# of men]],"")</f>
        <v>36</v>
      </c>
      <c r="L12" s="58">
        <f>tbl_Weld[[#This Row],[Total hours]]*tbl_Weld[[#This Row],[% Complete]]</f>
        <v>11</v>
      </c>
      <c r="M12" s="59">
        <f>IFERROR(tbl_Weld[[#This Row],[Qty Complete]]/tbl_Weld[[#This Row],[Total Hours Act]]*tbl_Weld[[#This Row],['# of men Act]],"")</f>
        <v>1</v>
      </c>
      <c r="N12" s="53">
        <v>2</v>
      </c>
      <c r="O12"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22</v>
      </c>
      <c r="R12" s="72">
        <f>IFERROR((tbl_Weld[[#This Row],[Adj. Total Hours]]+tbl_Weld[[#This Row],[Est. Hours]])/(tbl_Weld[[#This Row],[Total Hours Act]]+tbl_Weld[[#This Row],[Act. Hours]]),"")</f>
        <v>0.5</v>
      </c>
      <c r="S12"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2" s="63" t="s">
        <v>576</v>
      </c>
      <c r="U12" s="63" t="s">
        <v>577</v>
      </c>
      <c r="V12" s="63" t="s">
        <v>578</v>
      </c>
      <c r="W12" s="63"/>
      <c r="X12" s="63"/>
    </row>
    <row r="13" spans="1:24" ht="24.75" customHeight="1">
      <c r="A13" s="52">
        <v>46125</v>
      </c>
      <c r="B13" s="53" t="s">
        <v>563</v>
      </c>
      <c r="C13" s="53" t="s">
        <v>455</v>
      </c>
      <c r="D13" s="54">
        <v>0.20833333333333334</v>
      </c>
      <c r="E13" s="54">
        <v>0.6875</v>
      </c>
      <c r="F13" s="53">
        <v>103</v>
      </c>
      <c r="G13" s="53">
        <v>9</v>
      </c>
      <c r="H13" s="55">
        <f>tbl_Weld[[#This Row],[Qty Complete]]/tbl_Weld[[#This Row],[Qty Required]]</f>
        <v>8.7378640776699032E-2</v>
      </c>
      <c r="I13" s="56">
        <v>0.5</v>
      </c>
      <c r="J13" s="53">
        <v>1</v>
      </c>
      <c r="K13" s="57">
        <f>IFERROR(tbl_Weld[[#This Row],[Qty Required]]/tbl_Weld[[#This Row],[PPH]]*tbl_Weld[[#This Row],['# of men]],"")</f>
        <v>206</v>
      </c>
      <c r="L13" s="58">
        <f>tbl_Weld[[#This Row],[Total hours]]*tbl_Weld[[#This Row],[% Complete]]</f>
        <v>18</v>
      </c>
      <c r="M13" s="59">
        <f>IFERROR(tbl_Weld[[#This Row],[Qty Complete]]/tbl_Weld[[#This Row],[Total Hours Act]]*tbl_Weld[[#This Row],['# of men Act]],"")</f>
        <v>0.81818181818181823</v>
      </c>
      <c r="N13" s="53">
        <v>1</v>
      </c>
      <c r="O13"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11</v>
      </c>
      <c r="R13" s="72">
        <f>IFERROR((tbl_Weld[[#This Row],[Adj. Total Hours]]+tbl_Weld[[#This Row],[Est. Hours]])/(tbl_Weld[[#This Row],[Total Hours Act]]+tbl_Weld[[#This Row],[Act. Hours]]),"")</f>
        <v>1.6363636363636365</v>
      </c>
      <c r="S13"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3" s="63"/>
      <c r="U13" s="63" t="s">
        <v>562</v>
      </c>
      <c r="V13" s="63"/>
      <c r="W13" s="63"/>
      <c r="X13" s="63"/>
    </row>
    <row r="14" spans="1:24" ht="24.75" customHeight="1">
      <c r="A14" s="52">
        <v>46125</v>
      </c>
      <c r="B14" s="53" t="s">
        <v>563</v>
      </c>
      <c r="C14" s="53" t="s">
        <v>455</v>
      </c>
      <c r="D14" s="54">
        <v>0.20833333333333334</v>
      </c>
      <c r="E14" s="54">
        <v>0.375</v>
      </c>
      <c r="F14" s="53">
        <v>103</v>
      </c>
      <c r="G14" s="53">
        <v>0</v>
      </c>
      <c r="H14" s="55">
        <f>tbl_Weld[[#This Row],[Qty Complete]]/tbl_Weld[[#This Row],[Qty Required]]</f>
        <v>0</v>
      </c>
      <c r="I14" s="56">
        <v>0.5</v>
      </c>
      <c r="J14" s="53">
        <v>1</v>
      </c>
      <c r="K14" s="57">
        <f>IFERROR(tbl_Weld[[#This Row],[Qty Required]]/tbl_Weld[[#This Row],[PPH]]*tbl_Weld[[#This Row],['# of men]],"")</f>
        <v>206</v>
      </c>
      <c r="L14" s="58">
        <f>tbl_Weld[[#This Row],[Total hours]]*tbl_Weld[[#This Row],[% Complete]]</f>
        <v>0</v>
      </c>
      <c r="M14" s="59">
        <f>IFERROR(tbl_Weld[[#This Row],[Qty Complete]]/tbl_Weld[[#This Row],[Total Hours Act]]*tbl_Weld[[#This Row],['# of men Act]],"")</f>
        <v>0</v>
      </c>
      <c r="N14" s="53">
        <v>1</v>
      </c>
      <c r="O14"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4</v>
      </c>
      <c r="R14" s="72">
        <f>IFERROR((tbl_Weld[[#This Row],[Adj. Total Hours]]+tbl_Weld[[#This Row],[Est. Hours]])/(tbl_Weld[[#This Row],[Total Hours Act]]+tbl_Weld[[#This Row],[Act. Hours]]),"")</f>
        <v>0</v>
      </c>
      <c r="S14"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4" s="63" t="s">
        <v>579</v>
      </c>
      <c r="U14" s="63" t="s">
        <v>580</v>
      </c>
      <c r="V14" s="63"/>
      <c r="W14" s="63"/>
      <c r="X14" s="63"/>
    </row>
    <row r="15" spans="1:24" ht="24.75" customHeight="1">
      <c r="A15" s="52">
        <v>46125</v>
      </c>
      <c r="B15" s="53" t="s">
        <v>563</v>
      </c>
      <c r="C15" s="53" t="s">
        <v>455</v>
      </c>
      <c r="D15" s="54">
        <v>0.39583333333333331</v>
      </c>
      <c r="E15" s="54">
        <v>0.6875</v>
      </c>
      <c r="F15" s="53">
        <v>103</v>
      </c>
      <c r="G15" s="53">
        <v>8</v>
      </c>
      <c r="H15" s="55">
        <f>tbl_Weld[[#This Row],[Qty Complete]]/tbl_Weld[[#This Row],[Qty Required]]</f>
        <v>7.7669902912621352E-2</v>
      </c>
      <c r="I15" s="56">
        <v>0.5</v>
      </c>
      <c r="J15" s="53">
        <v>1</v>
      </c>
      <c r="K15" s="57">
        <f>IFERROR(tbl_Weld[[#This Row],[Qty Required]]/tbl_Weld[[#This Row],[PPH]]*tbl_Weld[[#This Row],['# of men]],"")</f>
        <v>206</v>
      </c>
      <c r="L15" s="58">
        <f>tbl_Weld[[#This Row],[Total hours]]*tbl_Weld[[#This Row],[% Complete]]</f>
        <v>15.999999999999998</v>
      </c>
      <c r="M15" s="59">
        <f>IFERROR(tbl_Weld[[#This Row],[Qty Complete]]/tbl_Weld[[#This Row],[Total Hours Act]]*tbl_Weld[[#This Row],['# of men Act]],"")</f>
        <v>1.2307692307692308</v>
      </c>
      <c r="N15" s="53">
        <v>1</v>
      </c>
      <c r="O15"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6.5</v>
      </c>
      <c r="R15" s="72">
        <f>IFERROR((tbl_Weld[[#This Row],[Adj. Total Hours]]+tbl_Weld[[#This Row],[Est. Hours]])/(tbl_Weld[[#This Row],[Total Hours Act]]+tbl_Weld[[#This Row],[Act. Hours]]),"")</f>
        <v>2.4615384615384612</v>
      </c>
      <c r="S15"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5" s="63"/>
      <c r="U15" s="63" t="s">
        <v>580</v>
      </c>
      <c r="V15" s="63"/>
      <c r="W15" s="63"/>
      <c r="X15" s="63"/>
    </row>
    <row r="16" spans="1:24" ht="24.75" customHeight="1">
      <c r="A16" s="52">
        <v>46125</v>
      </c>
      <c r="B16" s="53">
        <v>142876</v>
      </c>
      <c r="C16" s="53" t="s">
        <v>581</v>
      </c>
      <c r="D16" s="54">
        <v>0.20833333333333334</v>
      </c>
      <c r="E16" s="54">
        <v>0.6875</v>
      </c>
      <c r="F16" s="53">
        <v>100</v>
      </c>
      <c r="G16" s="53">
        <v>0</v>
      </c>
      <c r="H16" s="55">
        <f>tbl_Weld[[#This Row],[Qty Complete]]/tbl_Weld[[#This Row],[Qty Required]]</f>
        <v>0</v>
      </c>
      <c r="I16" s="56">
        <v>1</v>
      </c>
      <c r="J16" s="53">
        <v>1</v>
      </c>
      <c r="K16" s="57">
        <f>IFERROR(tbl_Weld[[#This Row],[Qty Required]]/tbl_Weld[[#This Row],[PPH]]*tbl_Weld[[#This Row],['# of men]],"")</f>
        <v>100</v>
      </c>
      <c r="L16" s="58">
        <f>tbl_Weld[[#This Row],[Total hours]]*tbl_Weld[[#This Row],[% Complete]]</f>
        <v>0</v>
      </c>
      <c r="M16" s="59">
        <f>IFERROR(tbl_Weld[[#This Row],[Qty Complete]]/tbl_Weld[[#This Row],[Total Hours Act]]*tbl_Weld[[#This Row],['# of men Act]],"")</f>
        <v>0</v>
      </c>
      <c r="N16" s="53">
        <v>1</v>
      </c>
      <c r="O16"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11</v>
      </c>
      <c r="R16" s="72">
        <f>IFERROR((tbl_Weld[[#This Row],[Adj. Total Hours]]+tbl_Weld[[#This Row],[Est. Hours]])/(tbl_Weld[[#This Row],[Total Hours Act]]+tbl_Weld[[#This Row],[Act. Hours]]),"")</f>
        <v>0</v>
      </c>
      <c r="S16"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6" s="63" t="s">
        <v>582</v>
      </c>
      <c r="U16" s="63" t="s">
        <v>567</v>
      </c>
      <c r="V16" s="63"/>
      <c r="W16" s="63"/>
      <c r="X16" s="63"/>
    </row>
    <row r="17" spans="1:24" ht="24.75" customHeight="1">
      <c r="A17" s="52">
        <v>46125</v>
      </c>
      <c r="B17" s="53">
        <v>142876</v>
      </c>
      <c r="C17" s="53" t="s">
        <v>581</v>
      </c>
      <c r="D17" s="54">
        <v>0.20833333333333334</v>
      </c>
      <c r="E17" s="54">
        <v>0.6875</v>
      </c>
      <c r="F17" s="53">
        <v>100</v>
      </c>
      <c r="G17" s="53">
        <v>0</v>
      </c>
      <c r="H17" s="55">
        <f>tbl_Weld[[#This Row],[Qty Complete]]/tbl_Weld[[#This Row],[Qty Required]]</f>
        <v>0</v>
      </c>
      <c r="I17" s="56">
        <v>1</v>
      </c>
      <c r="J17" s="53">
        <v>1</v>
      </c>
      <c r="K17" s="57">
        <f>IFERROR(tbl_Weld[[#This Row],[Qty Required]]/tbl_Weld[[#This Row],[PPH]]*tbl_Weld[[#This Row],['# of men]],"")</f>
        <v>100</v>
      </c>
      <c r="L17" s="58">
        <f>tbl_Weld[[#This Row],[Total hours]]*tbl_Weld[[#This Row],[% Complete]]</f>
        <v>0</v>
      </c>
      <c r="M17" s="59">
        <f>IFERROR(tbl_Weld[[#This Row],[Qty Complete]]/tbl_Weld[[#This Row],[Total Hours Act]]*tbl_Weld[[#This Row],['# of men Act]],"")</f>
        <v>0</v>
      </c>
      <c r="N17" s="53">
        <v>1</v>
      </c>
      <c r="O17"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11</v>
      </c>
      <c r="R17" s="72">
        <f>IFERROR((tbl_Weld[[#This Row],[Adj. Total Hours]]+tbl_Weld[[#This Row],[Est. Hours]])/(tbl_Weld[[#This Row],[Total Hours Act]]+tbl_Weld[[#This Row],[Act. Hours]]),"")</f>
        <v>0</v>
      </c>
      <c r="S17"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7" s="63" t="s">
        <v>582</v>
      </c>
      <c r="U17" s="63" t="s">
        <v>583</v>
      </c>
      <c r="V17" s="63"/>
      <c r="W17" s="63"/>
      <c r="X17" s="63"/>
    </row>
    <row r="18" spans="1:24" ht="24.75" customHeight="1">
      <c r="A18" s="52">
        <v>46125</v>
      </c>
      <c r="B18" s="53" t="s">
        <v>564</v>
      </c>
      <c r="C18" s="85" t="s">
        <v>584</v>
      </c>
      <c r="D18" s="54">
        <v>0.20833333333333334</v>
      </c>
      <c r="E18" s="54">
        <v>0.45833333333333331</v>
      </c>
      <c r="F18" s="53">
        <v>55</v>
      </c>
      <c r="G18" s="53">
        <v>5</v>
      </c>
      <c r="H18" s="55">
        <f>tbl_Weld[[#This Row],[Qty Complete]]/tbl_Weld[[#This Row],[Qty Required]]</f>
        <v>9.0909090909090912E-2</v>
      </c>
      <c r="I18" s="56">
        <v>0.3</v>
      </c>
      <c r="J18" s="53">
        <v>1</v>
      </c>
      <c r="K18" s="57">
        <f>IFERROR(tbl_Weld[[#This Row],[Qty Required]]/tbl_Weld[[#This Row],[PPH]]*tbl_Weld[[#This Row],['# of men]],"")</f>
        <v>183.33333333333334</v>
      </c>
      <c r="L18" s="58">
        <f>tbl_Weld[[#This Row],[Total hours]]*tbl_Weld[[#This Row],[% Complete]]</f>
        <v>16.666666666666668</v>
      </c>
      <c r="M18" s="59">
        <f>IFERROR(tbl_Weld[[#This Row],[Qty Complete]]/tbl_Weld[[#This Row],[Total Hours Act]]*tbl_Weld[[#This Row],['# of men Act]],"")</f>
        <v>0.83333333333333348</v>
      </c>
      <c r="N18" s="53">
        <v>1</v>
      </c>
      <c r="O18"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5.9999999999999991</v>
      </c>
      <c r="R18" s="72">
        <f>IFERROR((tbl_Weld[[#This Row],[Adj. Total Hours]]+tbl_Weld[[#This Row],[Est. Hours]])/(tbl_Weld[[#This Row],[Total Hours Act]]+tbl_Weld[[#This Row],[Act. Hours]]),"")</f>
        <v>2.7777777777777786</v>
      </c>
      <c r="S18"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8" s="63"/>
      <c r="U18" s="63" t="s">
        <v>566</v>
      </c>
      <c r="V18" s="63"/>
      <c r="W18" s="63"/>
      <c r="X18" s="63"/>
    </row>
    <row r="19" spans="1:24" ht="24.75" customHeight="1">
      <c r="A19" s="52">
        <v>46125</v>
      </c>
      <c r="B19" s="53" t="s">
        <v>585</v>
      </c>
      <c r="C19" s="53" t="s">
        <v>586</v>
      </c>
      <c r="D19" s="54">
        <v>0.45833333333333331</v>
      </c>
      <c r="E19" s="54">
        <v>0.6875</v>
      </c>
      <c r="F19" s="53">
        <v>110</v>
      </c>
      <c r="G19" s="53">
        <v>0</v>
      </c>
      <c r="H19" s="55">
        <f>tbl_Weld[[#This Row],[Qty Complete]]/tbl_Weld[[#This Row],[Qty Required]]</f>
        <v>0</v>
      </c>
      <c r="I19" s="56">
        <v>2</v>
      </c>
      <c r="J19" s="53">
        <v>1</v>
      </c>
      <c r="K19" s="57">
        <f>IFERROR(tbl_Weld[[#This Row],[Qty Required]]/tbl_Weld[[#This Row],[PPH]]*tbl_Weld[[#This Row],['# of men]],"")</f>
        <v>55</v>
      </c>
      <c r="L19" s="58">
        <f>tbl_Weld[[#This Row],[Total hours]]*tbl_Weld[[#This Row],[% Complete]]</f>
        <v>0</v>
      </c>
      <c r="M19" s="59">
        <f>IFERROR(tbl_Weld[[#This Row],[Qty Complete]]/tbl_Weld[[#This Row],[Total Hours Act]]*tbl_Weld[[#This Row],['# of men Act]],"")</f>
        <v>0</v>
      </c>
      <c r="N19" s="53">
        <v>1</v>
      </c>
      <c r="O19"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5</v>
      </c>
      <c r="R19" s="72">
        <f>IFERROR((tbl_Weld[[#This Row],[Adj. Total Hours]]+tbl_Weld[[#This Row],[Est. Hours]])/(tbl_Weld[[#This Row],[Total Hours Act]]+tbl_Weld[[#This Row],[Act. Hours]]),"")</f>
        <v>0</v>
      </c>
      <c r="S19"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9" s="63" t="s">
        <v>587</v>
      </c>
      <c r="U19" s="63" t="s">
        <v>566</v>
      </c>
      <c r="V19" s="63"/>
      <c r="W19" s="63"/>
      <c r="X19" s="63"/>
    </row>
    <row r="20" spans="1:24" ht="24.75" customHeight="1">
      <c r="A20" s="52">
        <v>46126</v>
      </c>
      <c r="B20" s="53" t="s">
        <v>558</v>
      </c>
      <c r="C20" s="53">
        <v>1502881300</v>
      </c>
      <c r="D20" s="54">
        <v>0.20833333333333334</v>
      </c>
      <c r="E20" s="54">
        <v>0.6875</v>
      </c>
      <c r="F20" s="53">
        <v>8</v>
      </c>
      <c r="G20" s="53">
        <v>1</v>
      </c>
      <c r="H20" s="55">
        <f>tbl_Weld[[#This Row],[Qty Complete]]/tbl_Weld[[#This Row],[Qty Required]]</f>
        <v>0.125</v>
      </c>
      <c r="I20" s="56">
        <v>0.18182000000000001</v>
      </c>
      <c r="J20" s="53">
        <v>2</v>
      </c>
      <c r="K20" s="57">
        <f>IFERROR(tbl_Weld[[#This Row],[Qty Required]]/tbl_Weld[[#This Row],[PPH]]*tbl_Weld[[#This Row],['# of men]],"")</f>
        <v>87.999120008799906</v>
      </c>
      <c r="L20" s="58">
        <f>tbl_Weld[[#This Row],[Total hours]]*tbl_Weld[[#This Row],[% Complete]]</f>
        <v>10.999890001099988</v>
      </c>
      <c r="M20" s="59">
        <f>IFERROR(tbl_Weld[[#This Row],[Qty Complete]]/tbl_Weld[[#This Row],[Total Hours Act]]*tbl_Weld[[#This Row],['# of men Act]],"")</f>
        <v>9.0909090909090912E-2</v>
      </c>
      <c r="N20" s="53">
        <v>1</v>
      </c>
      <c r="O20"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11</v>
      </c>
      <c r="R20" s="72">
        <f>IFERROR((tbl_Weld[[#This Row],[Adj. Total Hours]]+tbl_Weld[[#This Row],[Est. Hours]])/(tbl_Weld[[#This Row],[Total Hours Act]]+tbl_Weld[[#This Row],[Act. Hours]]),"")</f>
        <v>0.99999000009999894</v>
      </c>
      <c r="S20"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20" s="63"/>
      <c r="U20" s="63" t="s">
        <v>575</v>
      </c>
      <c r="V20" s="63"/>
      <c r="W20" s="63"/>
      <c r="X20" s="63"/>
    </row>
    <row r="21" spans="1:24" ht="24.75" customHeight="1">
      <c r="A21" s="52">
        <v>46126</v>
      </c>
      <c r="B21" s="53" t="s">
        <v>558</v>
      </c>
      <c r="C21" s="53">
        <v>1502881300</v>
      </c>
      <c r="D21" s="54">
        <v>0.29166666666666669</v>
      </c>
      <c r="E21" s="54">
        <v>0.6875</v>
      </c>
      <c r="F21" s="53">
        <v>8</v>
      </c>
      <c r="G21" s="53">
        <v>1</v>
      </c>
      <c r="H21" s="55">
        <f>tbl_Weld[[#This Row],[Qty Complete]]/tbl_Weld[[#This Row],[Qty Required]]</f>
        <v>0.125</v>
      </c>
      <c r="I21" s="56">
        <v>0.18182000000000001</v>
      </c>
      <c r="J21" s="53">
        <v>2</v>
      </c>
      <c r="K21" s="57">
        <f>IFERROR(tbl_Weld[[#This Row],[Qty Required]]/tbl_Weld[[#This Row],[PPH]]*tbl_Weld[[#This Row],['# of men]],"")</f>
        <v>87.999120008799906</v>
      </c>
      <c r="L21" s="58">
        <f>tbl_Weld[[#This Row],[Total hours]]*tbl_Weld[[#This Row],[% Complete]]</f>
        <v>10.999890001099988</v>
      </c>
      <c r="M21" s="59">
        <f>IFERROR(tbl_Weld[[#This Row],[Qty Complete]]/tbl_Weld[[#This Row],[Total Hours Act]]*tbl_Weld[[#This Row],['# of men Act]],"")</f>
        <v>0.1111111111111111</v>
      </c>
      <c r="N21" s="53">
        <v>1</v>
      </c>
      <c r="O21"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9</v>
      </c>
      <c r="R21" s="72">
        <f>IFERROR((tbl_Weld[[#This Row],[Adj. Total Hours]]+tbl_Weld[[#This Row],[Est. Hours]])/(tbl_Weld[[#This Row],[Total Hours Act]]+tbl_Weld[[#This Row],[Act. Hours]]),"")</f>
        <v>1.2222100001222209</v>
      </c>
      <c r="S21"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21" s="63"/>
      <c r="U21" s="63" t="s">
        <v>560</v>
      </c>
      <c r="V21" s="63"/>
      <c r="W21" s="63"/>
      <c r="X21" s="63"/>
    </row>
    <row r="22" spans="1:24" ht="24.75" customHeight="1">
      <c r="A22" s="52">
        <v>46126</v>
      </c>
      <c r="B22" s="53" t="s">
        <v>563</v>
      </c>
      <c r="C22" s="53" t="s">
        <v>455</v>
      </c>
      <c r="D22" s="54">
        <v>0.20833333333333334</v>
      </c>
      <c r="E22" s="54">
        <v>0.6875</v>
      </c>
      <c r="F22" s="53">
        <v>103</v>
      </c>
      <c r="G22" s="53">
        <v>8</v>
      </c>
      <c r="H22" s="55">
        <f>tbl_Weld[[#This Row],[Qty Complete]]/tbl_Weld[[#This Row],[Qty Required]]</f>
        <v>7.7669902912621352E-2</v>
      </c>
      <c r="I22" s="56">
        <v>0.5</v>
      </c>
      <c r="J22" s="53">
        <v>1</v>
      </c>
      <c r="K22" s="57">
        <f>IFERROR(tbl_Weld[[#This Row],[Qty Required]]/tbl_Weld[[#This Row],[PPH]]*tbl_Weld[[#This Row],['# of men]],"")</f>
        <v>206</v>
      </c>
      <c r="L22" s="58">
        <f>tbl_Weld[[#This Row],[Total hours]]*tbl_Weld[[#This Row],[% Complete]]</f>
        <v>15.999999999999998</v>
      </c>
      <c r="M22" s="59">
        <f>IFERROR(tbl_Weld[[#This Row],[Qty Complete]]/tbl_Weld[[#This Row],[Total Hours Act]]*tbl_Weld[[#This Row],['# of men Act]],"")</f>
        <v>0.72727272727272729</v>
      </c>
      <c r="N22" s="53">
        <v>1</v>
      </c>
      <c r="O22"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11</v>
      </c>
      <c r="R22" s="72">
        <f>IFERROR((tbl_Weld[[#This Row],[Adj. Total Hours]]+tbl_Weld[[#This Row],[Est. Hours]])/(tbl_Weld[[#This Row],[Total Hours Act]]+tbl_Weld[[#This Row],[Act. Hours]]),"")</f>
        <v>1.4545454545454544</v>
      </c>
      <c r="S22"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22" s="63"/>
      <c r="U22" s="63" t="s">
        <v>562</v>
      </c>
      <c r="V22" s="63"/>
      <c r="W22" s="63"/>
      <c r="X22" s="63"/>
    </row>
    <row r="23" spans="1:24" ht="24.75" customHeight="1">
      <c r="A23" s="52">
        <v>46126</v>
      </c>
      <c r="B23" s="53" t="s">
        <v>563</v>
      </c>
      <c r="C23" s="53" t="s">
        <v>455</v>
      </c>
      <c r="D23" s="54">
        <v>0.25</v>
      </c>
      <c r="E23" s="54">
        <v>0.6875</v>
      </c>
      <c r="F23" s="53">
        <v>103</v>
      </c>
      <c r="G23" s="53">
        <v>6</v>
      </c>
      <c r="H23" s="55">
        <f>tbl_Weld[[#This Row],[Qty Complete]]/tbl_Weld[[#This Row],[Qty Required]]</f>
        <v>5.8252427184466021E-2</v>
      </c>
      <c r="I23" s="56">
        <v>0.5</v>
      </c>
      <c r="J23" s="53">
        <v>1</v>
      </c>
      <c r="K23" s="57">
        <f>IFERROR(tbl_Weld[[#This Row],[Qty Required]]/tbl_Weld[[#This Row],[PPH]]*tbl_Weld[[#This Row],['# of men]],"")</f>
        <v>206</v>
      </c>
      <c r="L23" s="58">
        <f>tbl_Weld[[#This Row],[Total hours]]*tbl_Weld[[#This Row],[% Complete]]</f>
        <v>12</v>
      </c>
      <c r="M23" s="59">
        <f>IFERROR(tbl_Weld[[#This Row],[Qty Complete]]/tbl_Weld[[#This Row],[Total Hours Act]]*tbl_Weld[[#This Row],['# of men Act]],"")</f>
        <v>0.6</v>
      </c>
      <c r="N23" s="53">
        <v>1</v>
      </c>
      <c r="O23"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10</v>
      </c>
      <c r="R23" s="72">
        <f>IFERROR((tbl_Weld[[#This Row],[Adj. Total Hours]]+tbl_Weld[[#This Row],[Est. Hours]])/(tbl_Weld[[#This Row],[Total Hours Act]]+tbl_Weld[[#This Row],[Act. Hours]]),"")</f>
        <v>1.2</v>
      </c>
      <c r="S23"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23" s="63"/>
      <c r="U23" s="63" t="s">
        <v>580</v>
      </c>
      <c r="V23" s="63"/>
      <c r="W23" s="63"/>
      <c r="X23" s="63"/>
    </row>
    <row r="24" spans="1:24" ht="24.75" customHeight="1">
      <c r="A24" s="52">
        <v>46126</v>
      </c>
      <c r="B24" s="53" t="s">
        <v>337</v>
      </c>
      <c r="C24" s="98" t="s">
        <v>588</v>
      </c>
      <c r="D24" s="54">
        <v>0.20833333333333334</v>
      </c>
      <c r="E24" s="54">
        <v>0.60416666666666663</v>
      </c>
      <c r="F24" s="53">
        <v>800</v>
      </c>
      <c r="G24" s="53">
        <v>170</v>
      </c>
      <c r="H24" s="55">
        <f>tbl_Weld[[#This Row],[Qty Complete]]/tbl_Weld[[#This Row],[Qty Required]]</f>
        <v>0.21249999999999999</v>
      </c>
      <c r="I24" s="56">
        <v>22</v>
      </c>
      <c r="J24" s="53">
        <v>1</v>
      </c>
      <c r="K24" s="57">
        <f>IFERROR(tbl_Weld[[#This Row],[Qty Required]]/tbl_Weld[[#This Row],[PPH]]*tbl_Weld[[#This Row],['# of men]],"")</f>
        <v>36.363636363636367</v>
      </c>
      <c r="L24" s="58">
        <f>tbl_Weld[[#This Row],[Total hours]]*tbl_Weld[[#This Row],[% Complete]]</f>
        <v>7.7272727272727275</v>
      </c>
      <c r="M24" s="59">
        <f>IFERROR(tbl_Weld[[#This Row],[Qty Complete]]/tbl_Weld[[#This Row],[Total Hours Act]]*tbl_Weld[[#This Row],['# of men Act]],"")</f>
        <v>18.888888888888893</v>
      </c>
      <c r="N24" s="53">
        <v>1</v>
      </c>
      <c r="O24"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8.9999999999999982</v>
      </c>
      <c r="R24" s="72">
        <f>IFERROR((tbl_Weld[[#This Row],[Adj. Total Hours]]+tbl_Weld[[#This Row],[Est. Hours]])/(tbl_Weld[[#This Row],[Total Hours Act]]+tbl_Weld[[#This Row],[Act. Hours]]),"")</f>
        <v>0.85858585858585879</v>
      </c>
      <c r="S24"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24" s="63"/>
      <c r="U24" s="63" t="s">
        <v>589</v>
      </c>
      <c r="V24" s="63"/>
      <c r="W24" s="63"/>
      <c r="X24" s="63"/>
    </row>
    <row r="25" spans="1:24" ht="24.75" customHeight="1">
      <c r="A25" s="52">
        <v>46126</v>
      </c>
      <c r="B25" s="53" t="s">
        <v>590</v>
      </c>
      <c r="C25" s="53">
        <v>1502894100</v>
      </c>
      <c r="D25" s="54">
        <v>0.20833333333333334</v>
      </c>
      <c r="E25" s="54">
        <v>0.5625</v>
      </c>
      <c r="F25" s="53">
        <v>16</v>
      </c>
      <c r="G25" s="53">
        <v>16</v>
      </c>
      <c r="H25" s="55">
        <f>tbl_Weld[[#This Row],[Qty Complete]]/tbl_Weld[[#This Row],[Qty Required]]</f>
        <v>1</v>
      </c>
      <c r="I25" s="56">
        <v>1</v>
      </c>
      <c r="J25" s="53">
        <v>1</v>
      </c>
      <c r="K25" s="57">
        <f>IFERROR(tbl_Weld[[#This Row],[Qty Required]]/tbl_Weld[[#This Row],[PPH]]*tbl_Weld[[#This Row],['# of men]],"")</f>
        <v>16</v>
      </c>
      <c r="L25" s="58">
        <f>tbl_Weld[[#This Row],[Total hours]]*tbl_Weld[[#This Row],[% Complete]]</f>
        <v>16</v>
      </c>
      <c r="M25" s="59">
        <f>IFERROR(tbl_Weld[[#This Row],[Qty Complete]]/tbl_Weld[[#This Row],[Total Hours Act]]*tbl_Weld[[#This Row],['# of men Act]],"")</f>
        <v>2</v>
      </c>
      <c r="N25" s="53">
        <v>2</v>
      </c>
      <c r="O25"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16</v>
      </c>
      <c r="R25" s="72">
        <f>IFERROR((tbl_Weld[[#This Row],[Adj. Total Hours]]+tbl_Weld[[#This Row],[Est. Hours]])/(tbl_Weld[[#This Row],[Total Hours Act]]+tbl_Weld[[#This Row],[Act. Hours]]),"")</f>
        <v>1</v>
      </c>
      <c r="S25" s="76">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1</v>
      </c>
      <c r="T25" s="63"/>
      <c r="U25" s="63" t="s">
        <v>591</v>
      </c>
      <c r="V25" s="63" t="s">
        <v>592</v>
      </c>
      <c r="W25" s="63"/>
      <c r="X25" s="63"/>
    </row>
    <row r="26" spans="1:24" ht="24.75" customHeight="1">
      <c r="A26" s="52">
        <v>46126</v>
      </c>
      <c r="B26" s="53" t="s">
        <v>563</v>
      </c>
      <c r="C26" s="53" t="s">
        <v>455</v>
      </c>
      <c r="D26" s="54">
        <v>0.20833333333333334</v>
      </c>
      <c r="E26" s="54">
        <v>0.41666666666666669</v>
      </c>
      <c r="F26" s="53">
        <v>103</v>
      </c>
      <c r="G26" s="53">
        <v>0</v>
      </c>
      <c r="H26" s="55">
        <f>tbl_Weld[[#This Row],[Qty Complete]]/tbl_Weld[[#This Row],[Qty Required]]</f>
        <v>0</v>
      </c>
      <c r="I26" s="56">
        <v>0.5</v>
      </c>
      <c r="J26" s="53">
        <v>1</v>
      </c>
      <c r="K26" s="57">
        <f>IFERROR(tbl_Weld[[#This Row],[Qty Required]]/tbl_Weld[[#This Row],[PPH]]*tbl_Weld[[#This Row],['# of men]],"")</f>
        <v>206</v>
      </c>
      <c r="L26" s="58">
        <f>tbl_Weld[[#This Row],[Total hours]]*tbl_Weld[[#This Row],[% Complete]]</f>
        <v>0</v>
      </c>
      <c r="M26" s="59">
        <f>IFERROR(tbl_Weld[[#This Row],[Qty Complete]]/tbl_Weld[[#This Row],[Total Hours Act]]*tbl_Weld[[#This Row],['# of men Act]],"")</f>
        <v>0</v>
      </c>
      <c r="N26" s="53">
        <v>2</v>
      </c>
      <c r="O26"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10</v>
      </c>
      <c r="R26" s="72">
        <f>IFERROR((tbl_Weld[[#This Row],[Adj. Total Hours]]+tbl_Weld[[#This Row],[Est. Hours]])/(tbl_Weld[[#This Row],[Total Hours Act]]+tbl_Weld[[#This Row],[Act. Hours]]),"")</f>
        <v>0</v>
      </c>
      <c r="S26"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26" s="63" t="s">
        <v>593</v>
      </c>
      <c r="U26" s="63" t="s">
        <v>591</v>
      </c>
      <c r="V26" s="63" t="s">
        <v>592</v>
      </c>
      <c r="W26" s="63"/>
      <c r="X26" s="63"/>
    </row>
    <row r="27" spans="1:24" ht="24.75" customHeight="1">
      <c r="A27" s="52">
        <v>46126</v>
      </c>
      <c r="B27" s="53" t="s">
        <v>254</v>
      </c>
      <c r="C27" s="53" t="s">
        <v>255</v>
      </c>
      <c r="D27" s="54">
        <v>0.20833333333333334</v>
      </c>
      <c r="E27" s="54">
        <v>0.6875</v>
      </c>
      <c r="F27" s="53">
        <v>220</v>
      </c>
      <c r="G27" s="53">
        <v>68</v>
      </c>
      <c r="H27" s="55">
        <f>tbl_Weld[[#This Row],[Qty Complete]]/tbl_Weld[[#This Row],[Qty Required]]</f>
        <v>0.30909090909090908</v>
      </c>
      <c r="I27" s="56">
        <v>15</v>
      </c>
      <c r="J27" s="53">
        <v>1</v>
      </c>
      <c r="K27" s="57">
        <f>IFERROR(tbl_Weld[[#This Row],[Qty Required]]/tbl_Weld[[#This Row],[PPH]]*tbl_Weld[[#This Row],['# of men]],"")</f>
        <v>14.666666666666666</v>
      </c>
      <c r="L27" s="58">
        <f>tbl_Weld[[#This Row],[Total hours]]*tbl_Weld[[#This Row],[% Complete]]</f>
        <v>4.5333333333333332</v>
      </c>
      <c r="M27" s="59">
        <f>IFERROR(tbl_Weld[[#This Row],[Qty Complete]]/tbl_Weld[[#This Row],[Total Hours Act]]*tbl_Weld[[#This Row],['# of men Act]],"")</f>
        <v>6.1818181818181817</v>
      </c>
      <c r="N27" s="53">
        <v>1</v>
      </c>
      <c r="O27"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11</v>
      </c>
      <c r="R27" s="72">
        <f>IFERROR((tbl_Weld[[#This Row],[Adj. Total Hours]]+tbl_Weld[[#This Row],[Est. Hours]])/(tbl_Weld[[#This Row],[Total Hours Act]]+tbl_Weld[[#This Row],[Act. Hours]]),"")</f>
        <v>0.41212121212121211</v>
      </c>
      <c r="S27"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27" s="63" t="s">
        <v>594</v>
      </c>
      <c r="U27" s="63" t="s">
        <v>595</v>
      </c>
      <c r="V27" s="63"/>
      <c r="W27" s="63"/>
      <c r="X27" s="63"/>
    </row>
    <row r="28" spans="1:24" ht="24.75" customHeight="1">
      <c r="A28" s="52">
        <v>46126</v>
      </c>
      <c r="B28" s="53">
        <v>142876</v>
      </c>
      <c r="C28" s="53" t="s">
        <v>581</v>
      </c>
      <c r="D28" s="54">
        <v>0.20833333333333334</v>
      </c>
      <c r="E28" s="54">
        <v>0.6875</v>
      </c>
      <c r="F28" s="53">
        <v>100</v>
      </c>
      <c r="G28" s="53">
        <v>8</v>
      </c>
      <c r="H28" s="55">
        <f>tbl_Weld[[#This Row],[Qty Complete]]/tbl_Weld[[#This Row],[Qty Required]]</f>
        <v>0.08</v>
      </c>
      <c r="I28" s="56">
        <v>1</v>
      </c>
      <c r="J28" s="53">
        <v>1</v>
      </c>
      <c r="K28" s="57">
        <f>IFERROR(tbl_Weld[[#This Row],[Qty Required]]/tbl_Weld[[#This Row],[PPH]]*tbl_Weld[[#This Row],['# of men]],"")</f>
        <v>100</v>
      </c>
      <c r="L28" s="58">
        <f>tbl_Weld[[#This Row],[Total hours]]*tbl_Weld[[#This Row],[% Complete]]</f>
        <v>8</v>
      </c>
      <c r="M28" s="59">
        <f>IFERROR(tbl_Weld[[#This Row],[Qty Complete]]/tbl_Weld[[#This Row],[Total Hours Act]]*tbl_Weld[[#This Row],['# of men Act]],"")</f>
        <v>0.72727272727272729</v>
      </c>
      <c r="N28" s="53">
        <v>2</v>
      </c>
      <c r="O28"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22</v>
      </c>
      <c r="R28" s="72">
        <f>IFERROR((tbl_Weld[[#This Row],[Adj. Total Hours]]+tbl_Weld[[#This Row],[Est. Hours]])/(tbl_Weld[[#This Row],[Total Hours Act]]+tbl_Weld[[#This Row],[Act. Hours]]),"")</f>
        <v>0.36363636363636365</v>
      </c>
      <c r="S28"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28" s="63" t="s">
        <v>596</v>
      </c>
      <c r="U28" s="63" t="s">
        <v>567</v>
      </c>
      <c r="V28" s="63" t="s">
        <v>583</v>
      </c>
      <c r="W28" s="63"/>
      <c r="X28" s="63"/>
    </row>
    <row r="29" spans="1:24" ht="24.75" customHeight="1">
      <c r="A29" s="52">
        <v>46126</v>
      </c>
      <c r="B29" s="53" t="s">
        <v>506</v>
      </c>
      <c r="C29" s="53">
        <v>1502895000</v>
      </c>
      <c r="D29" s="54">
        <v>0.41666666666666669</v>
      </c>
      <c r="E29" s="54">
        <v>0.66666666666666663</v>
      </c>
      <c r="F29" s="53">
        <v>16</v>
      </c>
      <c r="G29" s="53">
        <v>16</v>
      </c>
      <c r="H29" s="55">
        <f>tbl_Weld[[#This Row],[Qty Complete]]/tbl_Weld[[#This Row],[Qty Required]]</f>
        <v>1</v>
      </c>
      <c r="I29" s="56">
        <v>2</v>
      </c>
      <c r="J29" s="53">
        <v>1</v>
      </c>
      <c r="K29" s="57">
        <f>IFERROR(tbl_Weld[[#This Row],[Qty Required]]/tbl_Weld[[#This Row],[PPH]]*tbl_Weld[[#This Row],['# of men]],"")</f>
        <v>8</v>
      </c>
      <c r="L29" s="58">
        <f>tbl_Weld[[#This Row],[Total hours]]*tbl_Weld[[#This Row],[% Complete]]</f>
        <v>8</v>
      </c>
      <c r="M29" s="59">
        <f>IFERROR(tbl_Weld[[#This Row],[Qty Complete]]/tbl_Weld[[#This Row],[Total Hours Act]]*tbl_Weld[[#This Row],['# of men Act]],"")</f>
        <v>2.9090909090909101</v>
      </c>
      <c r="N29" s="53">
        <v>2</v>
      </c>
      <c r="O29"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10.999999999999996</v>
      </c>
      <c r="R29" s="72">
        <f>IFERROR((tbl_Weld[[#This Row],[Adj. Total Hours]]+tbl_Weld[[#This Row],[Est. Hours]])/(tbl_Weld[[#This Row],[Total Hours Act]]+tbl_Weld[[#This Row],[Act. Hours]]),"")</f>
        <v>0.72727272727272751</v>
      </c>
      <c r="S29" s="76">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0.72727272727272751</v>
      </c>
      <c r="T29" s="63" t="s">
        <v>597</v>
      </c>
      <c r="U29" s="63" t="s">
        <v>598</v>
      </c>
      <c r="V29" s="63" t="s">
        <v>599</v>
      </c>
      <c r="W29" s="63"/>
      <c r="X29" s="63"/>
    </row>
    <row r="30" spans="1:24" ht="24.75" customHeight="1">
      <c r="A30" s="52">
        <v>46126</v>
      </c>
      <c r="B30" s="53">
        <v>143157</v>
      </c>
      <c r="C30" s="53" t="s">
        <v>571</v>
      </c>
      <c r="D30" s="54">
        <v>0.20833333333333334</v>
      </c>
      <c r="E30" s="54">
        <v>0.6875</v>
      </c>
      <c r="F30" s="53">
        <v>200</v>
      </c>
      <c r="G30" s="53">
        <v>65</v>
      </c>
      <c r="H30" s="55">
        <f>tbl_Weld[[#This Row],[Qty Complete]]/tbl_Weld[[#This Row],[Qty Required]]</f>
        <v>0.32500000000000001</v>
      </c>
      <c r="I30" s="56">
        <v>10</v>
      </c>
      <c r="J30" s="53">
        <v>1</v>
      </c>
      <c r="K30" s="57">
        <f>IFERROR(tbl_Weld[[#This Row],[Qty Required]]/tbl_Weld[[#This Row],[PPH]]*tbl_Weld[[#This Row],['# of men]],"")</f>
        <v>20</v>
      </c>
      <c r="L30" s="58">
        <f>tbl_Weld[[#This Row],[Total hours]]*tbl_Weld[[#This Row],[% Complete]]</f>
        <v>6.5</v>
      </c>
      <c r="M30" s="59">
        <f>IFERROR(tbl_Weld[[#This Row],[Qty Complete]]/tbl_Weld[[#This Row],[Total Hours Act]]*tbl_Weld[[#This Row],['# of men Act]],"")</f>
        <v>5.9090909090909092</v>
      </c>
      <c r="N30" s="53">
        <v>1</v>
      </c>
      <c r="O30"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11</v>
      </c>
      <c r="R30" s="72">
        <f>IFERROR((tbl_Weld[[#This Row],[Adj. Total Hours]]+tbl_Weld[[#This Row],[Est. Hours]])/(tbl_Weld[[#This Row],[Total Hours Act]]+tbl_Weld[[#This Row],[Act. Hours]]),"")</f>
        <v>0.59090909090909094</v>
      </c>
      <c r="S30"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30" s="63" t="s">
        <v>600</v>
      </c>
      <c r="U30" s="63" t="s">
        <v>601</v>
      </c>
      <c r="V30" s="63"/>
      <c r="W30" s="63"/>
      <c r="X30" s="63"/>
    </row>
    <row r="31" spans="1:24" ht="24.75" customHeight="1">
      <c r="A31" s="95">
        <v>46126</v>
      </c>
      <c r="B31" s="96" t="s">
        <v>602</v>
      </c>
      <c r="C31" s="96" t="s">
        <v>603</v>
      </c>
      <c r="D31" s="97">
        <v>0.6875</v>
      </c>
      <c r="E31" s="97">
        <v>0.1875</v>
      </c>
      <c r="F31" s="96">
        <v>400</v>
      </c>
      <c r="G31" s="96">
        <v>50</v>
      </c>
      <c r="H31" s="55">
        <f>tbl_Weld[[#This Row],[Qty Complete]]/tbl_Weld[[#This Row],[Qty Required]]</f>
        <v>0.125</v>
      </c>
      <c r="I31" s="56">
        <v>8</v>
      </c>
      <c r="J31" s="53">
        <v>2</v>
      </c>
      <c r="K31" s="57">
        <f>IFERROR(tbl_Weld[[#This Row],[Qty Required]]/tbl_Weld[[#This Row],[PPH]]*tbl_Weld[[#This Row],['# of men]],"")</f>
        <v>100</v>
      </c>
      <c r="L31" s="58">
        <f>tbl_Weld[[#This Row],[Total hours]]*tbl_Weld[[#This Row],[% Complete]]</f>
        <v>12.5</v>
      </c>
      <c r="M31" s="59">
        <f>IFERROR(tbl_Weld[[#This Row],[Qty Complete]]/tbl_Weld[[#This Row],[Total Hours Act]]*tbl_Weld[[#This Row],['# of men Act]],"")</f>
        <v>4.3478260869565215</v>
      </c>
      <c r="N31" s="53">
        <v>2</v>
      </c>
      <c r="O31"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23</v>
      </c>
      <c r="R31" s="72">
        <f>IFERROR((tbl_Weld[[#This Row],[Adj. Total Hours]]+tbl_Weld[[#This Row],[Est. Hours]])/(tbl_Weld[[#This Row],[Total Hours Act]]+tbl_Weld[[#This Row],[Act. Hours]]),"")</f>
        <v>0.54347826086956519</v>
      </c>
      <c r="S31"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31" s="63" t="s">
        <v>604</v>
      </c>
      <c r="U31" s="63" t="s">
        <v>605</v>
      </c>
      <c r="V31" s="63" t="s">
        <v>606</v>
      </c>
      <c r="W31" s="63"/>
      <c r="X31" s="63"/>
    </row>
    <row r="32" spans="1:24" ht="24.75" customHeight="1">
      <c r="A32" s="95">
        <v>46127</v>
      </c>
      <c r="B32" s="96" t="s">
        <v>558</v>
      </c>
      <c r="C32" s="96">
        <v>1502881300</v>
      </c>
      <c r="D32" s="97">
        <v>0.20833333333333334</v>
      </c>
      <c r="E32" s="97">
        <v>0.6875</v>
      </c>
      <c r="F32" s="96">
        <v>8</v>
      </c>
      <c r="G32" s="96">
        <v>2</v>
      </c>
      <c r="H32" s="55">
        <f>tbl_Weld[[#This Row],[Qty Complete]]/tbl_Weld[[#This Row],[Qty Required]]</f>
        <v>0.25</v>
      </c>
      <c r="I32" s="56">
        <v>0.18182000000000001</v>
      </c>
      <c r="J32" s="53">
        <v>2</v>
      </c>
      <c r="K32" s="57">
        <f>IFERROR(tbl_Weld[[#This Row],[Qty Required]]/tbl_Weld[[#This Row],[PPH]]*tbl_Weld[[#This Row],['# of men]],"")</f>
        <v>87.999120008799906</v>
      </c>
      <c r="L32" s="58">
        <f>tbl_Weld[[#This Row],[Total hours]]*tbl_Weld[[#This Row],[% Complete]]</f>
        <v>21.999780002199977</v>
      </c>
      <c r="M32" s="59">
        <f>IFERROR(tbl_Weld[[#This Row],[Qty Complete]]/tbl_Weld[[#This Row],[Total Hours Act]]*tbl_Weld[[#This Row],['# of men Act]],"")</f>
        <v>0.18181818181818182</v>
      </c>
      <c r="N32" s="53">
        <v>1.5449999999999999</v>
      </c>
      <c r="O32"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16.994999999999997</v>
      </c>
      <c r="R32" s="72">
        <f>IFERROR((tbl_Weld[[#This Row],[Adj. Total Hours]]+tbl_Weld[[#This Row],[Est. Hours]])/(tbl_Weld[[#This Row],[Total Hours Act]]+tbl_Weld[[#This Row],[Act. Hours]]),"")</f>
        <v>1.2944854370226526</v>
      </c>
      <c r="S32"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32" s="63" t="s">
        <v>607</v>
      </c>
      <c r="U32" s="63" t="s">
        <v>575</v>
      </c>
      <c r="V32" s="63" t="s">
        <v>608</v>
      </c>
      <c r="W32" s="63"/>
      <c r="X32" s="63"/>
    </row>
    <row r="33" spans="1:24" ht="24.75" customHeight="1">
      <c r="A33" s="95">
        <v>46127</v>
      </c>
      <c r="B33" s="96" t="s">
        <v>563</v>
      </c>
      <c r="C33" s="96" t="s">
        <v>455</v>
      </c>
      <c r="D33" s="97">
        <v>0.20833333333333334</v>
      </c>
      <c r="E33" s="97">
        <v>0.6875</v>
      </c>
      <c r="F33" s="96">
        <v>103</v>
      </c>
      <c r="G33" s="96">
        <v>14</v>
      </c>
      <c r="H33" s="55">
        <f>tbl_Weld[[#This Row],[Qty Complete]]/tbl_Weld[[#This Row],[Qty Required]]</f>
        <v>0.13592233009708737</v>
      </c>
      <c r="I33" s="56">
        <v>0.5</v>
      </c>
      <c r="J33" s="53">
        <v>1</v>
      </c>
      <c r="K33" s="57">
        <f>IFERROR(tbl_Weld[[#This Row],[Qty Required]]/tbl_Weld[[#This Row],[PPH]]*tbl_Weld[[#This Row],['# of men]],"")</f>
        <v>206</v>
      </c>
      <c r="L33" s="58">
        <f>tbl_Weld[[#This Row],[Total hours]]*tbl_Weld[[#This Row],[% Complete]]</f>
        <v>28</v>
      </c>
      <c r="M33" s="59">
        <f>IFERROR(tbl_Weld[[#This Row],[Qty Complete]]/tbl_Weld[[#This Row],[Total Hours Act]]*tbl_Weld[[#This Row],['# of men Act]],"")</f>
        <v>1.2727272727272727</v>
      </c>
      <c r="N33" s="53">
        <v>2</v>
      </c>
      <c r="O33"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22</v>
      </c>
      <c r="R33" s="72">
        <f>IFERROR((tbl_Weld[[#This Row],[Adj. Total Hours]]+tbl_Weld[[#This Row],[Est. Hours]])/(tbl_Weld[[#This Row],[Total Hours Act]]+tbl_Weld[[#This Row],[Act. Hours]]),"")</f>
        <v>1.2727272727272727</v>
      </c>
      <c r="S33"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33" s="63"/>
      <c r="U33" s="63" t="s">
        <v>609</v>
      </c>
      <c r="V33" s="63" t="s">
        <v>561</v>
      </c>
      <c r="W33" s="63"/>
      <c r="X33" s="63"/>
    </row>
    <row r="34" spans="1:24" ht="24.75" customHeight="1">
      <c r="A34" s="95">
        <v>46127</v>
      </c>
      <c r="B34" s="96">
        <v>142876</v>
      </c>
      <c r="C34" s="96" t="s">
        <v>581</v>
      </c>
      <c r="D34" s="97">
        <v>0.20833333333333334</v>
      </c>
      <c r="E34" s="97">
        <v>0.6875</v>
      </c>
      <c r="F34" s="96">
        <v>100</v>
      </c>
      <c r="G34" s="96">
        <v>12</v>
      </c>
      <c r="H34" s="55">
        <f>tbl_Weld[[#This Row],[Qty Complete]]/tbl_Weld[[#This Row],[Qty Required]]</f>
        <v>0.12</v>
      </c>
      <c r="I34" s="56">
        <v>1</v>
      </c>
      <c r="J34" s="53">
        <v>1</v>
      </c>
      <c r="K34" s="57">
        <f>IFERROR(tbl_Weld[[#This Row],[Qty Required]]/tbl_Weld[[#This Row],[PPH]]*tbl_Weld[[#This Row],['# of men]],"")</f>
        <v>100</v>
      </c>
      <c r="L34" s="58">
        <f>tbl_Weld[[#This Row],[Total hours]]*tbl_Weld[[#This Row],[% Complete]]</f>
        <v>12</v>
      </c>
      <c r="M34" s="59">
        <f>IFERROR(tbl_Weld[[#This Row],[Qty Complete]]/tbl_Weld[[#This Row],[Total Hours Act]]*tbl_Weld[[#This Row],['# of men Act]],"")</f>
        <v>1.0909090909090908</v>
      </c>
      <c r="N34" s="53">
        <v>2</v>
      </c>
      <c r="O34"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22</v>
      </c>
      <c r="R34" s="72">
        <f>IFERROR((tbl_Weld[[#This Row],[Adj. Total Hours]]+tbl_Weld[[#This Row],[Est. Hours]])/(tbl_Weld[[#This Row],[Total Hours Act]]+tbl_Weld[[#This Row],[Act. Hours]]),"")</f>
        <v>0.54545454545454541</v>
      </c>
      <c r="S34"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34" s="63" t="s">
        <v>610</v>
      </c>
      <c r="U34" s="63" t="s">
        <v>567</v>
      </c>
      <c r="V34" s="63" t="s">
        <v>583</v>
      </c>
      <c r="W34" s="63"/>
      <c r="X34" s="63"/>
    </row>
    <row r="35" spans="1:24" ht="24.75" customHeight="1">
      <c r="A35" s="52">
        <v>46127</v>
      </c>
      <c r="B35" s="53" t="s">
        <v>298</v>
      </c>
      <c r="C35" s="53">
        <v>1502882700</v>
      </c>
      <c r="D35" s="54">
        <v>0.375</v>
      </c>
      <c r="E35" s="54">
        <v>0.6875</v>
      </c>
      <c r="F35" s="53">
        <v>24</v>
      </c>
      <c r="G35" s="53">
        <v>10</v>
      </c>
      <c r="H35" s="55">
        <f>tbl_Weld[[#This Row],[Qty Complete]]/tbl_Weld[[#This Row],[Qty Required]]</f>
        <v>0.41666666666666669</v>
      </c>
      <c r="I35" s="56">
        <v>0.5</v>
      </c>
      <c r="J35" s="53">
        <v>1</v>
      </c>
      <c r="K35" s="57">
        <f>IFERROR(tbl_Weld[[#This Row],[Qty Required]]/tbl_Weld[[#This Row],[PPH]]*tbl_Weld[[#This Row],['# of men]],"")</f>
        <v>48</v>
      </c>
      <c r="L35" s="58">
        <f>tbl_Weld[[#This Row],[Total hours]]*tbl_Weld[[#This Row],[% Complete]]</f>
        <v>20</v>
      </c>
      <c r="M35" s="59">
        <f>IFERROR(tbl_Weld[[#This Row],[Qty Complete]]/tbl_Weld[[#This Row],[Total Hours Act]]*tbl_Weld[[#This Row],['# of men Act]],"")</f>
        <v>1.4285714285714286</v>
      </c>
      <c r="N35" s="53">
        <v>2</v>
      </c>
      <c r="O35"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14</v>
      </c>
      <c r="R35" s="72">
        <f>IFERROR((tbl_Weld[[#This Row],[Adj. Total Hours]]+tbl_Weld[[#This Row],[Est. Hours]])/(tbl_Weld[[#This Row],[Total Hours Act]]+tbl_Weld[[#This Row],[Act. Hours]]),"")</f>
        <v>1.4285714285714286</v>
      </c>
      <c r="S35"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35" s="63"/>
      <c r="U35" s="63" t="s">
        <v>598</v>
      </c>
      <c r="V35" s="63" t="s">
        <v>599</v>
      </c>
      <c r="W35" s="63"/>
      <c r="X35" s="63"/>
    </row>
    <row r="36" spans="1:24" ht="24.75" customHeight="1">
      <c r="A36" s="52">
        <v>46127</v>
      </c>
      <c r="B36" s="53" t="s">
        <v>298</v>
      </c>
      <c r="C36" s="53">
        <v>1502882700</v>
      </c>
      <c r="D36" s="54">
        <v>0.32291666666666669</v>
      </c>
      <c r="E36" s="54">
        <v>0.6875</v>
      </c>
      <c r="F36" s="53">
        <v>24</v>
      </c>
      <c r="G36" s="53">
        <v>8</v>
      </c>
      <c r="H36" s="55">
        <f>tbl_Weld[[#This Row],[Qty Complete]]/tbl_Weld[[#This Row],[Qty Required]]</f>
        <v>0.33333333333333331</v>
      </c>
      <c r="I36" s="56">
        <v>0.5</v>
      </c>
      <c r="J36" s="53">
        <v>1</v>
      </c>
      <c r="K36" s="57">
        <f>IFERROR(tbl_Weld[[#This Row],[Qty Required]]/tbl_Weld[[#This Row],[PPH]]*tbl_Weld[[#This Row],['# of men]],"")</f>
        <v>48</v>
      </c>
      <c r="L36" s="58">
        <f>tbl_Weld[[#This Row],[Total hours]]*tbl_Weld[[#This Row],[% Complete]]</f>
        <v>16</v>
      </c>
      <c r="M36" s="59">
        <f>IFERROR(tbl_Weld[[#This Row],[Qty Complete]]/tbl_Weld[[#This Row],[Total Hours Act]]*tbl_Weld[[#This Row],['# of men Act]],"")</f>
        <v>0.96969696969696972</v>
      </c>
      <c r="N36" s="53">
        <v>2</v>
      </c>
      <c r="O36"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16.5</v>
      </c>
      <c r="R36" s="72">
        <f>IFERROR((tbl_Weld[[#This Row],[Adj. Total Hours]]+tbl_Weld[[#This Row],[Est. Hours]])/(tbl_Weld[[#This Row],[Total Hours Act]]+tbl_Weld[[#This Row],[Act. Hours]]),"")</f>
        <v>0.96969696969696972</v>
      </c>
      <c r="S36"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36" s="63"/>
      <c r="U36" s="63" t="s">
        <v>591</v>
      </c>
      <c r="V36" s="63" t="s">
        <v>611</v>
      </c>
      <c r="W36" s="63"/>
      <c r="X36" s="63"/>
    </row>
    <row r="37" spans="1:24" ht="24.75" customHeight="1">
      <c r="A37" s="52">
        <v>46127</v>
      </c>
      <c r="B37" s="53" t="s">
        <v>526</v>
      </c>
      <c r="C37" s="53">
        <v>1502893800</v>
      </c>
      <c r="D37" s="54">
        <v>0.20833333333333334</v>
      </c>
      <c r="E37" s="54">
        <v>0.32291666666666669</v>
      </c>
      <c r="F37" s="53">
        <v>12</v>
      </c>
      <c r="G37" s="53">
        <v>3</v>
      </c>
      <c r="H37" s="55">
        <f>tbl_Weld[[#This Row],[Qty Complete]]/tbl_Weld[[#This Row],[Qty Required]]</f>
        <v>0.25</v>
      </c>
      <c r="I37" s="56">
        <v>1</v>
      </c>
      <c r="J37" s="53">
        <v>1</v>
      </c>
      <c r="K37" s="57">
        <f>IFERROR(tbl_Weld[[#This Row],[Qty Required]]/tbl_Weld[[#This Row],[PPH]]*tbl_Weld[[#This Row],['# of men]],"")</f>
        <v>12</v>
      </c>
      <c r="L37" s="58">
        <f>tbl_Weld[[#This Row],[Total hours]]*tbl_Weld[[#This Row],[% Complete]]</f>
        <v>3</v>
      </c>
      <c r="M37" s="59">
        <f>IFERROR(tbl_Weld[[#This Row],[Qty Complete]]/tbl_Weld[[#This Row],[Total Hours Act]]*tbl_Weld[[#This Row],['# of men Act]],"")</f>
        <v>1.0909090909090908</v>
      </c>
      <c r="N37" s="53">
        <v>2</v>
      </c>
      <c r="O37"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5.5</v>
      </c>
      <c r="R37" s="72">
        <f>IFERROR((tbl_Weld[[#This Row],[Adj. Total Hours]]+tbl_Weld[[#This Row],[Est. Hours]])/(tbl_Weld[[#This Row],[Total Hours Act]]+tbl_Weld[[#This Row],[Act. Hours]]),"")</f>
        <v>0.54545454545454541</v>
      </c>
      <c r="S37"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37" s="63" t="s">
        <v>612</v>
      </c>
      <c r="U37" s="63" t="s">
        <v>591</v>
      </c>
      <c r="V37" s="63" t="s">
        <v>611</v>
      </c>
      <c r="W37" s="63"/>
      <c r="X37" s="63"/>
    </row>
    <row r="38" spans="1:24" ht="24.75" customHeight="1">
      <c r="A38" s="52">
        <v>46127</v>
      </c>
      <c r="B38" s="53" t="s">
        <v>585</v>
      </c>
      <c r="C38" s="53" t="s">
        <v>586</v>
      </c>
      <c r="D38" s="54">
        <v>0.3125</v>
      </c>
      <c r="E38" s="54">
        <v>0.6875</v>
      </c>
      <c r="F38" s="53">
        <v>103</v>
      </c>
      <c r="G38" s="53">
        <v>30</v>
      </c>
      <c r="H38" s="55">
        <f>tbl_Weld[[#This Row],[Qty Complete]]/tbl_Weld[[#This Row],[Qty Required]]</f>
        <v>0.29126213592233008</v>
      </c>
      <c r="I38" s="56">
        <v>2</v>
      </c>
      <c r="J38" s="53">
        <v>1</v>
      </c>
      <c r="K38" s="57">
        <f>IFERROR(tbl_Weld[[#This Row],[Qty Required]]/tbl_Weld[[#This Row],[PPH]]*tbl_Weld[[#This Row],['# of men]],"")</f>
        <v>51.5</v>
      </c>
      <c r="L38" s="58">
        <f>tbl_Weld[[#This Row],[Total hours]]*tbl_Weld[[#This Row],[% Complete]]</f>
        <v>14.999999999999998</v>
      </c>
      <c r="M38" s="59">
        <f>IFERROR(tbl_Weld[[#This Row],[Qty Complete]]/tbl_Weld[[#This Row],[Total Hours Act]]*tbl_Weld[[#This Row],['# of men Act]],"")</f>
        <v>3.5294117647058822</v>
      </c>
      <c r="N38" s="53">
        <v>1</v>
      </c>
      <c r="O38"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8.5</v>
      </c>
      <c r="R38" s="72">
        <f>IFERROR((tbl_Weld[[#This Row],[Adj. Total Hours]]+tbl_Weld[[#This Row],[Est. Hours]])/(tbl_Weld[[#This Row],[Total Hours Act]]+tbl_Weld[[#This Row],[Act. Hours]]),"")</f>
        <v>1.7647058823529409</v>
      </c>
      <c r="S38"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38" s="63"/>
      <c r="U38" s="63" t="s">
        <v>589</v>
      </c>
      <c r="V38" s="63"/>
      <c r="W38" s="63"/>
      <c r="X38" s="63"/>
    </row>
    <row r="39" spans="1:24" ht="24.75" customHeight="1">
      <c r="A39" s="52">
        <v>46127</v>
      </c>
      <c r="B39" s="53" t="s">
        <v>337</v>
      </c>
      <c r="C39" s="53" t="s">
        <v>338</v>
      </c>
      <c r="D39" s="54">
        <v>0.20833333333333334</v>
      </c>
      <c r="E39" s="54">
        <v>0.3125</v>
      </c>
      <c r="F39" s="53">
        <v>800</v>
      </c>
      <c r="G39" s="53">
        <v>60</v>
      </c>
      <c r="H39" s="55">
        <f>tbl_Weld[[#This Row],[Qty Complete]]/tbl_Weld[[#This Row],[Qty Required]]</f>
        <v>7.4999999999999997E-2</v>
      </c>
      <c r="I39" s="56">
        <v>22</v>
      </c>
      <c r="J39" s="53">
        <v>1</v>
      </c>
      <c r="K39" s="57">
        <f>IFERROR(tbl_Weld[[#This Row],[Qty Required]]/tbl_Weld[[#This Row],[PPH]]*tbl_Weld[[#This Row],['# of men]],"")</f>
        <v>36.363636363636367</v>
      </c>
      <c r="L39" s="58">
        <f>tbl_Weld[[#This Row],[Total hours]]*tbl_Weld[[#This Row],[% Complete]]</f>
        <v>2.7272727272727275</v>
      </c>
      <c r="M39" s="59">
        <f>IFERROR(tbl_Weld[[#This Row],[Qty Complete]]/tbl_Weld[[#This Row],[Total Hours Act]]*tbl_Weld[[#This Row],['# of men Act]],"")</f>
        <v>24</v>
      </c>
      <c r="N39" s="53">
        <v>1</v>
      </c>
      <c r="O39"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2.5</v>
      </c>
      <c r="R39" s="72">
        <f>IFERROR((tbl_Weld[[#This Row],[Adj. Total Hours]]+tbl_Weld[[#This Row],[Est. Hours]])/(tbl_Weld[[#This Row],[Total Hours Act]]+tbl_Weld[[#This Row],[Act. Hours]]),"")</f>
        <v>1.0909090909090911</v>
      </c>
      <c r="S39"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39" s="63"/>
      <c r="U39" s="63" t="s">
        <v>589</v>
      </c>
      <c r="V39" s="63"/>
      <c r="W39" s="63"/>
      <c r="X39" s="63"/>
    </row>
    <row r="40" spans="1:24" ht="24.75" customHeight="1">
      <c r="A40" s="52">
        <v>46127</v>
      </c>
      <c r="B40" s="53">
        <v>143157</v>
      </c>
      <c r="C40" s="53" t="s">
        <v>571</v>
      </c>
      <c r="D40" s="54">
        <v>0.20833333333333334</v>
      </c>
      <c r="E40" s="54">
        <v>0.6875</v>
      </c>
      <c r="F40" s="53">
        <v>200</v>
      </c>
      <c r="G40" s="53">
        <v>62</v>
      </c>
      <c r="H40" s="55">
        <f>tbl_Weld[[#This Row],[Qty Complete]]/tbl_Weld[[#This Row],[Qty Required]]</f>
        <v>0.31</v>
      </c>
      <c r="I40" s="56">
        <v>8</v>
      </c>
      <c r="J40" s="53">
        <v>1</v>
      </c>
      <c r="K40" s="57">
        <f>IFERROR(tbl_Weld[[#This Row],[Qty Required]]/tbl_Weld[[#This Row],[PPH]]*tbl_Weld[[#This Row],['# of men]],"")</f>
        <v>25</v>
      </c>
      <c r="L40" s="58">
        <f>tbl_Weld[[#This Row],[Total hours]]*tbl_Weld[[#This Row],[% Complete]]</f>
        <v>7.75</v>
      </c>
      <c r="M40" s="59">
        <f>IFERROR(tbl_Weld[[#This Row],[Qty Complete]]/tbl_Weld[[#This Row],[Total Hours Act]]*tbl_Weld[[#This Row],['# of men Act]],"")</f>
        <v>5.6363636363636367</v>
      </c>
      <c r="N40" s="53">
        <v>1</v>
      </c>
      <c r="O40"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11</v>
      </c>
      <c r="R40" s="72">
        <f>IFERROR((tbl_Weld[[#This Row],[Adj. Total Hours]]+tbl_Weld[[#This Row],[Est. Hours]])/(tbl_Weld[[#This Row],[Total Hours Act]]+tbl_Weld[[#This Row],[Act. Hours]]),"")</f>
        <v>0.70454545454545459</v>
      </c>
      <c r="S40"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40" s="63" t="s">
        <v>613</v>
      </c>
      <c r="U40" s="63" t="s">
        <v>601</v>
      </c>
      <c r="V40" s="63"/>
      <c r="W40" s="63"/>
      <c r="X40" s="63"/>
    </row>
    <row r="41" spans="1:24" ht="24.75" customHeight="1">
      <c r="A41" s="52">
        <v>46128</v>
      </c>
      <c r="B41" s="53" t="s">
        <v>298</v>
      </c>
      <c r="C41" s="53">
        <v>1502882700</v>
      </c>
      <c r="D41" s="54">
        <v>0.20833333333333334</v>
      </c>
      <c r="E41" s="54">
        <v>0.54166666666666663</v>
      </c>
      <c r="F41" s="53">
        <v>24</v>
      </c>
      <c r="G41" s="53">
        <v>8</v>
      </c>
      <c r="H41" s="55">
        <f>tbl_Weld[[#This Row],[Qty Complete]]/tbl_Weld[[#This Row],[Qty Required]]</f>
        <v>0.33333333333333331</v>
      </c>
      <c r="I41" s="56">
        <v>0.5</v>
      </c>
      <c r="J41" s="53">
        <v>1</v>
      </c>
      <c r="K41" s="57">
        <f>IFERROR(tbl_Weld[[#This Row],[Qty Required]]/tbl_Weld[[#This Row],[PPH]]*tbl_Weld[[#This Row],['# of men]],"")</f>
        <v>48</v>
      </c>
      <c r="L41" s="58">
        <f>tbl_Weld[[#This Row],[Total hours]]*tbl_Weld[[#This Row],[% Complete]]</f>
        <v>16</v>
      </c>
      <c r="M41" s="59">
        <f>IFERROR(tbl_Weld[[#This Row],[Qty Complete]]/tbl_Weld[[#This Row],[Total Hours Act]]*tbl_Weld[[#This Row],['# of men Act]],"")</f>
        <v>1.0666666666666669</v>
      </c>
      <c r="N41" s="53">
        <v>2</v>
      </c>
      <c r="O41"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14.999999999999996</v>
      </c>
      <c r="R41" s="72">
        <f>IFERROR((tbl_Weld[[#This Row],[Adj. Total Hours]]+tbl_Weld[[#This Row],[Est. Hours]])/(tbl_Weld[[#This Row],[Total Hours Act]]+tbl_Weld[[#This Row],[Act. Hours]]),"")</f>
        <v>1.0666666666666669</v>
      </c>
      <c r="S41" s="76">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1.1428571428571428</v>
      </c>
      <c r="T41" s="63"/>
      <c r="U41" s="63" t="s">
        <v>591</v>
      </c>
      <c r="V41" s="63" t="s">
        <v>611</v>
      </c>
      <c r="W41" s="63"/>
      <c r="X41" s="63"/>
    </row>
    <row r="42" spans="1:24" ht="24.75" customHeight="1">
      <c r="A42" s="52">
        <v>46128</v>
      </c>
      <c r="B42" s="53" t="s">
        <v>614</v>
      </c>
      <c r="C42" s="53">
        <v>1502881300</v>
      </c>
      <c r="D42" s="54">
        <v>0.20833333333333334</v>
      </c>
      <c r="E42" s="54">
        <v>0.6875</v>
      </c>
      <c r="F42" s="53">
        <v>8</v>
      </c>
      <c r="G42" s="53">
        <v>4</v>
      </c>
      <c r="H42" s="55">
        <f>tbl_Weld[[#This Row],[Qty Complete]]/tbl_Weld[[#This Row],[Qty Required]]</f>
        <v>0.5</v>
      </c>
      <c r="I42" s="56">
        <v>0.18182000000000001</v>
      </c>
      <c r="J42" s="53">
        <v>2</v>
      </c>
      <c r="K42" s="57">
        <f>IFERROR(tbl_Weld[[#This Row],[Qty Required]]/tbl_Weld[[#This Row],[PPH]]*tbl_Weld[[#This Row],['# of men]],"")</f>
        <v>87.999120008799906</v>
      </c>
      <c r="L42" s="58">
        <f>tbl_Weld[[#This Row],[Total hours]]*tbl_Weld[[#This Row],[% Complete]]</f>
        <v>43.999560004399953</v>
      </c>
      <c r="M42" s="59">
        <f>IFERROR(tbl_Weld[[#This Row],[Qty Complete]]/tbl_Weld[[#This Row],[Total Hours Act]]*tbl_Weld[[#This Row],['# of men Act]],"")</f>
        <v>0.36363636363636365</v>
      </c>
      <c r="N42" s="53">
        <v>1.889</v>
      </c>
      <c r="O42"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20.779</v>
      </c>
      <c r="R42" s="72">
        <f>IFERROR((tbl_Weld[[#This Row],[Adj. Total Hours]]+tbl_Weld[[#This Row],[Est. Hours]])/(tbl_Weld[[#This Row],[Total Hours Act]]+tbl_Weld[[#This Row],[Act. Hours]]),"")</f>
        <v>2.1175013236633116</v>
      </c>
      <c r="S42"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42" s="63"/>
      <c r="U42" s="63" t="s">
        <v>559</v>
      </c>
      <c r="V42" s="63" t="s">
        <v>608</v>
      </c>
      <c r="W42" s="63"/>
      <c r="X42" s="63"/>
    </row>
    <row r="43" spans="1:24" ht="24.75" customHeight="1">
      <c r="A43" s="52">
        <v>46128</v>
      </c>
      <c r="B43" s="53" t="s">
        <v>585</v>
      </c>
      <c r="C43" s="53" t="s">
        <v>586</v>
      </c>
      <c r="D43" s="54">
        <v>0.20833333333333334</v>
      </c>
      <c r="E43" s="54">
        <v>0.6875</v>
      </c>
      <c r="F43" s="53">
        <v>103</v>
      </c>
      <c r="G43" s="53">
        <v>46</v>
      </c>
      <c r="H43" s="55">
        <f>tbl_Weld[[#This Row],[Qty Complete]]/tbl_Weld[[#This Row],[Qty Required]]</f>
        <v>0.44660194174757284</v>
      </c>
      <c r="I43" s="56">
        <v>2</v>
      </c>
      <c r="J43" s="53">
        <v>1</v>
      </c>
      <c r="K43" s="57">
        <f>IFERROR(tbl_Weld[[#This Row],[Qty Required]]/tbl_Weld[[#This Row],[PPH]]*tbl_Weld[[#This Row],['# of men]],"")</f>
        <v>51.5</v>
      </c>
      <c r="L43" s="58">
        <f>tbl_Weld[[#This Row],[Total hours]]*tbl_Weld[[#This Row],[% Complete]]</f>
        <v>23</v>
      </c>
      <c r="M43" s="59">
        <f>IFERROR(tbl_Weld[[#This Row],[Qty Complete]]/tbl_Weld[[#This Row],[Total Hours Act]]*tbl_Weld[[#This Row],['# of men Act]],"")</f>
        <v>4.1818181818181817</v>
      </c>
      <c r="N43" s="53">
        <v>1</v>
      </c>
      <c r="O43"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11</v>
      </c>
      <c r="R43" s="72">
        <f>IFERROR((tbl_Weld[[#This Row],[Adj. Total Hours]]+tbl_Weld[[#This Row],[Est. Hours]])/(tbl_Weld[[#This Row],[Total Hours Act]]+tbl_Weld[[#This Row],[Act. Hours]]),"")</f>
        <v>2.0909090909090908</v>
      </c>
      <c r="S43"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43" s="63"/>
      <c r="U43" s="63" t="s">
        <v>589</v>
      </c>
      <c r="V43" s="63"/>
      <c r="W43" s="63"/>
      <c r="X43" s="63"/>
    </row>
    <row r="44" spans="1:24" ht="24.75" customHeight="1">
      <c r="A44" s="52">
        <v>46128</v>
      </c>
      <c r="B44" s="53" t="s">
        <v>615</v>
      </c>
      <c r="C44" s="53">
        <v>1502893800</v>
      </c>
      <c r="D44" s="54">
        <v>0.20833333333333334</v>
      </c>
      <c r="E44" s="54">
        <v>0.54166666666666663</v>
      </c>
      <c r="F44" s="53">
        <v>12</v>
      </c>
      <c r="G44" s="53">
        <v>8</v>
      </c>
      <c r="H44" s="55">
        <f>tbl_Weld[[#This Row],[Qty Complete]]/tbl_Weld[[#This Row],[Qty Required]]</f>
        <v>0.66666666666666663</v>
      </c>
      <c r="I44" s="56">
        <v>1</v>
      </c>
      <c r="J44" s="53">
        <v>1</v>
      </c>
      <c r="K44" s="57">
        <f>IFERROR(tbl_Weld[[#This Row],[Qty Required]]/tbl_Weld[[#This Row],[PPH]]*tbl_Weld[[#This Row],['# of men]],"")</f>
        <v>12</v>
      </c>
      <c r="L44" s="58">
        <f>tbl_Weld[[#This Row],[Total hours]]*tbl_Weld[[#This Row],[% Complete]]</f>
        <v>8</v>
      </c>
      <c r="M44" s="59">
        <f>IFERROR(tbl_Weld[[#This Row],[Qty Complete]]/tbl_Weld[[#This Row],[Total Hours Act]]*tbl_Weld[[#This Row],['# of men Act]],"")</f>
        <v>1.0666666666666669</v>
      </c>
      <c r="N44" s="53">
        <v>2</v>
      </c>
      <c r="O44"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14.999999999999996</v>
      </c>
      <c r="R44" s="72">
        <f>IFERROR((tbl_Weld[[#This Row],[Adj. Total Hours]]+tbl_Weld[[#This Row],[Est. Hours]])/(tbl_Weld[[#This Row],[Total Hours Act]]+tbl_Weld[[#This Row],[Act. Hours]]),"")</f>
        <v>0.53333333333333344</v>
      </c>
      <c r="S44"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44" s="63" t="s">
        <v>753</v>
      </c>
      <c r="U44" s="63" t="s">
        <v>577</v>
      </c>
      <c r="V44" s="63" t="s">
        <v>599</v>
      </c>
      <c r="W44" s="63"/>
      <c r="X44" s="63"/>
    </row>
    <row r="45" spans="1:24" ht="24.75" customHeight="1">
      <c r="A45" s="52">
        <v>46128</v>
      </c>
      <c r="B45" s="53" t="s">
        <v>563</v>
      </c>
      <c r="C45" s="53" t="s">
        <v>455</v>
      </c>
      <c r="D45" s="54">
        <v>0.20833333333333334</v>
      </c>
      <c r="E45" s="54">
        <v>0.6875</v>
      </c>
      <c r="F45" s="53">
        <v>103</v>
      </c>
      <c r="G45" s="53">
        <v>14</v>
      </c>
      <c r="H45" s="55">
        <f>tbl_Weld[[#This Row],[Qty Complete]]/tbl_Weld[[#This Row],[Qty Required]]</f>
        <v>0.13592233009708737</v>
      </c>
      <c r="I45" s="56">
        <v>0.5</v>
      </c>
      <c r="J45" s="53">
        <v>1</v>
      </c>
      <c r="K45" s="57">
        <f>IFERROR(tbl_Weld[[#This Row],[Qty Required]]/tbl_Weld[[#This Row],[PPH]]*tbl_Weld[[#This Row],['# of men]],"")</f>
        <v>206</v>
      </c>
      <c r="L45" s="58">
        <f>tbl_Weld[[#This Row],[Total hours]]*tbl_Weld[[#This Row],[% Complete]]</f>
        <v>28</v>
      </c>
      <c r="M45" s="59">
        <f>IFERROR(tbl_Weld[[#This Row],[Qty Complete]]/tbl_Weld[[#This Row],[Total Hours Act]]*tbl_Weld[[#This Row],['# of men Act]],"")</f>
        <v>1.2727272727272727</v>
      </c>
      <c r="N45" s="53">
        <v>2</v>
      </c>
      <c r="O45"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22</v>
      </c>
      <c r="R45" s="72">
        <f>IFERROR((tbl_Weld[[#This Row],[Adj. Total Hours]]+tbl_Weld[[#This Row],[Est. Hours]])/(tbl_Weld[[#This Row],[Total Hours Act]]+tbl_Weld[[#This Row],[Act. Hours]]),"")</f>
        <v>1.2727272727272727</v>
      </c>
      <c r="S45"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45" s="63"/>
      <c r="U45" s="63" t="s">
        <v>580</v>
      </c>
      <c r="V45" s="63" t="s">
        <v>562</v>
      </c>
      <c r="W45" s="63"/>
      <c r="X45" s="63"/>
    </row>
    <row r="46" spans="1:24" ht="24.75" customHeight="1">
      <c r="A46" s="52">
        <v>46128</v>
      </c>
      <c r="B46" s="53">
        <v>143157</v>
      </c>
      <c r="C46" s="53" t="s">
        <v>571</v>
      </c>
      <c r="D46" s="54">
        <v>0.20833333333333334</v>
      </c>
      <c r="E46" s="54">
        <v>0.41666666666666669</v>
      </c>
      <c r="F46" s="53">
        <v>200</v>
      </c>
      <c r="G46" s="53">
        <v>31</v>
      </c>
      <c r="H46" s="55">
        <f>tbl_Weld[[#This Row],[Qty Complete]]/tbl_Weld[[#This Row],[Qty Required]]</f>
        <v>0.155</v>
      </c>
      <c r="I46" s="56">
        <v>8</v>
      </c>
      <c r="J46" s="53">
        <v>1</v>
      </c>
      <c r="K46" s="57">
        <f>IFERROR(tbl_Weld[[#This Row],[Qty Required]]/tbl_Weld[[#This Row],[PPH]]*tbl_Weld[[#This Row],['# of men]],"")</f>
        <v>25</v>
      </c>
      <c r="L46" s="58">
        <f>tbl_Weld[[#This Row],[Total hours]]*tbl_Weld[[#This Row],[% Complete]]</f>
        <v>3.875</v>
      </c>
      <c r="M46" s="59">
        <f>IFERROR(tbl_Weld[[#This Row],[Qty Complete]]/tbl_Weld[[#This Row],[Total Hours Act]]*tbl_Weld[[#This Row],['# of men Act]],"")</f>
        <v>6.2</v>
      </c>
      <c r="N46" s="53">
        <v>1</v>
      </c>
      <c r="O46"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5</v>
      </c>
      <c r="R46" s="72">
        <f>IFERROR((tbl_Weld[[#This Row],[Adj. Total Hours]]+tbl_Weld[[#This Row],[Est. Hours]])/(tbl_Weld[[#This Row],[Total Hours Act]]+tbl_Weld[[#This Row],[Act. Hours]]),"")</f>
        <v>0.77500000000000002</v>
      </c>
      <c r="S46" s="76">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0.58750000000000002</v>
      </c>
      <c r="T46" s="63"/>
      <c r="U46" s="63" t="s">
        <v>601</v>
      </c>
      <c r="V46" s="63"/>
      <c r="W46" s="63"/>
      <c r="X46" s="63"/>
    </row>
    <row r="47" spans="1:24" ht="24.75" customHeight="1">
      <c r="A47" s="52">
        <v>46128</v>
      </c>
      <c r="B47" s="53" t="s">
        <v>750</v>
      </c>
      <c r="C47" s="53" t="s">
        <v>751</v>
      </c>
      <c r="D47" s="54">
        <v>0.375</v>
      </c>
      <c r="E47" s="54">
        <v>0.6875</v>
      </c>
      <c r="F47" s="53">
        <v>6</v>
      </c>
      <c r="G47" s="53">
        <v>6</v>
      </c>
      <c r="H47" s="55">
        <f>tbl_Weld[[#This Row],[Qty Complete]]/tbl_Weld[[#This Row],[Qty Required]]</f>
        <v>1</v>
      </c>
      <c r="I47" s="56">
        <v>1.6666669999999999</v>
      </c>
      <c r="J47" s="53">
        <v>1</v>
      </c>
      <c r="K47" s="57">
        <f>IFERROR(tbl_Weld[[#This Row],[Qty Required]]/tbl_Weld[[#This Row],[PPH]]*tbl_Weld[[#This Row],['# of men]],"")</f>
        <v>3.5999992800001444</v>
      </c>
      <c r="L47" s="58">
        <f>tbl_Weld[[#This Row],[Total hours]]*tbl_Weld[[#This Row],[% Complete]]</f>
        <v>3.5999992800001444</v>
      </c>
      <c r="M47" s="59">
        <f>IFERROR(tbl_Weld[[#This Row],[Qty Complete]]/tbl_Weld[[#This Row],[Total Hours Act]]*tbl_Weld[[#This Row],['# of men Act]],"")</f>
        <v>0.8571428571428571</v>
      </c>
      <c r="N47" s="53">
        <v>2</v>
      </c>
      <c r="O47"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14</v>
      </c>
      <c r="R47" s="72">
        <f>IFERROR((tbl_Weld[[#This Row],[Adj. Total Hours]]+tbl_Weld[[#This Row],[Est. Hours]])/(tbl_Weld[[#This Row],[Total Hours Act]]+tbl_Weld[[#This Row],[Act. Hours]]),"")</f>
        <v>0.25714280571429604</v>
      </c>
      <c r="S47" s="76">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0.25714280571429604</v>
      </c>
      <c r="T47" s="63" t="s">
        <v>752</v>
      </c>
      <c r="U47" s="63" t="s">
        <v>616</v>
      </c>
      <c r="V47" s="63" t="s">
        <v>595</v>
      </c>
      <c r="W47" s="63"/>
      <c r="X47" s="63"/>
    </row>
    <row r="48" spans="1:24" ht="24.75" customHeight="1">
      <c r="F48" s="53"/>
      <c r="H48" s="55" t="e">
        <f>tbl_Weld[[#This Row],[Qty Complete]]/tbl_Weld[[#This Row],[Qty Required]]</f>
        <v>#DIV/0!</v>
      </c>
      <c r="K48" s="57" t="str">
        <f>IFERROR(tbl_Weld[[#This Row],[Qty Required]]/tbl_Weld[[#This Row],[PPH]]*tbl_Weld[[#This Row],['# of men]],"")</f>
        <v/>
      </c>
      <c r="L48" s="58" t="e">
        <f>tbl_Weld[[#This Row],[Total hours]]*tbl_Weld[[#This Row],[% Complete]]</f>
        <v>#VALUE!</v>
      </c>
      <c r="M48" s="59" t="str">
        <f>IFERROR(tbl_Weld[[#This Row],[Qty Complete]]/tbl_Weld[[#This Row],[Total Hours Act]]*tbl_Weld[[#This Row],['# of men Act]],"")</f>
        <v/>
      </c>
      <c r="O48"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48" s="72" t="str">
        <f>IFERROR((tbl_Weld[[#This Row],[Adj. Total Hours]]+tbl_Weld[[#This Row],[Est. Hours]])/(tbl_Weld[[#This Row],[Total Hours Act]]+tbl_Weld[[#This Row],[Act. Hours]]),"")</f>
        <v/>
      </c>
      <c r="S48"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48" s="63"/>
      <c r="U48" s="63"/>
      <c r="V48" s="63"/>
      <c r="W48" s="63"/>
      <c r="X48" s="63"/>
    </row>
    <row r="49" spans="6:24" ht="24.75" customHeight="1">
      <c r="F49" s="53"/>
      <c r="H49" s="55" t="e">
        <f>tbl_Weld[[#This Row],[Qty Complete]]/tbl_Weld[[#This Row],[Qty Required]]</f>
        <v>#DIV/0!</v>
      </c>
      <c r="K49" s="57" t="str">
        <f>IFERROR(tbl_Weld[[#This Row],[Qty Required]]/tbl_Weld[[#This Row],[PPH]]*tbl_Weld[[#This Row],['# of men]],"")</f>
        <v/>
      </c>
      <c r="L49" s="58" t="e">
        <f>tbl_Weld[[#This Row],[Total hours]]*tbl_Weld[[#This Row],[% Complete]]</f>
        <v>#VALUE!</v>
      </c>
      <c r="M49" s="59" t="str">
        <f>IFERROR(tbl_Weld[[#This Row],[Qty Complete]]/tbl_Weld[[#This Row],[Total Hours Act]]*tbl_Weld[[#This Row],['# of men Act]],"")</f>
        <v/>
      </c>
      <c r="O49"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49" s="72" t="str">
        <f>IFERROR((tbl_Weld[[#This Row],[Adj. Total Hours]]+tbl_Weld[[#This Row],[Est. Hours]])/(tbl_Weld[[#This Row],[Total Hours Act]]+tbl_Weld[[#This Row],[Act. Hours]]),"")</f>
        <v/>
      </c>
      <c r="S49"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49" s="63"/>
      <c r="U49" s="63"/>
      <c r="V49" s="63"/>
      <c r="W49" s="63"/>
      <c r="X49" s="63"/>
    </row>
    <row r="50" spans="6:24" ht="24.75" customHeight="1">
      <c r="F50" s="53"/>
      <c r="H50" s="55" t="e">
        <f>tbl_Weld[[#This Row],[Qty Complete]]/tbl_Weld[[#This Row],[Qty Required]]</f>
        <v>#DIV/0!</v>
      </c>
      <c r="K50" s="57" t="str">
        <f>IFERROR(tbl_Weld[[#This Row],[Qty Required]]/tbl_Weld[[#This Row],[PPH]]*tbl_Weld[[#This Row],['# of men]],"")</f>
        <v/>
      </c>
      <c r="L50" s="58" t="e">
        <f>tbl_Weld[[#This Row],[Total hours]]*tbl_Weld[[#This Row],[% Complete]]</f>
        <v>#VALUE!</v>
      </c>
      <c r="M50" s="59" t="str">
        <f>IFERROR(tbl_Weld[[#This Row],[Qty Complete]]/tbl_Weld[[#This Row],[Total Hours Act]]*tbl_Weld[[#This Row],['# of men Act]],"")</f>
        <v/>
      </c>
      <c r="O50"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50" s="72" t="str">
        <f>IFERROR((tbl_Weld[[#This Row],[Adj. Total Hours]]+tbl_Weld[[#This Row],[Est. Hours]])/(tbl_Weld[[#This Row],[Total Hours Act]]+tbl_Weld[[#This Row],[Act. Hours]]),"")</f>
        <v/>
      </c>
      <c r="S50"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50" s="63"/>
      <c r="U50" s="63"/>
      <c r="V50" s="63"/>
      <c r="W50" s="63"/>
      <c r="X50" s="63"/>
    </row>
    <row r="51" spans="6:24" ht="24.75" customHeight="1">
      <c r="F51" s="53"/>
      <c r="H51" s="55" t="e">
        <f>tbl_Weld[[#This Row],[Qty Complete]]/tbl_Weld[[#This Row],[Qty Required]]</f>
        <v>#DIV/0!</v>
      </c>
      <c r="K51" s="57" t="str">
        <f>IFERROR(tbl_Weld[[#This Row],[Qty Required]]/tbl_Weld[[#This Row],[PPH]]*tbl_Weld[[#This Row],['# of men]],"")</f>
        <v/>
      </c>
      <c r="L51" s="58" t="e">
        <f>tbl_Weld[[#This Row],[Total hours]]*tbl_Weld[[#This Row],[% Complete]]</f>
        <v>#VALUE!</v>
      </c>
      <c r="M51" s="59" t="str">
        <f>IFERROR(tbl_Weld[[#This Row],[Qty Complete]]/tbl_Weld[[#This Row],[Total Hours Act]]*tbl_Weld[[#This Row],['# of men Act]],"")</f>
        <v/>
      </c>
      <c r="O51"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51" s="72" t="str">
        <f>IFERROR((tbl_Weld[[#This Row],[Adj. Total Hours]]+tbl_Weld[[#This Row],[Est. Hours]])/(tbl_Weld[[#This Row],[Total Hours Act]]+tbl_Weld[[#This Row],[Act. Hours]]),"")</f>
        <v/>
      </c>
      <c r="S51"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51" s="63"/>
      <c r="U51" s="63"/>
      <c r="V51" s="63"/>
      <c r="W51" s="63"/>
      <c r="X51" s="63"/>
    </row>
    <row r="52" spans="6:24" ht="24.75" customHeight="1">
      <c r="F52" s="53"/>
      <c r="H52" s="55" t="e">
        <f>tbl_Weld[[#This Row],[Qty Complete]]/tbl_Weld[[#This Row],[Qty Required]]</f>
        <v>#DIV/0!</v>
      </c>
      <c r="K52" s="57" t="str">
        <f>IFERROR(tbl_Weld[[#This Row],[Qty Required]]/tbl_Weld[[#This Row],[PPH]]*tbl_Weld[[#This Row],['# of men]],"")</f>
        <v/>
      </c>
      <c r="L52" s="58" t="e">
        <f>tbl_Weld[[#This Row],[Total hours]]*tbl_Weld[[#This Row],[% Complete]]</f>
        <v>#VALUE!</v>
      </c>
      <c r="M52" s="59" t="str">
        <f>IFERROR(tbl_Weld[[#This Row],[Qty Complete]]/tbl_Weld[[#This Row],[Total Hours Act]]*tbl_Weld[[#This Row],['# of men Act]],"")</f>
        <v/>
      </c>
      <c r="O52"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52" s="72" t="str">
        <f>IFERROR((tbl_Weld[[#This Row],[Adj. Total Hours]]+tbl_Weld[[#This Row],[Est. Hours]])/(tbl_Weld[[#This Row],[Total Hours Act]]+tbl_Weld[[#This Row],[Act. Hours]]),"")</f>
        <v/>
      </c>
      <c r="S52"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52" s="63"/>
      <c r="U52" s="63"/>
      <c r="V52" s="63"/>
      <c r="W52" s="63"/>
      <c r="X52" s="63"/>
    </row>
    <row r="53" spans="6:24" ht="24.75" customHeight="1">
      <c r="F53" s="53"/>
      <c r="H53" s="55" t="e">
        <f>tbl_Weld[[#This Row],[Qty Complete]]/tbl_Weld[[#This Row],[Qty Required]]</f>
        <v>#DIV/0!</v>
      </c>
      <c r="K53" s="57" t="str">
        <f>IFERROR(tbl_Weld[[#This Row],[Qty Required]]/tbl_Weld[[#This Row],[PPH]]*tbl_Weld[[#This Row],['# of men]],"")</f>
        <v/>
      </c>
      <c r="L53" s="58" t="e">
        <f>tbl_Weld[[#This Row],[Total hours]]*tbl_Weld[[#This Row],[% Complete]]</f>
        <v>#VALUE!</v>
      </c>
      <c r="M53" s="59" t="str">
        <f>IFERROR(tbl_Weld[[#This Row],[Qty Complete]]/tbl_Weld[[#This Row],[Total Hours Act]]*tbl_Weld[[#This Row],['# of men Act]],"")</f>
        <v/>
      </c>
      <c r="O53"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53" s="72" t="str">
        <f>IFERROR((tbl_Weld[[#This Row],[Adj. Total Hours]]+tbl_Weld[[#This Row],[Est. Hours]])/(tbl_Weld[[#This Row],[Total Hours Act]]+tbl_Weld[[#This Row],[Act. Hours]]),"")</f>
        <v/>
      </c>
      <c r="S53"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53" s="63"/>
      <c r="U53" s="63"/>
      <c r="V53" s="63"/>
      <c r="W53" s="63"/>
      <c r="X53" s="63"/>
    </row>
    <row r="54" spans="6:24" ht="24.75" customHeight="1">
      <c r="F54" s="53"/>
      <c r="H54" s="55" t="e">
        <f>tbl_Weld[[#This Row],[Qty Complete]]/tbl_Weld[[#This Row],[Qty Required]]</f>
        <v>#DIV/0!</v>
      </c>
      <c r="K54" s="57" t="str">
        <f>IFERROR(tbl_Weld[[#This Row],[Qty Required]]/tbl_Weld[[#This Row],[PPH]]*tbl_Weld[[#This Row],['# of men]],"")</f>
        <v/>
      </c>
      <c r="L54" s="58" t="e">
        <f>tbl_Weld[[#This Row],[Total hours]]*tbl_Weld[[#This Row],[% Complete]]</f>
        <v>#VALUE!</v>
      </c>
      <c r="M54" s="59" t="str">
        <f>IFERROR(tbl_Weld[[#This Row],[Qty Complete]]/tbl_Weld[[#This Row],[Total Hours Act]]*tbl_Weld[[#This Row],['# of men Act]],"")</f>
        <v/>
      </c>
      <c r="O54"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54" s="72" t="str">
        <f>IFERROR((tbl_Weld[[#This Row],[Adj. Total Hours]]+tbl_Weld[[#This Row],[Est. Hours]])/(tbl_Weld[[#This Row],[Total Hours Act]]+tbl_Weld[[#This Row],[Act. Hours]]),"")</f>
        <v/>
      </c>
      <c r="S54"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54" s="63"/>
      <c r="U54" s="63"/>
      <c r="V54" s="63"/>
      <c r="W54" s="63"/>
      <c r="X54" s="63"/>
    </row>
    <row r="55" spans="6:24" ht="24.75" customHeight="1">
      <c r="F55" s="53"/>
      <c r="H55" s="55" t="e">
        <f>tbl_Weld[[#This Row],[Qty Complete]]/tbl_Weld[[#This Row],[Qty Required]]</f>
        <v>#DIV/0!</v>
      </c>
      <c r="K55" s="57" t="str">
        <f>IFERROR(tbl_Weld[[#This Row],[Qty Required]]/tbl_Weld[[#This Row],[PPH]]*tbl_Weld[[#This Row],['# of men]],"")</f>
        <v/>
      </c>
      <c r="L55" s="58" t="e">
        <f>tbl_Weld[[#This Row],[Total hours]]*tbl_Weld[[#This Row],[% Complete]]</f>
        <v>#VALUE!</v>
      </c>
      <c r="M55" s="59" t="str">
        <f>IFERROR(tbl_Weld[[#This Row],[Qty Complete]]/tbl_Weld[[#This Row],[Total Hours Act]]*tbl_Weld[[#This Row],['# of men Act]],"")</f>
        <v/>
      </c>
      <c r="O55"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55" s="72" t="str">
        <f>IFERROR((tbl_Weld[[#This Row],[Adj. Total Hours]]+tbl_Weld[[#This Row],[Est. Hours]])/(tbl_Weld[[#This Row],[Total Hours Act]]+tbl_Weld[[#This Row],[Act. Hours]]),"")</f>
        <v/>
      </c>
      <c r="S55"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55" s="63"/>
      <c r="U55" s="63"/>
      <c r="V55" s="63"/>
      <c r="W55" s="63"/>
      <c r="X55" s="63"/>
    </row>
    <row r="56" spans="6:24" ht="24.75" customHeight="1">
      <c r="F56" s="53"/>
      <c r="H56" s="55" t="e">
        <f>tbl_Weld[[#This Row],[Qty Complete]]/tbl_Weld[[#This Row],[Qty Required]]</f>
        <v>#DIV/0!</v>
      </c>
      <c r="K56" s="57" t="str">
        <f>IFERROR(tbl_Weld[[#This Row],[Qty Required]]/tbl_Weld[[#This Row],[PPH]]*tbl_Weld[[#This Row],['# of men]],"")</f>
        <v/>
      </c>
      <c r="L56" s="58" t="e">
        <f>tbl_Weld[[#This Row],[Total hours]]*tbl_Weld[[#This Row],[% Complete]]</f>
        <v>#VALUE!</v>
      </c>
      <c r="M56" s="59" t="str">
        <f>IFERROR(tbl_Weld[[#This Row],[Qty Complete]]/tbl_Weld[[#This Row],[Total Hours Act]]*tbl_Weld[[#This Row],['# of men Act]],"")</f>
        <v/>
      </c>
      <c r="O56"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56" s="72" t="str">
        <f>IFERROR((tbl_Weld[[#This Row],[Adj. Total Hours]]+tbl_Weld[[#This Row],[Est. Hours]])/(tbl_Weld[[#This Row],[Total Hours Act]]+tbl_Weld[[#This Row],[Act. Hours]]),"")</f>
        <v/>
      </c>
      <c r="S56"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56" s="63"/>
      <c r="U56" s="63"/>
      <c r="V56" s="63"/>
      <c r="W56" s="63"/>
      <c r="X56" s="63"/>
    </row>
    <row r="57" spans="6:24" ht="24.75" customHeight="1">
      <c r="F57" s="53"/>
      <c r="H57" s="55" t="e">
        <f>tbl_Weld[[#This Row],[Qty Complete]]/tbl_Weld[[#This Row],[Qty Required]]</f>
        <v>#DIV/0!</v>
      </c>
      <c r="K57" s="57" t="str">
        <f>IFERROR(tbl_Weld[[#This Row],[Qty Required]]/tbl_Weld[[#This Row],[PPH]]*tbl_Weld[[#This Row],['# of men]],"")</f>
        <v/>
      </c>
      <c r="L57" s="58" t="e">
        <f>tbl_Weld[[#This Row],[Total hours]]*tbl_Weld[[#This Row],[% Complete]]</f>
        <v>#VALUE!</v>
      </c>
      <c r="M57" s="59" t="str">
        <f>IFERROR(tbl_Weld[[#This Row],[Qty Complete]]/tbl_Weld[[#This Row],[Total Hours Act]]*tbl_Weld[[#This Row],['# of men Act]],"")</f>
        <v/>
      </c>
      <c r="O57"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57" s="72" t="str">
        <f>IFERROR((tbl_Weld[[#This Row],[Adj. Total Hours]]+tbl_Weld[[#This Row],[Est. Hours]])/(tbl_Weld[[#This Row],[Total Hours Act]]+tbl_Weld[[#This Row],[Act. Hours]]),"")</f>
        <v/>
      </c>
      <c r="S57"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57" s="63"/>
      <c r="U57" s="63"/>
      <c r="V57" s="63"/>
      <c r="W57" s="63"/>
      <c r="X57" s="63"/>
    </row>
    <row r="58" spans="6:24" ht="24.75" customHeight="1">
      <c r="F58" s="53"/>
      <c r="H58" s="55" t="e">
        <f>tbl_Weld[[#This Row],[Qty Complete]]/tbl_Weld[[#This Row],[Qty Required]]</f>
        <v>#DIV/0!</v>
      </c>
      <c r="K58" s="57" t="str">
        <f>IFERROR(tbl_Weld[[#This Row],[Qty Required]]/tbl_Weld[[#This Row],[PPH]]*tbl_Weld[[#This Row],['# of men]],"")</f>
        <v/>
      </c>
      <c r="L58" s="58" t="e">
        <f>tbl_Weld[[#This Row],[Total hours]]*tbl_Weld[[#This Row],[% Complete]]</f>
        <v>#VALUE!</v>
      </c>
      <c r="M58" s="59" t="str">
        <f>IFERROR(tbl_Weld[[#This Row],[Qty Complete]]/tbl_Weld[[#This Row],[Total Hours Act]]*tbl_Weld[[#This Row],['# of men Act]],"")</f>
        <v/>
      </c>
      <c r="O58"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58" s="72" t="str">
        <f>IFERROR((tbl_Weld[[#This Row],[Adj. Total Hours]]+tbl_Weld[[#This Row],[Est. Hours]])/(tbl_Weld[[#This Row],[Total Hours Act]]+tbl_Weld[[#This Row],[Act. Hours]]),"")</f>
        <v/>
      </c>
      <c r="S58"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58" s="63"/>
      <c r="U58" s="63"/>
      <c r="V58" s="63"/>
      <c r="W58" s="63"/>
      <c r="X58" s="63"/>
    </row>
    <row r="59" spans="6:24" ht="24.75" customHeight="1">
      <c r="F59" s="53"/>
      <c r="H59" s="55" t="e">
        <f>tbl_Weld[[#This Row],[Qty Complete]]/tbl_Weld[[#This Row],[Qty Required]]</f>
        <v>#DIV/0!</v>
      </c>
      <c r="K59" s="57" t="str">
        <f>IFERROR(tbl_Weld[[#This Row],[Qty Required]]/tbl_Weld[[#This Row],[PPH]]*tbl_Weld[[#This Row],['# of men]],"")</f>
        <v/>
      </c>
      <c r="L59" s="58" t="e">
        <f>tbl_Weld[[#This Row],[Total hours]]*tbl_Weld[[#This Row],[% Complete]]</f>
        <v>#VALUE!</v>
      </c>
      <c r="M59" s="59" t="str">
        <f>IFERROR(tbl_Weld[[#This Row],[Qty Complete]]/tbl_Weld[[#This Row],[Total Hours Act]]*tbl_Weld[[#This Row],['# of men Act]],"")</f>
        <v/>
      </c>
      <c r="O59"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59" s="72" t="str">
        <f>IFERROR((tbl_Weld[[#This Row],[Adj. Total Hours]]+tbl_Weld[[#This Row],[Est. Hours]])/(tbl_Weld[[#This Row],[Total Hours Act]]+tbl_Weld[[#This Row],[Act. Hours]]),"")</f>
        <v/>
      </c>
      <c r="S59"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59" s="63"/>
      <c r="U59" s="63"/>
      <c r="V59" s="63"/>
      <c r="W59" s="63"/>
      <c r="X59" s="63"/>
    </row>
    <row r="60" spans="6:24" ht="24.75" customHeight="1">
      <c r="F60" s="53"/>
      <c r="H60" s="55" t="e">
        <f>tbl_Weld[[#This Row],[Qty Complete]]/tbl_Weld[[#This Row],[Qty Required]]</f>
        <v>#DIV/0!</v>
      </c>
      <c r="K60" s="57" t="str">
        <f>IFERROR(tbl_Weld[[#This Row],[Qty Required]]/tbl_Weld[[#This Row],[PPH]]*tbl_Weld[[#This Row],['# of men]],"")</f>
        <v/>
      </c>
      <c r="L60" s="58" t="e">
        <f>tbl_Weld[[#This Row],[Total hours]]*tbl_Weld[[#This Row],[% Complete]]</f>
        <v>#VALUE!</v>
      </c>
      <c r="M60" s="59" t="str">
        <f>IFERROR(tbl_Weld[[#This Row],[Qty Complete]]/tbl_Weld[[#This Row],[Total Hours Act]]*tbl_Weld[[#This Row],['# of men Act]],"")</f>
        <v/>
      </c>
      <c r="O60"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60" s="72" t="str">
        <f>IFERROR((tbl_Weld[[#This Row],[Adj. Total Hours]]+tbl_Weld[[#This Row],[Est. Hours]])/(tbl_Weld[[#This Row],[Total Hours Act]]+tbl_Weld[[#This Row],[Act. Hours]]),"")</f>
        <v/>
      </c>
      <c r="S60"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60" s="63"/>
      <c r="U60" s="63"/>
      <c r="V60" s="63"/>
      <c r="W60" s="63"/>
      <c r="X60" s="63"/>
    </row>
    <row r="61" spans="6:24" ht="24.75" customHeight="1">
      <c r="F61" s="53"/>
      <c r="H61" s="55" t="e">
        <f>tbl_Weld[[#This Row],[Qty Complete]]/tbl_Weld[[#This Row],[Qty Required]]</f>
        <v>#DIV/0!</v>
      </c>
      <c r="K61" s="57" t="str">
        <f>IFERROR(tbl_Weld[[#This Row],[Qty Required]]/tbl_Weld[[#This Row],[PPH]]*tbl_Weld[[#This Row],['# of men]],"")</f>
        <v/>
      </c>
      <c r="L61" s="58" t="e">
        <f>tbl_Weld[[#This Row],[Total hours]]*tbl_Weld[[#This Row],[% Complete]]</f>
        <v>#VALUE!</v>
      </c>
      <c r="M61" s="59" t="str">
        <f>IFERROR(tbl_Weld[[#This Row],[Qty Complete]]/tbl_Weld[[#This Row],[Total Hours Act]]*tbl_Weld[[#This Row],['# of men Act]],"")</f>
        <v/>
      </c>
      <c r="O61"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61" s="72" t="str">
        <f>IFERROR((tbl_Weld[[#This Row],[Adj. Total Hours]]+tbl_Weld[[#This Row],[Est. Hours]])/(tbl_Weld[[#This Row],[Total Hours Act]]+tbl_Weld[[#This Row],[Act. Hours]]),"")</f>
        <v/>
      </c>
      <c r="S61"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61" s="63"/>
      <c r="U61" s="63"/>
      <c r="V61" s="63"/>
      <c r="W61" s="63"/>
      <c r="X61" s="63"/>
    </row>
    <row r="62" spans="6:24" ht="24.75" customHeight="1">
      <c r="F62" s="53"/>
      <c r="H62" s="55" t="e">
        <f>tbl_Weld[[#This Row],[Qty Complete]]/tbl_Weld[[#This Row],[Qty Required]]</f>
        <v>#DIV/0!</v>
      </c>
      <c r="K62" s="57" t="str">
        <f>IFERROR(tbl_Weld[[#This Row],[Qty Required]]/tbl_Weld[[#This Row],[PPH]]*tbl_Weld[[#This Row],['# of men]],"")</f>
        <v/>
      </c>
      <c r="L62" s="58" t="e">
        <f>tbl_Weld[[#This Row],[Total hours]]*tbl_Weld[[#This Row],[% Complete]]</f>
        <v>#VALUE!</v>
      </c>
      <c r="M62" s="59" t="str">
        <f>IFERROR(tbl_Weld[[#This Row],[Qty Complete]]/tbl_Weld[[#This Row],[Total Hours Act]]*tbl_Weld[[#This Row],['# of men Act]],"")</f>
        <v/>
      </c>
      <c r="O62"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62" s="72" t="str">
        <f>IFERROR((tbl_Weld[[#This Row],[Adj. Total Hours]]+tbl_Weld[[#This Row],[Est. Hours]])/(tbl_Weld[[#This Row],[Total Hours Act]]+tbl_Weld[[#This Row],[Act. Hours]]),"")</f>
        <v/>
      </c>
      <c r="S62"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62" s="63"/>
      <c r="U62" s="63"/>
      <c r="V62" s="63"/>
      <c r="W62" s="63"/>
      <c r="X62" s="63"/>
    </row>
    <row r="63" spans="6:24" ht="24.75" customHeight="1">
      <c r="F63" s="53"/>
      <c r="H63" s="55" t="e">
        <f>tbl_Weld[[#This Row],[Qty Complete]]/tbl_Weld[[#This Row],[Qty Required]]</f>
        <v>#DIV/0!</v>
      </c>
      <c r="K63" s="57" t="str">
        <f>IFERROR(tbl_Weld[[#This Row],[Qty Required]]/tbl_Weld[[#This Row],[PPH]]*tbl_Weld[[#This Row],['# of men]],"")</f>
        <v/>
      </c>
      <c r="L63" s="58" t="e">
        <f>tbl_Weld[[#This Row],[Total hours]]*tbl_Weld[[#This Row],[% Complete]]</f>
        <v>#VALUE!</v>
      </c>
      <c r="M63" s="59" t="str">
        <f>IFERROR(tbl_Weld[[#This Row],[Qty Complete]]/tbl_Weld[[#This Row],[Total Hours Act]]*tbl_Weld[[#This Row],['# of men Act]],"")</f>
        <v/>
      </c>
      <c r="O63"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63" s="72" t="str">
        <f>IFERROR((tbl_Weld[[#This Row],[Adj. Total Hours]]+tbl_Weld[[#This Row],[Est. Hours]])/(tbl_Weld[[#This Row],[Total Hours Act]]+tbl_Weld[[#This Row],[Act. Hours]]),"")</f>
        <v/>
      </c>
      <c r="S63"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63" s="63"/>
      <c r="U63" s="63"/>
      <c r="V63" s="63"/>
      <c r="W63" s="63"/>
      <c r="X63" s="63"/>
    </row>
    <row r="64" spans="6:24" ht="24.75" customHeight="1">
      <c r="F64" s="53"/>
      <c r="H64" s="55" t="e">
        <f>tbl_Weld[[#This Row],[Qty Complete]]/tbl_Weld[[#This Row],[Qty Required]]</f>
        <v>#DIV/0!</v>
      </c>
      <c r="K64" s="57" t="str">
        <f>IFERROR(tbl_Weld[[#This Row],[Qty Required]]/tbl_Weld[[#This Row],[PPH]]*tbl_Weld[[#This Row],['# of men]],"")</f>
        <v/>
      </c>
      <c r="L64" s="58" t="e">
        <f>tbl_Weld[[#This Row],[Total hours]]*tbl_Weld[[#This Row],[% Complete]]</f>
        <v>#VALUE!</v>
      </c>
      <c r="M64" s="59" t="str">
        <f>IFERROR(tbl_Weld[[#This Row],[Qty Complete]]/tbl_Weld[[#This Row],[Total Hours Act]]*tbl_Weld[[#This Row],['# of men Act]],"")</f>
        <v/>
      </c>
      <c r="O64"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64" s="72" t="str">
        <f>IFERROR((tbl_Weld[[#This Row],[Adj. Total Hours]]+tbl_Weld[[#This Row],[Est. Hours]])/(tbl_Weld[[#This Row],[Total Hours Act]]+tbl_Weld[[#This Row],[Act. Hours]]),"")</f>
        <v/>
      </c>
      <c r="S64"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64" s="63"/>
      <c r="U64" s="63"/>
      <c r="V64" s="63"/>
      <c r="W64" s="63"/>
      <c r="X64" s="63"/>
    </row>
    <row r="65" spans="6:24" ht="24.75" customHeight="1">
      <c r="F65" s="53"/>
      <c r="H65" s="55" t="e">
        <f>tbl_Weld[[#This Row],[Qty Complete]]/tbl_Weld[[#This Row],[Qty Required]]</f>
        <v>#DIV/0!</v>
      </c>
      <c r="K65" s="57" t="str">
        <f>IFERROR(tbl_Weld[[#This Row],[Qty Required]]/tbl_Weld[[#This Row],[PPH]]*tbl_Weld[[#This Row],['# of men]],"")</f>
        <v/>
      </c>
      <c r="L65" s="58" t="e">
        <f>tbl_Weld[[#This Row],[Total hours]]*tbl_Weld[[#This Row],[% Complete]]</f>
        <v>#VALUE!</v>
      </c>
      <c r="M65" s="59" t="str">
        <f>IFERROR(tbl_Weld[[#This Row],[Qty Complete]]/tbl_Weld[[#This Row],[Total Hours Act]]*tbl_Weld[[#This Row],['# of men Act]],"")</f>
        <v/>
      </c>
      <c r="O65"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65" s="72" t="str">
        <f>IFERROR((tbl_Weld[[#This Row],[Adj. Total Hours]]+tbl_Weld[[#This Row],[Est. Hours]])/(tbl_Weld[[#This Row],[Total Hours Act]]+tbl_Weld[[#This Row],[Act. Hours]]),"")</f>
        <v/>
      </c>
      <c r="S65"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65" s="63"/>
      <c r="U65" s="63"/>
      <c r="V65" s="63"/>
      <c r="W65" s="63"/>
      <c r="X65" s="63"/>
    </row>
    <row r="66" spans="6:24" ht="24.75" customHeight="1">
      <c r="F66" s="53"/>
      <c r="H66" s="55" t="e">
        <f>tbl_Weld[[#This Row],[Qty Complete]]/tbl_Weld[[#This Row],[Qty Required]]</f>
        <v>#DIV/0!</v>
      </c>
      <c r="K66" s="57" t="str">
        <f>IFERROR(tbl_Weld[[#This Row],[Qty Required]]/tbl_Weld[[#This Row],[PPH]]*tbl_Weld[[#This Row],['# of men]],"")</f>
        <v/>
      </c>
      <c r="L66" s="58" t="e">
        <f>tbl_Weld[[#This Row],[Total hours]]*tbl_Weld[[#This Row],[% Complete]]</f>
        <v>#VALUE!</v>
      </c>
      <c r="M66" s="59" t="str">
        <f>IFERROR(tbl_Weld[[#This Row],[Qty Complete]]/tbl_Weld[[#This Row],[Total Hours Act]]*tbl_Weld[[#This Row],['# of men Act]],"")</f>
        <v/>
      </c>
      <c r="O66"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66" s="72" t="str">
        <f>IFERROR((tbl_Weld[[#This Row],[Adj. Total Hours]]+tbl_Weld[[#This Row],[Est. Hours]])/(tbl_Weld[[#This Row],[Total Hours Act]]+tbl_Weld[[#This Row],[Act. Hours]]),"")</f>
        <v/>
      </c>
      <c r="S66"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66" s="63"/>
      <c r="U66" s="63"/>
      <c r="V66" s="63"/>
      <c r="W66" s="63"/>
      <c r="X66" s="63"/>
    </row>
    <row r="67" spans="6:24" ht="24.75" customHeight="1">
      <c r="F67" s="53"/>
      <c r="H67" s="55" t="e">
        <f>tbl_Weld[[#This Row],[Qty Complete]]/tbl_Weld[[#This Row],[Qty Required]]</f>
        <v>#DIV/0!</v>
      </c>
      <c r="K67" s="57" t="str">
        <f>IFERROR(tbl_Weld[[#This Row],[Qty Required]]/tbl_Weld[[#This Row],[PPH]]*tbl_Weld[[#This Row],['# of men]],"")</f>
        <v/>
      </c>
      <c r="L67" s="58" t="e">
        <f>tbl_Weld[[#This Row],[Total hours]]*tbl_Weld[[#This Row],[% Complete]]</f>
        <v>#VALUE!</v>
      </c>
      <c r="M67" s="59" t="str">
        <f>IFERROR(tbl_Weld[[#This Row],[Qty Complete]]/tbl_Weld[[#This Row],[Total Hours Act]]*tbl_Weld[[#This Row],['# of men Act]],"")</f>
        <v/>
      </c>
      <c r="O67"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67" s="72" t="str">
        <f>IFERROR((tbl_Weld[[#This Row],[Adj. Total Hours]]+tbl_Weld[[#This Row],[Est. Hours]])/(tbl_Weld[[#This Row],[Total Hours Act]]+tbl_Weld[[#This Row],[Act. Hours]]),"")</f>
        <v/>
      </c>
      <c r="S67"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67" s="63"/>
      <c r="U67" s="63"/>
      <c r="V67" s="63"/>
      <c r="W67" s="63"/>
      <c r="X67" s="63"/>
    </row>
    <row r="68" spans="6:24" ht="24.75" customHeight="1">
      <c r="F68" s="53"/>
      <c r="H68" s="55" t="e">
        <f>tbl_Weld[[#This Row],[Qty Complete]]/tbl_Weld[[#This Row],[Qty Required]]</f>
        <v>#DIV/0!</v>
      </c>
      <c r="K68" s="57" t="str">
        <f>IFERROR(tbl_Weld[[#This Row],[Qty Required]]/tbl_Weld[[#This Row],[PPH]]*tbl_Weld[[#This Row],['# of men]],"")</f>
        <v/>
      </c>
      <c r="L68" s="58" t="e">
        <f>tbl_Weld[[#This Row],[Total hours]]*tbl_Weld[[#This Row],[% Complete]]</f>
        <v>#VALUE!</v>
      </c>
      <c r="M68" s="59" t="str">
        <f>IFERROR(tbl_Weld[[#This Row],[Qty Complete]]/tbl_Weld[[#This Row],[Total Hours Act]]*tbl_Weld[[#This Row],['# of men Act]],"")</f>
        <v/>
      </c>
      <c r="O68"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68" s="72" t="str">
        <f>IFERROR((tbl_Weld[[#This Row],[Adj. Total Hours]]+tbl_Weld[[#This Row],[Est. Hours]])/(tbl_Weld[[#This Row],[Total Hours Act]]+tbl_Weld[[#This Row],[Act. Hours]]),"")</f>
        <v/>
      </c>
      <c r="S68"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68" s="63"/>
      <c r="U68" s="63"/>
      <c r="V68" s="63"/>
      <c r="W68" s="63"/>
      <c r="X68" s="63"/>
    </row>
    <row r="69" spans="6:24" ht="24.75" customHeight="1">
      <c r="F69" s="53"/>
      <c r="H69" s="55" t="e">
        <f>tbl_Weld[[#This Row],[Qty Complete]]/tbl_Weld[[#This Row],[Qty Required]]</f>
        <v>#DIV/0!</v>
      </c>
      <c r="K69" s="57" t="str">
        <f>IFERROR(tbl_Weld[[#This Row],[Qty Required]]/tbl_Weld[[#This Row],[PPH]]*tbl_Weld[[#This Row],['# of men]],"")</f>
        <v/>
      </c>
      <c r="L69" s="58" t="e">
        <f>tbl_Weld[[#This Row],[Total hours]]*tbl_Weld[[#This Row],[% Complete]]</f>
        <v>#VALUE!</v>
      </c>
      <c r="M69" s="59" t="str">
        <f>IFERROR(tbl_Weld[[#This Row],[Qty Complete]]/tbl_Weld[[#This Row],[Total Hours Act]]*tbl_Weld[[#This Row],['# of men Act]],"")</f>
        <v/>
      </c>
      <c r="O69"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69" s="72" t="str">
        <f>IFERROR((tbl_Weld[[#This Row],[Adj. Total Hours]]+tbl_Weld[[#This Row],[Est. Hours]])/(tbl_Weld[[#This Row],[Total Hours Act]]+tbl_Weld[[#This Row],[Act. Hours]]),"")</f>
        <v/>
      </c>
      <c r="S69"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69" s="63"/>
      <c r="U69" s="63"/>
      <c r="V69" s="63"/>
      <c r="W69" s="63"/>
      <c r="X69" s="63"/>
    </row>
    <row r="70" spans="6:24" ht="24.75" customHeight="1">
      <c r="F70" s="53"/>
      <c r="H70" s="55" t="e">
        <f>tbl_Weld[[#This Row],[Qty Complete]]/tbl_Weld[[#This Row],[Qty Required]]</f>
        <v>#DIV/0!</v>
      </c>
      <c r="K70" s="57" t="str">
        <f>IFERROR(tbl_Weld[[#This Row],[Qty Required]]/tbl_Weld[[#This Row],[PPH]]*tbl_Weld[[#This Row],['# of men]],"")</f>
        <v/>
      </c>
      <c r="L70" s="58" t="e">
        <f>tbl_Weld[[#This Row],[Total hours]]*tbl_Weld[[#This Row],[% Complete]]</f>
        <v>#VALUE!</v>
      </c>
      <c r="M70" s="59" t="str">
        <f>IFERROR(tbl_Weld[[#This Row],[Qty Complete]]/tbl_Weld[[#This Row],[Total Hours Act]]*tbl_Weld[[#This Row],['# of men Act]],"")</f>
        <v/>
      </c>
      <c r="O70"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70" s="72" t="str">
        <f>IFERROR((tbl_Weld[[#This Row],[Adj. Total Hours]]+tbl_Weld[[#This Row],[Est. Hours]])/(tbl_Weld[[#This Row],[Total Hours Act]]+tbl_Weld[[#This Row],[Act. Hours]]),"")</f>
        <v/>
      </c>
      <c r="S70"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70" s="63"/>
      <c r="U70" s="63"/>
      <c r="V70" s="63"/>
      <c r="W70" s="63"/>
      <c r="X70" s="63"/>
    </row>
    <row r="71" spans="6:24" ht="24.75" customHeight="1">
      <c r="F71" s="53"/>
      <c r="H71" s="55" t="e">
        <f>tbl_Weld[[#This Row],[Qty Complete]]/tbl_Weld[[#This Row],[Qty Required]]</f>
        <v>#DIV/0!</v>
      </c>
      <c r="K71" s="57" t="str">
        <f>IFERROR(tbl_Weld[[#This Row],[Qty Required]]/tbl_Weld[[#This Row],[PPH]]*tbl_Weld[[#This Row],['# of men]],"")</f>
        <v/>
      </c>
      <c r="L71" s="58" t="e">
        <f>tbl_Weld[[#This Row],[Total hours]]*tbl_Weld[[#This Row],[% Complete]]</f>
        <v>#VALUE!</v>
      </c>
      <c r="M71" s="59" t="str">
        <f>IFERROR(tbl_Weld[[#This Row],[Qty Complete]]/tbl_Weld[[#This Row],[Total Hours Act]]*tbl_Weld[[#This Row],['# of men Act]],"")</f>
        <v/>
      </c>
      <c r="O71"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71" s="72" t="str">
        <f>IFERROR((tbl_Weld[[#This Row],[Adj. Total Hours]]+tbl_Weld[[#This Row],[Est. Hours]])/(tbl_Weld[[#This Row],[Total Hours Act]]+tbl_Weld[[#This Row],[Act. Hours]]),"")</f>
        <v/>
      </c>
      <c r="S71"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71" s="63"/>
      <c r="U71" s="63"/>
      <c r="V71" s="63"/>
      <c r="W71" s="63"/>
      <c r="X71" s="63"/>
    </row>
    <row r="72" spans="6:24" ht="24.75" customHeight="1">
      <c r="F72" s="53"/>
      <c r="H72" s="55" t="e">
        <f>tbl_Weld[[#This Row],[Qty Complete]]/tbl_Weld[[#This Row],[Qty Required]]</f>
        <v>#DIV/0!</v>
      </c>
      <c r="K72" s="57" t="str">
        <f>IFERROR(tbl_Weld[[#This Row],[Qty Required]]/tbl_Weld[[#This Row],[PPH]]*tbl_Weld[[#This Row],['# of men]],"")</f>
        <v/>
      </c>
      <c r="L72" s="58" t="e">
        <f>tbl_Weld[[#This Row],[Total hours]]*tbl_Weld[[#This Row],[% Complete]]</f>
        <v>#VALUE!</v>
      </c>
      <c r="M72" s="59" t="str">
        <f>IFERROR(tbl_Weld[[#This Row],[Qty Complete]]/tbl_Weld[[#This Row],[Total Hours Act]]*tbl_Weld[[#This Row],['# of men Act]],"")</f>
        <v/>
      </c>
      <c r="O72"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72" s="72" t="str">
        <f>IFERROR((tbl_Weld[[#This Row],[Adj. Total Hours]]+tbl_Weld[[#This Row],[Est. Hours]])/(tbl_Weld[[#This Row],[Total Hours Act]]+tbl_Weld[[#This Row],[Act. Hours]]),"")</f>
        <v/>
      </c>
      <c r="S72"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72" s="63"/>
      <c r="U72" s="63"/>
      <c r="V72" s="63"/>
      <c r="W72" s="63"/>
      <c r="X72" s="63"/>
    </row>
    <row r="73" spans="6:24" ht="24.75" customHeight="1">
      <c r="F73" s="53"/>
      <c r="H73" s="55" t="e">
        <f>tbl_Weld[[#This Row],[Qty Complete]]/tbl_Weld[[#This Row],[Qty Required]]</f>
        <v>#DIV/0!</v>
      </c>
      <c r="K73" s="57" t="str">
        <f>IFERROR(tbl_Weld[[#This Row],[Qty Required]]/tbl_Weld[[#This Row],[PPH]]*tbl_Weld[[#This Row],['# of men]],"")</f>
        <v/>
      </c>
      <c r="L73" s="58" t="e">
        <f>tbl_Weld[[#This Row],[Total hours]]*tbl_Weld[[#This Row],[% Complete]]</f>
        <v>#VALUE!</v>
      </c>
      <c r="M73" s="59" t="str">
        <f>IFERROR(tbl_Weld[[#This Row],[Qty Complete]]/tbl_Weld[[#This Row],[Total Hours Act]]*tbl_Weld[[#This Row],['# of men Act]],"")</f>
        <v/>
      </c>
      <c r="O73"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73" s="72" t="str">
        <f>IFERROR((tbl_Weld[[#This Row],[Adj. Total Hours]]+tbl_Weld[[#This Row],[Est. Hours]])/(tbl_Weld[[#This Row],[Total Hours Act]]+tbl_Weld[[#This Row],[Act. Hours]]),"")</f>
        <v/>
      </c>
      <c r="S73"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73" s="63"/>
      <c r="U73" s="63"/>
      <c r="V73" s="63"/>
      <c r="W73" s="63"/>
      <c r="X73" s="63"/>
    </row>
    <row r="74" spans="6:24" ht="24.75" customHeight="1">
      <c r="F74" s="53"/>
      <c r="H74" s="55" t="e">
        <f>tbl_Weld[[#This Row],[Qty Complete]]/tbl_Weld[[#This Row],[Qty Required]]</f>
        <v>#DIV/0!</v>
      </c>
      <c r="K74" s="57" t="str">
        <f>IFERROR(tbl_Weld[[#This Row],[Qty Required]]/tbl_Weld[[#This Row],[PPH]]*tbl_Weld[[#This Row],['# of men]],"")</f>
        <v/>
      </c>
      <c r="L74" s="58" t="e">
        <f>tbl_Weld[[#This Row],[Total hours]]*tbl_Weld[[#This Row],[% Complete]]</f>
        <v>#VALUE!</v>
      </c>
      <c r="M74" s="59" t="str">
        <f>IFERROR(tbl_Weld[[#This Row],[Qty Complete]]/tbl_Weld[[#This Row],[Total Hours Act]]*tbl_Weld[[#This Row],['# of men Act]],"")</f>
        <v/>
      </c>
      <c r="O74"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74" s="72" t="str">
        <f>IFERROR((tbl_Weld[[#This Row],[Adj. Total Hours]]+tbl_Weld[[#This Row],[Est. Hours]])/(tbl_Weld[[#This Row],[Total Hours Act]]+tbl_Weld[[#This Row],[Act. Hours]]),"")</f>
        <v/>
      </c>
      <c r="S74"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74" s="63"/>
      <c r="U74" s="63"/>
      <c r="V74" s="63"/>
      <c r="W74" s="63"/>
      <c r="X74" s="63"/>
    </row>
    <row r="75" spans="6:24" ht="24.75" customHeight="1">
      <c r="F75" s="53"/>
      <c r="H75" s="55" t="e">
        <f>tbl_Weld[[#This Row],[Qty Complete]]/tbl_Weld[[#This Row],[Qty Required]]</f>
        <v>#DIV/0!</v>
      </c>
      <c r="K75" s="57" t="str">
        <f>IFERROR(tbl_Weld[[#This Row],[Qty Required]]/tbl_Weld[[#This Row],[PPH]]*tbl_Weld[[#This Row],['# of men]],"")</f>
        <v/>
      </c>
      <c r="L75" s="58" t="e">
        <f>tbl_Weld[[#This Row],[Total hours]]*tbl_Weld[[#This Row],[% Complete]]</f>
        <v>#VALUE!</v>
      </c>
      <c r="M75" s="59" t="str">
        <f>IFERROR(tbl_Weld[[#This Row],[Qty Complete]]/tbl_Weld[[#This Row],[Total Hours Act]]*tbl_Weld[[#This Row],['# of men Act]],"")</f>
        <v/>
      </c>
      <c r="O75"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75" s="72" t="str">
        <f>IFERROR((tbl_Weld[[#This Row],[Adj. Total Hours]]+tbl_Weld[[#This Row],[Est. Hours]])/(tbl_Weld[[#This Row],[Total Hours Act]]+tbl_Weld[[#This Row],[Act. Hours]]),"")</f>
        <v/>
      </c>
      <c r="S75"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75" s="63"/>
      <c r="U75" s="63"/>
      <c r="V75" s="63"/>
      <c r="W75" s="63"/>
      <c r="X75" s="63"/>
    </row>
    <row r="76" spans="6:24" ht="24.75" customHeight="1">
      <c r="F76" s="53"/>
      <c r="H76" s="55" t="e">
        <f>tbl_Weld[[#This Row],[Qty Complete]]/tbl_Weld[[#This Row],[Qty Required]]</f>
        <v>#DIV/0!</v>
      </c>
      <c r="K76" s="57" t="str">
        <f>IFERROR(tbl_Weld[[#This Row],[Qty Required]]/tbl_Weld[[#This Row],[PPH]]*tbl_Weld[[#This Row],['# of men]],"")</f>
        <v/>
      </c>
      <c r="L76" s="58" t="e">
        <f>tbl_Weld[[#This Row],[Total hours]]*tbl_Weld[[#This Row],[% Complete]]</f>
        <v>#VALUE!</v>
      </c>
      <c r="M76" s="59" t="str">
        <f>IFERROR(tbl_Weld[[#This Row],[Qty Complete]]/tbl_Weld[[#This Row],[Total Hours Act]]*tbl_Weld[[#This Row],['# of men Act]],"")</f>
        <v/>
      </c>
      <c r="O76"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76" s="72" t="str">
        <f>IFERROR((tbl_Weld[[#This Row],[Adj. Total Hours]]+tbl_Weld[[#This Row],[Est. Hours]])/(tbl_Weld[[#This Row],[Total Hours Act]]+tbl_Weld[[#This Row],[Act. Hours]]),"")</f>
        <v/>
      </c>
      <c r="S76"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76" s="63"/>
      <c r="U76" s="63"/>
      <c r="V76" s="63"/>
      <c r="W76" s="63"/>
      <c r="X76" s="63"/>
    </row>
    <row r="77" spans="6:24" ht="24.75" customHeight="1">
      <c r="F77" s="53"/>
      <c r="H77" s="55" t="e">
        <f>tbl_Weld[[#This Row],[Qty Complete]]/tbl_Weld[[#This Row],[Qty Required]]</f>
        <v>#DIV/0!</v>
      </c>
      <c r="K77" s="57" t="str">
        <f>IFERROR(tbl_Weld[[#This Row],[Qty Required]]/tbl_Weld[[#This Row],[PPH]]*tbl_Weld[[#This Row],['# of men]],"")</f>
        <v/>
      </c>
      <c r="L77" s="58" t="e">
        <f>tbl_Weld[[#This Row],[Total hours]]*tbl_Weld[[#This Row],[% Complete]]</f>
        <v>#VALUE!</v>
      </c>
      <c r="M77" s="59" t="str">
        <f>IFERROR(tbl_Weld[[#This Row],[Qty Complete]]/tbl_Weld[[#This Row],[Total Hours Act]]*tbl_Weld[[#This Row],['# of men Act]],"")</f>
        <v/>
      </c>
      <c r="O77"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77" s="72" t="str">
        <f>IFERROR((tbl_Weld[[#This Row],[Adj. Total Hours]]+tbl_Weld[[#This Row],[Est. Hours]])/(tbl_Weld[[#This Row],[Total Hours Act]]+tbl_Weld[[#This Row],[Act. Hours]]),"")</f>
        <v/>
      </c>
      <c r="S77"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77" s="63"/>
      <c r="U77" s="63"/>
      <c r="V77" s="63"/>
      <c r="W77" s="63"/>
      <c r="X77" s="63"/>
    </row>
    <row r="78" spans="6:24" ht="24.75" customHeight="1">
      <c r="F78" s="53"/>
      <c r="H78" s="55" t="e">
        <f>tbl_Weld[[#This Row],[Qty Complete]]/tbl_Weld[[#This Row],[Qty Required]]</f>
        <v>#DIV/0!</v>
      </c>
      <c r="K78" s="57" t="str">
        <f>IFERROR(tbl_Weld[[#This Row],[Qty Required]]/tbl_Weld[[#This Row],[PPH]]*tbl_Weld[[#This Row],['# of men]],"")</f>
        <v/>
      </c>
      <c r="L78" s="58" t="e">
        <f>tbl_Weld[[#This Row],[Total hours]]*tbl_Weld[[#This Row],[% Complete]]</f>
        <v>#VALUE!</v>
      </c>
      <c r="M78" s="59" t="str">
        <f>IFERROR(tbl_Weld[[#This Row],[Qty Complete]]/tbl_Weld[[#This Row],[Total Hours Act]]*tbl_Weld[[#This Row],['# of men Act]],"")</f>
        <v/>
      </c>
      <c r="O78"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78" s="72" t="str">
        <f>IFERROR((tbl_Weld[[#This Row],[Adj. Total Hours]]+tbl_Weld[[#This Row],[Est. Hours]])/(tbl_Weld[[#This Row],[Total Hours Act]]+tbl_Weld[[#This Row],[Act. Hours]]),"")</f>
        <v/>
      </c>
      <c r="S78"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78" s="63"/>
      <c r="U78" s="63"/>
      <c r="V78" s="63"/>
      <c r="W78" s="63"/>
      <c r="X78" s="63"/>
    </row>
    <row r="79" spans="6:24" ht="24.75" customHeight="1">
      <c r="F79" s="53"/>
      <c r="H79" s="55" t="e">
        <f>tbl_Weld[[#This Row],[Qty Complete]]/tbl_Weld[[#This Row],[Qty Required]]</f>
        <v>#DIV/0!</v>
      </c>
      <c r="K79" s="57" t="str">
        <f>IFERROR(tbl_Weld[[#This Row],[Qty Required]]/tbl_Weld[[#This Row],[PPH]]*tbl_Weld[[#This Row],['# of men]],"")</f>
        <v/>
      </c>
      <c r="L79" s="58" t="e">
        <f>tbl_Weld[[#This Row],[Total hours]]*tbl_Weld[[#This Row],[% Complete]]</f>
        <v>#VALUE!</v>
      </c>
      <c r="M79" s="59" t="str">
        <f>IFERROR(tbl_Weld[[#This Row],[Qty Complete]]/tbl_Weld[[#This Row],[Total Hours Act]]*tbl_Weld[[#This Row],['# of men Act]],"")</f>
        <v/>
      </c>
      <c r="O79"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79" s="72" t="str">
        <f>IFERROR((tbl_Weld[[#This Row],[Adj. Total Hours]]+tbl_Weld[[#This Row],[Est. Hours]])/(tbl_Weld[[#This Row],[Total Hours Act]]+tbl_Weld[[#This Row],[Act. Hours]]),"")</f>
        <v/>
      </c>
      <c r="S79"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79" s="63"/>
      <c r="U79" s="63"/>
      <c r="V79" s="63"/>
      <c r="W79" s="63"/>
      <c r="X79" s="63"/>
    </row>
    <row r="80" spans="6:24" ht="24.75" customHeight="1">
      <c r="F80" s="53"/>
      <c r="H80" s="55" t="e">
        <f>tbl_Weld[[#This Row],[Qty Complete]]/tbl_Weld[[#This Row],[Qty Required]]</f>
        <v>#DIV/0!</v>
      </c>
      <c r="K80" s="57" t="str">
        <f>IFERROR(tbl_Weld[[#This Row],[Qty Required]]/tbl_Weld[[#This Row],[PPH]]*tbl_Weld[[#This Row],['# of men]],"")</f>
        <v/>
      </c>
      <c r="L80" s="58" t="e">
        <f>tbl_Weld[[#This Row],[Total hours]]*tbl_Weld[[#This Row],[% Complete]]</f>
        <v>#VALUE!</v>
      </c>
      <c r="M80" s="59" t="str">
        <f>IFERROR(tbl_Weld[[#This Row],[Qty Complete]]/tbl_Weld[[#This Row],[Total Hours Act]]*tbl_Weld[[#This Row],['# of men Act]],"")</f>
        <v/>
      </c>
      <c r="O80"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80" s="72" t="str">
        <f>IFERROR((tbl_Weld[[#This Row],[Adj. Total Hours]]+tbl_Weld[[#This Row],[Est. Hours]])/(tbl_Weld[[#This Row],[Total Hours Act]]+tbl_Weld[[#This Row],[Act. Hours]]),"")</f>
        <v/>
      </c>
      <c r="S80"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80" s="63"/>
      <c r="U80" s="63"/>
      <c r="V80" s="63"/>
      <c r="W80" s="63"/>
      <c r="X80" s="63"/>
    </row>
    <row r="81" spans="6:24" ht="24.75" customHeight="1">
      <c r="F81" s="53"/>
      <c r="H81" s="55" t="e">
        <f>tbl_Weld[[#This Row],[Qty Complete]]/tbl_Weld[[#This Row],[Qty Required]]</f>
        <v>#DIV/0!</v>
      </c>
      <c r="K81" s="57" t="str">
        <f>IFERROR(tbl_Weld[[#This Row],[Qty Required]]/tbl_Weld[[#This Row],[PPH]]*tbl_Weld[[#This Row],['# of men]],"")</f>
        <v/>
      </c>
      <c r="L81" s="58" t="e">
        <f>tbl_Weld[[#This Row],[Total hours]]*tbl_Weld[[#This Row],[% Complete]]</f>
        <v>#VALUE!</v>
      </c>
      <c r="M81" s="59" t="str">
        <f>IFERROR(tbl_Weld[[#This Row],[Qty Complete]]/tbl_Weld[[#This Row],[Total Hours Act]]*tbl_Weld[[#This Row],['# of men Act]],"")</f>
        <v/>
      </c>
      <c r="O81"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81" s="72" t="str">
        <f>IFERROR((tbl_Weld[[#This Row],[Adj. Total Hours]]+tbl_Weld[[#This Row],[Est. Hours]])/(tbl_Weld[[#This Row],[Total Hours Act]]+tbl_Weld[[#This Row],[Act. Hours]]),"")</f>
        <v/>
      </c>
      <c r="S81"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81" s="63"/>
      <c r="U81" s="63"/>
      <c r="V81" s="63"/>
      <c r="W81" s="63"/>
      <c r="X81" s="63"/>
    </row>
    <row r="82" spans="6:24" ht="24.75" customHeight="1">
      <c r="F82" s="53"/>
      <c r="H82" s="55" t="e">
        <f>tbl_Weld[[#This Row],[Qty Complete]]/tbl_Weld[[#This Row],[Qty Required]]</f>
        <v>#DIV/0!</v>
      </c>
      <c r="K82" s="57" t="str">
        <f>IFERROR(tbl_Weld[[#This Row],[Qty Required]]/tbl_Weld[[#This Row],[PPH]]*tbl_Weld[[#This Row],['# of men]],"")</f>
        <v/>
      </c>
      <c r="L82" s="58" t="e">
        <f>tbl_Weld[[#This Row],[Total hours]]*tbl_Weld[[#This Row],[% Complete]]</f>
        <v>#VALUE!</v>
      </c>
      <c r="M82" s="59" t="str">
        <f>IFERROR(tbl_Weld[[#This Row],[Qty Complete]]/tbl_Weld[[#This Row],[Total Hours Act]]*tbl_Weld[[#This Row],['# of men Act]],"")</f>
        <v/>
      </c>
      <c r="O82"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82" s="72" t="str">
        <f>IFERROR((tbl_Weld[[#This Row],[Adj. Total Hours]]+tbl_Weld[[#This Row],[Est. Hours]])/(tbl_Weld[[#This Row],[Total Hours Act]]+tbl_Weld[[#This Row],[Act. Hours]]),"")</f>
        <v/>
      </c>
      <c r="S82"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82" s="63"/>
      <c r="U82" s="63"/>
      <c r="V82" s="63"/>
      <c r="W82" s="63"/>
      <c r="X82" s="63"/>
    </row>
    <row r="83" spans="6:24" ht="24.75" customHeight="1">
      <c r="F83" s="53"/>
      <c r="H83" s="55" t="e">
        <f>tbl_Weld[[#This Row],[Qty Complete]]/tbl_Weld[[#This Row],[Qty Required]]</f>
        <v>#DIV/0!</v>
      </c>
      <c r="K83" s="57" t="str">
        <f>IFERROR(tbl_Weld[[#This Row],[Qty Required]]/tbl_Weld[[#This Row],[PPH]]*tbl_Weld[[#This Row],['# of men]],"")</f>
        <v/>
      </c>
      <c r="L83" s="58" t="e">
        <f>tbl_Weld[[#This Row],[Total hours]]*tbl_Weld[[#This Row],[% Complete]]</f>
        <v>#VALUE!</v>
      </c>
      <c r="M83" s="59" t="str">
        <f>IFERROR(tbl_Weld[[#This Row],[Qty Complete]]/tbl_Weld[[#This Row],[Total Hours Act]]*tbl_Weld[[#This Row],['# of men Act]],"")</f>
        <v/>
      </c>
      <c r="O83"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83" s="72" t="str">
        <f>IFERROR((tbl_Weld[[#This Row],[Adj. Total Hours]]+tbl_Weld[[#This Row],[Est. Hours]])/(tbl_Weld[[#This Row],[Total Hours Act]]+tbl_Weld[[#This Row],[Act. Hours]]),"")</f>
        <v/>
      </c>
      <c r="S83"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83" s="63"/>
      <c r="U83" s="63"/>
      <c r="V83" s="63"/>
      <c r="W83" s="63"/>
      <c r="X83" s="63"/>
    </row>
    <row r="84" spans="6:24" ht="24.75" customHeight="1">
      <c r="F84" s="53"/>
      <c r="H84" s="55" t="e">
        <f>tbl_Weld[[#This Row],[Qty Complete]]/tbl_Weld[[#This Row],[Qty Required]]</f>
        <v>#DIV/0!</v>
      </c>
      <c r="K84" s="57" t="str">
        <f>IFERROR(tbl_Weld[[#This Row],[Qty Required]]/tbl_Weld[[#This Row],[PPH]]*tbl_Weld[[#This Row],['# of men]],"")</f>
        <v/>
      </c>
      <c r="L84" s="58" t="e">
        <f>tbl_Weld[[#This Row],[Total hours]]*tbl_Weld[[#This Row],[% Complete]]</f>
        <v>#VALUE!</v>
      </c>
      <c r="M84" s="59" t="str">
        <f>IFERROR(tbl_Weld[[#This Row],[Qty Complete]]/tbl_Weld[[#This Row],[Total Hours Act]]*tbl_Weld[[#This Row],['# of men Act]],"")</f>
        <v/>
      </c>
      <c r="O84"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84" s="72" t="str">
        <f>IFERROR((tbl_Weld[[#This Row],[Adj. Total Hours]]+tbl_Weld[[#This Row],[Est. Hours]])/(tbl_Weld[[#This Row],[Total Hours Act]]+tbl_Weld[[#This Row],[Act. Hours]]),"")</f>
        <v/>
      </c>
      <c r="S84"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84" s="63"/>
      <c r="U84" s="63"/>
      <c r="V84" s="63"/>
      <c r="W84" s="63"/>
      <c r="X84" s="63"/>
    </row>
    <row r="85" spans="6:24" ht="24.75" customHeight="1">
      <c r="F85" s="53"/>
      <c r="H85" s="55" t="e">
        <f>tbl_Weld[[#This Row],[Qty Complete]]/tbl_Weld[[#This Row],[Qty Required]]</f>
        <v>#DIV/0!</v>
      </c>
      <c r="K85" s="57" t="str">
        <f>IFERROR(tbl_Weld[[#This Row],[Qty Required]]/tbl_Weld[[#This Row],[PPH]]*tbl_Weld[[#This Row],['# of men]],"")</f>
        <v/>
      </c>
      <c r="L85" s="58" t="e">
        <f>tbl_Weld[[#This Row],[Total hours]]*tbl_Weld[[#This Row],[% Complete]]</f>
        <v>#VALUE!</v>
      </c>
      <c r="M85" s="59" t="str">
        <f>IFERROR(tbl_Weld[[#This Row],[Qty Complete]]/tbl_Weld[[#This Row],[Total Hours Act]]*tbl_Weld[[#This Row],['# of men Act]],"")</f>
        <v/>
      </c>
      <c r="O85"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85" s="72" t="str">
        <f>IFERROR((tbl_Weld[[#This Row],[Adj. Total Hours]]+tbl_Weld[[#This Row],[Est. Hours]])/(tbl_Weld[[#This Row],[Total Hours Act]]+tbl_Weld[[#This Row],[Act. Hours]]),"")</f>
        <v/>
      </c>
      <c r="S85"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85" s="63"/>
      <c r="U85" s="63"/>
      <c r="V85" s="63"/>
      <c r="W85" s="63"/>
      <c r="X85" s="63"/>
    </row>
    <row r="86" spans="6:24" ht="24.75" customHeight="1">
      <c r="F86" s="53"/>
      <c r="H86" s="55" t="e">
        <f>tbl_Weld[[#This Row],[Qty Complete]]/tbl_Weld[[#This Row],[Qty Required]]</f>
        <v>#DIV/0!</v>
      </c>
      <c r="K86" s="57" t="str">
        <f>IFERROR(tbl_Weld[[#This Row],[Qty Required]]/tbl_Weld[[#This Row],[PPH]]*tbl_Weld[[#This Row],['# of men]],"")</f>
        <v/>
      </c>
      <c r="L86" s="58" t="e">
        <f>tbl_Weld[[#This Row],[Total hours]]*tbl_Weld[[#This Row],[% Complete]]</f>
        <v>#VALUE!</v>
      </c>
      <c r="M86" s="59" t="str">
        <f>IFERROR(tbl_Weld[[#This Row],[Qty Complete]]/tbl_Weld[[#This Row],[Total Hours Act]]*tbl_Weld[[#This Row],['# of men Act]],"")</f>
        <v/>
      </c>
      <c r="O86"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86" s="72" t="str">
        <f>IFERROR((tbl_Weld[[#This Row],[Adj. Total Hours]]+tbl_Weld[[#This Row],[Est. Hours]])/(tbl_Weld[[#This Row],[Total Hours Act]]+tbl_Weld[[#This Row],[Act. Hours]]),"")</f>
        <v/>
      </c>
      <c r="S86"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86" s="63"/>
      <c r="U86" s="63"/>
      <c r="V86" s="63"/>
      <c r="W86" s="63"/>
      <c r="X86" s="63"/>
    </row>
    <row r="87" spans="6:24" ht="24.75" customHeight="1">
      <c r="F87" s="53"/>
      <c r="H87" s="55" t="e">
        <f>tbl_Weld[[#This Row],[Qty Complete]]/tbl_Weld[[#This Row],[Qty Required]]</f>
        <v>#DIV/0!</v>
      </c>
      <c r="K87" s="57" t="str">
        <f>IFERROR(tbl_Weld[[#This Row],[Qty Required]]/tbl_Weld[[#This Row],[PPH]]*tbl_Weld[[#This Row],['# of men]],"")</f>
        <v/>
      </c>
      <c r="L87" s="58" t="e">
        <f>tbl_Weld[[#This Row],[Total hours]]*tbl_Weld[[#This Row],[% Complete]]</f>
        <v>#VALUE!</v>
      </c>
      <c r="M87" s="59" t="str">
        <f>IFERROR(tbl_Weld[[#This Row],[Qty Complete]]/tbl_Weld[[#This Row],[Total Hours Act]]*tbl_Weld[[#This Row],['# of men Act]],"")</f>
        <v/>
      </c>
      <c r="O87"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87" s="72" t="str">
        <f>IFERROR((tbl_Weld[[#This Row],[Adj. Total Hours]]+tbl_Weld[[#This Row],[Est. Hours]])/(tbl_Weld[[#This Row],[Total Hours Act]]+tbl_Weld[[#This Row],[Act. Hours]]),"")</f>
        <v/>
      </c>
      <c r="S87"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87" s="63"/>
      <c r="U87" s="63"/>
      <c r="V87" s="63"/>
      <c r="W87" s="63"/>
      <c r="X87" s="63"/>
    </row>
    <row r="88" spans="6:24" ht="24.75" customHeight="1">
      <c r="F88" s="53"/>
      <c r="H88" s="55" t="e">
        <f>tbl_Weld[[#This Row],[Qty Complete]]/tbl_Weld[[#This Row],[Qty Required]]</f>
        <v>#DIV/0!</v>
      </c>
      <c r="K88" s="57" t="str">
        <f>IFERROR(tbl_Weld[[#This Row],[Qty Required]]/tbl_Weld[[#This Row],[PPH]]*tbl_Weld[[#This Row],['# of men]],"")</f>
        <v/>
      </c>
      <c r="L88" s="58" t="e">
        <f>tbl_Weld[[#This Row],[Total hours]]*tbl_Weld[[#This Row],[% Complete]]</f>
        <v>#VALUE!</v>
      </c>
      <c r="M88" s="59" t="str">
        <f>IFERROR(tbl_Weld[[#This Row],[Qty Complete]]/tbl_Weld[[#This Row],[Total Hours Act]]*tbl_Weld[[#This Row],['# of men Act]],"")</f>
        <v/>
      </c>
      <c r="O88"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88" s="72" t="str">
        <f>IFERROR((tbl_Weld[[#This Row],[Adj. Total Hours]]+tbl_Weld[[#This Row],[Est. Hours]])/(tbl_Weld[[#This Row],[Total Hours Act]]+tbl_Weld[[#This Row],[Act. Hours]]),"")</f>
        <v/>
      </c>
      <c r="S88"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88" s="63"/>
      <c r="U88" s="63"/>
      <c r="V88" s="63"/>
      <c r="W88" s="63"/>
      <c r="X88" s="63"/>
    </row>
    <row r="89" spans="6:24" ht="24.75" customHeight="1">
      <c r="F89" s="53"/>
      <c r="H89" s="55" t="e">
        <f>tbl_Weld[[#This Row],[Qty Complete]]/tbl_Weld[[#This Row],[Qty Required]]</f>
        <v>#DIV/0!</v>
      </c>
      <c r="K89" s="57" t="str">
        <f>IFERROR(tbl_Weld[[#This Row],[Qty Required]]/tbl_Weld[[#This Row],[PPH]]*tbl_Weld[[#This Row],['# of men]],"")</f>
        <v/>
      </c>
      <c r="L89" s="58" t="e">
        <f>tbl_Weld[[#This Row],[Total hours]]*tbl_Weld[[#This Row],[% Complete]]</f>
        <v>#VALUE!</v>
      </c>
      <c r="M89" s="59" t="str">
        <f>IFERROR(tbl_Weld[[#This Row],[Qty Complete]]/tbl_Weld[[#This Row],[Total Hours Act]]*tbl_Weld[[#This Row],['# of men Act]],"")</f>
        <v/>
      </c>
      <c r="O89"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89" s="72" t="str">
        <f>IFERROR((tbl_Weld[[#This Row],[Adj. Total Hours]]+tbl_Weld[[#This Row],[Est. Hours]])/(tbl_Weld[[#This Row],[Total Hours Act]]+tbl_Weld[[#This Row],[Act. Hours]]),"")</f>
        <v/>
      </c>
      <c r="S89"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89" s="63"/>
      <c r="U89" s="63"/>
      <c r="V89" s="63"/>
      <c r="W89" s="63"/>
      <c r="X89" s="63"/>
    </row>
    <row r="90" spans="6:24" ht="24.75" customHeight="1">
      <c r="F90" s="53"/>
      <c r="H90" s="55" t="e">
        <f>tbl_Weld[[#This Row],[Qty Complete]]/tbl_Weld[[#This Row],[Qty Required]]</f>
        <v>#DIV/0!</v>
      </c>
      <c r="K90" s="57" t="str">
        <f>IFERROR(tbl_Weld[[#This Row],[Qty Required]]/tbl_Weld[[#This Row],[PPH]]*tbl_Weld[[#This Row],['# of men]],"")</f>
        <v/>
      </c>
      <c r="L90" s="58" t="e">
        <f>tbl_Weld[[#This Row],[Total hours]]*tbl_Weld[[#This Row],[% Complete]]</f>
        <v>#VALUE!</v>
      </c>
      <c r="M90" s="59" t="str">
        <f>IFERROR(tbl_Weld[[#This Row],[Qty Complete]]/tbl_Weld[[#This Row],[Total Hours Act]]*tbl_Weld[[#This Row],['# of men Act]],"")</f>
        <v/>
      </c>
      <c r="O90"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90" s="72" t="str">
        <f>IFERROR((tbl_Weld[[#This Row],[Adj. Total Hours]]+tbl_Weld[[#This Row],[Est. Hours]])/(tbl_Weld[[#This Row],[Total Hours Act]]+tbl_Weld[[#This Row],[Act. Hours]]),"")</f>
        <v/>
      </c>
      <c r="S90"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90" s="63"/>
      <c r="U90" s="63"/>
      <c r="V90" s="63"/>
      <c r="W90" s="63"/>
      <c r="X90" s="63"/>
    </row>
    <row r="91" spans="6:24" ht="24.75" customHeight="1">
      <c r="F91" s="53"/>
      <c r="H91" s="55" t="e">
        <f>tbl_Weld[[#This Row],[Qty Complete]]/tbl_Weld[[#This Row],[Qty Required]]</f>
        <v>#DIV/0!</v>
      </c>
      <c r="K91" s="57" t="str">
        <f>IFERROR(tbl_Weld[[#This Row],[Qty Required]]/tbl_Weld[[#This Row],[PPH]]*tbl_Weld[[#This Row],['# of men]],"")</f>
        <v/>
      </c>
      <c r="L91" s="58" t="e">
        <f>tbl_Weld[[#This Row],[Total hours]]*tbl_Weld[[#This Row],[% Complete]]</f>
        <v>#VALUE!</v>
      </c>
      <c r="M91" s="59" t="str">
        <f>IFERROR(tbl_Weld[[#This Row],[Qty Complete]]/tbl_Weld[[#This Row],[Total Hours Act]]*tbl_Weld[[#This Row],['# of men Act]],"")</f>
        <v/>
      </c>
      <c r="O91"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91" s="72" t="str">
        <f>IFERROR((tbl_Weld[[#This Row],[Adj. Total Hours]]+tbl_Weld[[#This Row],[Est. Hours]])/(tbl_Weld[[#This Row],[Total Hours Act]]+tbl_Weld[[#This Row],[Act. Hours]]),"")</f>
        <v/>
      </c>
      <c r="S91"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91" s="63"/>
      <c r="U91" s="63"/>
      <c r="V91" s="63"/>
      <c r="W91" s="63"/>
      <c r="X91" s="63"/>
    </row>
    <row r="92" spans="6:24" ht="24.75" customHeight="1">
      <c r="F92" s="53"/>
      <c r="H92" s="55" t="e">
        <f>tbl_Weld[[#This Row],[Qty Complete]]/tbl_Weld[[#This Row],[Qty Required]]</f>
        <v>#DIV/0!</v>
      </c>
      <c r="K92" s="57" t="str">
        <f>IFERROR(tbl_Weld[[#This Row],[Qty Required]]/tbl_Weld[[#This Row],[PPH]]*tbl_Weld[[#This Row],['# of men]],"")</f>
        <v/>
      </c>
      <c r="L92" s="58" t="e">
        <f>tbl_Weld[[#This Row],[Total hours]]*tbl_Weld[[#This Row],[% Complete]]</f>
        <v>#VALUE!</v>
      </c>
      <c r="M92" s="59" t="str">
        <f>IFERROR(tbl_Weld[[#This Row],[Qty Complete]]/tbl_Weld[[#This Row],[Total Hours Act]]*tbl_Weld[[#This Row],['# of men Act]],"")</f>
        <v/>
      </c>
      <c r="O92"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92" s="72" t="str">
        <f>IFERROR((tbl_Weld[[#This Row],[Adj. Total Hours]]+tbl_Weld[[#This Row],[Est. Hours]])/(tbl_Weld[[#This Row],[Total Hours Act]]+tbl_Weld[[#This Row],[Act. Hours]]),"")</f>
        <v/>
      </c>
      <c r="S92"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92" s="63"/>
      <c r="U92" s="63"/>
      <c r="V92" s="63"/>
      <c r="W92" s="63"/>
      <c r="X92" s="63"/>
    </row>
    <row r="93" spans="6:24" ht="24.75" customHeight="1">
      <c r="F93" s="53"/>
      <c r="H93" s="55" t="e">
        <f>tbl_Weld[[#This Row],[Qty Complete]]/tbl_Weld[[#This Row],[Qty Required]]</f>
        <v>#DIV/0!</v>
      </c>
      <c r="K93" s="57" t="str">
        <f>IFERROR(tbl_Weld[[#This Row],[Qty Required]]/tbl_Weld[[#This Row],[PPH]]*tbl_Weld[[#This Row],['# of men]],"")</f>
        <v/>
      </c>
      <c r="L93" s="58" t="e">
        <f>tbl_Weld[[#This Row],[Total hours]]*tbl_Weld[[#This Row],[% Complete]]</f>
        <v>#VALUE!</v>
      </c>
      <c r="M93" s="59" t="str">
        <f>IFERROR(tbl_Weld[[#This Row],[Qty Complete]]/tbl_Weld[[#This Row],[Total Hours Act]]*tbl_Weld[[#This Row],['# of men Act]],"")</f>
        <v/>
      </c>
      <c r="O93"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93" s="72" t="str">
        <f>IFERROR((tbl_Weld[[#This Row],[Adj. Total Hours]]+tbl_Weld[[#This Row],[Est. Hours]])/(tbl_Weld[[#This Row],[Total Hours Act]]+tbl_Weld[[#This Row],[Act. Hours]]),"")</f>
        <v/>
      </c>
      <c r="S93"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93" s="63"/>
      <c r="U93" s="63"/>
      <c r="V93" s="63"/>
      <c r="W93" s="63"/>
      <c r="X93" s="63"/>
    </row>
    <row r="94" spans="6:24" ht="24.75" customHeight="1">
      <c r="F94" s="53"/>
      <c r="H94" s="55" t="e">
        <f>tbl_Weld[[#This Row],[Qty Complete]]/tbl_Weld[[#This Row],[Qty Required]]</f>
        <v>#DIV/0!</v>
      </c>
      <c r="K94" s="57" t="str">
        <f>IFERROR(tbl_Weld[[#This Row],[Qty Required]]/tbl_Weld[[#This Row],[PPH]]*tbl_Weld[[#This Row],['# of men]],"")</f>
        <v/>
      </c>
      <c r="L94" s="58" t="e">
        <f>tbl_Weld[[#This Row],[Total hours]]*tbl_Weld[[#This Row],[% Complete]]</f>
        <v>#VALUE!</v>
      </c>
      <c r="M94" s="59" t="str">
        <f>IFERROR(tbl_Weld[[#This Row],[Qty Complete]]/tbl_Weld[[#This Row],[Total Hours Act]]*tbl_Weld[[#This Row],['# of men Act]],"")</f>
        <v/>
      </c>
      <c r="O94"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94" s="72" t="str">
        <f>IFERROR((tbl_Weld[[#This Row],[Adj. Total Hours]]+tbl_Weld[[#This Row],[Est. Hours]])/(tbl_Weld[[#This Row],[Total Hours Act]]+tbl_Weld[[#This Row],[Act. Hours]]),"")</f>
        <v/>
      </c>
      <c r="S94"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94" s="63"/>
      <c r="U94" s="63"/>
      <c r="V94" s="63"/>
      <c r="W94" s="63"/>
      <c r="X94" s="63"/>
    </row>
    <row r="95" spans="6:24" ht="24.75" customHeight="1">
      <c r="F95" s="53"/>
      <c r="H95" s="55" t="e">
        <f>tbl_Weld[[#This Row],[Qty Complete]]/tbl_Weld[[#This Row],[Qty Required]]</f>
        <v>#DIV/0!</v>
      </c>
      <c r="K95" s="57" t="str">
        <f>IFERROR(tbl_Weld[[#This Row],[Qty Required]]/tbl_Weld[[#This Row],[PPH]]*tbl_Weld[[#This Row],['# of men]],"")</f>
        <v/>
      </c>
      <c r="L95" s="58" t="e">
        <f>tbl_Weld[[#This Row],[Total hours]]*tbl_Weld[[#This Row],[% Complete]]</f>
        <v>#VALUE!</v>
      </c>
      <c r="M95" s="59" t="str">
        <f>IFERROR(tbl_Weld[[#This Row],[Qty Complete]]/tbl_Weld[[#This Row],[Total Hours Act]]*tbl_Weld[[#This Row],['# of men Act]],"")</f>
        <v/>
      </c>
      <c r="O95"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95" s="72" t="str">
        <f>IFERROR((tbl_Weld[[#This Row],[Adj. Total Hours]]+tbl_Weld[[#This Row],[Est. Hours]])/(tbl_Weld[[#This Row],[Total Hours Act]]+tbl_Weld[[#This Row],[Act. Hours]]),"")</f>
        <v/>
      </c>
      <c r="S95"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95" s="63"/>
      <c r="U95" s="63"/>
      <c r="V95" s="63"/>
      <c r="W95" s="63"/>
      <c r="X95" s="63"/>
    </row>
    <row r="96" spans="6:24" ht="24.75" customHeight="1">
      <c r="F96" s="53"/>
      <c r="H96" s="55" t="e">
        <f>tbl_Weld[[#This Row],[Qty Complete]]/tbl_Weld[[#This Row],[Qty Required]]</f>
        <v>#DIV/0!</v>
      </c>
      <c r="K96" s="57" t="str">
        <f>IFERROR(tbl_Weld[[#This Row],[Qty Required]]/tbl_Weld[[#This Row],[PPH]]*tbl_Weld[[#This Row],['# of men]],"")</f>
        <v/>
      </c>
      <c r="L96" s="58" t="e">
        <f>tbl_Weld[[#This Row],[Total hours]]*tbl_Weld[[#This Row],[% Complete]]</f>
        <v>#VALUE!</v>
      </c>
      <c r="M96" s="59" t="str">
        <f>IFERROR(tbl_Weld[[#This Row],[Qty Complete]]/tbl_Weld[[#This Row],[Total Hours Act]]*tbl_Weld[[#This Row],['# of men Act]],"")</f>
        <v/>
      </c>
      <c r="O96"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96" s="72" t="str">
        <f>IFERROR((tbl_Weld[[#This Row],[Adj. Total Hours]]+tbl_Weld[[#This Row],[Est. Hours]])/(tbl_Weld[[#This Row],[Total Hours Act]]+tbl_Weld[[#This Row],[Act. Hours]]),"")</f>
        <v/>
      </c>
      <c r="S96"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96" s="63"/>
      <c r="U96" s="63"/>
      <c r="V96" s="63"/>
      <c r="W96" s="63"/>
      <c r="X96" s="63"/>
    </row>
    <row r="97" spans="6:24" ht="24.75" customHeight="1">
      <c r="F97" s="53"/>
      <c r="H97" s="55" t="e">
        <f>tbl_Weld[[#This Row],[Qty Complete]]/tbl_Weld[[#This Row],[Qty Required]]</f>
        <v>#DIV/0!</v>
      </c>
      <c r="K97" s="57" t="str">
        <f>IFERROR(tbl_Weld[[#This Row],[Qty Required]]/tbl_Weld[[#This Row],[PPH]]*tbl_Weld[[#This Row],['# of men]],"")</f>
        <v/>
      </c>
      <c r="L97" s="58" t="e">
        <f>tbl_Weld[[#This Row],[Total hours]]*tbl_Weld[[#This Row],[% Complete]]</f>
        <v>#VALUE!</v>
      </c>
      <c r="M97" s="59" t="str">
        <f>IFERROR(tbl_Weld[[#This Row],[Qty Complete]]/tbl_Weld[[#This Row],[Total Hours Act]]*tbl_Weld[[#This Row],['# of men Act]],"")</f>
        <v/>
      </c>
      <c r="O97"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97" s="72" t="str">
        <f>IFERROR((tbl_Weld[[#This Row],[Adj. Total Hours]]+tbl_Weld[[#This Row],[Est. Hours]])/(tbl_Weld[[#This Row],[Total Hours Act]]+tbl_Weld[[#This Row],[Act. Hours]]),"")</f>
        <v/>
      </c>
      <c r="S97"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97" s="63"/>
      <c r="U97" s="63"/>
      <c r="V97" s="63"/>
      <c r="W97" s="63"/>
      <c r="X97" s="63"/>
    </row>
    <row r="98" spans="6:24" ht="24.75" customHeight="1">
      <c r="F98" s="53"/>
      <c r="H98" s="55" t="e">
        <f>tbl_Weld[[#This Row],[Qty Complete]]/tbl_Weld[[#This Row],[Qty Required]]</f>
        <v>#DIV/0!</v>
      </c>
      <c r="K98" s="57" t="str">
        <f>IFERROR(tbl_Weld[[#This Row],[Qty Required]]/tbl_Weld[[#This Row],[PPH]]*tbl_Weld[[#This Row],['# of men]],"")</f>
        <v/>
      </c>
      <c r="L98" s="58" t="e">
        <f>tbl_Weld[[#This Row],[Total hours]]*tbl_Weld[[#This Row],[% Complete]]</f>
        <v>#VALUE!</v>
      </c>
      <c r="M98" s="59" t="str">
        <f>IFERROR(tbl_Weld[[#This Row],[Qty Complete]]/tbl_Weld[[#This Row],[Total Hours Act]]*tbl_Weld[[#This Row],['# of men Act]],"")</f>
        <v/>
      </c>
      <c r="O98"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98" s="72" t="str">
        <f>IFERROR((tbl_Weld[[#This Row],[Adj. Total Hours]]+tbl_Weld[[#This Row],[Est. Hours]])/(tbl_Weld[[#This Row],[Total Hours Act]]+tbl_Weld[[#This Row],[Act. Hours]]),"")</f>
        <v/>
      </c>
      <c r="S98"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98" s="63"/>
      <c r="U98" s="63"/>
      <c r="V98" s="63"/>
      <c r="W98" s="63"/>
      <c r="X98" s="63"/>
    </row>
    <row r="99" spans="6:24" ht="24.75" customHeight="1">
      <c r="F99" s="53"/>
      <c r="H99" s="55" t="e">
        <f>tbl_Weld[[#This Row],[Qty Complete]]/tbl_Weld[[#This Row],[Qty Required]]</f>
        <v>#DIV/0!</v>
      </c>
      <c r="K99" s="57" t="str">
        <f>IFERROR(tbl_Weld[[#This Row],[Qty Required]]/tbl_Weld[[#This Row],[PPH]]*tbl_Weld[[#This Row],['# of men]],"")</f>
        <v/>
      </c>
      <c r="L99" s="58" t="e">
        <f>tbl_Weld[[#This Row],[Total hours]]*tbl_Weld[[#This Row],[% Complete]]</f>
        <v>#VALUE!</v>
      </c>
      <c r="M99" s="59" t="str">
        <f>IFERROR(tbl_Weld[[#This Row],[Qty Complete]]/tbl_Weld[[#This Row],[Total Hours Act]]*tbl_Weld[[#This Row],['# of men Act]],"")</f>
        <v/>
      </c>
      <c r="O99"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99" s="72" t="str">
        <f>IFERROR((tbl_Weld[[#This Row],[Adj. Total Hours]]+tbl_Weld[[#This Row],[Est. Hours]])/(tbl_Weld[[#This Row],[Total Hours Act]]+tbl_Weld[[#This Row],[Act. Hours]]),"")</f>
        <v/>
      </c>
      <c r="S99"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99" s="63"/>
      <c r="U99" s="63"/>
      <c r="V99" s="63"/>
      <c r="W99" s="63"/>
      <c r="X99" s="63"/>
    </row>
    <row r="100" spans="6:24" ht="24.75" customHeight="1">
      <c r="F100" s="53"/>
      <c r="H100" s="55" t="e">
        <f>tbl_Weld[[#This Row],[Qty Complete]]/tbl_Weld[[#This Row],[Qty Required]]</f>
        <v>#DIV/0!</v>
      </c>
      <c r="K100" s="57" t="str">
        <f>IFERROR(tbl_Weld[[#This Row],[Qty Required]]/tbl_Weld[[#This Row],[PPH]]*tbl_Weld[[#This Row],['# of men]],"")</f>
        <v/>
      </c>
      <c r="L100" s="58" t="e">
        <f>tbl_Weld[[#This Row],[Total hours]]*tbl_Weld[[#This Row],[% Complete]]</f>
        <v>#VALUE!</v>
      </c>
      <c r="M100" s="59" t="str">
        <f>IFERROR(tbl_Weld[[#This Row],[Qty Complete]]/tbl_Weld[[#This Row],[Total Hours Act]]*tbl_Weld[[#This Row],['# of men Act]],"")</f>
        <v/>
      </c>
      <c r="O100"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00" s="72" t="str">
        <f>IFERROR((tbl_Weld[[#This Row],[Adj. Total Hours]]+tbl_Weld[[#This Row],[Est. Hours]])/(tbl_Weld[[#This Row],[Total Hours Act]]+tbl_Weld[[#This Row],[Act. Hours]]),"")</f>
        <v/>
      </c>
      <c r="S100"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00" s="63"/>
      <c r="U100" s="63"/>
      <c r="V100" s="63"/>
      <c r="W100" s="63"/>
      <c r="X100" s="63"/>
    </row>
    <row r="101" spans="6:24" ht="24.75" customHeight="1">
      <c r="F101" s="53"/>
      <c r="H101" s="55" t="e">
        <f>tbl_Weld[[#This Row],[Qty Complete]]/tbl_Weld[[#This Row],[Qty Required]]</f>
        <v>#DIV/0!</v>
      </c>
      <c r="K101" s="57" t="str">
        <f>IFERROR(tbl_Weld[[#This Row],[Qty Required]]/tbl_Weld[[#This Row],[PPH]]*tbl_Weld[[#This Row],['# of men]],"")</f>
        <v/>
      </c>
      <c r="L101" s="58" t="e">
        <f>tbl_Weld[[#This Row],[Total hours]]*tbl_Weld[[#This Row],[% Complete]]</f>
        <v>#VALUE!</v>
      </c>
      <c r="M101" s="59" t="str">
        <f>IFERROR(tbl_Weld[[#This Row],[Qty Complete]]/tbl_Weld[[#This Row],[Total Hours Act]]*tbl_Weld[[#This Row],['# of men Act]],"")</f>
        <v/>
      </c>
      <c r="O101"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01" s="72" t="str">
        <f>IFERROR((tbl_Weld[[#This Row],[Adj. Total Hours]]+tbl_Weld[[#This Row],[Est. Hours]])/(tbl_Weld[[#This Row],[Total Hours Act]]+tbl_Weld[[#This Row],[Act. Hours]]),"")</f>
        <v/>
      </c>
      <c r="S101"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01" s="63"/>
      <c r="U101" s="63"/>
      <c r="V101" s="63"/>
      <c r="W101" s="63"/>
      <c r="X101" s="63"/>
    </row>
    <row r="102" spans="6:24" ht="24.75" customHeight="1">
      <c r="F102" s="53"/>
      <c r="H102" s="55" t="e">
        <f>tbl_Weld[[#This Row],[Qty Complete]]/tbl_Weld[[#This Row],[Qty Required]]</f>
        <v>#DIV/0!</v>
      </c>
      <c r="K102" s="57" t="str">
        <f>IFERROR(tbl_Weld[[#This Row],[Qty Required]]/tbl_Weld[[#This Row],[PPH]]*tbl_Weld[[#This Row],['# of men]],"")</f>
        <v/>
      </c>
      <c r="L102" s="58" t="e">
        <f>tbl_Weld[[#This Row],[Total hours]]*tbl_Weld[[#This Row],[% Complete]]</f>
        <v>#VALUE!</v>
      </c>
      <c r="M102" s="59" t="str">
        <f>IFERROR(tbl_Weld[[#This Row],[Qty Complete]]/tbl_Weld[[#This Row],[Total Hours Act]]*tbl_Weld[[#This Row],['# of men Act]],"")</f>
        <v/>
      </c>
      <c r="O102"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02" s="72" t="str">
        <f>IFERROR((tbl_Weld[[#This Row],[Adj. Total Hours]]+tbl_Weld[[#This Row],[Est. Hours]])/(tbl_Weld[[#This Row],[Total Hours Act]]+tbl_Weld[[#This Row],[Act. Hours]]),"")</f>
        <v/>
      </c>
      <c r="S102"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02" s="63"/>
      <c r="U102" s="63"/>
      <c r="V102" s="63"/>
      <c r="W102" s="63"/>
      <c r="X102" s="63"/>
    </row>
    <row r="103" spans="6:24" ht="24.75" customHeight="1">
      <c r="F103" s="53"/>
      <c r="H103" s="55" t="e">
        <f>tbl_Weld[[#This Row],[Qty Complete]]/tbl_Weld[[#This Row],[Qty Required]]</f>
        <v>#DIV/0!</v>
      </c>
      <c r="K103" s="57" t="str">
        <f>IFERROR(tbl_Weld[[#This Row],[Qty Required]]/tbl_Weld[[#This Row],[PPH]]*tbl_Weld[[#This Row],['# of men]],"")</f>
        <v/>
      </c>
      <c r="L103" s="58" t="e">
        <f>tbl_Weld[[#This Row],[Total hours]]*tbl_Weld[[#This Row],[% Complete]]</f>
        <v>#VALUE!</v>
      </c>
      <c r="M103" s="59" t="str">
        <f>IFERROR(tbl_Weld[[#This Row],[Qty Complete]]/tbl_Weld[[#This Row],[Total Hours Act]]*tbl_Weld[[#This Row],['# of men Act]],"")</f>
        <v/>
      </c>
      <c r="O103"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03" s="72" t="str">
        <f>IFERROR((tbl_Weld[[#This Row],[Adj. Total Hours]]+tbl_Weld[[#This Row],[Est. Hours]])/(tbl_Weld[[#This Row],[Total Hours Act]]+tbl_Weld[[#This Row],[Act. Hours]]),"")</f>
        <v/>
      </c>
      <c r="S103"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03" s="63"/>
      <c r="U103" s="63"/>
      <c r="V103" s="63"/>
      <c r="W103" s="63"/>
      <c r="X103" s="63"/>
    </row>
    <row r="104" spans="6:24" ht="24.75" customHeight="1">
      <c r="F104" s="53"/>
      <c r="H104" s="55" t="e">
        <f>tbl_Weld[[#This Row],[Qty Complete]]/tbl_Weld[[#This Row],[Qty Required]]</f>
        <v>#DIV/0!</v>
      </c>
      <c r="K104" s="57" t="str">
        <f>IFERROR(tbl_Weld[[#This Row],[Qty Required]]/tbl_Weld[[#This Row],[PPH]]*tbl_Weld[[#This Row],['# of men]],"")</f>
        <v/>
      </c>
      <c r="L104" s="58" t="e">
        <f>tbl_Weld[[#This Row],[Total hours]]*tbl_Weld[[#This Row],[% Complete]]</f>
        <v>#VALUE!</v>
      </c>
      <c r="M104" s="59" t="str">
        <f>IFERROR(tbl_Weld[[#This Row],[Qty Complete]]/tbl_Weld[[#This Row],[Total Hours Act]]*tbl_Weld[[#This Row],['# of men Act]],"")</f>
        <v/>
      </c>
      <c r="O104"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04" s="72" t="str">
        <f>IFERROR((tbl_Weld[[#This Row],[Adj. Total Hours]]+tbl_Weld[[#This Row],[Est. Hours]])/(tbl_Weld[[#This Row],[Total Hours Act]]+tbl_Weld[[#This Row],[Act. Hours]]),"")</f>
        <v/>
      </c>
      <c r="S104"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04" s="63"/>
      <c r="U104" s="63"/>
      <c r="V104" s="63"/>
      <c r="W104" s="63"/>
      <c r="X104" s="63"/>
    </row>
    <row r="105" spans="6:24" ht="24.75" customHeight="1">
      <c r="F105" s="53"/>
      <c r="H105" s="55" t="e">
        <f>tbl_Weld[[#This Row],[Qty Complete]]/tbl_Weld[[#This Row],[Qty Required]]</f>
        <v>#DIV/0!</v>
      </c>
      <c r="K105" s="57" t="str">
        <f>IFERROR(tbl_Weld[[#This Row],[Qty Required]]/tbl_Weld[[#This Row],[PPH]]*tbl_Weld[[#This Row],['# of men]],"")</f>
        <v/>
      </c>
      <c r="L105" s="58" t="e">
        <f>tbl_Weld[[#This Row],[Total hours]]*tbl_Weld[[#This Row],[% Complete]]</f>
        <v>#VALUE!</v>
      </c>
      <c r="M105" s="59" t="str">
        <f>IFERROR(tbl_Weld[[#This Row],[Qty Complete]]/tbl_Weld[[#This Row],[Total Hours Act]]*tbl_Weld[[#This Row],['# of men Act]],"")</f>
        <v/>
      </c>
      <c r="O105"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05" s="72" t="str">
        <f>IFERROR((tbl_Weld[[#This Row],[Adj. Total Hours]]+tbl_Weld[[#This Row],[Est. Hours]])/(tbl_Weld[[#This Row],[Total Hours Act]]+tbl_Weld[[#This Row],[Act. Hours]]),"")</f>
        <v/>
      </c>
      <c r="S105"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05" s="63"/>
      <c r="U105" s="63"/>
      <c r="V105" s="63"/>
      <c r="W105" s="63"/>
      <c r="X105" s="63"/>
    </row>
    <row r="106" spans="6:24" ht="24.75" customHeight="1">
      <c r="F106" s="53"/>
      <c r="H106" s="55" t="e">
        <f>tbl_Weld[[#This Row],[Qty Complete]]/tbl_Weld[[#This Row],[Qty Required]]</f>
        <v>#DIV/0!</v>
      </c>
      <c r="K106" s="57" t="str">
        <f>IFERROR(tbl_Weld[[#This Row],[Qty Required]]/tbl_Weld[[#This Row],[PPH]]*tbl_Weld[[#This Row],['# of men]],"")</f>
        <v/>
      </c>
      <c r="L106" s="58" t="e">
        <f>tbl_Weld[[#This Row],[Total hours]]*tbl_Weld[[#This Row],[% Complete]]</f>
        <v>#VALUE!</v>
      </c>
      <c r="M106" s="59" t="str">
        <f>IFERROR(tbl_Weld[[#This Row],[Qty Complete]]/tbl_Weld[[#This Row],[Total Hours Act]]*tbl_Weld[[#This Row],['# of men Act]],"")</f>
        <v/>
      </c>
      <c r="O106"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06" s="72" t="str">
        <f>IFERROR((tbl_Weld[[#This Row],[Adj. Total Hours]]+tbl_Weld[[#This Row],[Est. Hours]])/(tbl_Weld[[#This Row],[Total Hours Act]]+tbl_Weld[[#This Row],[Act. Hours]]),"")</f>
        <v/>
      </c>
      <c r="S106"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06" s="63"/>
      <c r="U106" s="63"/>
      <c r="V106" s="63"/>
      <c r="W106" s="63"/>
      <c r="X106" s="63"/>
    </row>
    <row r="107" spans="6:24" ht="24.75" customHeight="1">
      <c r="F107" s="53"/>
      <c r="H107" s="55" t="e">
        <f>tbl_Weld[[#This Row],[Qty Complete]]/tbl_Weld[[#This Row],[Qty Required]]</f>
        <v>#DIV/0!</v>
      </c>
      <c r="K107" s="57" t="str">
        <f>IFERROR(tbl_Weld[[#This Row],[Qty Required]]/tbl_Weld[[#This Row],[PPH]]*tbl_Weld[[#This Row],['# of men]],"")</f>
        <v/>
      </c>
      <c r="L107" s="58" t="e">
        <f>tbl_Weld[[#This Row],[Total hours]]*tbl_Weld[[#This Row],[% Complete]]</f>
        <v>#VALUE!</v>
      </c>
      <c r="M107" s="59" t="str">
        <f>IFERROR(tbl_Weld[[#This Row],[Qty Complete]]/tbl_Weld[[#This Row],[Total Hours Act]]*tbl_Weld[[#This Row],['# of men Act]],"")</f>
        <v/>
      </c>
      <c r="O107"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07" s="72" t="str">
        <f>IFERROR((tbl_Weld[[#This Row],[Adj. Total Hours]]+tbl_Weld[[#This Row],[Est. Hours]])/(tbl_Weld[[#This Row],[Total Hours Act]]+tbl_Weld[[#This Row],[Act. Hours]]),"")</f>
        <v/>
      </c>
      <c r="S107"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07" s="63"/>
      <c r="U107" s="63"/>
      <c r="V107" s="63"/>
      <c r="W107" s="63"/>
      <c r="X107" s="63"/>
    </row>
    <row r="108" spans="6:24" ht="24.75" customHeight="1">
      <c r="F108" s="53"/>
      <c r="H108" s="55" t="e">
        <f>tbl_Weld[[#This Row],[Qty Complete]]/tbl_Weld[[#This Row],[Qty Required]]</f>
        <v>#DIV/0!</v>
      </c>
      <c r="K108" s="57" t="str">
        <f>IFERROR(tbl_Weld[[#This Row],[Qty Required]]/tbl_Weld[[#This Row],[PPH]]*tbl_Weld[[#This Row],['# of men]],"")</f>
        <v/>
      </c>
      <c r="L108" s="58" t="e">
        <f>tbl_Weld[[#This Row],[Total hours]]*tbl_Weld[[#This Row],[% Complete]]</f>
        <v>#VALUE!</v>
      </c>
      <c r="M108" s="59" t="str">
        <f>IFERROR(tbl_Weld[[#This Row],[Qty Complete]]/tbl_Weld[[#This Row],[Total Hours Act]]*tbl_Weld[[#This Row],['# of men Act]],"")</f>
        <v/>
      </c>
      <c r="O108"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08" s="72" t="str">
        <f>IFERROR((tbl_Weld[[#This Row],[Adj. Total Hours]]+tbl_Weld[[#This Row],[Est. Hours]])/(tbl_Weld[[#This Row],[Total Hours Act]]+tbl_Weld[[#This Row],[Act. Hours]]),"")</f>
        <v/>
      </c>
      <c r="S108"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08" s="63"/>
      <c r="U108" s="63"/>
      <c r="V108" s="63"/>
      <c r="W108" s="63"/>
      <c r="X108" s="63"/>
    </row>
    <row r="109" spans="6:24" ht="24.75" customHeight="1">
      <c r="F109" s="53"/>
      <c r="H109" s="55" t="e">
        <f>tbl_Weld[[#This Row],[Qty Complete]]/tbl_Weld[[#This Row],[Qty Required]]</f>
        <v>#DIV/0!</v>
      </c>
      <c r="K109" s="57" t="str">
        <f>IFERROR(tbl_Weld[[#This Row],[Qty Required]]/tbl_Weld[[#This Row],[PPH]]*tbl_Weld[[#This Row],['# of men]],"")</f>
        <v/>
      </c>
      <c r="L109" s="58" t="e">
        <f>tbl_Weld[[#This Row],[Total hours]]*tbl_Weld[[#This Row],[% Complete]]</f>
        <v>#VALUE!</v>
      </c>
      <c r="M109" s="59" t="str">
        <f>IFERROR(tbl_Weld[[#This Row],[Qty Complete]]/tbl_Weld[[#This Row],[Total Hours Act]]*tbl_Weld[[#This Row],['# of men Act]],"")</f>
        <v/>
      </c>
      <c r="O109"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09" s="72" t="str">
        <f>IFERROR((tbl_Weld[[#This Row],[Adj. Total Hours]]+tbl_Weld[[#This Row],[Est. Hours]])/(tbl_Weld[[#This Row],[Total Hours Act]]+tbl_Weld[[#This Row],[Act. Hours]]),"")</f>
        <v/>
      </c>
      <c r="S109"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09" s="63"/>
      <c r="U109" s="63"/>
      <c r="V109" s="63"/>
      <c r="W109" s="63"/>
      <c r="X109" s="63"/>
    </row>
    <row r="110" spans="6:24" ht="24.75" customHeight="1">
      <c r="F110" s="53"/>
      <c r="H110" s="55" t="e">
        <f>tbl_Weld[[#This Row],[Qty Complete]]/tbl_Weld[[#This Row],[Qty Required]]</f>
        <v>#DIV/0!</v>
      </c>
      <c r="K110" s="57" t="str">
        <f>IFERROR(tbl_Weld[[#This Row],[Qty Required]]/tbl_Weld[[#This Row],[PPH]]*tbl_Weld[[#This Row],['# of men]],"")</f>
        <v/>
      </c>
      <c r="L110" s="58" t="e">
        <f>tbl_Weld[[#This Row],[Total hours]]*tbl_Weld[[#This Row],[% Complete]]</f>
        <v>#VALUE!</v>
      </c>
      <c r="M110" s="59" t="str">
        <f>IFERROR(tbl_Weld[[#This Row],[Qty Complete]]/tbl_Weld[[#This Row],[Total Hours Act]]*tbl_Weld[[#This Row],['# of men Act]],"")</f>
        <v/>
      </c>
      <c r="O110"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10" s="72" t="str">
        <f>IFERROR((tbl_Weld[[#This Row],[Adj. Total Hours]]+tbl_Weld[[#This Row],[Est. Hours]])/(tbl_Weld[[#This Row],[Total Hours Act]]+tbl_Weld[[#This Row],[Act. Hours]]),"")</f>
        <v/>
      </c>
      <c r="S110"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10" s="63"/>
      <c r="U110" s="63"/>
      <c r="V110" s="63"/>
      <c r="W110" s="63"/>
      <c r="X110" s="63"/>
    </row>
    <row r="111" spans="6:24" ht="24.75" customHeight="1">
      <c r="F111" s="53"/>
      <c r="H111" s="55" t="e">
        <f>tbl_Weld[[#This Row],[Qty Complete]]/tbl_Weld[[#This Row],[Qty Required]]</f>
        <v>#DIV/0!</v>
      </c>
      <c r="K111" s="57" t="str">
        <f>IFERROR(tbl_Weld[[#This Row],[Qty Required]]/tbl_Weld[[#This Row],[PPH]]*tbl_Weld[[#This Row],['# of men]],"")</f>
        <v/>
      </c>
      <c r="L111" s="58" t="e">
        <f>tbl_Weld[[#This Row],[Total hours]]*tbl_Weld[[#This Row],[% Complete]]</f>
        <v>#VALUE!</v>
      </c>
      <c r="M111" s="59" t="str">
        <f>IFERROR(tbl_Weld[[#This Row],[Qty Complete]]/tbl_Weld[[#This Row],[Total Hours Act]]*tbl_Weld[[#This Row],['# of men Act]],"")</f>
        <v/>
      </c>
      <c r="O111"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11" s="72" t="str">
        <f>IFERROR((tbl_Weld[[#This Row],[Adj. Total Hours]]+tbl_Weld[[#This Row],[Est. Hours]])/(tbl_Weld[[#This Row],[Total Hours Act]]+tbl_Weld[[#This Row],[Act. Hours]]),"")</f>
        <v/>
      </c>
      <c r="S111"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11" s="63"/>
      <c r="U111" s="63"/>
      <c r="V111" s="63"/>
      <c r="W111" s="63"/>
      <c r="X111" s="63"/>
    </row>
    <row r="112" spans="6:24" ht="24.75" customHeight="1">
      <c r="F112" s="53"/>
      <c r="H112" s="55" t="e">
        <f>tbl_Weld[[#This Row],[Qty Complete]]/tbl_Weld[[#This Row],[Qty Required]]</f>
        <v>#DIV/0!</v>
      </c>
      <c r="K112" s="57" t="str">
        <f>IFERROR(tbl_Weld[[#This Row],[Qty Required]]/tbl_Weld[[#This Row],[PPH]]*tbl_Weld[[#This Row],['# of men]],"")</f>
        <v/>
      </c>
      <c r="L112" s="58" t="e">
        <f>tbl_Weld[[#This Row],[Total hours]]*tbl_Weld[[#This Row],[% Complete]]</f>
        <v>#VALUE!</v>
      </c>
      <c r="M112" s="59" t="str">
        <f>IFERROR(tbl_Weld[[#This Row],[Qty Complete]]/tbl_Weld[[#This Row],[Total Hours Act]]*tbl_Weld[[#This Row],['# of men Act]],"")</f>
        <v/>
      </c>
      <c r="O112"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12" s="72" t="str">
        <f>IFERROR((tbl_Weld[[#This Row],[Adj. Total Hours]]+tbl_Weld[[#This Row],[Est. Hours]])/(tbl_Weld[[#This Row],[Total Hours Act]]+tbl_Weld[[#This Row],[Act. Hours]]),"")</f>
        <v/>
      </c>
      <c r="S112"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12" s="63"/>
      <c r="U112" s="63"/>
      <c r="V112" s="63"/>
      <c r="W112" s="63"/>
      <c r="X112" s="63"/>
    </row>
    <row r="113" spans="6:24" ht="24.75" customHeight="1">
      <c r="F113" s="53"/>
      <c r="H113" s="55" t="e">
        <f>tbl_Weld[[#This Row],[Qty Complete]]/tbl_Weld[[#This Row],[Qty Required]]</f>
        <v>#DIV/0!</v>
      </c>
      <c r="K113" s="57" t="str">
        <f>IFERROR(tbl_Weld[[#This Row],[Qty Required]]/tbl_Weld[[#This Row],[PPH]]*tbl_Weld[[#This Row],['# of men]],"")</f>
        <v/>
      </c>
      <c r="L113" s="58" t="e">
        <f>tbl_Weld[[#This Row],[Total hours]]*tbl_Weld[[#This Row],[% Complete]]</f>
        <v>#VALUE!</v>
      </c>
      <c r="M113" s="59" t="str">
        <f>IFERROR(tbl_Weld[[#This Row],[Qty Complete]]/tbl_Weld[[#This Row],[Total Hours Act]]*tbl_Weld[[#This Row],['# of men Act]],"")</f>
        <v/>
      </c>
      <c r="O113"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13" s="72" t="str">
        <f>IFERROR((tbl_Weld[[#This Row],[Adj. Total Hours]]+tbl_Weld[[#This Row],[Est. Hours]])/(tbl_Weld[[#This Row],[Total Hours Act]]+tbl_Weld[[#This Row],[Act. Hours]]),"")</f>
        <v/>
      </c>
      <c r="S113"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13" s="63"/>
      <c r="U113" s="63"/>
      <c r="V113" s="63"/>
      <c r="W113" s="63"/>
      <c r="X113" s="63"/>
    </row>
    <row r="114" spans="6:24" ht="24.75" customHeight="1">
      <c r="F114" s="53"/>
      <c r="H114" s="55" t="e">
        <f>tbl_Weld[[#This Row],[Qty Complete]]/tbl_Weld[[#This Row],[Qty Required]]</f>
        <v>#DIV/0!</v>
      </c>
      <c r="K114" s="57" t="str">
        <f>IFERROR(tbl_Weld[[#This Row],[Qty Required]]/tbl_Weld[[#This Row],[PPH]]*tbl_Weld[[#This Row],['# of men]],"")</f>
        <v/>
      </c>
      <c r="L114" s="58" t="e">
        <f>tbl_Weld[[#This Row],[Total hours]]*tbl_Weld[[#This Row],[% Complete]]</f>
        <v>#VALUE!</v>
      </c>
      <c r="M114" s="59" t="str">
        <f>IFERROR(tbl_Weld[[#This Row],[Qty Complete]]/tbl_Weld[[#This Row],[Total Hours Act]]*tbl_Weld[[#This Row],['# of men Act]],"")</f>
        <v/>
      </c>
      <c r="O114"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14" s="72" t="str">
        <f>IFERROR((tbl_Weld[[#This Row],[Adj. Total Hours]]+tbl_Weld[[#This Row],[Est. Hours]])/(tbl_Weld[[#This Row],[Total Hours Act]]+tbl_Weld[[#This Row],[Act. Hours]]),"")</f>
        <v/>
      </c>
      <c r="S114"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14" s="63"/>
      <c r="U114" s="63"/>
      <c r="V114" s="63"/>
      <c r="W114" s="63"/>
      <c r="X114" s="63"/>
    </row>
    <row r="115" spans="6:24" ht="24.75" customHeight="1">
      <c r="F115" s="53"/>
      <c r="H115" s="55" t="e">
        <f>tbl_Weld[[#This Row],[Qty Complete]]/tbl_Weld[[#This Row],[Qty Required]]</f>
        <v>#DIV/0!</v>
      </c>
      <c r="K115" s="57" t="str">
        <f>IFERROR(tbl_Weld[[#This Row],[Qty Required]]/tbl_Weld[[#This Row],[PPH]]*tbl_Weld[[#This Row],['# of men]],"")</f>
        <v/>
      </c>
      <c r="L115" s="58" t="e">
        <f>tbl_Weld[[#This Row],[Total hours]]*tbl_Weld[[#This Row],[% Complete]]</f>
        <v>#VALUE!</v>
      </c>
      <c r="M115" s="59" t="str">
        <f>IFERROR(tbl_Weld[[#This Row],[Qty Complete]]/tbl_Weld[[#This Row],[Total Hours Act]]*tbl_Weld[[#This Row],['# of men Act]],"")</f>
        <v/>
      </c>
      <c r="O115"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15" s="72" t="str">
        <f>IFERROR((tbl_Weld[[#This Row],[Adj. Total Hours]]+tbl_Weld[[#This Row],[Est. Hours]])/(tbl_Weld[[#This Row],[Total Hours Act]]+tbl_Weld[[#This Row],[Act. Hours]]),"")</f>
        <v/>
      </c>
      <c r="S115"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15" s="63"/>
      <c r="U115" s="63"/>
      <c r="V115" s="63"/>
      <c r="W115" s="63"/>
      <c r="X115" s="63"/>
    </row>
    <row r="116" spans="6:24" ht="24.75" customHeight="1">
      <c r="F116" s="53"/>
      <c r="H116" s="55" t="e">
        <f>tbl_Weld[[#This Row],[Qty Complete]]/tbl_Weld[[#This Row],[Qty Required]]</f>
        <v>#DIV/0!</v>
      </c>
      <c r="K116" s="57" t="str">
        <f>IFERROR(tbl_Weld[[#This Row],[Qty Required]]/tbl_Weld[[#This Row],[PPH]]*tbl_Weld[[#This Row],['# of men]],"")</f>
        <v/>
      </c>
      <c r="L116" s="58" t="e">
        <f>tbl_Weld[[#This Row],[Total hours]]*tbl_Weld[[#This Row],[% Complete]]</f>
        <v>#VALUE!</v>
      </c>
      <c r="M116" s="59" t="str">
        <f>IFERROR(tbl_Weld[[#This Row],[Qty Complete]]/tbl_Weld[[#This Row],[Total Hours Act]]*tbl_Weld[[#This Row],['# of men Act]],"")</f>
        <v/>
      </c>
      <c r="O116"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16" s="72" t="str">
        <f>IFERROR((tbl_Weld[[#This Row],[Adj. Total Hours]]+tbl_Weld[[#This Row],[Est. Hours]])/(tbl_Weld[[#This Row],[Total Hours Act]]+tbl_Weld[[#This Row],[Act. Hours]]),"")</f>
        <v/>
      </c>
      <c r="S116"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16" s="63"/>
      <c r="U116" s="63"/>
      <c r="V116" s="63"/>
      <c r="W116" s="63"/>
      <c r="X116" s="63"/>
    </row>
    <row r="117" spans="6:24" ht="24.75" customHeight="1">
      <c r="F117" s="53"/>
      <c r="H117" s="55" t="e">
        <f>tbl_Weld[[#This Row],[Qty Complete]]/tbl_Weld[[#This Row],[Qty Required]]</f>
        <v>#DIV/0!</v>
      </c>
      <c r="K117" s="57" t="str">
        <f>IFERROR(tbl_Weld[[#This Row],[Qty Required]]/tbl_Weld[[#This Row],[PPH]]*tbl_Weld[[#This Row],['# of men]],"")</f>
        <v/>
      </c>
      <c r="L117" s="58" t="e">
        <f>tbl_Weld[[#This Row],[Total hours]]*tbl_Weld[[#This Row],[% Complete]]</f>
        <v>#VALUE!</v>
      </c>
      <c r="M117" s="59" t="str">
        <f>IFERROR(tbl_Weld[[#This Row],[Qty Complete]]/tbl_Weld[[#This Row],[Total Hours Act]]*tbl_Weld[[#This Row],['# of men Act]],"")</f>
        <v/>
      </c>
      <c r="O117"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17" s="72" t="str">
        <f>IFERROR((tbl_Weld[[#This Row],[Adj. Total Hours]]+tbl_Weld[[#This Row],[Est. Hours]])/(tbl_Weld[[#This Row],[Total Hours Act]]+tbl_Weld[[#This Row],[Act. Hours]]),"")</f>
        <v/>
      </c>
      <c r="S117"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17" s="63"/>
      <c r="U117" s="63"/>
      <c r="V117" s="63"/>
      <c r="W117" s="63"/>
      <c r="X117" s="63"/>
    </row>
    <row r="118" spans="6:24" ht="24.75" customHeight="1">
      <c r="F118" s="53"/>
      <c r="H118" s="55" t="e">
        <f>tbl_Weld[[#This Row],[Qty Complete]]/tbl_Weld[[#This Row],[Qty Required]]</f>
        <v>#DIV/0!</v>
      </c>
      <c r="K118" s="57" t="str">
        <f>IFERROR(tbl_Weld[[#This Row],[Qty Required]]/tbl_Weld[[#This Row],[PPH]]*tbl_Weld[[#This Row],['# of men]],"")</f>
        <v/>
      </c>
      <c r="L118" s="58" t="e">
        <f>tbl_Weld[[#This Row],[Total hours]]*tbl_Weld[[#This Row],[% Complete]]</f>
        <v>#VALUE!</v>
      </c>
      <c r="M118" s="59" t="str">
        <f>IFERROR(tbl_Weld[[#This Row],[Qty Complete]]/tbl_Weld[[#This Row],[Total Hours Act]]*tbl_Weld[[#This Row],['# of men Act]],"")</f>
        <v/>
      </c>
      <c r="O118"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18" s="72" t="str">
        <f>IFERROR((tbl_Weld[[#This Row],[Adj. Total Hours]]+tbl_Weld[[#This Row],[Est. Hours]])/(tbl_Weld[[#This Row],[Total Hours Act]]+tbl_Weld[[#This Row],[Act. Hours]]),"")</f>
        <v/>
      </c>
      <c r="S118"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18" s="63"/>
      <c r="U118" s="63"/>
      <c r="V118" s="63"/>
      <c r="W118" s="63"/>
      <c r="X118" s="63"/>
    </row>
    <row r="119" spans="6:24" ht="24.75" customHeight="1">
      <c r="F119" s="53"/>
      <c r="H119" s="55" t="e">
        <f>tbl_Weld[[#This Row],[Qty Complete]]/tbl_Weld[[#This Row],[Qty Required]]</f>
        <v>#DIV/0!</v>
      </c>
      <c r="K119" s="57" t="str">
        <f>IFERROR(tbl_Weld[[#This Row],[Qty Required]]/tbl_Weld[[#This Row],[PPH]]*tbl_Weld[[#This Row],['# of men]],"")</f>
        <v/>
      </c>
      <c r="L119" s="58" t="e">
        <f>tbl_Weld[[#This Row],[Total hours]]*tbl_Weld[[#This Row],[% Complete]]</f>
        <v>#VALUE!</v>
      </c>
      <c r="M119" s="59" t="str">
        <f>IFERROR(tbl_Weld[[#This Row],[Qty Complete]]/tbl_Weld[[#This Row],[Total Hours Act]]*tbl_Weld[[#This Row],['# of men Act]],"")</f>
        <v/>
      </c>
      <c r="O119"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19" s="72" t="str">
        <f>IFERROR((tbl_Weld[[#This Row],[Adj. Total Hours]]+tbl_Weld[[#This Row],[Est. Hours]])/(tbl_Weld[[#This Row],[Total Hours Act]]+tbl_Weld[[#This Row],[Act. Hours]]),"")</f>
        <v/>
      </c>
      <c r="S119"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19" s="63"/>
      <c r="U119" s="63"/>
      <c r="V119" s="63"/>
      <c r="W119" s="63"/>
      <c r="X119" s="63"/>
    </row>
    <row r="120" spans="6:24" ht="24.75" customHeight="1">
      <c r="F120" s="53"/>
      <c r="H120" s="55" t="e">
        <f>tbl_Weld[[#This Row],[Qty Complete]]/tbl_Weld[[#This Row],[Qty Required]]</f>
        <v>#DIV/0!</v>
      </c>
      <c r="K120" s="57" t="str">
        <f>IFERROR(tbl_Weld[[#This Row],[Qty Required]]/tbl_Weld[[#This Row],[PPH]]*tbl_Weld[[#This Row],['# of men]],"")</f>
        <v/>
      </c>
      <c r="L120" s="58" t="e">
        <f>tbl_Weld[[#This Row],[Total hours]]*tbl_Weld[[#This Row],[% Complete]]</f>
        <v>#VALUE!</v>
      </c>
      <c r="M120" s="59" t="str">
        <f>IFERROR(tbl_Weld[[#This Row],[Qty Complete]]/tbl_Weld[[#This Row],[Total Hours Act]]*tbl_Weld[[#This Row],['# of men Act]],"")</f>
        <v/>
      </c>
      <c r="O120"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20" s="72" t="str">
        <f>IFERROR((tbl_Weld[[#This Row],[Adj. Total Hours]]+tbl_Weld[[#This Row],[Est. Hours]])/(tbl_Weld[[#This Row],[Total Hours Act]]+tbl_Weld[[#This Row],[Act. Hours]]),"")</f>
        <v/>
      </c>
      <c r="S120"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20" s="63"/>
      <c r="U120" s="63"/>
      <c r="V120" s="63"/>
      <c r="W120" s="63"/>
      <c r="X120" s="63"/>
    </row>
    <row r="121" spans="6:24" ht="24.75" customHeight="1">
      <c r="F121" s="53"/>
      <c r="H121" s="55" t="e">
        <f>tbl_Weld[[#This Row],[Qty Complete]]/tbl_Weld[[#This Row],[Qty Required]]</f>
        <v>#DIV/0!</v>
      </c>
      <c r="K121" s="57" t="str">
        <f>IFERROR(tbl_Weld[[#This Row],[Qty Required]]/tbl_Weld[[#This Row],[PPH]]*tbl_Weld[[#This Row],['# of men]],"")</f>
        <v/>
      </c>
      <c r="L121" s="58" t="e">
        <f>tbl_Weld[[#This Row],[Total hours]]*tbl_Weld[[#This Row],[% Complete]]</f>
        <v>#VALUE!</v>
      </c>
      <c r="M121" s="59" t="str">
        <f>IFERROR(tbl_Weld[[#This Row],[Qty Complete]]/tbl_Weld[[#This Row],[Total Hours Act]]*tbl_Weld[[#This Row],['# of men Act]],"")</f>
        <v/>
      </c>
      <c r="O121"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21" s="72" t="str">
        <f>IFERROR((tbl_Weld[[#This Row],[Adj. Total Hours]]+tbl_Weld[[#This Row],[Est. Hours]])/(tbl_Weld[[#This Row],[Total Hours Act]]+tbl_Weld[[#This Row],[Act. Hours]]),"")</f>
        <v/>
      </c>
      <c r="S121"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21" s="63"/>
      <c r="U121" s="63"/>
      <c r="V121" s="63"/>
      <c r="W121" s="63"/>
      <c r="X121" s="63"/>
    </row>
    <row r="122" spans="6:24" ht="24.75" customHeight="1">
      <c r="F122" s="53"/>
      <c r="H122" s="55" t="e">
        <f>tbl_Weld[[#This Row],[Qty Complete]]/tbl_Weld[[#This Row],[Qty Required]]</f>
        <v>#DIV/0!</v>
      </c>
      <c r="K122" s="57" t="str">
        <f>IFERROR(tbl_Weld[[#This Row],[Qty Required]]/tbl_Weld[[#This Row],[PPH]]*tbl_Weld[[#This Row],['# of men]],"")</f>
        <v/>
      </c>
      <c r="L122" s="58" t="e">
        <f>tbl_Weld[[#This Row],[Total hours]]*tbl_Weld[[#This Row],[% Complete]]</f>
        <v>#VALUE!</v>
      </c>
      <c r="M122" s="59" t="str">
        <f>IFERROR(tbl_Weld[[#This Row],[Qty Complete]]/tbl_Weld[[#This Row],[Total Hours Act]]*tbl_Weld[[#This Row],['# of men Act]],"")</f>
        <v/>
      </c>
      <c r="O122"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22" s="72" t="str">
        <f>IFERROR((tbl_Weld[[#This Row],[Adj. Total Hours]]+tbl_Weld[[#This Row],[Est. Hours]])/(tbl_Weld[[#This Row],[Total Hours Act]]+tbl_Weld[[#This Row],[Act. Hours]]),"")</f>
        <v/>
      </c>
      <c r="S122"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22" s="63"/>
      <c r="U122" s="63"/>
      <c r="V122" s="63"/>
      <c r="W122" s="63"/>
      <c r="X122" s="63"/>
    </row>
    <row r="123" spans="6:24" ht="24.75" customHeight="1">
      <c r="F123" s="53"/>
      <c r="H123" s="55" t="e">
        <f>tbl_Weld[[#This Row],[Qty Complete]]/tbl_Weld[[#This Row],[Qty Required]]</f>
        <v>#DIV/0!</v>
      </c>
      <c r="K123" s="57" t="str">
        <f>IFERROR(tbl_Weld[[#This Row],[Qty Required]]/tbl_Weld[[#This Row],[PPH]]*tbl_Weld[[#This Row],['# of men]],"")</f>
        <v/>
      </c>
      <c r="L123" s="58" t="e">
        <f>tbl_Weld[[#This Row],[Total hours]]*tbl_Weld[[#This Row],[% Complete]]</f>
        <v>#VALUE!</v>
      </c>
      <c r="M123" s="59" t="str">
        <f>IFERROR(tbl_Weld[[#This Row],[Qty Complete]]/tbl_Weld[[#This Row],[Total Hours Act]]*tbl_Weld[[#This Row],['# of men Act]],"")</f>
        <v/>
      </c>
      <c r="O123"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23" s="72" t="str">
        <f>IFERROR((tbl_Weld[[#This Row],[Adj. Total Hours]]+tbl_Weld[[#This Row],[Est. Hours]])/(tbl_Weld[[#This Row],[Total Hours Act]]+tbl_Weld[[#This Row],[Act. Hours]]),"")</f>
        <v/>
      </c>
      <c r="S123"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23" s="63"/>
      <c r="U123" s="63"/>
      <c r="V123" s="63"/>
      <c r="W123" s="63"/>
      <c r="X123" s="63"/>
    </row>
    <row r="124" spans="6:24" ht="24.75" customHeight="1">
      <c r="F124" s="53"/>
      <c r="H124" s="55" t="e">
        <f>tbl_Weld[[#This Row],[Qty Complete]]/tbl_Weld[[#This Row],[Qty Required]]</f>
        <v>#DIV/0!</v>
      </c>
      <c r="K124" s="57" t="str">
        <f>IFERROR(tbl_Weld[[#This Row],[Qty Required]]/tbl_Weld[[#This Row],[PPH]]*tbl_Weld[[#This Row],['# of men]],"")</f>
        <v/>
      </c>
      <c r="L124" s="58" t="e">
        <f>tbl_Weld[[#This Row],[Total hours]]*tbl_Weld[[#This Row],[% Complete]]</f>
        <v>#VALUE!</v>
      </c>
      <c r="M124" s="59" t="str">
        <f>IFERROR(tbl_Weld[[#This Row],[Qty Complete]]/tbl_Weld[[#This Row],[Total Hours Act]]*tbl_Weld[[#This Row],['# of men Act]],"")</f>
        <v/>
      </c>
      <c r="O124"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24" s="72" t="str">
        <f>IFERROR((tbl_Weld[[#This Row],[Adj. Total Hours]]+tbl_Weld[[#This Row],[Est. Hours]])/(tbl_Weld[[#This Row],[Total Hours Act]]+tbl_Weld[[#This Row],[Act. Hours]]),"")</f>
        <v/>
      </c>
      <c r="S124"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24" s="63"/>
      <c r="U124" s="63"/>
      <c r="V124" s="63"/>
      <c r="W124" s="63"/>
      <c r="X124" s="63"/>
    </row>
    <row r="125" spans="6:24" ht="24.75" customHeight="1">
      <c r="F125" s="53"/>
      <c r="H125" s="55" t="e">
        <f>tbl_Weld[[#This Row],[Qty Complete]]/tbl_Weld[[#This Row],[Qty Required]]</f>
        <v>#DIV/0!</v>
      </c>
      <c r="K125" s="57" t="str">
        <f>IFERROR(tbl_Weld[[#This Row],[Qty Required]]/tbl_Weld[[#This Row],[PPH]]*tbl_Weld[[#This Row],['# of men]],"")</f>
        <v/>
      </c>
      <c r="L125" s="58" t="e">
        <f>tbl_Weld[[#This Row],[Total hours]]*tbl_Weld[[#This Row],[% Complete]]</f>
        <v>#VALUE!</v>
      </c>
      <c r="M125" s="59" t="str">
        <f>IFERROR(tbl_Weld[[#This Row],[Qty Complete]]/tbl_Weld[[#This Row],[Total Hours Act]]*tbl_Weld[[#This Row],['# of men Act]],"")</f>
        <v/>
      </c>
      <c r="O125"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25" s="72" t="str">
        <f>IFERROR((tbl_Weld[[#This Row],[Adj. Total Hours]]+tbl_Weld[[#This Row],[Est. Hours]])/(tbl_Weld[[#This Row],[Total Hours Act]]+tbl_Weld[[#This Row],[Act. Hours]]),"")</f>
        <v/>
      </c>
      <c r="S125"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25" s="63"/>
      <c r="U125" s="63"/>
      <c r="V125" s="63"/>
      <c r="W125" s="63"/>
      <c r="X125" s="63"/>
    </row>
    <row r="126" spans="6:24" ht="24.75" customHeight="1">
      <c r="F126" s="53"/>
      <c r="H126" s="55" t="e">
        <f>tbl_Weld[[#This Row],[Qty Complete]]/tbl_Weld[[#This Row],[Qty Required]]</f>
        <v>#DIV/0!</v>
      </c>
      <c r="K126" s="57" t="str">
        <f>IFERROR(tbl_Weld[[#This Row],[Qty Required]]/tbl_Weld[[#This Row],[PPH]]*tbl_Weld[[#This Row],['# of men]],"")</f>
        <v/>
      </c>
      <c r="L126" s="58" t="e">
        <f>tbl_Weld[[#This Row],[Total hours]]*tbl_Weld[[#This Row],[% Complete]]</f>
        <v>#VALUE!</v>
      </c>
      <c r="M126" s="59" t="str">
        <f>IFERROR(tbl_Weld[[#This Row],[Qty Complete]]/tbl_Weld[[#This Row],[Total Hours Act]]*tbl_Weld[[#This Row],['# of men Act]],"")</f>
        <v/>
      </c>
      <c r="O126"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26" s="72" t="str">
        <f>IFERROR((tbl_Weld[[#This Row],[Adj. Total Hours]]+tbl_Weld[[#This Row],[Est. Hours]])/(tbl_Weld[[#This Row],[Total Hours Act]]+tbl_Weld[[#This Row],[Act. Hours]]),"")</f>
        <v/>
      </c>
      <c r="S126"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26" s="63"/>
      <c r="U126" s="63"/>
      <c r="V126" s="63"/>
      <c r="W126" s="63"/>
      <c r="X126" s="63"/>
    </row>
    <row r="127" spans="6:24" ht="24.75" customHeight="1">
      <c r="F127" s="53"/>
      <c r="H127" s="55" t="e">
        <f>tbl_Weld[[#This Row],[Qty Complete]]/tbl_Weld[[#This Row],[Qty Required]]</f>
        <v>#DIV/0!</v>
      </c>
      <c r="K127" s="57" t="str">
        <f>IFERROR(tbl_Weld[[#This Row],[Qty Required]]/tbl_Weld[[#This Row],[PPH]]*tbl_Weld[[#This Row],['# of men]],"")</f>
        <v/>
      </c>
      <c r="L127" s="58" t="e">
        <f>tbl_Weld[[#This Row],[Total hours]]*tbl_Weld[[#This Row],[% Complete]]</f>
        <v>#VALUE!</v>
      </c>
      <c r="M127" s="59" t="str">
        <f>IFERROR(tbl_Weld[[#This Row],[Qty Complete]]/tbl_Weld[[#This Row],[Total Hours Act]]*tbl_Weld[[#This Row],['# of men Act]],"")</f>
        <v/>
      </c>
      <c r="O127"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27" s="72" t="str">
        <f>IFERROR((tbl_Weld[[#This Row],[Adj. Total Hours]]+tbl_Weld[[#This Row],[Est. Hours]])/(tbl_Weld[[#This Row],[Total Hours Act]]+tbl_Weld[[#This Row],[Act. Hours]]),"")</f>
        <v/>
      </c>
      <c r="S127"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27" s="63"/>
      <c r="U127" s="63"/>
      <c r="V127" s="63"/>
      <c r="W127" s="63"/>
      <c r="X127" s="63"/>
    </row>
    <row r="128" spans="6:24" ht="24.75" customHeight="1">
      <c r="F128" s="53"/>
      <c r="H128" s="55" t="e">
        <f>tbl_Weld[[#This Row],[Qty Complete]]/tbl_Weld[[#This Row],[Qty Required]]</f>
        <v>#DIV/0!</v>
      </c>
      <c r="K128" s="57" t="str">
        <f>IFERROR(tbl_Weld[[#This Row],[Qty Required]]/tbl_Weld[[#This Row],[PPH]]*tbl_Weld[[#This Row],['# of men]],"")</f>
        <v/>
      </c>
      <c r="L128" s="58" t="e">
        <f>tbl_Weld[[#This Row],[Total hours]]*tbl_Weld[[#This Row],[% Complete]]</f>
        <v>#VALUE!</v>
      </c>
      <c r="M128" s="59" t="str">
        <f>IFERROR(tbl_Weld[[#This Row],[Qty Complete]]/tbl_Weld[[#This Row],[Total Hours Act]]*tbl_Weld[[#This Row],['# of men Act]],"")</f>
        <v/>
      </c>
      <c r="O128"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28" s="72" t="str">
        <f>IFERROR((tbl_Weld[[#This Row],[Adj. Total Hours]]+tbl_Weld[[#This Row],[Est. Hours]])/(tbl_Weld[[#This Row],[Total Hours Act]]+tbl_Weld[[#This Row],[Act. Hours]]),"")</f>
        <v/>
      </c>
      <c r="S128"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28" s="63"/>
      <c r="U128" s="63"/>
      <c r="V128" s="63"/>
      <c r="W128" s="63"/>
      <c r="X128" s="63"/>
    </row>
    <row r="129" spans="6:24" ht="24.75" customHeight="1">
      <c r="F129" s="53"/>
      <c r="H129" s="55" t="e">
        <f>tbl_Weld[[#This Row],[Qty Complete]]/tbl_Weld[[#This Row],[Qty Required]]</f>
        <v>#DIV/0!</v>
      </c>
      <c r="K129" s="57" t="str">
        <f>IFERROR(tbl_Weld[[#This Row],[Qty Required]]/tbl_Weld[[#This Row],[PPH]]*tbl_Weld[[#This Row],['# of men]],"")</f>
        <v/>
      </c>
      <c r="L129" s="58" t="e">
        <f>tbl_Weld[[#This Row],[Total hours]]*tbl_Weld[[#This Row],[% Complete]]</f>
        <v>#VALUE!</v>
      </c>
      <c r="M129" s="59" t="str">
        <f>IFERROR(tbl_Weld[[#This Row],[Qty Complete]]/tbl_Weld[[#This Row],[Total Hours Act]]*tbl_Weld[[#This Row],['# of men Act]],"")</f>
        <v/>
      </c>
      <c r="O129"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29" s="72" t="str">
        <f>IFERROR((tbl_Weld[[#This Row],[Adj. Total Hours]]+tbl_Weld[[#This Row],[Est. Hours]])/(tbl_Weld[[#This Row],[Total Hours Act]]+tbl_Weld[[#This Row],[Act. Hours]]),"")</f>
        <v/>
      </c>
      <c r="S129"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29" s="63"/>
      <c r="U129" s="63"/>
      <c r="V129" s="63"/>
      <c r="W129" s="63"/>
      <c r="X129" s="63"/>
    </row>
    <row r="130" spans="6:24" ht="24.75" customHeight="1">
      <c r="F130" s="53"/>
      <c r="H130" s="55" t="e">
        <f>tbl_Weld[[#This Row],[Qty Complete]]/tbl_Weld[[#This Row],[Qty Required]]</f>
        <v>#DIV/0!</v>
      </c>
      <c r="K130" s="57" t="str">
        <f>IFERROR(tbl_Weld[[#This Row],[Qty Required]]/tbl_Weld[[#This Row],[PPH]]*tbl_Weld[[#This Row],['# of men]],"")</f>
        <v/>
      </c>
      <c r="L130" s="58" t="e">
        <f>tbl_Weld[[#This Row],[Total hours]]*tbl_Weld[[#This Row],[% Complete]]</f>
        <v>#VALUE!</v>
      </c>
      <c r="M130" s="59" t="str">
        <f>IFERROR(tbl_Weld[[#This Row],[Qty Complete]]/tbl_Weld[[#This Row],[Total Hours Act]]*tbl_Weld[[#This Row],['# of men Act]],"")</f>
        <v/>
      </c>
      <c r="O130"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30" s="72" t="str">
        <f>IFERROR((tbl_Weld[[#This Row],[Adj. Total Hours]]+tbl_Weld[[#This Row],[Est. Hours]])/(tbl_Weld[[#This Row],[Total Hours Act]]+tbl_Weld[[#This Row],[Act. Hours]]),"")</f>
        <v/>
      </c>
      <c r="S130"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30" s="63"/>
      <c r="U130" s="63"/>
      <c r="V130" s="63"/>
      <c r="W130" s="63"/>
      <c r="X130" s="63"/>
    </row>
    <row r="131" spans="6:24" ht="24.75" customHeight="1">
      <c r="F131" s="53"/>
      <c r="H131" s="55" t="e">
        <f>tbl_Weld[[#This Row],[Qty Complete]]/tbl_Weld[[#This Row],[Qty Required]]</f>
        <v>#DIV/0!</v>
      </c>
      <c r="K131" s="57" t="str">
        <f>IFERROR(tbl_Weld[[#This Row],[Qty Required]]/tbl_Weld[[#This Row],[PPH]]*tbl_Weld[[#This Row],['# of men]],"")</f>
        <v/>
      </c>
      <c r="L131" s="58" t="e">
        <f>tbl_Weld[[#This Row],[Total hours]]*tbl_Weld[[#This Row],[% Complete]]</f>
        <v>#VALUE!</v>
      </c>
      <c r="M131" s="59" t="str">
        <f>IFERROR(tbl_Weld[[#This Row],[Qty Complete]]/tbl_Weld[[#This Row],[Total Hours Act]]*tbl_Weld[[#This Row],['# of men Act]],"")</f>
        <v/>
      </c>
      <c r="O131"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31" s="72" t="str">
        <f>IFERROR((tbl_Weld[[#This Row],[Adj. Total Hours]]+tbl_Weld[[#This Row],[Est. Hours]])/(tbl_Weld[[#This Row],[Total Hours Act]]+tbl_Weld[[#This Row],[Act. Hours]]),"")</f>
        <v/>
      </c>
      <c r="S131"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31" s="63"/>
      <c r="U131" s="63"/>
      <c r="V131" s="63"/>
      <c r="W131" s="63"/>
      <c r="X131" s="63"/>
    </row>
    <row r="132" spans="6:24" ht="24.75" customHeight="1">
      <c r="F132" s="53"/>
      <c r="H132" s="55" t="e">
        <f>tbl_Weld[[#This Row],[Qty Complete]]/tbl_Weld[[#This Row],[Qty Required]]</f>
        <v>#DIV/0!</v>
      </c>
      <c r="K132" s="57" t="str">
        <f>IFERROR(tbl_Weld[[#This Row],[Qty Required]]/tbl_Weld[[#This Row],[PPH]]*tbl_Weld[[#This Row],['# of men]],"")</f>
        <v/>
      </c>
      <c r="L132" s="58" t="e">
        <f>tbl_Weld[[#This Row],[Total hours]]*tbl_Weld[[#This Row],[% Complete]]</f>
        <v>#VALUE!</v>
      </c>
      <c r="M132" s="59" t="str">
        <f>IFERROR(tbl_Weld[[#This Row],[Qty Complete]]/tbl_Weld[[#This Row],[Total Hours Act]]*tbl_Weld[[#This Row],['# of men Act]],"")</f>
        <v/>
      </c>
      <c r="O132"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32" s="72" t="str">
        <f>IFERROR((tbl_Weld[[#This Row],[Adj. Total Hours]]+tbl_Weld[[#This Row],[Est. Hours]])/(tbl_Weld[[#This Row],[Total Hours Act]]+tbl_Weld[[#This Row],[Act. Hours]]),"")</f>
        <v/>
      </c>
      <c r="S132"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32" s="63"/>
      <c r="U132" s="63"/>
      <c r="V132" s="63"/>
      <c r="W132" s="63"/>
      <c r="X132" s="63"/>
    </row>
    <row r="133" spans="6:24" ht="24.75" customHeight="1">
      <c r="F133" s="53"/>
      <c r="H133" s="55" t="e">
        <f>tbl_Weld[[#This Row],[Qty Complete]]/tbl_Weld[[#This Row],[Qty Required]]</f>
        <v>#DIV/0!</v>
      </c>
      <c r="K133" s="57" t="str">
        <f>IFERROR(tbl_Weld[[#This Row],[Qty Required]]/tbl_Weld[[#This Row],[PPH]]*tbl_Weld[[#This Row],['# of men]],"")</f>
        <v/>
      </c>
      <c r="L133" s="58" t="e">
        <f>tbl_Weld[[#This Row],[Total hours]]*tbl_Weld[[#This Row],[% Complete]]</f>
        <v>#VALUE!</v>
      </c>
      <c r="M133" s="59" t="str">
        <f>IFERROR(tbl_Weld[[#This Row],[Qty Complete]]/tbl_Weld[[#This Row],[Total Hours Act]]*tbl_Weld[[#This Row],['# of men Act]],"")</f>
        <v/>
      </c>
      <c r="O133"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33" s="72" t="str">
        <f>IFERROR((tbl_Weld[[#This Row],[Adj. Total Hours]]+tbl_Weld[[#This Row],[Est. Hours]])/(tbl_Weld[[#This Row],[Total Hours Act]]+tbl_Weld[[#This Row],[Act. Hours]]),"")</f>
        <v/>
      </c>
      <c r="S133"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33" s="63"/>
      <c r="U133" s="63"/>
      <c r="V133" s="63"/>
      <c r="W133" s="63"/>
      <c r="X133" s="63"/>
    </row>
    <row r="134" spans="6:24" ht="24.75" customHeight="1">
      <c r="F134" s="53"/>
      <c r="H134" s="55" t="e">
        <f>tbl_Weld[[#This Row],[Qty Complete]]/tbl_Weld[[#This Row],[Qty Required]]</f>
        <v>#DIV/0!</v>
      </c>
      <c r="K134" s="57" t="str">
        <f>IFERROR(tbl_Weld[[#This Row],[Qty Required]]/tbl_Weld[[#This Row],[PPH]]*tbl_Weld[[#This Row],['# of men]],"")</f>
        <v/>
      </c>
      <c r="L134" s="58" t="e">
        <f>tbl_Weld[[#This Row],[Total hours]]*tbl_Weld[[#This Row],[% Complete]]</f>
        <v>#VALUE!</v>
      </c>
      <c r="M134" s="59" t="str">
        <f>IFERROR(tbl_Weld[[#This Row],[Qty Complete]]/tbl_Weld[[#This Row],[Total Hours Act]]*tbl_Weld[[#This Row],['# of men Act]],"")</f>
        <v/>
      </c>
      <c r="O134"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34" s="72" t="str">
        <f>IFERROR((tbl_Weld[[#This Row],[Adj. Total Hours]]+tbl_Weld[[#This Row],[Est. Hours]])/(tbl_Weld[[#This Row],[Total Hours Act]]+tbl_Weld[[#This Row],[Act. Hours]]),"")</f>
        <v/>
      </c>
      <c r="S134"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34" s="63"/>
      <c r="U134" s="63"/>
      <c r="V134" s="63"/>
      <c r="W134" s="63"/>
      <c r="X134" s="63"/>
    </row>
    <row r="135" spans="6:24" ht="24.75" customHeight="1">
      <c r="F135" s="53"/>
      <c r="H135" s="55" t="e">
        <f>tbl_Weld[[#This Row],[Qty Complete]]/tbl_Weld[[#This Row],[Qty Required]]</f>
        <v>#DIV/0!</v>
      </c>
      <c r="K135" s="57" t="str">
        <f>IFERROR(tbl_Weld[[#This Row],[Qty Required]]/tbl_Weld[[#This Row],[PPH]]*tbl_Weld[[#This Row],['# of men]],"")</f>
        <v/>
      </c>
      <c r="L135" s="58" t="e">
        <f>tbl_Weld[[#This Row],[Total hours]]*tbl_Weld[[#This Row],[% Complete]]</f>
        <v>#VALUE!</v>
      </c>
      <c r="M135" s="59" t="str">
        <f>IFERROR(tbl_Weld[[#This Row],[Qty Complete]]/tbl_Weld[[#This Row],[Total Hours Act]]*tbl_Weld[[#This Row],['# of men Act]],"")</f>
        <v/>
      </c>
      <c r="O135"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35" s="72" t="str">
        <f>IFERROR((tbl_Weld[[#This Row],[Adj. Total Hours]]+tbl_Weld[[#This Row],[Est. Hours]])/(tbl_Weld[[#This Row],[Total Hours Act]]+tbl_Weld[[#This Row],[Act. Hours]]),"")</f>
        <v/>
      </c>
      <c r="S135"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35" s="63"/>
      <c r="U135" s="63"/>
      <c r="V135" s="63"/>
      <c r="W135" s="63"/>
      <c r="X135" s="63"/>
    </row>
    <row r="136" spans="6:24" ht="24.75" customHeight="1">
      <c r="F136" s="53"/>
      <c r="H136" s="55" t="e">
        <f>tbl_Weld[[#This Row],[Qty Complete]]/tbl_Weld[[#This Row],[Qty Required]]</f>
        <v>#DIV/0!</v>
      </c>
      <c r="K136" s="57" t="str">
        <f>IFERROR(tbl_Weld[[#This Row],[Qty Required]]/tbl_Weld[[#This Row],[PPH]]*tbl_Weld[[#This Row],['# of men]],"")</f>
        <v/>
      </c>
      <c r="L136" s="58" t="e">
        <f>tbl_Weld[[#This Row],[Total hours]]*tbl_Weld[[#This Row],[% Complete]]</f>
        <v>#VALUE!</v>
      </c>
      <c r="M136" s="59" t="str">
        <f>IFERROR(tbl_Weld[[#This Row],[Qty Complete]]/tbl_Weld[[#This Row],[Total Hours Act]]*tbl_Weld[[#This Row],['# of men Act]],"")</f>
        <v/>
      </c>
      <c r="O136"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36" s="72" t="str">
        <f>IFERROR((tbl_Weld[[#This Row],[Adj. Total Hours]]+tbl_Weld[[#This Row],[Est. Hours]])/(tbl_Weld[[#This Row],[Total Hours Act]]+tbl_Weld[[#This Row],[Act. Hours]]),"")</f>
        <v/>
      </c>
      <c r="S136"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36" s="63"/>
      <c r="U136" s="63"/>
      <c r="V136" s="63"/>
      <c r="W136" s="63"/>
      <c r="X136" s="63"/>
    </row>
    <row r="137" spans="6:24" ht="24.75" customHeight="1">
      <c r="F137" s="53"/>
      <c r="H137" s="55" t="e">
        <f>tbl_Weld[[#This Row],[Qty Complete]]/tbl_Weld[[#This Row],[Qty Required]]</f>
        <v>#DIV/0!</v>
      </c>
      <c r="K137" s="57" t="str">
        <f>IFERROR(tbl_Weld[[#This Row],[Qty Required]]/tbl_Weld[[#This Row],[PPH]]*tbl_Weld[[#This Row],['# of men]],"")</f>
        <v/>
      </c>
      <c r="L137" s="58" t="e">
        <f>tbl_Weld[[#This Row],[Total hours]]*tbl_Weld[[#This Row],[% Complete]]</f>
        <v>#VALUE!</v>
      </c>
      <c r="M137" s="59" t="str">
        <f>IFERROR(tbl_Weld[[#This Row],[Qty Complete]]/tbl_Weld[[#This Row],[Total Hours Act]]*tbl_Weld[[#This Row],['# of men Act]],"")</f>
        <v/>
      </c>
      <c r="O137"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37" s="72" t="str">
        <f>IFERROR((tbl_Weld[[#This Row],[Adj. Total Hours]]+tbl_Weld[[#This Row],[Est. Hours]])/(tbl_Weld[[#This Row],[Total Hours Act]]+tbl_Weld[[#This Row],[Act. Hours]]),"")</f>
        <v/>
      </c>
      <c r="S137"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37" s="63"/>
      <c r="U137" s="63"/>
      <c r="V137" s="63"/>
      <c r="W137" s="63"/>
      <c r="X137" s="63"/>
    </row>
    <row r="138" spans="6:24" ht="24.75" customHeight="1">
      <c r="F138" s="53"/>
      <c r="H138" s="55" t="e">
        <f>tbl_Weld[[#This Row],[Qty Complete]]/tbl_Weld[[#This Row],[Qty Required]]</f>
        <v>#DIV/0!</v>
      </c>
      <c r="K138" s="57" t="str">
        <f>IFERROR(tbl_Weld[[#This Row],[Qty Required]]/tbl_Weld[[#This Row],[PPH]]*tbl_Weld[[#This Row],['# of men]],"")</f>
        <v/>
      </c>
      <c r="L138" s="58" t="e">
        <f>tbl_Weld[[#This Row],[Total hours]]*tbl_Weld[[#This Row],[% Complete]]</f>
        <v>#VALUE!</v>
      </c>
      <c r="M138" s="59" t="str">
        <f>IFERROR(tbl_Weld[[#This Row],[Qty Complete]]/tbl_Weld[[#This Row],[Total Hours Act]]*tbl_Weld[[#This Row],['# of men Act]],"")</f>
        <v/>
      </c>
      <c r="O138"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38" s="72" t="str">
        <f>IFERROR((tbl_Weld[[#This Row],[Adj. Total Hours]]+tbl_Weld[[#This Row],[Est. Hours]])/(tbl_Weld[[#This Row],[Total Hours Act]]+tbl_Weld[[#This Row],[Act. Hours]]),"")</f>
        <v/>
      </c>
      <c r="S138"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38" s="63"/>
      <c r="U138" s="63"/>
      <c r="V138" s="63"/>
      <c r="W138" s="63"/>
      <c r="X138" s="63"/>
    </row>
    <row r="139" spans="6:24" ht="24.75" customHeight="1">
      <c r="F139" s="53"/>
      <c r="H139" s="55" t="e">
        <f>tbl_Weld[[#This Row],[Qty Complete]]/tbl_Weld[[#This Row],[Qty Required]]</f>
        <v>#DIV/0!</v>
      </c>
      <c r="K139" s="57" t="str">
        <f>IFERROR(tbl_Weld[[#This Row],[Qty Required]]/tbl_Weld[[#This Row],[PPH]]*tbl_Weld[[#This Row],['# of men]],"")</f>
        <v/>
      </c>
      <c r="L139" s="58" t="e">
        <f>tbl_Weld[[#This Row],[Total hours]]*tbl_Weld[[#This Row],[% Complete]]</f>
        <v>#VALUE!</v>
      </c>
      <c r="M139" s="59" t="str">
        <f>IFERROR(tbl_Weld[[#This Row],[Qty Complete]]/tbl_Weld[[#This Row],[Total Hours Act]]*tbl_Weld[[#This Row],['# of men Act]],"")</f>
        <v/>
      </c>
      <c r="O139"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39" s="72" t="str">
        <f>IFERROR((tbl_Weld[[#This Row],[Adj. Total Hours]]+tbl_Weld[[#This Row],[Est. Hours]])/(tbl_Weld[[#This Row],[Total Hours Act]]+tbl_Weld[[#This Row],[Act. Hours]]),"")</f>
        <v/>
      </c>
      <c r="S139"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39" s="63"/>
      <c r="U139" s="63"/>
      <c r="V139" s="63"/>
      <c r="W139" s="63"/>
      <c r="X139" s="63"/>
    </row>
    <row r="140" spans="6:24" ht="24.75" customHeight="1">
      <c r="F140" s="53"/>
      <c r="H140" s="55" t="e">
        <f>tbl_Weld[[#This Row],[Qty Complete]]/tbl_Weld[[#This Row],[Qty Required]]</f>
        <v>#DIV/0!</v>
      </c>
      <c r="K140" s="57" t="str">
        <f>IFERROR(tbl_Weld[[#This Row],[Qty Required]]/tbl_Weld[[#This Row],[PPH]]*tbl_Weld[[#This Row],['# of men]],"")</f>
        <v/>
      </c>
      <c r="L140" s="58" t="e">
        <f>tbl_Weld[[#This Row],[Total hours]]*tbl_Weld[[#This Row],[% Complete]]</f>
        <v>#VALUE!</v>
      </c>
      <c r="M140" s="59" t="str">
        <f>IFERROR(tbl_Weld[[#This Row],[Qty Complete]]/tbl_Weld[[#This Row],[Total Hours Act]]*tbl_Weld[[#This Row],['# of men Act]],"")</f>
        <v/>
      </c>
      <c r="O140"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40" s="72" t="str">
        <f>IFERROR((tbl_Weld[[#This Row],[Adj. Total Hours]]+tbl_Weld[[#This Row],[Est. Hours]])/(tbl_Weld[[#This Row],[Total Hours Act]]+tbl_Weld[[#This Row],[Act. Hours]]),"")</f>
        <v/>
      </c>
      <c r="S140"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40" s="63"/>
      <c r="U140" s="63"/>
      <c r="V140" s="63"/>
      <c r="W140" s="63"/>
      <c r="X140" s="63"/>
    </row>
    <row r="141" spans="6:24" ht="24.75" customHeight="1">
      <c r="F141" s="53"/>
      <c r="H141" s="55" t="e">
        <f>tbl_Weld[[#This Row],[Qty Complete]]/tbl_Weld[[#This Row],[Qty Required]]</f>
        <v>#DIV/0!</v>
      </c>
      <c r="K141" s="57" t="str">
        <f>IFERROR(tbl_Weld[[#This Row],[Qty Required]]/tbl_Weld[[#This Row],[PPH]]*tbl_Weld[[#This Row],['# of men]],"")</f>
        <v/>
      </c>
      <c r="L141" s="58" t="e">
        <f>tbl_Weld[[#This Row],[Total hours]]*tbl_Weld[[#This Row],[% Complete]]</f>
        <v>#VALUE!</v>
      </c>
      <c r="M141" s="59" t="str">
        <f>IFERROR(tbl_Weld[[#This Row],[Qty Complete]]/tbl_Weld[[#This Row],[Total Hours Act]]*tbl_Weld[[#This Row],['# of men Act]],"")</f>
        <v/>
      </c>
      <c r="O141"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41" s="72" t="str">
        <f>IFERROR((tbl_Weld[[#This Row],[Adj. Total Hours]]+tbl_Weld[[#This Row],[Est. Hours]])/(tbl_Weld[[#This Row],[Total Hours Act]]+tbl_Weld[[#This Row],[Act. Hours]]),"")</f>
        <v/>
      </c>
      <c r="S141"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41" s="63"/>
      <c r="U141" s="63"/>
      <c r="V141" s="63"/>
      <c r="W141" s="63"/>
      <c r="X141" s="63"/>
    </row>
    <row r="142" spans="6:24" ht="24.75" customHeight="1">
      <c r="F142" s="53"/>
      <c r="H142" s="55" t="e">
        <f>tbl_Weld[[#This Row],[Qty Complete]]/tbl_Weld[[#This Row],[Qty Required]]</f>
        <v>#DIV/0!</v>
      </c>
      <c r="K142" s="57" t="str">
        <f>IFERROR(tbl_Weld[[#This Row],[Qty Required]]/tbl_Weld[[#This Row],[PPH]]*tbl_Weld[[#This Row],['# of men]],"")</f>
        <v/>
      </c>
      <c r="L142" s="58" t="e">
        <f>tbl_Weld[[#This Row],[Total hours]]*tbl_Weld[[#This Row],[% Complete]]</f>
        <v>#VALUE!</v>
      </c>
      <c r="M142" s="59" t="str">
        <f>IFERROR(tbl_Weld[[#This Row],[Qty Complete]]/tbl_Weld[[#This Row],[Total Hours Act]]*tbl_Weld[[#This Row],['# of men Act]],"")</f>
        <v/>
      </c>
      <c r="O142"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42" s="72" t="str">
        <f>IFERROR((tbl_Weld[[#This Row],[Adj. Total Hours]]+tbl_Weld[[#This Row],[Est. Hours]])/(tbl_Weld[[#This Row],[Total Hours Act]]+tbl_Weld[[#This Row],[Act. Hours]]),"")</f>
        <v/>
      </c>
      <c r="S142"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42" s="63"/>
      <c r="U142" s="63"/>
      <c r="V142" s="63"/>
      <c r="W142" s="63"/>
      <c r="X142" s="63"/>
    </row>
    <row r="143" spans="6:24" ht="24.75" customHeight="1">
      <c r="F143" s="53"/>
      <c r="H143" s="55" t="e">
        <f>tbl_Weld[[#This Row],[Qty Complete]]/tbl_Weld[[#This Row],[Qty Required]]</f>
        <v>#DIV/0!</v>
      </c>
      <c r="K143" s="57" t="str">
        <f>IFERROR(tbl_Weld[[#This Row],[Qty Required]]/tbl_Weld[[#This Row],[PPH]]*tbl_Weld[[#This Row],['# of men]],"")</f>
        <v/>
      </c>
      <c r="L143" s="58" t="e">
        <f>tbl_Weld[[#This Row],[Total hours]]*tbl_Weld[[#This Row],[% Complete]]</f>
        <v>#VALUE!</v>
      </c>
      <c r="M143" s="59" t="str">
        <f>IFERROR(tbl_Weld[[#This Row],[Qty Complete]]/tbl_Weld[[#This Row],[Total Hours Act]]*tbl_Weld[[#This Row],['# of men Act]],"")</f>
        <v/>
      </c>
      <c r="O143"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43" s="72" t="str">
        <f>IFERROR((tbl_Weld[[#This Row],[Adj. Total Hours]]+tbl_Weld[[#This Row],[Est. Hours]])/(tbl_Weld[[#This Row],[Total Hours Act]]+tbl_Weld[[#This Row],[Act. Hours]]),"")</f>
        <v/>
      </c>
      <c r="S143"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43" s="63"/>
      <c r="U143" s="63"/>
      <c r="V143" s="63"/>
      <c r="W143" s="63"/>
      <c r="X143" s="63"/>
    </row>
    <row r="144" spans="6:24" ht="24.75" customHeight="1">
      <c r="F144" s="53"/>
      <c r="H144" s="55" t="e">
        <f>tbl_Weld[[#This Row],[Qty Complete]]/tbl_Weld[[#This Row],[Qty Required]]</f>
        <v>#DIV/0!</v>
      </c>
      <c r="K144" s="57" t="str">
        <f>IFERROR(tbl_Weld[[#This Row],[Qty Required]]/tbl_Weld[[#This Row],[PPH]]*tbl_Weld[[#This Row],['# of men]],"")</f>
        <v/>
      </c>
      <c r="L144" s="58" t="e">
        <f>tbl_Weld[[#This Row],[Total hours]]*tbl_Weld[[#This Row],[% Complete]]</f>
        <v>#VALUE!</v>
      </c>
      <c r="M144" s="59" t="str">
        <f>IFERROR(tbl_Weld[[#This Row],[Qty Complete]]/tbl_Weld[[#This Row],[Total Hours Act]]*tbl_Weld[[#This Row],['# of men Act]],"")</f>
        <v/>
      </c>
      <c r="O144"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44" s="72" t="str">
        <f>IFERROR((tbl_Weld[[#This Row],[Adj. Total Hours]]+tbl_Weld[[#This Row],[Est. Hours]])/(tbl_Weld[[#This Row],[Total Hours Act]]+tbl_Weld[[#This Row],[Act. Hours]]),"")</f>
        <v/>
      </c>
      <c r="S144"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44" s="63"/>
      <c r="U144" s="63"/>
      <c r="V144" s="63"/>
      <c r="W144" s="63"/>
      <c r="X144" s="63"/>
    </row>
    <row r="145" spans="6:24" ht="24.75" customHeight="1">
      <c r="F145" s="53"/>
      <c r="H145" s="55" t="e">
        <f>tbl_Weld[[#This Row],[Qty Complete]]/tbl_Weld[[#This Row],[Qty Required]]</f>
        <v>#DIV/0!</v>
      </c>
      <c r="K145" s="57" t="str">
        <f>IFERROR(tbl_Weld[[#This Row],[Qty Required]]/tbl_Weld[[#This Row],[PPH]]*tbl_Weld[[#This Row],['# of men]],"")</f>
        <v/>
      </c>
      <c r="L145" s="58" t="e">
        <f>tbl_Weld[[#This Row],[Total hours]]*tbl_Weld[[#This Row],[% Complete]]</f>
        <v>#VALUE!</v>
      </c>
      <c r="M145" s="59" t="str">
        <f>IFERROR(tbl_Weld[[#This Row],[Qty Complete]]/tbl_Weld[[#This Row],[Total Hours Act]]*tbl_Weld[[#This Row],['# of men Act]],"")</f>
        <v/>
      </c>
      <c r="O145"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45" s="72" t="str">
        <f>IFERROR((tbl_Weld[[#This Row],[Adj. Total Hours]]+tbl_Weld[[#This Row],[Est. Hours]])/(tbl_Weld[[#This Row],[Total Hours Act]]+tbl_Weld[[#This Row],[Act. Hours]]),"")</f>
        <v/>
      </c>
      <c r="S145"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45" s="63"/>
      <c r="U145" s="63"/>
      <c r="V145" s="63"/>
      <c r="W145" s="63"/>
      <c r="X145" s="63"/>
    </row>
    <row r="146" spans="6:24" ht="24.75" customHeight="1">
      <c r="F146" s="53"/>
      <c r="H146" s="55" t="e">
        <f>tbl_Weld[[#This Row],[Qty Complete]]/tbl_Weld[[#This Row],[Qty Required]]</f>
        <v>#DIV/0!</v>
      </c>
      <c r="K146" s="57" t="str">
        <f>IFERROR(tbl_Weld[[#This Row],[Qty Required]]/tbl_Weld[[#This Row],[PPH]]*tbl_Weld[[#This Row],['# of men]],"")</f>
        <v/>
      </c>
      <c r="L146" s="58" t="e">
        <f>tbl_Weld[[#This Row],[Total hours]]*tbl_Weld[[#This Row],[% Complete]]</f>
        <v>#VALUE!</v>
      </c>
      <c r="M146" s="59" t="str">
        <f>IFERROR(tbl_Weld[[#This Row],[Qty Complete]]/tbl_Weld[[#This Row],[Total Hours Act]]*tbl_Weld[[#This Row],['# of men Act]],"")</f>
        <v/>
      </c>
      <c r="O146"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46" s="72" t="str">
        <f>IFERROR((tbl_Weld[[#This Row],[Adj. Total Hours]]+tbl_Weld[[#This Row],[Est. Hours]])/(tbl_Weld[[#This Row],[Total Hours Act]]+tbl_Weld[[#This Row],[Act. Hours]]),"")</f>
        <v/>
      </c>
      <c r="S146"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46" s="63"/>
      <c r="U146" s="63"/>
      <c r="V146" s="63"/>
      <c r="W146" s="63"/>
      <c r="X146" s="63"/>
    </row>
    <row r="147" spans="6:24" ht="24.75" customHeight="1">
      <c r="F147" s="53"/>
      <c r="H147" s="55" t="e">
        <f>tbl_Weld[[#This Row],[Qty Complete]]/tbl_Weld[[#This Row],[Qty Required]]</f>
        <v>#DIV/0!</v>
      </c>
      <c r="K147" s="57" t="str">
        <f>IFERROR(tbl_Weld[[#This Row],[Qty Required]]/tbl_Weld[[#This Row],[PPH]]*tbl_Weld[[#This Row],['# of men]],"")</f>
        <v/>
      </c>
      <c r="L147" s="58" t="e">
        <f>tbl_Weld[[#This Row],[Total hours]]*tbl_Weld[[#This Row],[% Complete]]</f>
        <v>#VALUE!</v>
      </c>
      <c r="M147" s="59" t="str">
        <f>IFERROR(tbl_Weld[[#This Row],[Qty Complete]]/tbl_Weld[[#This Row],[Total Hours Act]]*tbl_Weld[[#This Row],['# of men Act]],"")</f>
        <v/>
      </c>
      <c r="O147"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47" s="72" t="str">
        <f>IFERROR((tbl_Weld[[#This Row],[Adj. Total Hours]]+tbl_Weld[[#This Row],[Est. Hours]])/(tbl_Weld[[#This Row],[Total Hours Act]]+tbl_Weld[[#This Row],[Act. Hours]]),"")</f>
        <v/>
      </c>
      <c r="S147"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47" s="63"/>
      <c r="U147" s="63"/>
      <c r="V147" s="63"/>
      <c r="W147" s="63"/>
      <c r="X147" s="63"/>
    </row>
    <row r="148" spans="6:24" ht="24.75" customHeight="1">
      <c r="F148" s="53"/>
      <c r="H148" s="55" t="e">
        <f>tbl_Weld[[#This Row],[Qty Complete]]/tbl_Weld[[#This Row],[Qty Required]]</f>
        <v>#DIV/0!</v>
      </c>
      <c r="K148" s="57" t="str">
        <f>IFERROR(tbl_Weld[[#This Row],[Qty Required]]/tbl_Weld[[#This Row],[PPH]]*tbl_Weld[[#This Row],['# of men]],"")</f>
        <v/>
      </c>
      <c r="L148" s="58" t="e">
        <f>tbl_Weld[[#This Row],[Total hours]]*tbl_Weld[[#This Row],[% Complete]]</f>
        <v>#VALUE!</v>
      </c>
      <c r="M148" s="59" t="str">
        <f>IFERROR(tbl_Weld[[#This Row],[Qty Complete]]/tbl_Weld[[#This Row],[Total Hours Act]]*tbl_Weld[[#This Row],['# of men Act]],"")</f>
        <v/>
      </c>
      <c r="O148"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48" s="72" t="str">
        <f>IFERROR((tbl_Weld[[#This Row],[Adj. Total Hours]]+tbl_Weld[[#This Row],[Est. Hours]])/(tbl_Weld[[#This Row],[Total Hours Act]]+tbl_Weld[[#This Row],[Act. Hours]]),"")</f>
        <v/>
      </c>
      <c r="S148"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48" s="63"/>
      <c r="U148" s="63"/>
      <c r="V148" s="63"/>
      <c r="W148" s="63"/>
      <c r="X148" s="63"/>
    </row>
    <row r="149" spans="6:24" ht="24.75" customHeight="1">
      <c r="F149" s="53"/>
      <c r="H149" s="55" t="e">
        <f>tbl_Weld[[#This Row],[Qty Complete]]/tbl_Weld[[#This Row],[Qty Required]]</f>
        <v>#DIV/0!</v>
      </c>
      <c r="K149" s="57" t="str">
        <f>IFERROR(tbl_Weld[[#This Row],[Qty Required]]/tbl_Weld[[#This Row],[PPH]]*tbl_Weld[[#This Row],['# of men]],"")</f>
        <v/>
      </c>
      <c r="L149" s="58" t="e">
        <f>tbl_Weld[[#This Row],[Total hours]]*tbl_Weld[[#This Row],[% Complete]]</f>
        <v>#VALUE!</v>
      </c>
      <c r="M149" s="59" t="str">
        <f>IFERROR(tbl_Weld[[#This Row],[Qty Complete]]/tbl_Weld[[#This Row],[Total Hours Act]]*tbl_Weld[[#This Row],['# of men Act]],"")</f>
        <v/>
      </c>
      <c r="O149"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49" s="72" t="str">
        <f>IFERROR((tbl_Weld[[#This Row],[Adj. Total Hours]]+tbl_Weld[[#This Row],[Est. Hours]])/(tbl_Weld[[#This Row],[Total Hours Act]]+tbl_Weld[[#This Row],[Act. Hours]]),"")</f>
        <v/>
      </c>
      <c r="S149"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49" s="63"/>
      <c r="U149" s="63"/>
      <c r="V149" s="63"/>
      <c r="W149" s="63"/>
      <c r="X149" s="63"/>
    </row>
    <row r="150" spans="6:24" ht="24.75" customHeight="1">
      <c r="F150" s="53"/>
      <c r="H150" s="55" t="e">
        <f>tbl_Weld[[#This Row],[Qty Complete]]/tbl_Weld[[#This Row],[Qty Required]]</f>
        <v>#DIV/0!</v>
      </c>
      <c r="K150" s="57" t="str">
        <f>IFERROR(tbl_Weld[[#This Row],[Qty Required]]/tbl_Weld[[#This Row],[PPH]]*tbl_Weld[[#This Row],['# of men]],"")</f>
        <v/>
      </c>
      <c r="L150" s="58" t="e">
        <f>tbl_Weld[[#This Row],[Total hours]]*tbl_Weld[[#This Row],[% Complete]]</f>
        <v>#VALUE!</v>
      </c>
      <c r="M150" s="59" t="str">
        <f>IFERROR(tbl_Weld[[#This Row],[Qty Complete]]/tbl_Weld[[#This Row],[Total Hours Act]]*tbl_Weld[[#This Row],['# of men Act]],"")</f>
        <v/>
      </c>
      <c r="O150"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50" s="72" t="str">
        <f>IFERROR((tbl_Weld[[#This Row],[Adj. Total Hours]]+tbl_Weld[[#This Row],[Est. Hours]])/(tbl_Weld[[#This Row],[Total Hours Act]]+tbl_Weld[[#This Row],[Act. Hours]]),"")</f>
        <v/>
      </c>
      <c r="S150"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50" s="63"/>
      <c r="U150" s="63"/>
      <c r="V150" s="63"/>
      <c r="W150" s="63"/>
      <c r="X150" s="63"/>
    </row>
    <row r="151" spans="6:24" ht="24.75" customHeight="1">
      <c r="F151" s="53"/>
      <c r="H151" s="55" t="e">
        <f>tbl_Weld[[#This Row],[Qty Complete]]/tbl_Weld[[#This Row],[Qty Required]]</f>
        <v>#DIV/0!</v>
      </c>
      <c r="K151" s="57" t="str">
        <f>IFERROR(tbl_Weld[[#This Row],[Qty Required]]/tbl_Weld[[#This Row],[PPH]]*tbl_Weld[[#This Row],['# of men]],"")</f>
        <v/>
      </c>
      <c r="L151" s="58" t="e">
        <f>tbl_Weld[[#This Row],[Total hours]]*tbl_Weld[[#This Row],[% Complete]]</f>
        <v>#VALUE!</v>
      </c>
      <c r="M151" s="59" t="str">
        <f>IFERROR(tbl_Weld[[#This Row],[Qty Complete]]/tbl_Weld[[#This Row],[Total Hours Act]]*tbl_Weld[[#This Row],['# of men Act]],"")</f>
        <v/>
      </c>
      <c r="O151"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51" s="72" t="str">
        <f>IFERROR((tbl_Weld[[#This Row],[Adj. Total Hours]]+tbl_Weld[[#This Row],[Est. Hours]])/(tbl_Weld[[#This Row],[Total Hours Act]]+tbl_Weld[[#This Row],[Act. Hours]]),"")</f>
        <v/>
      </c>
      <c r="S151"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51" s="63"/>
      <c r="U151" s="63"/>
      <c r="V151" s="63"/>
      <c r="W151" s="63"/>
      <c r="X151" s="63"/>
    </row>
    <row r="152" spans="6:24" ht="24.75" customHeight="1">
      <c r="F152" s="53"/>
      <c r="H152" s="55" t="e">
        <f>tbl_Weld[[#This Row],[Qty Complete]]/tbl_Weld[[#This Row],[Qty Required]]</f>
        <v>#DIV/0!</v>
      </c>
      <c r="K152" s="57" t="str">
        <f>IFERROR(tbl_Weld[[#This Row],[Qty Required]]/tbl_Weld[[#This Row],[PPH]]*tbl_Weld[[#This Row],['# of men]],"")</f>
        <v/>
      </c>
      <c r="L152" s="58" t="e">
        <f>tbl_Weld[[#This Row],[Total hours]]*tbl_Weld[[#This Row],[% Complete]]</f>
        <v>#VALUE!</v>
      </c>
      <c r="M152" s="59" t="str">
        <f>IFERROR(tbl_Weld[[#This Row],[Qty Complete]]/tbl_Weld[[#This Row],[Total Hours Act]]*tbl_Weld[[#This Row],['# of men Act]],"")</f>
        <v/>
      </c>
      <c r="O152"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52" s="72" t="str">
        <f>IFERROR((tbl_Weld[[#This Row],[Adj. Total Hours]]+tbl_Weld[[#This Row],[Est. Hours]])/(tbl_Weld[[#This Row],[Total Hours Act]]+tbl_Weld[[#This Row],[Act. Hours]]),"")</f>
        <v/>
      </c>
      <c r="S152"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52" s="63"/>
      <c r="U152" s="63"/>
      <c r="V152" s="63"/>
      <c r="W152" s="63"/>
      <c r="X152" s="63"/>
    </row>
    <row r="153" spans="6:24" ht="24.75" customHeight="1">
      <c r="F153" s="53"/>
      <c r="H153" s="55" t="e">
        <f>tbl_Weld[[#This Row],[Qty Complete]]/tbl_Weld[[#This Row],[Qty Required]]</f>
        <v>#DIV/0!</v>
      </c>
      <c r="K153" s="57" t="str">
        <f>IFERROR(tbl_Weld[[#This Row],[Qty Required]]/tbl_Weld[[#This Row],[PPH]]*tbl_Weld[[#This Row],['# of men]],"")</f>
        <v/>
      </c>
      <c r="L153" s="58" t="e">
        <f>tbl_Weld[[#This Row],[Total hours]]*tbl_Weld[[#This Row],[% Complete]]</f>
        <v>#VALUE!</v>
      </c>
      <c r="M153" s="59" t="str">
        <f>IFERROR(tbl_Weld[[#This Row],[Qty Complete]]/tbl_Weld[[#This Row],[Total Hours Act]]*tbl_Weld[[#This Row],['# of men Act]],"")</f>
        <v/>
      </c>
      <c r="O153"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53" s="72" t="str">
        <f>IFERROR((tbl_Weld[[#This Row],[Adj. Total Hours]]+tbl_Weld[[#This Row],[Est. Hours]])/(tbl_Weld[[#This Row],[Total Hours Act]]+tbl_Weld[[#This Row],[Act. Hours]]),"")</f>
        <v/>
      </c>
      <c r="S153"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53" s="63"/>
      <c r="U153" s="63"/>
      <c r="V153" s="63"/>
      <c r="W153" s="63"/>
      <c r="X153" s="63"/>
    </row>
    <row r="154" spans="6:24" ht="24.75" customHeight="1">
      <c r="F154" s="53"/>
      <c r="H154" s="55" t="e">
        <f>tbl_Weld[[#This Row],[Qty Complete]]/tbl_Weld[[#This Row],[Qty Required]]</f>
        <v>#DIV/0!</v>
      </c>
      <c r="K154" s="57" t="str">
        <f>IFERROR(tbl_Weld[[#This Row],[Qty Required]]/tbl_Weld[[#This Row],[PPH]]*tbl_Weld[[#This Row],['# of men]],"")</f>
        <v/>
      </c>
      <c r="L154" s="58" t="e">
        <f>tbl_Weld[[#This Row],[Total hours]]*tbl_Weld[[#This Row],[% Complete]]</f>
        <v>#VALUE!</v>
      </c>
      <c r="M154" s="59" t="str">
        <f>IFERROR(tbl_Weld[[#This Row],[Qty Complete]]/tbl_Weld[[#This Row],[Total Hours Act]]*tbl_Weld[[#This Row],['# of men Act]],"")</f>
        <v/>
      </c>
      <c r="O154"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54" s="72" t="str">
        <f>IFERROR((tbl_Weld[[#This Row],[Adj. Total Hours]]+tbl_Weld[[#This Row],[Est. Hours]])/(tbl_Weld[[#This Row],[Total Hours Act]]+tbl_Weld[[#This Row],[Act. Hours]]),"")</f>
        <v/>
      </c>
      <c r="S154"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54" s="63"/>
      <c r="U154" s="63"/>
      <c r="V154" s="63"/>
      <c r="W154" s="63"/>
      <c r="X154" s="63"/>
    </row>
    <row r="155" spans="6:24" ht="24.75" customHeight="1">
      <c r="F155" s="53"/>
      <c r="H155" s="55" t="e">
        <f>tbl_Weld[[#This Row],[Qty Complete]]/tbl_Weld[[#This Row],[Qty Required]]</f>
        <v>#DIV/0!</v>
      </c>
      <c r="K155" s="57" t="str">
        <f>IFERROR(tbl_Weld[[#This Row],[Qty Required]]/tbl_Weld[[#This Row],[PPH]]*tbl_Weld[[#This Row],['# of men]],"")</f>
        <v/>
      </c>
      <c r="L155" s="58" t="e">
        <f>tbl_Weld[[#This Row],[Total hours]]*tbl_Weld[[#This Row],[% Complete]]</f>
        <v>#VALUE!</v>
      </c>
      <c r="M155" s="59" t="str">
        <f>IFERROR(tbl_Weld[[#This Row],[Qty Complete]]/tbl_Weld[[#This Row],[Total Hours Act]]*tbl_Weld[[#This Row],['# of men Act]],"")</f>
        <v/>
      </c>
      <c r="O155"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55" s="72" t="str">
        <f>IFERROR((tbl_Weld[[#This Row],[Adj. Total Hours]]+tbl_Weld[[#This Row],[Est. Hours]])/(tbl_Weld[[#This Row],[Total Hours Act]]+tbl_Weld[[#This Row],[Act. Hours]]),"")</f>
        <v/>
      </c>
      <c r="S155"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55" s="63"/>
      <c r="U155" s="63"/>
      <c r="V155" s="63"/>
      <c r="W155" s="63"/>
      <c r="X155" s="63"/>
    </row>
    <row r="156" spans="6:24" ht="24.75" customHeight="1">
      <c r="F156" s="53"/>
      <c r="H156" s="55" t="e">
        <f>tbl_Weld[[#This Row],[Qty Complete]]/tbl_Weld[[#This Row],[Qty Required]]</f>
        <v>#DIV/0!</v>
      </c>
      <c r="K156" s="57" t="str">
        <f>IFERROR(tbl_Weld[[#This Row],[Qty Required]]/tbl_Weld[[#This Row],[PPH]]*tbl_Weld[[#This Row],['# of men]],"")</f>
        <v/>
      </c>
      <c r="L156" s="58" t="e">
        <f>tbl_Weld[[#This Row],[Total hours]]*tbl_Weld[[#This Row],[% Complete]]</f>
        <v>#VALUE!</v>
      </c>
      <c r="M156" s="59" t="str">
        <f>IFERROR(tbl_Weld[[#This Row],[Qty Complete]]/tbl_Weld[[#This Row],[Total Hours Act]]*tbl_Weld[[#This Row],['# of men Act]],"")</f>
        <v/>
      </c>
      <c r="O156"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56" s="72" t="str">
        <f>IFERROR((tbl_Weld[[#This Row],[Adj. Total Hours]]+tbl_Weld[[#This Row],[Est. Hours]])/(tbl_Weld[[#This Row],[Total Hours Act]]+tbl_Weld[[#This Row],[Act. Hours]]),"")</f>
        <v/>
      </c>
      <c r="S156"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56" s="63"/>
      <c r="U156" s="63"/>
      <c r="V156" s="63"/>
      <c r="W156" s="63"/>
      <c r="X156" s="63"/>
    </row>
    <row r="157" spans="6:24" ht="24.75" customHeight="1">
      <c r="F157" s="53"/>
      <c r="H157" s="55" t="e">
        <f>tbl_Weld[[#This Row],[Qty Complete]]/tbl_Weld[[#This Row],[Qty Required]]</f>
        <v>#DIV/0!</v>
      </c>
      <c r="K157" s="57" t="str">
        <f>IFERROR(tbl_Weld[[#This Row],[Qty Required]]/tbl_Weld[[#This Row],[PPH]]*tbl_Weld[[#This Row],['# of men]],"")</f>
        <v/>
      </c>
      <c r="L157" s="58" t="e">
        <f>tbl_Weld[[#This Row],[Total hours]]*tbl_Weld[[#This Row],[% Complete]]</f>
        <v>#VALUE!</v>
      </c>
      <c r="M157" s="59" t="str">
        <f>IFERROR(tbl_Weld[[#This Row],[Qty Complete]]/tbl_Weld[[#This Row],[Total Hours Act]]*tbl_Weld[[#This Row],['# of men Act]],"")</f>
        <v/>
      </c>
      <c r="O157"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57" s="72" t="str">
        <f>IFERROR((tbl_Weld[[#This Row],[Adj. Total Hours]]+tbl_Weld[[#This Row],[Est. Hours]])/(tbl_Weld[[#This Row],[Total Hours Act]]+tbl_Weld[[#This Row],[Act. Hours]]),"")</f>
        <v/>
      </c>
      <c r="S157"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57" s="63"/>
      <c r="U157" s="63"/>
      <c r="V157" s="63"/>
      <c r="W157" s="63"/>
      <c r="X157" s="63"/>
    </row>
    <row r="158" spans="6:24" ht="24.75" customHeight="1">
      <c r="F158" s="53"/>
      <c r="H158" s="55" t="e">
        <f>tbl_Weld[[#This Row],[Qty Complete]]/tbl_Weld[[#This Row],[Qty Required]]</f>
        <v>#DIV/0!</v>
      </c>
      <c r="K158" s="57" t="str">
        <f>IFERROR(tbl_Weld[[#This Row],[Qty Required]]/tbl_Weld[[#This Row],[PPH]]*tbl_Weld[[#This Row],['# of men]],"")</f>
        <v/>
      </c>
      <c r="L158" s="58" t="e">
        <f>tbl_Weld[[#This Row],[Total hours]]*tbl_Weld[[#This Row],[% Complete]]</f>
        <v>#VALUE!</v>
      </c>
      <c r="M158" s="59" t="str">
        <f>IFERROR(tbl_Weld[[#This Row],[Qty Complete]]/tbl_Weld[[#This Row],[Total Hours Act]]*tbl_Weld[[#This Row],['# of men Act]],"")</f>
        <v/>
      </c>
      <c r="O158"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58" s="72" t="str">
        <f>IFERROR((tbl_Weld[[#This Row],[Adj. Total Hours]]+tbl_Weld[[#This Row],[Est. Hours]])/(tbl_Weld[[#This Row],[Total Hours Act]]+tbl_Weld[[#This Row],[Act. Hours]]),"")</f>
        <v/>
      </c>
      <c r="S158"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58" s="63"/>
      <c r="U158" s="63"/>
      <c r="V158" s="63"/>
      <c r="W158" s="63"/>
      <c r="X158" s="63"/>
    </row>
    <row r="159" spans="6:24" ht="24.75" customHeight="1">
      <c r="F159" s="53"/>
      <c r="H159" s="55" t="e">
        <f>tbl_Weld[[#This Row],[Qty Complete]]/tbl_Weld[[#This Row],[Qty Required]]</f>
        <v>#DIV/0!</v>
      </c>
      <c r="K159" s="57" t="str">
        <f>IFERROR(tbl_Weld[[#This Row],[Qty Required]]/tbl_Weld[[#This Row],[PPH]]*tbl_Weld[[#This Row],['# of men]],"")</f>
        <v/>
      </c>
      <c r="L159" s="58" t="e">
        <f>tbl_Weld[[#This Row],[Total hours]]*tbl_Weld[[#This Row],[% Complete]]</f>
        <v>#VALUE!</v>
      </c>
      <c r="M159" s="59" t="str">
        <f>IFERROR(tbl_Weld[[#This Row],[Qty Complete]]/tbl_Weld[[#This Row],[Total Hours Act]]*tbl_Weld[[#This Row],['# of men Act]],"")</f>
        <v/>
      </c>
      <c r="O159"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59" s="72" t="str">
        <f>IFERROR((tbl_Weld[[#This Row],[Adj. Total Hours]]+tbl_Weld[[#This Row],[Est. Hours]])/(tbl_Weld[[#This Row],[Total Hours Act]]+tbl_Weld[[#This Row],[Act. Hours]]),"")</f>
        <v/>
      </c>
      <c r="S159"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59" s="63"/>
      <c r="U159" s="63"/>
      <c r="V159" s="63"/>
      <c r="W159" s="63"/>
      <c r="X159" s="63"/>
    </row>
    <row r="160" spans="6:24" ht="24.75" customHeight="1">
      <c r="F160" s="53"/>
      <c r="H160" s="55" t="e">
        <f>tbl_Weld[[#This Row],[Qty Complete]]/tbl_Weld[[#This Row],[Qty Required]]</f>
        <v>#DIV/0!</v>
      </c>
      <c r="K160" s="57" t="str">
        <f>IFERROR(tbl_Weld[[#This Row],[Qty Required]]/tbl_Weld[[#This Row],[PPH]]*tbl_Weld[[#This Row],['# of men]],"")</f>
        <v/>
      </c>
      <c r="L160" s="58" t="e">
        <f>tbl_Weld[[#This Row],[Total hours]]*tbl_Weld[[#This Row],[% Complete]]</f>
        <v>#VALUE!</v>
      </c>
      <c r="M160" s="59" t="str">
        <f>IFERROR(tbl_Weld[[#This Row],[Qty Complete]]/tbl_Weld[[#This Row],[Total Hours Act]]*tbl_Weld[[#This Row],['# of men Act]],"")</f>
        <v/>
      </c>
      <c r="O160"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60" s="72" t="str">
        <f>IFERROR((tbl_Weld[[#This Row],[Adj. Total Hours]]+tbl_Weld[[#This Row],[Est. Hours]])/(tbl_Weld[[#This Row],[Total Hours Act]]+tbl_Weld[[#This Row],[Act. Hours]]),"")</f>
        <v/>
      </c>
      <c r="S160"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60" s="63"/>
      <c r="U160" s="63"/>
      <c r="V160" s="63"/>
      <c r="W160" s="63"/>
      <c r="X160" s="63"/>
    </row>
    <row r="161" spans="6:24" ht="24.75" customHeight="1">
      <c r="F161" s="53"/>
      <c r="H161" s="55" t="e">
        <f>tbl_Weld[[#This Row],[Qty Complete]]/tbl_Weld[[#This Row],[Qty Required]]</f>
        <v>#DIV/0!</v>
      </c>
      <c r="K161" s="57" t="str">
        <f>IFERROR(tbl_Weld[[#This Row],[Qty Required]]/tbl_Weld[[#This Row],[PPH]]*tbl_Weld[[#This Row],['# of men]],"")</f>
        <v/>
      </c>
      <c r="L161" s="58" t="e">
        <f>tbl_Weld[[#This Row],[Total hours]]*tbl_Weld[[#This Row],[% Complete]]</f>
        <v>#VALUE!</v>
      </c>
      <c r="M161" s="59" t="str">
        <f>IFERROR(tbl_Weld[[#This Row],[Qty Complete]]/tbl_Weld[[#This Row],[Total Hours Act]]*tbl_Weld[[#This Row],['# of men Act]],"")</f>
        <v/>
      </c>
      <c r="O161"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61" s="72" t="str">
        <f>IFERROR((tbl_Weld[[#This Row],[Adj. Total Hours]]+tbl_Weld[[#This Row],[Est. Hours]])/(tbl_Weld[[#This Row],[Total Hours Act]]+tbl_Weld[[#This Row],[Act. Hours]]),"")</f>
        <v/>
      </c>
      <c r="S161"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61" s="63"/>
      <c r="U161" s="63"/>
      <c r="V161" s="63"/>
      <c r="W161" s="63"/>
      <c r="X161" s="63"/>
    </row>
    <row r="162" spans="6:24" ht="24.75" customHeight="1">
      <c r="F162" s="53"/>
      <c r="H162" s="55" t="e">
        <f>tbl_Weld[[#This Row],[Qty Complete]]/tbl_Weld[[#This Row],[Qty Required]]</f>
        <v>#DIV/0!</v>
      </c>
      <c r="K162" s="57" t="str">
        <f>IFERROR(tbl_Weld[[#This Row],[Qty Required]]/tbl_Weld[[#This Row],[PPH]]*tbl_Weld[[#This Row],['# of men]],"")</f>
        <v/>
      </c>
      <c r="L162" s="58" t="e">
        <f>tbl_Weld[[#This Row],[Total hours]]*tbl_Weld[[#This Row],[% Complete]]</f>
        <v>#VALUE!</v>
      </c>
      <c r="M162" s="59" t="str">
        <f>IFERROR(tbl_Weld[[#This Row],[Qty Complete]]/tbl_Weld[[#This Row],[Total Hours Act]]*tbl_Weld[[#This Row],['# of men Act]],"")</f>
        <v/>
      </c>
      <c r="O162"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62" s="72" t="str">
        <f>IFERROR((tbl_Weld[[#This Row],[Adj. Total Hours]]+tbl_Weld[[#This Row],[Est. Hours]])/(tbl_Weld[[#This Row],[Total Hours Act]]+tbl_Weld[[#This Row],[Act. Hours]]),"")</f>
        <v/>
      </c>
      <c r="S162"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62" s="63"/>
      <c r="U162" s="63"/>
      <c r="V162" s="63"/>
      <c r="W162" s="63"/>
      <c r="X162" s="63"/>
    </row>
    <row r="163" spans="6:24" ht="24.75" customHeight="1">
      <c r="F163" s="53"/>
      <c r="H163" s="55" t="e">
        <f>tbl_Weld[[#This Row],[Qty Complete]]/tbl_Weld[[#This Row],[Qty Required]]</f>
        <v>#DIV/0!</v>
      </c>
      <c r="K163" s="57" t="str">
        <f>IFERROR(tbl_Weld[[#This Row],[Qty Required]]/tbl_Weld[[#This Row],[PPH]]*tbl_Weld[[#This Row],['# of men]],"")</f>
        <v/>
      </c>
      <c r="L163" s="58" t="e">
        <f>tbl_Weld[[#This Row],[Total hours]]*tbl_Weld[[#This Row],[% Complete]]</f>
        <v>#VALUE!</v>
      </c>
      <c r="M163" s="59" t="str">
        <f>IFERROR(tbl_Weld[[#This Row],[Qty Complete]]/tbl_Weld[[#This Row],[Total Hours Act]]*tbl_Weld[[#This Row],['# of men Act]],"")</f>
        <v/>
      </c>
      <c r="O163"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63" s="72" t="str">
        <f>IFERROR((tbl_Weld[[#This Row],[Adj. Total Hours]]+tbl_Weld[[#This Row],[Est. Hours]])/(tbl_Weld[[#This Row],[Total Hours Act]]+tbl_Weld[[#This Row],[Act. Hours]]),"")</f>
        <v/>
      </c>
      <c r="S163"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63" s="63"/>
      <c r="U163" s="63"/>
      <c r="V163" s="63"/>
      <c r="W163" s="63"/>
      <c r="X163" s="63"/>
    </row>
    <row r="164" spans="6:24" ht="24.75" customHeight="1">
      <c r="F164" s="53"/>
      <c r="H164" s="55" t="e">
        <f>tbl_Weld[[#This Row],[Qty Complete]]/tbl_Weld[[#This Row],[Qty Required]]</f>
        <v>#DIV/0!</v>
      </c>
      <c r="K164" s="57" t="str">
        <f>IFERROR(tbl_Weld[[#This Row],[Qty Required]]/tbl_Weld[[#This Row],[PPH]]*tbl_Weld[[#This Row],['# of men]],"")</f>
        <v/>
      </c>
      <c r="L164" s="58" t="e">
        <f>tbl_Weld[[#This Row],[Total hours]]*tbl_Weld[[#This Row],[% Complete]]</f>
        <v>#VALUE!</v>
      </c>
      <c r="M164" s="59" t="str">
        <f>IFERROR(tbl_Weld[[#This Row],[Qty Complete]]/tbl_Weld[[#This Row],[Total Hours Act]]*tbl_Weld[[#This Row],['# of men Act]],"")</f>
        <v/>
      </c>
      <c r="O164"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64" s="72" t="str">
        <f>IFERROR((tbl_Weld[[#This Row],[Adj. Total Hours]]+tbl_Weld[[#This Row],[Est. Hours]])/(tbl_Weld[[#This Row],[Total Hours Act]]+tbl_Weld[[#This Row],[Act. Hours]]),"")</f>
        <v/>
      </c>
      <c r="S164"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64" s="63"/>
      <c r="U164" s="63"/>
      <c r="V164" s="63"/>
      <c r="W164" s="63"/>
      <c r="X164" s="63"/>
    </row>
    <row r="165" spans="6:24" ht="24.75" customHeight="1">
      <c r="F165" s="53"/>
      <c r="H165" s="55" t="e">
        <f>tbl_Weld[[#This Row],[Qty Complete]]/tbl_Weld[[#This Row],[Qty Required]]</f>
        <v>#DIV/0!</v>
      </c>
      <c r="K165" s="57" t="str">
        <f>IFERROR(tbl_Weld[[#This Row],[Qty Required]]/tbl_Weld[[#This Row],[PPH]]*tbl_Weld[[#This Row],['# of men]],"")</f>
        <v/>
      </c>
      <c r="L165" s="58" t="e">
        <f>tbl_Weld[[#This Row],[Total hours]]*tbl_Weld[[#This Row],[% Complete]]</f>
        <v>#VALUE!</v>
      </c>
      <c r="M165" s="59" t="str">
        <f>IFERROR(tbl_Weld[[#This Row],[Qty Complete]]/tbl_Weld[[#This Row],[Total Hours Act]]*tbl_Weld[[#This Row],['# of men Act]],"")</f>
        <v/>
      </c>
      <c r="O165"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65" s="72" t="str">
        <f>IFERROR((tbl_Weld[[#This Row],[Adj. Total Hours]]+tbl_Weld[[#This Row],[Est. Hours]])/(tbl_Weld[[#This Row],[Total Hours Act]]+tbl_Weld[[#This Row],[Act. Hours]]),"")</f>
        <v/>
      </c>
      <c r="S165"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65" s="63"/>
      <c r="U165" s="63"/>
      <c r="V165" s="63"/>
      <c r="W165" s="63"/>
      <c r="X165" s="63"/>
    </row>
    <row r="166" spans="6:24" ht="24.75" customHeight="1">
      <c r="F166" s="53"/>
      <c r="H166" s="55" t="e">
        <f>tbl_Weld[[#This Row],[Qty Complete]]/tbl_Weld[[#This Row],[Qty Required]]</f>
        <v>#DIV/0!</v>
      </c>
      <c r="K166" s="57" t="str">
        <f>IFERROR(tbl_Weld[[#This Row],[Qty Required]]/tbl_Weld[[#This Row],[PPH]]*tbl_Weld[[#This Row],['# of men]],"")</f>
        <v/>
      </c>
      <c r="L166" s="58" t="e">
        <f>tbl_Weld[[#This Row],[Total hours]]*tbl_Weld[[#This Row],[% Complete]]</f>
        <v>#VALUE!</v>
      </c>
      <c r="M166" s="59" t="str">
        <f>IFERROR(tbl_Weld[[#This Row],[Qty Complete]]/tbl_Weld[[#This Row],[Total Hours Act]]*tbl_Weld[[#This Row],['# of men Act]],"")</f>
        <v/>
      </c>
      <c r="O166"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66" s="72" t="str">
        <f>IFERROR((tbl_Weld[[#This Row],[Adj. Total Hours]]+tbl_Weld[[#This Row],[Est. Hours]])/(tbl_Weld[[#This Row],[Total Hours Act]]+tbl_Weld[[#This Row],[Act. Hours]]),"")</f>
        <v/>
      </c>
      <c r="S166"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66" s="63"/>
      <c r="U166" s="63"/>
      <c r="V166" s="63"/>
      <c r="W166" s="63"/>
      <c r="X166" s="63"/>
    </row>
    <row r="167" spans="6:24" ht="24.75" customHeight="1">
      <c r="F167" s="53"/>
      <c r="H167" s="55" t="e">
        <f>tbl_Weld[[#This Row],[Qty Complete]]/tbl_Weld[[#This Row],[Qty Required]]</f>
        <v>#DIV/0!</v>
      </c>
      <c r="K167" s="57" t="str">
        <f>IFERROR(tbl_Weld[[#This Row],[Qty Required]]/tbl_Weld[[#This Row],[PPH]]*tbl_Weld[[#This Row],['# of men]],"")</f>
        <v/>
      </c>
      <c r="L167" s="58" t="e">
        <f>tbl_Weld[[#This Row],[Total hours]]*tbl_Weld[[#This Row],[% Complete]]</f>
        <v>#VALUE!</v>
      </c>
      <c r="M167" s="59" t="str">
        <f>IFERROR(tbl_Weld[[#This Row],[Qty Complete]]/tbl_Weld[[#This Row],[Total Hours Act]]*tbl_Weld[[#This Row],['# of men Act]],"")</f>
        <v/>
      </c>
      <c r="O167"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67" s="72" t="str">
        <f>IFERROR((tbl_Weld[[#This Row],[Adj. Total Hours]]+tbl_Weld[[#This Row],[Est. Hours]])/(tbl_Weld[[#This Row],[Total Hours Act]]+tbl_Weld[[#This Row],[Act. Hours]]),"")</f>
        <v/>
      </c>
      <c r="S167"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67" s="63"/>
      <c r="U167" s="63"/>
      <c r="V167" s="63"/>
      <c r="W167" s="63"/>
      <c r="X167" s="63"/>
    </row>
    <row r="168" spans="6:24" ht="24.75" customHeight="1">
      <c r="F168" s="53"/>
      <c r="H168" s="55" t="e">
        <f>tbl_Weld[[#This Row],[Qty Complete]]/tbl_Weld[[#This Row],[Qty Required]]</f>
        <v>#DIV/0!</v>
      </c>
      <c r="K168" s="57" t="str">
        <f>IFERROR(tbl_Weld[[#This Row],[Qty Required]]/tbl_Weld[[#This Row],[PPH]]*tbl_Weld[[#This Row],['# of men]],"")</f>
        <v/>
      </c>
      <c r="L168" s="58" t="e">
        <f>tbl_Weld[[#This Row],[Total hours]]*tbl_Weld[[#This Row],[% Complete]]</f>
        <v>#VALUE!</v>
      </c>
      <c r="M168" s="59" t="str">
        <f>IFERROR(tbl_Weld[[#This Row],[Qty Complete]]/tbl_Weld[[#This Row],[Total Hours Act]]*tbl_Weld[[#This Row],['# of men Act]],"")</f>
        <v/>
      </c>
      <c r="O168"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68" s="72" t="str">
        <f>IFERROR((tbl_Weld[[#This Row],[Adj. Total Hours]]+tbl_Weld[[#This Row],[Est. Hours]])/(tbl_Weld[[#This Row],[Total Hours Act]]+tbl_Weld[[#This Row],[Act. Hours]]),"")</f>
        <v/>
      </c>
      <c r="S168"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68" s="63"/>
      <c r="U168" s="63"/>
      <c r="V168" s="63"/>
      <c r="W168" s="63"/>
      <c r="X168" s="63"/>
    </row>
    <row r="169" spans="6:24" ht="24.75" customHeight="1">
      <c r="F169" s="53"/>
      <c r="H169" s="55" t="e">
        <f>tbl_Weld[[#This Row],[Qty Complete]]/tbl_Weld[[#This Row],[Qty Required]]</f>
        <v>#DIV/0!</v>
      </c>
      <c r="K169" s="57" t="str">
        <f>IFERROR(tbl_Weld[[#This Row],[Qty Required]]/tbl_Weld[[#This Row],[PPH]]*tbl_Weld[[#This Row],['# of men]],"")</f>
        <v/>
      </c>
      <c r="L169" s="58" t="e">
        <f>tbl_Weld[[#This Row],[Total hours]]*tbl_Weld[[#This Row],[% Complete]]</f>
        <v>#VALUE!</v>
      </c>
      <c r="M169" s="59" t="str">
        <f>IFERROR(tbl_Weld[[#This Row],[Qty Complete]]/tbl_Weld[[#This Row],[Total Hours Act]]*tbl_Weld[[#This Row],['# of men Act]],"")</f>
        <v/>
      </c>
      <c r="O169"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69" s="72" t="str">
        <f>IFERROR((tbl_Weld[[#This Row],[Adj. Total Hours]]+tbl_Weld[[#This Row],[Est. Hours]])/(tbl_Weld[[#This Row],[Total Hours Act]]+tbl_Weld[[#This Row],[Act. Hours]]),"")</f>
        <v/>
      </c>
      <c r="S169"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69" s="63"/>
      <c r="U169" s="63"/>
      <c r="V169" s="63"/>
      <c r="W169" s="63"/>
      <c r="X169" s="63"/>
    </row>
    <row r="170" spans="6:24" ht="24.75" customHeight="1">
      <c r="F170" s="53"/>
      <c r="H170" s="55" t="e">
        <f>tbl_Weld[[#This Row],[Qty Complete]]/tbl_Weld[[#This Row],[Qty Required]]</f>
        <v>#DIV/0!</v>
      </c>
      <c r="K170" s="57" t="str">
        <f>IFERROR(tbl_Weld[[#This Row],[Qty Required]]/tbl_Weld[[#This Row],[PPH]]*tbl_Weld[[#This Row],['# of men]],"")</f>
        <v/>
      </c>
      <c r="L170" s="58" t="e">
        <f>tbl_Weld[[#This Row],[Total hours]]*tbl_Weld[[#This Row],[% Complete]]</f>
        <v>#VALUE!</v>
      </c>
      <c r="M170" s="59" t="str">
        <f>IFERROR(tbl_Weld[[#This Row],[Qty Complete]]/tbl_Weld[[#This Row],[Total Hours Act]]*tbl_Weld[[#This Row],['# of men Act]],"")</f>
        <v/>
      </c>
      <c r="O170"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70" s="72" t="str">
        <f>IFERROR((tbl_Weld[[#This Row],[Adj. Total Hours]]+tbl_Weld[[#This Row],[Est. Hours]])/(tbl_Weld[[#This Row],[Total Hours Act]]+tbl_Weld[[#This Row],[Act. Hours]]),"")</f>
        <v/>
      </c>
      <c r="S170"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70" s="63"/>
      <c r="U170" s="63"/>
      <c r="V170" s="63"/>
      <c r="W170" s="63"/>
      <c r="X170" s="63"/>
    </row>
    <row r="171" spans="6:24" ht="24.75" customHeight="1">
      <c r="F171" s="53"/>
      <c r="H171" s="55" t="e">
        <f>tbl_Weld[[#This Row],[Qty Complete]]/tbl_Weld[[#This Row],[Qty Required]]</f>
        <v>#DIV/0!</v>
      </c>
      <c r="K171" s="57" t="str">
        <f>IFERROR(tbl_Weld[[#This Row],[Qty Required]]/tbl_Weld[[#This Row],[PPH]]*tbl_Weld[[#This Row],['# of men]],"")</f>
        <v/>
      </c>
      <c r="L171" s="58" t="e">
        <f>tbl_Weld[[#This Row],[Total hours]]*tbl_Weld[[#This Row],[% Complete]]</f>
        <v>#VALUE!</v>
      </c>
      <c r="M171" s="59" t="str">
        <f>IFERROR(tbl_Weld[[#This Row],[Qty Complete]]/tbl_Weld[[#This Row],[Total Hours Act]]*tbl_Weld[[#This Row],['# of men Act]],"")</f>
        <v/>
      </c>
      <c r="O171"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71" s="72" t="str">
        <f>IFERROR((tbl_Weld[[#This Row],[Adj. Total Hours]]+tbl_Weld[[#This Row],[Est. Hours]])/(tbl_Weld[[#This Row],[Total Hours Act]]+tbl_Weld[[#This Row],[Act. Hours]]),"")</f>
        <v/>
      </c>
      <c r="S171"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71" s="63"/>
      <c r="U171" s="63"/>
      <c r="V171" s="63"/>
      <c r="W171" s="63"/>
      <c r="X171" s="63"/>
    </row>
    <row r="172" spans="6:24" ht="24.75" customHeight="1">
      <c r="F172" s="53"/>
      <c r="H172" s="55" t="e">
        <f>tbl_Weld[[#This Row],[Qty Complete]]/tbl_Weld[[#This Row],[Qty Required]]</f>
        <v>#DIV/0!</v>
      </c>
      <c r="K172" s="57" t="str">
        <f>IFERROR(tbl_Weld[[#This Row],[Qty Required]]/tbl_Weld[[#This Row],[PPH]]*tbl_Weld[[#This Row],['# of men]],"")</f>
        <v/>
      </c>
      <c r="L172" s="58" t="e">
        <f>tbl_Weld[[#This Row],[Total hours]]*tbl_Weld[[#This Row],[% Complete]]</f>
        <v>#VALUE!</v>
      </c>
      <c r="M172" s="59" t="str">
        <f>IFERROR(tbl_Weld[[#This Row],[Qty Complete]]/tbl_Weld[[#This Row],[Total Hours Act]]*tbl_Weld[[#This Row],['# of men Act]],"")</f>
        <v/>
      </c>
      <c r="O172"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72" s="72" t="str">
        <f>IFERROR((tbl_Weld[[#This Row],[Adj. Total Hours]]+tbl_Weld[[#This Row],[Est. Hours]])/(tbl_Weld[[#This Row],[Total Hours Act]]+tbl_Weld[[#This Row],[Act. Hours]]),"")</f>
        <v/>
      </c>
      <c r="S172"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72" s="63"/>
      <c r="U172" s="63"/>
      <c r="V172" s="63"/>
      <c r="W172" s="63"/>
      <c r="X172" s="63"/>
    </row>
    <row r="173" spans="6:24" ht="24.75" customHeight="1">
      <c r="F173" s="53"/>
      <c r="H173" s="55" t="e">
        <f>tbl_Weld[[#This Row],[Qty Complete]]/tbl_Weld[[#This Row],[Qty Required]]</f>
        <v>#DIV/0!</v>
      </c>
      <c r="K173" s="57" t="str">
        <f>IFERROR(tbl_Weld[[#This Row],[Qty Required]]/tbl_Weld[[#This Row],[PPH]]*tbl_Weld[[#This Row],['# of men]],"")</f>
        <v/>
      </c>
      <c r="L173" s="58" t="e">
        <f>tbl_Weld[[#This Row],[Total hours]]*tbl_Weld[[#This Row],[% Complete]]</f>
        <v>#VALUE!</v>
      </c>
      <c r="M173" s="59" t="str">
        <f>IFERROR(tbl_Weld[[#This Row],[Qty Complete]]/tbl_Weld[[#This Row],[Total Hours Act]]*tbl_Weld[[#This Row],['# of men Act]],"")</f>
        <v/>
      </c>
      <c r="O173"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73" s="72" t="str">
        <f>IFERROR((tbl_Weld[[#This Row],[Adj. Total Hours]]+tbl_Weld[[#This Row],[Est. Hours]])/(tbl_Weld[[#This Row],[Total Hours Act]]+tbl_Weld[[#This Row],[Act. Hours]]),"")</f>
        <v/>
      </c>
      <c r="S173"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73" s="63"/>
      <c r="U173" s="63"/>
      <c r="V173" s="63"/>
      <c r="W173" s="63"/>
      <c r="X173" s="63"/>
    </row>
    <row r="174" spans="6:24" ht="24.75" customHeight="1">
      <c r="F174" s="53"/>
      <c r="H174" s="55" t="e">
        <f>tbl_Weld[[#This Row],[Qty Complete]]/tbl_Weld[[#This Row],[Qty Required]]</f>
        <v>#DIV/0!</v>
      </c>
      <c r="K174" s="57" t="str">
        <f>IFERROR(tbl_Weld[[#This Row],[Qty Required]]/tbl_Weld[[#This Row],[PPH]]*tbl_Weld[[#This Row],['# of men]],"")</f>
        <v/>
      </c>
      <c r="L174" s="58" t="e">
        <f>tbl_Weld[[#This Row],[Total hours]]*tbl_Weld[[#This Row],[% Complete]]</f>
        <v>#VALUE!</v>
      </c>
      <c r="M174" s="59" t="str">
        <f>IFERROR(tbl_Weld[[#This Row],[Qty Complete]]/tbl_Weld[[#This Row],[Total Hours Act]]*tbl_Weld[[#This Row],['# of men Act]],"")</f>
        <v/>
      </c>
      <c r="O174"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74" s="72" t="str">
        <f>IFERROR((tbl_Weld[[#This Row],[Adj. Total Hours]]+tbl_Weld[[#This Row],[Est. Hours]])/(tbl_Weld[[#This Row],[Total Hours Act]]+tbl_Weld[[#This Row],[Act. Hours]]),"")</f>
        <v/>
      </c>
      <c r="S174"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74" s="63"/>
      <c r="U174" s="63"/>
      <c r="V174" s="63"/>
      <c r="W174" s="63"/>
      <c r="X174" s="63"/>
    </row>
    <row r="175" spans="6:24" ht="24.75" customHeight="1">
      <c r="F175" s="53"/>
      <c r="H175" s="55" t="e">
        <f>tbl_Weld[[#This Row],[Qty Complete]]/tbl_Weld[[#This Row],[Qty Required]]</f>
        <v>#DIV/0!</v>
      </c>
      <c r="K175" s="57" t="str">
        <f>IFERROR(tbl_Weld[[#This Row],[Qty Required]]/tbl_Weld[[#This Row],[PPH]]*tbl_Weld[[#This Row],['# of men]],"")</f>
        <v/>
      </c>
      <c r="L175" s="58" t="e">
        <f>tbl_Weld[[#This Row],[Total hours]]*tbl_Weld[[#This Row],[% Complete]]</f>
        <v>#VALUE!</v>
      </c>
      <c r="M175" s="59" t="str">
        <f>IFERROR(tbl_Weld[[#This Row],[Qty Complete]]/tbl_Weld[[#This Row],[Total Hours Act]]*tbl_Weld[[#This Row],['# of men Act]],"")</f>
        <v/>
      </c>
      <c r="O175"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75" s="72" t="str">
        <f>IFERROR((tbl_Weld[[#This Row],[Adj. Total Hours]]+tbl_Weld[[#This Row],[Est. Hours]])/(tbl_Weld[[#This Row],[Total Hours Act]]+tbl_Weld[[#This Row],[Act. Hours]]),"")</f>
        <v/>
      </c>
      <c r="S175"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75" s="63"/>
      <c r="U175" s="63"/>
      <c r="V175" s="63"/>
      <c r="W175" s="63"/>
      <c r="X175" s="63"/>
    </row>
    <row r="176" spans="6:24" ht="24.75" customHeight="1">
      <c r="F176" s="53"/>
      <c r="H176" s="55" t="e">
        <f>tbl_Weld[[#This Row],[Qty Complete]]/tbl_Weld[[#This Row],[Qty Required]]</f>
        <v>#DIV/0!</v>
      </c>
      <c r="K176" s="57" t="str">
        <f>IFERROR(tbl_Weld[[#This Row],[Qty Required]]/tbl_Weld[[#This Row],[PPH]]*tbl_Weld[[#This Row],['# of men]],"")</f>
        <v/>
      </c>
      <c r="L176" s="58" t="e">
        <f>tbl_Weld[[#This Row],[Total hours]]*tbl_Weld[[#This Row],[% Complete]]</f>
        <v>#VALUE!</v>
      </c>
      <c r="M176" s="59" t="str">
        <f>IFERROR(tbl_Weld[[#This Row],[Qty Complete]]/tbl_Weld[[#This Row],[Total Hours Act]]*tbl_Weld[[#This Row],['# of men Act]],"")</f>
        <v/>
      </c>
      <c r="O176"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76" s="72" t="str">
        <f>IFERROR((tbl_Weld[[#This Row],[Adj. Total Hours]]+tbl_Weld[[#This Row],[Est. Hours]])/(tbl_Weld[[#This Row],[Total Hours Act]]+tbl_Weld[[#This Row],[Act. Hours]]),"")</f>
        <v/>
      </c>
      <c r="S176"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76" s="63"/>
      <c r="U176" s="63"/>
      <c r="V176" s="63"/>
      <c r="W176" s="63"/>
      <c r="X176" s="63"/>
    </row>
    <row r="177" spans="6:24" ht="24.75" customHeight="1">
      <c r="F177" s="53"/>
      <c r="H177" s="55" t="e">
        <f>tbl_Weld[[#This Row],[Qty Complete]]/tbl_Weld[[#This Row],[Qty Required]]</f>
        <v>#DIV/0!</v>
      </c>
      <c r="K177" s="57" t="str">
        <f>IFERROR(tbl_Weld[[#This Row],[Qty Required]]/tbl_Weld[[#This Row],[PPH]]*tbl_Weld[[#This Row],['# of men]],"")</f>
        <v/>
      </c>
      <c r="L177" s="58" t="e">
        <f>tbl_Weld[[#This Row],[Total hours]]*tbl_Weld[[#This Row],[% Complete]]</f>
        <v>#VALUE!</v>
      </c>
      <c r="M177" s="59" t="str">
        <f>IFERROR(tbl_Weld[[#This Row],[Qty Complete]]/tbl_Weld[[#This Row],[Total Hours Act]]*tbl_Weld[[#This Row],['# of men Act]],"")</f>
        <v/>
      </c>
      <c r="O177"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77" s="72" t="str">
        <f>IFERROR((tbl_Weld[[#This Row],[Adj. Total Hours]]+tbl_Weld[[#This Row],[Est. Hours]])/(tbl_Weld[[#This Row],[Total Hours Act]]+tbl_Weld[[#This Row],[Act. Hours]]),"")</f>
        <v/>
      </c>
      <c r="S177"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77" s="63"/>
      <c r="U177" s="63"/>
      <c r="V177" s="63"/>
      <c r="W177" s="63"/>
      <c r="X177" s="63"/>
    </row>
    <row r="178" spans="6:24" ht="24.75" customHeight="1">
      <c r="F178" s="53"/>
      <c r="H178" s="55" t="e">
        <f>tbl_Weld[[#This Row],[Qty Complete]]/tbl_Weld[[#This Row],[Qty Required]]</f>
        <v>#DIV/0!</v>
      </c>
      <c r="K178" s="57" t="str">
        <f>IFERROR(tbl_Weld[[#This Row],[Qty Required]]/tbl_Weld[[#This Row],[PPH]]*tbl_Weld[[#This Row],['# of men]],"")</f>
        <v/>
      </c>
      <c r="L178" s="58" t="e">
        <f>tbl_Weld[[#This Row],[Total hours]]*tbl_Weld[[#This Row],[% Complete]]</f>
        <v>#VALUE!</v>
      </c>
      <c r="M178" s="59" t="str">
        <f>IFERROR(tbl_Weld[[#This Row],[Qty Complete]]/tbl_Weld[[#This Row],[Total Hours Act]]*tbl_Weld[[#This Row],['# of men Act]],"")</f>
        <v/>
      </c>
      <c r="O178"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78" s="72" t="str">
        <f>IFERROR((tbl_Weld[[#This Row],[Adj. Total Hours]]+tbl_Weld[[#This Row],[Est. Hours]])/(tbl_Weld[[#This Row],[Total Hours Act]]+tbl_Weld[[#This Row],[Act. Hours]]),"")</f>
        <v/>
      </c>
      <c r="S178"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78" s="63"/>
      <c r="U178" s="63"/>
      <c r="V178" s="63"/>
      <c r="W178" s="63"/>
      <c r="X178" s="63"/>
    </row>
    <row r="179" spans="6:24" ht="24.75" customHeight="1">
      <c r="F179" s="53"/>
      <c r="H179" s="55" t="e">
        <f>tbl_Weld[[#This Row],[Qty Complete]]/tbl_Weld[[#This Row],[Qty Required]]</f>
        <v>#DIV/0!</v>
      </c>
      <c r="K179" s="57" t="str">
        <f>IFERROR(tbl_Weld[[#This Row],[Qty Required]]/tbl_Weld[[#This Row],[PPH]]*tbl_Weld[[#This Row],['# of men]],"")</f>
        <v/>
      </c>
      <c r="L179" s="58" t="e">
        <f>tbl_Weld[[#This Row],[Total hours]]*tbl_Weld[[#This Row],[% Complete]]</f>
        <v>#VALUE!</v>
      </c>
      <c r="M179" s="59" t="str">
        <f>IFERROR(tbl_Weld[[#This Row],[Qty Complete]]/tbl_Weld[[#This Row],[Total Hours Act]]*tbl_Weld[[#This Row],['# of men Act]],"")</f>
        <v/>
      </c>
      <c r="O179"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79" s="72" t="str">
        <f>IFERROR((tbl_Weld[[#This Row],[Adj. Total Hours]]+tbl_Weld[[#This Row],[Est. Hours]])/(tbl_Weld[[#This Row],[Total Hours Act]]+tbl_Weld[[#This Row],[Act. Hours]]),"")</f>
        <v/>
      </c>
      <c r="S179"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79" s="63"/>
      <c r="U179" s="63"/>
      <c r="V179" s="63"/>
      <c r="W179" s="63"/>
      <c r="X179" s="63"/>
    </row>
    <row r="180" spans="6:24" ht="24.75" customHeight="1">
      <c r="F180" s="53"/>
      <c r="H180" s="55" t="e">
        <f>tbl_Weld[[#This Row],[Qty Complete]]/tbl_Weld[[#This Row],[Qty Required]]</f>
        <v>#DIV/0!</v>
      </c>
      <c r="K180" s="57" t="str">
        <f>IFERROR(tbl_Weld[[#This Row],[Qty Required]]/tbl_Weld[[#This Row],[PPH]]*tbl_Weld[[#This Row],['# of men]],"")</f>
        <v/>
      </c>
      <c r="L180" s="58" t="e">
        <f>tbl_Weld[[#This Row],[Total hours]]*tbl_Weld[[#This Row],[% Complete]]</f>
        <v>#VALUE!</v>
      </c>
      <c r="M180" s="59" t="str">
        <f>IFERROR(tbl_Weld[[#This Row],[Qty Complete]]/tbl_Weld[[#This Row],[Total Hours Act]]*tbl_Weld[[#This Row],['# of men Act]],"")</f>
        <v/>
      </c>
      <c r="O180"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80" s="72" t="str">
        <f>IFERROR((tbl_Weld[[#This Row],[Adj. Total Hours]]+tbl_Weld[[#This Row],[Est. Hours]])/(tbl_Weld[[#This Row],[Total Hours Act]]+tbl_Weld[[#This Row],[Act. Hours]]),"")</f>
        <v/>
      </c>
      <c r="S180"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80" s="63"/>
      <c r="U180" s="63"/>
      <c r="V180" s="63"/>
      <c r="W180" s="63"/>
      <c r="X180" s="63"/>
    </row>
    <row r="181" spans="6:24" ht="24.75" customHeight="1">
      <c r="F181" s="53"/>
      <c r="H181" s="55" t="e">
        <f>tbl_Weld[[#This Row],[Qty Complete]]/tbl_Weld[[#This Row],[Qty Required]]</f>
        <v>#DIV/0!</v>
      </c>
      <c r="K181" s="57" t="str">
        <f>IFERROR(tbl_Weld[[#This Row],[Qty Required]]/tbl_Weld[[#This Row],[PPH]]*tbl_Weld[[#This Row],['# of men]],"")</f>
        <v/>
      </c>
      <c r="L181" s="58" t="e">
        <f>tbl_Weld[[#This Row],[Total hours]]*tbl_Weld[[#This Row],[% Complete]]</f>
        <v>#VALUE!</v>
      </c>
      <c r="M181" s="59" t="str">
        <f>IFERROR(tbl_Weld[[#This Row],[Qty Complete]]/tbl_Weld[[#This Row],[Total Hours Act]]*tbl_Weld[[#This Row],['# of men Act]],"")</f>
        <v/>
      </c>
      <c r="O181"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81" s="72" t="str">
        <f>IFERROR((tbl_Weld[[#This Row],[Adj. Total Hours]]+tbl_Weld[[#This Row],[Est. Hours]])/(tbl_Weld[[#This Row],[Total Hours Act]]+tbl_Weld[[#This Row],[Act. Hours]]),"")</f>
        <v/>
      </c>
      <c r="S181"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81" s="63"/>
      <c r="U181" s="63"/>
      <c r="V181" s="63"/>
      <c r="W181" s="63"/>
      <c r="X181" s="63"/>
    </row>
    <row r="182" spans="6:24" ht="24.75" customHeight="1">
      <c r="F182" s="53"/>
      <c r="H182" s="55" t="e">
        <f>tbl_Weld[[#This Row],[Qty Complete]]/tbl_Weld[[#This Row],[Qty Required]]</f>
        <v>#DIV/0!</v>
      </c>
      <c r="K182" s="57" t="str">
        <f>IFERROR(tbl_Weld[[#This Row],[Qty Required]]/tbl_Weld[[#This Row],[PPH]]*tbl_Weld[[#This Row],['# of men]],"")</f>
        <v/>
      </c>
      <c r="L182" s="58" t="e">
        <f>tbl_Weld[[#This Row],[Total hours]]*tbl_Weld[[#This Row],[% Complete]]</f>
        <v>#VALUE!</v>
      </c>
      <c r="M182" s="59" t="str">
        <f>IFERROR(tbl_Weld[[#This Row],[Qty Complete]]/tbl_Weld[[#This Row],[Total Hours Act]]*tbl_Weld[[#This Row],['# of men Act]],"")</f>
        <v/>
      </c>
      <c r="O182"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82" s="72" t="str">
        <f>IFERROR((tbl_Weld[[#This Row],[Adj. Total Hours]]+tbl_Weld[[#This Row],[Est. Hours]])/(tbl_Weld[[#This Row],[Total Hours Act]]+tbl_Weld[[#This Row],[Act. Hours]]),"")</f>
        <v/>
      </c>
      <c r="S182"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82" s="63"/>
      <c r="U182" s="63"/>
      <c r="V182" s="63"/>
      <c r="W182" s="63"/>
      <c r="X182" s="63"/>
    </row>
    <row r="183" spans="6:24" ht="24.75" customHeight="1">
      <c r="F183" s="53"/>
      <c r="H183" s="55" t="e">
        <f>tbl_Weld[[#This Row],[Qty Complete]]/tbl_Weld[[#This Row],[Qty Required]]</f>
        <v>#DIV/0!</v>
      </c>
      <c r="K183" s="57" t="str">
        <f>IFERROR(tbl_Weld[[#This Row],[Qty Required]]/tbl_Weld[[#This Row],[PPH]]*tbl_Weld[[#This Row],['# of men]],"")</f>
        <v/>
      </c>
      <c r="L183" s="58" t="e">
        <f>tbl_Weld[[#This Row],[Total hours]]*tbl_Weld[[#This Row],[% Complete]]</f>
        <v>#VALUE!</v>
      </c>
      <c r="M183" s="59" t="str">
        <f>IFERROR(tbl_Weld[[#This Row],[Qty Complete]]/tbl_Weld[[#This Row],[Total Hours Act]]*tbl_Weld[[#This Row],['# of men Act]],"")</f>
        <v/>
      </c>
      <c r="O183"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83" s="72" t="str">
        <f>IFERROR((tbl_Weld[[#This Row],[Adj. Total Hours]]+tbl_Weld[[#This Row],[Est. Hours]])/(tbl_Weld[[#This Row],[Total Hours Act]]+tbl_Weld[[#This Row],[Act. Hours]]),"")</f>
        <v/>
      </c>
      <c r="S183"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83" s="63"/>
      <c r="U183" s="63"/>
      <c r="V183" s="63"/>
      <c r="W183" s="63"/>
      <c r="X183" s="63"/>
    </row>
    <row r="184" spans="6:24" ht="24.75" customHeight="1">
      <c r="F184" s="53"/>
      <c r="H184" s="55" t="e">
        <f>tbl_Weld[[#This Row],[Qty Complete]]/tbl_Weld[[#This Row],[Qty Required]]</f>
        <v>#DIV/0!</v>
      </c>
      <c r="K184" s="57" t="str">
        <f>IFERROR(tbl_Weld[[#This Row],[Qty Required]]/tbl_Weld[[#This Row],[PPH]]*tbl_Weld[[#This Row],['# of men]],"")</f>
        <v/>
      </c>
      <c r="L184" s="58" t="e">
        <f>tbl_Weld[[#This Row],[Total hours]]*tbl_Weld[[#This Row],[% Complete]]</f>
        <v>#VALUE!</v>
      </c>
      <c r="M184" s="59" t="str">
        <f>IFERROR(tbl_Weld[[#This Row],[Qty Complete]]/tbl_Weld[[#This Row],[Total Hours Act]]*tbl_Weld[[#This Row],['# of men Act]],"")</f>
        <v/>
      </c>
      <c r="O184"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84" s="72" t="str">
        <f>IFERROR((tbl_Weld[[#This Row],[Adj. Total Hours]]+tbl_Weld[[#This Row],[Est. Hours]])/(tbl_Weld[[#This Row],[Total Hours Act]]+tbl_Weld[[#This Row],[Act. Hours]]),"")</f>
        <v/>
      </c>
      <c r="S184"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84" s="63"/>
      <c r="U184" s="63"/>
      <c r="V184" s="63"/>
      <c r="W184" s="63"/>
      <c r="X184" s="63"/>
    </row>
    <row r="185" spans="6:24" ht="24.75" customHeight="1">
      <c r="F185" s="53"/>
      <c r="H185" s="55" t="e">
        <f>tbl_Weld[[#This Row],[Qty Complete]]/tbl_Weld[[#This Row],[Qty Required]]</f>
        <v>#DIV/0!</v>
      </c>
      <c r="K185" s="57" t="str">
        <f>IFERROR(tbl_Weld[[#This Row],[Qty Required]]/tbl_Weld[[#This Row],[PPH]]*tbl_Weld[[#This Row],['# of men]],"")</f>
        <v/>
      </c>
      <c r="L185" s="58" t="e">
        <f>tbl_Weld[[#This Row],[Total hours]]*tbl_Weld[[#This Row],[% Complete]]</f>
        <v>#VALUE!</v>
      </c>
      <c r="M185" s="59" t="str">
        <f>IFERROR(tbl_Weld[[#This Row],[Qty Complete]]/tbl_Weld[[#This Row],[Total Hours Act]]*tbl_Weld[[#This Row],['# of men Act]],"")</f>
        <v/>
      </c>
      <c r="O185"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85" s="72" t="str">
        <f>IFERROR((tbl_Weld[[#This Row],[Adj. Total Hours]]+tbl_Weld[[#This Row],[Est. Hours]])/(tbl_Weld[[#This Row],[Total Hours Act]]+tbl_Weld[[#This Row],[Act. Hours]]),"")</f>
        <v/>
      </c>
      <c r="S185"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85" s="63"/>
      <c r="U185" s="63"/>
      <c r="V185" s="63"/>
      <c r="W185" s="63"/>
      <c r="X185" s="63"/>
    </row>
    <row r="186" spans="6:24" ht="24.75" customHeight="1">
      <c r="F186" s="53"/>
      <c r="H186" s="55" t="e">
        <f>tbl_Weld[[#This Row],[Qty Complete]]/tbl_Weld[[#This Row],[Qty Required]]</f>
        <v>#DIV/0!</v>
      </c>
      <c r="K186" s="57" t="str">
        <f>IFERROR(tbl_Weld[[#This Row],[Qty Required]]/tbl_Weld[[#This Row],[PPH]]*tbl_Weld[[#This Row],['# of men]],"")</f>
        <v/>
      </c>
      <c r="L186" s="58" t="e">
        <f>tbl_Weld[[#This Row],[Total hours]]*tbl_Weld[[#This Row],[% Complete]]</f>
        <v>#VALUE!</v>
      </c>
      <c r="M186" s="59" t="str">
        <f>IFERROR(tbl_Weld[[#This Row],[Qty Complete]]/tbl_Weld[[#This Row],[Total Hours Act]]*tbl_Weld[[#This Row],['# of men Act]],"")</f>
        <v/>
      </c>
      <c r="O186"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86" s="72" t="str">
        <f>IFERROR((tbl_Weld[[#This Row],[Adj. Total Hours]]+tbl_Weld[[#This Row],[Est. Hours]])/(tbl_Weld[[#This Row],[Total Hours Act]]+tbl_Weld[[#This Row],[Act. Hours]]),"")</f>
        <v/>
      </c>
      <c r="S186"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86" s="63"/>
      <c r="U186" s="63"/>
      <c r="V186" s="63"/>
      <c r="W186" s="63"/>
      <c r="X186" s="63"/>
    </row>
    <row r="187" spans="6:24" ht="24.75" customHeight="1">
      <c r="F187" s="53"/>
      <c r="H187" s="55" t="e">
        <f>tbl_Weld[[#This Row],[Qty Complete]]/tbl_Weld[[#This Row],[Qty Required]]</f>
        <v>#DIV/0!</v>
      </c>
      <c r="K187" s="57" t="str">
        <f>IFERROR(tbl_Weld[[#This Row],[Qty Required]]/tbl_Weld[[#This Row],[PPH]]*tbl_Weld[[#This Row],['# of men]],"")</f>
        <v/>
      </c>
      <c r="L187" s="58" t="e">
        <f>tbl_Weld[[#This Row],[Total hours]]*tbl_Weld[[#This Row],[% Complete]]</f>
        <v>#VALUE!</v>
      </c>
      <c r="M187" s="59" t="str">
        <f>IFERROR(tbl_Weld[[#This Row],[Qty Complete]]/tbl_Weld[[#This Row],[Total Hours Act]]*tbl_Weld[[#This Row],['# of men Act]],"")</f>
        <v/>
      </c>
      <c r="O187"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87" s="72" t="str">
        <f>IFERROR((tbl_Weld[[#This Row],[Adj. Total Hours]]+tbl_Weld[[#This Row],[Est. Hours]])/(tbl_Weld[[#This Row],[Total Hours Act]]+tbl_Weld[[#This Row],[Act. Hours]]),"")</f>
        <v/>
      </c>
      <c r="S187"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87" s="63"/>
      <c r="U187" s="63"/>
      <c r="V187" s="63"/>
      <c r="W187" s="63"/>
      <c r="X187" s="63"/>
    </row>
    <row r="188" spans="6:24" ht="24.75" customHeight="1">
      <c r="F188" s="53"/>
      <c r="H188" s="55" t="e">
        <f>tbl_Weld[[#This Row],[Qty Complete]]/tbl_Weld[[#This Row],[Qty Required]]</f>
        <v>#DIV/0!</v>
      </c>
      <c r="K188" s="57" t="str">
        <f>IFERROR(tbl_Weld[[#This Row],[Qty Required]]/tbl_Weld[[#This Row],[PPH]]*tbl_Weld[[#This Row],['# of men]],"")</f>
        <v/>
      </c>
      <c r="L188" s="58" t="e">
        <f>tbl_Weld[[#This Row],[Total hours]]*tbl_Weld[[#This Row],[% Complete]]</f>
        <v>#VALUE!</v>
      </c>
      <c r="M188" s="59" t="str">
        <f>IFERROR(tbl_Weld[[#This Row],[Qty Complete]]/tbl_Weld[[#This Row],[Total Hours Act]]*tbl_Weld[[#This Row],['# of men Act]],"")</f>
        <v/>
      </c>
      <c r="O188"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88" s="72" t="str">
        <f>IFERROR((tbl_Weld[[#This Row],[Adj. Total Hours]]+tbl_Weld[[#This Row],[Est. Hours]])/(tbl_Weld[[#This Row],[Total Hours Act]]+tbl_Weld[[#This Row],[Act. Hours]]),"")</f>
        <v/>
      </c>
      <c r="S188"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88" s="63"/>
      <c r="U188" s="63"/>
      <c r="V188" s="63"/>
      <c r="W188" s="63"/>
      <c r="X188" s="63"/>
    </row>
    <row r="189" spans="6:24" ht="24.75" customHeight="1">
      <c r="F189" s="53"/>
      <c r="H189" s="55" t="e">
        <f>tbl_Weld[[#This Row],[Qty Complete]]/tbl_Weld[[#This Row],[Qty Required]]</f>
        <v>#DIV/0!</v>
      </c>
      <c r="K189" s="57" t="str">
        <f>IFERROR(tbl_Weld[[#This Row],[Qty Required]]/tbl_Weld[[#This Row],[PPH]]*tbl_Weld[[#This Row],['# of men]],"")</f>
        <v/>
      </c>
      <c r="L189" s="58" t="e">
        <f>tbl_Weld[[#This Row],[Total hours]]*tbl_Weld[[#This Row],[% Complete]]</f>
        <v>#VALUE!</v>
      </c>
      <c r="M189" s="59" t="str">
        <f>IFERROR(tbl_Weld[[#This Row],[Qty Complete]]/tbl_Weld[[#This Row],[Total Hours Act]]*tbl_Weld[[#This Row],['# of men Act]],"")</f>
        <v/>
      </c>
      <c r="O189"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89" s="72" t="str">
        <f>IFERROR((tbl_Weld[[#This Row],[Adj. Total Hours]]+tbl_Weld[[#This Row],[Est. Hours]])/(tbl_Weld[[#This Row],[Total Hours Act]]+tbl_Weld[[#This Row],[Act. Hours]]),"")</f>
        <v/>
      </c>
      <c r="S189"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89" s="63"/>
      <c r="U189" s="63"/>
      <c r="V189" s="63"/>
      <c r="W189" s="63"/>
      <c r="X189" s="63"/>
    </row>
    <row r="190" spans="6:24" ht="24.75" customHeight="1">
      <c r="F190" s="53"/>
      <c r="H190" s="55" t="e">
        <f>tbl_Weld[[#This Row],[Qty Complete]]/tbl_Weld[[#This Row],[Qty Required]]</f>
        <v>#DIV/0!</v>
      </c>
      <c r="K190" s="57" t="str">
        <f>IFERROR(tbl_Weld[[#This Row],[Qty Required]]/tbl_Weld[[#This Row],[PPH]]*tbl_Weld[[#This Row],['# of men]],"")</f>
        <v/>
      </c>
      <c r="L190" s="58" t="e">
        <f>tbl_Weld[[#This Row],[Total hours]]*tbl_Weld[[#This Row],[% Complete]]</f>
        <v>#VALUE!</v>
      </c>
      <c r="M190" s="59" t="str">
        <f>IFERROR(tbl_Weld[[#This Row],[Qty Complete]]/tbl_Weld[[#This Row],[Total Hours Act]]*tbl_Weld[[#This Row],['# of men Act]],"")</f>
        <v/>
      </c>
      <c r="O190"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90" s="72" t="str">
        <f>IFERROR((tbl_Weld[[#This Row],[Adj. Total Hours]]+tbl_Weld[[#This Row],[Est. Hours]])/(tbl_Weld[[#This Row],[Total Hours Act]]+tbl_Weld[[#This Row],[Act. Hours]]),"")</f>
        <v/>
      </c>
      <c r="S190"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90" s="63"/>
      <c r="U190" s="63"/>
      <c r="V190" s="63"/>
      <c r="W190" s="63"/>
      <c r="X190" s="63"/>
    </row>
    <row r="191" spans="6:24" ht="24.75" customHeight="1">
      <c r="F191" s="53"/>
      <c r="H191" s="55" t="e">
        <f>tbl_Weld[[#This Row],[Qty Complete]]/tbl_Weld[[#This Row],[Qty Required]]</f>
        <v>#DIV/0!</v>
      </c>
      <c r="K191" s="57" t="str">
        <f>IFERROR(tbl_Weld[[#This Row],[Qty Required]]/tbl_Weld[[#This Row],[PPH]]*tbl_Weld[[#This Row],['# of men]],"")</f>
        <v/>
      </c>
      <c r="L191" s="58" t="e">
        <f>tbl_Weld[[#This Row],[Total hours]]*tbl_Weld[[#This Row],[% Complete]]</f>
        <v>#VALUE!</v>
      </c>
      <c r="M191" s="59" t="str">
        <f>IFERROR(tbl_Weld[[#This Row],[Qty Complete]]/tbl_Weld[[#This Row],[Total Hours Act]]*tbl_Weld[[#This Row],['# of men Act]],"")</f>
        <v/>
      </c>
      <c r="O191"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91" s="72" t="str">
        <f>IFERROR((tbl_Weld[[#This Row],[Adj. Total Hours]]+tbl_Weld[[#This Row],[Est. Hours]])/(tbl_Weld[[#This Row],[Total Hours Act]]+tbl_Weld[[#This Row],[Act. Hours]]),"")</f>
        <v/>
      </c>
      <c r="S191"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91" s="63"/>
      <c r="U191" s="63"/>
      <c r="V191" s="63"/>
      <c r="W191" s="63"/>
      <c r="X191" s="63"/>
    </row>
    <row r="192" spans="6:24" ht="24.75" customHeight="1">
      <c r="F192" s="53"/>
      <c r="H192" s="55" t="e">
        <f>tbl_Weld[[#This Row],[Qty Complete]]/tbl_Weld[[#This Row],[Qty Required]]</f>
        <v>#DIV/0!</v>
      </c>
      <c r="K192" s="57" t="str">
        <f>IFERROR(tbl_Weld[[#This Row],[Qty Required]]/tbl_Weld[[#This Row],[PPH]]*tbl_Weld[[#This Row],['# of men]],"")</f>
        <v/>
      </c>
      <c r="L192" s="58" t="e">
        <f>tbl_Weld[[#This Row],[Total hours]]*tbl_Weld[[#This Row],[% Complete]]</f>
        <v>#VALUE!</v>
      </c>
      <c r="M192" s="59" t="str">
        <f>IFERROR(tbl_Weld[[#This Row],[Qty Complete]]/tbl_Weld[[#This Row],[Total Hours Act]]*tbl_Weld[[#This Row],['# of men Act]],"")</f>
        <v/>
      </c>
      <c r="O192"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92" s="72" t="str">
        <f>IFERROR((tbl_Weld[[#This Row],[Adj. Total Hours]]+tbl_Weld[[#This Row],[Est. Hours]])/(tbl_Weld[[#This Row],[Total Hours Act]]+tbl_Weld[[#This Row],[Act. Hours]]),"")</f>
        <v/>
      </c>
      <c r="S192"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92" s="63"/>
      <c r="U192" s="63"/>
      <c r="V192" s="63"/>
      <c r="W192" s="63"/>
      <c r="X192" s="63"/>
    </row>
    <row r="193" spans="6:24" ht="24.75" customHeight="1">
      <c r="F193" s="53"/>
      <c r="H193" s="55" t="e">
        <f>tbl_Weld[[#This Row],[Qty Complete]]/tbl_Weld[[#This Row],[Qty Required]]</f>
        <v>#DIV/0!</v>
      </c>
      <c r="K193" s="57" t="str">
        <f>IFERROR(tbl_Weld[[#This Row],[Qty Required]]/tbl_Weld[[#This Row],[PPH]]*tbl_Weld[[#This Row],['# of men]],"")</f>
        <v/>
      </c>
      <c r="L193" s="58" t="e">
        <f>tbl_Weld[[#This Row],[Total hours]]*tbl_Weld[[#This Row],[% Complete]]</f>
        <v>#VALUE!</v>
      </c>
      <c r="M193" s="59" t="str">
        <f>IFERROR(tbl_Weld[[#This Row],[Qty Complete]]/tbl_Weld[[#This Row],[Total Hours Act]]*tbl_Weld[[#This Row],['# of men Act]],"")</f>
        <v/>
      </c>
      <c r="O193"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93" s="72" t="str">
        <f>IFERROR((tbl_Weld[[#This Row],[Adj. Total Hours]]+tbl_Weld[[#This Row],[Est. Hours]])/(tbl_Weld[[#This Row],[Total Hours Act]]+tbl_Weld[[#This Row],[Act. Hours]]),"")</f>
        <v/>
      </c>
      <c r="S193"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93" s="63"/>
      <c r="U193" s="63"/>
      <c r="V193" s="63"/>
      <c r="W193" s="63"/>
      <c r="X193" s="63"/>
    </row>
    <row r="194" spans="6:24" ht="24.75" customHeight="1">
      <c r="F194" s="53"/>
      <c r="H194" s="55" t="e">
        <f>tbl_Weld[[#This Row],[Qty Complete]]/tbl_Weld[[#This Row],[Qty Required]]</f>
        <v>#DIV/0!</v>
      </c>
      <c r="K194" s="57" t="str">
        <f>IFERROR(tbl_Weld[[#This Row],[Qty Required]]/tbl_Weld[[#This Row],[PPH]]*tbl_Weld[[#This Row],['# of men]],"")</f>
        <v/>
      </c>
      <c r="L194" s="58" t="e">
        <f>tbl_Weld[[#This Row],[Total hours]]*tbl_Weld[[#This Row],[% Complete]]</f>
        <v>#VALUE!</v>
      </c>
      <c r="M194" s="59" t="str">
        <f>IFERROR(tbl_Weld[[#This Row],[Qty Complete]]/tbl_Weld[[#This Row],[Total Hours Act]]*tbl_Weld[[#This Row],['# of men Act]],"")</f>
        <v/>
      </c>
      <c r="O194"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94" s="72" t="str">
        <f>IFERROR((tbl_Weld[[#This Row],[Adj. Total Hours]]+tbl_Weld[[#This Row],[Est. Hours]])/(tbl_Weld[[#This Row],[Total Hours Act]]+tbl_Weld[[#This Row],[Act. Hours]]),"")</f>
        <v/>
      </c>
      <c r="S194"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94" s="63"/>
      <c r="U194" s="63"/>
      <c r="V194" s="63"/>
      <c r="W194" s="63"/>
      <c r="X194" s="63"/>
    </row>
    <row r="195" spans="6:24" ht="24.75" customHeight="1">
      <c r="F195" s="53"/>
      <c r="H195" s="55" t="e">
        <f>tbl_Weld[[#This Row],[Qty Complete]]/tbl_Weld[[#This Row],[Qty Required]]</f>
        <v>#DIV/0!</v>
      </c>
      <c r="K195" s="57" t="str">
        <f>IFERROR(tbl_Weld[[#This Row],[Qty Required]]/tbl_Weld[[#This Row],[PPH]]*tbl_Weld[[#This Row],['# of men]],"")</f>
        <v/>
      </c>
      <c r="L195" s="58" t="e">
        <f>tbl_Weld[[#This Row],[Total hours]]*tbl_Weld[[#This Row],[% Complete]]</f>
        <v>#VALUE!</v>
      </c>
      <c r="M195" s="59" t="str">
        <f>IFERROR(tbl_Weld[[#This Row],[Qty Complete]]/tbl_Weld[[#This Row],[Total Hours Act]]*tbl_Weld[[#This Row],['# of men Act]],"")</f>
        <v/>
      </c>
      <c r="O195"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95" s="72" t="str">
        <f>IFERROR((tbl_Weld[[#This Row],[Adj. Total Hours]]+tbl_Weld[[#This Row],[Est. Hours]])/(tbl_Weld[[#This Row],[Total Hours Act]]+tbl_Weld[[#This Row],[Act. Hours]]),"")</f>
        <v/>
      </c>
      <c r="S195"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95" s="63"/>
      <c r="U195" s="63"/>
      <c r="V195" s="63"/>
      <c r="W195" s="63"/>
      <c r="X195" s="63"/>
    </row>
    <row r="196" spans="6:24" ht="24.75" customHeight="1">
      <c r="F196" s="53"/>
      <c r="H196" s="55" t="e">
        <f>tbl_Weld[[#This Row],[Qty Complete]]/tbl_Weld[[#This Row],[Qty Required]]</f>
        <v>#DIV/0!</v>
      </c>
      <c r="K196" s="57" t="str">
        <f>IFERROR(tbl_Weld[[#This Row],[Qty Required]]/tbl_Weld[[#This Row],[PPH]]*tbl_Weld[[#This Row],['# of men]],"")</f>
        <v/>
      </c>
      <c r="L196" s="58" t="e">
        <f>tbl_Weld[[#This Row],[Total hours]]*tbl_Weld[[#This Row],[% Complete]]</f>
        <v>#VALUE!</v>
      </c>
      <c r="M196" s="59" t="str">
        <f>IFERROR(tbl_Weld[[#This Row],[Qty Complete]]/tbl_Weld[[#This Row],[Total Hours Act]]*tbl_Weld[[#This Row],['# of men Act]],"")</f>
        <v/>
      </c>
      <c r="O196"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96" s="72" t="str">
        <f>IFERROR((tbl_Weld[[#This Row],[Adj. Total Hours]]+tbl_Weld[[#This Row],[Est. Hours]])/(tbl_Weld[[#This Row],[Total Hours Act]]+tbl_Weld[[#This Row],[Act. Hours]]),"")</f>
        <v/>
      </c>
      <c r="S196"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96" s="63"/>
      <c r="U196" s="63"/>
      <c r="V196" s="63"/>
      <c r="W196" s="63"/>
      <c r="X196" s="63"/>
    </row>
    <row r="197" spans="6:24" ht="24.75" customHeight="1">
      <c r="F197" s="53"/>
      <c r="H197" s="55" t="e">
        <f>tbl_Weld[[#This Row],[Qty Complete]]/tbl_Weld[[#This Row],[Qty Required]]</f>
        <v>#DIV/0!</v>
      </c>
      <c r="K197" s="57" t="str">
        <f>IFERROR(tbl_Weld[[#This Row],[Qty Required]]/tbl_Weld[[#This Row],[PPH]]*tbl_Weld[[#This Row],['# of men]],"")</f>
        <v/>
      </c>
      <c r="L197" s="58" t="e">
        <f>tbl_Weld[[#This Row],[Total hours]]*tbl_Weld[[#This Row],[% Complete]]</f>
        <v>#VALUE!</v>
      </c>
      <c r="M197" s="59" t="str">
        <f>IFERROR(tbl_Weld[[#This Row],[Qty Complete]]/tbl_Weld[[#This Row],[Total Hours Act]]*tbl_Weld[[#This Row],['# of men Act]],"")</f>
        <v/>
      </c>
      <c r="O197"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97" s="72" t="str">
        <f>IFERROR((tbl_Weld[[#This Row],[Adj. Total Hours]]+tbl_Weld[[#This Row],[Est. Hours]])/(tbl_Weld[[#This Row],[Total Hours Act]]+tbl_Weld[[#This Row],[Act. Hours]]),"")</f>
        <v/>
      </c>
      <c r="S197"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97" s="63"/>
      <c r="U197" s="63"/>
      <c r="V197" s="63"/>
      <c r="W197" s="63"/>
      <c r="X197" s="63"/>
    </row>
    <row r="198" spans="6:24" ht="24.75" customHeight="1">
      <c r="F198" s="53"/>
      <c r="H198" s="55" t="e">
        <f>tbl_Weld[[#This Row],[Qty Complete]]/tbl_Weld[[#This Row],[Qty Required]]</f>
        <v>#DIV/0!</v>
      </c>
      <c r="K198" s="57" t="str">
        <f>IFERROR(tbl_Weld[[#This Row],[Qty Required]]/tbl_Weld[[#This Row],[PPH]]*tbl_Weld[[#This Row],['# of men]],"")</f>
        <v/>
      </c>
      <c r="L198" s="58" t="e">
        <f>tbl_Weld[[#This Row],[Total hours]]*tbl_Weld[[#This Row],[% Complete]]</f>
        <v>#VALUE!</v>
      </c>
      <c r="M198" s="59" t="str">
        <f>IFERROR(tbl_Weld[[#This Row],[Qty Complete]]/tbl_Weld[[#This Row],[Total Hours Act]]*tbl_Weld[[#This Row],['# of men Act]],"")</f>
        <v/>
      </c>
      <c r="O198"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98" s="72" t="str">
        <f>IFERROR((tbl_Weld[[#This Row],[Adj. Total Hours]]+tbl_Weld[[#This Row],[Est. Hours]])/(tbl_Weld[[#This Row],[Total Hours Act]]+tbl_Weld[[#This Row],[Act. Hours]]),"")</f>
        <v/>
      </c>
      <c r="S198"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98" s="63"/>
      <c r="U198" s="63"/>
      <c r="V198" s="63"/>
      <c r="W198" s="63"/>
      <c r="X198" s="63"/>
    </row>
    <row r="199" spans="6:24" ht="24.75" customHeight="1">
      <c r="F199" s="53"/>
      <c r="H199" s="55" t="e">
        <f>tbl_Weld[[#This Row],[Qty Complete]]/tbl_Weld[[#This Row],[Qty Required]]</f>
        <v>#DIV/0!</v>
      </c>
      <c r="K199" s="57" t="str">
        <f>IFERROR(tbl_Weld[[#This Row],[Qty Required]]/tbl_Weld[[#This Row],[PPH]]*tbl_Weld[[#This Row],['# of men]],"")</f>
        <v/>
      </c>
      <c r="L199" s="58" t="e">
        <f>tbl_Weld[[#This Row],[Total hours]]*tbl_Weld[[#This Row],[% Complete]]</f>
        <v>#VALUE!</v>
      </c>
      <c r="M199" s="59" t="str">
        <f>IFERROR(tbl_Weld[[#This Row],[Qty Complete]]/tbl_Weld[[#This Row],[Total Hours Act]]*tbl_Weld[[#This Row],['# of men Act]],"")</f>
        <v/>
      </c>
      <c r="O199"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199" s="72" t="str">
        <f>IFERROR((tbl_Weld[[#This Row],[Adj. Total Hours]]+tbl_Weld[[#This Row],[Est. Hours]])/(tbl_Weld[[#This Row],[Total Hours Act]]+tbl_Weld[[#This Row],[Act. Hours]]),"")</f>
        <v/>
      </c>
      <c r="S199"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199" s="63"/>
      <c r="U199" s="63"/>
      <c r="V199" s="63"/>
      <c r="W199" s="63"/>
      <c r="X199" s="63"/>
    </row>
    <row r="200" spans="6:24" ht="24.75" customHeight="1">
      <c r="F200" s="53"/>
      <c r="H200" s="55" t="e">
        <f>tbl_Weld[[#This Row],[Qty Complete]]/tbl_Weld[[#This Row],[Qty Required]]</f>
        <v>#DIV/0!</v>
      </c>
      <c r="K200" s="57" t="str">
        <f>IFERROR(tbl_Weld[[#This Row],[Qty Required]]/tbl_Weld[[#This Row],[PPH]]*tbl_Weld[[#This Row],['# of men]],"")</f>
        <v/>
      </c>
      <c r="L200" s="58" t="e">
        <f>tbl_Weld[[#This Row],[Total hours]]*tbl_Weld[[#This Row],[% Complete]]</f>
        <v>#VALUE!</v>
      </c>
      <c r="M200" s="59" t="str">
        <f>IFERROR(tbl_Weld[[#This Row],[Qty Complete]]/tbl_Weld[[#This Row],[Total Hours Act]]*tbl_Weld[[#This Row],['# of men Act]],"")</f>
        <v/>
      </c>
      <c r="O200"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200" s="72" t="str">
        <f>IFERROR((tbl_Weld[[#This Row],[Adj. Total Hours]]+tbl_Weld[[#This Row],[Est. Hours]])/(tbl_Weld[[#This Row],[Total Hours Act]]+tbl_Weld[[#This Row],[Act. Hours]]),"")</f>
        <v/>
      </c>
      <c r="S200"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200" s="63"/>
      <c r="U200" s="63"/>
      <c r="V200" s="63"/>
      <c r="W200" s="63"/>
      <c r="X200" s="63"/>
    </row>
    <row r="201" spans="6:24" ht="24.75" customHeight="1">
      <c r="F201" s="53"/>
      <c r="H201" s="55" t="e">
        <f>tbl_Weld[[#This Row],[Qty Complete]]/tbl_Weld[[#This Row],[Qty Required]]</f>
        <v>#DIV/0!</v>
      </c>
      <c r="K201" s="57" t="str">
        <f>IFERROR(tbl_Weld[[#This Row],[Qty Required]]/tbl_Weld[[#This Row],[PPH]]*tbl_Weld[[#This Row],['# of men]],"")</f>
        <v/>
      </c>
      <c r="L201" s="58" t="e">
        <f>tbl_Weld[[#This Row],[Total hours]]*tbl_Weld[[#This Row],[% Complete]]</f>
        <v>#VALUE!</v>
      </c>
      <c r="M201" s="59" t="str">
        <f>IFERROR(tbl_Weld[[#This Row],[Qty Complete]]/tbl_Weld[[#This Row],[Total Hours Act]]*tbl_Weld[[#This Row],['# of men Act]],"")</f>
        <v/>
      </c>
      <c r="O201"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201" s="72" t="str">
        <f>IFERROR((tbl_Weld[[#This Row],[Adj. Total Hours]]+tbl_Weld[[#This Row],[Est. Hours]])/(tbl_Weld[[#This Row],[Total Hours Act]]+tbl_Weld[[#This Row],[Act. Hours]]),"")</f>
        <v/>
      </c>
      <c r="S201"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201" s="63"/>
      <c r="U201" s="63"/>
      <c r="V201" s="63"/>
      <c r="W201" s="63"/>
      <c r="X201" s="63"/>
    </row>
    <row r="202" spans="6:24" ht="24.75" customHeight="1">
      <c r="F202" s="53"/>
      <c r="H202" s="55" t="e">
        <f>tbl_Weld[[#This Row],[Qty Complete]]/tbl_Weld[[#This Row],[Qty Required]]</f>
        <v>#DIV/0!</v>
      </c>
      <c r="K202" s="57" t="str">
        <f>IFERROR(tbl_Weld[[#This Row],[Qty Required]]/tbl_Weld[[#This Row],[PPH]]*tbl_Weld[[#This Row],['# of men]],"")</f>
        <v/>
      </c>
      <c r="L202" s="58" t="e">
        <f>tbl_Weld[[#This Row],[Total hours]]*tbl_Weld[[#This Row],[% Complete]]</f>
        <v>#VALUE!</v>
      </c>
      <c r="M202" s="59" t="str">
        <f>IFERROR(tbl_Weld[[#This Row],[Qty Complete]]/tbl_Weld[[#This Row],[Total Hours Act]]*tbl_Weld[[#This Row],['# of men Act]],"")</f>
        <v/>
      </c>
      <c r="O202"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202" s="72" t="str">
        <f>IFERROR((tbl_Weld[[#This Row],[Adj. Total Hours]]+tbl_Weld[[#This Row],[Est. Hours]])/(tbl_Weld[[#This Row],[Total Hours Act]]+tbl_Weld[[#This Row],[Act. Hours]]),"")</f>
        <v/>
      </c>
      <c r="S202"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202" s="63"/>
      <c r="U202" s="63"/>
      <c r="V202" s="63"/>
      <c r="W202" s="63"/>
      <c r="X202" s="63"/>
    </row>
    <row r="203" spans="6:24" ht="24.75" customHeight="1">
      <c r="F203" s="53"/>
      <c r="H203" s="55" t="e">
        <f>tbl_Weld[[#This Row],[Qty Complete]]/tbl_Weld[[#This Row],[Qty Required]]</f>
        <v>#DIV/0!</v>
      </c>
      <c r="K203" s="57" t="str">
        <f>IFERROR(tbl_Weld[[#This Row],[Qty Required]]/tbl_Weld[[#This Row],[PPH]]*tbl_Weld[[#This Row],['# of men]],"")</f>
        <v/>
      </c>
      <c r="L203" s="58" t="e">
        <f>tbl_Weld[[#This Row],[Total hours]]*tbl_Weld[[#This Row],[% Complete]]</f>
        <v>#VALUE!</v>
      </c>
      <c r="M203" s="59" t="str">
        <f>IFERROR(tbl_Weld[[#This Row],[Qty Complete]]/tbl_Weld[[#This Row],[Total Hours Act]]*tbl_Weld[[#This Row],['# of men Act]],"")</f>
        <v/>
      </c>
      <c r="O203"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203" s="72" t="str">
        <f>IFERROR((tbl_Weld[[#This Row],[Adj. Total Hours]]+tbl_Weld[[#This Row],[Est. Hours]])/(tbl_Weld[[#This Row],[Total Hours Act]]+tbl_Weld[[#This Row],[Act. Hours]]),"")</f>
        <v/>
      </c>
      <c r="S203"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203" s="63"/>
      <c r="U203" s="63"/>
      <c r="V203" s="63"/>
      <c r="W203" s="63"/>
      <c r="X203" s="63"/>
    </row>
    <row r="204" spans="6:24" ht="24.75" customHeight="1">
      <c r="F204" s="53"/>
      <c r="H204" s="55" t="e">
        <f>tbl_Weld[[#This Row],[Qty Complete]]/tbl_Weld[[#This Row],[Qty Required]]</f>
        <v>#DIV/0!</v>
      </c>
      <c r="K204" s="57" t="str">
        <f>IFERROR(tbl_Weld[[#This Row],[Qty Required]]/tbl_Weld[[#This Row],[PPH]]*tbl_Weld[[#This Row],['# of men]],"")</f>
        <v/>
      </c>
      <c r="L204" s="58" t="e">
        <f>tbl_Weld[[#This Row],[Total hours]]*tbl_Weld[[#This Row],[% Complete]]</f>
        <v>#VALUE!</v>
      </c>
      <c r="M204" s="59" t="str">
        <f>IFERROR(tbl_Weld[[#This Row],[Qty Complete]]/tbl_Weld[[#This Row],[Total Hours Act]]*tbl_Weld[[#This Row],['# of men Act]],"")</f>
        <v/>
      </c>
      <c r="O204"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204" s="72" t="str">
        <f>IFERROR((tbl_Weld[[#This Row],[Adj. Total Hours]]+tbl_Weld[[#This Row],[Est. Hours]])/(tbl_Weld[[#This Row],[Total Hours Act]]+tbl_Weld[[#This Row],[Act. Hours]]),"")</f>
        <v/>
      </c>
      <c r="S204"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204" s="63"/>
      <c r="U204" s="63"/>
      <c r="V204" s="63"/>
      <c r="W204" s="63"/>
      <c r="X204" s="63"/>
    </row>
    <row r="205" spans="6:24" ht="24.75" customHeight="1">
      <c r="F205" s="53"/>
      <c r="H205" s="55" t="e">
        <f>tbl_Weld[[#This Row],[Qty Complete]]/tbl_Weld[[#This Row],[Qty Required]]</f>
        <v>#DIV/0!</v>
      </c>
      <c r="K205" s="57" t="str">
        <f>IFERROR(tbl_Weld[[#This Row],[Qty Required]]/tbl_Weld[[#This Row],[PPH]]*tbl_Weld[[#This Row],['# of men]],"")</f>
        <v/>
      </c>
      <c r="L205" s="58" t="e">
        <f>tbl_Weld[[#This Row],[Total hours]]*tbl_Weld[[#This Row],[% Complete]]</f>
        <v>#VALUE!</v>
      </c>
      <c r="M205" s="59" t="str">
        <f>IFERROR(tbl_Weld[[#This Row],[Qty Complete]]/tbl_Weld[[#This Row],[Total Hours Act]]*tbl_Weld[[#This Row],['# of men Act]],"")</f>
        <v/>
      </c>
      <c r="O205"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205" s="72" t="str">
        <f>IFERROR((tbl_Weld[[#This Row],[Adj. Total Hours]]+tbl_Weld[[#This Row],[Est. Hours]])/(tbl_Weld[[#This Row],[Total Hours Act]]+tbl_Weld[[#This Row],[Act. Hours]]),"")</f>
        <v/>
      </c>
      <c r="S205"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205" s="63"/>
      <c r="U205" s="63"/>
      <c r="V205" s="63"/>
      <c r="W205" s="63"/>
      <c r="X205" s="63"/>
    </row>
    <row r="206" spans="6:24" ht="24.75" customHeight="1">
      <c r="F206" s="53"/>
      <c r="H206" s="55" t="e">
        <f>tbl_Weld[[#This Row],[Qty Complete]]/tbl_Weld[[#This Row],[Qty Required]]</f>
        <v>#DIV/0!</v>
      </c>
      <c r="K206" s="57" t="str">
        <f>IFERROR(tbl_Weld[[#This Row],[Qty Required]]/tbl_Weld[[#This Row],[PPH]]*tbl_Weld[[#This Row],['# of men]],"")</f>
        <v/>
      </c>
      <c r="L206" s="58" t="e">
        <f>tbl_Weld[[#This Row],[Total hours]]*tbl_Weld[[#This Row],[% Complete]]</f>
        <v>#VALUE!</v>
      </c>
      <c r="M206" s="59" t="str">
        <f>IFERROR(tbl_Weld[[#This Row],[Qty Complete]]/tbl_Weld[[#This Row],[Total Hours Act]]*tbl_Weld[[#This Row],['# of men Act]],"")</f>
        <v/>
      </c>
      <c r="O206"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206" s="72" t="str">
        <f>IFERROR((tbl_Weld[[#This Row],[Adj. Total Hours]]+tbl_Weld[[#This Row],[Est. Hours]])/(tbl_Weld[[#This Row],[Total Hours Act]]+tbl_Weld[[#This Row],[Act. Hours]]),"")</f>
        <v/>
      </c>
      <c r="S206"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206" s="63"/>
      <c r="U206" s="63"/>
      <c r="V206" s="63"/>
      <c r="W206" s="63"/>
      <c r="X206" s="63"/>
    </row>
    <row r="207" spans="6:24" ht="24.75" customHeight="1">
      <c r="F207" s="53"/>
      <c r="H207" s="55" t="e">
        <f>tbl_Weld[[#This Row],[Qty Complete]]/tbl_Weld[[#This Row],[Qty Required]]</f>
        <v>#DIV/0!</v>
      </c>
      <c r="K207" s="57" t="str">
        <f>IFERROR(tbl_Weld[[#This Row],[Qty Required]]/tbl_Weld[[#This Row],[PPH]]*tbl_Weld[[#This Row],['# of men]],"")</f>
        <v/>
      </c>
      <c r="L207" s="58" t="e">
        <f>tbl_Weld[[#This Row],[Total hours]]*tbl_Weld[[#This Row],[% Complete]]</f>
        <v>#VALUE!</v>
      </c>
      <c r="M207" s="59" t="str">
        <f>IFERROR(tbl_Weld[[#This Row],[Qty Complete]]/tbl_Weld[[#This Row],[Total Hours Act]]*tbl_Weld[[#This Row],['# of men Act]],"")</f>
        <v/>
      </c>
      <c r="O207"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207" s="72" t="str">
        <f>IFERROR((tbl_Weld[[#This Row],[Adj. Total Hours]]+tbl_Weld[[#This Row],[Est. Hours]])/(tbl_Weld[[#This Row],[Total Hours Act]]+tbl_Weld[[#This Row],[Act. Hours]]),"")</f>
        <v/>
      </c>
      <c r="S207"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207" s="63"/>
      <c r="U207" s="63"/>
      <c r="V207" s="63"/>
      <c r="W207" s="63"/>
      <c r="X207" s="63"/>
    </row>
    <row r="208" spans="6:24" ht="24.75" customHeight="1">
      <c r="F208" s="53"/>
      <c r="H208" s="55" t="e">
        <f>tbl_Weld[[#This Row],[Qty Complete]]/tbl_Weld[[#This Row],[Qty Required]]</f>
        <v>#DIV/0!</v>
      </c>
      <c r="K208" s="57" t="str">
        <f>IFERROR(tbl_Weld[[#This Row],[Qty Required]]/tbl_Weld[[#This Row],[PPH]]*tbl_Weld[[#This Row],['# of men]],"")</f>
        <v/>
      </c>
      <c r="L208" s="58" t="e">
        <f>tbl_Weld[[#This Row],[Total hours]]*tbl_Weld[[#This Row],[% Complete]]</f>
        <v>#VALUE!</v>
      </c>
      <c r="M208" s="59" t="str">
        <f>IFERROR(tbl_Weld[[#This Row],[Qty Complete]]/tbl_Weld[[#This Row],[Total Hours Act]]*tbl_Weld[[#This Row],['# of men Act]],"")</f>
        <v/>
      </c>
      <c r="O208"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208" s="72" t="str">
        <f>IFERROR((tbl_Weld[[#This Row],[Adj. Total Hours]]+tbl_Weld[[#This Row],[Est. Hours]])/(tbl_Weld[[#This Row],[Total Hours Act]]+tbl_Weld[[#This Row],[Act. Hours]]),"")</f>
        <v/>
      </c>
      <c r="S208"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208" s="63"/>
      <c r="U208" s="63"/>
      <c r="V208" s="63"/>
      <c r="W208" s="63"/>
      <c r="X208" s="63"/>
    </row>
    <row r="209" spans="6:24" ht="24.75" customHeight="1">
      <c r="F209" s="53"/>
      <c r="H209" s="55" t="e">
        <f>tbl_Weld[[#This Row],[Qty Complete]]/tbl_Weld[[#This Row],[Qty Required]]</f>
        <v>#DIV/0!</v>
      </c>
      <c r="K209" s="57" t="str">
        <f>IFERROR(tbl_Weld[[#This Row],[Qty Required]]/tbl_Weld[[#This Row],[PPH]]*tbl_Weld[[#This Row],['# of men]],"")</f>
        <v/>
      </c>
      <c r="L209" s="58" t="e">
        <f>tbl_Weld[[#This Row],[Total hours]]*tbl_Weld[[#This Row],[% Complete]]</f>
        <v>#VALUE!</v>
      </c>
      <c r="M209" s="59" t="str">
        <f>IFERROR(tbl_Weld[[#This Row],[Qty Complete]]/tbl_Weld[[#This Row],[Total Hours Act]]*tbl_Weld[[#This Row],['# of men Act]],"")</f>
        <v/>
      </c>
      <c r="O209"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209" s="72" t="str">
        <f>IFERROR((tbl_Weld[[#This Row],[Adj. Total Hours]]+tbl_Weld[[#This Row],[Est. Hours]])/(tbl_Weld[[#This Row],[Total Hours Act]]+tbl_Weld[[#This Row],[Act. Hours]]),"")</f>
        <v/>
      </c>
      <c r="S209"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209" s="63"/>
      <c r="U209" s="63"/>
      <c r="V209" s="63"/>
      <c r="W209" s="63"/>
      <c r="X209" s="63"/>
    </row>
    <row r="210" spans="6:24" ht="24.75" customHeight="1">
      <c r="F210" s="53"/>
      <c r="H210" s="55" t="e">
        <f>tbl_Weld[[#This Row],[Qty Complete]]/tbl_Weld[[#This Row],[Qty Required]]</f>
        <v>#DIV/0!</v>
      </c>
      <c r="K210" s="57" t="str">
        <f>IFERROR(tbl_Weld[[#This Row],[Qty Required]]/tbl_Weld[[#This Row],[PPH]]*tbl_Weld[[#This Row],['# of men]],"")</f>
        <v/>
      </c>
      <c r="L210" s="58" t="e">
        <f>tbl_Weld[[#This Row],[Total hours]]*tbl_Weld[[#This Row],[% Complete]]</f>
        <v>#VALUE!</v>
      </c>
      <c r="M210" s="59" t="str">
        <f>IFERROR(tbl_Weld[[#This Row],[Qty Complete]]/tbl_Weld[[#This Row],[Total Hours Act]]*tbl_Weld[[#This Row],['# of men Act]],"")</f>
        <v/>
      </c>
      <c r="O210"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210" s="72" t="str">
        <f>IFERROR((tbl_Weld[[#This Row],[Adj. Total Hours]]+tbl_Weld[[#This Row],[Est. Hours]])/(tbl_Weld[[#This Row],[Total Hours Act]]+tbl_Weld[[#This Row],[Act. Hours]]),"")</f>
        <v/>
      </c>
      <c r="S210"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210" s="63"/>
      <c r="U210" s="63"/>
      <c r="V210" s="63"/>
      <c r="W210" s="63"/>
      <c r="X210" s="63"/>
    </row>
    <row r="211" spans="6:24" ht="24.75" customHeight="1">
      <c r="F211" s="53"/>
      <c r="H211" s="55" t="e">
        <f>tbl_Weld[[#This Row],[Qty Complete]]/tbl_Weld[[#This Row],[Qty Required]]</f>
        <v>#DIV/0!</v>
      </c>
      <c r="K211" s="57" t="str">
        <f>IFERROR(tbl_Weld[[#This Row],[Qty Required]]/tbl_Weld[[#This Row],[PPH]]*tbl_Weld[[#This Row],['# of men]],"")</f>
        <v/>
      </c>
      <c r="L211" s="58" t="e">
        <f>tbl_Weld[[#This Row],[Total hours]]*tbl_Weld[[#This Row],[% Complete]]</f>
        <v>#VALUE!</v>
      </c>
      <c r="M211" s="59" t="str">
        <f>IFERROR(tbl_Weld[[#This Row],[Qty Complete]]/tbl_Weld[[#This Row],[Total Hours Act]]*tbl_Weld[[#This Row],['# of men Act]],"")</f>
        <v/>
      </c>
      <c r="O211"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211" s="72" t="str">
        <f>IFERROR((tbl_Weld[[#This Row],[Adj. Total Hours]]+tbl_Weld[[#This Row],[Est. Hours]])/(tbl_Weld[[#This Row],[Total Hours Act]]+tbl_Weld[[#This Row],[Act. Hours]]),"")</f>
        <v/>
      </c>
      <c r="S211"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211" s="63"/>
      <c r="U211" s="63"/>
      <c r="V211" s="63"/>
      <c r="W211" s="63"/>
      <c r="X211" s="63"/>
    </row>
    <row r="212" spans="6:24" ht="24.75" customHeight="1">
      <c r="F212" s="53"/>
      <c r="H212" s="55" t="e">
        <f>tbl_Weld[[#This Row],[Qty Complete]]/tbl_Weld[[#This Row],[Qty Required]]</f>
        <v>#DIV/0!</v>
      </c>
      <c r="K212" s="57" t="str">
        <f>IFERROR(tbl_Weld[[#This Row],[Qty Required]]/tbl_Weld[[#This Row],[PPH]]*tbl_Weld[[#This Row],['# of men]],"")</f>
        <v/>
      </c>
      <c r="L212" s="58" t="e">
        <f>tbl_Weld[[#This Row],[Total hours]]*tbl_Weld[[#This Row],[% Complete]]</f>
        <v>#VALUE!</v>
      </c>
      <c r="M212" s="59" t="str">
        <f>IFERROR(tbl_Weld[[#This Row],[Qty Complete]]/tbl_Weld[[#This Row],[Total Hours Act]]*tbl_Weld[[#This Row],['# of men Act]],"")</f>
        <v/>
      </c>
      <c r="O212"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212" s="72" t="str">
        <f>IFERROR((tbl_Weld[[#This Row],[Adj. Total Hours]]+tbl_Weld[[#This Row],[Est. Hours]])/(tbl_Weld[[#This Row],[Total Hours Act]]+tbl_Weld[[#This Row],[Act. Hours]]),"")</f>
        <v/>
      </c>
      <c r="S212"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212" s="63"/>
      <c r="U212" s="63"/>
      <c r="V212" s="63"/>
      <c r="W212" s="63"/>
      <c r="X212" s="63"/>
    </row>
    <row r="213" spans="6:24" ht="24.75" customHeight="1">
      <c r="F213" s="53"/>
      <c r="H213" s="55" t="e">
        <f>tbl_Weld[[#This Row],[Qty Complete]]/tbl_Weld[[#This Row],[Qty Required]]</f>
        <v>#DIV/0!</v>
      </c>
      <c r="K213" s="57" t="str">
        <f>IFERROR(tbl_Weld[[#This Row],[Qty Required]]/tbl_Weld[[#This Row],[PPH]]*tbl_Weld[[#This Row],['# of men]],"")</f>
        <v/>
      </c>
      <c r="L213" s="58" t="e">
        <f>tbl_Weld[[#This Row],[Total hours]]*tbl_Weld[[#This Row],[% Complete]]</f>
        <v>#VALUE!</v>
      </c>
      <c r="M213" s="59" t="str">
        <f>IFERROR(tbl_Weld[[#This Row],[Qty Complete]]/tbl_Weld[[#This Row],[Total Hours Act]]*tbl_Weld[[#This Row],['# of men Act]],"")</f>
        <v/>
      </c>
      <c r="O213"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213" s="72" t="str">
        <f>IFERROR((tbl_Weld[[#This Row],[Adj. Total Hours]]+tbl_Weld[[#This Row],[Est. Hours]])/(tbl_Weld[[#This Row],[Total Hours Act]]+tbl_Weld[[#This Row],[Act. Hours]]),"")</f>
        <v/>
      </c>
      <c r="S213"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213" s="63"/>
      <c r="U213" s="63"/>
      <c r="V213" s="63"/>
      <c r="W213" s="63"/>
      <c r="X213" s="63"/>
    </row>
    <row r="214" spans="6:24" ht="24.75" customHeight="1">
      <c r="F214" s="53"/>
      <c r="H214" s="55" t="e">
        <f>tbl_Weld[[#This Row],[Qty Complete]]/tbl_Weld[[#This Row],[Qty Required]]</f>
        <v>#DIV/0!</v>
      </c>
      <c r="K214" s="57" t="str">
        <f>IFERROR(tbl_Weld[[#This Row],[Qty Required]]/tbl_Weld[[#This Row],[PPH]]*tbl_Weld[[#This Row],['# of men]],"")</f>
        <v/>
      </c>
      <c r="L214" s="58" t="e">
        <f>tbl_Weld[[#This Row],[Total hours]]*tbl_Weld[[#This Row],[% Complete]]</f>
        <v>#VALUE!</v>
      </c>
      <c r="M214" s="59" t="str">
        <f>IFERROR(tbl_Weld[[#This Row],[Qty Complete]]/tbl_Weld[[#This Row],[Total Hours Act]]*tbl_Weld[[#This Row],['# of men Act]],"")</f>
        <v/>
      </c>
      <c r="O214"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214" s="72" t="str">
        <f>IFERROR((tbl_Weld[[#This Row],[Adj. Total Hours]]+tbl_Weld[[#This Row],[Est. Hours]])/(tbl_Weld[[#This Row],[Total Hours Act]]+tbl_Weld[[#This Row],[Act. Hours]]),"")</f>
        <v/>
      </c>
      <c r="S214"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214" s="63"/>
      <c r="U214" s="63"/>
      <c r="V214" s="63"/>
      <c r="W214" s="63"/>
      <c r="X214" s="63"/>
    </row>
    <row r="215" spans="6:24" ht="24.75" customHeight="1">
      <c r="F215" s="53"/>
      <c r="H215" s="55" t="e">
        <f>tbl_Weld[[#This Row],[Qty Complete]]/tbl_Weld[[#This Row],[Qty Required]]</f>
        <v>#DIV/0!</v>
      </c>
      <c r="K215" s="57" t="str">
        <f>IFERROR(tbl_Weld[[#This Row],[Qty Required]]/tbl_Weld[[#This Row],[PPH]]*tbl_Weld[[#This Row],['# of men]],"")</f>
        <v/>
      </c>
      <c r="L215" s="58" t="e">
        <f>tbl_Weld[[#This Row],[Total hours]]*tbl_Weld[[#This Row],[% Complete]]</f>
        <v>#VALUE!</v>
      </c>
      <c r="M215" s="59" t="str">
        <f>IFERROR(tbl_Weld[[#This Row],[Qty Complete]]/tbl_Weld[[#This Row],[Total Hours Act]]*tbl_Weld[[#This Row],['# of men Act]],"")</f>
        <v/>
      </c>
      <c r="O215"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215" s="72" t="str">
        <f>IFERROR((tbl_Weld[[#This Row],[Adj. Total Hours]]+tbl_Weld[[#This Row],[Est. Hours]])/(tbl_Weld[[#This Row],[Total Hours Act]]+tbl_Weld[[#This Row],[Act. Hours]]),"")</f>
        <v/>
      </c>
      <c r="S215"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215" s="63"/>
      <c r="U215" s="63"/>
      <c r="V215" s="63"/>
      <c r="W215" s="63"/>
      <c r="X215" s="63"/>
    </row>
    <row r="216" spans="6:24" ht="24.75" customHeight="1">
      <c r="F216" s="53"/>
      <c r="H216" s="55" t="e">
        <f>tbl_Weld[[#This Row],[Qty Complete]]/tbl_Weld[[#This Row],[Qty Required]]</f>
        <v>#DIV/0!</v>
      </c>
      <c r="K216" s="57" t="str">
        <f>IFERROR(tbl_Weld[[#This Row],[Qty Required]]/tbl_Weld[[#This Row],[PPH]]*tbl_Weld[[#This Row],['# of men]],"")</f>
        <v/>
      </c>
      <c r="L216" s="58" t="e">
        <f>tbl_Weld[[#This Row],[Total hours]]*tbl_Weld[[#This Row],[% Complete]]</f>
        <v>#VALUE!</v>
      </c>
      <c r="M216" s="59" t="str">
        <f>IFERROR(tbl_Weld[[#This Row],[Qty Complete]]/tbl_Weld[[#This Row],[Total Hours Act]]*tbl_Weld[[#This Row],['# of men Act]],"")</f>
        <v/>
      </c>
      <c r="O216"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216" s="72" t="str">
        <f>IFERROR((tbl_Weld[[#This Row],[Adj. Total Hours]]+tbl_Weld[[#This Row],[Est. Hours]])/(tbl_Weld[[#This Row],[Total Hours Act]]+tbl_Weld[[#This Row],[Act. Hours]]),"")</f>
        <v/>
      </c>
      <c r="S216"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216" s="63"/>
      <c r="U216" s="63"/>
      <c r="V216" s="63"/>
      <c r="W216" s="63"/>
      <c r="X216" s="63"/>
    </row>
    <row r="217" spans="6:24" ht="24.75" customHeight="1">
      <c r="F217" s="53"/>
      <c r="H217" s="55" t="e">
        <f>tbl_Weld[[#This Row],[Qty Complete]]/tbl_Weld[[#This Row],[Qty Required]]</f>
        <v>#DIV/0!</v>
      </c>
      <c r="K217" s="57" t="str">
        <f>IFERROR(tbl_Weld[[#This Row],[Qty Required]]/tbl_Weld[[#This Row],[PPH]]*tbl_Weld[[#This Row],['# of men]],"")</f>
        <v/>
      </c>
      <c r="L217" s="58" t="e">
        <f>tbl_Weld[[#This Row],[Total hours]]*tbl_Weld[[#This Row],[% Complete]]</f>
        <v>#VALUE!</v>
      </c>
      <c r="M217" s="59" t="str">
        <f>IFERROR(tbl_Weld[[#This Row],[Qty Complete]]/tbl_Weld[[#This Row],[Total Hours Act]]*tbl_Weld[[#This Row],['# of men Act]],"")</f>
        <v/>
      </c>
      <c r="O217"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217" s="72" t="str">
        <f>IFERROR((tbl_Weld[[#This Row],[Adj. Total Hours]]+tbl_Weld[[#This Row],[Est. Hours]])/(tbl_Weld[[#This Row],[Total Hours Act]]+tbl_Weld[[#This Row],[Act. Hours]]),"")</f>
        <v/>
      </c>
      <c r="S217"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217" s="63"/>
      <c r="U217" s="63"/>
      <c r="V217" s="63"/>
      <c r="W217" s="63"/>
      <c r="X217" s="63"/>
    </row>
    <row r="218" spans="6:24" ht="24.75" customHeight="1">
      <c r="F218" s="53"/>
      <c r="H218" s="55" t="e">
        <f>tbl_Weld[[#This Row],[Qty Complete]]/tbl_Weld[[#This Row],[Qty Required]]</f>
        <v>#DIV/0!</v>
      </c>
      <c r="K218" s="57" t="str">
        <f>IFERROR(tbl_Weld[[#This Row],[Qty Required]]/tbl_Weld[[#This Row],[PPH]]*tbl_Weld[[#This Row],['# of men]],"")</f>
        <v/>
      </c>
      <c r="L218" s="58" t="e">
        <f>tbl_Weld[[#This Row],[Total hours]]*tbl_Weld[[#This Row],[% Complete]]</f>
        <v>#VALUE!</v>
      </c>
      <c r="M218" s="59" t="str">
        <f>IFERROR(tbl_Weld[[#This Row],[Qty Complete]]/tbl_Weld[[#This Row],[Total Hours Act]]*tbl_Weld[[#This Row],['# of men Act]],"")</f>
        <v/>
      </c>
      <c r="O218"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218" s="72" t="str">
        <f>IFERROR((tbl_Weld[[#This Row],[Adj. Total Hours]]+tbl_Weld[[#This Row],[Est. Hours]])/(tbl_Weld[[#This Row],[Total Hours Act]]+tbl_Weld[[#This Row],[Act. Hours]]),"")</f>
        <v/>
      </c>
      <c r="S218"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218" s="63"/>
      <c r="U218" s="63"/>
      <c r="V218" s="63"/>
      <c r="W218" s="63"/>
      <c r="X218" s="63"/>
    </row>
    <row r="219" spans="6:24" ht="24.75" customHeight="1">
      <c r="F219" s="53"/>
      <c r="H219" s="55" t="e">
        <f>tbl_Weld[[#This Row],[Qty Complete]]/tbl_Weld[[#This Row],[Qty Required]]</f>
        <v>#DIV/0!</v>
      </c>
      <c r="K219" s="57" t="str">
        <f>IFERROR(tbl_Weld[[#This Row],[Qty Required]]/tbl_Weld[[#This Row],[PPH]]*tbl_Weld[[#This Row],['# of men]],"")</f>
        <v/>
      </c>
      <c r="L219" s="58" t="e">
        <f>tbl_Weld[[#This Row],[Total hours]]*tbl_Weld[[#This Row],[% Complete]]</f>
        <v>#VALUE!</v>
      </c>
      <c r="M219" s="59" t="str">
        <f>IFERROR(tbl_Weld[[#This Row],[Qty Complete]]/tbl_Weld[[#This Row],[Total Hours Act]]*tbl_Weld[[#This Row],['# of men Act]],"")</f>
        <v/>
      </c>
      <c r="O219"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219" s="72" t="str">
        <f>IFERROR((tbl_Weld[[#This Row],[Adj. Total Hours]]+tbl_Weld[[#This Row],[Est. Hours]])/(tbl_Weld[[#This Row],[Total Hours Act]]+tbl_Weld[[#This Row],[Act. Hours]]),"")</f>
        <v/>
      </c>
      <c r="S219"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219" s="63"/>
      <c r="U219" s="63"/>
      <c r="V219" s="63"/>
      <c r="W219" s="63"/>
      <c r="X219" s="63"/>
    </row>
    <row r="220" spans="6:24" ht="24.75" customHeight="1">
      <c r="F220" s="53"/>
      <c r="H220" s="55" t="e">
        <f>tbl_Weld[[#This Row],[Qty Complete]]/tbl_Weld[[#This Row],[Qty Required]]</f>
        <v>#DIV/0!</v>
      </c>
      <c r="K220" s="57" t="str">
        <f>IFERROR(tbl_Weld[[#This Row],[Qty Required]]/tbl_Weld[[#This Row],[PPH]]*tbl_Weld[[#This Row],['# of men]],"")</f>
        <v/>
      </c>
      <c r="L220" s="58" t="e">
        <f>tbl_Weld[[#This Row],[Total hours]]*tbl_Weld[[#This Row],[% Complete]]</f>
        <v>#VALUE!</v>
      </c>
      <c r="M220" s="59" t="str">
        <f>IFERROR(tbl_Weld[[#This Row],[Qty Complete]]/tbl_Weld[[#This Row],[Total Hours Act]]*tbl_Weld[[#This Row],['# of men Act]],"")</f>
        <v/>
      </c>
      <c r="O220"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220" s="72" t="str">
        <f>IFERROR((tbl_Weld[[#This Row],[Adj. Total Hours]]+tbl_Weld[[#This Row],[Est. Hours]])/(tbl_Weld[[#This Row],[Total Hours Act]]+tbl_Weld[[#This Row],[Act. Hours]]),"")</f>
        <v/>
      </c>
      <c r="S220"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220" s="63"/>
      <c r="U220" s="63"/>
      <c r="V220" s="63"/>
      <c r="W220" s="63"/>
      <c r="X220" s="63"/>
    </row>
    <row r="221" spans="6:24" ht="24.75" customHeight="1">
      <c r="F221" s="53"/>
      <c r="H221" s="55" t="e">
        <f>tbl_Weld[[#This Row],[Qty Complete]]/tbl_Weld[[#This Row],[Qty Required]]</f>
        <v>#DIV/0!</v>
      </c>
      <c r="K221" s="57" t="str">
        <f>IFERROR(tbl_Weld[[#This Row],[Qty Required]]/tbl_Weld[[#This Row],[PPH]]*tbl_Weld[[#This Row],['# of men]],"")</f>
        <v/>
      </c>
      <c r="L221" s="58" t="e">
        <f>tbl_Weld[[#This Row],[Total hours]]*tbl_Weld[[#This Row],[% Complete]]</f>
        <v>#VALUE!</v>
      </c>
      <c r="M221" s="59" t="str">
        <f>IFERROR(tbl_Weld[[#This Row],[Qty Complete]]/tbl_Weld[[#This Row],[Total Hours Act]]*tbl_Weld[[#This Row],['# of men Act]],"")</f>
        <v/>
      </c>
      <c r="O221"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221" s="72" t="str">
        <f>IFERROR((tbl_Weld[[#This Row],[Adj. Total Hours]]+tbl_Weld[[#This Row],[Est. Hours]])/(tbl_Weld[[#This Row],[Total Hours Act]]+tbl_Weld[[#This Row],[Act. Hours]]),"")</f>
        <v/>
      </c>
      <c r="S221"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221" s="63"/>
      <c r="U221" s="63"/>
      <c r="V221" s="63"/>
      <c r="W221" s="63"/>
      <c r="X221" s="63"/>
    </row>
    <row r="222" spans="6:24" ht="24.75" customHeight="1">
      <c r="F222" s="53"/>
      <c r="H222" s="55" t="e">
        <f>tbl_Weld[[#This Row],[Qty Complete]]/tbl_Weld[[#This Row],[Qty Required]]</f>
        <v>#DIV/0!</v>
      </c>
      <c r="K222" s="57" t="str">
        <f>IFERROR(tbl_Weld[[#This Row],[Qty Required]]/tbl_Weld[[#This Row],[PPH]]*tbl_Weld[[#This Row],['# of men]],"")</f>
        <v/>
      </c>
      <c r="L222" s="58" t="e">
        <f>tbl_Weld[[#This Row],[Total hours]]*tbl_Weld[[#This Row],[% Complete]]</f>
        <v>#VALUE!</v>
      </c>
      <c r="M222" s="59" t="str">
        <f>IFERROR(tbl_Weld[[#This Row],[Qty Complete]]/tbl_Weld[[#This Row],[Total Hours Act]]*tbl_Weld[[#This Row],['# of men Act]],"")</f>
        <v/>
      </c>
      <c r="O222"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222" s="72" t="str">
        <f>IFERROR((tbl_Weld[[#This Row],[Adj. Total Hours]]+tbl_Weld[[#This Row],[Est. Hours]])/(tbl_Weld[[#This Row],[Total Hours Act]]+tbl_Weld[[#This Row],[Act. Hours]]),"")</f>
        <v/>
      </c>
      <c r="S222"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222" s="63"/>
      <c r="U222" s="63"/>
      <c r="V222" s="63"/>
      <c r="W222" s="63"/>
      <c r="X222" s="63"/>
    </row>
    <row r="223" spans="6:24" ht="24.75" customHeight="1">
      <c r="F223" s="53"/>
      <c r="H223" s="55" t="e">
        <f>tbl_Weld[[#This Row],[Qty Complete]]/tbl_Weld[[#This Row],[Qty Required]]</f>
        <v>#DIV/0!</v>
      </c>
      <c r="K223" s="57" t="str">
        <f>IFERROR(tbl_Weld[[#This Row],[Qty Required]]/tbl_Weld[[#This Row],[PPH]]*tbl_Weld[[#This Row],['# of men]],"")</f>
        <v/>
      </c>
      <c r="L223" s="58" t="e">
        <f>tbl_Weld[[#This Row],[Total hours]]*tbl_Weld[[#This Row],[% Complete]]</f>
        <v>#VALUE!</v>
      </c>
      <c r="M223" s="59" t="str">
        <f>IFERROR(tbl_Weld[[#This Row],[Qty Complete]]/tbl_Weld[[#This Row],[Total Hours Act]]*tbl_Weld[[#This Row],['# of men Act]],"")</f>
        <v/>
      </c>
      <c r="O223"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223" s="72" t="str">
        <f>IFERROR((tbl_Weld[[#This Row],[Adj. Total Hours]]+tbl_Weld[[#This Row],[Est. Hours]])/(tbl_Weld[[#This Row],[Total Hours Act]]+tbl_Weld[[#This Row],[Act. Hours]]),"")</f>
        <v/>
      </c>
      <c r="S223"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223" s="63"/>
      <c r="U223" s="63"/>
      <c r="V223" s="63"/>
      <c r="W223" s="63"/>
      <c r="X223" s="63"/>
    </row>
    <row r="224" spans="6:24" ht="24.75" customHeight="1">
      <c r="F224" s="53"/>
      <c r="H224" s="55" t="e">
        <f>tbl_Weld[[#This Row],[Qty Complete]]/tbl_Weld[[#This Row],[Qty Required]]</f>
        <v>#DIV/0!</v>
      </c>
      <c r="K224" s="57" t="str">
        <f>IFERROR(tbl_Weld[[#This Row],[Qty Required]]/tbl_Weld[[#This Row],[PPH]]*tbl_Weld[[#This Row],['# of men]],"")</f>
        <v/>
      </c>
      <c r="L224" s="58" t="e">
        <f>tbl_Weld[[#This Row],[Total hours]]*tbl_Weld[[#This Row],[% Complete]]</f>
        <v>#VALUE!</v>
      </c>
      <c r="M224" s="59" t="str">
        <f>IFERROR(tbl_Weld[[#This Row],[Qty Complete]]/tbl_Weld[[#This Row],[Total Hours Act]]*tbl_Weld[[#This Row],['# of men Act]],"")</f>
        <v/>
      </c>
      <c r="O224"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224" s="72" t="str">
        <f>IFERROR((tbl_Weld[[#This Row],[Adj. Total Hours]]+tbl_Weld[[#This Row],[Est. Hours]])/(tbl_Weld[[#This Row],[Total Hours Act]]+tbl_Weld[[#This Row],[Act. Hours]]),"")</f>
        <v/>
      </c>
      <c r="S224"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224" s="63"/>
      <c r="U224" s="63"/>
      <c r="V224" s="63"/>
      <c r="W224" s="63"/>
      <c r="X224" s="63"/>
    </row>
    <row r="225" spans="6:24" ht="24.75" customHeight="1">
      <c r="F225" s="53"/>
      <c r="H225" s="55" t="e">
        <f>tbl_Weld[[#This Row],[Qty Complete]]/tbl_Weld[[#This Row],[Qty Required]]</f>
        <v>#DIV/0!</v>
      </c>
      <c r="K225" s="57" t="str">
        <f>IFERROR(tbl_Weld[[#This Row],[Qty Required]]/tbl_Weld[[#This Row],[PPH]]*tbl_Weld[[#This Row],['# of men]],"")</f>
        <v/>
      </c>
      <c r="L225" s="58" t="e">
        <f>tbl_Weld[[#This Row],[Total hours]]*tbl_Weld[[#This Row],[% Complete]]</f>
        <v>#VALUE!</v>
      </c>
      <c r="M225" s="59" t="str">
        <f>IFERROR(tbl_Weld[[#This Row],[Qty Complete]]/tbl_Weld[[#This Row],[Total Hours Act]]*tbl_Weld[[#This Row],['# of men Act]],"")</f>
        <v/>
      </c>
      <c r="O225"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225" s="72" t="str">
        <f>IFERROR((tbl_Weld[[#This Row],[Adj. Total Hours]]+tbl_Weld[[#This Row],[Est. Hours]])/(tbl_Weld[[#This Row],[Total Hours Act]]+tbl_Weld[[#This Row],[Act. Hours]]),"")</f>
        <v/>
      </c>
      <c r="S225"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225" s="63"/>
      <c r="U225" s="63"/>
      <c r="V225" s="63"/>
      <c r="W225" s="63"/>
      <c r="X225" s="63"/>
    </row>
    <row r="226" spans="6:24" ht="24.75" customHeight="1">
      <c r="F226" s="53"/>
      <c r="H226" s="55" t="e">
        <f>tbl_Weld[[#This Row],[Qty Complete]]/tbl_Weld[[#This Row],[Qty Required]]</f>
        <v>#DIV/0!</v>
      </c>
      <c r="K226" s="57" t="str">
        <f>IFERROR(tbl_Weld[[#This Row],[Qty Required]]/tbl_Weld[[#This Row],[PPH]]*tbl_Weld[[#This Row],['# of men]],"")</f>
        <v/>
      </c>
      <c r="L226" s="58" t="e">
        <f>tbl_Weld[[#This Row],[Total hours]]*tbl_Weld[[#This Row],[% Complete]]</f>
        <v>#VALUE!</v>
      </c>
      <c r="M226" s="59" t="str">
        <f>IFERROR(tbl_Weld[[#This Row],[Qty Complete]]/tbl_Weld[[#This Row],[Total Hours Act]]*tbl_Weld[[#This Row],['# of men Act]],"")</f>
        <v/>
      </c>
      <c r="O226"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226" s="72" t="str">
        <f>IFERROR((tbl_Weld[[#This Row],[Adj. Total Hours]]+tbl_Weld[[#This Row],[Est. Hours]])/(tbl_Weld[[#This Row],[Total Hours Act]]+tbl_Weld[[#This Row],[Act. Hours]]),"")</f>
        <v/>
      </c>
      <c r="S226"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226" s="63"/>
      <c r="U226" s="63"/>
      <c r="V226" s="63"/>
      <c r="W226" s="63"/>
      <c r="X226" s="63"/>
    </row>
    <row r="227" spans="6:24" ht="24.75" customHeight="1">
      <c r="F227" s="53"/>
      <c r="H227" s="55" t="e">
        <f>tbl_Weld[[#This Row],[Qty Complete]]/tbl_Weld[[#This Row],[Qty Required]]</f>
        <v>#DIV/0!</v>
      </c>
      <c r="K227" s="57" t="str">
        <f>IFERROR(tbl_Weld[[#This Row],[Qty Required]]/tbl_Weld[[#This Row],[PPH]]*tbl_Weld[[#This Row],['# of men]],"")</f>
        <v/>
      </c>
      <c r="L227" s="58" t="e">
        <f>tbl_Weld[[#This Row],[Total hours]]*tbl_Weld[[#This Row],[% Complete]]</f>
        <v>#VALUE!</v>
      </c>
      <c r="M227" s="59" t="str">
        <f>IFERROR(tbl_Weld[[#This Row],[Qty Complete]]/tbl_Weld[[#This Row],[Total Hours Act]]*tbl_Weld[[#This Row],['# of men Act]],"")</f>
        <v/>
      </c>
      <c r="O227"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227" s="72" t="str">
        <f>IFERROR((tbl_Weld[[#This Row],[Adj. Total Hours]]+tbl_Weld[[#This Row],[Est. Hours]])/(tbl_Weld[[#This Row],[Total Hours Act]]+tbl_Weld[[#This Row],[Act. Hours]]),"")</f>
        <v/>
      </c>
      <c r="S227"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227" s="63"/>
      <c r="U227" s="63"/>
      <c r="V227" s="63"/>
      <c r="W227" s="63"/>
      <c r="X227" s="63"/>
    </row>
    <row r="228" spans="6:24" ht="24.75" customHeight="1">
      <c r="F228" s="53"/>
      <c r="H228" s="55" t="e">
        <f>tbl_Weld[[#This Row],[Qty Complete]]/tbl_Weld[[#This Row],[Qty Required]]</f>
        <v>#DIV/0!</v>
      </c>
      <c r="K228" s="57" t="str">
        <f>IFERROR(tbl_Weld[[#This Row],[Qty Required]]/tbl_Weld[[#This Row],[PPH]]*tbl_Weld[[#This Row],['# of men]],"")</f>
        <v/>
      </c>
      <c r="L228" s="58" t="e">
        <f>tbl_Weld[[#This Row],[Total hours]]*tbl_Weld[[#This Row],[% Complete]]</f>
        <v>#VALUE!</v>
      </c>
      <c r="M228" s="59" t="str">
        <f>IFERROR(tbl_Weld[[#This Row],[Qty Complete]]/tbl_Weld[[#This Row],[Total Hours Act]]*tbl_Weld[[#This Row],['# of men Act]],"")</f>
        <v/>
      </c>
      <c r="O228"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228" s="72" t="str">
        <f>IFERROR((tbl_Weld[[#This Row],[Adj. Total Hours]]+tbl_Weld[[#This Row],[Est. Hours]])/(tbl_Weld[[#This Row],[Total Hours Act]]+tbl_Weld[[#This Row],[Act. Hours]]),"")</f>
        <v/>
      </c>
      <c r="S228"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228" s="63"/>
      <c r="U228" s="63"/>
      <c r="V228" s="63"/>
      <c r="W228" s="63"/>
      <c r="X228" s="63"/>
    </row>
    <row r="229" spans="6:24" ht="24.75" customHeight="1">
      <c r="F229" s="53"/>
      <c r="H229" s="55" t="e">
        <f>tbl_Weld[[#This Row],[Qty Complete]]/tbl_Weld[[#This Row],[Qty Required]]</f>
        <v>#DIV/0!</v>
      </c>
      <c r="K229" s="57" t="str">
        <f>IFERROR(tbl_Weld[[#This Row],[Qty Required]]/tbl_Weld[[#This Row],[PPH]]*tbl_Weld[[#This Row],['# of men]],"")</f>
        <v/>
      </c>
      <c r="L229" s="58" t="e">
        <f>tbl_Weld[[#This Row],[Total hours]]*tbl_Weld[[#This Row],[% Complete]]</f>
        <v>#VALUE!</v>
      </c>
      <c r="M229" s="59" t="str">
        <f>IFERROR(tbl_Weld[[#This Row],[Qty Complete]]/tbl_Weld[[#This Row],[Total Hours Act]]*tbl_Weld[[#This Row],['# of men Act]],"")</f>
        <v/>
      </c>
      <c r="O229"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229" s="72" t="str">
        <f>IFERROR((tbl_Weld[[#This Row],[Adj. Total Hours]]+tbl_Weld[[#This Row],[Est. Hours]])/(tbl_Weld[[#This Row],[Total Hours Act]]+tbl_Weld[[#This Row],[Act. Hours]]),"")</f>
        <v/>
      </c>
      <c r="S229"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229" s="63"/>
      <c r="U229" s="63"/>
      <c r="V229" s="63"/>
      <c r="W229" s="63"/>
      <c r="X229" s="63"/>
    </row>
    <row r="230" spans="6:24" ht="24.75" customHeight="1">
      <c r="F230" s="53"/>
      <c r="H230" s="55" t="e">
        <f>tbl_Weld[[#This Row],[Qty Complete]]/tbl_Weld[[#This Row],[Qty Required]]</f>
        <v>#DIV/0!</v>
      </c>
      <c r="K230" s="57" t="str">
        <f>IFERROR(tbl_Weld[[#This Row],[Qty Required]]/tbl_Weld[[#This Row],[PPH]]*tbl_Weld[[#This Row],['# of men]],"")</f>
        <v/>
      </c>
      <c r="L230" s="58" t="e">
        <f>tbl_Weld[[#This Row],[Total hours]]*tbl_Weld[[#This Row],[% Complete]]</f>
        <v>#VALUE!</v>
      </c>
      <c r="M230" s="59" t="str">
        <f>IFERROR(tbl_Weld[[#This Row],[Qty Complete]]/tbl_Weld[[#This Row],[Total Hours Act]]*tbl_Weld[[#This Row],['# of men Act]],"")</f>
        <v/>
      </c>
      <c r="O230"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230" s="72" t="str">
        <f>IFERROR((tbl_Weld[[#This Row],[Adj. Total Hours]]+tbl_Weld[[#This Row],[Est. Hours]])/(tbl_Weld[[#This Row],[Total Hours Act]]+tbl_Weld[[#This Row],[Act. Hours]]),"")</f>
        <v/>
      </c>
      <c r="S230"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230" s="63"/>
      <c r="U230" s="63"/>
      <c r="V230" s="63"/>
      <c r="W230" s="63"/>
      <c r="X230" s="63"/>
    </row>
    <row r="231" spans="6:24" ht="24.75" customHeight="1">
      <c r="F231" s="53"/>
      <c r="H231" s="55" t="e">
        <f>tbl_Weld[[#This Row],[Qty Complete]]/tbl_Weld[[#This Row],[Qty Required]]</f>
        <v>#DIV/0!</v>
      </c>
      <c r="K231" s="57" t="str">
        <f>IFERROR(tbl_Weld[[#This Row],[Qty Required]]/tbl_Weld[[#This Row],[PPH]]*tbl_Weld[[#This Row],['# of men]],"")</f>
        <v/>
      </c>
      <c r="L231" s="58" t="e">
        <f>tbl_Weld[[#This Row],[Total hours]]*tbl_Weld[[#This Row],[% Complete]]</f>
        <v>#VALUE!</v>
      </c>
      <c r="M231" s="59" t="str">
        <f>IFERROR(tbl_Weld[[#This Row],[Qty Complete]]/tbl_Weld[[#This Row],[Total Hours Act]]*tbl_Weld[[#This Row],['# of men Act]],"")</f>
        <v/>
      </c>
      <c r="O231"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231" s="72" t="str">
        <f>IFERROR((tbl_Weld[[#This Row],[Adj. Total Hours]]+tbl_Weld[[#This Row],[Est. Hours]])/(tbl_Weld[[#This Row],[Total Hours Act]]+tbl_Weld[[#This Row],[Act. Hours]]),"")</f>
        <v/>
      </c>
      <c r="S231"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231" s="63"/>
      <c r="U231" s="63"/>
      <c r="V231" s="63"/>
      <c r="W231" s="63"/>
      <c r="X231" s="63"/>
    </row>
    <row r="232" spans="6:24" ht="24.75" customHeight="1">
      <c r="F232" s="53"/>
      <c r="H232" s="55" t="e">
        <f>tbl_Weld[[#This Row],[Qty Complete]]/tbl_Weld[[#This Row],[Qty Required]]</f>
        <v>#DIV/0!</v>
      </c>
      <c r="K232" s="57" t="str">
        <f>IFERROR(tbl_Weld[[#This Row],[Qty Required]]/tbl_Weld[[#This Row],[PPH]]*tbl_Weld[[#This Row],['# of men]],"")</f>
        <v/>
      </c>
      <c r="L232" s="58" t="e">
        <f>tbl_Weld[[#This Row],[Total hours]]*tbl_Weld[[#This Row],[% Complete]]</f>
        <v>#VALUE!</v>
      </c>
      <c r="M232" s="59" t="str">
        <f>IFERROR(tbl_Weld[[#This Row],[Qty Complete]]/tbl_Weld[[#This Row],[Total Hours Act]]*tbl_Weld[[#This Row],['# of men Act]],"")</f>
        <v/>
      </c>
      <c r="O232"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232" s="72" t="str">
        <f>IFERROR((tbl_Weld[[#This Row],[Adj. Total Hours]]+tbl_Weld[[#This Row],[Est. Hours]])/(tbl_Weld[[#This Row],[Total Hours Act]]+tbl_Weld[[#This Row],[Act. Hours]]),"")</f>
        <v/>
      </c>
      <c r="S232"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232" s="63"/>
      <c r="U232" s="63"/>
      <c r="V232" s="63"/>
      <c r="W232" s="63"/>
      <c r="X232" s="63"/>
    </row>
    <row r="233" spans="6:24" ht="24.75" customHeight="1">
      <c r="F233" s="53"/>
      <c r="H233" s="55" t="e">
        <f>tbl_Weld[[#This Row],[Qty Complete]]/tbl_Weld[[#This Row],[Qty Required]]</f>
        <v>#DIV/0!</v>
      </c>
      <c r="K233" s="57" t="str">
        <f>IFERROR(tbl_Weld[[#This Row],[Qty Required]]/tbl_Weld[[#This Row],[PPH]]*tbl_Weld[[#This Row],['# of men]],"")</f>
        <v/>
      </c>
      <c r="L233" s="58" t="e">
        <f>tbl_Weld[[#This Row],[Total hours]]*tbl_Weld[[#This Row],[% Complete]]</f>
        <v>#VALUE!</v>
      </c>
      <c r="M233" s="59" t="str">
        <f>IFERROR(tbl_Weld[[#This Row],[Qty Complete]]/tbl_Weld[[#This Row],[Total Hours Act]]*tbl_Weld[[#This Row],['# of men Act]],"")</f>
        <v/>
      </c>
      <c r="O233"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233" s="72" t="str">
        <f>IFERROR((tbl_Weld[[#This Row],[Adj. Total Hours]]+tbl_Weld[[#This Row],[Est. Hours]])/(tbl_Weld[[#This Row],[Total Hours Act]]+tbl_Weld[[#This Row],[Act. Hours]]),"")</f>
        <v/>
      </c>
      <c r="S233"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233" s="63"/>
      <c r="U233" s="63"/>
      <c r="V233" s="63"/>
      <c r="W233" s="63"/>
      <c r="X233" s="63"/>
    </row>
    <row r="234" spans="6:24" ht="24.75" customHeight="1">
      <c r="F234" s="53"/>
      <c r="H234" s="55" t="e">
        <f>tbl_Weld[[#This Row],[Qty Complete]]/tbl_Weld[[#This Row],[Qty Required]]</f>
        <v>#DIV/0!</v>
      </c>
      <c r="K234" s="57" t="str">
        <f>IFERROR(tbl_Weld[[#This Row],[Qty Required]]/tbl_Weld[[#This Row],[PPH]]*tbl_Weld[[#This Row],['# of men]],"")</f>
        <v/>
      </c>
      <c r="L234" s="58" t="e">
        <f>tbl_Weld[[#This Row],[Total hours]]*tbl_Weld[[#This Row],[% Complete]]</f>
        <v>#VALUE!</v>
      </c>
      <c r="M234" s="59" t="str">
        <f>IFERROR(tbl_Weld[[#This Row],[Qty Complete]]/tbl_Weld[[#This Row],[Total Hours Act]]*tbl_Weld[[#This Row],['# of men Act]],"")</f>
        <v/>
      </c>
      <c r="O234"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234" s="72" t="str">
        <f>IFERROR((tbl_Weld[[#This Row],[Adj. Total Hours]]+tbl_Weld[[#This Row],[Est. Hours]])/(tbl_Weld[[#This Row],[Total Hours Act]]+tbl_Weld[[#This Row],[Act. Hours]]),"")</f>
        <v/>
      </c>
      <c r="S234"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234" s="63"/>
      <c r="U234" s="63"/>
      <c r="V234" s="63"/>
      <c r="W234" s="63"/>
      <c r="X234" s="63"/>
    </row>
    <row r="235" spans="6:24" ht="24.75" customHeight="1">
      <c r="F235" s="53"/>
      <c r="H235" s="55" t="e">
        <f>tbl_Weld[[#This Row],[Qty Complete]]/tbl_Weld[[#This Row],[Qty Required]]</f>
        <v>#DIV/0!</v>
      </c>
      <c r="K235" s="57" t="str">
        <f>IFERROR(tbl_Weld[[#This Row],[Qty Required]]/tbl_Weld[[#This Row],[PPH]]*tbl_Weld[[#This Row],['# of men]],"")</f>
        <v/>
      </c>
      <c r="L235" s="58" t="e">
        <f>tbl_Weld[[#This Row],[Total hours]]*tbl_Weld[[#This Row],[% Complete]]</f>
        <v>#VALUE!</v>
      </c>
      <c r="M235" s="59" t="str">
        <f>IFERROR(tbl_Weld[[#This Row],[Qty Complete]]/tbl_Weld[[#This Row],[Total Hours Act]]*tbl_Weld[[#This Row],['# of men Act]],"")</f>
        <v/>
      </c>
      <c r="O235"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235" s="72" t="str">
        <f>IFERROR((tbl_Weld[[#This Row],[Adj. Total Hours]]+tbl_Weld[[#This Row],[Est. Hours]])/(tbl_Weld[[#This Row],[Total Hours Act]]+tbl_Weld[[#This Row],[Act. Hours]]),"")</f>
        <v/>
      </c>
      <c r="S235"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235" s="63"/>
      <c r="U235" s="63"/>
      <c r="V235" s="63"/>
      <c r="W235" s="63"/>
      <c r="X235" s="63"/>
    </row>
    <row r="236" spans="6:24" ht="24.75" customHeight="1">
      <c r="F236" s="53"/>
      <c r="H236" s="55" t="e">
        <f>tbl_Weld[[#This Row],[Qty Complete]]/tbl_Weld[[#This Row],[Qty Required]]</f>
        <v>#DIV/0!</v>
      </c>
      <c r="K236" s="57" t="str">
        <f>IFERROR(tbl_Weld[[#This Row],[Qty Required]]/tbl_Weld[[#This Row],[PPH]]*tbl_Weld[[#This Row],['# of men]],"")</f>
        <v/>
      </c>
      <c r="L236" s="58" t="e">
        <f>tbl_Weld[[#This Row],[Total hours]]*tbl_Weld[[#This Row],[% Complete]]</f>
        <v>#VALUE!</v>
      </c>
      <c r="M236" s="59" t="str">
        <f>IFERROR(tbl_Weld[[#This Row],[Qty Complete]]/tbl_Weld[[#This Row],[Total Hours Act]]*tbl_Weld[[#This Row],['# of men Act]],"")</f>
        <v/>
      </c>
      <c r="O236"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236" s="72" t="str">
        <f>IFERROR((tbl_Weld[[#This Row],[Adj. Total Hours]]+tbl_Weld[[#This Row],[Est. Hours]])/(tbl_Weld[[#This Row],[Total Hours Act]]+tbl_Weld[[#This Row],[Act. Hours]]),"")</f>
        <v/>
      </c>
      <c r="S236"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236" s="63"/>
      <c r="U236" s="63"/>
      <c r="V236" s="63"/>
      <c r="W236" s="63"/>
      <c r="X236" s="63"/>
    </row>
    <row r="237" spans="6:24" ht="24.75" customHeight="1">
      <c r="F237" s="53"/>
      <c r="H237" s="55" t="e">
        <f>tbl_Weld[[#This Row],[Qty Complete]]/tbl_Weld[[#This Row],[Qty Required]]</f>
        <v>#DIV/0!</v>
      </c>
      <c r="K237" s="57" t="str">
        <f>IFERROR(tbl_Weld[[#This Row],[Qty Required]]/tbl_Weld[[#This Row],[PPH]]*tbl_Weld[[#This Row],['# of men]],"")</f>
        <v/>
      </c>
      <c r="L237" s="58" t="e">
        <f>tbl_Weld[[#This Row],[Total hours]]*tbl_Weld[[#This Row],[% Complete]]</f>
        <v>#VALUE!</v>
      </c>
      <c r="M237" s="59" t="str">
        <f>IFERROR(tbl_Weld[[#This Row],[Qty Complete]]/tbl_Weld[[#This Row],[Total Hours Act]]*tbl_Weld[[#This Row],['# of men Act]],"")</f>
        <v/>
      </c>
      <c r="O237"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237" s="72" t="str">
        <f>IFERROR((tbl_Weld[[#This Row],[Adj. Total Hours]]+tbl_Weld[[#This Row],[Est. Hours]])/(tbl_Weld[[#This Row],[Total Hours Act]]+tbl_Weld[[#This Row],[Act. Hours]]),"")</f>
        <v/>
      </c>
      <c r="S237"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237" s="63"/>
      <c r="U237" s="63"/>
      <c r="V237" s="63"/>
      <c r="W237" s="63"/>
      <c r="X237" s="63"/>
    </row>
    <row r="238" spans="6:24" ht="24.75" customHeight="1">
      <c r="F238" s="53"/>
      <c r="H238" s="55" t="e">
        <f>tbl_Weld[[#This Row],[Qty Complete]]/tbl_Weld[[#This Row],[Qty Required]]</f>
        <v>#DIV/0!</v>
      </c>
      <c r="K238" s="57" t="str">
        <f>IFERROR(tbl_Weld[[#This Row],[Qty Required]]/tbl_Weld[[#This Row],[PPH]]*tbl_Weld[[#This Row],['# of men]],"")</f>
        <v/>
      </c>
      <c r="L238" s="58" t="e">
        <f>tbl_Weld[[#This Row],[Total hours]]*tbl_Weld[[#This Row],[% Complete]]</f>
        <v>#VALUE!</v>
      </c>
      <c r="M238" s="59" t="str">
        <f>IFERROR(tbl_Weld[[#This Row],[Qty Complete]]/tbl_Weld[[#This Row],[Total Hours Act]]*tbl_Weld[[#This Row],['# of men Act]],"")</f>
        <v/>
      </c>
      <c r="O238"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238" s="72" t="str">
        <f>IFERROR((tbl_Weld[[#This Row],[Adj. Total Hours]]+tbl_Weld[[#This Row],[Est. Hours]])/(tbl_Weld[[#This Row],[Total Hours Act]]+tbl_Weld[[#This Row],[Act. Hours]]),"")</f>
        <v/>
      </c>
      <c r="S238"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238" s="63"/>
      <c r="U238" s="63"/>
      <c r="V238" s="63"/>
      <c r="W238" s="63"/>
      <c r="X238" s="63"/>
    </row>
    <row r="239" spans="6:24" ht="24.75" customHeight="1">
      <c r="F239" s="53"/>
      <c r="H239" s="55" t="e">
        <f>tbl_Weld[[#This Row],[Qty Complete]]/tbl_Weld[[#This Row],[Qty Required]]</f>
        <v>#DIV/0!</v>
      </c>
      <c r="K239" s="57" t="str">
        <f>IFERROR(tbl_Weld[[#This Row],[Qty Required]]/tbl_Weld[[#This Row],[PPH]]*tbl_Weld[[#This Row],['# of men]],"")</f>
        <v/>
      </c>
      <c r="L239" s="58" t="e">
        <f>tbl_Weld[[#This Row],[Total hours]]*tbl_Weld[[#This Row],[% Complete]]</f>
        <v>#VALUE!</v>
      </c>
      <c r="M239" s="59" t="str">
        <f>IFERROR(tbl_Weld[[#This Row],[Qty Complete]]/tbl_Weld[[#This Row],[Total Hours Act]]*tbl_Weld[[#This Row],['# of men Act]],"")</f>
        <v/>
      </c>
      <c r="O239"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239" s="72" t="str">
        <f>IFERROR((tbl_Weld[[#This Row],[Adj. Total Hours]]+tbl_Weld[[#This Row],[Est. Hours]])/(tbl_Weld[[#This Row],[Total Hours Act]]+tbl_Weld[[#This Row],[Act. Hours]]),"")</f>
        <v/>
      </c>
      <c r="S239"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239" s="63"/>
      <c r="U239" s="63"/>
      <c r="V239" s="63"/>
      <c r="W239" s="63"/>
      <c r="X239" s="63"/>
    </row>
    <row r="240" spans="6:24" ht="24.75" customHeight="1">
      <c r="F240" s="53"/>
      <c r="H240" s="55" t="e">
        <f>tbl_Weld[[#This Row],[Qty Complete]]/tbl_Weld[[#This Row],[Qty Required]]</f>
        <v>#DIV/0!</v>
      </c>
      <c r="K240" s="57" t="str">
        <f>IFERROR(tbl_Weld[[#This Row],[Qty Required]]/tbl_Weld[[#This Row],[PPH]]*tbl_Weld[[#This Row],['# of men]],"")</f>
        <v/>
      </c>
      <c r="L240" s="58" t="e">
        <f>tbl_Weld[[#This Row],[Total hours]]*tbl_Weld[[#This Row],[% Complete]]</f>
        <v>#VALUE!</v>
      </c>
      <c r="M240" s="59" t="str">
        <f>IFERROR(tbl_Weld[[#This Row],[Qty Complete]]/tbl_Weld[[#This Row],[Total Hours Act]]*tbl_Weld[[#This Row],['# of men Act]],"")</f>
        <v/>
      </c>
      <c r="O240"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240" s="72" t="str">
        <f>IFERROR((tbl_Weld[[#This Row],[Adj. Total Hours]]+tbl_Weld[[#This Row],[Est. Hours]])/(tbl_Weld[[#This Row],[Total Hours Act]]+tbl_Weld[[#This Row],[Act. Hours]]),"")</f>
        <v/>
      </c>
      <c r="S240"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240" s="63"/>
      <c r="U240" s="63"/>
      <c r="V240" s="63"/>
      <c r="W240" s="63"/>
      <c r="X240" s="63"/>
    </row>
    <row r="241" spans="6:24" ht="24.75" customHeight="1">
      <c r="F241" s="53"/>
      <c r="H241" s="55" t="e">
        <f>tbl_Weld[[#This Row],[Qty Complete]]/tbl_Weld[[#This Row],[Qty Required]]</f>
        <v>#DIV/0!</v>
      </c>
      <c r="K241" s="57" t="str">
        <f>IFERROR(tbl_Weld[[#This Row],[Qty Required]]/tbl_Weld[[#This Row],[PPH]]*tbl_Weld[[#This Row],['# of men]],"")</f>
        <v/>
      </c>
      <c r="L241" s="58" t="e">
        <f>tbl_Weld[[#This Row],[Total hours]]*tbl_Weld[[#This Row],[% Complete]]</f>
        <v>#VALUE!</v>
      </c>
      <c r="M241" s="59" t="str">
        <f>IFERROR(tbl_Weld[[#This Row],[Qty Complete]]/tbl_Weld[[#This Row],[Total Hours Act]]*tbl_Weld[[#This Row],['# of men Act]],"")</f>
        <v/>
      </c>
      <c r="O241"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241" s="72" t="str">
        <f>IFERROR((tbl_Weld[[#This Row],[Adj. Total Hours]]+tbl_Weld[[#This Row],[Est. Hours]])/(tbl_Weld[[#This Row],[Total Hours Act]]+tbl_Weld[[#This Row],[Act. Hours]]),"")</f>
        <v/>
      </c>
      <c r="S241"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241" s="63"/>
      <c r="U241" s="63"/>
      <c r="V241" s="63"/>
      <c r="W241" s="63"/>
      <c r="X241" s="63"/>
    </row>
    <row r="242" spans="6:24" ht="24.75" customHeight="1">
      <c r="F242" s="53"/>
      <c r="H242" s="55" t="e">
        <f>tbl_Weld[[#This Row],[Qty Complete]]/tbl_Weld[[#This Row],[Qty Required]]</f>
        <v>#DIV/0!</v>
      </c>
      <c r="K242" s="57" t="str">
        <f>IFERROR(tbl_Weld[[#This Row],[Qty Required]]/tbl_Weld[[#This Row],[PPH]]*tbl_Weld[[#This Row],['# of men]],"")</f>
        <v/>
      </c>
      <c r="L242" s="58" t="e">
        <f>tbl_Weld[[#This Row],[Total hours]]*tbl_Weld[[#This Row],[% Complete]]</f>
        <v>#VALUE!</v>
      </c>
      <c r="M242" s="59" t="str">
        <f>IFERROR(tbl_Weld[[#This Row],[Qty Complete]]/tbl_Weld[[#This Row],[Total Hours Act]]*tbl_Weld[[#This Row],['# of men Act]],"")</f>
        <v/>
      </c>
      <c r="O242"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242" s="72" t="str">
        <f>IFERROR((tbl_Weld[[#This Row],[Adj. Total Hours]]+tbl_Weld[[#This Row],[Est. Hours]])/(tbl_Weld[[#This Row],[Total Hours Act]]+tbl_Weld[[#This Row],[Act. Hours]]),"")</f>
        <v/>
      </c>
      <c r="S242"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242" s="63"/>
      <c r="U242" s="63"/>
      <c r="V242" s="63"/>
      <c r="W242" s="63"/>
      <c r="X242" s="63"/>
    </row>
    <row r="243" spans="6:24" ht="24.75" customHeight="1">
      <c r="F243" s="53"/>
      <c r="H243" s="55" t="e">
        <f>tbl_Weld[[#This Row],[Qty Complete]]/tbl_Weld[[#This Row],[Qty Required]]</f>
        <v>#DIV/0!</v>
      </c>
      <c r="K243" s="57" t="str">
        <f>IFERROR(tbl_Weld[[#This Row],[Qty Required]]/tbl_Weld[[#This Row],[PPH]]*tbl_Weld[[#This Row],['# of men]],"")</f>
        <v/>
      </c>
      <c r="L243" s="58" t="e">
        <f>tbl_Weld[[#This Row],[Total hours]]*tbl_Weld[[#This Row],[% Complete]]</f>
        <v>#VALUE!</v>
      </c>
      <c r="M243" s="59" t="str">
        <f>IFERROR(tbl_Weld[[#This Row],[Qty Complete]]/tbl_Weld[[#This Row],[Total Hours Act]]*tbl_Weld[[#This Row],['# of men Act]],"")</f>
        <v/>
      </c>
      <c r="O243"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243" s="72" t="str">
        <f>IFERROR((tbl_Weld[[#This Row],[Adj. Total Hours]]+tbl_Weld[[#This Row],[Est. Hours]])/(tbl_Weld[[#This Row],[Total Hours Act]]+tbl_Weld[[#This Row],[Act. Hours]]),"")</f>
        <v/>
      </c>
      <c r="S243"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243" s="63"/>
      <c r="U243" s="63"/>
      <c r="V243" s="63"/>
      <c r="W243" s="63"/>
      <c r="X243" s="63"/>
    </row>
    <row r="244" spans="6:24" ht="24.75" customHeight="1">
      <c r="F244" s="53"/>
      <c r="H244" s="55" t="e">
        <f>tbl_Weld[[#This Row],[Qty Complete]]/tbl_Weld[[#This Row],[Qty Required]]</f>
        <v>#DIV/0!</v>
      </c>
      <c r="K244" s="57" t="str">
        <f>IFERROR(tbl_Weld[[#This Row],[Qty Required]]/tbl_Weld[[#This Row],[PPH]]*tbl_Weld[[#This Row],['# of men]],"")</f>
        <v/>
      </c>
      <c r="L244" s="58" t="e">
        <f>tbl_Weld[[#This Row],[Total hours]]*tbl_Weld[[#This Row],[% Complete]]</f>
        <v>#VALUE!</v>
      </c>
      <c r="M244" s="59" t="str">
        <f>IFERROR(tbl_Weld[[#This Row],[Qty Complete]]/tbl_Weld[[#This Row],[Total Hours Act]]*tbl_Weld[[#This Row],['# of men Act]],"")</f>
        <v/>
      </c>
      <c r="O244"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244" s="72" t="str">
        <f>IFERROR((tbl_Weld[[#This Row],[Adj. Total Hours]]+tbl_Weld[[#This Row],[Est. Hours]])/(tbl_Weld[[#This Row],[Total Hours Act]]+tbl_Weld[[#This Row],[Act. Hours]]),"")</f>
        <v/>
      </c>
      <c r="S244"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244" s="63"/>
      <c r="U244" s="63"/>
      <c r="V244" s="63"/>
      <c r="W244" s="63"/>
      <c r="X244" s="63"/>
    </row>
    <row r="245" spans="6:24" ht="24.75" customHeight="1">
      <c r="F245" s="53"/>
      <c r="H245" s="55" t="e">
        <f>tbl_Weld[[#This Row],[Qty Complete]]/tbl_Weld[[#This Row],[Qty Required]]</f>
        <v>#DIV/0!</v>
      </c>
      <c r="K245" s="57" t="str">
        <f>IFERROR(tbl_Weld[[#This Row],[Qty Required]]/tbl_Weld[[#This Row],[PPH]]*tbl_Weld[[#This Row],['# of men]],"")</f>
        <v/>
      </c>
      <c r="L245" s="58" t="e">
        <f>tbl_Weld[[#This Row],[Total hours]]*tbl_Weld[[#This Row],[% Complete]]</f>
        <v>#VALUE!</v>
      </c>
      <c r="M245" s="59" t="str">
        <f>IFERROR(tbl_Weld[[#This Row],[Qty Complete]]/tbl_Weld[[#This Row],[Total Hours Act]]*tbl_Weld[[#This Row],['# of men Act]],"")</f>
        <v/>
      </c>
      <c r="O245"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245" s="72" t="str">
        <f>IFERROR((tbl_Weld[[#This Row],[Adj. Total Hours]]+tbl_Weld[[#This Row],[Est. Hours]])/(tbl_Weld[[#This Row],[Total Hours Act]]+tbl_Weld[[#This Row],[Act. Hours]]),"")</f>
        <v/>
      </c>
      <c r="S245"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245" s="63"/>
      <c r="U245" s="63"/>
      <c r="V245" s="63"/>
      <c r="W245" s="63"/>
      <c r="X245" s="63"/>
    </row>
    <row r="246" spans="6:24" ht="24.75" customHeight="1">
      <c r="F246" s="53"/>
      <c r="H246" s="55" t="e">
        <f>tbl_Weld[[#This Row],[Qty Complete]]/tbl_Weld[[#This Row],[Qty Required]]</f>
        <v>#DIV/0!</v>
      </c>
      <c r="K246" s="57" t="str">
        <f>IFERROR(tbl_Weld[[#This Row],[Qty Required]]/tbl_Weld[[#This Row],[PPH]]*tbl_Weld[[#This Row],['# of men]],"")</f>
        <v/>
      </c>
      <c r="L246" s="58" t="e">
        <f>tbl_Weld[[#This Row],[Total hours]]*tbl_Weld[[#This Row],[% Complete]]</f>
        <v>#VALUE!</v>
      </c>
      <c r="M246" s="59" t="str">
        <f>IFERROR(tbl_Weld[[#This Row],[Qty Complete]]/tbl_Weld[[#This Row],[Total Hours Act]]*tbl_Weld[[#This Row],['# of men Act]],"")</f>
        <v/>
      </c>
      <c r="O246"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246" s="72" t="str">
        <f>IFERROR((tbl_Weld[[#This Row],[Adj. Total Hours]]+tbl_Weld[[#This Row],[Est. Hours]])/(tbl_Weld[[#This Row],[Total Hours Act]]+tbl_Weld[[#This Row],[Act. Hours]]),"")</f>
        <v/>
      </c>
      <c r="S246"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246" s="63"/>
      <c r="U246" s="63"/>
      <c r="V246" s="63"/>
      <c r="W246" s="63"/>
      <c r="X246" s="63"/>
    </row>
    <row r="247" spans="6:24" ht="24.75" customHeight="1">
      <c r="F247" s="53"/>
      <c r="H247" s="55" t="e">
        <f>tbl_Weld[[#This Row],[Qty Complete]]/tbl_Weld[[#This Row],[Qty Required]]</f>
        <v>#DIV/0!</v>
      </c>
      <c r="K247" s="57" t="str">
        <f>IFERROR(tbl_Weld[[#This Row],[Qty Required]]/tbl_Weld[[#This Row],[PPH]]*tbl_Weld[[#This Row],['# of men]],"")</f>
        <v/>
      </c>
      <c r="L247" s="58" t="e">
        <f>tbl_Weld[[#This Row],[Total hours]]*tbl_Weld[[#This Row],[% Complete]]</f>
        <v>#VALUE!</v>
      </c>
      <c r="M247" s="59" t="str">
        <f>IFERROR(tbl_Weld[[#This Row],[Qty Complete]]/tbl_Weld[[#This Row],[Total Hours Act]]*tbl_Weld[[#This Row],['# of men Act]],"")</f>
        <v/>
      </c>
      <c r="O247"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247" s="72" t="str">
        <f>IFERROR((tbl_Weld[[#This Row],[Adj. Total Hours]]+tbl_Weld[[#This Row],[Est. Hours]])/(tbl_Weld[[#This Row],[Total Hours Act]]+tbl_Weld[[#This Row],[Act. Hours]]),"")</f>
        <v/>
      </c>
      <c r="S247"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247" s="63"/>
      <c r="U247" s="63"/>
      <c r="V247" s="63"/>
      <c r="W247" s="63"/>
      <c r="X247" s="63"/>
    </row>
    <row r="248" spans="6:24" ht="24.75" customHeight="1">
      <c r="F248" s="53"/>
      <c r="H248" s="55" t="e">
        <f>tbl_Weld[[#This Row],[Qty Complete]]/tbl_Weld[[#This Row],[Qty Required]]</f>
        <v>#DIV/0!</v>
      </c>
      <c r="K248" s="57" t="str">
        <f>IFERROR(tbl_Weld[[#This Row],[Qty Required]]/tbl_Weld[[#This Row],[PPH]]*tbl_Weld[[#This Row],['# of men]],"")</f>
        <v/>
      </c>
      <c r="L248" s="58" t="e">
        <f>tbl_Weld[[#This Row],[Total hours]]*tbl_Weld[[#This Row],[% Complete]]</f>
        <v>#VALUE!</v>
      </c>
      <c r="M248" s="59" t="str">
        <f>IFERROR(tbl_Weld[[#This Row],[Qty Complete]]/tbl_Weld[[#This Row],[Total Hours Act]]*tbl_Weld[[#This Row],['# of men Act]],"")</f>
        <v/>
      </c>
      <c r="O248"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248" s="72" t="str">
        <f>IFERROR((tbl_Weld[[#This Row],[Adj. Total Hours]]+tbl_Weld[[#This Row],[Est. Hours]])/(tbl_Weld[[#This Row],[Total Hours Act]]+tbl_Weld[[#This Row],[Act. Hours]]),"")</f>
        <v/>
      </c>
      <c r="S248"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248" s="63"/>
      <c r="U248" s="63"/>
      <c r="V248" s="63"/>
      <c r="W248" s="63"/>
      <c r="X248" s="63"/>
    </row>
    <row r="249" spans="6:24" ht="24.75" customHeight="1">
      <c r="F249" s="53"/>
      <c r="H249" s="55" t="e">
        <f>tbl_Weld[[#This Row],[Qty Complete]]/tbl_Weld[[#This Row],[Qty Required]]</f>
        <v>#DIV/0!</v>
      </c>
      <c r="K249" s="57" t="str">
        <f>IFERROR(tbl_Weld[[#This Row],[Qty Required]]/tbl_Weld[[#This Row],[PPH]]*tbl_Weld[[#This Row],['# of men]],"")</f>
        <v/>
      </c>
      <c r="L249" s="58" t="e">
        <f>tbl_Weld[[#This Row],[Total hours]]*tbl_Weld[[#This Row],[% Complete]]</f>
        <v>#VALUE!</v>
      </c>
      <c r="M249" s="59" t="str">
        <f>IFERROR(tbl_Weld[[#This Row],[Qty Complete]]/tbl_Weld[[#This Row],[Total Hours Act]]*tbl_Weld[[#This Row],['# of men Act]],"")</f>
        <v/>
      </c>
      <c r="O249"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249" s="72" t="str">
        <f>IFERROR((tbl_Weld[[#This Row],[Adj. Total Hours]]+tbl_Weld[[#This Row],[Est. Hours]])/(tbl_Weld[[#This Row],[Total Hours Act]]+tbl_Weld[[#This Row],[Act. Hours]]),"")</f>
        <v/>
      </c>
      <c r="S249"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249" s="63"/>
      <c r="U249" s="63"/>
      <c r="V249" s="63"/>
      <c r="W249" s="63"/>
      <c r="X249" s="63"/>
    </row>
    <row r="250" spans="6:24" ht="24.75" customHeight="1">
      <c r="F250" s="53"/>
      <c r="H250" s="55" t="e">
        <f>tbl_Weld[[#This Row],[Qty Complete]]/tbl_Weld[[#This Row],[Qty Required]]</f>
        <v>#DIV/0!</v>
      </c>
      <c r="K250" s="57" t="str">
        <f>IFERROR(tbl_Weld[[#This Row],[Qty Required]]/tbl_Weld[[#This Row],[PPH]]*tbl_Weld[[#This Row],['# of men]],"")</f>
        <v/>
      </c>
      <c r="L250" s="58" t="e">
        <f>tbl_Weld[[#This Row],[Total hours]]*tbl_Weld[[#This Row],[% Complete]]</f>
        <v>#VALUE!</v>
      </c>
      <c r="M250" s="59" t="str">
        <f>IFERROR(tbl_Weld[[#This Row],[Qty Complete]]/tbl_Weld[[#This Row],[Total Hours Act]]*tbl_Weld[[#This Row],['# of men Act]],"")</f>
        <v/>
      </c>
      <c r="O250" s="68">
        <f>(MOD(tbl_Weld[[#This Row],[End Time]]-tbl_Weld[[#This Row],[Start Time]],1)*24*tbl_Weld[[#This Row],['# of men Act]])-
(
IF(AND(tbl_Weld[[#This Row],[Start Time]]&lt;=Data!$B$2+(Data!$B$2&lt;tbl_Weld[[#This Row],[Start Time]]),tbl_Weld[[#This Row],[Start Time]]+MOD(tbl_Weld[[#This Row],[End Time]]-tbl_Weld[[#This Row],[Start Time]],1)&gt;=Data!$C$2+(Data!$C$2&lt;tbl_Weld[[#This Row],[Start Time]])),0.5*tbl_Weld[[#This Row],['# of men Act]],0)
+
IF(AND(tbl_Weld[[#This Row],[Start Time]]&lt;=Data!$B$3+(Data!$B$3&lt;tbl_Weld[[#This Row],[Start Time]]),tbl_Weld[[#This Row],[Start Time]]+MOD(tbl_Weld[[#This Row],[End Time]]-tbl_Weld[[#This Row],[Start Time]],1)&gt;=Data!$C$3+(Data!$C$3&lt;tbl_Weld[[#This Row],[Start Time]])),0.5*tbl_Weld[[#This Row],['# of men Act]],0)
)</f>
        <v>0</v>
      </c>
      <c r="R250" s="72" t="str">
        <f>IFERROR((tbl_Weld[[#This Row],[Adj. Total Hours]]+tbl_Weld[[#This Row],[Est. Hours]])/(tbl_Weld[[#This Row],[Total Hours Act]]+tbl_Weld[[#This Row],[Act. Hours]]),"")</f>
        <v/>
      </c>
      <c r="S250" s="76" t="str">
        <f>IF(AND(SUMIFS(tbl_Weld[% Complete],tbl_Weld[Job'#],tbl_Weld[[#This Row],[Job'#]])&gt;=1,COUNTIF(INDEX(tbl_Weld[Job'#],1):tbl_Weld[[#This Row],[Job'#]],tbl_Weld[[#This Row],[Job'#]])=COUNTIF(tbl_Weld[Job'#],tbl_Weld[[#This Row],[Job'#]])),IFERROR((SUMIFS(tbl_Weld[Adj. Total Hours],tbl_Weld[Job'#],tbl_Weld[[#This Row],[Job'#]])+SUMIFS(tbl_Weld[Est. Hours],tbl_Weld[Job'#],tbl_Weld[[#This Row],[Job'#]]))/(SUMIFS(tbl_Weld[Total Hours Act],tbl_Weld[Job'#],tbl_Weld[[#This Row],[Job'#]])+SUMIFS(tbl_Weld[Act. Hours],tbl_Weld[Job'#],tbl_Weld[[#This Row],[Job'#]])),""),"")</f>
        <v/>
      </c>
      <c r="T250" s="63"/>
      <c r="U250" s="63"/>
      <c r="V250" s="63"/>
      <c r="W250" s="63"/>
      <c r="X250" s="63"/>
    </row>
  </sheetData>
  <sheetProtection sheet="1" objects="1" scenarios="1"/>
  <protectedRanges>
    <protectedRange sqref="A7" name="Range1"/>
  </protectedRanges>
  <mergeCells count="2">
    <mergeCell ref="P1:Q1"/>
    <mergeCell ref="R1:S1"/>
  </mergeCells>
  <conditionalFormatting sqref="R3:S3852">
    <cfRule type="expression" dxfId="23" priority="1">
      <formula>AND(R3&gt;0.85,R3&lt;&gt;"")</formula>
    </cfRule>
    <cfRule type="expression" dxfId="22" priority="2">
      <formula>AND(R3&gt;=0.7,R3&lt;=0.85,R3&lt;&gt;"")</formula>
    </cfRule>
    <cfRule type="expression" dxfId="21" priority="3">
      <formula>AND(R3&lt;0.7,R3&lt;&gt;"")</formula>
    </cfRule>
  </conditionalFormatting>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EA475-9D35-4B9D-B889-E182693E9B22}">
  <dimension ref="A1:X250"/>
  <sheetViews>
    <sheetView workbookViewId="0">
      <pane ySplit="2" topLeftCell="A3" activePane="bottomLeft" state="frozen"/>
      <selection pane="bottomLeft" activeCell="E3" sqref="E3"/>
    </sheetView>
  </sheetViews>
  <sheetFormatPr defaultColWidth="9.1796875" defaultRowHeight="25" customHeight="1"/>
  <cols>
    <col min="1" max="1" width="11.54296875" style="52" customWidth="1"/>
    <col min="2" max="2" width="13.1796875" style="53" customWidth="1"/>
    <col min="3" max="3" width="14.1796875" style="53" customWidth="1"/>
    <col min="4" max="4" width="15.54296875" style="54" bestFit="1" customWidth="1"/>
    <col min="5" max="5" width="14.7265625" style="54" bestFit="1" customWidth="1"/>
    <col min="6" max="6" width="18.26953125" style="54" bestFit="1" customWidth="1"/>
    <col min="7" max="7" width="19" style="53" bestFit="1" customWidth="1"/>
    <col min="8" max="8" width="19" style="53" hidden="1" customWidth="1"/>
    <col min="9" max="9" width="10.1796875" style="56" bestFit="1" customWidth="1"/>
    <col min="10" max="10" width="14" style="53" bestFit="1" customWidth="1"/>
    <col min="11" max="11" width="16.453125" style="66" bestFit="1" customWidth="1"/>
    <col min="12" max="12" width="16.453125" style="47" hidden="1" customWidth="1"/>
    <col min="13" max="13" width="13.453125" style="67" bestFit="1" customWidth="1"/>
    <col min="14" max="14" width="17.26953125" style="53" bestFit="1" customWidth="1"/>
    <col min="15" max="15" width="20.1796875" style="68" bestFit="1" customWidth="1"/>
    <col min="16" max="17" width="15.7265625" style="61" bestFit="1" customWidth="1"/>
    <col min="18" max="18" width="15.1796875" style="69" bestFit="1" customWidth="1"/>
    <col min="19" max="19" width="55.26953125" style="53" customWidth="1"/>
    <col min="20" max="20" width="16.1796875" style="53" customWidth="1"/>
    <col min="21" max="24" width="16.81640625" style="53" bestFit="1" customWidth="1"/>
    <col min="25" max="16384" width="9.1796875" style="47"/>
  </cols>
  <sheetData>
    <row r="1" spans="1:24" ht="47.25" customHeight="1">
      <c r="A1" s="8"/>
      <c r="B1" s="7"/>
      <c r="C1" s="7"/>
      <c r="D1" s="9"/>
      <c r="E1" s="9"/>
      <c r="F1" s="9"/>
      <c r="G1" s="7"/>
      <c r="H1" s="7"/>
      <c r="I1" s="13"/>
      <c r="J1" s="40" t="s">
        <v>0</v>
      </c>
      <c r="K1" s="46"/>
      <c r="L1" s="46"/>
      <c r="M1" s="4"/>
      <c r="N1" s="41" t="s">
        <v>1</v>
      </c>
      <c r="O1" s="5"/>
      <c r="P1" s="113" t="s">
        <v>2</v>
      </c>
      <c r="Q1" s="114"/>
      <c r="R1" s="39" t="s">
        <v>3</v>
      </c>
      <c r="S1" s="7"/>
      <c r="T1" s="7"/>
      <c r="U1" s="7"/>
      <c r="V1" s="7"/>
      <c r="W1" s="7"/>
      <c r="X1" s="7"/>
    </row>
    <row r="2" spans="1:24" ht="17">
      <c r="A2" s="10" t="s">
        <v>4</v>
      </c>
      <c r="B2" s="6" t="s">
        <v>5</v>
      </c>
      <c r="C2" s="6" t="s">
        <v>7</v>
      </c>
      <c r="D2" s="11" t="s">
        <v>8</v>
      </c>
      <c r="E2" s="11" t="s">
        <v>9</v>
      </c>
      <c r="F2" s="11" t="s">
        <v>10</v>
      </c>
      <c r="G2" s="6" t="s">
        <v>11</v>
      </c>
      <c r="H2" s="48" t="s">
        <v>12</v>
      </c>
      <c r="I2" s="12" t="s">
        <v>13</v>
      </c>
      <c r="J2" s="6" t="s">
        <v>14</v>
      </c>
      <c r="K2" s="49" t="s">
        <v>15</v>
      </c>
      <c r="L2" s="50" t="s">
        <v>16</v>
      </c>
      <c r="M2" s="2" t="s">
        <v>21</v>
      </c>
      <c r="N2" s="6" t="s">
        <v>22</v>
      </c>
      <c r="O2" s="3" t="s">
        <v>23</v>
      </c>
      <c r="P2" s="25" t="s">
        <v>25</v>
      </c>
      <c r="Q2" s="25" t="s">
        <v>26</v>
      </c>
      <c r="R2" s="51" t="s">
        <v>27</v>
      </c>
      <c r="S2" s="6" t="s">
        <v>31</v>
      </c>
      <c r="T2" s="6" t="s">
        <v>617</v>
      </c>
      <c r="U2" s="6" t="s">
        <v>32</v>
      </c>
      <c r="V2" s="6" t="s">
        <v>33</v>
      </c>
      <c r="W2" s="6" t="s">
        <v>34</v>
      </c>
      <c r="X2" s="6" t="s">
        <v>35</v>
      </c>
    </row>
    <row r="3" spans="1:24" ht="25" customHeight="1">
      <c r="A3" s="52">
        <v>46130</v>
      </c>
      <c r="B3" s="53" t="s">
        <v>804</v>
      </c>
      <c r="C3" s="53" t="s">
        <v>805</v>
      </c>
      <c r="D3" s="54">
        <v>0.58333333333333337</v>
      </c>
      <c r="F3" s="53"/>
      <c r="H3" s="55" t="e">
        <f>tbl_TitusWeld[[#This Row],[Qty Complete]]/tbl_TitusWeld[[#This Row],[Qty Required]]</f>
        <v>#DIV/0!</v>
      </c>
      <c r="K3" s="57" t="str">
        <f>IFERROR(tbl_TitusWeld[[#This Row],[Qty Required]]/tbl_TitusWeld[[#This Row],[PPH]]*tbl_TitusWeld[[#This Row],['# of men]],"")</f>
        <v/>
      </c>
      <c r="L3" s="58" t="e">
        <f>tbl_TitusWeld[[#This Row],[Total hours]]*tbl_TitusWeld[[#This Row],[% Complete]]</f>
        <v>#VALUE!</v>
      </c>
      <c r="M3" s="59" t="str">
        <f>IFERROR(tbl_TitusWeld[[#This Row],[Qty Complete]]/tbl_TitusWeld[[#This Row],[Total Hours Act]]*tbl_TitusWeld[[#This Row],['# of men Act]],"")</f>
        <v/>
      </c>
      <c r="O3"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3" s="62" t="str">
        <f>IFERROR((tbl_TitusWeld[[#This Row],[Adj. Total Hours]]+tbl_TitusWeld[[#This Row],[Est. Hours]])/(tbl_TitusWeld[[#This Row],[Total Hours Act]]+tbl_TitusWeld[[#This Row],[Act. Hours]]),"")</f>
        <v/>
      </c>
      <c r="S3" s="63"/>
      <c r="T3" s="63"/>
      <c r="U3" s="64"/>
      <c r="V3" s="65"/>
      <c r="W3" s="63"/>
      <c r="X3" s="63"/>
    </row>
    <row r="4" spans="1:24" ht="25" customHeight="1">
      <c r="A4" s="52" t="s">
        <v>618</v>
      </c>
      <c r="F4" s="53"/>
      <c r="H4" s="55" t="e">
        <f>tbl_TitusWeld[[#This Row],[Qty Complete]]/tbl_TitusWeld[[#This Row],[Qty Required]]</f>
        <v>#DIV/0!</v>
      </c>
      <c r="K4" s="57" t="str">
        <f>IFERROR(tbl_TitusWeld[[#This Row],[Qty Required]]/tbl_TitusWeld[[#This Row],[PPH]]*tbl_TitusWeld[[#This Row],['# of men]],"")</f>
        <v/>
      </c>
      <c r="L4" s="58" t="e">
        <f>tbl_TitusWeld[[#This Row],[Total hours]]*tbl_TitusWeld[[#This Row],[% Complete]]</f>
        <v>#VALUE!</v>
      </c>
      <c r="M4" s="59" t="str">
        <f>IFERROR(tbl_TitusWeld[[#This Row],[Qty Complete]]/tbl_TitusWeld[[#This Row],[Total Hours Act]]*tbl_TitusWeld[[#This Row],['# of men Act]],"")</f>
        <v/>
      </c>
      <c r="O4"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4" s="71" t="str">
        <f>IFERROR((tbl_TitusWeld[[#This Row],[Adj. Total Hours]]+tbl_TitusWeld[[#This Row],[Est. Hours]])/(tbl_TitusWeld[[#This Row],[Total Hours Act]]+tbl_TitusWeld[[#This Row],[Act. Hours]]),"")</f>
        <v/>
      </c>
      <c r="S4" s="63"/>
      <c r="T4" s="63"/>
      <c r="U4" s="63"/>
      <c r="V4" s="63"/>
      <c r="W4" s="63"/>
      <c r="X4" s="63"/>
    </row>
    <row r="5" spans="1:24" ht="25" customHeight="1">
      <c r="A5" s="52" t="s">
        <v>618</v>
      </c>
      <c r="F5" s="53"/>
      <c r="H5" s="55" t="e">
        <f>tbl_TitusWeld[[#This Row],[Qty Complete]]/tbl_TitusWeld[[#This Row],[Qty Required]]</f>
        <v>#DIV/0!</v>
      </c>
      <c r="K5" s="57" t="str">
        <f>IFERROR(tbl_TitusWeld[[#This Row],[Qty Required]]/tbl_TitusWeld[[#This Row],[PPH]]*tbl_TitusWeld[[#This Row],['# of men]],"")</f>
        <v/>
      </c>
      <c r="L5" s="58" t="e">
        <f>tbl_TitusWeld[[#This Row],[Total hours]]*tbl_TitusWeld[[#This Row],[% Complete]]</f>
        <v>#VALUE!</v>
      </c>
      <c r="M5" s="59" t="str">
        <f>IFERROR(tbl_TitusWeld[[#This Row],[Qty Complete]]/tbl_TitusWeld[[#This Row],[Total Hours Act]]*tbl_TitusWeld[[#This Row],['# of men Act]],"")</f>
        <v/>
      </c>
      <c r="O5"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5" s="71" t="str">
        <f>IFERROR((tbl_TitusWeld[[#This Row],[Adj. Total Hours]]+tbl_TitusWeld[[#This Row],[Est. Hours]])/(tbl_TitusWeld[[#This Row],[Total Hours Act]]+tbl_TitusWeld[[#This Row],[Act. Hours]]),"")</f>
        <v/>
      </c>
      <c r="S5" s="63"/>
      <c r="T5" s="63"/>
      <c r="U5" s="63"/>
      <c r="V5" s="63"/>
      <c r="W5" s="63"/>
      <c r="X5" s="63"/>
    </row>
    <row r="6" spans="1:24" ht="25" customHeight="1">
      <c r="F6" s="53"/>
      <c r="H6" s="55" t="e">
        <f>tbl_TitusWeld[[#This Row],[Qty Complete]]/tbl_TitusWeld[[#This Row],[Qty Required]]</f>
        <v>#DIV/0!</v>
      </c>
      <c r="K6" s="57" t="str">
        <f>IFERROR(tbl_TitusWeld[[#This Row],[Qty Required]]/tbl_TitusWeld[[#This Row],[PPH]]*tbl_TitusWeld[[#This Row],['# of men]],"")</f>
        <v/>
      </c>
      <c r="L6" s="58" t="e">
        <f>tbl_TitusWeld[[#This Row],[Total hours]]*tbl_TitusWeld[[#This Row],[% Complete]]</f>
        <v>#VALUE!</v>
      </c>
      <c r="M6" s="59" t="str">
        <f>IFERROR(tbl_TitusWeld[[#This Row],[Qty Complete]]/tbl_TitusWeld[[#This Row],[Total Hours Act]]*tbl_TitusWeld[[#This Row],['# of men Act]],"")</f>
        <v/>
      </c>
      <c r="O6"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6" s="71" t="str">
        <f>IFERROR((tbl_TitusWeld[[#This Row],[Adj. Total Hours]]+tbl_TitusWeld[[#This Row],[Est. Hours]])/(tbl_TitusWeld[[#This Row],[Total Hours Act]]+tbl_TitusWeld[[#This Row],[Act. Hours]]),"")</f>
        <v/>
      </c>
      <c r="S6" s="63"/>
      <c r="T6" s="63"/>
      <c r="U6" s="63"/>
      <c r="V6" s="63"/>
      <c r="W6" s="63"/>
      <c r="X6" s="63"/>
    </row>
    <row r="7" spans="1:24" ht="25" customHeight="1">
      <c r="F7" s="53"/>
      <c r="H7" s="55" t="e">
        <f>tbl_TitusWeld[[#This Row],[Qty Complete]]/tbl_TitusWeld[[#This Row],[Qty Required]]</f>
        <v>#DIV/0!</v>
      </c>
      <c r="K7" s="57" t="str">
        <f>IFERROR(tbl_TitusWeld[[#This Row],[Qty Required]]/tbl_TitusWeld[[#This Row],[PPH]]*tbl_TitusWeld[[#This Row],['# of men]],"")</f>
        <v/>
      </c>
      <c r="L7" s="58" t="e">
        <f>tbl_TitusWeld[[#This Row],[Total hours]]*tbl_TitusWeld[[#This Row],[% Complete]]</f>
        <v>#VALUE!</v>
      </c>
      <c r="M7" s="59" t="str">
        <f>IFERROR(tbl_TitusWeld[[#This Row],[Qty Complete]]/tbl_TitusWeld[[#This Row],[Total Hours Act]]*tbl_TitusWeld[[#This Row],['# of men Act]],"")</f>
        <v/>
      </c>
      <c r="O7"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7" s="71" t="str">
        <f>IFERROR((tbl_TitusWeld[[#This Row],[Adj. Total Hours]]+tbl_TitusWeld[[#This Row],[Est. Hours]])/(tbl_TitusWeld[[#This Row],[Total Hours Act]]+tbl_TitusWeld[[#This Row],[Act. Hours]]),"")</f>
        <v/>
      </c>
      <c r="S7" s="63"/>
      <c r="T7" s="63"/>
      <c r="U7" s="63"/>
      <c r="V7" s="63"/>
      <c r="W7" s="63"/>
      <c r="X7" s="63"/>
    </row>
    <row r="8" spans="1:24" ht="25" customHeight="1">
      <c r="F8" s="53"/>
      <c r="H8" s="55" t="e">
        <f>tbl_TitusWeld[[#This Row],[Qty Complete]]/tbl_TitusWeld[[#This Row],[Qty Required]]</f>
        <v>#DIV/0!</v>
      </c>
      <c r="K8" s="57" t="str">
        <f>IFERROR(tbl_TitusWeld[[#This Row],[Qty Required]]/tbl_TitusWeld[[#This Row],[PPH]]*tbl_TitusWeld[[#This Row],['# of men]],"")</f>
        <v/>
      </c>
      <c r="L8" s="58" t="e">
        <f>tbl_TitusWeld[[#This Row],[Total hours]]*tbl_TitusWeld[[#This Row],[% Complete]]</f>
        <v>#VALUE!</v>
      </c>
      <c r="M8" s="59" t="str">
        <f>IFERROR(tbl_TitusWeld[[#This Row],[Qty Complete]]/tbl_TitusWeld[[#This Row],[Total Hours Act]]*tbl_TitusWeld[[#This Row],['# of men Act]],"")</f>
        <v/>
      </c>
      <c r="O8"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8" s="71" t="str">
        <f>IFERROR((tbl_TitusWeld[[#This Row],[Adj. Total Hours]]+tbl_TitusWeld[[#This Row],[Est. Hours]])/(tbl_TitusWeld[[#This Row],[Total Hours Act]]+tbl_TitusWeld[[#This Row],[Act. Hours]]),"")</f>
        <v/>
      </c>
      <c r="S8" s="63"/>
      <c r="T8" s="63"/>
      <c r="U8" s="63"/>
      <c r="V8" s="63"/>
      <c r="W8" s="63"/>
      <c r="X8" s="63"/>
    </row>
    <row r="9" spans="1:24" ht="25" customHeight="1">
      <c r="F9" s="53"/>
      <c r="H9" s="55" t="e">
        <f>tbl_TitusWeld[[#This Row],[Qty Complete]]/tbl_TitusWeld[[#This Row],[Qty Required]]</f>
        <v>#DIV/0!</v>
      </c>
      <c r="K9" s="57" t="str">
        <f>IFERROR(tbl_TitusWeld[[#This Row],[Qty Required]]/tbl_TitusWeld[[#This Row],[PPH]]*tbl_TitusWeld[[#This Row],['# of men]],"")</f>
        <v/>
      </c>
      <c r="L9" s="58" t="e">
        <f>tbl_TitusWeld[[#This Row],[Total hours]]*tbl_TitusWeld[[#This Row],[% Complete]]</f>
        <v>#VALUE!</v>
      </c>
      <c r="M9" s="59" t="str">
        <f>IFERROR(tbl_TitusWeld[[#This Row],[Qty Complete]]/tbl_TitusWeld[[#This Row],[Total Hours Act]]*tbl_TitusWeld[[#This Row],['# of men Act]],"")</f>
        <v/>
      </c>
      <c r="O9"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9" s="71" t="str">
        <f>IFERROR((tbl_TitusWeld[[#This Row],[Adj. Total Hours]]+tbl_TitusWeld[[#This Row],[Est. Hours]])/(tbl_TitusWeld[[#This Row],[Total Hours Act]]+tbl_TitusWeld[[#This Row],[Act. Hours]]),"")</f>
        <v/>
      </c>
      <c r="S9" s="63"/>
      <c r="T9" s="63"/>
      <c r="U9" s="63"/>
      <c r="V9" s="63"/>
      <c r="W9" s="63"/>
      <c r="X9" s="63"/>
    </row>
    <row r="10" spans="1:24" ht="25" customHeight="1">
      <c r="F10" s="53"/>
      <c r="H10" s="55" t="e">
        <f>tbl_TitusWeld[[#This Row],[Qty Complete]]/tbl_TitusWeld[[#This Row],[Qty Required]]</f>
        <v>#DIV/0!</v>
      </c>
      <c r="K10" s="57" t="str">
        <f>IFERROR(tbl_TitusWeld[[#This Row],[Qty Required]]/tbl_TitusWeld[[#This Row],[PPH]]*tbl_TitusWeld[[#This Row],['# of men]],"")</f>
        <v/>
      </c>
      <c r="L10" s="58" t="e">
        <f>tbl_TitusWeld[[#This Row],[Total hours]]*tbl_TitusWeld[[#This Row],[% Complete]]</f>
        <v>#VALUE!</v>
      </c>
      <c r="M10" s="59" t="str">
        <f>IFERROR(tbl_TitusWeld[[#This Row],[Qty Complete]]/tbl_TitusWeld[[#This Row],[Total Hours Act]]*tbl_TitusWeld[[#This Row],['# of men Act]],"")</f>
        <v/>
      </c>
      <c r="O10"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0" s="71" t="str">
        <f>IFERROR((tbl_TitusWeld[[#This Row],[Adj. Total Hours]]+tbl_TitusWeld[[#This Row],[Est. Hours]])/(tbl_TitusWeld[[#This Row],[Total Hours Act]]+tbl_TitusWeld[[#This Row],[Act. Hours]]),"")</f>
        <v/>
      </c>
      <c r="S10" s="63"/>
      <c r="T10" s="63"/>
      <c r="U10" s="63"/>
      <c r="V10" s="63"/>
      <c r="W10" s="63"/>
      <c r="X10" s="63"/>
    </row>
    <row r="11" spans="1:24" ht="25" customHeight="1">
      <c r="F11" s="53"/>
      <c r="H11" s="55" t="e">
        <f>tbl_TitusWeld[[#This Row],[Qty Complete]]/tbl_TitusWeld[[#This Row],[Qty Required]]</f>
        <v>#DIV/0!</v>
      </c>
      <c r="K11" s="57" t="str">
        <f>IFERROR(tbl_TitusWeld[[#This Row],[Qty Required]]/tbl_TitusWeld[[#This Row],[PPH]]*tbl_TitusWeld[[#This Row],['# of men]],"")</f>
        <v/>
      </c>
      <c r="L11" s="58" t="e">
        <f>tbl_TitusWeld[[#This Row],[Total hours]]*tbl_TitusWeld[[#This Row],[% Complete]]</f>
        <v>#VALUE!</v>
      </c>
      <c r="M11" s="59" t="str">
        <f>IFERROR(tbl_TitusWeld[[#This Row],[Qty Complete]]/tbl_TitusWeld[[#This Row],[Total Hours Act]]*tbl_TitusWeld[[#This Row],['# of men Act]],"")</f>
        <v/>
      </c>
      <c r="O11"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1" s="71" t="str">
        <f>IFERROR((tbl_TitusWeld[[#This Row],[Adj. Total Hours]]+tbl_TitusWeld[[#This Row],[Est. Hours]])/(tbl_TitusWeld[[#This Row],[Total Hours Act]]+tbl_TitusWeld[[#This Row],[Act. Hours]]),"")</f>
        <v/>
      </c>
      <c r="S11" s="63"/>
      <c r="T11" s="63"/>
      <c r="U11" s="63"/>
      <c r="V11" s="63"/>
      <c r="W11" s="63"/>
      <c r="X11" s="63"/>
    </row>
    <row r="12" spans="1:24" ht="25" customHeight="1">
      <c r="F12" s="53"/>
      <c r="H12" s="55" t="e">
        <f>tbl_TitusWeld[[#This Row],[Qty Complete]]/tbl_TitusWeld[[#This Row],[Qty Required]]</f>
        <v>#DIV/0!</v>
      </c>
      <c r="K12" s="57" t="str">
        <f>IFERROR(tbl_TitusWeld[[#This Row],[Qty Required]]/tbl_TitusWeld[[#This Row],[PPH]]*tbl_TitusWeld[[#This Row],['# of men]],"")</f>
        <v/>
      </c>
      <c r="L12" s="58" t="e">
        <f>tbl_TitusWeld[[#This Row],[Total hours]]*tbl_TitusWeld[[#This Row],[% Complete]]</f>
        <v>#VALUE!</v>
      </c>
      <c r="M12" s="59" t="str">
        <f>IFERROR(tbl_TitusWeld[[#This Row],[Qty Complete]]/tbl_TitusWeld[[#This Row],[Total Hours Act]]*tbl_TitusWeld[[#This Row],['# of men Act]],"")</f>
        <v/>
      </c>
      <c r="O12"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2" s="71" t="str">
        <f>IFERROR((tbl_TitusWeld[[#This Row],[Adj. Total Hours]]+tbl_TitusWeld[[#This Row],[Est. Hours]])/(tbl_TitusWeld[[#This Row],[Total Hours Act]]+tbl_TitusWeld[[#This Row],[Act. Hours]]),"")</f>
        <v/>
      </c>
      <c r="S12" s="63"/>
      <c r="T12" s="63"/>
      <c r="U12" s="63"/>
      <c r="V12" s="63"/>
      <c r="W12" s="63"/>
      <c r="X12" s="63"/>
    </row>
    <row r="13" spans="1:24" ht="25" customHeight="1">
      <c r="F13" s="53"/>
      <c r="H13" s="55" t="e">
        <f>tbl_TitusWeld[[#This Row],[Qty Complete]]/tbl_TitusWeld[[#This Row],[Qty Required]]</f>
        <v>#DIV/0!</v>
      </c>
      <c r="K13" s="57" t="str">
        <f>IFERROR(tbl_TitusWeld[[#This Row],[Qty Required]]/tbl_TitusWeld[[#This Row],[PPH]]*tbl_TitusWeld[[#This Row],['# of men]],"")</f>
        <v/>
      </c>
      <c r="L13" s="58" t="e">
        <f>tbl_TitusWeld[[#This Row],[Total hours]]*tbl_TitusWeld[[#This Row],[% Complete]]</f>
        <v>#VALUE!</v>
      </c>
      <c r="M13" s="59" t="str">
        <f>IFERROR(tbl_TitusWeld[[#This Row],[Qty Complete]]/tbl_TitusWeld[[#This Row],[Total Hours Act]]*tbl_TitusWeld[[#This Row],['# of men Act]],"")</f>
        <v/>
      </c>
      <c r="O13"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3" s="71" t="str">
        <f>IFERROR((tbl_TitusWeld[[#This Row],[Adj. Total Hours]]+tbl_TitusWeld[[#This Row],[Est. Hours]])/(tbl_TitusWeld[[#This Row],[Total Hours Act]]+tbl_TitusWeld[[#This Row],[Act. Hours]]),"")</f>
        <v/>
      </c>
      <c r="S13" s="63"/>
      <c r="T13" s="63"/>
      <c r="U13" s="63"/>
      <c r="V13" s="63"/>
      <c r="W13" s="63"/>
      <c r="X13" s="63"/>
    </row>
    <row r="14" spans="1:24" ht="25" customHeight="1">
      <c r="F14" s="53"/>
      <c r="H14" s="55" t="e">
        <f>tbl_TitusWeld[[#This Row],[Qty Complete]]/tbl_TitusWeld[[#This Row],[Qty Required]]</f>
        <v>#DIV/0!</v>
      </c>
      <c r="K14" s="57" t="str">
        <f>IFERROR(tbl_TitusWeld[[#This Row],[Qty Required]]/tbl_TitusWeld[[#This Row],[PPH]]*tbl_TitusWeld[[#This Row],['# of men]],"")</f>
        <v/>
      </c>
      <c r="L14" s="58" t="e">
        <f>tbl_TitusWeld[[#This Row],[Total hours]]*tbl_TitusWeld[[#This Row],[% Complete]]</f>
        <v>#VALUE!</v>
      </c>
      <c r="M14" s="59" t="str">
        <f>IFERROR(tbl_TitusWeld[[#This Row],[Qty Complete]]/tbl_TitusWeld[[#This Row],[Total Hours Act]]*tbl_TitusWeld[[#This Row],['# of men Act]],"")</f>
        <v/>
      </c>
      <c r="O14"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4" s="71" t="str">
        <f>IFERROR((tbl_TitusWeld[[#This Row],[Adj. Total Hours]]+tbl_TitusWeld[[#This Row],[Est. Hours]])/(tbl_TitusWeld[[#This Row],[Total Hours Act]]+tbl_TitusWeld[[#This Row],[Act. Hours]]),"")</f>
        <v/>
      </c>
      <c r="S14" s="63"/>
      <c r="T14" s="63"/>
      <c r="U14" s="63"/>
      <c r="V14" s="63"/>
      <c r="W14" s="63"/>
      <c r="X14" s="63"/>
    </row>
    <row r="15" spans="1:24" ht="25" customHeight="1">
      <c r="F15" s="53"/>
      <c r="H15" s="55" t="e">
        <f>tbl_TitusWeld[[#This Row],[Qty Complete]]/tbl_TitusWeld[[#This Row],[Qty Required]]</f>
        <v>#DIV/0!</v>
      </c>
      <c r="K15" s="57" t="str">
        <f>IFERROR(tbl_TitusWeld[[#This Row],[Qty Required]]/tbl_TitusWeld[[#This Row],[PPH]]*tbl_TitusWeld[[#This Row],['# of men]],"")</f>
        <v/>
      </c>
      <c r="L15" s="58" t="e">
        <f>tbl_TitusWeld[[#This Row],[Total hours]]*tbl_TitusWeld[[#This Row],[% Complete]]</f>
        <v>#VALUE!</v>
      </c>
      <c r="M15" s="59" t="str">
        <f>IFERROR(tbl_TitusWeld[[#This Row],[Qty Complete]]/tbl_TitusWeld[[#This Row],[Total Hours Act]]*tbl_TitusWeld[[#This Row],['# of men Act]],"")</f>
        <v/>
      </c>
      <c r="O15"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5" s="71" t="str">
        <f>IFERROR((tbl_TitusWeld[[#This Row],[Adj. Total Hours]]+tbl_TitusWeld[[#This Row],[Est. Hours]])/(tbl_TitusWeld[[#This Row],[Total Hours Act]]+tbl_TitusWeld[[#This Row],[Act. Hours]]),"")</f>
        <v/>
      </c>
      <c r="S15" s="63"/>
      <c r="T15" s="63"/>
      <c r="U15" s="63"/>
      <c r="V15" s="63"/>
      <c r="W15" s="63"/>
      <c r="X15" s="63"/>
    </row>
    <row r="16" spans="1:24" ht="25" customHeight="1">
      <c r="F16" s="53"/>
      <c r="H16" s="55" t="e">
        <f>tbl_TitusWeld[[#This Row],[Qty Complete]]/tbl_TitusWeld[[#This Row],[Qty Required]]</f>
        <v>#DIV/0!</v>
      </c>
      <c r="K16" s="57" t="str">
        <f>IFERROR(tbl_TitusWeld[[#This Row],[Qty Required]]/tbl_TitusWeld[[#This Row],[PPH]]*tbl_TitusWeld[[#This Row],['# of men]],"")</f>
        <v/>
      </c>
      <c r="L16" s="58" t="e">
        <f>tbl_TitusWeld[[#This Row],[Total hours]]*tbl_TitusWeld[[#This Row],[% Complete]]</f>
        <v>#VALUE!</v>
      </c>
      <c r="M16" s="59" t="str">
        <f>IFERROR(tbl_TitusWeld[[#This Row],[Qty Complete]]/tbl_TitusWeld[[#This Row],[Total Hours Act]]*tbl_TitusWeld[[#This Row],['# of men Act]],"")</f>
        <v/>
      </c>
      <c r="O16"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6" s="71" t="str">
        <f>IFERROR((tbl_TitusWeld[[#This Row],[Adj. Total Hours]]+tbl_TitusWeld[[#This Row],[Est. Hours]])/(tbl_TitusWeld[[#This Row],[Total Hours Act]]+tbl_TitusWeld[[#This Row],[Act. Hours]]),"")</f>
        <v/>
      </c>
      <c r="S16" s="63"/>
      <c r="T16" s="63"/>
      <c r="U16" s="63"/>
      <c r="V16" s="63"/>
      <c r="W16" s="63"/>
      <c r="X16" s="63"/>
    </row>
    <row r="17" spans="6:24" ht="25" customHeight="1">
      <c r="F17" s="53"/>
      <c r="H17" s="55" t="e">
        <f>tbl_TitusWeld[[#This Row],[Qty Complete]]/tbl_TitusWeld[[#This Row],[Qty Required]]</f>
        <v>#DIV/0!</v>
      </c>
      <c r="K17" s="57" t="str">
        <f>IFERROR(tbl_TitusWeld[[#This Row],[Qty Required]]/tbl_TitusWeld[[#This Row],[PPH]]*tbl_TitusWeld[[#This Row],['# of men]],"")</f>
        <v/>
      </c>
      <c r="L17" s="58" t="e">
        <f>tbl_TitusWeld[[#This Row],[Total hours]]*tbl_TitusWeld[[#This Row],[% Complete]]</f>
        <v>#VALUE!</v>
      </c>
      <c r="M17" s="59" t="str">
        <f>IFERROR(tbl_TitusWeld[[#This Row],[Qty Complete]]/tbl_TitusWeld[[#This Row],[Total Hours Act]]*tbl_TitusWeld[[#This Row],['# of men Act]],"")</f>
        <v/>
      </c>
      <c r="O17"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7" s="71" t="str">
        <f>IFERROR((tbl_TitusWeld[[#This Row],[Adj. Total Hours]]+tbl_TitusWeld[[#This Row],[Est. Hours]])/(tbl_TitusWeld[[#This Row],[Total Hours Act]]+tbl_TitusWeld[[#This Row],[Act. Hours]]),"")</f>
        <v/>
      </c>
      <c r="S17" s="63"/>
      <c r="T17" s="63"/>
      <c r="U17" s="63"/>
      <c r="V17" s="63"/>
      <c r="W17" s="63"/>
      <c r="X17" s="63"/>
    </row>
    <row r="18" spans="6:24" ht="25" customHeight="1">
      <c r="F18" s="53"/>
      <c r="H18" s="55" t="e">
        <f>tbl_TitusWeld[[#This Row],[Qty Complete]]/tbl_TitusWeld[[#This Row],[Qty Required]]</f>
        <v>#DIV/0!</v>
      </c>
      <c r="K18" s="57" t="str">
        <f>IFERROR(tbl_TitusWeld[[#This Row],[Qty Required]]/tbl_TitusWeld[[#This Row],[PPH]]*tbl_TitusWeld[[#This Row],['# of men]],"")</f>
        <v/>
      </c>
      <c r="L18" s="58" t="e">
        <f>tbl_TitusWeld[[#This Row],[Total hours]]*tbl_TitusWeld[[#This Row],[% Complete]]</f>
        <v>#VALUE!</v>
      </c>
      <c r="M18" s="59" t="str">
        <f>IFERROR(tbl_TitusWeld[[#This Row],[Qty Complete]]/tbl_TitusWeld[[#This Row],[Total Hours Act]]*tbl_TitusWeld[[#This Row],['# of men Act]],"")</f>
        <v/>
      </c>
      <c r="O18"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8" s="71" t="str">
        <f>IFERROR((tbl_TitusWeld[[#This Row],[Adj. Total Hours]]+tbl_TitusWeld[[#This Row],[Est. Hours]])/(tbl_TitusWeld[[#This Row],[Total Hours Act]]+tbl_TitusWeld[[#This Row],[Act. Hours]]),"")</f>
        <v/>
      </c>
      <c r="S18" s="63"/>
      <c r="T18" s="63"/>
      <c r="U18" s="63"/>
      <c r="V18" s="63"/>
      <c r="W18" s="63"/>
      <c r="X18" s="63"/>
    </row>
    <row r="19" spans="6:24" ht="25" customHeight="1">
      <c r="F19" s="53"/>
      <c r="H19" s="55" t="e">
        <f>tbl_TitusWeld[[#This Row],[Qty Complete]]/tbl_TitusWeld[[#This Row],[Qty Required]]</f>
        <v>#DIV/0!</v>
      </c>
      <c r="K19" s="57" t="str">
        <f>IFERROR(tbl_TitusWeld[[#This Row],[Qty Required]]/tbl_TitusWeld[[#This Row],[PPH]]*tbl_TitusWeld[[#This Row],['# of men]],"")</f>
        <v/>
      </c>
      <c r="L19" s="58" t="e">
        <f>tbl_TitusWeld[[#This Row],[Total hours]]*tbl_TitusWeld[[#This Row],[% Complete]]</f>
        <v>#VALUE!</v>
      </c>
      <c r="M19" s="59" t="str">
        <f>IFERROR(tbl_TitusWeld[[#This Row],[Qty Complete]]/tbl_TitusWeld[[#This Row],[Total Hours Act]]*tbl_TitusWeld[[#This Row],['# of men Act]],"")</f>
        <v/>
      </c>
      <c r="O19"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9" s="71" t="str">
        <f>IFERROR((tbl_TitusWeld[[#This Row],[Adj. Total Hours]]+tbl_TitusWeld[[#This Row],[Est. Hours]])/(tbl_TitusWeld[[#This Row],[Total Hours Act]]+tbl_TitusWeld[[#This Row],[Act. Hours]]),"")</f>
        <v/>
      </c>
      <c r="S19" s="63"/>
      <c r="T19" s="63"/>
      <c r="U19" s="63"/>
      <c r="V19" s="63"/>
      <c r="W19" s="63"/>
      <c r="X19" s="63"/>
    </row>
    <row r="20" spans="6:24" ht="25" customHeight="1">
      <c r="F20" s="53"/>
      <c r="H20" s="55" t="e">
        <f>tbl_TitusWeld[[#This Row],[Qty Complete]]/tbl_TitusWeld[[#This Row],[Qty Required]]</f>
        <v>#DIV/0!</v>
      </c>
      <c r="K20" s="57" t="str">
        <f>IFERROR(tbl_TitusWeld[[#This Row],[Qty Required]]/tbl_TitusWeld[[#This Row],[PPH]]*tbl_TitusWeld[[#This Row],['# of men]],"")</f>
        <v/>
      </c>
      <c r="L20" s="58" t="e">
        <f>tbl_TitusWeld[[#This Row],[Total hours]]*tbl_TitusWeld[[#This Row],[% Complete]]</f>
        <v>#VALUE!</v>
      </c>
      <c r="M20" s="59" t="str">
        <f>IFERROR(tbl_TitusWeld[[#This Row],[Qty Complete]]/tbl_TitusWeld[[#This Row],[Total Hours Act]]*tbl_TitusWeld[[#This Row],['# of men Act]],"")</f>
        <v/>
      </c>
      <c r="O20"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0" s="71" t="str">
        <f>IFERROR((tbl_TitusWeld[[#This Row],[Adj. Total Hours]]+tbl_TitusWeld[[#This Row],[Est. Hours]])/(tbl_TitusWeld[[#This Row],[Total Hours Act]]+tbl_TitusWeld[[#This Row],[Act. Hours]]),"")</f>
        <v/>
      </c>
      <c r="S20" s="63"/>
      <c r="T20" s="63"/>
      <c r="U20" s="63"/>
      <c r="V20" s="63"/>
      <c r="W20" s="63"/>
      <c r="X20" s="63"/>
    </row>
    <row r="21" spans="6:24" ht="25" customHeight="1">
      <c r="F21" s="53"/>
      <c r="H21" s="55" t="e">
        <f>tbl_TitusWeld[[#This Row],[Qty Complete]]/tbl_TitusWeld[[#This Row],[Qty Required]]</f>
        <v>#DIV/0!</v>
      </c>
      <c r="K21" s="57" t="str">
        <f>IFERROR(tbl_TitusWeld[[#This Row],[Qty Required]]/tbl_TitusWeld[[#This Row],[PPH]]*tbl_TitusWeld[[#This Row],['# of men]],"")</f>
        <v/>
      </c>
      <c r="L21" s="58" t="e">
        <f>tbl_TitusWeld[[#This Row],[Total hours]]*tbl_TitusWeld[[#This Row],[% Complete]]</f>
        <v>#VALUE!</v>
      </c>
      <c r="M21" s="59" t="str">
        <f>IFERROR(tbl_TitusWeld[[#This Row],[Qty Complete]]/tbl_TitusWeld[[#This Row],[Total Hours Act]]*tbl_TitusWeld[[#This Row],['# of men Act]],"")</f>
        <v/>
      </c>
      <c r="O21"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1" s="71" t="str">
        <f>IFERROR((tbl_TitusWeld[[#This Row],[Adj. Total Hours]]+tbl_TitusWeld[[#This Row],[Est. Hours]])/(tbl_TitusWeld[[#This Row],[Total Hours Act]]+tbl_TitusWeld[[#This Row],[Act. Hours]]),"")</f>
        <v/>
      </c>
      <c r="S21" s="63"/>
      <c r="T21" s="63"/>
      <c r="U21" s="63"/>
      <c r="V21" s="63"/>
      <c r="W21" s="63"/>
      <c r="X21" s="63"/>
    </row>
    <row r="22" spans="6:24" ht="25" customHeight="1">
      <c r="F22" s="53"/>
      <c r="H22" s="55" t="e">
        <f>tbl_TitusWeld[[#This Row],[Qty Complete]]/tbl_TitusWeld[[#This Row],[Qty Required]]</f>
        <v>#DIV/0!</v>
      </c>
      <c r="K22" s="57" t="str">
        <f>IFERROR(tbl_TitusWeld[[#This Row],[Qty Required]]/tbl_TitusWeld[[#This Row],[PPH]]*tbl_TitusWeld[[#This Row],['# of men]],"")</f>
        <v/>
      </c>
      <c r="L22" s="58" t="e">
        <f>tbl_TitusWeld[[#This Row],[Total hours]]*tbl_TitusWeld[[#This Row],[% Complete]]</f>
        <v>#VALUE!</v>
      </c>
      <c r="M22" s="59" t="str">
        <f>IFERROR(tbl_TitusWeld[[#This Row],[Qty Complete]]/tbl_TitusWeld[[#This Row],[Total Hours Act]]*tbl_TitusWeld[[#This Row],['# of men Act]],"")</f>
        <v/>
      </c>
      <c r="O22"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2" s="71" t="str">
        <f>IFERROR((tbl_TitusWeld[[#This Row],[Adj. Total Hours]]+tbl_TitusWeld[[#This Row],[Est. Hours]])/(tbl_TitusWeld[[#This Row],[Total Hours Act]]+tbl_TitusWeld[[#This Row],[Act. Hours]]),"")</f>
        <v/>
      </c>
      <c r="S22" s="63"/>
      <c r="T22" s="63"/>
      <c r="U22" s="63"/>
      <c r="V22" s="63"/>
      <c r="W22" s="63"/>
      <c r="X22" s="63"/>
    </row>
    <row r="23" spans="6:24" ht="25" customHeight="1">
      <c r="F23" s="53"/>
      <c r="H23" s="55" t="e">
        <f>tbl_TitusWeld[[#This Row],[Qty Complete]]/tbl_TitusWeld[[#This Row],[Qty Required]]</f>
        <v>#DIV/0!</v>
      </c>
      <c r="K23" s="57" t="str">
        <f>IFERROR(tbl_TitusWeld[[#This Row],[Qty Required]]/tbl_TitusWeld[[#This Row],[PPH]]*tbl_TitusWeld[[#This Row],['# of men]],"")</f>
        <v/>
      </c>
      <c r="L23" s="58" t="e">
        <f>tbl_TitusWeld[[#This Row],[Total hours]]*tbl_TitusWeld[[#This Row],[% Complete]]</f>
        <v>#VALUE!</v>
      </c>
      <c r="M23" s="59" t="str">
        <f>IFERROR(tbl_TitusWeld[[#This Row],[Qty Complete]]/tbl_TitusWeld[[#This Row],[Total Hours Act]]*tbl_TitusWeld[[#This Row],['# of men Act]],"")</f>
        <v/>
      </c>
      <c r="O23"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3" s="71" t="str">
        <f>IFERROR((tbl_TitusWeld[[#This Row],[Adj. Total Hours]]+tbl_TitusWeld[[#This Row],[Est. Hours]])/(tbl_TitusWeld[[#This Row],[Total Hours Act]]+tbl_TitusWeld[[#This Row],[Act. Hours]]),"")</f>
        <v/>
      </c>
      <c r="S23" s="63"/>
      <c r="T23" s="63"/>
      <c r="U23" s="63"/>
      <c r="V23" s="63"/>
      <c r="W23" s="63"/>
      <c r="X23" s="63"/>
    </row>
    <row r="24" spans="6:24" ht="25" customHeight="1">
      <c r="F24" s="53"/>
      <c r="H24" s="55" t="e">
        <f>tbl_TitusWeld[[#This Row],[Qty Complete]]/tbl_TitusWeld[[#This Row],[Qty Required]]</f>
        <v>#DIV/0!</v>
      </c>
      <c r="K24" s="57" t="str">
        <f>IFERROR(tbl_TitusWeld[[#This Row],[Qty Required]]/tbl_TitusWeld[[#This Row],[PPH]]*tbl_TitusWeld[[#This Row],['# of men]],"")</f>
        <v/>
      </c>
      <c r="L24" s="58" t="e">
        <f>tbl_TitusWeld[[#This Row],[Total hours]]*tbl_TitusWeld[[#This Row],[% Complete]]</f>
        <v>#VALUE!</v>
      </c>
      <c r="M24" s="59" t="str">
        <f>IFERROR(tbl_TitusWeld[[#This Row],[Qty Complete]]/tbl_TitusWeld[[#This Row],[Total Hours Act]]*tbl_TitusWeld[[#This Row],['# of men Act]],"")</f>
        <v/>
      </c>
      <c r="O24"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4" s="71" t="str">
        <f>IFERROR((tbl_TitusWeld[[#This Row],[Adj. Total Hours]]+tbl_TitusWeld[[#This Row],[Est. Hours]])/(tbl_TitusWeld[[#This Row],[Total Hours Act]]+tbl_TitusWeld[[#This Row],[Act. Hours]]),"")</f>
        <v/>
      </c>
      <c r="S24" s="63"/>
      <c r="T24" s="63"/>
      <c r="U24" s="63"/>
      <c r="V24" s="63"/>
      <c r="W24" s="63"/>
      <c r="X24" s="63"/>
    </row>
    <row r="25" spans="6:24" ht="25" customHeight="1">
      <c r="F25" s="53"/>
      <c r="H25" s="55" t="e">
        <f>tbl_TitusWeld[[#This Row],[Qty Complete]]/tbl_TitusWeld[[#This Row],[Qty Required]]</f>
        <v>#DIV/0!</v>
      </c>
      <c r="K25" s="57" t="str">
        <f>IFERROR(tbl_TitusWeld[[#This Row],[Qty Required]]/tbl_TitusWeld[[#This Row],[PPH]]*tbl_TitusWeld[[#This Row],['# of men]],"")</f>
        <v/>
      </c>
      <c r="L25" s="58" t="e">
        <f>tbl_TitusWeld[[#This Row],[Total hours]]*tbl_TitusWeld[[#This Row],[% Complete]]</f>
        <v>#VALUE!</v>
      </c>
      <c r="M25" s="59" t="str">
        <f>IFERROR(tbl_TitusWeld[[#This Row],[Qty Complete]]/tbl_TitusWeld[[#This Row],[Total Hours Act]]*tbl_TitusWeld[[#This Row],['# of men Act]],"")</f>
        <v/>
      </c>
      <c r="O25"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5" s="71" t="str">
        <f>IFERROR((tbl_TitusWeld[[#This Row],[Adj. Total Hours]]+tbl_TitusWeld[[#This Row],[Est. Hours]])/(tbl_TitusWeld[[#This Row],[Total Hours Act]]+tbl_TitusWeld[[#This Row],[Act. Hours]]),"")</f>
        <v/>
      </c>
      <c r="S25" s="63"/>
      <c r="T25" s="63"/>
      <c r="U25" s="63"/>
      <c r="V25" s="63"/>
      <c r="W25" s="63"/>
      <c r="X25" s="63"/>
    </row>
    <row r="26" spans="6:24" ht="25" customHeight="1">
      <c r="F26" s="53"/>
      <c r="H26" s="55" t="e">
        <f>tbl_TitusWeld[[#This Row],[Qty Complete]]/tbl_TitusWeld[[#This Row],[Qty Required]]</f>
        <v>#DIV/0!</v>
      </c>
      <c r="K26" s="57" t="str">
        <f>IFERROR(tbl_TitusWeld[[#This Row],[Qty Required]]/tbl_TitusWeld[[#This Row],[PPH]]*tbl_TitusWeld[[#This Row],['# of men]],"")</f>
        <v/>
      </c>
      <c r="L26" s="58" t="e">
        <f>tbl_TitusWeld[[#This Row],[Total hours]]*tbl_TitusWeld[[#This Row],[% Complete]]</f>
        <v>#VALUE!</v>
      </c>
      <c r="M26" s="59" t="str">
        <f>IFERROR(tbl_TitusWeld[[#This Row],[Qty Complete]]/tbl_TitusWeld[[#This Row],[Total Hours Act]]*tbl_TitusWeld[[#This Row],['# of men Act]],"")</f>
        <v/>
      </c>
      <c r="O26"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6" s="71" t="str">
        <f>IFERROR((tbl_TitusWeld[[#This Row],[Adj. Total Hours]]+tbl_TitusWeld[[#This Row],[Est. Hours]])/(tbl_TitusWeld[[#This Row],[Total Hours Act]]+tbl_TitusWeld[[#This Row],[Act. Hours]]),"")</f>
        <v/>
      </c>
      <c r="S26" s="63"/>
      <c r="T26" s="63"/>
      <c r="U26" s="63"/>
      <c r="V26" s="63"/>
      <c r="W26" s="63"/>
      <c r="X26" s="63"/>
    </row>
    <row r="27" spans="6:24" ht="25" customHeight="1">
      <c r="F27" s="53"/>
      <c r="H27" s="55" t="e">
        <f>tbl_TitusWeld[[#This Row],[Qty Complete]]/tbl_TitusWeld[[#This Row],[Qty Required]]</f>
        <v>#DIV/0!</v>
      </c>
      <c r="K27" s="57" t="str">
        <f>IFERROR(tbl_TitusWeld[[#This Row],[Qty Required]]/tbl_TitusWeld[[#This Row],[PPH]]*tbl_TitusWeld[[#This Row],['# of men]],"")</f>
        <v/>
      </c>
      <c r="L27" s="58" t="e">
        <f>tbl_TitusWeld[[#This Row],[Total hours]]*tbl_TitusWeld[[#This Row],[% Complete]]</f>
        <v>#VALUE!</v>
      </c>
      <c r="M27" s="59" t="str">
        <f>IFERROR(tbl_TitusWeld[[#This Row],[Qty Complete]]/tbl_TitusWeld[[#This Row],[Total Hours Act]]*tbl_TitusWeld[[#This Row],['# of men Act]],"")</f>
        <v/>
      </c>
      <c r="O27"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7" s="71" t="str">
        <f>IFERROR((tbl_TitusWeld[[#This Row],[Adj. Total Hours]]+tbl_TitusWeld[[#This Row],[Est. Hours]])/(tbl_TitusWeld[[#This Row],[Total Hours Act]]+tbl_TitusWeld[[#This Row],[Act. Hours]]),"")</f>
        <v/>
      </c>
      <c r="S27" s="63"/>
      <c r="T27" s="63"/>
      <c r="U27" s="63"/>
      <c r="V27" s="63"/>
      <c r="W27" s="63"/>
      <c r="X27" s="63"/>
    </row>
    <row r="28" spans="6:24" ht="25" customHeight="1">
      <c r="F28" s="53"/>
      <c r="H28" s="55" t="e">
        <f>tbl_TitusWeld[[#This Row],[Qty Complete]]/tbl_TitusWeld[[#This Row],[Qty Required]]</f>
        <v>#DIV/0!</v>
      </c>
      <c r="K28" s="57" t="str">
        <f>IFERROR(tbl_TitusWeld[[#This Row],[Qty Required]]/tbl_TitusWeld[[#This Row],[PPH]]*tbl_TitusWeld[[#This Row],['# of men]],"")</f>
        <v/>
      </c>
      <c r="L28" s="58" t="e">
        <f>tbl_TitusWeld[[#This Row],[Total hours]]*tbl_TitusWeld[[#This Row],[% Complete]]</f>
        <v>#VALUE!</v>
      </c>
      <c r="M28" s="59" t="str">
        <f>IFERROR(tbl_TitusWeld[[#This Row],[Qty Complete]]/tbl_TitusWeld[[#This Row],[Total Hours Act]]*tbl_TitusWeld[[#This Row],['# of men Act]],"")</f>
        <v/>
      </c>
      <c r="O28"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8" s="71" t="str">
        <f>IFERROR((tbl_TitusWeld[[#This Row],[Adj. Total Hours]]+tbl_TitusWeld[[#This Row],[Est. Hours]])/(tbl_TitusWeld[[#This Row],[Total Hours Act]]+tbl_TitusWeld[[#This Row],[Act. Hours]]),"")</f>
        <v/>
      </c>
      <c r="S28" s="63"/>
      <c r="T28" s="63"/>
      <c r="U28" s="63"/>
      <c r="V28" s="63"/>
      <c r="W28" s="63"/>
      <c r="X28" s="63"/>
    </row>
    <row r="29" spans="6:24" ht="25" customHeight="1">
      <c r="F29" s="53"/>
      <c r="H29" s="55" t="e">
        <f>tbl_TitusWeld[[#This Row],[Qty Complete]]/tbl_TitusWeld[[#This Row],[Qty Required]]</f>
        <v>#DIV/0!</v>
      </c>
      <c r="K29" s="57" t="str">
        <f>IFERROR(tbl_TitusWeld[[#This Row],[Qty Required]]/tbl_TitusWeld[[#This Row],[PPH]]*tbl_TitusWeld[[#This Row],['# of men]],"")</f>
        <v/>
      </c>
      <c r="L29" s="58" t="e">
        <f>tbl_TitusWeld[[#This Row],[Total hours]]*tbl_TitusWeld[[#This Row],[% Complete]]</f>
        <v>#VALUE!</v>
      </c>
      <c r="M29" s="59" t="str">
        <f>IFERROR(tbl_TitusWeld[[#This Row],[Qty Complete]]/tbl_TitusWeld[[#This Row],[Total Hours Act]]*tbl_TitusWeld[[#This Row],['# of men Act]],"")</f>
        <v/>
      </c>
      <c r="O29"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9" s="71" t="str">
        <f>IFERROR((tbl_TitusWeld[[#This Row],[Adj. Total Hours]]+tbl_TitusWeld[[#This Row],[Est. Hours]])/(tbl_TitusWeld[[#This Row],[Total Hours Act]]+tbl_TitusWeld[[#This Row],[Act. Hours]]),"")</f>
        <v/>
      </c>
      <c r="S29" s="63"/>
      <c r="T29" s="63"/>
      <c r="U29" s="63"/>
      <c r="V29" s="63"/>
      <c r="W29" s="63"/>
      <c r="X29" s="63"/>
    </row>
    <row r="30" spans="6:24" ht="25" customHeight="1">
      <c r="F30" s="53"/>
      <c r="H30" s="55" t="e">
        <f>tbl_TitusWeld[[#This Row],[Qty Complete]]/tbl_TitusWeld[[#This Row],[Qty Required]]</f>
        <v>#DIV/0!</v>
      </c>
      <c r="K30" s="57" t="str">
        <f>IFERROR(tbl_TitusWeld[[#This Row],[Qty Required]]/tbl_TitusWeld[[#This Row],[PPH]]*tbl_TitusWeld[[#This Row],['# of men]],"")</f>
        <v/>
      </c>
      <c r="L30" s="58" t="e">
        <f>tbl_TitusWeld[[#This Row],[Total hours]]*tbl_TitusWeld[[#This Row],[% Complete]]</f>
        <v>#VALUE!</v>
      </c>
      <c r="M30" s="59" t="str">
        <f>IFERROR(tbl_TitusWeld[[#This Row],[Qty Complete]]/tbl_TitusWeld[[#This Row],[Total Hours Act]]*tbl_TitusWeld[[#This Row],['# of men Act]],"")</f>
        <v/>
      </c>
      <c r="O30"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30" s="71" t="str">
        <f>IFERROR((tbl_TitusWeld[[#This Row],[Adj. Total Hours]]+tbl_TitusWeld[[#This Row],[Est. Hours]])/(tbl_TitusWeld[[#This Row],[Total Hours Act]]+tbl_TitusWeld[[#This Row],[Act. Hours]]),"")</f>
        <v/>
      </c>
      <c r="S30" s="63"/>
      <c r="T30" s="63"/>
      <c r="U30" s="63"/>
      <c r="V30" s="63"/>
      <c r="W30" s="63"/>
      <c r="X30" s="63"/>
    </row>
    <row r="31" spans="6:24" ht="25" customHeight="1">
      <c r="F31" s="53"/>
      <c r="H31" s="55" t="e">
        <f>tbl_TitusWeld[[#This Row],[Qty Complete]]/tbl_TitusWeld[[#This Row],[Qty Required]]</f>
        <v>#DIV/0!</v>
      </c>
      <c r="K31" s="57" t="str">
        <f>IFERROR(tbl_TitusWeld[[#This Row],[Qty Required]]/tbl_TitusWeld[[#This Row],[PPH]]*tbl_TitusWeld[[#This Row],['# of men]],"")</f>
        <v/>
      </c>
      <c r="L31" s="58" t="e">
        <f>tbl_TitusWeld[[#This Row],[Total hours]]*tbl_TitusWeld[[#This Row],[% Complete]]</f>
        <v>#VALUE!</v>
      </c>
      <c r="M31" s="59" t="str">
        <f>IFERROR(tbl_TitusWeld[[#This Row],[Qty Complete]]/tbl_TitusWeld[[#This Row],[Total Hours Act]]*tbl_TitusWeld[[#This Row],['# of men Act]],"")</f>
        <v/>
      </c>
      <c r="O31"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31" s="71" t="str">
        <f>IFERROR((tbl_TitusWeld[[#This Row],[Adj. Total Hours]]+tbl_TitusWeld[[#This Row],[Est. Hours]])/(tbl_TitusWeld[[#This Row],[Total Hours Act]]+tbl_TitusWeld[[#This Row],[Act. Hours]]),"")</f>
        <v/>
      </c>
      <c r="S31" s="63"/>
      <c r="T31" s="63"/>
      <c r="U31" s="63"/>
      <c r="V31" s="63"/>
      <c r="W31" s="63"/>
      <c r="X31" s="63"/>
    </row>
    <row r="32" spans="6:24" ht="25" customHeight="1">
      <c r="F32" s="53"/>
      <c r="H32" s="55" t="e">
        <f>tbl_TitusWeld[[#This Row],[Qty Complete]]/tbl_TitusWeld[[#This Row],[Qty Required]]</f>
        <v>#DIV/0!</v>
      </c>
      <c r="K32" s="57" t="str">
        <f>IFERROR(tbl_TitusWeld[[#This Row],[Qty Required]]/tbl_TitusWeld[[#This Row],[PPH]]*tbl_TitusWeld[[#This Row],['# of men]],"")</f>
        <v/>
      </c>
      <c r="L32" s="58" t="e">
        <f>tbl_TitusWeld[[#This Row],[Total hours]]*tbl_TitusWeld[[#This Row],[% Complete]]</f>
        <v>#VALUE!</v>
      </c>
      <c r="M32" s="59" t="str">
        <f>IFERROR(tbl_TitusWeld[[#This Row],[Qty Complete]]/tbl_TitusWeld[[#This Row],[Total Hours Act]]*tbl_TitusWeld[[#This Row],['# of men Act]],"")</f>
        <v/>
      </c>
      <c r="O32"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32" s="71" t="str">
        <f>IFERROR((tbl_TitusWeld[[#This Row],[Adj. Total Hours]]+tbl_TitusWeld[[#This Row],[Est. Hours]])/(tbl_TitusWeld[[#This Row],[Total Hours Act]]+tbl_TitusWeld[[#This Row],[Act. Hours]]),"")</f>
        <v/>
      </c>
      <c r="S32" s="63"/>
      <c r="T32" s="63"/>
      <c r="U32" s="63"/>
      <c r="V32" s="63"/>
      <c r="W32" s="63"/>
      <c r="X32" s="63"/>
    </row>
    <row r="33" spans="6:24" ht="25" customHeight="1">
      <c r="F33" s="53"/>
      <c r="H33" s="55" t="e">
        <f>tbl_TitusWeld[[#This Row],[Qty Complete]]/tbl_TitusWeld[[#This Row],[Qty Required]]</f>
        <v>#DIV/0!</v>
      </c>
      <c r="K33" s="57" t="str">
        <f>IFERROR(tbl_TitusWeld[[#This Row],[Qty Required]]/tbl_TitusWeld[[#This Row],[PPH]]*tbl_TitusWeld[[#This Row],['# of men]],"")</f>
        <v/>
      </c>
      <c r="L33" s="58" t="e">
        <f>tbl_TitusWeld[[#This Row],[Total hours]]*tbl_TitusWeld[[#This Row],[% Complete]]</f>
        <v>#VALUE!</v>
      </c>
      <c r="M33" s="59" t="str">
        <f>IFERROR(tbl_TitusWeld[[#This Row],[Qty Complete]]/tbl_TitusWeld[[#This Row],[Total Hours Act]]*tbl_TitusWeld[[#This Row],['# of men Act]],"")</f>
        <v/>
      </c>
      <c r="O33"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33" s="71" t="str">
        <f>IFERROR((tbl_TitusWeld[[#This Row],[Adj. Total Hours]]+tbl_TitusWeld[[#This Row],[Est. Hours]])/(tbl_TitusWeld[[#This Row],[Total Hours Act]]+tbl_TitusWeld[[#This Row],[Act. Hours]]),"")</f>
        <v/>
      </c>
      <c r="S33" s="63"/>
      <c r="T33" s="63"/>
      <c r="U33" s="63"/>
      <c r="V33" s="63"/>
      <c r="W33" s="63"/>
      <c r="X33" s="63"/>
    </row>
    <row r="34" spans="6:24" ht="25" customHeight="1">
      <c r="F34" s="53"/>
      <c r="H34" s="55" t="e">
        <f>tbl_TitusWeld[[#This Row],[Qty Complete]]/tbl_TitusWeld[[#This Row],[Qty Required]]</f>
        <v>#DIV/0!</v>
      </c>
      <c r="K34" s="57" t="str">
        <f>IFERROR(tbl_TitusWeld[[#This Row],[Qty Required]]/tbl_TitusWeld[[#This Row],[PPH]]*tbl_TitusWeld[[#This Row],['# of men]],"")</f>
        <v/>
      </c>
      <c r="L34" s="58" t="e">
        <f>tbl_TitusWeld[[#This Row],[Total hours]]*tbl_TitusWeld[[#This Row],[% Complete]]</f>
        <v>#VALUE!</v>
      </c>
      <c r="M34" s="59" t="str">
        <f>IFERROR(tbl_TitusWeld[[#This Row],[Qty Complete]]/tbl_TitusWeld[[#This Row],[Total Hours Act]]*tbl_TitusWeld[[#This Row],['# of men Act]],"")</f>
        <v/>
      </c>
      <c r="O34"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34" s="71" t="str">
        <f>IFERROR((tbl_TitusWeld[[#This Row],[Adj. Total Hours]]+tbl_TitusWeld[[#This Row],[Est. Hours]])/(tbl_TitusWeld[[#This Row],[Total Hours Act]]+tbl_TitusWeld[[#This Row],[Act. Hours]]),"")</f>
        <v/>
      </c>
      <c r="S34" s="63"/>
      <c r="T34" s="63"/>
      <c r="U34" s="63"/>
      <c r="V34" s="63"/>
      <c r="W34" s="63"/>
      <c r="X34" s="63"/>
    </row>
    <row r="35" spans="6:24" ht="25" customHeight="1">
      <c r="F35" s="53"/>
      <c r="H35" s="55" t="e">
        <f>tbl_TitusWeld[[#This Row],[Qty Complete]]/tbl_TitusWeld[[#This Row],[Qty Required]]</f>
        <v>#DIV/0!</v>
      </c>
      <c r="K35" s="57" t="str">
        <f>IFERROR(tbl_TitusWeld[[#This Row],[Qty Required]]/tbl_TitusWeld[[#This Row],[PPH]]*tbl_TitusWeld[[#This Row],['# of men]],"")</f>
        <v/>
      </c>
      <c r="L35" s="58" t="e">
        <f>tbl_TitusWeld[[#This Row],[Total hours]]*tbl_TitusWeld[[#This Row],[% Complete]]</f>
        <v>#VALUE!</v>
      </c>
      <c r="M35" s="59" t="str">
        <f>IFERROR(tbl_TitusWeld[[#This Row],[Qty Complete]]/tbl_TitusWeld[[#This Row],[Total Hours Act]]*tbl_TitusWeld[[#This Row],['# of men Act]],"")</f>
        <v/>
      </c>
      <c r="O35"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35" s="71" t="str">
        <f>IFERROR((tbl_TitusWeld[[#This Row],[Adj. Total Hours]]+tbl_TitusWeld[[#This Row],[Est. Hours]])/(tbl_TitusWeld[[#This Row],[Total Hours Act]]+tbl_TitusWeld[[#This Row],[Act. Hours]]),"")</f>
        <v/>
      </c>
      <c r="S35" s="63"/>
      <c r="T35" s="63"/>
      <c r="U35" s="63"/>
      <c r="V35" s="63"/>
      <c r="W35" s="63"/>
      <c r="X35" s="63"/>
    </row>
    <row r="36" spans="6:24" ht="25" customHeight="1">
      <c r="F36" s="53"/>
      <c r="H36" s="55" t="e">
        <f>tbl_TitusWeld[[#This Row],[Qty Complete]]/tbl_TitusWeld[[#This Row],[Qty Required]]</f>
        <v>#DIV/0!</v>
      </c>
      <c r="K36" s="57" t="str">
        <f>IFERROR(tbl_TitusWeld[[#This Row],[Qty Required]]/tbl_TitusWeld[[#This Row],[PPH]]*tbl_TitusWeld[[#This Row],['# of men]],"")</f>
        <v/>
      </c>
      <c r="L36" s="58" t="e">
        <f>tbl_TitusWeld[[#This Row],[Total hours]]*tbl_TitusWeld[[#This Row],[% Complete]]</f>
        <v>#VALUE!</v>
      </c>
      <c r="M36" s="59" t="str">
        <f>IFERROR(tbl_TitusWeld[[#This Row],[Qty Complete]]/tbl_TitusWeld[[#This Row],[Total Hours Act]]*tbl_TitusWeld[[#This Row],['# of men Act]],"")</f>
        <v/>
      </c>
      <c r="O36"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36" s="71" t="str">
        <f>IFERROR((tbl_TitusWeld[[#This Row],[Adj. Total Hours]]+tbl_TitusWeld[[#This Row],[Est. Hours]])/(tbl_TitusWeld[[#This Row],[Total Hours Act]]+tbl_TitusWeld[[#This Row],[Act. Hours]]),"")</f>
        <v/>
      </c>
      <c r="S36" s="63"/>
      <c r="T36" s="63"/>
      <c r="U36" s="63"/>
      <c r="V36" s="63"/>
      <c r="W36" s="63"/>
      <c r="X36" s="63"/>
    </row>
    <row r="37" spans="6:24" ht="25" customHeight="1">
      <c r="F37" s="53"/>
      <c r="H37" s="55" t="e">
        <f>tbl_TitusWeld[[#This Row],[Qty Complete]]/tbl_TitusWeld[[#This Row],[Qty Required]]</f>
        <v>#DIV/0!</v>
      </c>
      <c r="K37" s="57" t="str">
        <f>IFERROR(tbl_TitusWeld[[#This Row],[Qty Required]]/tbl_TitusWeld[[#This Row],[PPH]]*tbl_TitusWeld[[#This Row],['# of men]],"")</f>
        <v/>
      </c>
      <c r="L37" s="58" t="e">
        <f>tbl_TitusWeld[[#This Row],[Total hours]]*tbl_TitusWeld[[#This Row],[% Complete]]</f>
        <v>#VALUE!</v>
      </c>
      <c r="M37" s="59" t="str">
        <f>IFERROR(tbl_TitusWeld[[#This Row],[Qty Complete]]/tbl_TitusWeld[[#This Row],[Total Hours Act]]*tbl_TitusWeld[[#This Row],['# of men Act]],"")</f>
        <v/>
      </c>
      <c r="O37"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37" s="71" t="str">
        <f>IFERROR((tbl_TitusWeld[[#This Row],[Adj. Total Hours]]+tbl_TitusWeld[[#This Row],[Est. Hours]])/(tbl_TitusWeld[[#This Row],[Total Hours Act]]+tbl_TitusWeld[[#This Row],[Act. Hours]]),"")</f>
        <v/>
      </c>
      <c r="S37" s="63"/>
      <c r="T37" s="63"/>
      <c r="U37" s="63"/>
      <c r="V37" s="63"/>
      <c r="W37" s="63"/>
      <c r="X37" s="63"/>
    </row>
    <row r="38" spans="6:24" ht="25" customHeight="1">
      <c r="F38" s="53"/>
      <c r="H38" s="55" t="e">
        <f>tbl_TitusWeld[[#This Row],[Qty Complete]]/tbl_TitusWeld[[#This Row],[Qty Required]]</f>
        <v>#DIV/0!</v>
      </c>
      <c r="K38" s="57" t="str">
        <f>IFERROR(tbl_TitusWeld[[#This Row],[Qty Required]]/tbl_TitusWeld[[#This Row],[PPH]]*tbl_TitusWeld[[#This Row],['# of men]],"")</f>
        <v/>
      </c>
      <c r="L38" s="58" t="e">
        <f>tbl_TitusWeld[[#This Row],[Total hours]]*tbl_TitusWeld[[#This Row],[% Complete]]</f>
        <v>#VALUE!</v>
      </c>
      <c r="M38" s="59" t="str">
        <f>IFERROR(tbl_TitusWeld[[#This Row],[Qty Complete]]/tbl_TitusWeld[[#This Row],[Total Hours Act]]*tbl_TitusWeld[[#This Row],['# of men Act]],"")</f>
        <v/>
      </c>
      <c r="O38"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38" s="71" t="str">
        <f>IFERROR((tbl_TitusWeld[[#This Row],[Adj. Total Hours]]+tbl_TitusWeld[[#This Row],[Est. Hours]])/(tbl_TitusWeld[[#This Row],[Total Hours Act]]+tbl_TitusWeld[[#This Row],[Act. Hours]]),"")</f>
        <v/>
      </c>
      <c r="S38" s="63"/>
      <c r="T38" s="63"/>
      <c r="U38" s="63"/>
      <c r="V38" s="63"/>
      <c r="W38" s="63"/>
      <c r="X38" s="63"/>
    </row>
    <row r="39" spans="6:24" ht="25" customHeight="1">
      <c r="F39" s="53"/>
      <c r="H39" s="55" t="e">
        <f>tbl_TitusWeld[[#This Row],[Qty Complete]]/tbl_TitusWeld[[#This Row],[Qty Required]]</f>
        <v>#DIV/0!</v>
      </c>
      <c r="K39" s="57" t="str">
        <f>IFERROR(tbl_TitusWeld[[#This Row],[Qty Required]]/tbl_TitusWeld[[#This Row],[PPH]]*tbl_TitusWeld[[#This Row],['# of men]],"")</f>
        <v/>
      </c>
      <c r="L39" s="58" t="e">
        <f>tbl_TitusWeld[[#This Row],[Total hours]]*tbl_TitusWeld[[#This Row],[% Complete]]</f>
        <v>#VALUE!</v>
      </c>
      <c r="M39" s="59" t="str">
        <f>IFERROR(tbl_TitusWeld[[#This Row],[Qty Complete]]/tbl_TitusWeld[[#This Row],[Total Hours Act]]*tbl_TitusWeld[[#This Row],['# of men Act]],"")</f>
        <v/>
      </c>
      <c r="O39"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39" s="71" t="str">
        <f>IFERROR((tbl_TitusWeld[[#This Row],[Adj. Total Hours]]+tbl_TitusWeld[[#This Row],[Est. Hours]])/(tbl_TitusWeld[[#This Row],[Total Hours Act]]+tbl_TitusWeld[[#This Row],[Act. Hours]]),"")</f>
        <v/>
      </c>
      <c r="S39" s="63"/>
      <c r="T39" s="63"/>
      <c r="U39" s="63"/>
      <c r="V39" s="63"/>
      <c r="W39" s="63"/>
      <c r="X39" s="63"/>
    </row>
    <row r="40" spans="6:24" ht="25" customHeight="1">
      <c r="F40" s="53"/>
      <c r="H40" s="55" t="e">
        <f>tbl_TitusWeld[[#This Row],[Qty Complete]]/tbl_TitusWeld[[#This Row],[Qty Required]]</f>
        <v>#DIV/0!</v>
      </c>
      <c r="K40" s="57" t="str">
        <f>IFERROR(tbl_TitusWeld[[#This Row],[Qty Required]]/tbl_TitusWeld[[#This Row],[PPH]]*tbl_TitusWeld[[#This Row],['# of men]],"")</f>
        <v/>
      </c>
      <c r="L40" s="58" t="e">
        <f>tbl_TitusWeld[[#This Row],[Total hours]]*tbl_TitusWeld[[#This Row],[% Complete]]</f>
        <v>#VALUE!</v>
      </c>
      <c r="M40" s="59" t="str">
        <f>IFERROR(tbl_TitusWeld[[#This Row],[Qty Complete]]/tbl_TitusWeld[[#This Row],[Total Hours Act]]*tbl_TitusWeld[[#This Row],['# of men Act]],"")</f>
        <v/>
      </c>
      <c r="O40"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40" s="71" t="str">
        <f>IFERROR((tbl_TitusWeld[[#This Row],[Adj. Total Hours]]+tbl_TitusWeld[[#This Row],[Est. Hours]])/(tbl_TitusWeld[[#This Row],[Total Hours Act]]+tbl_TitusWeld[[#This Row],[Act. Hours]]),"")</f>
        <v/>
      </c>
      <c r="S40" s="63"/>
      <c r="T40" s="63"/>
      <c r="U40" s="63"/>
      <c r="V40" s="63"/>
      <c r="W40" s="63"/>
      <c r="X40" s="63"/>
    </row>
    <row r="41" spans="6:24" ht="25" customHeight="1">
      <c r="F41" s="53"/>
      <c r="H41" s="55" t="e">
        <f>tbl_TitusWeld[[#This Row],[Qty Complete]]/tbl_TitusWeld[[#This Row],[Qty Required]]</f>
        <v>#DIV/0!</v>
      </c>
      <c r="K41" s="57" t="str">
        <f>IFERROR(tbl_TitusWeld[[#This Row],[Qty Required]]/tbl_TitusWeld[[#This Row],[PPH]]*tbl_TitusWeld[[#This Row],['# of men]],"")</f>
        <v/>
      </c>
      <c r="L41" s="58" t="e">
        <f>tbl_TitusWeld[[#This Row],[Total hours]]*tbl_TitusWeld[[#This Row],[% Complete]]</f>
        <v>#VALUE!</v>
      </c>
      <c r="M41" s="59" t="str">
        <f>IFERROR(tbl_TitusWeld[[#This Row],[Qty Complete]]/tbl_TitusWeld[[#This Row],[Total Hours Act]]*tbl_TitusWeld[[#This Row],['# of men Act]],"")</f>
        <v/>
      </c>
      <c r="O41"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41" s="71" t="str">
        <f>IFERROR((tbl_TitusWeld[[#This Row],[Adj. Total Hours]]+tbl_TitusWeld[[#This Row],[Est. Hours]])/(tbl_TitusWeld[[#This Row],[Total Hours Act]]+tbl_TitusWeld[[#This Row],[Act. Hours]]),"")</f>
        <v/>
      </c>
      <c r="S41" s="63"/>
      <c r="T41" s="63"/>
      <c r="U41" s="63"/>
      <c r="V41" s="63"/>
      <c r="W41" s="63"/>
      <c r="X41" s="63"/>
    </row>
    <row r="42" spans="6:24" ht="25" customHeight="1">
      <c r="F42" s="53"/>
      <c r="H42" s="55" t="e">
        <f>tbl_TitusWeld[[#This Row],[Qty Complete]]/tbl_TitusWeld[[#This Row],[Qty Required]]</f>
        <v>#DIV/0!</v>
      </c>
      <c r="K42" s="57" t="str">
        <f>IFERROR(tbl_TitusWeld[[#This Row],[Qty Required]]/tbl_TitusWeld[[#This Row],[PPH]]*tbl_TitusWeld[[#This Row],['# of men]],"")</f>
        <v/>
      </c>
      <c r="L42" s="58" t="e">
        <f>tbl_TitusWeld[[#This Row],[Total hours]]*tbl_TitusWeld[[#This Row],[% Complete]]</f>
        <v>#VALUE!</v>
      </c>
      <c r="M42" s="59" t="str">
        <f>IFERROR(tbl_TitusWeld[[#This Row],[Qty Complete]]/tbl_TitusWeld[[#This Row],[Total Hours Act]]*tbl_TitusWeld[[#This Row],['# of men Act]],"")</f>
        <v/>
      </c>
      <c r="O42"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42" s="71" t="str">
        <f>IFERROR((tbl_TitusWeld[[#This Row],[Adj. Total Hours]]+tbl_TitusWeld[[#This Row],[Est. Hours]])/(tbl_TitusWeld[[#This Row],[Total Hours Act]]+tbl_TitusWeld[[#This Row],[Act. Hours]]),"")</f>
        <v/>
      </c>
      <c r="S42" s="63"/>
      <c r="T42" s="63"/>
      <c r="U42" s="63"/>
      <c r="V42" s="63"/>
      <c r="W42" s="63"/>
      <c r="X42" s="63"/>
    </row>
    <row r="43" spans="6:24" ht="25" customHeight="1">
      <c r="F43" s="53"/>
      <c r="H43" s="55" t="e">
        <f>tbl_TitusWeld[[#This Row],[Qty Complete]]/tbl_TitusWeld[[#This Row],[Qty Required]]</f>
        <v>#DIV/0!</v>
      </c>
      <c r="K43" s="57" t="str">
        <f>IFERROR(tbl_TitusWeld[[#This Row],[Qty Required]]/tbl_TitusWeld[[#This Row],[PPH]]*tbl_TitusWeld[[#This Row],['# of men]],"")</f>
        <v/>
      </c>
      <c r="L43" s="58" t="e">
        <f>tbl_TitusWeld[[#This Row],[Total hours]]*tbl_TitusWeld[[#This Row],[% Complete]]</f>
        <v>#VALUE!</v>
      </c>
      <c r="M43" s="59" t="str">
        <f>IFERROR(tbl_TitusWeld[[#This Row],[Qty Complete]]/tbl_TitusWeld[[#This Row],[Total Hours Act]]*tbl_TitusWeld[[#This Row],['# of men Act]],"")</f>
        <v/>
      </c>
      <c r="O43"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43" s="71" t="str">
        <f>IFERROR((tbl_TitusWeld[[#This Row],[Adj. Total Hours]]+tbl_TitusWeld[[#This Row],[Est. Hours]])/(tbl_TitusWeld[[#This Row],[Total Hours Act]]+tbl_TitusWeld[[#This Row],[Act. Hours]]),"")</f>
        <v/>
      </c>
      <c r="S43" s="63"/>
      <c r="T43" s="63"/>
      <c r="U43" s="63"/>
      <c r="V43" s="63"/>
      <c r="W43" s="63"/>
      <c r="X43" s="63"/>
    </row>
    <row r="44" spans="6:24" ht="25" customHeight="1">
      <c r="F44" s="53"/>
      <c r="H44" s="55" t="e">
        <f>tbl_TitusWeld[[#This Row],[Qty Complete]]/tbl_TitusWeld[[#This Row],[Qty Required]]</f>
        <v>#DIV/0!</v>
      </c>
      <c r="K44" s="57" t="str">
        <f>IFERROR(tbl_TitusWeld[[#This Row],[Qty Required]]/tbl_TitusWeld[[#This Row],[PPH]]*tbl_TitusWeld[[#This Row],['# of men]],"")</f>
        <v/>
      </c>
      <c r="L44" s="58" t="e">
        <f>tbl_TitusWeld[[#This Row],[Total hours]]*tbl_TitusWeld[[#This Row],[% Complete]]</f>
        <v>#VALUE!</v>
      </c>
      <c r="M44" s="59" t="str">
        <f>IFERROR(tbl_TitusWeld[[#This Row],[Qty Complete]]/tbl_TitusWeld[[#This Row],[Total Hours Act]]*tbl_TitusWeld[[#This Row],['# of men Act]],"")</f>
        <v/>
      </c>
      <c r="O44"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44" s="71" t="str">
        <f>IFERROR((tbl_TitusWeld[[#This Row],[Adj. Total Hours]]+tbl_TitusWeld[[#This Row],[Est. Hours]])/(tbl_TitusWeld[[#This Row],[Total Hours Act]]+tbl_TitusWeld[[#This Row],[Act. Hours]]),"")</f>
        <v/>
      </c>
      <c r="S44" s="63"/>
      <c r="T44" s="63"/>
      <c r="U44" s="63"/>
      <c r="V44" s="63"/>
      <c r="W44" s="63"/>
      <c r="X44" s="63"/>
    </row>
    <row r="45" spans="6:24" ht="25" customHeight="1">
      <c r="F45" s="53"/>
      <c r="H45" s="55" t="e">
        <f>tbl_TitusWeld[[#This Row],[Qty Complete]]/tbl_TitusWeld[[#This Row],[Qty Required]]</f>
        <v>#DIV/0!</v>
      </c>
      <c r="K45" s="57" t="str">
        <f>IFERROR(tbl_TitusWeld[[#This Row],[Qty Required]]/tbl_TitusWeld[[#This Row],[PPH]]*tbl_TitusWeld[[#This Row],['# of men]],"")</f>
        <v/>
      </c>
      <c r="L45" s="58" t="e">
        <f>tbl_TitusWeld[[#This Row],[Total hours]]*tbl_TitusWeld[[#This Row],[% Complete]]</f>
        <v>#VALUE!</v>
      </c>
      <c r="M45" s="59" t="str">
        <f>IFERROR(tbl_TitusWeld[[#This Row],[Qty Complete]]/tbl_TitusWeld[[#This Row],[Total Hours Act]]*tbl_TitusWeld[[#This Row],['# of men Act]],"")</f>
        <v/>
      </c>
      <c r="O45"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45" s="71" t="str">
        <f>IFERROR((tbl_TitusWeld[[#This Row],[Adj. Total Hours]]+tbl_TitusWeld[[#This Row],[Est. Hours]])/(tbl_TitusWeld[[#This Row],[Total Hours Act]]+tbl_TitusWeld[[#This Row],[Act. Hours]]),"")</f>
        <v/>
      </c>
      <c r="S45" s="63"/>
      <c r="T45" s="63"/>
      <c r="U45" s="63"/>
      <c r="V45" s="63"/>
      <c r="W45" s="63"/>
      <c r="X45" s="63"/>
    </row>
    <row r="46" spans="6:24" ht="25" customHeight="1">
      <c r="F46" s="53"/>
      <c r="H46" s="55" t="e">
        <f>tbl_TitusWeld[[#This Row],[Qty Complete]]/tbl_TitusWeld[[#This Row],[Qty Required]]</f>
        <v>#DIV/0!</v>
      </c>
      <c r="K46" s="57" t="str">
        <f>IFERROR(tbl_TitusWeld[[#This Row],[Qty Required]]/tbl_TitusWeld[[#This Row],[PPH]]*tbl_TitusWeld[[#This Row],['# of men]],"")</f>
        <v/>
      </c>
      <c r="L46" s="58" t="e">
        <f>tbl_TitusWeld[[#This Row],[Total hours]]*tbl_TitusWeld[[#This Row],[% Complete]]</f>
        <v>#VALUE!</v>
      </c>
      <c r="M46" s="59" t="str">
        <f>IFERROR(tbl_TitusWeld[[#This Row],[Qty Complete]]/tbl_TitusWeld[[#This Row],[Total Hours Act]]*tbl_TitusWeld[[#This Row],['# of men Act]],"")</f>
        <v/>
      </c>
      <c r="O46"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46" s="71" t="str">
        <f>IFERROR((tbl_TitusWeld[[#This Row],[Adj. Total Hours]]+tbl_TitusWeld[[#This Row],[Est. Hours]])/(tbl_TitusWeld[[#This Row],[Total Hours Act]]+tbl_TitusWeld[[#This Row],[Act. Hours]]),"")</f>
        <v/>
      </c>
      <c r="S46" s="63"/>
      <c r="T46" s="63"/>
      <c r="U46" s="63"/>
      <c r="V46" s="63"/>
      <c r="W46" s="63"/>
      <c r="X46" s="63"/>
    </row>
    <row r="47" spans="6:24" ht="25" customHeight="1">
      <c r="F47" s="53"/>
      <c r="H47" s="55" t="e">
        <f>tbl_TitusWeld[[#This Row],[Qty Complete]]/tbl_TitusWeld[[#This Row],[Qty Required]]</f>
        <v>#DIV/0!</v>
      </c>
      <c r="K47" s="57" t="str">
        <f>IFERROR(tbl_TitusWeld[[#This Row],[Qty Required]]/tbl_TitusWeld[[#This Row],[PPH]]*tbl_TitusWeld[[#This Row],['# of men]],"")</f>
        <v/>
      </c>
      <c r="L47" s="58" t="e">
        <f>tbl_TitusWeld[[#This Row],[Total hours]]*tbl_TitusWeld[[#This Row],[% Complete]]</f>
        <v>#VALUE!</v>
      </c>
      <c r="M47" s="59" t="str">
        <f>IFERROR(tbl_TitusWeld[[#This Row],[Qty Complete]]/tbl_TitusWeld[[#This Row],[Total Hours Act]]*tbl_TitusWeld[[#This Row],['# of men Act]],"")</f>
        <v/>
      </c>
      <c r="O47"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47" s="71" t="str">
        <f>IFERROR((tbl_TitusWeld[[#This Row],[Adj. Total Hours]]+tbl_TitusWeld[[#This Row],[Est. Hours]])/(tbl_TitusWeld[[#This Row],[Total Hours Act]]+tbl_TitusWeld[[#This Row],[Act. Hours]]),"")</f>
        <v/>
      </c>
      <c r="S47" s="63"/>
      <c r="T47" s="63"/>
      <c r="U47" s="63"/>
      <c r="V47" s="63"/>
      <c r="W47" s="63"/>
      <c r="X47" s="63"/>
    </row>
    <row r="48" spans="6:24" ht="25" customHeight="1">
      <c r="F48" s="53"/>
      <c r="H48" s="55" t="e">
        <f>tbl_TitusWeld[[#This Row],[Qty Complete]]/tbl_TitusWeld[[#This Row],[Qty Required]]</f>
        <v>#DIV/0!</v>
      </c>
      <c r="K48" s="57" t="str">
        <f>IFERROR(tbl_TitusWeld[[#This Row],[Qty Required]]/tbl_TitusWeld[[#This Row],[PPH]]*tbl_TitusWeld[[#This Row],['# of men]],"")</f>
        <v/>
      </c>
      <c r="L48" s="58" t="e">
        <f>tbl_TitusWeld[[#This Row],[Total hours]]*tbl_TitusWeld[[#This Row],[% Complete]]</f>
        <v>#VALUE!</v>
      </c>
      <c r="M48" s="59" t="str">
        <f>IFERROR(tbl_TitusWeld[[#This Row],[Qty Complete]]/tbl_TitusWeld[[#This Row],[Total Hours Act]]*tbl_TitusWeld[[#This Row],['# of men Act]],"")</f>
        <v/>
      </c>
      <c r="O48"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48" s="71" t="str">
        <f>IFERROR((tbl_TitusWeld[[#This Row],[Adj. Total Hours]]+tbl_TitusWeld[[#This Row],[Est. Hours]])/(tbl_TitusWeld[[#This Row],[Total Hours Act]]+tbl_TitusWeld[[#This Row],[Act. Hours]]),"")</f>
        <v/>
      </c>
      <c r="S48" s="63"/>
      <c r="T48" s="63"/>
      <c r="U48" s="63"/>
      <c r="V48" s="63"/>
      <c r="W48" s="63"/>
      <c r="X48" s="63"/>
    </row>
    <row r="49" spans="6:24" ht="25" customHeight="1">
      <c r="F49" s="53"/>
      <c r="H49" s="55" t="e">
        <f>tbl_TitusWeld[[#This Row],[Qty Complete]]/tbl_TitusWeld[[#This Row],[Qty Required]]</f>
        <v>#DIV/0!</v>
      </c>
      <c r="K49" s="57" t="str">
        <f>IFERROR(tbl_TitusWeld[[#This Row],[Qty Required]]/tbl_TitusWeld[[#This Row],[PPH]]*tbl_TitusWeld[[#This Row],['# of men]],"")</f>
        <v/>
      </c>
      <c r="L49" s="58" t="e">
        <f>tbl_TitusWeld[[#This Row],[Total hours]]*tbl_TitusWeld[[#This Row],[% Complete]]</f>
        <v>#VALUE!</v>
      </c>
      <c r="M49" s="59" t="str">
        <f>IFERROR(tbl_TitusWeld[[#This Row],[Qty Complete]]/tbl_TitusWeld[[#This Row],[Total Hours Act]]*tbl_TitusWeld[[#This Row],['# of men Act]],"")</f>
        <v/>
      </c>
      <c r="O49"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49" s="71" t="str">
        <f>IFERROR((tbl_TitusWeld[[#This Row],[Adj. Total Hours]]+tbl_TitusWeld[[#This Row],[Est. Hours]])/(tbl_TitusWeld[[#This Row],[Total Hours Act]]+tbl_TitusWeld[[#This Row],[Act. Hours]]),"")</f>
        <v/>
      </c>
      <c r="S49" s="63"/>
      <c r="T49" s="63"/>
      <c r="U49" s="63"/>
      <c r="V49" s="63"/>
      <c r="W49" s="63"/>
      <c r="X49" s="63"/>
    </row>
    <row r="50" spans="6:24" ht="25" customHeight="1">
      <c r="F50" s="53"/>
      <c r="H50" s="55" t="e">
        <f>tbl_TitusWeld[[#This Row],[Qty Complete]]/tbl_TitusWeld[[#This Row],[Qty Required]]</f>
        <v>#DIV/0!</v>
      </c>
      <c r="K50" s="57" t="str">
        <f>IFERROR(tbl_TitusWeld[[#This Row],[Qty Required]]/tbl_TitusWeld[[#This Row],[PPH]]*tbl_TitusWeld[[#This Row],['# of men]],"")</f>
        <v/>
      </c>
      <c r="L50" s="58" t="e">
        <f>tbl_TitusWeld[[#This Row],[Total hours]]*tbl_TitusWeld[[#This Row],[% Complete]]</f>
        <v>#VALUE!</v>
      </c>
      <c r="M50" s="59" t="str">
        <f>IFERROR(tbl_TitusWeld[[#This Row],[Qty Complete]]/tbl_TitusWeld[[#This Row],[Total Hours Act]]*tbl_TitusWeld[[#This Row],['# of men Act]],"")</f>
        <v/>
      </c>
      <c r="O50"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50" s="71" t="str">
        <f>IFERROR((tbl_TitusWeld[[#This Row],[Adj. Total Hours]]+tbl_TitusWeld[[#This Row],[Est. Hours]])/(tbl_TitusWeld[[#This Row],[Total Hours Act]]+tbl_TitusWeld[[#This Row],[Act. Hours]]),"")</f>
        <v/>
      </c>
      <c r="S50" s="63"/>
      <c r="T50" s="63"/>
      <c r="U50" s="63"/>
      <c r="V50" s="63"/>
      <c r="W50" s="63"/>
      <c r="X50" s="63"/>
    </row>
    <row r="51" spans="6:24" ht="25" customHeight="1">
      <c r="F51" s="53"/>
      <c r="H51" s="55" t="e">
        <f>tbl_TitusWeld[[#This Row],[Qty Complete]]/tbl_TitusWeld[[#This Row],[Qty Required]]</f>
        <v>#DIV/0!</v>
      </c>
      <c r="K51" s="57" t="str">
        <f>IFERROR(tbl_TitusWeld[[#This Row],[Qty Required]]/tbl_TitusWeld[[#This Row],[PPH]]*tbl_TitusWeld[[#This Row],['# of men]],"")</f>
        <v/>
      </c>
      <c r="L51" s="58" t="e">
        <f>tbl_TitusWeld[[#This Row],[Total hours]]*tbl_TitusWeld[[#This Row],[% Complete]]</f>
        <v>#VALUE!</v>
      </c>
      <c r="M51" s="59" t="str">
        <f>IFERROR(tbl_TitusWeld[[#This Row],[Qty Complete]]/tbl_TitusWeld[[#This Row],[Total Hours Act]]*tbl_TitusWeld[[#This Row],['# of men Act]],"")</f>
        <v/>
      </c>
      <c r="O51"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51" s="71" t="str">
        <f>IFERROR((tbl_TitusWeld[[#This Row],[Adj. Total Hours]]+tbl_TitusWeld[[#This Row],[Est. Hours]])/(tbl_TitusWeld[[#This Row],[Total Hours Act]]+tbl_TitusWeld[[#This Row],[Act. Hours]]),"")</f>
        <v/>
      </c>
      <c r="S51" s="63"/>
      <c r="T51" s="63"/>
      <c r="U51" s="63"/>
      <c r="V51" s="63"/>
      <c r="W51" s="63"/>
      <c r="X51" s="63"/>
    </row>
    <row r="52" spans="6:24" ht="25" customHeight="1">
      <c r="F52" s="53"/>
      <c r="H52" s="55" t="e">
        <f>tbl_TitusWeld[[#This Row],[Qty Complete]]/tbl_TitusWeld[[#This Row],[Qty Required]]</f>
        <v>#DIV/0!</v>
      </c>
      <c r="K52" s="57" t="str">
        <f>IFERROR(tbl_TitusWeld[[#This Row],[Qty Required]]/tbl_TitusWeld[[#This Row],[PPH]]*tbl_TitusWeld[[#This Row],['# of men]],"")</f>
        <v/>
      </c>
      <c r="L52" s="58" t="e">
        <f>tbl_TitusWeld[[#This Row],[Total hours]]*tbl_TitusWeld[[#This Row],[% Complete]]</f>
        <v>#VALUE!</v>
      </c>
      <c r="M52" s="59" t="str">
        <f>IFERROR(tbl_TitusWeld[[#This Row],[Qty Complete]]/tbl_TitusWeld[[#This Row],[Total Hours Act]]*tbl_TitusWeld[[#This Row],['# of men Act]],"")</f>
        <v/>
      </c>
      <c r="O52"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52" s="71" t="str">
        <f>IFERROR((tbl_TitusWeld[[#This Row],[Adj. Total Hours]]+tbl_TitusWeld[[#This Row],[Est. Hours]])/(tbl_TitusWeld[[#This Row],[Total Hours Act]]+tbl_TitusWeld[[#This Row],[Act. Hours]]),"")</f>
        <v/>
      </c>
      <c r="S52" s="63"/>
      <c r="T52" s="63"/>
      <c r="U52" s="63"/>
      <c r="V52" s="63"/>
      <c r="W52" s="63"/>
      <c r="X52" s="63"/>
    </row>
    <row r="53" spans="6:24" ht="25" customHeight="1">
      <c r="F53" s="53"/>
      <c r="H53" s="55" t="e">
        <f>tbl_TitusWeld[[#This Row],[Qty Complete]]/tbl_TitusWeld[[#This Row],[Qty Required]]</f>
        <v>#DIV/0!</v>
      </c>
      <c r="K53" s="57" t="str">
        <f>IFERROR(tbl_TitusWeld[[#This Row],[Qty Required]]/tbl_TitusWeld[[#This Row],[PPH]]*tbl_TitusWeld[[#This Row],['# of men]],"")</f>
        <v/>
      </c>
      <c r="L53" s="58" t="e">
        <f>tbl_TitusWeld[[#This Row],[Total hours]]*tbl_TitusWeld[[#This Row],[% Complete]]</f>
        <v>#VALUE!</v>
      </c>
      <c r="M53" s="59" t="str">
        <f>IFERROR(tbl_TitusWeld[[#This Row],[Qty Complete]]/tbl_TitusWeld[[#This Row],[Total Hours Act]]*tbl_TitusWeld[[#This Row],['# of men Act]],"")</f>
        <v/>
      </c>
      <c r="O53"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53" s="71" t="str">
        <f>IFERROR((tbl_TitusWeld[[#This Row],[Adj. Total Hours]]+tbl_TitusWeld[[#This Row],[Est. Hours]])/(tbl_TitusWeld[[#This Row],[Total Hours Act]]+tbl_TitusWeld[[#This Row],[Act. Hours]]),"")</f>
        <v/>
      </c>
      <c r="S53" s="63"/>
      <c r="T53" s="63"/>
      <c r="U53" s="63"/>
      <c r="V53" s="63"/>
      <c r="W53" s="63"/>
      <c r="X53" s="63"/>
    </row>
    <row r="54" spans="6:24" ht="25" customHeight="1">
      <c r="F54" s="53"/>
      <c r="H54" s="55" t="e">
        <f>tbl_TitusWeld[[#This Row],[Qty Complete]]/tbl_TitusWeld[[#This Row],[Qty Required]]</f>
        <v>#DIV/0!</v>
      </c>
      <c r="K54" s="57" t="str">
        <f>IFERROR(tbl_TitusWeld[[#This Row],[Qty Required]]/tbl_TitusWeld[[#This Row],[PPH]]*tbl_TitusWeld[[#This Row],['# of men]],"")</f>
        <v/>
      </c>
      <c r="L54" s="58" t="e">
        <f>tbl_TitusWeld[[#This Row],[Total hours]]*tbl_TitusWeld[[#This Row],[% Complete]]</f>
        <v>#VALUE!</v>
      </c>
      <c r="M54" s="59" t="str">
        <f>IFERROR(tbl_TitusWeld[[#This Row],[Qty Complete]]/tbl_TitusWeld[[#This Row],[Total Hours Act]]*tbl_TitusWeld[[#This Row],['# of men Act]],"")</f>
        <v/>
      </c>
      <c r="O54"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54" s="71" t="str">
        <f>IFERROR((tbl_TitusWeld[[#This Row],[Adj. Total Hours]]+tbl_TitusWeld[[#This Row],[Est. Hours]])/(tbl_TitusWeld[[#This Row],[Total Hours Act]]+tbl_TitusWeld[[#This Row],[Act. Hours]]),"")</f>
        <v/>
      </c>
      <c r="S54" s="63"/>
      <c r="T54" s="63"/>
      <c r="U54" s="63"/>
      <c r="V54" s="63"/>
      <c r="W54" s="63"/>
      <c r="X54" s="63"/>
    </row>
    <row r="55" spans="6:24" ht="25" customHeight="1">
      <c r="F55" s="53"/>
      <c r="H55" s="55" t="e">
        <f>tbl_TitusWeld[[#This Row],[Qty Complete]]/tbl_TitusWeld[[#This Row],[Qty Required]]</f>
        <v>#DIV/0!</v>
      </c>
      <c r="K55" s="57" t="str">
        <f>IFERROR(tbl_TitusWeld[[#This Row],[Qty Required]]/tbl_TitusWeld[[#This Row],[PPH]]*tbl_TitusWeld[[#This Row],['# of men]],"")</f>
        <v/>
      </c>
      <c r="L55" s="58" t="e">
        <f>tbl_TitusWeld[[#This Row],[Total hours]]*tbl_TitusWeld[[#This Row],[% Complete]]</f>
        <v>#VALUE!</v>
      </c>
      <c r="M55" s="59" t="str">
        <f>IFERROR(tbl_TitusWeld[[#This Row],[Qty Complete]]/tbl_TitusWeld[[#This Row],[Total Hours Act]]*tbl_TitusWeld[[#This Row],['# of men Act]],"")</f>
        <v/>
      </c>
      <c r="O55"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55" s="71" t="str">
        <f>IFERROR((tbl_TitusWeld[[#This Row],[Adj. Total Hours]]+tbl_TitusWeld[[#This Row],[Est. Hours]])/(tbl_TitusWeld[[#This Row],[Total Hours Act]]+tbl_TitusWeld[[#This Row],[Act. Hours]]),"")</f>
        <v/>
      </c>
      <c r="S55" s="63"/>
      <c r="T55" s="63"/>
      <c r="U55" s="63"/>
      <c r="V55" s="63"/>
      <c r="W55" s="63"/>
      <c r="X55" s="63"/>
    </row>
    <row r="56" spans="6:24" ht="25" customHeight="1">
      <c r="F56" s="53"/>
      <c r="H56" s="55" t="e">
        <f>tbl_TitusWeld[[#This Row],[Qty Complete]]/tbl_TitusWeld[[#This Row],[Qty Required]]</f>
        <v>#DIV/0!</v>
      </c>
      <c r="K56" s="57" t="str">
        <f>IFERROR(tbl_TitusWeld[[#This Row],[Qty Required]]/tbl_TitusWeld[[#This Row],[PPH]]*tbl_TitusWeld[[#This Row],['# of men]],"")</f>
        <v/>
      </c>
      <c r="L56" s="58" t="e">
        <f>tbl_TitusWeld[[#This Row],[Total hours]]*tbl_TitusWeld[[#This Row],[% Complete]]</f>
        <v>#VALUE!</v>
      </c>
      <c r="M56" s="59" t="str">
        <f>IFERROR(tbl_TitusWeld[[#This Row],[Qty Complete]]/tbl_TitusWeld[[#This Row],[Total Hours Act]]*tbl_TitusWeld[[#This Row],['# of men Act]],"")</f>
        <v/>
      </c>
      <c r="O56"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56" s="71" t="str">
        <f>IFERROR((tbl_TitusWeld[[#This Row],[Adj. Total Hours]]+tbl_TitusWeld[[#This Row],[Est. Hours]])/(tbl_TitusWeld[[#This Row],[Total Hours Act]]+tbl_TitusWeld[[#This Row],[Act. Hours]]),"")</f>
        <v/>
      </c>
      <c r="S56" s="63"/>
      <c r="T56" s="63"/>
      <c r="U56" s="63"/>
      <c r="V56" s="63"/>
      <c r="W56" s="63"/>
      <c r="X56" s="63"/>
    </row>
    <row r="57" spans="6:24" ht="25" customHeight="1">
      <c r="F57" s="53"/>
      <c r="H57" s="55" t="e">
        <f>tbl_TitusWeld[[#This Row],[Qty Complete]]/tbl_TitusWeld[[#This Row],[Qty Required]]</f>
        <v>#DIV/0!</v>
      </c>
      <c r="K57" s="57" t="str">
        <f>IFERROR(tbl_TitusWeld[[#This Row],[Qty Required]]/tbl_TitusWeld[[#This Row],[PPH]]*tbl_TitusWeld[[#This Row],['# of men]],"")</f>
        <v/>
      </c>
      <c r="L57" s="58" t="e">
        <f>tbl_TitusWeld[[#This Row],[Total hours]]*tbl_TitusWeld[[#This Row],[% Complete]]</f>
        <v>#VALUE!</v>
      </c>
      <c r="M57" s="59" t="str">
        <f>IFERROR(tbl_TitusWeld[[#This Row],[Qty Complete]]/tbl_TitusWeld[[#This Row],[Total Hours Act]]*tbl_TitusWeld[[#This Row],['# of men Act]],"")</f>
        <v/>
      </c>
      <c r="O57"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57" s="71" t="str">
        <f>IFERROR((tbl_TitusWeld[[#This Row],[Adj. Total Hours]]+tbl_TitusWeld[[#This Row],[Est. Hours]])/(tbl_TitusWeld[[#This Row],[Total Hours Act]]+tbl_TitusWeld[[#This Row],[Act. Hours]]),"")</f>
        <v/>
      </c>
      <c r="S57" s="63"/>
      <c r="T57" s="63"/>
      <c r="U57" s="63"/>
      <c r="V57" s="63"/>
      <c r="W57" s="63"/>
      <c r="X57" s="63"/>
    </row>
    <row r="58" spans="6:24" ht="25" customHeight="1">
      <c r="F58" s="53"/>
      <c r="H58" s="55" t="e">
        <f>tbl_TitusWeld[[#This Row],[Qty Complete]]/tbl_TitusWeld[[#This Row],[Qty Required]]</f>
        <v>#DIV/0!</v>
      </c>
      <c r="K58" s="57" t="str">
        <f>IFERROR(tbl_TitusWeld[[#This Row],[Qty Required]]/tbl_TitusWeld[[#This Row],[PPH]]*tbl_TitusWeld[[#This Row],['# of men]],"")</f>
        <v/>
      </c>
      <c r="L58" s="58" t="e">
        <f>tbl_TitusWeld[[#This Row],[Total hours]]*tbl_TitusWeld[[#This Row],[% Complete]]</f>
        <v>#VALUE!</v>
      </c>
      <c r="M58" s="59" t="str">
        <f>IFERROR(tbl_TitusWeld[[#This Row],[Qty Complete]]/tbl_TitusWeld[[#This Row],[Total Hours Act]]*tbl_TitusWeld[[#This Row],['# of men Act]],"")</f>
        <v/>
      </c>
      <c r="O58"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58" s="71" t="str">
        <f>IFERROR((tbl_TitusWeld[[#This Row],[Adj. Total Hours]]+tbl_TitusWeld[[#This Row],[Est. Hours]])/(tbl_TitusWeld[[#This Row],[Total Hours Act]]+tbl_TitusWeld[[#This Row],[Act. Hours]]),"")</f>
        <v/>
      </c>
      <c r="S58" s="63"/>
      <c r="T58" s="63"/>
      <c r="U58" s="63"/>
      <c r="V58" s="63"/>
      <c r="W58" s="63"/>
      <c r="X58" s="63"/>
    </row>
    <row r="59" spans="6:24" ht="25" customHeight="1">
      <c r="F59" s="53"/>
      <c r="H59" s="55" t="e">
        <f>tbl_TitusWeld[[#This Row],[Qty Complete]]/tbl_TitusWeld[[#This Row],[Qty Required]]</f>
        <v>#DIV/0!</v>
      </c>
      <c r="K59" s="57" t="str">
        <f>IFERROR(tbl_TitusWeld[[#This Row],[Qty Required]]/tbl_TitusWeld[[#This Row],[PPH]]*tbl_TitusWeld[[#This Row],['# of men]],"")</f>
        <v/>
      </c>
      <c r="L59" s="58" t="e">
        <f>tbl_TitusWeld[[#This Row],[Total hours]]*tbl_TitusWeld[[#This Row],[% Complete]]</f>
        <v>#VALUE!</v>
      </c>
      <c r="M59" s="59" t="str">
        <f>IFERROR(tbl_TitusWeld[[#This Row],[Qty Complete]]/tbl_TitusWeld[[#This Row],[Total Hours Act]]*tbl_TitusWeld[[#This Row],['# of men Act]],"")</f>
        <v/>
      </c>
      <c r="O59"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59" s="71" t="str">
        <f>IFERROR((tbl_TitusWeld[[#This Row],[Adj. Total Hours]]+tbl_TitusWeld[[#This Row],[Est. Hours]])/(tbl_TitusWeld[[#This Row],[Total Hours Act]]+tbl_TitusWeld[[#This Row],[Act. Hours]]),"")</f>
        <v/>
      </c>
      <c r="S59" s="63"/>
      <c r="T59" s="63"/>
      <c r="U59" s="63"/>
      <c r="V59" s="63"/>
      <c r="W59" s="63"/>
      <c r="X59" s="63"/>
    </row>
    <row r="60" spans="6:24" ht="25" customHeight="1">
      <c r="F60" s="53"/>
      <c r="H60" s="55" t="e">
        <f>tbl_TitusWeld[[#This Row],[Qty Complete]]/tbl_TitusWeld[[#This Row],[Qty Required]]</f>
        <v>#DIV/0!</v>
      </c>
      <c r="K60" s="57" t="str">
        <f>IFERROR(tbl_TitusWeld[[#This Row],[Qty Required]]/tbl_TitusWeld[[#This Row],[PPH]]*tbl_TitusWeld[[#This Row],['# of men]],"")</f>
        <v/>
      </c>
      <c r="L60" s="58" t="e">
        <f>tbl_TitusWeld[[#This Row],[Total hours]]*tbl_TitusWeld[[#This Row],[% Complete]]</f>
        <v>#VALUE!</v>
      </c>
      <c r="M60" s="59" t="str">
        <f>IFERROR(tbl_TitusWeld[[#This Row],[Qty Complete]]/tbl_TitusWeld[[#This Row],[Total Hours Act]]*tbl_TitusWeld[[#This Row],['# of men Act]],"")</f>
        <v/>
      </c>
      <c r="O60"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60" s="71" t="str">
        <f>IFERROR((tbl_TitusWeld[[#This Row],[Adj. Total Hours]]+tbl_TitusWeld[[#This Row],[Est. Hours]])/(tbl_TitusWeld[[#This Row],[Total Hours Act]]+tbl_TitusWeld[[#This Row],[Act. Hours]]),"")</f>
        <v/>
      </c>
      <c r="S60" s="63"/>
      <c r="T60" s="63"/>
      <c r="U60" s="63"/>
      <c r="V60" s="63"/>
      <c r="W60" s="63"/>
      <c r="X60" s="63"/>
    </row>
    <row r="61" spans="6:24" ht="25" customHeight="1">
      <c r="F61" s="53"/>
      <c r="H61" s="55" t="e">
        <f>tbl_TitusWeld[[#This Row],[Qty Complete]]/tbl_TitusWeld[[#This Row],[Qty Required]]</f>
        <v>#DIV/0!</v>
      </c>
      <c r="K61" s="57" t="str">
        <f>IFERROR(tbl_TitusWeld[[#This Row],[Qty Required]]/tbl_TitusWeld[[#This Row],[PPH]]*tbl_TitusWeld[[#This Row],['# of men]],"")</f>
        <v/>
      </c>
      <c r="L61" s="58" t="e">
        <f>tbl_TitusWeld[[#This Row],[Total hours]]*tbl_TitusWeld[[#This Row],[% Complete]]</f>
        <v>#VALUE!</v>
      </c>
      <c r="M61" s="59" t="str">
        <f>IFERROR(tbl_TitusWeld[[#This Row],[Qty Complete]]/tbl_TitusWeld[[#This Row],[Total Hours Act]]*tbl_TitusWeld[[#This Row],['# of men Act]],"")</f>
        <v/>
      </c>
      <c r="O61"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61" s="71" t="str">
        <f>IFERROR((tbl_TitusWeld[[#This Row],[Adj. Total Hours]]+tbl_TitusWeld[[#This Row],[Est. Hours]])/(tbl_TitusWeld[[#This Row],[Total Hours Act]]+tbl_TitusWeld[[#This Row],[Act. Hours]]),"")</f>
        <v/>
      </c>
      <c r="S61" s="63"/>
      <c r="T61" s="63"/>
      <c r="U61" s="63"/>
      <c r="V61" s="63"/>
      <c r="W61" s="63"/>
      <c r="X61" s="63"/>
    </row>
    <row r="62" spans="6:24" ht="25" customHeight="1">
      <c r="F62" s="53"/>
      <c r="H62" s="55" t="e">
        <f>tbl_TitusWeld[[#This Row],[Qty Complete]]/tbl_TitusWeld[[#This Row],[Qty Required]]</f>
        <v>#DIV/0!</v>
      </c>
      <c r="K62" s="57" t="str">
        <f>IFERROR(tbl_TitusWeld[[#This Row],[Qty Required]]/tbl_TitusWeld[[#This Row],[PPH]]*tbl_TitusWeld[[#This Row],['# of men]],"")</f>
        <v/>
      </c>
      <c r="L62" s="58" t="e">
        <f>tbl_TitusWeld[[#This Row],[Total hours]]*tbl_TitusWeld[[#This Row],[% Complete]]</f>
        <v>#VALUE!</v>
      </c>
      <c r="M62" s="59" t="str">
        <f>IFERROR(tbl_TitusWeld[[#This Row],[Qty Complete]]/tbl_TitusWeld[[#This Row],[Total Hours Act]]*tbl_TitusWeld[[#This Row],['# of men Act]],"")</f>
        <v/>
      </c>
      <c r="O62"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62" s="71" t="str">
        <f>IFERROR((tbl_TitusWeld[[#This Row],[Adj. Total Hours]]+tbl_TitusWeld[[#This Row],[Est. Hours]])/(tbl_TitusWeld[[#This Row],[Total Hours Act]]+tbl_TitusWeld[[#This Row],[Act. Hours]]),"")</f>
        <v/>
      </c>
      <c r="S62" s="63"/>
      <c r="T62" s="63"/>
      <c r="U62" s="63"/>
      <c r="V62" s="63"/>
      <c r="W62" s="63"/>
      <c r="X62" s="63"/>
    </row>
    <row r="63" spans="6:24" ht="25" customHeight="1">
      <c r="F63" s="53"/>
      <c r="H63" s="55" t="e">
        <f>tbl_TitusWeld[[#This Row],[Qty Complete]]/tbl_TitusWeld[[#This Row],[Qty Required]]</f>
        <v>#DIV/0!</v>
      </c>
      <c r="K63" s="57" t="str">
        <f>IFERROR(tbl_TitusWeld[[#This Row],[Qty Required]]/tbl_TitusWeld[[#This Row],[PPH]]*tbl_TitusWeld[[#This Row],['# of men]],"")</f>
        <v/>
      </c>
      <c r="L63" s="58" t="e">
        <f>tbl_TitusWeld[[#This Row],[Total hours]]*tbl_TitusWeld[[#This Row],[% Complete]]</f>
        <v>#VALUE!</v>
      </c>
      <c r="M63" s="59" t="str">
        <f>IFERROR(tbl_TitusWeld[[#This Row],[Qty Complete]]/tbl_TitusWeld[[#This Row],[Total Hours Act]]*tbl_TitusWeld[[#This Row],['# of men Act]],"")</f>
        <v/>
      </c>
      <c r="O63"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63" s="71" t="str">
        <f>IFERROR((tbl_TitusWeld[[#This Row],[Adj. Total Hours]]+tbl_TitusWeld[[#This Row],[Est. Hours]])/(tbl_TitusWeld[[#This Row],[Total Hours Act]]+tbl_TitusWeld[[#This Row],[Act. Hours]]),"")</f>
        <v/>
      </c>
      <c r="S63" s="63"/>
      <c r="T63" s="63"/>
      <c r="U63" s="63"/>
      <c r="V63" s="63"/>
      <c r="W63" s="63"/>
      <c r="X63" s="63"/>
    </row>
    <row r="64" spans="6:24" ht="25" customHeight="1">
      <c r="F64" s="53"/>
      <c r="H64" s="55" t="e">
        <f>tbl_TitusWeld[[#This Row],[Qty Complete]]/tbl_TitusWeld[[#This Row],[Qty Required]]</f>
        <v>#DIV/0!</v>
      </c>
      <c r="K64" s="57" t="str">
        <f>IFERROR(tbl_TitusWeld[[#This Row],[Qty Required]]/tbl_TitusWeld[[#This Row],[PPH]]*tbl_TitusWeld[[#This Row],['# of men]],"")</f>
        <v/>
      </c>
      <c r="L64" s="58" t="e">
        <f>tbl_TitusWeld[[#This Row],[Total hours]]*tbl_TitusWeld[[#This Row],[% Complete]]</f>
        <v>#VALUE!</v>
      </c>
      <c r="M64" s="59" t="str">
        <f>IFERROR(tbl_TitusWeld[[#This Row],[Qty Complete]]/tbl_TitusWeld[[#This Row],[Total Hours Act]]*tbl_TitusWeld[[#This Row],['# of men Act]],"")</f>
        <v/>
      </c>
      <c r="O64"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64" s="71" t="str">
        <f>IFERROR((tbl_TitusWeld[[#This Row],[Adj. Total Hours]]+tbl_TitusWeld[[#This Row],[Est. Hours]])/(tbl_TitusWeld[[#This Row],[Total Hours Act]]+tbl_TitusWeld[[#This Row],[Act. Hours]]),"")</f>
        <v/>
      </c>
      <c r="S64" s="63"/>
      <c r="T64" s="63"/>
      <c r="U64" s="63"/>
      <c r="V64" s="63"/>
      <c r="W64" s="63"/>
      <c r="X64" s="63"/>
    </row>
    <row r="65" spans="6:24" ht="25" customHeight="1">
      <c r="F65" s="53"/>
      <c r="H65" s="55" t="e">
        <f>tbl_TitusWeld[[#This Row],[Qty Complete]]/tbl_TitusWeld[[#This Row],[Qty Required]]</f>
        <v>#DIV/0!</v>
      </c>
      <c r="K65" s="57" t="str">
        <f>IFERROR(tbl_TitusWeld[[#This Row],[Qty Required]]/tbl_TitusWeld[[#This Row],[PPH]]*tbl_TitusWeld[[#This Row],['# of men]],"")</f>
        <v/>
      </c>
      <c r="L65" s="58" t="e">
        <f>tbl_TitusWeld[[#This Row],[Total hours]]*tbl_TitusWeld[[#This Row],[% Complete]]</f>
        <v>#VALUE!</v>
      </c>
      <c r="M65" s="59" t="str">
        <f>IFERROR(tbl_TitusWeld[[#This Row],[Qty Complete]]/tbl_TitusWeld[[#This Row],[Total Hours Act]]*tbl_TitusWeld[[#This Row],['# of men Act]],"")</f>
        <v/>
      </c>
      <c r="O65"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65" s="71" t="str">
        <f>IFERROR((tbl_TitusWeld[[#This Row],[Adj. Total Hours]]+tbl_TitusWeld[[#This Row],[Est. Hours]])/(tbl_TitusWeld[[#This Row],[Total Hours Act]]+tbl_TitusWeld[[#This Row],[Act. Hours]]),"")</f>
        <v/>
      </c>
      <c r="S65" s="63"/>
      <c r="T65" s="63"/>
      <c r="U65" s="63"/>
      <c r="V65" s="63"/>
      <c r="W65" s="63"/>
      <c r="X65" s="63"/>
    </row>
    <row r="66" spans="6:24" ht="25" customHeight="1">
      <c r="F66" s="53"/>
      <c r="H66" s="55" t="e">
        <f>tbl_TitusWeld[[#This Row],[Qty Complete]]/tbl_TitusWeld[[#This Row],[Qty Required]]</f>
        <v>#DIV/0!</v>
      </c>
      <c r="K66" s="57" t="str">
        <f>IFERROR(tbl_TitusWeld[[#This Row],[Qty Required]]/tbl_TitusWeld[[#This Row],[PPH]]*tbl_TitusWeld[[#This Row],['# of men]],"")</f>
        <v/>
      </c>
      <c r="L66" s="58" t="e">
        <f>tbl_TitusWeld[[#This Row],[Total hours]]*tbl_TitusWeld[[#This Row],[% Complete]]</f>
        <v>#VALUE!</v>
      </c>
      <c r="M66" s="59" t="str">
        <f>IFERROR(tbl_TitusWeld[[#This Row],[Qty Complete]]/tbl_TitusWeld[[#This Row],[Total Hours Act]]*tbl_TitusWeld[[#This Row],['# of men Act]],"")</f>
        <v/>
      </c>
      <c r="O66"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66" s="71" t="str">
        <f>IFERROR((tbl_TitusWeld[[#This Row],[Adj. Total Hours]]+tbl_TitusWeld[[#This Row],[Est. Hours]])/(tbl_TitusWeld[[#This Row],[Total Hours Act]]+tbl_TitusWeld[[#This Row],[Act. Hours]]),"")</f>
        <v/>
      </c>
      <c r="S66" s="63"/>
      <c r="T66" s="63"/>
      <c r="U66" s="63"/>
      <c r="V66" s="63"/>
      <c r="W66" s="63"/>
      <c r="X66" s="63"/>
    </row>
    <row r="67" spans="6:24" ht="25" customHeight="1">
      <c r="F67" s="53"/>
      <c r="H67" s="55" t="e">
        <f>tbl_TitusWeld[[#This Row],[Qty Complete]]/tbl_TitusWeld[[#This Row],[Qty Required]]</f>
        <v>#DIV/0!</v>
      </c>
      <c r="K67" s="57" t="str">
        <f>IFERROR(tbl_TitusWeld[[#This Row],[Qty Required]]/tbl_TitusWeld[[#This Row],[PPH]]*tbl_TitusWeld[[#This Row],['# of men]],"")</f>
        <v/>
      </c>
      <c r="L67" s="58" t="e">
        <f>tbl_TitusWeld[[#This Row],[Total hours]]*tbl_TitusWeld[[#This Row],[% Complete]]</f>
        <v>#VALUE!</v>
      </c>
      <c r="M67" s="59" t="str">
        <f>IFERROR(tbl_TitusWeld[[#This Row],[Qty Complete]]/tbl_TitusWeld[[#This Row],[Total Hours Act]]*tbl_TitusWeld[[#This Row],['# of men Act]],"")</f>
        <v/>
      </c>
      <c r="O67"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67" s="71" t="str">
        <f>IFERROR((tbl_TitusWeld[[#This Row],[Adj. Total Hours]]+tbl_TitusWeld[[#This Row],[Est. Hours]])/(tbl_TitusWeld[[#This Row],[Total Hours Act]]+tbl_TitusWeld[[#This Row],[Act. Hours]]),"")</f>
        <v/>
      </c>
      <c r="S67" s="63"/>
      <c r="T67" s="63"/>
      <c r="U67" s="63"/>
      <c r="V67" s="63"/>
      <c r="W67" s="63"/>
      <c r="X67" s="63"/>
    </row>
    <row r="68" spans="6:24" ht="25" customHeight="1">
      <c r="F68" s="53"/>
      <c r="H68" s="55" t="e">
        <f>tbl_TitusWeld[[#This Row],[Qty Complete]]/tbl_TitusWeld[[#This Row],[Qty Required]]</f>
        <v>#DIV/0!</v>
      </c>
      <c r="K68" s="57" t="str">
        <f>IFERROR(tbl_TitusWeld[[#This Row],[Qty Required]]/tbl_TitusWeld[[#This Row],[PPH]]*tbl_TitusWeld[[#This Row],['# of men]],"")</f>
        <v/>
      </c>
      <c r="L68" s="58" t="e">
        <f>tbl_TitusWeld[[#This Row],[Total hours]]*tbl_TitusWeld[[#This Row],[% Complete]]</f>
        <v>#VALUE!</v>
      </c>
      <c r="M68" s="59" t="str">
        <f>IFERROR(tbl_TitusWeld[[#This Row],[Qty Complete]]/tbl_TitusWeld[[#This Row],[Total Hours Act]]*tbl_TitusWeld[[#This Row],['# of men Act]],"")</f>
        <v/>
      </c>
      <c r="O68"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68" s="71" t="str">
        <f>IFERROR((tbl_TitusWeld[[#This Row],[Adj. Total Hours]]+tbl_TitusWeld[[#This Row],[Est. Hours]])/(tbl_TitusWeld[[#This Row],[Total Hours Act]]+tbl_TitusWeld[[#This Row],[Act. Hours]]),"")</f>
        <v/>
      </c>
      <c r="S68" s="63"/>
      <c r="T68" s="63"/>
      <c r="U68" s="63"/>
      <c r="V68" s="63"/>
      <c r="W68" s="63"/>
      <c r="X68" s="63"/>
    </row>
    <row r="69" spans="6:24" ht="25" customHeight="1">
      <c r="F69" s="53"/>
      <c r="H69" s="55" t="e">
        <f>tbl_TitusWeld[[#This Row],[Qty Complete]]/tbl_TitusWeld[[#This Row],[Qty Required]]</f>
        <v>#DIV/0!</v>
      </c>
      <c r="K69" s="57" t="str">
        <f>IFERROR(tbl_TitusWeld[[#This Row],[Qty Required]]/tbl_TitusWeld[[#This Row],[PPH]]*tbl_TitusWeld[[#This Row],['# of men]],"")</f>
        <v/>
      </c>
      <c r="L69" s="58" t="e">
        <f>tbl_TitusWeld[[#This Row],[Total hours]]*tbl_TitusWeld[[#This Row],[% Complete]]</f>
        <v>#VALUE!</v>
      </c>
      <c r="M69" s="59" t="str">
        <f>IFERROR(tbl_TitusWeld[[#This Row],[Qty Complete]]/tbl_TitusWeld[[#This Row],[Total Hours Act]]*tbl_TitusWeld[[#This Row],['# of men Act]],"")</f>
        <v/>
      </c>
      <c r="O69"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69" s="71" t="str">
        <f>IFERROR((tbl_TitusWeld[[#This Row],[Adj. Total Hours]]+tbl_TitusWeld[[#This Row],[Est. Hours]])/(tbl_TitusWeld[[#This Row],[Total Hours Act]]+tbl_TitusWeld[[#This Row],[Act. Hours]]),"")</f>
        <v/>
      </c>
      <c r="S69" s="63"/>
      <c r="T69" s="63"/>
      <c r="U69" s="63"/>
      <c r="V69" s="63"/>
      <c r="W69" s="63"/>
      <c r="X69" s="63"/>
    </row>
    <row r="70" spans="6:24" ht="25" customHeight="1">
      <c r="F70" s="53"/>
      <c r="H70" s="55" t="e">
        <f>tbl_TitusWeld[[#This Row],[Qty Complete]]/tbl_TitusWeld[[#This Row],[Qty Required]]</f>
        <v>#DIV/0!</v>
      </c>
      <c r="K70" s="57" t="str">
        <f>IFERROR(tbl_TitusWeld[[#This Row],[Qty Required]]/tbl_TitusWeld[[#This Row],[PPH]]*tbl_TitusWeld[[#This Row],['# of men]],"")</f>
        <v/>
      </c>
      <c r="L70" s="58" t="e">
        <f>tbl_TitusWeld[[#This Row],[Total hours]]*tbl_TitusWeld[[#This Row],[% Complete]]</f>
        <v>#VALUE!</v>
      </c>
      <c r="M70" s="59" t="str">
        <f>IFERROR(tbl_TitusWeld[[#This Row],[Qty Complete]]/tbl_TitusWeld[[#This Row],[Total Hours Act]]*tbl_TitusWeld[[#This Row],['# of men Act]],"")</f>
        <v/>
      </c>
      <c r="O70"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70" s="71" t="str">
        <f>IFERROR((tbl_TitusWeld[[#This Row],[Adj. Total Hours]]+tbl_TitusWeld[[#This Row],[Est. Hours]])/(tbl_TitusWeld[[#This Row],[Total Hours Act]]+tbl_TitusWeld[[#This Row],[Act. Hours]]),"")</f>
        <v/>
      </c>
      <c r="S70" s="63"/>
      <c r="T70" s="63"/>
      <c r="U70" s="63"/>
      <c r="V70" s="63"/>
      <c r="W70" s="63"/>
      <c r="X70" s="63"/>
    </row>
    <row r="71" spans="6:24" ht="25" customHeight="1">
      <c r="F71" s="53"/>
      <c r="H71" s="55" t="e">
        <f>tbl_TitusWeld[[#This Row],[Qty Complete]]/tbl_TitusWeld[[#This Row],[Qty Required]]</f>
        <v>#DIV/0!</v>
      </c>
      <c r="K71" s="57" t="str">
        <f>IFERROR(tbl_TitusWeld[[#This Row],[Qty Required]]/tbl_TitusWeld[[#This Row],[PPH]]*tbl_TitusWeld[[#This Row],['# of men]],"")</f>
        <v/>
      </c>
      <c r="L71" s="58" t="e">
        <f>tbl_TitusWeld[[#This Row],[Total hours]]*tbl_TitusWeld[[#This Row],[% Complete]]</f>
        <v>#VALUE!</v>
      </c>
      <c r="M71" s="59" t="str">
        <f>IFERROR(tbl_TitusWeld[[#This Row],[Qty Complete]]/tbl_TitusWeld[[#This Row],[Total Hours Act]]*tbl_TitusWeld[[#This Row],['# of men Act]],"")</f>
        <v/>
      </c>
      <c r="O71"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71" s="71" t="str">
        <f>IFERROR((tbl_TitusWeld[[#This Row],[Adj. Total Hours]]+tbl_TitusWeld[[#This Row],[Est. Hours]])/(tbl_TitusWeld[[#This Row],[Total Hours Act]]+tbl_TitusWeld[[#This Row],[Act. Hours]]),"")</f>
        <v/>
      </c>
      <c r="S71" s="63"/>
      <c r="T71" s="63"/>
      <c r="U71" s="63"/>
      <c r="V71" s="63"/>
      <c r="W71" s="63"/>
      <c r="X71" s="63"/>
    </row>
    <row r="72" spans="6:24" ht="25" customHeight="1">
      <c r="F72" s="53"/>
      <c r="H72" s="55" t="e">
        <f>tbl_TitusWeld[[#This Row],[Qty Complete]]/tbl_TitusWeld[[#This Row],[Qty Required]]</f>
        <v>#DIV/0!</v>
      </c>
      <c r="K72" s="57" t="str">
        <f>IFERROR(tbl_TitusWeld[[#This Row],[Qty Required]]/tbl_TitusWeld[[#This Row],[PPH]]*tbl_TitusWeld[[#This Row],['# of men]],"")</f>
        <v/>
      </c>
      <c r="L72" s="58" t="e">
        <f>tbl_TitusWeld[[#This Row],[Total hours]]*tbl_TitusWeld[[#This Row],[% Complete]]</f>
        <v>#VALUE!</v>
      </c>
      <c r="M72" s="59" t="str">
        <f>IFERROR(tbl_TitusWeld[[#This Row],[Qty Complete]]/tbl_TitusWeld[[#This Row],[Total Hours Act]]*tbl_TitusWeld[[#This Row],['# of men Act]],"")</f>
        <v/>
      </c>
      <c r="O72"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72" s="71" t="str">
        <f>IFERROR((tbl_TitusWeld[[#This Row],[Adj. Total Hours]]+tbl_TitusWeld[[#This Row],[Est. Hours]])/(tbl_TitusWeld[[#This Row],[Total Hours Act]]+tbl_TitusWeld[[#This Row],[Act. Hours]]),"")</f>
        <v/>
      </c>
      <c r="S72" s="63"/>
      <c r="T72" s="63"/>
      <c r="U72" s="63"/>
      <c r="V72" s="63"/>
      <c r="W72" s="63"/>
      <c r="X72" s="63"/>
    </row>
    <row r="73" spans="6:24" ht="25" customHeight="1">
      <c r="F73" s="53"/>
      <c r="H73" s="55" t="e">
        <f>tbl_TitusWeld[[#This Row],[Qty Complete]]/tbl_TitusWeld[[#This Row],[Qty Required]]</f>
        <v>#DIV/0!</v>
      </c>
      <c r="K73" s="57" t="str">
        <f>IFERROR(tbl_TitusWeld[[#This Row],[Qty Required]]/tbl_TitusWeld[[#This Row],[PPH]]*tbl_TitusWeld[[#This Row],['# of men]],"")</f>
        <v/>
      </c>
      <c r="L73" s="58" t="e">
        <f>tbl_TitusWeld[[#This Row],[Total hours]]*tbl_TitusWeld[[#This Row],[% Complete]]</f>
        <v>#VALUE!</v>
      </c>
      <c r="M73" s="59" t="str">
        <f>IFERROR(tbl_TitusWeld[[#This Row],[Qty Complete]]/tbl_TitusWeld[[#This Row],[Total Hours Act]]*tbl_TitusWeld[[#This Row],['# of men Act]],"")</f>
        <v/>
      </c>
      <c r="O73"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73" s="71" t="str">
        <f>IFERROR((tbl_TitusWeld[[#This Row],[Adj. Total Hours]]+tbl_TitusWeld[[#This Row],[Est. Hours]])/(tbl_TitusWeld[[#This Row],[Total Hours Act]]+tbl_TitusWeld[[#This Row],[Act. Hours]]),"")</f>
        <v/>
      </c>
      <c r="S73" s="63"/>
      <c r="T73" s="63"/>
      <c r="U73" s="63"/>
      <c r="V73" s="63"/>
      <c r="W73" s="63"/>
      <c r="X73" s="63"/>
    </row>
    <row r="74" spans="6:24" ht="25" customHeight="1">
      <c r="F74" s="53"/>
      <c r="H74" s="55" t="e">
        <f>tbl_TitusWeld[[#This Row],[Qty Complete]]/tbl_TitusWeld[[#This Row],[Qty Required]]</f>
        <v>#DIV/0!</v>
      </c>
      <c r="K74" s="57" t="str">
        <f>IFERROR(tbl_TitusWeld[[#This Row],[Qty Required]]/tbl_TitusWeld[[#This Row],[PPH]]*tbl_TitusWeld[[#This Row],['# of men]],"")</f>
        <v/>
      </c>
      <c r="L74" s="58" t="e">
        <f>tbl_TitusWeld[[#This Row],[Total hours]]*tbl_TitusWeld[[#This Row],[% Complete]]</f>
        <v>#VALUE!</v>
      </c>
      <c r="M74" s="59" t="str">
        <f>IFERROR(tbl_TitusWeld[[#This Row],[Qty Complete]]/tbl_TitusWeld[[#This Row],[Total Hours Act]]*tbl_TitusWeld[[#This Row],['# of men Act]],"")</f>
        <v/>
      </c>
      <c r="O74"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74" s="71" t="str">
        <f>IFERROR((tbl_TitusWeld[[#This Row],[Adj. Total Hours]]+tbl_TitusWeld[[#This Row],[Est. Hours]])/(tbl_TitusWeld[[#This Row],[Total Hours Act]]+tbl_TitusWeld[[#This Row],[Act. Hours]]),"")</f>
        <v/>
      </c>
      <c r="S74" s="63"/>
      <c r="T74" s="63"/>
      <c r="U74" s="63"/>
      <c r="V74" s="63"/>
      <c r="W74" s="63"/>
      <c r="X74" s="63"/>
    </row>
    <row r="75" spans="6:24" ht="25" customHeight="1">
      <c r="F75" s="53"/>
      <c r="H75" s="55" t="e">
        <f>tbl_TitusWeld[[#This Row],[Qty Complete]]/tbl_TitusWeld[[#This Row],[Qty Required]]</f>
        <v>#DIV/0!</v>
      </c>
      <c r="K75" s="57" t="str">
        <f>IFERROR(tbl_TitusWeld[[#This Row],[Qty Required]]/tbl_TitusWeld[[#This Row],[PPH]]*tbl_TitusWeld[[#This Row],['# of men]],"")</f>
        <v/>
      </c>
      <c r="L75" s="58" t="e">
        <f>tbl_TitusWeld[[#This Row],[Total hours]]*tbl_TitusWeld[[#This Row],[% Complete]]</f>
        <v>#VALUE!</v>
      </c>
      <c r="M75" s="59" t="str">
        <f>IFERROR(tbl_TitusWeld[[#This Row],[Qty Complete]]/tbl_TitusWeld[[#This Row],[Total Hours Act]]*tbl_TitusWeld[[#This Row],['# of men Act]],"")</f>
        <v/>
      </c>
      <c r="O75"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75" s="71" t="str">
        <f>IFERROR((tbl_TitusWeld[[#This Row],[Adj. Total Hours]]+tbl_TitusWeld[[#This Row],[Est. Hours]])/(tbl_TitusWeld[[#This Row],[Total Hours Act]]+tbl_TitusWeld[[#This Row],[Act. Hours]]),"")</f>
        <v/>
      </c>
      <c r="S75" s="63"/>
      <c r="T75" s="63"/>
      <c r="U75" s="63"/>
      <c r="V75" s="63"/>
      <c r="W75" s="63"/>
      <c r="X75" s="63"/>
    </row>
    <row r="76" spans="6:24" ht="25" customHeight="1">
      <c r="F76" s="53"/>
      <c r="H76" s="55" t="e">
        <f>tbl_TitusWeld[[#This Row],[Qty Complete]]/tbl_TitusWeld[[#This Row],[Qty Required]]</f>
        <v>#DIV/0!</v>
      </c>
      <c r="K76" s="57" t="str">
        <f>IFERROR(tbl_TitusWeld[[#This Row],[Qty Required]]/tbl_TitusWeld[[#This Row],[PPH]]*tbl_TitusWeld[[#This Row],['# of men]],"")</f>
        <v/>
      </c>
      <c r="L76" s="58" t="e">
        <f>tbl_TitusWeld[[#This Row],[Total hours]]*tbl_TitusWeld[[#This Row],[% Complete]]</f>
        <v>#VALUE!</v>
      </c>
      <c r="M76" s="59" t="str">
        <f>IFERROR(tbl_TitusWeld[[#This Row],[Qty Complete]]/tbl_TitusWeld[[#This Row],[Total Hours Act]]*tbl_TitusWeld[[#This Row],['# of men Act]],"")</f>
        <v/>
      </c>
      <c r="O76"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76" s="71" t="str">
        <f>IFERROR((tbl_TitusWeld[[#This Row],[Adj. Total Hours]]+tbl_TitusWeld[[#This Row],[Est. Hours]])/(tbl_TitusWeld[[#This Row],[Total Hours Act]]+tbl_TitusWeld[[#This Row],[Act. Hours]]),"")</f>
        <v/>
      </c>
      <c r="S76" s="63"/>
      <c r="T76" s="63"/>
      <c r="U76" s="63"/>
      <c r="V76" s="63"/>
      <c r="W76" s="63"/>
      <c r="X76" s="63"/>
    </row>
    <row r="77" spans="6:24" ht="25" customHeight="1">
      <c r="F77" s="53"/>
      <c r="H77" s="55" t="e">
        <f>tbl_TitusWeld[[#This Row],[Qty Complete]]/tbl_TitusWeld[[#This Row],[Qty Required]]</f>
        <v>#DIV/0!</v>
      </c>
      <c r="K77" s="57" t="str">
        <f>IFERROR(tbl_TitusWeld[[#This Row],[Qty Required]]/tbl_TitusWeld[[#This Row],[PPH]]*tbl_TitusWeld[[#This Row],['# of men]],"")</f>
        <v/>
      </c>
      <c r="L77" s="58" t="e">
        <f>tbl_TitusWeld[[#This Row],[Total hours]]*tbl_TitusWeld[[#This Row],[% Complete]]</f>
        <v>#VALUE!</v>
      </c>
      <c r="M77" s="59" t="str">
        <f>IFERROR(tbl_TitusWeld[[#This Row],[Qty Complete]]/tbl_TitusWeld[[#This Row],[Total Hours Act]]*tbl_TitusWeld[[#This Row],['# of men Act]],"")</f>
        <v/>
      </c>
      <c r="O77"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77" s="71" t="str">
        <f>IFERROR((tbl_TitusWeld[[#This Row],[Adj. Total Hours]]+tbl_TitusWeld[[#This Row],[Est. Hours]])/(tbl_TitusWeld[[#This Row],[Total Hours Act]]+tbl_TitusWeld[[#This Row],[Act. Hours]]),"")</f>
        <v/>
      </c>
      <c r="S77" s="63"/>
      <c r="T77" s="63"/>
      <c r="U77" s="63"/>
      <c r="V77" s="63"/>
      <c r="W77" s="63"/>
      <c r="X77" s="63"/>
    </row>
    <row r="78" spans="6:24" ht="25" customHeight="1">
      <c r="F78" s="53"/>
      <c r="H78" s="55" t="e">
        <f>tbl_TitusWeld[[#This Row],[Qty Complete]]/tbl_TitusWeld[[#This Row],[Qty Required]]</f>
        <v>#DIV/0!</v>
      </c>
      <c r="K78" s="57" t="str">
        <f>IFERROR(tbl_TitusWeld[[#This Row],[Qty Required]]/tbl_TitusWeld[[#This Row],[PPH]]*tbl_TitusWeld[[#This Row],['# of men]],"")</f>
        <v/>
      </c>
      <c r="L78" s="58" t="e">
        <f>tbl_TitusWeld[[#This Row],[Total hours]]*tbl_TitusWeld[[#This Row],[% Complete]]</f>
        <v>#VALUE!</v>
      </c>
      <c r="M78" s="59" t="str">
        <f>IFERROR(tbl_TitusWeld[[#This Row],[Qty Complete]]/tbl_TitusWeld[[#This Row],[Total Hours Act]]*tbl_TitusWeld[[#This Row],['# of men Act]],"")</f>
        <v/>
      </c>
      <c r="O78"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78" s="71" t="str">
        <f>IFERROR((tbl_TitusWeld[[#This Row],[Adj. Total Hours]]+tbl_TitusWeld[[#This Row],[Est. Hours]])/(tbl_TitusWeld[[#This Row],[Total Hours Act]]+tbl_TitusWeld[[#This Row],[Act. Hours]]),"")</f>
        <v/>
      </c>
      <c r="S78" s="63"/>
      <c r="T78" s="63"/>
      <c r="U78" s="63"/>
      <c r="V78" s="63"/>
      <c r="W78" s="63"/>
      <c r="X78" s="63"/>
    </row>
    <row r="79" spans="6:24" ht="25" customHeight="1">
      <c r="F79" s="53"/>
      <c r="H79" s="55" t="e">
        <f>tbl_TitusWeld[[#This Row],[Qty Complete]]/tbl_TitusWeld[[#This Row],[Qty Required]]</f>
        <v>#DIV/0!</v>
      </c>
      <c r="K79" s="57" t="str">
        <f>IFERROR(tbl_TitusWeld[[#This Row],[Qty Required]]/tbl_TitusWeld[[#This Row],[PPH]]*tbl_TitusWeld[[#This Row],['# of men]],"")</f>
        <v/>
      </c>
      <c r="L79" s="58" t="e">
        <f>tbl_TitusWeld[[#This Row],[Total hours]]*tbl_TitusWeld[[#This Row],[% Complete]]</f>
        <v>#VALUE!</v>
      </c>
      <c r="M79" s="59" t="str">
        <f>IFERROR(tbl_TitusWeld[[#This Row],[Qty Complete]]/tbl_TitusWeld[[#This Row],[Total Hours Act]]*tbl_TitusWeld[[#This Row],['# of men Act]],"")</f>
        <v/>
      </c>
      <c r="O79"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79" s="71" t="str">
        <f>IFERROR((tbl_TitusWeld[[#This Row],[Adj. Total Hours]]+tbl_TitusWeld[[#This Row],[Est. Hours]])/(tbl_TitusWeld[[#This Row],[Total Hours Act]]+tbl_TitusWeld[[#This Row],[Act. Hours]]),"")</f>
        <v/>
      </c>
      <c r="S79" s="63"/>
      <c r="T79" s="63"/>
      <c r="U79" s="63"/>
      <c r="V79" s="63"/>
      <c r="W79" s="63"/>
      <c r="X79" s="63"/>
    </row>
    <row r="80" spans="6:24" ht="25" customHeight="1">
      <c r="F80" s="53"/>
      <c r="H80" s="55" t="e">
        <f>tbl_TitusWeld[[#This Row],[Qty Complete]]/tbl_TitusWeld[[#This Row],[Qty Required]]</f>
        <v>#DIV/0!</v>
      </c>
      <c r="K80" s="57" t="str">
        <f>IFERROR(tbl_TitusWeld[[#This Row],[Qty Required]]/tbl_TitusWeld[[#This Row],[PPH]]*tbl_TitusWeld[[#This Row],['# of men]],"")</f>
        <v/>
      </c>
      <c r="L80" s="58" t="e">
        <f>tbl_TitusWeld[[#This Row],[Total hours]]*tbl_TitusWeld[[#This Row],[% Complete]]</f>
        <v>#VALUE!</v>
      </c>
      <c r="M80" s="59" t="str">
        <f>IFERROR(tbl_TitusWeld[[#This Row],[Qty Complete]]/tbl_TitusWeld[[#This Row],[Total Hours Act]]*tbl_TitusWeld[[#This Row],['# of men Act]],"")</f>
        <v/>
      </c>
      <c r="O80"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80" s="71" t="str">
        <f>IFERROR((tbl_TitusWeld[[#This Row],[Adj. Total Hours]]+tbl_TitusWeld[[#This Row],[Est. Hours]])/(tbl_TitusWeld[[#This Row],[Total Hours Act]]+tbl_TitusWeld[[#This Row],[Act. Hours]]),"")</f>
        <v/>
      </c>
      <c r="S80" s="63"/>
      <c r="T80" s="63"/>
      <c r="U80" s="63"/>
      <c r="V80" s="63"/>
      <c r="W80" s="63"/>
      <c r="X80" s="63"/>
    </row>
    <row r="81" spans="6:24" ht="25" customHeight="1">
      <c r="F81" s="53"/>
      <c r="H81" s="55" t="e">
        <f>tbl_TitusWeld[[#This Row],[Qty Complete]]/tbl_TitusWeld[[#This Row],[Qty Required]]</f>
        <v>#DIV/0!</v>
      </c>
      <c r="K81" s="57" t="str">
        <f>IFERROR(tbl_TitusWeld[[#This Row],[Qty Required]]/tbl_TitusWeld[[#This Row],[PPH]]*tbl_TitusWeld[[#This Row],['# of men]],"")</f>
        <v/>
      </c>
      <c r="L81" s="58" t="e">
        <f>tbl_TitusWeld[[#This Row],[Total hours]]*tbl_TitusWeld[[#This Row],[% Complete]]</f>
        <v>#VALUE!</v>
      </c>
      <c r="M81" s="59" t="str">
        <f>IFERROR(tbl_TitusWeld[[#This Row],[Qty Complete]]/tbl_TitusWeld[[#This Row],[Total Hours Act]]*tbl_TitusWeld[[#This Row],['# of men Act]],"")</f>
        <v/>
      </c>
      <c r="O81"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81" s="71" t="str">
        <f>IFERROR((tbl_TitusWeld[[#This Row],[Adj. Total Hours]]+tbl_TitusWeld[[#This Row],[Est. Hours]])/(tbl_TitusWeld[[#This Row],[Total Hours Act]]+tbl_TitusWeld[[#This Row],[Act. Hours]]),"")</f>
        <v/>
      </c>
      <c r="S81" s="63"/>
      <c r="T81" s="63"/>
      <c r="U81" s="63"/>
      <c r="V81" s="63"/>
      <c r="W81" s="63"/>
      <c r="X81" s="63"/>
    </row>
    <row r="82" spans="6:24" ht="25" customHeight="1">
      <c r="F82" s="53"/>
      <c r="H82" s="55" t="e">
        <f>tbl_TitusWeld[[#This Row],[Qty Complete]]/tbl_TitusWeld[[#This Row],[Qty Required]]</f>
        <v>#DIV/0!</v>
      </c>
      <c r="K82" s="57" t="str">
        <f>IFERROR(tbl_TitusWeld[[#This Row],[Qty Required]]/tbl_TitusWeld[[#This Row],[PPH]]*tbl_TitusWeld[[#This Row],['# of men]],"")</f>
        <v/>
      </c>
      <c r="L82" s="58" t="e">
        <f>tbl_TitusWeld[[#This Row],[Total hours]]*tbl_TitusWeld[[#This Row],[% Complete]]</f>
        <v>#VALUE!</v>
      </c>
      <c r="M82" s="59" t="str">
        <f>IFERROR(tbl_TitusWeld[[#This Row],[Qty Complete]]/tbl_TitusWeld[[#This Row],[Total Hours Act]]*tbl_TitusWeld[[#This Row],['# of men Act]],"")</f>
        <v/>
      </c>
      <c r="O82"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82" s="71" t="str">
        <f>IFERROR((tbl_TitusWeld[[#This Row],[Adj. Total Hours]]+tbl_TitusWeld[[#This Row],[Est. Hours]])/(tbl_TitusWeld[[#This Row],[Total Hours Act]]+tbl_TitusWeld[[#This Row],[Act. Hours]]),"")</f>
        <v/>
      </c>
      <c r="S82" s="63"/>
      <c r="T82" s="63"/>
      <c r="U82" s="63"/>
      <c r="V82" s="63"/>
      <c r="W82" s="63"/>
      <c r="X82" s="63"/>
    </row>
    <row r="83" spans="6:24" ht="25" customHeight="1">
      <c r="F83" s="53"/>
      <c r="H83" s="55" t="e">
        <f>tbl_TitusWeld[[#This Row],[Qty Complete]]/tbl_TitusWeld[[#This Row],[Qty Required]]</f>
        <v>#DIV/0!</v>
      </c>
      <c r="K83" s="57" t="str">
        <f>IFERROR(tbl_TitusWeld[[#This Row],[Qty Required]]/tbl_TitusWeld[[#This Row],[PPH]]*tbl_TitusWeld[[#This Row],['# of men]],"")</f>
        <v/>
      </c>
      <c r="L83" s="58" t="e">
        <f>tbl_TitusWeld[[#This Row],[Total hours]]*tbl_TitusWeld[[#This Row],[% Complete]]</f>
        <v>#VALUE!</v>
      </c>
      <c r="M83" s="59" t="str">
        <f>IFERROR(tbl_TitusWeld[[#This Row],[Qty Complete]]/tbl_TitusWeld[[#This Row],[Total Hours Act]]*tbl_TitusWeld[[#This Row],['# of men Act]],"")</f>
        <v/>
      </c>
      <c r="O83"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83" s="71" t="str">
        <f>IFERROR((tbl_TitusWeld[[#This Row],[Adj. Total Hours]]+tbl_TitusWeld[[#This Row],[Est. Hours]])/(tbl_TitusWeld[[#This Row],[Total Hours Act]]+tbl_TitusWeld[[#This Row],[Act. Hours]]),"")</f>
        <v/>
      </c>
      <c r="S83" s="63"/>
      <c r="T83" s="63"/>
      <c r="U83" s="63"/>
      <c r="V83" s="63"/>
      <c r="W83" s="63"/>
      <c r="X83" s="63"/>
    </row>
    <row r="84" spans="6:24" ht="25" customHeight="1">
      <c r="F84" s="53"/>
      <c r="H84" s="55" t="e">
        <f>tbl_TitusWeld[[#This Row],[Qty Complete]]/tbl_TitusWeld[[#This Row],[Qty Required]]</f>
        <v>#DIV/0!</v>
      </c>
      <c r="K84" s="57" t="str">
        <f>IFERROR(tbl_TitusWeld[[#This Row],[Qty Required]]/tbl_TitusWeld[[#This Row],[PPH]]*tbl_TitusWeld[[#This Row],['# of men]],"")</f>
        <v/>
      </c>
      <c r="L84" s="58" t="e">
        <f>tbl_TitusWeld[[#This Row],[Total hours]]*tbl_TitusWeld[[#This Row],[% Complete]]</f>
        <v>#VALUE!</v>
      </c>
      <c r="M84" s="59" t="str">
        <f>IFERROR(tbl_TitusWeld[[#This Row],[Qty Complete]]/tbl_TitusWeld[[#This Row],[Total Hours Act]]*tbl_TitusWeld[[#This Row],['# of men Act]],"")</f>
        <v/>
      </c>
      <c r="O84"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84" s="71" t="str">
        <f>IFERROR((tbl_TitusWeld[[#This Row],[Adj. Total Hours]]+tbl_TitusWeld[[#This Row],[Est. Hours]])/(tbl_TitusWeld[[#This Row],[Total Hours Act]]+tbl_TitusWeld[[#This Row],[Act. Hours]]),"")</f>
        <v/>
      </c>
      <c r="S84" s="63"/>
      <c r="T84" s="63"/>
      <c r="U84" s="63"/>
      <c r="V84" s="63"/>
      <c r="W84" s="63"/>
      <c r="X84" s="63"/>
    </row>
    <row r="85" spans="6:24" ht="25" customHeight="1">
      <c r="F85" s="53"/>
      <c r="H85" s="55" t="e">
        <f>tbl_TitusWeld[[#This Row],[Qty Complete]]/tbl_TitusWeld[[#This Row],[Qty Required]]</f>
        <v>#DIV/0!</v>
      </c>
      <c r="K85" s="57" t="str">
        <f>IFERROR(tbl_TitusWeld[[#This Row],[Qty Required]]/tbl_TitusWeld[[#This Row],[PPH]]*tbl_TitusWeld[[#This Row],['# of men]],"")</f>
        <v/>
      </c>
      <c r="L85" s="58" t="e">
        <f>tbl_TitusWeld[[#This Row],[Total hours]]*tbl_TitusWeld[[#This Row],[% Complete]]</f>
        <v>#VALUE!</v>
      </c>
      <c r="M85" s="59" t="str">
        <f>IFERROR(tbl_TitusWeld[[#This Row],[Qty Complete]]/tbl_TitusWeld[[#This Row],[Total Hours Act]]*tbl_TitusWeld[[#This Row],['# of men Act]],"")</f>
        <v/>
      </c>
      <c r="O85"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85" s="71" t="str">
        <f>IFERROR((tbl_TitusWeld[[#This Row],[Adj. Total Hours]]+tbl_TitusWeld[[#This Row],[Est. Hours]])/(tbl_TitusWeld[[#This Row],[Total Hours Act]]+tbl_TitusWeld[[#This Row],[Act. Hours]]),"")</f>
        <v/>
      </c>
      <c r="S85" s="63"/>
      <c r="T85" s="63"/>
      <c r="U85" s="63"/>
      <c r="V85" s="63"/>
      <c r="W85" s="63"/>
      <c r="X85" s="63"/>
    </row>
    <row r="86" spans="6:24" ht="25" customHeight="1">
      <c r="F86" s="53"/>
      <c r="H86" s="55" t="e">
        <f>tbl_TitusWeld[[#This Row],[Qty Complete]]/tbl_TitusWeld[[#This Row],[Qty Required]]</f>
        <v>#DIV/0!</v>
      </c>
      <c r="K86" s="57" t="str">
        <f>IFERROR(tbl_TitusWeld[[#This Row],[Qty Required]]/tbl_TitusWeld[[#This Row],[PPH]]*tbl_TitusWeld[[#This Row],['# of men]],"")</f>
        <v/>
      </c>
      <c r="L86" s="58" t="e">
        <f>tbl_TitusWeld[[#This Row],[Total hours]]*tbl_TitusWeld[[#This Row],[% Complete]]</f>
        <v>#VALUE!</v>
      </c>
      <c r="M86" s="59" t="str">
        <f>IFERROR(tbl_TitusWeld[[#This Row],[Qty Complete]]/tbl_TitusWeld[[#This Row],[Total Hours Act]]*tbl_TitusWeld[[#This Row],['# of men Act]],"")</f>
        <v/>
      </c>
      <c r="O86"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86" s="71" t="str">
        <f>IFERROR((tbl_TitusWeld[[#This Row],[Adj. Total Hours]]+tbl_TitusWeld[[#This Row],[Est. Hours]])/(tbl_TitusWeld[[#This Row],[Total Hours Act]]+tbl_TitusWeld[[#This Row],[Act. Hours]]),"")</f>
        <v/>
      </c>
      <c r="S86" s="63"/>
      <c r="T86" s="63"/>
      <c r="U86" s="63"/>
      <c r="V86" s="63"/>
      <c r="W86" s="63"/>
      <c r="X86" s="63"/>
    </row>
    <row r="87" spans="6:24" ht="25" customHeight="1">
      <c r="F87" s="53"/>
      <c r="H87" s="55" t="e">
        <f>tbl_TitusWeld[[#This Row],[Qty Complete]]/tbl_TitusWeld[[#This Row],[Qty Required]]</f>
        <v>#DIV/0!</v>
      </c>
      <c r="K87" s="57" t="str">
        <f>IFERROR(tbl_TitusWeld[[#This Row],[Qty Required]]/tbl_TitusWeld[[#This Row],[PPH]]*tbl_TitusWeld[[#This Row],['# of men]],"")</f>
        <v/>
      </c>
      <c r="L87" s="58" t="e">
        <f>tbl_TitusWeld[[#This Row],[Total hours]]*tbl_TitusWeld[[#This Row],[% Complete]]</f>
        <v>#VALUE!</v>
      </c>
      <c r="M87" s="59" t="str">
        <f>IFERROR(tbl_TitusWeld[[#This Row],[Qty Complete]]/tbl_TitusWeld[[#This Row],[Total Hours Act]]*tbl_TitusWeld[[#This Row],['# of men Act]],"")</f>
        <v/>
      </c>
      <c r="O87"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87" s="71" t="str">
        <f>IFERROR((tbl_TitusWeld[[#This Row],[Adj. Total Hours]]+tbl_TitusWeld[[#This Row],[Est. Hours]])/(tbl_TitusWeld[[#This Row],[Total Hours Act]]+tbl_TitusWeld[[#This Row],[Act. Hours]]),"")</f>
        <v/>
      </c>
      <c r="S87" s="63"/>
      <c r="T87" s="63"/>
      <c r="U87" s="63"/>
      <c r="V87" s="63"/>
      <c r="W87" s="63"/>
      <c r="X87" s="63"/>
    </row>
    <row r="88" spans="6:24" ht="25" customHeight="1">
      <c r="F88" s="53"/>
      <c r="H88" s="55" t="e">
        <f>tbl_TitusWeld[[#This Row],[Qty Complete]]/tbl_TitusWeld[[#This Row],[Qty Required]]</f>
        <v>#DIV/0!</v>
      </c>
      <c r="K88" s="57" t="str">
        <f>IFERROR(tbl_TitusWeld[[#This Row],[Qty Required]]/tbl_TitusWeld[[#This Row],[PPH]]*tbl_TitusWeld[[#This Row],['# of men]],"")</f>
        <v/>
      </c>
      <c r="L88" s="58" t="e">
        <f>tbl_TitusWeld[[#This Row],[Total hours]]*tbl_TitusWeld[[#This Row],[% Complete]]</f>
        <v>#VALUE!</v>
      </c>
      <c r="M88" s="59" t="str">
        <f>IFERROR(tbl_TitusWeld[[#This Row],[Qty Complete]]/tbl_TitusWeld[[#This Row],[Total Hours Act]]*tbl_TitusWeld[[#This Row],['# of men Act]],"")</f>
        <v/>
      </c>
      <c r="O88"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88" s="71" t="str">
        <f>IFERROR((tbl_TitusWeld[[#This Row],[Adj. Total Hours]]+tbl_TitusWeld[[#This Row],[Est. Hours]])/(tbl_TitusWeld[[#This Row],[Total Hours Act]]+tbl_TitusWeld[[#This Row],[Act. Hours]]),"")</f>
        <v/>
      </c>
      <c r="S88" s="63"/>
      <c r="T88" s="63"/>
      <c r="U88" s="63"/>
      <c r="V88" s="63"/>
      <c r="W88" s="63"/>
      <c r="X88" s="63"/>
    </row>
    <row r="89" spans="6:24" ht="25" customHeight="1">
      <c r="F89" s="53"/>
      <c r="H89" s="55" t="e">
        <f>tbl_TitusWeld[[#This Row],[Qty Complete]]/tbl_TitusWeld[[#This Row],[Qty Required]]</f>
        <v>#DIV/0!</v>
      </c>
      <c r="K89" s="57" t="str">
        <f>IFERROR(tbl_TitusWeld[[#This Row],[Qty Required]]/tbl_TitusWeld[[#This Row],[PPH]]*tbl_TitusWeld[[#This Row],['# of men]],"")</f>
        <v/>
      </c>
      <c r="L89" s="58" t="e">
        <f>tbl_TitusWeld[[#This Row],[Total hours]]*tbl_TitusWeld[[#This Row],[% Complete]]</f>
        <v>#VALUE!</v>
      </c>
      <c r="M89" s="59" t="str">
        <f>IFERROR(tbl_TitusWeld[[#This Row],[Qty Complete]]/tbl_TitusWeld[[#This Row],[Total Hours Act]]*tbl_TitusWeld[[#This Row],['# of men Act]],"")</f>
        <v/>
      </c>
      <c r="O89"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89" s="71" t="str">
        <f>IFERROR((tbl_TitusWeld[[#This Row],[Adj. Total Hours]]+tbl_TitusWeld[[#This Row],[Est. Hours]])/(tbl_TitusWeld[[#This Row],[Total Hours Act]]+tbl_TitusWeld[[#This Row],[Act. Hours]]),"")</f>
        <v/>
      </c>
      <c r="S89" s="63"/>
      <c r="T89" s="63"/>
      <c r="U89" s="63"/>
      <c r="V89" s="63"/>
      <c r="W89" s="63"/>
      <c r="X89" s="63"/>
    </row>
    <row r="90" spans="6:24" ht="25" customHeight="1">
      <c r="F90" s="53"/>
      <c r="H90" s="55" t="e">
        <f>tbl_TitusWeld[[#This Row],[Qty Complete]]/tbl_TitusWeld[[#This Row],[Qty Required]]</f>
        <v>#DIV/0!</v>
      </c>
      <c r="K90" s="57" t="str">
        <f>IFERROR(tbl_TitusWeld[[#This Row],[Qty Required]]/tbl_TitusWeld[[#This Row],[PPH]]*tbl_TitusWeld[[#This Row],['# of men]],"")</f>
        <v/>
      </c>
      <c r="L90" s="58" t="e">
        <f>tbl_TitusWeld[[#This Row],[Total hours]]*tbl_TitusWeld[[#This Row],[% Complete]]</f>
        <v>#VALUE!</v>
      </c>
      <c r="M90" s="59" t="str">
        <f>IFERROR(tbl_TitusWeld[[#This Row],[Qty Complete]]/tbl_TitusWeld[[#This Row],[Total Hours Act]]*tbl_TitusWeld[[#This Row],['# of men Act]],"")</f>
        <v/>
      </c>
      <c r="O90"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90" s="71" t="str">
        <f>IFERROR((tbl_TitusWeld[[#This Row],[Adj. Total Hours]]+tbl_TitusWeld[[#This Row],[Est. Hours]])/(tbl_TitusWeld[[#This Row],[Total Hours Act]]+tbl_TitusWeld[[#This Row],[Act. Hours]]),"")</f>
        <v/>
      </c>
      <c r="S90" s="63"/>
      <c r="T90" s="63"/>
      <c r="U90" s="63"/>
      <c r="V90" s="63"/>
      <c r="W90" s="63"/>
      <c r="X90" s="63"/>
    </row>
    <row r="91" spans="6:24" ht="25" customHeight="1">
      <c r="F91" s="53"/>
      <c r="H91" s="55" t="e">
        <f>tbl_TitusWeld[[#This Row],[Qty Complete]]/tbl_TitusWeld[[#This Row],[Qty Required]]</f>
        <v>#DIV/0!</v>
      </c>
      <c r="K91" s="57" t="str">
        <f>IFERROR(tbl_TitusWeld[[#This Row],[Qty Required]]/tbl_TitusWeld[[#This Row],[PPH]]*tbl_TitusWeld[[#This Row],['# of men]],"")</f>
        <v/>
      </c>
      <c r="L91" s="58" t="e">
        <f>tbl_TitusWeld[[#This Row],[Total hours]]*tbl_TitusWeld[[#This Row],[% Complete]]</f>
        <v>#VALUE!</v>
      </c>
      <c r="M91" s="59" t="str">
        <f>IFERROR(tbl_TitusWeld[[#This Row],[Qty Complete]]/tbl_TitusWeld[[#This Row],[Total Hours Act]]*tbl_TitusWeld[[#This Row],['# of men Act]],"")</f>
        <v/>
      </c>
      <c r="O91"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91" s="71" t="str">
        <f>IFERROR((tbl_TitusWeld[[#This Row],[Adj. Total Hours]]+tbl_TitusWeld[[#This Row],[Est. Hours]])/(tbl_TitusWeld[[#This Row],[Total Hours Act]]+tbl_TitusWeld[[#This Row],[Act. Hours]]),"")</f>
        <v/>
      </c>
      <c r="S91" s="63"/>
      <c r="T91" s="63"/>
      <c r="U91" s="63"/>
      <c r="V91" s="63"/>
      <c r="W91" s="63"/>
      <c r="X91" s="63"/>
    </row>
    <row r="92" spans="6:24" ht="25" customHeight="1">
      <c r="F92" s="53"/>
      <c r="H92" s="55" t="e">
        <f>tbl_TitusWeld[[#This Row],[Qty Complete]]/tbl_TitusWeld[[#This Row],[Qty Required]]</f>
        <v>#DIV/0!</v>
      </c>
      <c r="K92" s="57" t="str">
        <f>IFERROR(tbl_TitusWeld[[#This Row],[Qty Required]]/tbl_TitusWeld[[#This Row],[PPH]]*tbl_TitusWeld[[#This Row],['# of men]],"")</f>
        <v/>
      </c>
      <c r="L92" s="58" t="e">
        <f>tbl_TitusWeld[[#This Row],[Total hours]]*tbl_TitusWeld[[#This Row],[% Complete]]</f>
        <v>#VALUE!</v>
      </c>
      <c r="M92" s="59" t="str">
        <f>IFERROR(tbl_TitusWeld[[#This Row],[Qty Complete]]/tbl_TitusWeld[[#This Row],[Total Hours Act]]*tbl_TitusWeld[[#This Row],['# of men Act]],"")</f>
        <v/>
      </c>
      <c r="O92"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92" s="71" t="str">
        <f>IFERROR((tbl_TitusWeld[[#This Row],[Adj. Total Hours]]+tbl_TitusWeld[[#This Row],[Est. Hours]])/(tbl_TitusWeld[[#This Row],[Total Hours Act]]+tbl_TitusWeld[[#This Row],[Act. Hours]]),"")</f>
        <v/>
      </c>
      <c r="S92" s="63"/>
      <c r="T92" s="63"/>
      <c r="U92" s="63"/>
      <c r="V92" s="63"/>
      <c r="W92" s="63"/>
      <c r="X92" s="63"/>
    </row>
    <row r="93" spans="6:24" ht="25" customHeight="1">
      <c r="F93" s="53"/>
      <c r="H93" s="55" t="e">
        <f>tbl_TitusWeld[[#This Row],[Qty Complete]]/tbl_TitusWeld[[#This Row],[Qty Required]]</f>
        <v>#DIV/0!</v>
      </c>
      <c r="K93" s="57" t="str">
        <f>IFERROR(tbl_TitusWeld[[#This Row],[Qty Required]]/tbl_TitusWeld[[#This Row],[PPH]]*tbl_TitusWeld[[#This Row],['# of men]],"")</f>
        <v/>
      </c>
      <c r="L93" s="58" t="e">
        <f>tbl_TitusWeld[[#This Row],[Total hours]]*tbl_TitusWeld[[#This Row],[% Complete]]</f>
        <v>#VALUE!</v>
      </c>
      <c r="M93" s="59" t="str">
        <f>IFERROR(tbl_TitusWeld[[#This Row],[Qty Complete]]/tbl_TitusWeld[[#This Row],[Total Hours Act]]*tbl_TitusWeld[[#This Row],['# of men Act]],"")</f>
        <v/>
      </c>
      <c r="O93"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93" s="71" t="str">
        <f>IFERROR((tbl_TitusWeld[[#This Row],[Adj. Total Hours]]+tbl_TitusWeld[[#This Row],[Est. Hours]])/(tbl_TitusWeld[[#This Row],[Total Hours Act]]+tbl_TitusWeld[[#This Row],[Act. Hours]]),"")</f>
        <v/>
      </c>
      <c r="S93" s="63"/>
      <c r="T93" s="63"/>
      <c r="U93" s="63"/>
      <c r="V93" s="63"/>
      <c r="W93" s="63"/>
      <c r="X93" s="63"/>
    </row>
    <row r="94" spans="6:24" ht="25" customHeight="1">
      <c r="F94" s="53"/>
      <c r="H94" s="55" t="e">
        <f>tbl_TitusWeld[[#This Row],[Qty Complete]]/tbl_TitusWeld[[#This Row],[Qty Required]]</f>
        <v>#DIV/0!</v>
      </c>
      <c r="K94" s="57" t="str">
        <f>IFERROR(tbl_TitusWeld[[#This Row],[Qty Required]]/tbl_TitusWeld[[#This Row],[PPH]]*tbl_TitusWeld[[#This Row],['# of men]],"")</f>
        <v/>
      </c>
      <c r="L94" s="58" t="e">
        <f>tbl_TitusWeld[[#This Row],[Total hours]]*tbl_TitusWeld[[#This Row],[% Complete]]</f>
        <v>#VALUE!</v>
      </c>
      <c r="M94" s="59" t="str">
        <f>IFERROR(tbl_TitusWeld[[#This Row],[Qty Complete]]/tbl_TitusWeld[[#This Row],[Total Hours Act]]*tbl_TitusWeld[[#This Row],['# of men Act]],"")</f>
        <v/>
      </c>
      <c r="O94"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94" s="71" t="str">
        <f>IFERROR((tbl_TitusWeld[[#This Row],[Adj. Total Hours]]+tbl_TitusWeld[[#This Row],[Est. Hours]])/(tbl_TitusWeld[[#This Row],[Total Hours Act]]+tbl_TitusWeld[[#This Row],[Act. Hours]]),"")</f>
        <v/>
      </c>
      <c r="S94" s="63"/>
      <c r="T94" s="63"/>
      <c r="U94" s="63"/>
      <c r="V94" s="63"/>
      <c r="W94" s="63"/>
      <c r="X94" s="63"/>
    </row>
    <row r="95" spans="6:24" ht="25" customHeight="1">
      <c r="F95" s="53"/>
      <c r="H95" s="55" t="e">
        <f>tbl_TitusWeld[[#This Row],[Qty Complete]]/tbl_TitusWeld[[#This Row],[Qty Required]]</f>
        <v>#DIV/0!</v>
      </c>
      <c r="K95" s="57" t="str">
        <f>IFERROR(tbl_TitusWeld[[#This Row],[Qty Required]]/tbl_TitusWeld[[#This Row],[PPH]]*tbl_TitusWeld[[#This Row],['# of men]],"")</f>
        <v/>
      </c>
      <c r="L95" s="58" t="e">
        <f>tbl_TitusWeld[[#This Row],[Total hours]]*tbl_TitusWeld[[#This Row],[% Complete]]</f>
        <v>#VALUE!</v>
      </c>
      <c r="M95" s="59" t="str">
        <f>IFERROR(tbl_TitusWeld[[#This Row],[Qty Complete]]/tbl_TitusWeld[[#This Row],[Total Hours Act]]*tbl_TitusWeld[[#This Row],['# of men Act]],"")</f>
        <v/>
      </c>
      <c r="O95"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95" s="71" t="str">
        <f>IFERROR((tbl_TitusWeld[[#This Row],[Adj. Total Hours]]+tbl_TitusWeld[[#This Row],[Est. Hours]])/(tbl_TitusWeld[[#This Row],[Total Hours Act]]+tbl_TitusWeld[[#This Row],[Act. Hours]]),"")</f>
        <v/>
      </c>
      <c r="S95" s="63"/>
      <c r="T95" s="63"/>
      <c r="U95" s="63"/>
      <c r="V95" s="63"/>
      <c r="W95" s="63"/>
      <c r="X95" s="63"/>
    </row>
    <row r="96" spans="6:24" ht="25" customHeight="1">
      <c r="F96" s="53"/>
      <c r="H96" s="55" t="e">
        <f>tbl_TitusWeld[[#This Row],[Qty Complete]]/tbl_TitusWeld[[#This Row],[Qty Required]]</f>
        <v>#DIV/0!</v>
      </c>
      <c r="K96" s="57" t="str">
        <f>IFERROR(tbl_TitusWeld[[#This Row],[Qty Required]]/tbl_TitusWeld[[#This Row],[PPH]]*tbl_TitusWeld[[#This Row],['# of men]],"")</f>
        <v/>
      </c>
      <c r="L96" s="58" t="e">
        <f>tbl_TitusWeld[[#This Row],[Total hours]]*tbl_TitusWeld[[#This Row],[% Complete]]</f>
        <v>#VALUE!</v>
      </c>
      <c r="M96" s="59" t="str">
        <f>IFERROR(tbl_TitusWeld[[#This Row],[Qty Complete]]/tbl_TitusWeld[[#This Row],[Total Hours Act]]*tbl_TitusWeld[[#This Row],['# of men Act]],"")</f>
        <v/>
      </c>
      <c r="O96"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96" s="71" t="str">
        <f>IFERROR((tbl_TitusWeld[[#This Row],[Adj. Total Hours]]+tbl_TitusWeld[[#This Row],[Est. Hours]])/(tbl_TitusWeld[[#This Row],[Total Hours Act]]+tbl_TitusWeld[[#This Row],[Act. Hours]]),"")</f>
        <v/>
      </c>
      <c r="S96" s="63"/>
      <c r="T96" s="63"/>
      <c r="U96" s="63"/>
      <c r="V96" s="63"/>
      <c r="W96" s="63"/>
      <c r="X96" s="63"/>
    </row>
    <row r="97" spans="6:24" ht="25" customHeight="1">
      <c r="F97" s="53"/>
      <c r="H97" s="55" t="e">
        <f>tbl_TitusWeld[[#This Row],[Qty Complete]]/tbl_TitusWeld[[#This Row],[Qty Required]]</f>
        <v>#DIV/0!</v>
      </c>
      <c r="K97" s="57" t="str">
        <f>IFERROR(tbl_TitusWeld[[#This Row],[Qty Required]]/tbl_TitusWeld[[#This Row],[PPH]]*tbl_TitusWeld[[#This Row],['# of men]],"")</f>
        <v/>
      </c>
      <c r="L97" s="58" t="e">
        <f>tbl_TitusWeld[[#This Row],[Total hours]]*tbl_TitusWeld[[#This Row],[% Complete]]</f>
        <v>#VALUE!</v>
      </c>
      <c r="M97" s="59" t="str">
        <f>IFERROR(tbl_TitusWeld[[#This Row],[Qty Complete]]/tbl_TitusWeld[[#This Row],[Total Hours Act]]*tbl_TitusWeld[[#This Row],['# of men Act]],"")</f>
        <v/>
      </c>
      <c r="O97"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97" s="71" t="str">
        <f>IFERROR((tbl_TitusWeld[[#This Row],[Adj. Total Hours]]+tbl_TitusWeld[[#This Row],[Est. Hours]])/(tbl_TitusWeld[[#This Row],[Total Hours Act]]+tbl_TitusWeld[[#This Row],[Act. Hours]]),"")</f>
        <v/>
      </c>
      <c r="S97" s="63"/>
      <c r="T97" s="63"/>
      <c r="U97" s="63"/>
      <c r="V97" s="63"/>
      <c r="W97" s="63"/>
      <c r="X97" s="63"/>
    </row>
    <row r="98" spans="6:24" ht="25" customHeight="1">
      <c r="F98" s="53"/>
      <c r="H98" s="55" t="e">
        <f>tbl_TitusWeld[[#This Row],[Qty Complete]]/tbl_TitusWeld[[#This Row],[Qty Required]]</f>
        <v>#DIV/0!</v>
      </c>
      <c r="K98" s="57" t="str">
        <f>IFERROR(tbl_TitusWeld[[#This Row],[Qty Required]]/tbl_TitusWeld[[#This Row],[PPH]]*tbl_TitusWeld[[#This Row],['# of men]],"")</f>
        <v/>
      </c>
      <c r="L98" s="58" t="e">
        <f>tbl_TitusWeld[[#This Row],[Total hours]]*tbl_TitusWeld[[#This Row],[% Complete]]</f>
        <v>#VALUE!</v>
      </c>
      <c r="M98" s="59" t="str">
        <f>IFERROR(tbl_TitusWeld[[#This Row],[Qty Complete]]/tbl_TitusWeld[[#This Row],[Total Hours Act]]*tbl_TitusWeld[[#This Row],['# of men Act]],"")</f>
        <v/>
      </c>
      <c r="O98"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98" s="71" t="str">
        <f>IFERROR((tbl_TitusWeld[[#This Row],[Adj. Total Hours]]+tbl_TitusWeld[[#This Row],[Est. Hours]])/(tbl_TitusWeld[[#This Row],[Total Hours Act]]+tbl_TitusWeld[[#This Row],[Act. Hours]]),"")</f>
        <v/>
      </c>
      <c r="S98" s="63"/>
      <c r="T98" s="63"/>
      <c r="U98" s="63"/>
      <c r="V98" s="63"/>
      <c r="W98" s="63"/>
      <c r="X98" s="63"/>
    </row>
    <row r="99" spans="6:24" ht="25" customHeight="1">
      <c r="F99" s="53"/>
      <c r="H99" s="55" t="e">
        <f>tbl_TitusWeld[[#This Row],[Qty Complete]]/tbl_TitusWeld[[#This Row],[Qty Required]]</f>
        <v>#DIV/0!</v>
      </c>
      <c r="K99" s="57" t="str">
        <f>IFERROR(tbl_TitusWeld[[#This Row],[Qty Required]]/tbl_TitusWeld[[#This Row],[PPH]]*tbl_TitusWeld[[#This Row],['# of men]],"")</f>
        <v/>
      </c>
      <c r="L99" s="58" t="e">
        <f>tbl_TitusWeld[[#This Row],[Total hours]]*tbl_TitusWeld[[#This Row],[% Complete]]</f>
        <v>#VALUE!</v>
      </c>
      <c r="M99" s="59" t="str">
        <f>IFERROR(tbl_TitusWeld[[#This Row],[Qty Complete]]/tbl_TitusWeld[[#This Row],[Total Hours Act]]*tbl_TitusWeld[[#This Row],['# of men Act]],"")</f>
        <v/>
      </c>
      <c r="O99"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99" s="71" t="str">
        <f>IFERROR((tbl_TitusWeld[[#This Row],[Adj. Total Hours]]+tbl_TitusWeld[[#This Row],[Est. Hours]])/(tbl_TitusWeld[[#This Row],[Total Hours Act]]+tbl_TitusWeld[[#This Row],[Act. Hours]]),"")</f>
        <v/>
      </c>
      <c r="S99" s="63"/>
      <c r="T99" s="63"/>
      <c r="U99" s="63"/>
      <c r="V99" s="63"/>
      <c r="W99" s="63"/>
      <c r="X99" s="63"/>
    </row>
    <row r="100" spans="6:24" ht="25" customHeight="1">
      <c r="F100" s="53"/>
      <c r="H100" s="55" t="e">
        <f>tbl_TitusWeld[[#This Row],[Qty Complete]]/tbl_TitusWeld[[#This Row],[Qty Required]]</f>
        <v>#DIV/0!</v>
      </c>
      <c r="K100" s="57" t="str">
        <f>IFERROR(tbl_TitusWeld[[#This Row],[Qty Required]]/tbl_TitusWeld[[#This Row],[PPH]]*tbl_TitusWeld[[#This Row],['# of men]],"")</f>
        <v/>
      </c>
      <c r="L100" s="58" t="e">
        <f>tbl_TitusWeld[[#This Row],[Total hours]]*tbl_TitusWeld[[#This Row],[% Complete]]</f>
        <v>#VALUE!</v>
      </c>
      <c r="M100" s="59" t="str">
        <f>IFERROR(tbl_TitusWeld[[#This Row],[Qty Complete]]/tbl_TitusWeld[[#This Row],[Total Hours Act]]*tbl_TitusWeld[[#This Row],['# of men Act]],"")</f>
        <v/>
      </c>
      <c r="O100"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00" s="71" t="str">
        <f>IFERROR((tbl_TitusWeld[[#This Row],[Adj. Total Hours]]+tbl_TitusWeld[[#This Row],[Est. Hours]])/(tbl_TitusWeld[[#This Row],[Total Hours Act]]+tbl_TitusWeld[[#This Row],[Act. Hours]]),"")</f>
        <v/>
      </c>
      <c r="S100" s="63"/>
      <c r="T100" s="63"/>
      <c r="U100" s="63"/>
      <c r="V100" s="63"/>
      <c r="W100" s="63"/>
      <c r="X100" s="63"/>
    </row>
    <row r="101" spans="6:24" ht="25" customHeight="1">
      <c r="F101" s="53"/>
      <c r="H101" s="55" t="e">
        <f>tbl_TitusWeld[[#This Row],[Qty Complete]]/tbl_TitusWeld[[#This Row],[Qty Required]]</f>
        <v>#DIV/0!</v>
      </c>
      <c r="K101" s="57" t="str">
        <f>IFERROR(tbl_TitusWeld[[#This Row],[Qty Required]]/tbl_TitusWeld[[#This Row],[PPH]]*tbl_TitusWeld[[#This Row],['# of men]],"")</f>
        <v/>
      </c>
      <c r="L101" s="58" t="e">
        <f>tbl_TitusWeld[[#This Row],[Total hours]]*tbl_TitusWeld[[#This Row],[% Complete]]</f>
        <v>#VALUE!</v>
      </c>
      <c r="M101" s="59" t="str">
        <f>IFERROR(tbl_TitusWeld[[#This Row],[Qty Complete]]/tbl_TitusWeld[[#This Row],[Total Hours Act]]*tbl_TitusWeld[[#This Row],['# of men Act]],"")</f>
        <v/>
      </c>
      <c r="O101"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01" s="71" t="str">
        <f>IFERROR((tbl_TitusWeld[[#This Row],[Adj. Total Hours]]+tbl_TitusWeld[[#This Row],[Est. Hours]])/(tbl_TitusWeld[[#This Row],[Total Hours Act]]+tbl_TitusWeld[[#This Row],[Act. Hours]]),"")</f>
        <v/>
      </c>
      <c r="S101" s="63"/>
      <c r="T101" s="63"/>
      <c r="U101" s="63"/>
      <c r="V101" s="63"/>
      <c r="W101" s="63"/>
      <c r="X101" s="63"/>
    </row>
    <row r="102" spans="6:24" ht="25" customHeight="1">
      <c r="F102" s="53"/>
      <c r="H102" s="55" t="e">
        <f>tbl_TitusWeld[[#This Row],[Qty Complete]]/tbl_TitusWeld[[#This Row],[Qty Required]]</f>
        <v>#DIV/0!</v>
      </c>
      <c r="K102" s="57" t="str">
        <f>IFERROR(tbl_TitusWeld[[#This Row],[Qty Required]]/tbl_TitusWeld[[#This Row],[PPH]]*tbl_TitusWeld[[#This Row],['# of men]],"")</f>
        <v/>
      </c>
      <c r="L102" s="58" t="e">
        <f>tbl_TitusWeld[[#This Row],[Total hours]]*tbl_TitusWeld[[#This Row],[% Complete]]</f>
        <v>#VALUE!</v>
      </c>
      <c r="M102" s="59" t="str">
        <f>IFERROR(tbl_TitusWeld[[#This Row],[Qty Complete]]/tbl_TitusWeld[[#This Row],[Total Hours Act]]*tbl_TitusWeld[[#This Row],['# of men Act]],"")</f>
        <v/>
      </c>
      <c r="O102"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02" s="71" t="str">
        <f>IFERROR((tbl_TitusWeld[[#This Row],[Adj. Total Hours]]+tbl_TitusWeld[[#This Row],[Est. Hours]])/(tbl_TitusWeld[[#This Row],[Total Hours Act]]+tbl_TitusWeld[[#This Row],[Act. Hours]]),"")</f>
        <v/>
      </c>
      <c r="S102" s="63"/>
      <c r="T102" s="63"/>
      <c r="U102" s="63"/>
      <c r="V102" s="63"/>
      <c r="W102" s="63"/>
      <c r="X102" s="63"/>
    </row>
    <row r="103" spans="6:24" ht="25" customHeight="1">
      <c r="F103" s="53"/>
      <c r="H103" s="55" t="e">
        <f>tbl_TitusWeld[[#This Row],[Qty Complete]]/tbl_TitusWeld[[#This Row],[Qty Required]]</f>
        <v>#DIV/0!</v>
      </c>
      <c r="K103" s="57" t="str">
        <f>IFERROR(tbl_TitusWeld[[#This Row],[Qty Required]]/tbl_TitusWeld[[#This Row],[PPH]]*tbl_TitusWeld[[#This Row],['# of men]],"")</f>
        <v/>
      </c>
      <c r="L103" s="58" t="e">
        <f>tbl_TitusWeld[[#This Row],[Total hours]]*tbl_TitusWeld[[#This Row],[% Complete]]</f>
        <v>#VALUE!</v>
      </c>
      <c r="M103" s="59" t="str">
        <f>IFERROR(tbl_TitusWeld[[#This Row],[Qty Complete]]/tbl_TitusWeld[[#This Row],[Total Hours Act]]*tbl_TitusWeld[[#This Row],['# of men Act]],"")</f>
        <v/>
      </c>
      <c r="O103"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03" s="71" t="str">
        <f>IFERROR((tbl_TitusWeld[[#This Row],[Adj. Total Hours]]+tbl_TitusWeld[[#This Row],[Est. Hours]])/(tbl_TitusWeld[[#This Row],[Total Hours Act]]+tbl_TitusWeld[[#This Row],[Act. Hours]]),"")</f>
        <v/>
      </c>
      <c r="S103" s="63"/>
      <c r="T103" s="63"/>
      <c r="U103" s="63"/>
      <c r="V103" s="63"/>
      <c r="W103" s="63"/>
      <c r="X103" s="63"/>
    </row>
    <row r="104" spans="6:24" ht="25" customHeight="1">
      <c r="F104" s="53"/>
      <c r="H104" s="55" t="e">
        <f>tbl_TitusWeld[[#This Row],[Qty Complete]]/tbl_TitusWeld[[#This Row],[Qty Required]]</f>
        <v>#DIV/0!</v>
      </c>
      <c r="K104" s="57" t="str">
        <f>IFERROR(tbl_TitusWeld[[#This Row],[Qty Required]]/tbl_TitusWeld[[#This Row],[PPH]]*tbl_TitusWeld[[#This Row],['# of men]],"")</f>
        <v/>
      </c>
      <c r="L104" s="58" t="e">
        <f>tbl_TitusWeld[[#This Row],[Total hours]]*tbl_TitusWeld[[#This Row],[% Complete]]</f>
        <v>#VALUE!</v>
      </c>
      <c r="M104" s="59" t="str">
        <f>IFERROR(tbl_TitusWeld[[#This Row],[Qty Complete]]/tbl_TitusWeld[[#This Row],[Total Hours Act]]*tbl_TitusWeld[[#This Row],['# of men Act]],"")</f>
        <v/>
      </c>
      <c r="O104"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04" s="71" t="str">
        <f>IFERROR((tbl_TitusWeld[[#This Row],[Adj. Total Hours]]+tbl_TitusWeld[[#This Row],[Est. Hours]])/(tbl_TitusWeld[[#This Row],[Total Hours Act]]+tbl_TitusWeld[[#This Row],[Act. Hours]]),"")</f>
        <v/>
      </c>
      <c r="S104" s="63"/>
      <c r="T104" s="63"/>
      <c r="U104" s="63"/>
      <c r="V104" s="63"/>
      <c r="W104" s="63"/>
      <c r="X104" s="63"/>
    </row>
    <row r="105" spans="6:24" ht="25" customHeight="1">
      <c r="F105" s="53"/>
      <c r="H105" s="55" t="e">
        <f>tbl_TitusWeld[[#This Row],[Qty Complete]]/tbl_TitusWeld[[#This Row],[Qty Required]]</f>
        <v>#DIV/0!</v>
      </c>
      <c r="K105" s="57" t="str">
        <f>IFERROR(tbl_TitusWeld[[#This Row],[Qty Required]]/tbl_TitusWeld[[#This Row],[PPH]]*tbl_TitusWeld[[#This Row],['# of men]],"")</f>
        <v/>
      </c>
      <c r="L105" s="58" t="e">
        <f>tbl_TitusWeld[[#This Row],[Total hours]]*tbl_TitusWeld[[#This Row],[% Complete]]</f>
        <v>#VALUE!</v>
      </c>
      <c r="M105" s="59" t="str">
        <f>IFERROR(tbl_TitusWeld[[#This Row],[Qty Complete]]/tbl_TitusWeld[[#This Row],[Total Hours Act]]*tbl_TitusWeld[[#This Row],['# of men Act]],"")</f>
        <v/>
      </c>
      <c r="O105"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05" s="71" t="str">
        <f>IFERROR((tbl_TitusWeld[[#This Row],[Adj. Total Hours]]+tbl_TitusWeld[[#This Row],[Est. Hours]])/(tbl_TitusWeld[[#This Row],[Total Hours Act]]+tbl_TitusWeld[[#This Row],[Act. Hours]]),"")</f>
        <v/>
      </c>
      <c r="S105" s="63"/>
      <c r="T105" s="63"/>
      <c r="U105" s="63"/>
      <c r="V105" s="63"/>
      <c r="W105" s="63"/>
      <c r="X105" s="63"/>
    </row>
    <row r="106" spans="6:24" ht="25" customHeight="1">
      <c r="F106" s="53"/>
      <c r="H106" s="55" t="e">
        <f>tbl_TitusWeld[[#This Row],[Qty Complete]]/tbl_TitusWeld[[#This Row],[Qty Required]]</f>
        <v>#DIV/0!</v>
      </c>
      <c r="K106" s="57" t="str">
        <f>IFERROR(tbl_TitusWeld[[#This Row],[Qty Required]]/tbl_TitusWeld[[#This Row],[PPH]]*tbl_TitusWeld[[#This Row],['# of men]],"")</f>
        <v/>
      </c>
      <c r="L106" s="58" t="e">
        <f>tbl_TitusWeld[[#This Row],[Total hours]]*tbl_TitusWeld[[#This Row],[% Complete]]</f>
        <v>#VALUE!</v>
      </c>
      <c r="M106" s="59" t="str">
        <f>IFERROR(tbl_TitusWeld[[#This Row],[Qty Complete]]/tbl_TitusWeld[[#This Row],[Total Hours Act]]*tbl_TitusWeld[[#This Row],['# of men Act]],"")</f>
        <v/>
      </c>
      <c r="O106"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06" s="71" t="str">
        <f>IFERROR((tbl_TitusWeld[[#This Row],[Adj. Total Hours]]+tbl_TitusWeld[[#This Row],[Est. Hours]])/(tbl_TitusWeld[[#This Row],[Total Hours Act]]+tbl_TitusWeld[[#This Row],[Act. Hours]]),"")</f>
        <v/>
      </c>
      <c r="S106" s="63"/>
      <c r="T106" s="63"/>
      <c r="U106" s="63"/>
      <c r="V106" s="63"/>
      <c r="W106" s="63"/>
      <c r="X106" s="63"/>
    </row>
    <row r="107" spans="6:24" ht="25" customHeight="1">
      <c r="F107" s="53"/>
      <c r="H107" s="55" t="e">
        <f>tbl_TitusWeld[[#This Row],[Qty Complete]]/tbl_TitusWeld[[#This Row],[Qty Required]]</f>
        <v>#DIV/0!</v>
      </c>
      <c r="K107" s="57" t="str">
        <f>IFERROR(tbl_TitusWeld[[#This Row],[Qty Required]]/tbl_TitusWeld[[#This Row],[PPH]]*tbl_TitusWeld[[#This Row],['# of men]],"")</f>
        <v/>
      </c>
      <c r="L107" s="58" t="e">
        <f>tbl_TitusWeld[[#This Row],[Total hours]]*tbl_TitusWeld[[#This Row],[% Complete]]</f>
        <v>#VALUE!</v>
      </c>
      <c r="M107" s="59" t="str">
        <f>IFERROR(tbl_TitusWeld[[#This Row],[Qty Complete]]/tbl_TitusWeld[[#This Row],[Total Hours Act]]*tbl_TitusWeld[[#This Row],['# of men Act]],"")</f>
        <v/>
      </c>
      <c r="O107"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07" s="71" t="str">
        <f>IFERROR((tbl_TitusWeld[[#This Row],[Adj. Total Hours]]+tbl_TitusWeld[[#This Row],[Est. Hours]])/(tbl_TitusWeld[[#This Row],[Total Hours Act]]+tbl_TitusWeld[[#This Row],[Act. Hours]]),"")</f>
        <v/>
      </c>
      <c r="S107" s="63"/>
      <c r="T107" s="63"/>
      <c r="U107" s="63"/>
      <c r="V107" s="63"/>
      <c r="W107" s="63"/>
      <c r="X107" s="63"/>
    </row>
    <row r="108" spans="6:24" ht="25" customHeight="1">
      <c r="F108" s="53"/>
      <c r="H108" s="55" t="e">
        <f>tbl_TitusWeld[[#This Row],[Qty Complete]]/tbl_TitusWeld[[#This Row],[Qty Required]]</f>
        <v>#DIV/0!</v>
      </c>
      <c r="K108" s="57" t="str">
        <f>IFERROR(tbl_TitusWeld[[#This Row],[Qty Required]]/tbl_TitusWeld[[#This Row],[PPH]]*tbl_TitusWeld[[#This Row],['# of men]],"")</f>
        <v/>
      </c>
      <c r="L108" s="58" t="e">
        <f>tbl_TitusWeld[[#This Row],[Total hours]]*tbl_TitusWeld[[#This Row],[% Complete]]</f>
        <v>#VALUE!</v>
      </c>
      <c r="M108" s="59" t="str">
        <f>IFERROR(tbl_TitusWeld[[#This Row],[Qty Complete]]/tbl_TitusWeld[[#This Row],[Total Hours Act]]*tbl_TitusWeld[[#This Row],['# of men Act]],"")</f>
        <v/>
      </c>
      <c r="O108"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08" s="71" t="str">
        <f>IFERROR((tbl_TitusWeld[[#This Row],[Adj. Total Hours]]+tbl_TitusWeld[[#This Row],[Est. Hours]])/(tbl_TitusWeld[[#This Row],[Total Hours Act]]+tbl_TitusWeld[[#This Row],[Act. Hours]]),"")</f>
        <v/>
      </c>
      <c r="S108" s="63"/>
      <c r="T108" s="63"/>
      <c r="U108" s="63"/>
      <c r="V108" s="63"/>
      <c r="W108" s="63"/>
      <c r="X108" s="63"/>
    </row>
    <row r="109" spans="6:24" ht="25" customHeight="1">
      <c r="F109" s="53"/>
      <c r="H109" s="55" t="e">
        <f>tbl_TitusWeld[[#This Row],[Qty Complete]]/tbl_TitusWeld[[#This Row],[Qty Required]]</f>
        <v>#DIV/0!</v>
      </c>
      <c r="K109" s="57" t="str">
        <f>IFERROR(tbl_TitusWeld[[#This Row],[Qty Required]]/tbl_TitusWeld[[#This Row],[PPH]]*tbl_TitusWeld[[#This Row],['# of men]],"")</f>
        <v/>
      </c>
      <c r="L109" s="58" t="e">
        <f>tbl_TitusWeld[[#This Row],[Total hours]]*tbl_TitusWeld[[#This Row],[% Complete]]</f>
        <v>#VALUE!</v>
      </c>
      <c r="M109" s="59" t="str">
        <f>IFERROR(tbl_TitusWeld[[#This Row],[Qty Complete]]/tbl_TitusWeld[[#This Row],[Total Hours Act]]*tbl_TitusWeld[[#This Row],['# of men Act]],"")</f>
        <v/>
      </c>
      <c r="O109"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09" s="71" t="str">
        <f>IFERROR((tbl_TitusWeld[[#This Row],[Adj. Total Hours]]+tbl_TitusWeld[[#This Row],[Est. Hours]])/(tbl_TitusWeld[[#This Row],[Total Hours Act]]+tbl_TitusWeld[[#This Row],[Act. Hours]]),"")</f>
        <v/>
      </c>
      <c r="S109" s="63"/>
      <c r="T109" s="63"/>
      <c r="U109" s="63"/>
      <c r="V109" s="63"/>
      <c r="W109" s="63"/>
      <c r="X109" s="63"/>
    </row>
    <row r="110" spans="6:24" ht="25" customHeight="1">
      <c r="F110" s="53"/>
      <c r="H110" s="55" t="e">
        <f>tbl_TitusWeld[[#This Row],[Qty Complete]]/tbl_TitusWeld[[#This Row],[Qty Required]]</f>
        <v>#DIV/0!</v>
      </c>
      <c r="K110" s="57" t="str">
        <f>IFERROR(tbl_TitusWeld[[#This Row],[Qty Required]]/tbl_TitusWeld[[#This Row],[PPH]]*tbl_TitusWeld[[#This Row],['# of men]],"")</f>
        <v/>
      </c>
      <c r="L110" s="58" t="e">
        <f>tbl_TitusWeld[[#This Row],[Total hours]]*tbl_TitusWeld[[#This Row],[% Complete]]</f>
        <v>#VALUE!</v>
      </c>
      <c r="M110" s="59" t="str">
        <f>IFERROR(tbl_TitusWeld[[#This Row],[Qty Complete]]/tbl_TitusWeld[[#This Row],[Total Hours Act]]*tbl_TitusWeld[[#This Row],['# of men Act]],"")</f>
        <v/>
      </c>
      <c r="O110"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10" s="71" t="str">
        <f>IFERROR((tbl_TitusWeld[[#This Row],[Adj. Total Hours]]+tbl_TitusWeld[[#This Row],[Est. Hours]])/(tbl_TitusWeld[[#This Row],[Total Hours Act]]+tbl_TitusWeld[[#This Row],[Act. Hours]]),"")</f>
        <v/>
      </c>
      <c r="S110" s="63"/>
      <c r="T110" s="63"/>
      <c r="U110" s="63"/>
      <c r="V110" s="63"/>
      <c r="W110" s="63"/>
      <c r="X110" s="63"/>
    </row>
    <row r="111" spans="6:24" ht="25" customHeight="1">
      <c r="F111" s="53"/>
      <c r="H111" s="55" t="e">
        <f>tbl_TitusWeld[[#This Row],[Qty Complete]]/tbl_TitusWeld[[#This Row],[Qty Required]]</f>
        <v>#DIV/0!</v>
      </c>
      <c r="K111" s="57" t="str">
        <f>IFERROR(tbl_TitusWeld[[#This Row],[Qty Required]]/tbl_TitusWeld[[#This Row],[PPH]]*tbl_TitusWeld[[#This Row],['# of men]],"")</f>
        <v/>
      </c>
      <c r="L111" s="58" t="e">
        <f>tbl_TitusWeld[[#This Row],[Total hours]]*tbl_TitusWeld[[#This Row],[% Complete]]</f>
        <v>#VALUE!</v>
      </c>
      <c r="M111" s="59" t="str">
        <f>IFERROR(tbl_TitusWeld[[#This Row],[Qty Complete]]/tbl_TitusWeld[[#This Row],[Total Hours Act]]*tbl_TitusWeld[[#This Row],['# of men Act]],"")</f>
        <v/>
      </c>
      <c r="O111"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11" s="71" t="str">
        <f>IFERROR((tbl_TitusWeld[[#This Row],[Adj. Total Hours]]+tbl_TitusWeld[[#This Row],[Est. Hours]])/(tbl_TitusWeld[[#This Row],[Total Hours Act]]+tbl_TitusWeld[[#This Row],[Act. Hours]]),"")</f>
        <v/>
      </c>
      <c r="S111" s="63"/>
      <c r="T111" s="63"/>
      <c r="U111" s="63"/>
      <c r="V111" s="63"/>
      <c r="W111" s="63"/>
      <c r="X111" s="63"/>
    </row>
    <row r="112" spans="6:24" ht="25" customHeight="1">
      <c r="F112" s="53"/>
      <c r="H112" s="55" t="e">
        <f>tbl_TitusWeld[[#This Row],[Qty Complete]]/tbl_TitusWeld[[#This Row],[Qty Required]]</f>
        <v>#DIV/0!</v>
      </c>
      <c r="K112" s="57" t="str">
        <f>IFERROR(tbl_TitusWeld[[#This Row],[Qty Required]]/tbl_TitusWeld[[#This Row],[PPH]]*tbl_TitusWeld[[#This Row],['# of men]],"")</f>
        <v/>
      </c>
      <c r="L112" s="58" t="e">
        <f>tbl_TitusWeld[[#This Row],[Total hours]]*tbl_TitusWeld[[#This Row],[% Complete]]</f>
        <v>#VALUE!</v>
      </c>
      <c r="M112" s="59" t="str">
        <f>IFERROR(tbl_TitusWeld[[#This Row],[Qty Complete]]/tbl_TitusWeld[[#This Row],[Total Hours Act]]*tbl_TitusWeld[[#This Row],['# of men Act]],"")</f>
        <v/>
      </c>
      <c r="O112"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12" s="71" t="str">
        <f>IFERROR((tbl_TitusWeld[[#This Row],[Adj. Total Hours]]+tbl_TitusWeld[[#This Row],[Est. Hours]])/(tbl_TitusWeld[[#This Row],[Total Hours Act]]+tbl_TitusWeld[[#This Row],[Act. Hours]]),"")</f>
        <v/>
      </c>
      <c r="S112" s="63"/>
      <c r="T112" s="63"/>
      <c r="U112" s="63"/>
      <c r="V112" s="63"/>
      <c r="W112" s="63"/>
      <c r="X112" s="63"/>
    </row>
    <row r="113" spans="6:24" ht="25" customHeight="1">
      <c r="F113" s="53"/>
      <c r="H113" s="55" t="e">
        <f>tbl_TitusWeld[[#This Row],[Qty Complete]]/tbl_TitusWeld[[#This Row],[Qty Required]]</f>
        <v>#DIV/0!</v>
      </c>
      <c r="K113" s="57" t="str">
        <f>IFERROR(tbl_TitusWeld[[#This Row],[Qty Required]]/tbl_TitusWeld[[#This Row],[PPH]]*tbl_TitusWeld[[#This Row],['# of men]],"")</f>
        <v/>
      </c>
      <c r="L113" s="58" t="e">
        <f>tbl_TitusWeld[[#This Row],[Total hours]]*tbl_TitusWeld[[#This Row],[% Complete]]</f>
        <v>#VALUE!</v>
      </c>
      <c r="M113" s="59" t="str">
        <f>IFERROR(tbl_TitusWeld[[#This Row],[Qty Complete]]/tbl_TitusWeld[[#This Row],[Total Hours Act]]*tbl_TitusWeld[[#This Row],['# of men Act]],"")</f>
        <v/>
      </c>
      <c r="O113"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13" s="71" t="str">
        <f>IFERROR((tbl_TitusWeld[[#This Row],[Adj. Total Hours]]+tbl_TitusWeld[[#This Row],[Est. Hours]])/(tbl_TitusWeld[[#This Row],[Total Hours Act]]+tbl_TitusWeld[[#This Row],[Act. Hours]]),"")</f>
        <v/>
      </c>
      <c r="S113" s="63"/>
      <c r="T113" s="63"/>
      <c r="U113" s="63"/>
      <c r="V113" s="63"/>
      <c r="W113" s="63"/>
      <c r="X113" s="63"/>
    </row>
    <row r="114" spans="6:24" ht="25" customHeight="1">
      <c r="F114" s="53"/>
      <c r="H114" s="55" t="e">
        <f>tbl_TitusWeld[[#This Row],[Qty Complete]]/tbl_TitusWeld[[#This Row],[Qty Required]]</f>
        <v>#DIV/0!</v>
      </c>
      <c r="K114" s="57" t="str">
        <f>IFERROR(tbl_TitusWeld[[#This Row],[Qty Required]]/tbl_TitusWeld[[#This Row],[PPH]]*tbl_TitusWeld[[#This Row],['# of men]],"")</f>
        <v/>
      </c>
      <c r="L114" s="58" t="e">
        <f>tbl_TitusWeld[[#This Row],[Total hours]]*tbl_TitusWeld[[#This Row],[% Complete]]</f>
        <v>#VALUE!</v>
      </c>
      <c r="M114" s="59" t="str">
        <f>IFERROR(tbl_TitusWeld[[#This Row],[Qty Complete]]/tbl_TitusWeld[[#This Row],[Total Hours Act]]*tbl_TitusWeld[[#This Row],['# of men Act]],"")</f>
        <v/>
      </c>
      <c r="O114"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14" s="71" t="str">
        <f>IFERROR((tbl_TitusWeld[[#This Row],[Adj. Total Hours]]+tbl_TitusWeld[[#This Row],[Est. Hours]])/(tbl_TitusWeld[[#This Row],[Total Hours Act]]+tbl_TitusWeld[[#This Row],[Act. Hours]]),"")</f>
        <v/>
      </c>
      <c r="S114" s="63"/>
      <c r="T114" s="63"/>
      <c r="U114" s="63"/>
      <c r="V114" s="63"/>
      <c r="W114" s="63"/>
      <c r="X114" s="63"/>
    </row>
    <row r="115" spans="6:24" ht="25" customHeight="1">
      <c r="F115" s="53"/>
      <c r="H115" s="55" t="e">
        <f>tbl_TitusWeld[[#This Row],[Qty Complete]]/tbl_TitusWeld[[#This Row],[Qty Required]]</f>
        <v>#DIV/0!</v>
      </c>
      <c r="K115" s="57" t="str">
        <f>IFERROR(tbl_TitusWeld[[#This Row],[Qty Required]]/tbl_TitusWeld[[#This Row],[PPH]]*tbl_TitusWeld[[#This Row],['# of men]],"")</f>
        <v/>
      </c>
      <c r="L115" s="58" t="e">
        <f>tbl_TitusWeld[[#This Row],[Total hours]]*tbl_TitusWeld[[#This Row],[% Complete]]</f>
        <v>#VALUE!</v>
      </c>
      <c r="M115" s="59" t="str">
        <f>IFERROR(tbl_TitusWeld[[#This Row],[Qty Complete]]/tbl_TitusWeld[[#This Row],[Total Hours Act]]*tbl_TitusWeld[[#This Row],['# of men Act]],"")</f>
        <v/>
      </c>
      <c r="O115"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15" s="71" t="str">
        <f>IFERROR((tbl_TitusWeld[[#This Row],[Adj. Total Hours]]+tbl_TitusWeld[[#This Row],[Est. Hours]])/(tbl_TitusWeld[[#This Row],[Total Hours Act]]+tbl_TitusWeld[[#This Row],[Act. Hours]]),"")</f>
        <v/>
      </c>
      <c r="S115" s="63"/>
      <c r="T115" s="63"/>
      <c r="U115" s="63"/>
      <c r="V115" s="63"/>
      <c r="W115" s="63"/>
      <c r="X115" s="63"/>
    </row>
    <row r="116" spans="6:24" ht="25" customHeight="1">
      <c r="F116" s="53"/>
      <c r="H116" s="55" t="e">
        <f>tbl_TitusWeld[[#This Row],[Qty Complete]]/tbl_TitusWeld[[#This Row],[Qty Required]]</f>
        <v>#DIV/0!</v>
      </c>
      <c r="K116" s="57" t="str">
        <f>IFERROR(tbl_TitusWeld[[#This Row],[Qty Required]]/tbl_TitusWeld[[#This Row],[PPH]]*tbl_TitusWeld[[#This Row],['# of men]],"")</f>
        <v/>
      </c>
      <c r="L116" s="58" t="e">
        <f>tbl_TitusWeld[[#This Row],[Total hours]]*tbl_TitusWeld[[#This Row],[% Complete]]</f>
        <v>#VALUE!</v>
      </c>
      <c r="M116" s="59" t="str">
        <f>IFERROR(tbl_TitusWeld[[#This Row],[Qty Complete]]/tbl_TitusWeld[[#This Row],[Total Hours Act]]*tbl_TitusWeld[[#This Row],['# of men Act]],"")</f>
        <v/>
      </c>
      <c r="O116"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16" s="71" t="str">
        <f>IFERROR((tbl_TitusWeld[[#This Row],[Adj. Total Hours]]+tbl_TitusWeld[[#This Row],[Est. Hours]])/(tbl_TitusWeld[[#This Row],[Total Hours Act]]+tbl_TitusWeld[[#This Row],[Act. Hours]]),"")</f>
        <v/>
      </c>
      <c r="S116" s="63"/>
      <c r="T116" s="63"/>
      <c r="U116" s="63"/>
      <c r="V116" s="63"/>
      <c r="W116" s="63"/>
      <c r="X116" s="63"/>
    </row>
    <row r="117" spans="6:24" ht="25" customHeight="1">
      <c r="F117" s="53"/>
      <c r="H117" s="55" t="e">
        <f>tbl_TitusWeld[[#This Row],[Qty Complete]]/tbl_TitusWeld[[#This Row],[Qty Required]]</f>
        <v>#DIV/0!</v>
      </c>
      <c r="K117" s="57" t="str">
        <f>IFERROR(tbl_TitusWeld[[#This Row],[Qty Required]]/tbl_TitusWeld[[#This Row],[PPH]]*tbl_TitusWeld[[#This Row],['# of men]],"")</f>
        <v/>
      </c>
      <c r="L117" s="58" t="e">
        <f>tbl_TitusWeld[[#This Row],[Total hours]]*tbl_TitusWeld[[#This Row],[% Complete]]</f>
        <v>#VALUE!</v>
      </c>
      <c r="M117" s="59" t="str">
        <f>IFERROR(tbl_TitusWeld[[#This Row],[Qty Complete]]/tbl_TitusWeld[[#This Row],[Total Hours Act]]*tbl_TitusWeld[[#This Row],['# of men Act]],"")</f>
        <v/>
      </c>
      <c r="O117"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17" s="71" t="str">
        <f>IFERROR((tbl_TitusWeld[[#This Row],[Adj. Total Hours]]+tbl_TitusWeld[[#This Row],[Est. Hours]])/(tbl_TitusWeld[[#This Row],[Total Hours Act]]+tbl_TitusWeld[[#This Row],[Act. Hours]]),"")</f>
        <v/>
      </c>
      <c r="S117" s="63"/>
      <c r="T117" s="63"/>
      <c r="U117" s="63"/>
      <c r="V117" s="63"/>
      <c r="W117" s="63"/>
      <c r="X117" s="63"/>
    </row>
    <row r="118" spans="6:24" ht="25" customHeight="1">
      <c r="F118" s="53"/>
      <c r="H118" s="55" t="e">
        <f>tbl_TitusWeld[[#This Row],[Qty Complete]]/tbl_TitusWeld[[#This Row],[Qty Required]]</f>
        <v>#DIV/0!</v>
      </c>
      <c r="K118" s="57" t="str">
        <f>IFERROR(tbl_TitusWeld[[#This Row],[Qty Required]]/tbl_TitusWeld[[#This Row],[PPH]]*tbl_TitusWeld[[#This Row],['# of men]],"")</f>
        <v/>
      </c>
      <c r="L118" s="58" t="e">
        <f>tbl_TitusWeld[[#This Row],[Total hours]]*tbl_TitusWeld[[#This Row],[% Complete]]</f>
        <v>#VALUE!</v>
      </c>
      <c r="M118" s="59" t="str">
        <f>IFERROR(tbl_TitusWeld[[#This Row],[Qty Complete]]/tbl_TitusWeld[[#This Row],[Total Hours Act]]*tbl_TitusWeld[[#This Row],['# of men Act]],"")</f>
        <v/>
      </c>
      <c r="O118"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18" s="71" t="str">
        <f>IFERROR((tbl_TitusWeld[[#This Row],[Adj. Total Hours]]+tbl_TitusWeld[[#This Row],[Est. Hours]])/(tbl_TitusWeld[[#This Row],[Total Hours Act]]+tbl_TitusWeld[[#This Row],[Act. Hours]]),"")</f>
        <v/>
      </c>
      <c r="S118" s="63"/>
      <c r="T118" s="63"/>
      <c r="U118" s="63"/>
      <c r="V118" s="63"/>
      <c r="W118" s="63"/>
      <c r="X118" s="63"/>
    </row>
    <row r="119" spans="6:24" ht="25" customHeight="1">
      <c r="F119" s="53"/>
      <c r="H119" s="55" t="e">
        <f>tbl_TitusWeld[[#This Row],[Qty Complete]]/tbl_TitusWeld[[#This Row],[Qty Required]]</f>
        <v>#DIV/0!</v>
      </c>
      <c r="K119" s="57" t="str">
        <f>IFERROR(tbl_TitusWeld[[#This Row],[Qty Required]]/tbl_TitusWeld[[#This Row],[PPH]]*tbl_TitusWeld[[#This Row],['# of men]],"")</f>
        <v/>
      </c>
      <c r="L119" s="58" t="e">
        <f>tbl_TitusWeld[[#This Row],[Total hours]]*tbl_TitusWeld[[#This Row],[% Complete]]</f>
        <v>#VALUE!</v>
      </c>
      <c r="M119" s="59" t="str">
        <f>IFERROR(tbl_TitusWeld[[#This Row],[Qty Complete]]/tbl_TitusWeld[[#This Row],[Total Hours Act]]*tbl_TitusWeld[[#This Row],['# of men Act]],"")</f>
        <v/>
      </c>
      <c r="O119"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19" s="71" t="str">
        <f>IFERROR((tbl_TitusWeld[[#This Row],[Adj. Total Hours]]+tbl_TitusWeld[[#This Row],[Est. Hours]])/(tbl_TitusWeld[[#This Row],[Total Hours Act]]+tbl_TitusWeld[[#This Row],[Act. Hours]]),"")</f>
        <v/>
      </c>
      <c r="S119" s="63"/>
      <c r="T119" s="63"/>
      <c r="U119" s="63"/>
      <c r="V119" s="63"/>
      <c r="W119" s="63"/>
      <c r="X119" s="63"/>
    </row>
    <row r="120" spans="6:24" ht="25" customHeight="1">
      <c r="F120" s="53"/>
      <c r="H120" s="55" t="e">
        <f>tbl_TitusWeld[[#This Row],[Qty Complete]]/tbl_TitusWeld[[#This Row],[Qty Required]]</f>
        <v>#DIV/0!</v>
      </c>
      <c r="K120" s="57" t="str">
        <f>IFERROR(tbl_TitusWeld[[#This Row],[Qty Required]]/tbl_TitusWeld[[#This Row],[PPH]]*tbl_TitusWeld[[#This Row],['# of men]],"")</f>
        <v/>
      </c>
      <c r="L120" s="58" t="e">
        <f>tbl_TitusWeld[[#This Row],[Total hours]]*tbl_TitusWeld[[#This Row],[% Complete]]</f>
        <v>#VALUE!</v>
      </c>
      <c r="M120" s="59" t="str">
        <f>IFERROR(tbl_TitusWeld[[#This Row],[Qty Complete]]/tbl_TitusWeld[[#This Row],[Total Hours Act]]*tbl_TitusWeld[[#This Row],['# of men Act]],"")</f>
        <v/>
      </c>
      <c r="O120"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20" s="71" t="str">
        <f>IFERROR((tbl_TitusWeld[[#This Row],[Adj. Total Hours]]+tbl_TitusWeld[[#This Row],[Est. Hours]])/(tbl_TitusWeld[[#This Row],[Total Hours Act]]+tbl_TitusWeld[[#This Row],[Act. Hours]]),"")</f>
        <v/>
      </c>
      <c r="S120" s="63"/>
      <c r="T120" s="63"/>
      <c r="U120" s="63"/>
      <c r="V120" s="63"/>
      <c r="W120" s="63"/>
      <c r="X120" s="63"/>
    </row>
    <row r="121" spans="6:24" ht="25" customHeight="1">
      <c r="F121" s="53"/>
      <c r="H121" s="55" t="e">
        <f>tbl_TitusWeld[[#This Row],[Qty Complete]]/tbl_TitusWeld[[#This Row],[Qty Required]]</f>
        <v>#DIV/0!</v>
      </c>
      <c r="K121" s="57" t="str">
        <f>IFERROR(tbl_TitusWeld[[#This Row],[Qty Required]]/tbl_TitusWeld[[#This Row],[PPH]]*tbl_TitusWeld[[#This Row],['# of men]],"")</f>
        <v/>
      </c>
      <c r="L121" s="58" t="e">
        <f>tbl_TitusWeld[[#This Row],[Total hours]]*tbl_TitusWeld[[#This Row],[% Complete]]</f>
        <v>#VALUE!</v>
      </c>
      <c r="M121" s="59" t="str">
        <f>IFERROR(tbl_TitusWeld[[#This Row],[Qty Complete]]/tbl_TitusWeld[[#This Row],[Total Hours Act]]*tbl_TitusWeld[[#This Row],['# of men Act]],"")</f>
        <v/>
      </c>
      <c r="O121"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21" s="71" t="str">
        <f>IFERROR((tbl_TitusWeld[[#This Row],[Adj. Total Hours]]+tbl_TitusWeld[[#This Row],[Est. Hours]])/(tbl_TitusWeld[[#This Row],[Total Hours Act]]+tbl_TitusWeld[[#This Row],[Act. Hours]]),"")</f>
        <v/>
      </c>
      <c r="S121" s="63"/>
      <c r="T121" s="63"/>
      <c r="U121" s="63"/>
      <c r="V121" s="63"/>
      <c r="W121" s="63"/>
      <c r="X121" s="63"/>
    </row>
    <row r="122" spans="6:24" ht="25" customHeight="1">
      <c r="F122" s="53"/>
      <c r="H122" s="55" t="e">
        <f>tbl_TitusWeld[[#This Row],[Qty Complete]]/tbl_TitusWeld[[#This Row],[Qty Required]]</f>
        <v>#DIV/0!</v>
      </c>
      <c r="K122" s="57" t="str">
        <f>IFERROR(tbl_TitusWeld[[#This Row],[Qty Required]]/tbl_TitusWeld[[#This Row],[PPH]]*tbl_TitusWeld[[#This Row],['# of men]],"")</f>
        <v/>
      </c>
      <c r="L122" s="58" t="e">
        <f>tbl_TitusWeld[[#This Row],[Total hours]]*tbl_TitusWeld[[#This Row],[% Complete]]</f>
        <v>#VALUE!</v>
      </c>
      <c r="M122" s="59" t="str">
        <f>IFERROR(tbl_TitusWeld[[#This Row],[Qty Complete]]/tbl_TitusWeld[[#This Row],[Total Hours Act]]*tbl_TitusWeld[[#This Row],['# of men Act]],"")</f>
        <v/>
      </c>
      <c r="O122"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22" s="71" t="str">
        <f>IFERROR((tbl_TitusWeld[[#This Row],[Adj. Total Hours]]+tbl_TitusWeld[[#This Row],[Est. Hours]])/(tbl_TitusWeld[[#This Row],[Total Hours Act]]+tbl_TitusWeld[[#This Row],[Act. Hours]]),"")</f>
        <v/>
      </c>
      <c r="S122" s="63"/>
      <c r="T122" s="63"/>
      <c r="U122" s="63"/>
      <c r="V122" s="63"/>
      <c r="W122" s="63"/>
      <c r="X122" s="63"/>
    </row>
    <row r="123" spans="6:24" ht="25" customHeight="1">
      <c r="F123" s="53"/>
      <c r="H123" s="55" t="e">
        <f>tbl_TitusWeld[[#This Row],[Qty Complete]]/tbl_TitusWeld[[#This Row],[Qty Required]]</f>
        <v>#DIV/0!</v>
      </c>
      <c r="K123" s="57" t="str">
        <f>IFERROR(tbl_TitusWeld[[#This Row],[Qty Required]]/tbl_TitusWeld[[#This Row],[PPH]]*tbl_TitusWeld[[#This Row],['# of men]],"")</f>
        <v/>
      </c>
      <c r="L123" s="58" t="e">
        <f>tbl_TitusWeld[[#This Row],[Total hours]]*tbl_TitusWeld[[#This Row],[% Complete]]</f>
        <v>#VALUE!</v>
      </c>
      <c r="M123" s="59" t="str">
        <f>IFERROR(tbl_TitusWeld[[#This Row],[Qty Complete]]/tbl_TitusWeld[[#This Row],[Total Hours Act]]*tbl_TitusWeld[[#This Row],['# of men Act]],"")</f>
        <v/>
      </c>
      <c r="O123"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23" s="71" t="str">
        <f>IFERROR((tbl_TitusWeld[[#This Row],[Adj. Total Hours]]+tbl_TitusWeld[[#This Row],[Est. Hours]])/(tbl_TitusWeld[[#This Row],[Total Hours Act]]+tbl_TitusWeld[[#This Row],[Act. Hours]]),"")</f>
        <v/>
      </c>
      <c r="S123" s="63"/>
      <c r="T123" s="63"/>
      <c r="U123" s="63"/>
      <c r="V123" s="63"/>
      <c r="W123" s="63"/>
      <c r="X123" s="63"/>
    </row>
    <row r="124" spans="6:24" ht="25" customHeight="1">
      <c r="F124" s="53"/>
      <c r="H124" s="55" t="e">
        <f>tbl_TitusWeld[[#This Row],[Qty Complete]]/tbl_TitusWeld[[#This Row],[Qty Required]]</f>
        <v>#DIV/0!</v>
      </c>
      <c r="K124" s="57" t="str">
        <f>IFERROR(tbl_TitusWeld[[#This Row],[Qty Required]]/tbl_TitusWeld[[#This Row],[PPH]]*tbl_TitusWeld[[#This Row],['# of men]],"")</f>
        <v/>
      </c>
      <c r="L124" s="58" t="e">
        <f>tbl_TitusWeld[[#This Row],[Total hours]]*tbl_TitusWeld[[#This Row],[% Complete]]</f>
        <v>#VALUE!</v>
      </c>
      <c r="M124" s="59" t="str">
        <f>IFERROR(tbl_TitusWeld[[#This Row],[Qty Complete]]/tbl_TitusWeld[[#This Row],[Total Hours Act]]*tbl_TitusWeld[[#This Row],['# of men Act]],"")</f>
        <v/>
      </c>
      <c r="O124"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24" s="71" t="str">
        <f>IFERROR((tbl_TitusWeld[[#This Row],[Adj. Total Hours]]+tbl_TitusWeld[[#This Row],[Est. Hours]])/(tbl_TitusWeld[[#This Row],[Total Hours Act]]+tbl_TitusWeld[[#This Row],[Act. Hours]]),"")</f>
        <v/>
      </c>
      <c r="S124" s="63"/>
      <c r="T124" s="63"/>
      <c r="U124" s="63"/>
      <c r="V124" s="63"/>
      <c r="W124" s="63"/>
      <c r="X124" s="63"/>
    </row>
    <row r="125" spans="6:24" ht="25" customHeight="1">
      <c r="F125" s="53"/>
      <c r="H125" s="55" t="e">
        <f>tbl_TitusWeld[[#This Row],[Qty Complete]]/tbl_TitusWeld[[#This Row],[Qty Required]]</f>
        <v>#DIV/0!</v>
      </c>
      <c r="K125" s="57" t="str">
        <f>IFERROR(tbl_TitusWeld[[#This Row],[Qty Required]]/tbl_TitusWeld[[#This Row],[PPH]]*tbl_TitusWeld[[#This Row],['# of men]],"")</f>
        <v/>
      </c>
      <c r="L125" s="58" t="e">
        <f>tbl_TitusWeld[[#This Row],[Total hours]]*tbl_TitusWeld[[#This Row],[% Complete]]</f>
        <v>#VALUE!</v>
      </c>
      <c r="M125" s="59" t="str">
        <f>IFERROR(tbl_TitusWeld[[#This Row],[Qty Complete]]/tbl_TitusWeld[[#This Row],[Total Hours Act]]*tbl_TitusWeld[[#This Row],['# of men Act]],"")</f>
        <v/>
      </c>
      <c r="O125"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25" s="71" t="str">
        <f>IFERROR((tbl_TitusWeld[[#This Row],[Adj. Total Hours]]+tbl_TitusWeld[[#This Row],[Est. Hours]])/(tbl_TitusWeld[[#This Row],[Total Hours Act]]+tbl_TitusWeld[[#This Row],[Act. Hours]]),"")</f>
        <v/>
      </c>
      <c r="S125" s="63"/>
      <c r="T125" s="63"/>
      <c r="U125" s="63"/>
      <c r="V125" s="63"/>
      <c r="W125" s="63"/>
      <c r="X125" s="63"/>
    </row>
    <row r="126" spans="6:24" ht="25" customHeight="1">
      <c r="F126" s="53"/>
      <c r="H126" s="55" t="e">
        <f>tbl_TitusWeld[[#This Row],[Qty Complete]]/tbl_TitusWeld[[#This Row],[Qty Required]]</f>
        <v>#DIV/0!</v>
      </c>
      <c r="K126" s="57" t="str">
        <f>IFERROR(tbl_TitusWeld[[#This Row],[Qty Required]]/tbl_TitusWeld[[#This Row],[PPH]]*tbl_TitusWeld[[#This Row],['# of men]],"")</f>
        <v/>
      </c>
      <c r="L126" s="58" t="e">
        <f>tbl_TitusWeld[[#This Row],[Total hours]]*tbl_TitusWeld[[#This Row],[% Complete]]</f>
        <v>#VALUE!</v>
      </c>
      <c r="M126" s="59" t="str">
        <f>IFERROR(tbl_TitusWeld[[#This Row],[Qty Complete]]/tbl_TitusWeld[[#This Row],[Total Hours Act]]*tbl_TitusWeld[[#This Row],['# of men Act]],"")</f>
        <v/>
      </c>
      <c r="O126"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26" s="71" t="str">
        <f>IFERROR((tbl_TitusWeld[[#This Row],[Adj. Total Hours]]+tbl_TitusWeld[[#This Row],[Est. Hours]])/(tbl_TitusWeld[[#This Row],[Total Hours Act]]+tbl_TitusWeld[[#This Row],[Act. Hours]]),"")</f>
        <v/>
      </c>
      <c r="S126" s="63"/>
      <c r="T126" s="63"/>
      <c r="U126" s="63"/>
      <c r="V126" s="63"/>
      <c r="W126" s="63"/>
      <c r="X126" s="63"/>
    </row>
    <row r="127" spans="6:24" ht="25" customHeight="1">
      <c r="F127" s="53"/>
      <c r="H127" s="55" t="e">
        <f>tbl_TitusWeld[[#This Row],[Qty Complete]]/tbl_TitusWeld[[#This Row],[Qty Required]]</f>
        <v>#DIV/0!</v>
      </c>
      <c r="K127" s="57" t="str">
        <f>IFERROR(tbl_TitusWeld[[#This Row],[Qty Required]]/tbl_TitusWeld[[#This Row],[PPH]]*tbl_TitusWeld[[#This Row],['# of men]],"")</f>
        <v/>
      </c>
      <c r="L127" s="58" t="e">
        <f>tbl_TitusWeld[[#This Row],[Total hours]]*tbl_TitusWeld[[#This Row],[% Complete]]</f>
        <v>#VALUE!</v>
      </c>
      <c r="M127" s="59" t="str">
        <f>IFERROR(tbl_TitusWeld[[#This Row],[Qty Complete]]/tbl_TitusWeld[[#This Row],[Total Hours Act]]*tbl_TitusWeld[[#This Row],['# of men Act]],"")</f>
        <v/>
      </c>
      <c r="O127"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27" s="71" t="str">
        <f>IFERROR((tbl_TitusWeld[[#This Row],[Adj. Total Hours]]+tbl_TitusWeld[[#This Row],[Est. Hours]])/(tbl_TitusWeld[[#This Row],[Total Hours Act]]+tbl_TitusWeld[[#This Row],[Act. Hours]]),"")</f>
        <v/>
      </c>
      <c r="S127" s="63"/>
      <c r="T127" s="63"/>
      <c r="U127" s="63"/>
      <c r="V127" s="63"/>
      <c r="W127" s="63"/>
      <c r="X127" s="63"/>
    </row>
    <row r="128" spans="6:24" ht="25" customHeight="1">
      <c r="F128" s="53"/>
      <c r="H128" s="55" t="e">
        <f>tbl_TitusWeld[[#This Row],[Qty Complete]]/tbl_TitusWeld[[#This Row],[Qty Required]]</f>
        <v>#DIV/0!</v>
      </c>
      <c r="K128" s="57" t="str">
        <f>IFERROR(tbl_TitusWeld[[#This Row],[Qty Required]]/tbl_TitusWeld[[#This Row],[PPH]]*tbl_TitusWeld[[#This Row],['# of men]],"")</f>
        <v/>
      </c>
      <c r="L128" s="58" t="e">
        <f>tbl_TitusWeld[[#This Row],[Total hours]]*tbl_TitusWeld[[#This Row],[% Complete]]</f>
        <v>#VALUE!</v>
      </c>
      <c r="M128" s="59" t="str">
        <f>IFERROR(tbl_TitusWeld[[#This Row],[Qty Complete]]/tbl_TitusWeld[[#This Row],[Total Hours Act]]*tbl_TitusWeld[[#This Row],['# of men Act]],"")</f>
        <v/>
      </c>
      <c r="O128"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28" s="71" t="str">
        <f>IFERROR((tbl_TitusWeld[[#This Row],[Adj. Total Hours]]+tbl_TitusWeld[[#This Row],[Est. Hours]])/(tbl_TitusWeld[[#This Row],[Total Hours Act]]+tbl_TitusWeld[[#This Row],[Act. Hours]]),"")</f>
        <v/>
      </c>
      <c r="S128" s="63"/>
      <c r="T128" s="63"/>
      <c r="U128" s="63"/>
      <c r="V128" s="63"/>
      <c r="W128" s="63"/>
      <c r="X128" s="63"/>
    </row>
    <row r="129" spans="6:24" ht="25" customHeight="1">
      <c r="F129" s="53"/>
      <c r="H129" s="55" t="e">
        <f>tbl_TitusWeld[[#This Row],[Qty Complete]]/tbl_TitusWeld[[#This Row],[Qty Required]]</f>
        <v>#DIV/0!</v>
      </c>
      <c r="K129" s="57" t="str">
        <f>IFERROR(tbl_TitusWeld[[#This Row],[Qty Required]]/tbl_TitusWeld[[#This Row],[PPH]]*tbl_TitusWeld[[#This Row],['# of men]],"")</f>
        <v/>
      </c>
      <c r="L129" s="58" t="e">
        <f>tbl_TitusWeld[[#This Row],[Total hours]]*tbl_TitusWeld[[#This Row],[% Complete]]</f>
        <v>#VALUE!</v>
      </c>
      <c r="M129" s="59" t="str">
        <f>IFERROR(tbl_TitusWeld[[#This Row],[Qty Complete]]/tbl_TitusWeld[[#This Row],[Total Hours Act]]*tbl_TitusWeld[[#This Row],['# of men Act]],"")</f>
        <v/>
      </c>
      <c r="O129"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29" s="71" t="str">
        <f>IFERROR((tbl_TitusWeld[[#This Row],[Adj. Total Hours]]+tbl_TitusWeld[[#This Row],[Est. Hours]])/(tbl_TitusWeld[[#This Row],[Total Hours Act]]+tbl_TitusWeld[[#This Row],[Act. Hours]]),"")</f>
        <v/>
      </c>
      <c r="S129" s="63"/>
      <c r="T129" s="63"/>
      <c r="U129" s="63"/>
      <c r="V129" s="63"/>
      <c r="W129" s="63"/>
      <c r="X129" s="63"/>
    </row>
    <row r="130" spans="6:24" ht="25" customHeight="1">
      <c r="F130" s="53"/>
      <c r="H130" s="55" t="e">
        <f>tbl_TitusWeld[[#This Row],[Qty Complete]]/tbl_TitusWeld[[#This Row],[Qty Required]]</f>
        <v>#DIV/0!</v>
      </c>
      <c r="K130" s="57" t="str">
        <f>IFERROR(tbl_TitusWeld[[#This Row],[Qty Required]]/tbl_TitusWeld[[#This Row],[PPH]]*tbl_TitusWeld[[#This Row],['# of men]],"")</f>
        <v/>
      </c>
      <c r="L130" s="58" t="e">
        <f>tbl_TitusWeld[[#This Row],[Total hours]]*tbl_TitusWeld[[#This Row],[% Complete]]</f>
        <v>#VALUE!</v>
      </c>
      <c r="M130" s="59" t="str">
        <f>IFERROR(tbl_TitusWeld[[#This Row],[Qty Complete]]/tbl_TitusWeld[[#This Row],[Total Hours Act]]*tbl_TitusWeld[[#This Row],['# of men Act]],"")</f>
        <v/>
      </c>
      <c r="O130"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30" s="71" t="str">
        <f>IFERROR((tbl_TitusWeld[[#This Row],[Adj. Total Hours]]+tbl_TitusWeld[[#This Row],[Est. Hours]])/(tbl_TitusWeld[[#This Row],[Total Hours Act]]+tbl_TitusWeld[[#This Row],[Act. Hours]]),"")</f>
        <v/>
      </c>
      <c r="S130" s="63"/>
      <c r="T130" s="63"/>
      <c r="U130" s="63"/>
      <c r="V130" s="63"/>
      <c r="W130" s="63"/>
      <c r="X130" s="63"/>
    </row>
    <row r="131" spans="6:24" ht="25" customHeight="1">
      <c r="F131" s="53"/>
      <c r="H131" s="55" t="e">
        <f>tbl_TitusWeld[[#This Row],[Qty Complete]]/tbl_TitusWeld[[#This Row],[Qty Required]]</f>
        <v>#DIV/0!</v>
      </c>
      <c r="K131" s="57" t="str">
        <f>IFERROR(tbl_TitusWeld[[#This Row],[Qty Required]]/tbl_TitusWeld[[#This Row],[PPH]]*tbl_TitusWeld[[#This Row],['# of men]],"")</f>
        <v/>
      </c>
      <c r="L131" s="58" t="e">
        <f>tbl_TitusWeld[[#This Row],[Total hours]]*tbl_TitusWeld[[#This Row],[% Complete]]</f>
        <v>#VALUE!</v>
      </c>
      <c r="M131" s="59" t="str">
        <f>IFERROR(tbl_TitusWeld[[#This Row],[Qty Complete]]/tbl_TitusWeld[[#This Row],[Total Hours Act]]*tbl_TitusWeld[[#This Row],['# of men Act]],"")</f>
        <v/>
      </c>
      <c r="O131"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31" s="71" t="str">
        <f>IFERROR((tbl_TitusWeld[[#This Row],[Adj. Total Hours]]+tbl_TitusWeld[[#This Row],[Est. Hours]])/(tbl_TitusWeld[[#This Row],[Total Hours Act]]+tbl_TitusWeld[[#This Row],[Act. Hours]]),"")</f>
        <v/>
      </c>
      <c r="S131" s="63"/>
      <c r="T131" s="63"/>
      <c r="U131" s="63"/>
      <c r="V131" s="63"/>
      <c r="W131" s="63"/>
      <c r="X131" s="63"/>
    </row>
    <row r="132" spans="6:24" ht="25" customHeight="1">
      <c r="F132" s="53"/>
      <c r="H132" s="55" t="e">
        <f>tbl_TitusWeld[[#This Row],[Qty Complete]]/tbl_TitusWeld[[#This Row],[Qty Required]]</f>
        <v>#DIV/0!</v>
      </c>
      <c r="K132" s="57" t="str">
        <f>IFERROR(tbl_TitusWeld[[#This Row],[Qty Required]]/tbl_TitusWeld[[#This Row],[PPH]]*tbl_TitusWeld[[#This Row],['# of men]],"")</f>
        <v/>
      </c>
      <c r="L132" s="58" t="e">
        <f>tbl_TitusWeld[[#This Row],[Total hours]]*tbl_TitusWeld[[#This Row],[% Complete]]</f>
        <v>#VALUE!</v>
      </c>
      <c r="M132" s="59" t="str">
        <f>IFERROR(tbl_TitusWeld[[#This Row],[Qty Complete]]/tbl_TitusWeld[[#This Row],[Total Hours Act]]*tbl_TitusWeld[[#This Row],['# of men Act]],"")</f>
        <v/>
      </c>
      <c r="O132"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32" s="71" t="str">
        <f>IFERROR((tbl_TitusWeld[[#This Row],[Adj. Total Hours]]+tbl_TitusWeld[[#This Row],[Est. Hours]])/(tbl_TitusWeld[[#This Row],[Total Hours Act]]+tbl_TitusWeld[[#This Row],[Act. Hours]]),"")</f>
        <v/>
      </c>
      <c r="S132" s="63"/>
      <c r="T132" s="63"/>
      <c r="U132" s="63"/>
      <c r="V132" s="63"/>
      <c r="W132" s="63"/>
      <c r="X132" s="63"/>
    </row>
    <row r="133" spans="6:24" ht="25" customHeight="1">
      <c r="F133" s="53"/>
      <c r="H133" s="55" t="e">
        <f>tbl_TitusWeld[[#This Row],[Qty Complete]]/tbl_TitusWeld[[#This Row],[Qty Required]]</f>
        <v>#DIV/0!</v>
      </c>
      <c r="K133" s="57" t="str">
        <f>IFERROR(tbl_TitusWeld[[#This Row],[Qty Required]]/tbl_TitusWeld[[#This Row],[PPH]]*tbl_TitusWeld[[#This Row],['# of men]],"")</f>
        <v/>
      </c>
      <c r="L133" s="58" t="e">
        <f>tbl_TitusWeld[[#This Row],[Total hours]]*tbl_TitusWeld[[#This Row],[% Complete]]</f>
        <v>#VALUE!</v>
      </c>
      <c r="M133" s="59" t="str">
        <f>IFERROR(tbl_TitusWeld[[#This Row],[Qty Complete]]/tbl_TitusWeld[[#This Row],[Total Hours Act]]*tbl_TitusWeld[[#This Row],['# of men Act]],"")</f>
        <v/>
      </c>
      <c r="O133"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33" s="71" t="str">
        <f>IFERROR((tbl_TitusWeld[[#This Row],[Adj. Total Hours]]+tbl_TitusWeld[[#This Row],[Est. Hours]])/(tbl_TitusWeld[[#This Row],[Total Hours Act]]+tbl_TitusWeld[[#This Row],[Act. Hours]]),"")</f>
        <v/>
      </c>
      <c r="S133" s="63"/>
      <c r="T133" s="63"/>
      <c r="U133" s="63"/>
      <c r="V133" s="63"/>
      <c r="W133" s="63"/>
      <c r="X133" s="63"/>
    </row>
    <row r="134" spans="6:24" ht="25" customHeight="1">
      <c r="F134" s="53"/>
      <c r="H134" s="55" t="e">
        <f>tbl_TitusWeld[[#This Row],[Qty Complete]]/tbl_TitusWeld[[#This Row],[Qty Required]]</f>
        <v>#DIV/0!</v>
      </c>
      <c r="K134" s="57" t="str">
        <f>IFERROR(tbl_TitusWeld[[#This Row],[Qty Required]]/tbl_TitusWeld[[#This Row],[PPH]]*tbl_TitusWeld[[#This Row],['# of men]],"")</f>
        <v/>
      </c>
      <c r="L134" s="58" t="e">
        <f>tbl_TitusWeld[[#This Row],[Total hours]]*tbl_TitusWeld[[#This Row],[% Complete]]</f>
        <v>#VALUE!</v>
      </c>
      <c r="M134" s="59" t="str">
        <f>IFERROR(tbl_TitusWeld[[#This Row],[Qty Complete]]/tbl_TitusWeld[[#This Row],[Total Hours Act]]*tbl_TitusWeld[[#This Row],['# of men Act]],"")</f>
        <v/>
      </c>
      <c r="O134"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34" s="71" t="str">
        <f>IFERROR((tbl_TitusWeld[[#This Row],[Adj. Total Hours]]+tbl_TitusWeld[[#This Row],[Est. Hours]])/(tbl_TitusWeld[[#This Row],[Total Hours Act]]+tbl_TitusWeld[[#This Row],[Act. Hours]]),"")</f>
        <v/>
      </c>
      <c r="S134" s="63"/>
      <c r="T134" s="63"/>
      <c r="U134" s="63"/>
      <c r="V134" s="63"/>
      <c r="W134" s="63"/>
      <c r="X134" s="63"/>
    </row>
    <row r="135" spans="6:24" ht="25" customHeight="1">
      <c r="F135" s="53"/>
      <c r="H135" s="55" t="e">
        <f>tbl_TitusWeld[[#This Row],[Qty Complete]]/tbl_TitusWeld[[#This Row],[Qty Required]]</f>
        <v>#DIV/0!</v>
      </c>
      <c r="K135" s="57" t="str">
        <f>IFERROR(tbl_TitusWeld[[#This Row],[Qty Required]]/tbl_TitusWeld[[#This Row],[PPH]]*tbl_TitusWeld[[#This Row],['# of men]],"")</f>
        <v/>
      </c>
      <c r="L135" s="58" t="e">
        <f>tbl_TitusWeld[[#This Row],[Total hours]]*tbl_TitusWeld[[#This Row],[% Complete]]</f>
        <v>#VALUE!</v>
      </c>
      <c r="M135" s="59" t="str">
        <f>IFERROR(tbl_TitusWeld[[#This Row],[Qty Complete]]/tbl_TitusWeld[[#This Row],[Total Hours Act]]*tbl_TitusWeld[[#This Row],['# of men Act]],"")</f>
        <v/>
      </c>
      <c r="O135"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35" s="71" t="str">
        <f>IFERROR((tbl_TitusWeld[[#This Row],[Adj. Total Hours]]+tbl_TitusWeld[[#This Row],[Est. Hours]])/(tbl_TitusWeld[[#This Row],[Total Hours Act]]+tbl_TitusWeld[[#This Row],[Act. Hours]]),"")</f>
        <v/>
      </c>
      <c r="S135" s="63"/>
      <c r="T135" s="63"/>
      <c r="U135" s="63"/>
      <c r="V135" s="63"/>
      <c r="W135" s="63"/>
      <c r="X135" s="63"/>
    </row>
    <row r="136" spans="6:24" ht="25" customHeight="1">
      <c r="F136" s="53"/>
      <c r="H136" s="55" t="e">
        <f>tbl_TitusWeld[[#This Row],[Qty Complete]]/tbl_TitusWeld[[#This Row],[Qty Required]]</f>
        <v>#DIV/0!</v>
      </c>
      <c r="K136" s="57" t="str">
        <f>IFERROR(tbl_TitusWeld[[#This Row],[Qty Required]]/tbl_TitusWeld[[#This Row],[PPH]]*tbl_TitusWeld[[#This Row],['# of men]],"")</f>
        <v/>
      </c>
      <c r="L136" s="58" t="e">
        <f>tbl_TitusWeld[[#This Row],[Total hours]]*tbl_TitusWeld[[#This Row],[% Complete]]</f>
        <v>#VALUE!</v>
      </c>
      <c r="M136" s="59" t="str">
        <f>IFERROR(tbl_TitusWeld[[#This Row],[Qty Complete]]/tbl_TitusWeld[[#This Row],[Total Hours Act]]*tbl_TitusWeld[[#This Row],['# of men Act]],"")</f>
        <v/>
      </c>
      <c r="O136"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36" s="71" t="str">
        <f>IFERROR((tbl_TitusWeld[[#This Row],[Adj. Total Hours]]+tbl_TitusWeld[[#This Row],[Est. Hours]])/(tbl_TitusWeld[[#This Row],[Total Hours Act]]+tbl_TitusWeld[[#This Row],[Act. Hours]]),"")</f>
        <v/>
      </c>
      <c r="S136" s="63"/>
      <c r="T136" s="63"/>
      <c r="U136" s="63"/>
      <c r="V136" s="63"/>
      <c r="W136" s="63"/>
      <c r="X136" s="63"/>
    </row>
    <row r="137" spans="6:24" ht="25" customHeight="1">
      <c r="F137" s="53"/>
      <c r="H137" s="55" t="e">
        <f>tbl_TitusWeld[[#This Row],[Qty Complete]]/tbl_TitusWeld[[#This Row],[Qty Required]]</f>
        <v>#DIV/0!</v>
      </c>
      <c r="K137" s="57" t="str">
        <f>IFERROR(tbl_TitusWeld[[#This Row],[Qty Required]]/tbl_TitusWeld[[#This Row],[PPH]]*tbl_TitusWeld[[#This Row],['# of men]],"")</f>
        <v/>
      </c>
      <c r="L137" s="58" t="e">
        <f>tbl_TitusWeld[[#This Row],[Total hours]]*tbl_TitusWeld[[#This Row],[% Complete]]</f>
        <v>#VALUE!</v>
      </c>
      <c r="M137" s="59" t="str">
        <f>IFERROR(tbl_TitusWeld[[#This Row],[Qty Complete]]/tbl_TitusWeld[[#This Row],[Total Hours Act]]*tbl_TitusWeld[[#This Row],['# of men Act]],"")</f>
        <v/>
      </c>
      <c r="O137"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37" s="71" t="str">
        <f>IFERROR((tbl_TitusWeld[[#This Row],[Adj. Total Hours]]+tbl_TitusWeld[[#This Row],[Est. Hours]])/(tbl_TitusWeld[[#This Row],[Total Hours Act]]+tbl_TitusWeld[[#This Row],[Act. Hours]]),"")</f>
        <v/>
      </c>
      <c r="S137" s="63"/>
      <c r="T137" s="63"/>
      <c r="U137" s="63"/>
      <c r="V137" s="63"/>
      <c r="W137" s="63"/>
      <c r="X137" s="63"/>
    </row>
    <row r="138" spans="6:24" ht="25" customHeight="1">
      <c r="F138" s="53"/>
      <c r="H138" s="55" t="e">
        <f>tbl_TitusWeld[[#This Row],[Qty Complete]]/tbl_TitusWeld[[#This Row],[Qty Required]]</f>
        <v>#DIV/0!</v>
      </c>
      <c r="K138" s="57" t="str">
        <f>IFERROR(tbl_TitusWeld[[#This Row],[Qty Required]]/tbl_TitusWeld[[#This Row],[PPH]]*tbl_TitusWeld[[#This Row],['# of men]],"")</f>
        <v/>
      </c>
      <c r="L138" s="58" t="e">
        <f>tbl_TitusWeld[[#This Row],[Total hours]]*tbl_TitusWeld[[#This Row],[% Complete]]</f>
        <v>#VALUE!</v>
      </c>
      <c r="M138" s="59" t="str">
        <f>IFERROR(tbl_TitusWeld[[#This Row],[Qty Complete]]/tbl_TitusWeld[[#This Row],[Total Hours Act]]*tbl_TitusWeld[[#This Row],['# of men Act]],"")</f>
        <v/>
      </c>
      <c r="O138"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38" s="71" t="str">
        <f>IFERROR((tbl_TitusWeld[[#This Row],[Adj. Total Hours]]+tbl_TitusWeld[[#This Row],[Est. Hours]])/(tbl_TitusWeld[[#This Row],[Total Hours Act]]+tbl_TitusWeld[[#This Row],[Act. Hours]]),"")</f>
        <v/>
      </c>
      <c r="S138" s="63"/>
      <c r="T138" s="63"/>
      <c r="U138" s="63"/>
      <c r="V138" s="63"/>
      <c r="W138" s="63"/>
      <c r="X138" s="63"/>
    </row>
    <row r="139" spans="6:24" ht="25" customHeight="1">
      <c r="F139" s="53"/>
      <c r="H139" s="55" t="e">
        <f>tbl_TitusWeld[[#This Row],[Qty Complete]]/tbl_TitusWeld[[#This Row],[Qty Required]]</f>
        <v>#DIV/0!</v>
      </c>
      <c r="K139" s="57" t="str">
        <f>IFERROR(tbl_TitusWeld[[#This Row],[Qty Required]]/tbl_TitusWeld[[#This Row],[PPH]]*tbl_TitusWeld[[#This Row],['# of men]],"")</f>
        <v/>
      </c>
      <c r="L139" s="58" t="e">
        <f>tbl_TitusWeld[[#This Row],[Total hours]]*tbl_TitusWeld[[#This Row],[% Complete]]</f>
        <v>#VALUE!</v>
      </c>
      <c r="M139" s="59" t="str">
        <f>IFERROR(tbl_TitusWeld[[#This Row],[Qty Complete]]/tbl_TitusWeld[[#This Row],[Total Hours Act]]*tbl_TitusWeld[[#This Row],['# of men Act]],"")</f>
        <v/>
      </c>
      <c r="O139"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39" s="71" t="str">
        <f>IFERROR((tbl_TitusWeld[[#This Row],[Adj. Total Hours]]+tbl_TitusWeld[[#This Row],[Est. Hours]])/(tbl_TitusWeld[[#This Row],[Total Hours Act]]+tbl_TitusWeld[[#This Row],[Act. Hours]]),"")</f>
        <v/>
      </c>
      <c r="S139" s="63"/>
      <c r="T139" s="63"/>
      <c r="U139" s="63"/>
      <c r="V139" s="63"/>
      <c r="W139" s="63"/>
      <c r="X139" s="63"/>
    </row>
    <row r="140" spans="6:24" ht="25" customHeight="1">
      <c r="F140" s="53"/>
      <c r="H140" s="55" t="e">
        <f>tbl_TitusWeld[[#This Row],[Qty Complete]]/tbl_TitusWeld[[#This Row],[Qty Required]]</f>
        <v>#DIV/0!</v>
      </c>
      <c r="K140" s="57" t="str">
        <f>IFERROR(tbl_TitusWeld[[#This Row],[Qty Required]]/tbl_TitusWeld[[#This Row],[PPH]]*tbl_TitusWeld[[#This Row],['# of men]],"")</f>
        <v/>
      </c>
      <c r="L140" s="58" t="e">
        <f>tbl_TitusWeld[[#This Row],[Total hours]]*tbl_TitusWeld[[#This Row],[% Complete]]</f>
        <v>#VALUE!</v>
      </c>
      <c r="M140" s="59" t="str">
        <f>IFERROR(tbl_TitusWeld[[#This Row],[Qty Complete]]/tbl_TitusWeld[[#This Row],[Total Hours Act]]*tbl_TitusWeld[[#This Row],['# of men Act]],"")</f>
        <v/>
      </c>
      <c r="O140"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40" s="71" t="str">
        <f>IFERROR((tbl_TitusWeld[[#This Row],[Adj. Total Hours]]+tbl_TitusWeld[[#This Row],[Est. Hours]])/(tbl_TitusWeld[[#This Row],[Total Hours Act]]+tbl_TitusWeld[[#This Row],[Act. Hours]]),"")</f>
        <v/>
      </c>
      <c r="S140" s="63"/>
      <c r="T140" s="63"/>
      <c r="U140" s="63"/>
      <c r="V140" s="63"/>
      <c r="W140" s="63"/>
      <c r="X140" s="63"/>
    </row>
    <row r="141" spans="6:24" ht="25" customHeight="1">
      <c r="F141" s="53"/>
      <c r="H141" s="55" t="e">
        <f>tbl_TitusWeld[[#This Row],[Qty Complete]]/tbl_TitusWeld[[#This Row],[Qty Required]]</f>
        <v>#DIV/0!</v>
      </c>
      <c r="K141" s="57" t="str">
        <f>IFERROR(tbl_TitusWeld[[#This Row],[Qty Required]]/tbl_TitusWeld[[#This Row],[PPH]]*tbl_TitusWeld[[#This Row],['# of men]],"")</f>
        <v/>
      </c>
      <c r="L141" s="58" t="e">
        <f>tbl_TitusWeld[[#This Row],[Total hours]]*tbl_TitusWeld[[#This Row],[% Complete]]</f>
        <v>#VALUE!</v>
      </c>
      <c r="M141" s="59" t="str">
        <f>IFERROR(tbl_TitusWeld[[#This Row],[Qty Complete]]/tbl_TitusWeld[[#This Row],[Total Hours Act]]*tbl_TitusWeld[[#This Row],['# of men Act]],"")</f>
        <v/>
      </c>
      <c r="O141"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41" s="71" t="str">
        <f>IFERROR((tbl_TitusWeld[[#This Row],[Adj. Total Hours]]+tbl_TitusWeld[[#This Row],[Est. Hours]])/(tbl_TitusWeld[[#This Row],[Total Hours Act]]+tbl_TitusWeld[[#This Row],[Act. Hours]]),"")</f>
        <v/>
      </c>
      <c r="S141" s="63"/>
      <c r="T141" s="63"/>
      <c r="U141" s="63"/>
      <c r="V141" s="63"/>
      <c r="W141" s="63"/>
      <c r="X141" s="63"/>
    </row>
    <row r="142" spans="6:24" ht="25" customHeight="1">
      <c r="F142" s="53"/>
      <c r="H142" s="55" t="e">
        <f>tbl_TitusWeld[[#This Row],[Qty Complete]]/tbl_TitusWeld[[#This Row],[Qty Required]]</f>
        <v>#DIV/0!</v>
      </c>
      <c r="K142" s="57" t="str">
        <f>IFERROR(tbl_TitusWeld[[#This Row],[Qty Required]]/tbl_TitusWeld[[#This Row],[PPH]]*tbl_TitusWeld[[#This Row],['# of men]],"")</f>
        <v/>
      </c>
      <c r="L142" s="58" t="e">
        <f>tbl_TitusWeld[[#This Row],[Total hours]]*tbl_TitusWeld[[#This Row],[% Complete]]</f>
        <v>#VALUE!</v>
      </c>
      <c r="M142" s="59" t="str">
        <f>IFERROR(tbl_TitusWeld[[#This Row],[Qty Complete]]/tbl_TitusWeld[[#This Row],[Total Hours Act]]*tbl_TitusWeld[[#This Row],['# of men Act]],"")</f>
        <v/>
      </c>
      <c r="O142"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42" s="71" t="str">
        <f>IFERROR((tbl_TitusWeld[[#This Row],[Adj. Total Hours]]+tbl_TitusWeld[[#This Row],[Est. Hours]])/(tbl_TitusWeld[[#This Row],[Total Hours Act]]+tbl_TitusWeld[[#This Row],[Act. Hours]]),"")</f>
        <v/>
      </c>
      <c r="S142" s="63"/>
      <c r="T142" s="63"/>
      <c r="U142" s="63"/>
      <c r="V142" s="63"/>
      <c r="W142" s="63"/>
      <c r="X142" s="63"/>
    </row>
    <row r="143" spans="6:24" ht="25" customHeight="1">
      <c r="F143" s="53"/>
      <c r="H143" s="55" t="e">
        <f>tbl_TitusWeld[[#This Row],[Qty Complete]]/tbl_TitusWeld[[#This Row],[Qty Required]]</f>
        <v>#DIV/0!</v>
      </c>
      <c r="K143" s="57" t="str">
        <f>IFERROR(tbl_TitusWeld[[#This Row],[Qty Required]]/tbl_TitusWeld[[#This Row],[PPH]]*tbl_TitusWeld[[#This Row],['# of men]],"")</f>
        <v/>
      </c>
      <c r="L143" s="58" t="e">
        <f>tbl_TitusWeld[[#This Row],[Total hours]]*tbl_TitusWeld[[#This Row],[% Complete]]</f>
        <v>#VALUE!</v>
      </c>
      <c r="M143" s="59" t="str">
        <f>IFERROR(tbl_TitusWeld[[#This Row],[Qty Complete]]/tbl_TitusWeld[[#This Row],[Total Hours Act]]*tbl_TitusWeld[[#This Row],['# of men Act]],"")</f>
        <v/>
      </c>
      <c r="O143"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43" s="71" t="str">
        <f>IFERROR((tbl_TitusWeld[[#This Row],[Adj. Total Hours]]+tbl_TitusWeld[[#This Row],[Est. Hours]])/(tbl_TitusWeld[[#This Row],[Total Hours Act]]+tbl_TitusWeld[[#This Row],[Act. Hours]]),"")</f>
        <v/>
      </c>
      <c r="S143" s="63"/>
      <c r="T143" s="63"/>
      <c r="U143" s="63"/>
      <c r="V143" s="63"/>
      <c r="W143" s="63"/>
      <c r="X143" s="63"/>
    </row>
    <row r="144" spans="6:24" ht="25" customHeight="1">
      <c r="F144" s="53"/>
      <c r="H144" s="55" t="e">
        <f>tbl_TitusWeld[[#This Row],[Qty Complete]]/tbl_TitusWeld[[#This Row],[Qty Required]]</f>
        <v>#DIV/0!</v>
      </c>
      <c r="K144" s="57" t="str">
        <f>IFERROR(tbl_TitusWeld[[#This Row],[Qty Required]]/tbl_TitusWeld[[#This Row],[PPH]]*tbl_TitusWeld[[#This Row],['# of men]],"")</f>
        <v/>
      </c>
      <c r="L144" s="58" t="e">
        <f>tbl_TitusWeld[[#This Row],[Total hours]]*tbl_TitusWeld[[#This Row],[% Complete]]</f>
        <v>#VALUE!</v>
      </c>
      <c r="M144" s="59" t="str">
        <f>IFERROR(tbl_TitusWeld[[#This Row],[Qty Complete]]/tbl_TitusWeld[[#This Row],[Total Hours Act]]*tbl_TitusWeld[[#This Row],['# of men Act]],"")</f>
        <v/>
      </c>
      <c r="O144"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44" s="71" t="str">
        <f>IFERROR((tbl_TitusWeld[[#This Row],[Adj. Total Hours]]+tbl_TitusWeld[[#This Row],[Est. Hours]])/(tbl_TitusWeld[[#This Row],[Total Hours Act]]+tbl_TitusWeld[[#This Row],[Act. Hours]]),"")</f>
        <v/>
      </c>
      <c r="S144" s="63"/>
      <c r="T144" s="63"/>
      <c r="U144" s="63"/>
      <c r="V144" s="63"/>
      <c r="W144" s="63"/>
      <c r="X144" s="63"/>
    </row>
    <row r="145" spans="6:24" ht="25" customHeight="1">
      <c r="F145" s="53"/>
      <c r="H145" s="55" t="e">
        <f>tbl_TitusWeld[[#This Row],[Qty Complete]]/tbl_TitusWeld[[#This Row],[Qty Required]]</f>
        <v>#DIV/0!</v>
      </c>
      <c r="K145" s="57" t="str">
        <f>IFERROR(tbl_TitusWeld[[#This Row],[Qty Required]]/tbl_TitusWeld[[#This Row],[PPH]]*tbl_TitusWeld[[#This Row],['# of men]],"")</f>
        <v/>
      </c>
      <c r="L145" s="58" t="e">
        <f>tbl_TitusWeld[[#This Row],[Total hours]]*tbl_TitusWeld[[#This Row],[% Complete]]</f>
        <v>#VALUE!</v>
      </c>
      <c r="M145" s="59" t="str">
        <f>IFERROR(tbl_TitusWeld[[#This Row],[Qty Complete]]/tbl_TitusWeld[[#This Row],[Total Hours Act]]*tbl_TitusWeld[[#This Row],['# of men Act]],"")</f>
        <v/>
      </c>
      <c r="O145"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45" s="71" t="str">
        <f>IFERROR((tbl_TitusWeld[[#This Row],[Adj. Total Hours]]+tbl_TitusWeld[[#This Row],[Est. Hours]])/(tbl_TitusWeld[[#This Row],[Total Hours Act]]+tbl_TitusWeld[[#This Row],[Act. Hours]]),"")</f>
        <v/>
      </c>
      <c r="S145" s="63"/>
      <c r="T145" s="63"/>
      <c r="U145" s="63"/>
      <c r="V145" s="63"/>
      <c r="W145" s="63"/>
      <c r="X145" s="63"/>
    </row>
    <row r="146" spans="6:24" ht="25" customHeight="1">
      <c r="F146" s="53"/>
      <c r="H146" s="55" t="e">
        <f>tbl_TitusWeld[[#This Row],[Qty Complete]]/tbl_TitusWeld[[#This Row],[Qty Required]]</f>
        <v>#DIV/0!</v>
      </c>
      <c r="K146" s="57" t="str">
        <f>IFERROR(tbl_TitusWeld[[#This Row],[Qty Required]]/tbl_TitusWeld[[#This Row],[PPH]]*tbl_TitusWeld[[#This Row],['# of men]],"")</f>
        <v/>
      </c>
      <c r="L146" s="58" t="e">
        <f>tbl_TitusWeld[[#This Row],[Total hours]]*tbl_TitusWeld[[#This Row],[% Complete]]</f>
        <v>#VALUE!</v>
      </c>
      <c r="M146" s="59" t="str">
        <f>IFERROR(tbl_TitusWeld[[#This Row],[Qty Complete]]/tbl_TitusWeld[[#This Row],[Total Hours Act]]*tbl_TitusWeld[[#This Row],['# of men Act]],"")</f>
        <v/>
      </c>
      <c r="O146"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46" s="71" t="str">
        <f>IFERROR((tbl_TitusWeld[[#This Row],[Adj. Total Hours]]+tbl_TitusWeld[[#This Row],[Est. Hours]])/(tbl_TitusWeld[[#This Row],[Total Hours Act]]+tbl_TitusWeld[[#This Row],[Act. Hours]]),"")</f>
        <v/>
      </c>
      <c r="S146" s="63"/>
      <c r="T146" s="63"/>
      <c r="U146" s="63"/>
      <c r="V146" s="63"/>
      <c r="W146" s="63"/>
      <c r="X146" s="63"/>
    </row>
    <row r="147" spans="6:24" ht="25" customHeight="1">
      <c r="F147" s="53"/>
      <c r="H147" s="55" t="e">
        <f>tbl_TitusWeld[[#This Row],[Qty Complete]]/tbl_TitusWeld[[#This Row],[Qty Required]]</f>
        <v>#DIV/0!</v>
      </c>
      <c r="K147" s="57" t="str">
        <f>IFERROR(tbl_TitusWeld[[#This Row],[Qty Required]]/tbl_TitusWeld[[#This Row],[PPH]]*tbl_TitusWeld[[#This Row],['# of men]],"")</f>
        <v/>
      </c>
      <c r="L147" s="58" t="e">
        <f>tbl_TitusWeld[[#This Row],[Total hours]]*tbl_TitusWeld[[#This Row],[% Complete]]</f>
        <v>#VALUE!</v>
      </c>
      <c r="M147" s="59" t="str">
        <f>IFERROR(tbl_TitusWeld[[#This Row],[Qty Complete]]/tbl_TitusWeld[[#This Row],[Total Hours Act]]*tbl_TitusWeld[[#This Row],['# of men Act]],"")</f>
        <v/>
      </c>
      <c r="O147"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47" s="71" t="str">
        <f>IFERROR((tbl_TitusWeld[[#This Row],[Adj. Total Hours]]+tbl_TitusWeld[[#This Row],[Est. Hours]])/(tbl_TitusWeld[[#This Row],[Total Hours Act]]+tbl_TitusWeld[[#This Row],[Act. Hours]]),"")</f>
        <v/>
      </c>
      <c r="S147" s="63"/>
      <c r="T147" s="63"/>
      <c r="U147" s="63"/>
      <c r="V147" s="63"/>
      <c r="W147" s="63"/>
      <c r="X147" s="63"/>
    </row>
    <row r="148" spans="6:24" ht="25" customHeight="1">
      <c r="F148" s="53"/>
      <c r="H148" s="55" t="e">
        <f>tbl_TitusWeld[[#This Row],[Qty Complete]]/tbl_TitusWeld[[#This Row],[Qty Required]]</f>
        <v>#DIV/0!</v>
      </c>
      <c r="K148" s="57" t="str">
        <f>IFERROR(tbl_TitusWeld[[#This Row],[Qty Required]]/tbl_TitusWeld[[#This Row],[PPH]]*tbl_TitusWeld[[#This Row],['# of men]],"")</f>
        <v/>
      </c>
      <c r="L148" s="58" t="e">
        <f>tbl_TitusWeld[[#This Row],[Total hours]]*tbl_TitusWeld[[#This Row],[% Complete]]</f>
        <v>#VALUE!</v>
      </c>
      <c r="M148" s="59" t="str">
        <f>IFERROR(tbl_TitusWeld[[#This Row],[Qty Complete]]/tbl_TitusWeld[[#This Row],[Total Hours Act]]*tbl_TitusWeld[[#This Row],['# of men Act]],"")</f>
        <v/>
      </c>
      <c r="O148"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48" s="71" t="str">
        <f>IFERROR((tbl_TitusWeld[[#This Row],[Adj. Total Hours]]+tbl_TitusWeld[[#This Row],[Est. Hours]])/(tbl_TitusWeld[[#This Row],[Total Hours Act]]+tbl_TitusWeld[[#This Row],[Act. Hours]]),"")</f>
        <v/>
      </c>
      <c r="S148" s="63"/>
      <c r="T148" s="63"/>
      <c r="U148" s="63"/>
      <c r="V148" s="63"/>
      <c r="W148" s="63"/>
      <c r="X148" s="63"/>
    </row>
    <row r="149" spans="6:24" ht="25" customHeight="1">
      <c r="F149" s="53"/>
      <c r="H149" s="55" t="e">
        <f>tbl_TitusWeld[[#This Row],[Qty Complete]]/tbl_TitusWeld[[#This Row],[Qty Required]]</f>
        <v>#DIV/0!</v>
      </c>
      <c r="K149" s="57" t="str">
        <f>IFERROR(tbl_TitusWeld[[#This Row],[Qty Required]]/tbl_TitusWeld[[#This Row],[PPH]]*tbl_TitusWeld[[#This Row],['# of men]],"")</f>
        <v/>
      </c>
      <c r="L149" s="58" t="e">
        <f>tbl_TitusWeld[[#This Row],[Total hours]]*tbl_TitusWeld[[#This Row],[% Complete]]</f>
        <v>#VALUE!</v>
      </c>
      <c r="M149" s="59" t="str">
        <f>IFERROR(tbl_TitusWeld[[#This Row],[Qty Complete]]/tbl_TitusWeld[[#This Row],[Total Hours Act]]*tbl_TitusWeld[[#This Row],['# of men Act]],"")</f>
        <v/>
      </c>
      <c r="O149"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49" s="71" t="str">
        <f>IFERROR((tbl_TitusWeld[[#This Row],[Adj. Total Hours]]+tbl_TitusWeld[[#This Row],[Est. Hours]])/(tbl_TitusWeld[[#This Row],[Total Hours Act]]+tbl_TitusWeld[[#This Row],[Act. Hours]]),"")</f>
        <v/>
      </c>
      <c r="S149" s="63"/>
      <c r="T149" s="63"/>
      <c r="U149" s="63"/>
      <c r="V149" s="63"/>
      <c r="W149" s="63"/>
      <c r="X149" s="63"/>
    </row>
    <row r="150" spans="6:24" ht="25" customHeight="1">
      <c r="F150" s="53"/>
      <c r="H150" s="55" t="e">
        <f>tbl_TitusWeld[[#This Row],[Qty Complete]]/tbl_TitusWeld[[#This Row],[Qty Required]]</f>
        <v>#DIV/0!</v>
      </c>
      <c r="K150" s="57" t="str">
        <f>IFERROR(tbl_TitusWeld[[#This Row],[Qty Required]]/tbl_TitusWeld[[#This Row],[PPH]]*tbl_TitusWeld[[#This Row],['# of men]],"")</f>
        <v/>
      </c>
      <c r="L150" s="58" t="e">
        <f>tbl_TitusWeld[[#This Row],[Total hours]]*tbl_TitusWeld[[#This Row],[% Complete]]</f>
        <v>#VALUE!</v>
      </c>
      <c r="M150" s="59" t="str">
        <f>IFERROR(tbl_TitusWeld[[#This Row],[Qty Complete]]/tbl_TitusWeld[[#This Row],[Total Hours Act]]*tbl_TitusWeld[[#This Row],['# of men Act]],"")</f>
        <v/>
      </c>
      <c r="O150"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50" s="71" t="str">
        <f>IFERROR((tbl_TitusWeld[[#This Row],[Adj. Total Hours]]+tbl_TitusWeld[[#This Row],[Est. Hours]])/(tbl_TitusWeld[[#This Row],[Total Hours Act]]+tbl_TitusWeld[[#This Row],[Act. Hours]]),"")</f>
        <v/>
      </c>
      <c r="S150" s="63"/>
      <c r="T150" s="63"/>
      <c r="U150" s="63"/>
      <c r="V150" s="63"/>
      <c r="W150" s="63"/>
      <c r="X150" s="63"/>
    </row>
    <row r="151" spans="6:24" ht="25" customHeight="1">
      <c r="F151" s="53"/>
      <c r="H151" s="55" t="e">
        <f>tbl_TitusWeld[[#This Row],[Qty Complete]]/tbl_TitusWeld[[#This Row],[Qty Required]]</f>
        <v>#DIV/0!</v>
      </c>
      <c r="K151" s="57" t="str">
        <f>IFERROR(tbl_TitusWeld[[#This Row],[Qty Required]]/tbl_TitusWeld[[#This Row],[PPH]]*tbl_TitusWeld[[#This Row],['# of men]],"")</f>
        <v/>
      </c>
      <c r="L151" s="58" t="e">
        <f>tbl_TitusWeld[[#This Row],[Total hours]]*tbl_TitusWeld[[#This Row],[% Complete]]</f>
        <v>#VALUE!</v>
      </c>
      <c r="M151" s="59" t="str">
        <f>IFERROR(tbl_TitusWeld[[#This Row],[Qty Complete]]/tbl_TitusWeld[[#This Row],[Total Hours Act]]*tbl_TitusWeld[[#This Row],['# of men Act]],"")</f>
        <v/>
      </c>
      <c r="O151"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51" s="71" t="str">
        <f>IFERROR((tbl_TitusWeld[[#This Row],[Adj. Total Hours]]+tbl_TitusWeld[[#This Row],[Est. Hours]])/(tbl_TitusWeld[[#This Row],[Total Hours Act]]+tbl_TitusWeld[[#This Row],[Act. Hours]]),"")</f>
        <v/>
      </c>
      <c r="S151" s="63"/>
      <c r="T151" s="63"/>
      <c r="U151" s="63"/>
      <c r="V151" s="63"/>
      <c r="W151" s="63"/>
      <c r="X151" s="63"/>
    </row>
    <row r="152" spans="6:24" ht="25" customHeight="1">
      <c r="F152" s="53"/>
      <c r="H152" s="55" t="e">
        <f>tbl_TitusWeld[[#This Row],[Qty Complete]]/tbl_TitusWeld[[#This Row],[Qty Required]]</f>
        <v>#DIV/0!</v>
      </c>
      <c r="K152" s="57" t="str">
        <f>IFERROR(tbl_TitusWeld[[#This Row],[Qty Required]]/tbl_TitusWeld[[#This Row],[PPH]]*tbl_TitusWeld[[#This Row],['# of men]],"")</f>
        <v/>
      </c>
      <c r="L152" s="58" t="e">
        <f>tbl_TitusWeld[[#This Row],[Total hours]]*tbl_TitusWeld[[#This Row],[% Complete]]</f>
        <v>#VALUE!</v>
      </c>
      <c r="M152" s="59" t="str">
        <f>IFERROR(tbl_TitusWeld[[#This Row],[Qty Complete]]/tbl_TitusWeld[[#This Row],[Total Hours Act]]*tbl_TitusWeld[[#This Row],['# of men Act]],"")</f>
        <v/>
      </c>
      <c r="O152"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52" s="71" t="str">
        <f>IFERROR((tbl_TitusWeld[[#This Row],[Adj. Total Hours]]+tbl_TitusWeld[[#This Row],[Est. Hours]])/(tbl_TitusWeld[[#This Row],[Total Hours Act]]+tbl_TitusWeld[[#This Row],[Act. Hours]]),"")</f>
        <v/>
      </c>
      <c r="S152" s="63"/>
      <c r="T152" s="63"/>
      <c r="U152" s="63"/>
      <c r="V152" s="63"/>
      <c r="W152" s="63"/>
      <c r="X152" s="63"/>
    </row>
    <row r="153" spans="6:24" ht="25" customHeight="1">
      <c r="F153" s="53"/>
      <c r="H153" s="55" t="e">
        <f>tbl_TitusWeld[[#This Row],[Qty Complete]]/tbl_TitusWeld[[#This Row],[Qty Required]]</f>
        <v>#DIV/0!</v>
      </c>
      <c r="K153" s="57" t="str">
        <f>IFERROR(tbl_TitusWeld[[#This Row],[Qty Required]]/tbl_TitusWeld[[#This Row],[PPH]]*tbl_TitusWeld[[#This Row],['# of men]],"")</f>
        <v/>
      </c>
      <c r="L153" s="58" t="e">
        <f>tbl_TitusWeld[[#This Row],[Total hours]]*tbl_TitusWeld[[#This Row],[% Complete]]</f>
        <v>#VALUE!</v>
      </c>
      <c r="M153" s="59" t="str">
        <f>IFERROR(tbl_TitusWeld[[#This Row],[Qty Complete]]/tbl_TitusWeld[[#This Row],[Total Hours Act]]*tbl_TitusWeld[[#This Row],['# of men Act]],"")</f>
        <v/>
      </c>
      <c r="O153"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53" s="71" t="str">
        <f>IFERROR((tbl_TitusWeld[[#This Row],[Adj. Total Hours]]+tbl_TitusWeld[[#This Row],[Est. Hours]])/(tbl_TitusWeld[[#This Row],[Total Hours Act]]+tbl_TitusWeld[[#This Row],[Act. Hours]]),"")</f>
        <v/>
      </c>
      <c r="S153" s="63"/>
      <c r="T153" s="63"/>
      <c r="U153" s="63"/>
      <c r="V153" s="63"/>
      <c r="W153" s="63"/>
      <c r="X153" s="63"/>
    </row>
    <row r="154" spans="6:24" ht="25" customHeight="1">
      <c r="F154" s="53"/>
      <c r="H154" s="55" t="e">
        <f>tbl_TitusWeld[[#This Row],[Qty Complete]]/tbl_TitusWeld[[#This Row],[Qty Required]]</f>
        <v>#DIV/0!</v>
      </c>
      <c r="K154" s="57" t="str">
        <f>IFERROR(tbl_TitusWeld[[#This Row],[Qty Required]]/tbl_TitusWeld[[#This Row],[PPH]]*tbl_TitusWeld[[#This Row],['# of men]],"")</f>
        <v/>
      </c>
      <c r="L154" s="58" t="e">
        <f>tbl_TitusWeld[[#This Row],[Total hours]]*tbl_TitusWeld[[#This Row],[% Complete]]</f>
        <v>#VALUE!</v>
      </c>
      <c r="M154" s="59" t="str">
        <f>IFERROR(tbl_TitusWeld[[#This Row],[Qty Complete]]/tbl_TitusWeld[[#This Row],[Total Hours Act]]*tbl_TitusWeld[[#This Row],['# of men Act]],"")</f>
        <v/>
      </c>
      <c r="O154"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54" s="71" t="str">
        <f>IFERROR((tbl_TitusWeld[[#This Row],[Adj. Total Hours]]+tbl_TitusWeld[[#This Row],[Est. Hours]])/(tbl_TitusWeld[[#This Row],[Total Hours Act]]+tbl_TitusWeld[[#This Row],[Act. Hours]]),"")</f>
        <v/>
      </c>
      <c r="S154" s="63"/>
      <c r="T154" s="63"/>
      <c r="U154" s="63"/>
      <c r="V154" s="63"/>
      <c r="W154" s="63"/>
      <c r="X154" s="63"/>
    </row>
    <row r="155" spans="6:24" ht="25" customHeight="1">
      <c r="F155" s="53"/>
      <c r="H155" s="55" t="e">
        <f>tbl_TitusWeld[[#This Row],[Qty Complete]]/tbl_TitusWeld[[#This Row],[Qty Required]]</f>
        <v>#DIV/0!</v>
      </c>
      <c r="K155" s="57" t="str">
        <f>IFERROR(tbl_TitusWeld[[#This Row],[Qty Required]]/tbl_TitusWeld[[#This Row],[PPH]]*tbl_TitusWeld[[#This Row],['# of men]],"")</f>
        <v/>
      </c>
      <c r="L155" s="58" t="e">
        <f>tbl_TitusWeld[[#This Row],[Total hours]]*tbl_TitusWeld[[#This Row],[% Complete]]</f>
        <v>#VALUE!</v>
      </c>
      <c r="M155" s="59" t="str">
        <f>IFERROR(tbl_TitusWeld[[#This Row],[Qty Complete]]/tbl_TitusWeld[[#This Row],[Total Hours Act]]*tbl_TitusWeld[[#This Row],['# of men Act]],"")</f>
        <v/>
      </c>
      <c r="O155"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55" s="71" t="str">
        <f>IFERROR((tbl_TitusWeld[[#This Row],[Adj. Total Hours]]+tbl_TitusWeld[[#This Row],[Est. Hours]])/(tbl_TitusWeld[[#This Row],[Total Hours Act]]+tbl_TitusWeld[[#This Row],[Act. Hours]]),"")</f>
        <v/>
      </c>
      <c r="S155" s="63"/>
      <c r="T155" s="63"/>
      <c r="U155" s="63"/>
      <c r="V155" s="63"/>
      <c r="W155" s="63"/>
      <c r="X155" s="63"/>
    </row>
    <row r="156" spans="6:24" ht="25" customHeight="1">
      <c r="F156" s="53"/>
      <c r="H156" s="55" t="e">
        <f>tbl_TitusWeld[[#This Row],[Qty Complete]]/tbl_TitusWeld[[#This Row],[Qty Required]]</f>
        <v>#DIV/0!</v>
      </c>
      <c r="K156" s="57" t="str">
        <f>IFERROR(tbl_TitusWeld[[#This Row],[Qty Required]]/tbl_TitusWeld[[#This Row],[PPH]]*tbl_TitusWeld[[#This Row],['# of men]],"")</f>
        <v/>
      </c>
      <c r="L156" s="58" t="e">
        <f>tbl_TitusWeld[[#This Row],[Total hours]]*tbl_TitusWeld[[#This Row],[% Complete]]</f>
        <v>#VALUE!</v>
      </c>
      <c r="M156" s="59" t="str">
        <f>IFERROR(tbl_TitusWeld[[#This Row],[Qty Complete]]/tbl_TitusWeld[[#This Row],[Total Hours Act]]*tbl_TitusWeld[[#This Row],['# of men Act]],"")</f>
        <v/>
      </c>
      <c r="O156"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56" s="71" t="str">
        <f>IFERROR((tbl_TitusWeld[[#This Row],[Adj. Total Hours]]+tbl_TitusWeld[[#This Row],[Est. Hours]])/(tbl_TitusWeld[[#This Row],[Total Hours Act]]+tbl_TitusWeld[[#This Row],[Act. Hours]]),"")</f>
        <v/>
      </c>
      <c r="S156" s="63"/>
      <c r="T156" s="63"/>
      <c r="U156" s="63"/>
      <c r="V156" s="63"/>
      <c r="W156" s="63"/>
      <c r="X156" s="63"/>
    </row>
    <row r="157" spans="6:24" ht="25" customHeight="1">
      <c r="F157" s="53"/>
      <c r="H157" s="55" t="e">
        <f>tbl_TitusWeld[[#This Row],[Qty Complete]]/tbl_TitusWeld[[#This Row],[Qty Required]]</f>
        <v>#DIV/0!</v>
      </c>
      <c r="K157" s="57" t="str">
        <f>IFERROR(tbl_TitusWeld[[#This Row],[Qty Required]]/tbl_TitusWeld[[#This Row],[PPH]]*tbl_TitusWeld[[#This Row],['# of men]],"")</f>
        <v/>
      </c>
      <c r="L157" s="58" t="e">
        <f>tbl_TitusWeld[[#This Row],[Total hours]]*tbl_TitusWeld[[#This Row],[% Complete]]</f>
        <v>#VALUE!</v>
      </c>
      <c r="M157" s="59" t="str">
        <f>IFERROR(tbl_TitusWeld[[#This Row],[Qty Complete]]/tbl_TitusWeld[[#This Row],[Total Hours Act]]*tbl_TitusWeld[[#This Row],['# of men Act]],"")</f>
        <v/>
      </c>
      <c r="O157"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57" s="71" t="str">
        <f>IFERROR((tbl_TitusWeld[[#This Row],[Adj. Total Hours]]+tbl_TitusWeld[[#This Row],[Est. Hours]])/(tbl_TitusWeld[[#This Row],[Total Hours Act]]+tbl_TitusWeld[[#This Row],[Act. Hours]]),"")</f>
        <v/>
      </c>
      <c r="S157" s="63"/>
      <c r="T157" s="63"/>
      <c r="U157" s="63"/>
      <c r="V157" s="63"/>
      <c r="W157" s="63"/>
      <c r="X157" s="63"/>
    </row>
    <row r="158" spans="6:24" ht="25" customHeight="1">
      <c r="F158" s="53"/>
      <c r="H158" s="55" t="e">
        <f>tbl_TitusWeld[[#This Row],[Qty Complete]]/tbl_TitusWeld[[#This Row],[Qty Required]]</f>
        <v>#DIV/0!</v>
      </c>
      <c r="K158" s="57" t="str">
        <f>IFERROR(tbl_TitusWeld[[#This Row],[Qty Required]]/tbl_TitusWeld[[#This Row],[PPH]]*tbl_TitusWeld[[#This Row],['# of men]],"")</f>
        <v/>
      </c>
      <c r="L158" s="58" t="e">
        <f>tbl_TitusWeld[[#This Row],[Total hours]]*tbl_TitusWeld[[#This Row],[% Complete]]</f>
        <v>#VALUE!</v>
      </c>
      <c r="M158" s="59" t="str">
        <f>IFERROR(tbl_TitusWeld[[#This Row],[Qty Complete]]/tbl_TitusWeld[[#This Row],[Total Hours Act]]*tbl_TitusWeld[[#This Row],['# of men Act]],"")</f>
        <v/>
      </c>
      <c r="O158"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58" s="71" t="str">
        <f>IFERROR((tbl_TitusWeld[[#This Row],[Adj. Total Hours]]+tbl_TitusWeld[[#This Row],[Est. Hours]])/(tbl_TitusWeld[[#This Row],[Total Hours Act]]+tbl_TitusWeld[[#This Row],[Act. Hours]]),"")</f>
        <v/>
      </c>
      <c r="S158" s="63"/>
      <c r="T158" s="63"/>
      <c r="U158" s="63"/>
      <c r="V158" s="63"/>
      <c r="W158" s="63"/>
      <c r="X158" s="63"/>
    </row>
    <row r="159" spans="6:24" ht="25" customHeight="1">
      <c r="F159" s="53"/>
      <c r="H159" s="55" t="e">
        <f>tbl_TitusWeld[[#This Row],[Qty Complete]]/tbl_TitusWeld[[#This Row],[Qty Required]]</f>
        <v>#DIV/0!</v>
      </c>
      <c r="K159" s="57" t="str">
        <f>IFERROR(tbl_TitusWeld[[#This Row],[Qty Required]]/tbl_TitusWeld[[#This Row],[PPH]]*tbl_TitusWeld[[#This Row],['# of men]],"")</f>
        <v/>
      </c>
      <c r="L159" s="58" t="e">
        <f>tbl_TitusWeld[[#This Row],[Total hours]]*tbl_TitusWeld[[#This Row],[% Complete]]</f>
        <v>#VALUE!</v>
      </c>
      <c r="M159" s="59" t="str">
        <f>IFERROR(tbl_TitusWeld[[#This Row],[Qty Complete]]/tbl_TitusWeld[[#This Row],[Total Hours Act]]*tbl_TitusWeld[[#This Row],['# of men Act]],"")</f>
        <v/>
      </c>
      <c r="O159"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59" s="71" t="str">
        <f>IFERROR((tbl_TitusWeld[[#This Row],[Adj. Total Hours]]+tbl_TitusWeld[[#This Row],[Est. Hours]])/(tbl_TitusWeld[[#This Row],[Total Hours Act]]+tbl_TitusWeld[[#This Row],[Act. Hours]]),"")</f>
        <v/>
      </c>
      <c r="S159" s="63"/>
      <c r="T159" s="63"/>
      <c r="U159" s="63"/>
      <c r="V159" s="63"/>
      <c r="W159" s="63"/>
      <c r="X159" s="63"/>
    </row>
    <row r="160" spans="6:24" ht="25" customHeight="1">
      <c r="F160" s="53"/>
      <c r="H160" s="55" t="e">
        <f>tbl_TitusWeld[[#This Row],[Qty Complete]]/tbl_TitusWeld[[#This Row],[Qty Required]]</f>
        <v>#DIV/0!</v>
      </c>
      <c r="K160" s="57" t="str">
        <f>IFERROR(tbl_TitusWeld[[#This Row],[Qty Required]]/tbl_TitusWeld[[#This Row],[PPH]]*tbl_TitusWeld[[#This Row],['# of men]],"")</f>
        <v/>
      </c>
      <c r="L160" s="58" t="e">
        <f>tbl_TitusWeld[[#This Row],[Total hours]]*tbl_TitusWeld[[#This Row],[% Complete]]</f>
        <v>#VALUE!</v>
      </c>
      <c r="M160" s="59" t="str">
        <f>IFERROR(tbl_TitusWeld[[#This Row],[Qty Complete]]/tbl_TitusWeld[[#This Row],[Total Hours Act]]*tbl_TitusWeld[[#This Row],['# of men Act]],"")</f>
        <v/>
      </c>
      <c r="O160"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60" s="71" t="str">
        <f>IFERROR((tbl_TitusWeld[[#This Row],[Adj. Total Hours]]+tbl_TitusWeld[[#This Row],[Est. Hours]])/(tbl_TitusWeld[[#This Row],[Total Hours Act]]+tbl_TitusWeld[[#This Row],[Act. Hours]]),"")</f>
        <v/>
      </c>
      <c r="S160" s="63"/>
      <c r="T160" s="63"/>
      <c r="U160" s="63"/>
      <c r="V160" s="63"/>
      <c r="W160" s="63"/>
      <c r="X160" s="63"/>
    </row>
    <row r="161" spans="6:24" ht="25" customHeight="1">
      <c r="F161" s="53"/>
      <c r="H161" s="55" t="e">
        <f>tbl_TitusWeld[[#This Row],[Qty Complete]]/tbl_TitusWeld[[#This Row],[Qty Required]]</f>
        <v>#DIV/0!</v>
      </c>
      <c r="K161" s="57" t="str">
        <f>IFERROR(tbl_TitusWeld[[#This Row],[Qty Required]]/tbl_TitusWeld[[#This Row],[PPH]]*tbl_TitusWeld[[#This Row],['# of men]],"")</f>
        <v/>
      </c>
      <c r="L161" s="58" t="e">
        <f>tbl_TitusWeld[[#This Row],[Total hours]]*tbl_TitusWeld[[#This Row],[% Complete]]</f>
        <v>#VALUE!</v>
      </c>
      <c r="M161" s="59" t="str">
        <f>IFERROR(tbl_TitusWeld[[#This Row],[Qty Complete]]/tbl_TitusWeld[[#This Row],[Total Hours Act]]*tbl_TitusWeld[[#This Row],['# of men Act]],"")</f>
        <v/>
      </c>
      <c r="O161"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61" s="71" t="str">
        <f>IFERROR((tbl_TitusWeld[[#This Row],[Adj. Total Hours]]+tbl_TitusWeld[[#This Row],[Est. Hours]])/(tbl_TitusWeld[[#This Row],[Total Hours Act]]+tbl_TitusWeld[[#This Row],[Act. Hours]]),"")</f>
        <v/>
      </c>
      <c r="S161" s="63"/>
      <c r="T161" s="63"/>
      <c r="U161" s="63"/>
      <c r="V161" s="63"/>
      <c r="W161" s="63"/>
      <c r="X161" s="63"/>
    </row>
    <row r="162" spans="6:24" ht="25" customHeight="1">
      <c r="F162" s="53"/>
      <c r="H162" s="55" t="e">
        <f>tbl_TitusWeld[[#This Row],[Qty Complete]]/tbl_TitusWeld[[#This Row],[Qty Required]]</f>
        <v>#DIV/0!</v>
      </c>
      <c r="K162" s="57" t="str">
        <f>IFERROR(tbl_TitusWeld[[#This Row],[Qty Required]]/tbl_TitusWeld[[#This Row],[PPH]]*tbl_TitusWeld[[#This Row],['# of men]],"")</f>
        <v/>
      </c>
      <c r="L162" s="58" t="e">
        <f>tbl_TitusWeld[[#This Row],[Total hours]]*tbl_TitusWeld[[#This Row],[% Complete]]</f>
        <v>#VALUE!</v>
      </c>
      <c r="M162" s="59" t="str">
        <f>IFERROR(tbl_TitusWeld[[#This Row],[Qty Complete]]/tbl_TitusWeld[[#This Row],[Total Hours Act]]*tbl_TitusWeld[[#This Row],['# of men Act]],"")</f>
        <v/>
      </c>
      <c r="O162"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62" s="71" t="str">
        <f>IFERROR((tbl_TitusWeld[[#This Row],[Adj. Total Hours]]+tbl_TitusWeld[[#This Row],[Est. Hours]])/(tbl_TitusWeld[[#This Row],[Total Hours Act]]+tbl_TitusWeld[[#This Row],[Act. Hours]]),"")</f>
        <v/>
      </c>
      <c r="S162" s="63"/>
      <c r="T162" s="63"/>
      <c r="U162" s="63"/>
      <c r="V162" s="63"/>
      <c r="W162" s="63"/>
      <c r="X162" s="63"/>
    </row>
    <row r="163" spans="6:24" ht="25" customHeight="1">
      <c r="F163" s="53"/>
      <c r="H163" s="55" t="e">
        <f>tbl_TitusWeld[[#This Row],[Qty Complete]]/tbl_TitusWeld[[#This Row],[Qty Required]]</f>
        <v>#DIV/0!</v>
      </c>
      <c r="K163" s="57" t="str">
        <f>IFERROR(tbl_TitusWeld[[#This Row],[Qty Required]]/tbl_TitusWeld[[#This Row],[PPH]]*tbl_TitusWeld[[#This Row],['# of men]],"")</f>
        <v/>
      </c>
      <c r="L163" s="58" t="e">
        <f>tbl_TitusWeld[[#This Row],[Total hours]]*tbl_TitusWeld[[#This Row],[% Complete]]</f>
        <v>#VALUE!</v>
      </c>
      <c r="M163" s="59" t="str">
        <f>IFERROR(tbl_TitusWeld[[#This Row],[Qty Complete]]/tbl_TitusWeld[[#This Row],[Total Hours Act]]*tbl_TitusWeld[[#This Row],['# of men Act]],"")</f>
        <v/>
      </c>
      <c r="O163"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63" s="71" t="str">
        <f>IFERROR((tbl_TitusWeld[[#This Row],[Adj. Total Hours]]+tbl_TitusWeld[[#This Row],[Est. Hours]])/(tbl_TitusWeld[[#This Row],[Total Hours Act]]+tbl_TitusWeld[[#This Row],[Act. Hours]]),"")</f>
        <v/>
      </c>
      <c r="S163" s="63"/>
      <c r="T163" s="63"/>
      <c r="U163" s="63"/>
      <c r="V163" s="63"/>
      <c r="W163" s="63"/>
      <c r="X163" s="63"/>
    </row>
    <row r="164" spans="6:24" ht="25" customHeight="1">
      <c r="F164" s="53"/>
      <c r="H164" s="55" t="e">
        <f>tbl_TitusWeld[[#This Row],[Qty Complete]]/tbl_TitusWeld[[#This Row],[Qty Required]]</f>
        <v>#DIV/0!</v>
      </c>
      <c r="K164" s="57" t="str">
        <f>IFERROR(tbl_TitusWeld[[#This Row],[Qty Required]]/tbl_TitusWeld[[#This Row],[PPH]]*tbl_TitusWeld[[#This Row],['# of men]],"")</f>
        <v/>
      </c>
      <c r="L164" s="58" t="e">
        <f>tbl_TitusWeld[[#This Row],[Total hours]]*tbl_TitusWeld[[#This Row],[% Complete]]</f>
        <v>#VALUE!</v>
      </c>
      <c r="M164" s="59" t="str">
        <f>IFERROR(tbl_TitusWeld[[#This Row],[Qty Complete]]/tbl_TitusWeld[[#This Row],[Total Hours Act]]*tbl_TitusWeld[[#This Row],['# of men Act]],"")</f>
        <v/>
      </c>
      <c r="O164"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64" s="71" t="str">
        <f>IFERROR((tbl_TitusWeld[[#This Row],[Adj. Total Hours]]+tbl_TitusWeld[[#This Row],[Est. Hours]])/(tbl_TitusWeld[[#This Row],[Total Hours Act]]+tbl_TitusWeld[[#This Row],[Act. Hours]]),"")</f>
        <v/>
      </c>
      <c r="S164" s="63"/>
      <c r="T164" s="63"/>
      <c r="U164" s="63"/>
      <c r="V164" s="63"/>
      <c r="W164" s="63"/>
      <c r="X164" s="63"/>
    </row>
    <row r="165" spans="6:24" ht="25" customHeight="1">
      <c r="F165" s="53"/>
      <c r="H165" s="55" t="e">
        <f>tbl_TitusWeld[[#This Row],[Qty Complete]]/tbl_TitusWeld[[#This Row],[Qty Required]]</f>
        <v>#DIV/0!</v>
      </c>
      <c r="K165" s="57" t="str">
        <f>IFERROR(tbl_TitusWeld[[#This Row],[Qty Required]]/tbl_TitusWeld[[#This Row],[PPH]]*tbl_TitusWeld[[#This Row],['# of men]],"")</f>
        <v/>
      </c>
      <c r="L165" s="58" t="e">
        <f>tbl_TitusWeld[[#This Row],[Total hours]]*tbl_TitusWeld[[#This Row],[% Complete]]</f>
        <v>#VALUE!</v>
      </c>
      <c r="M165" s="59" t="str">
        <f>IFERROR(tbl_TitusWeld[[#This Row],[Qty Complete]]/tbl_TitusWeld[[#This Row],[Total Hours Act]]*tbl_TitusWeld[[#This Row],['# of men Act]],"")</f>
        <v/>
      </c>
      <c r="O165"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65" s="71" t="str">
        <f>IFERROR((tbl_TitusWeld[[#This Row],[Adj. Total Hours]]+tbl_TitusWeld[[#This Row],[Est. Hours]])/(tbl_TitusWeld[[#This Row],[Total Hours Act]]+tbl_TitusWeld[[#This Row],[Act. Hours]]),"")</f>
        <v/>
      </c>
      <c r="S165" s="63"/>
      <c r="T165" s="63"/>
      <c r="U165" s="63"/>
      <c r="V165" s="63"/>
      <c r="W165" s="63"/>
      <c r="X165" s="63"/>
    </row>
    <row r="166" spans="6:24" ht="25" customHeight="1">
      <c r="F166" s="53"/>
      <c r="H166" s="55" t="e">
        <f>tbl_TitusWeld[[#This Row],[Qty Complete]]/tbl_TitusWeld[[#This Row],[Qty Required]]</f>
        <v>#DIV/0!</v>
      </c>
      <c r="K166" s="57" t="str">
        <f>IFERROR(tbl_TitusWeld[[#This Row],[Qty Required]]/tbl_TitusWeld[[#This Row],[PPH]]*tbl_TitusWeld[[#This Row],['# of men]],"")</f>
        <v/>
      </c>
      <c r="L166" s="58" t="e">
        <f>tbl_TitusWeld[[#This Row],[Total hours]]*tbl_TitusWeld[[#This Row],[% Complete]]</f>
        <v>#VALUE!</v>
      </c>
      <c r="M166" s="59" t="str">
        <f>IFERROR(tbl_TitusWeld[[#This Row],[Qty Complete]]/tbl_TitusWeld[[#This Row],[Total Hours Act]]*tbl_TitusWeld[[#This Row],['# of men Act]],"")</f>
        <v/>
      </c>
      <c r="O166"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66" s="71" t="str">
        <f>IFERROR((tbl_TitusWeld[[#This Row],[Adj. Total Hours]]+tbl_TitusWeld[[#This Row],[Est. Hours]])/(tbl_TitusWeld[[#This Row],[Total Hours Act]]+tbl_TitusWeld[[#This Row],[Act. Hours]]),"")</f>
        <v/>
      </c>
      <c r="S166" s="63"/>
      <c r="T166" s="63"/>
      <c r="U166" s="63"/>
      <c r="V166" s="63"/>
      <c r="W166" s="63"/>
      <c r="X166" s="63"/>
    </row>
    <row r="167" spans="6:24" ht="25" customHeight="1">
      <c r="F167" s="53"/>
      <c r="H167" s="55" t="e">
        <f>tbl_TitusWeld[[#This Row],[Qty Complete]]/tbl_TitusWeld[[#This Row],[Qty Required]]</f>
        <v>#DIV/0!</v>
      </c>
      <c r="K167" s="57" t="str">
        <f>IFERROR(tbl_TitusWeld[[#This Row],[Qty Required]]/tbl_TitusWeld[[#This Row],[PPH]]*tbl_TitusWeld[[#This Row],['# of men]],"")</f>
        <v/>
      </c>
      <c r="L167" s="58" t="e">
        <f>tbl_TitusWeld[[#This Row],[Total hours]]*tbl_TitusWeld[[#This Row],[% Complete]]</f>
        <v>#VALUE!</v>
      </c>
      <c r="M167" s="59" t="str">
        <f>IFERROR(tbl_TitusWeld[[#This Row],[Qty Complete]]/tbl_TitusWeld[[#This Row],[Total Hours Act]]*tbl_TitusWeld[[#This Row],['# of men Act]],"")</f>
        <v/>
      </c>
      <c r="O167"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67" s="71" t="str">
        <f>IFERROR((tbl_TitusWeld[[#This Row],[Adj. Total Hours]]+tbl_TitusWeld[[#This Row],[Est. Hours]])/(tbl_TitusWeld[[#This Row],[Total Hours Act]]+tbl_TitusWeld[[#This Row],[Act. Hours]]),"")</f>
        <v/>
      </c>
      <c r="S167" s="63"/>
      <c r="T167" s="63"/>
      <c r="U167" s="63"/>
      <c r="V167" s="63"/>
      <c r="W167" s="63"/>
      <c r="X167" s="63"/>
    </row>
    <row r="168" spans="6:24" ht="25" customHeight="1">
      <c r="F168" s="53"/>
      <c r="H168" s="55" t="e">
        <f>tbl_TitusWeld[[#This Row],[Qty Complete]]/tbl_TitusWeld[[#This Row],[Qty Required]]</f>
        <v>#DIV/0!</v>
      </c>
      <c r="K168" s="57" t="str">
        <f>IFERROR(tbl_TitusWeld[[#This Row],[Qty Required]]/tbl_TitusWeld[[#This Row],[PPH]]*tbl_TitusWeld[[#This Row],['# of men]],"")</f>
        <v/>
      </c>
      <c r="L168" s="58" t="e">
        <f>tbl_TitusWeld[[#This Row],[Total hours]]*tbl_TitusWeld[[#This Row],[% Complete]]</f>
        <v>#VALUE!</v>
      </c>
      <c r="M168" s="59" t="str">
        <f>IFERROR(tbl_TitusWeld[[#This Row],[Qty Complete]]/tbl_TitusWeld[[#This Row],[Total Hours Act]]*tbl_TitusWeld[[#This Row],['# of men Act]],"")</f>
        <v/>
      </c>
      <c r="O168"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68" s="71" t="str">
        <f>IFERROR((tbl_TitusWeld[[#This Row],[Adj. Total Hours]]+tbl_TitusWeld[[#This Row],[Est. Hours]])/(tbl_TitusWeld[[#This Row],[Total Hours Act]]+tbl_TitusWeld[[#This Row],[Act. Hours]]),"")</f>
        <v/>
      </c>
      <c r="S168" s="63"/>
      <c r="T168" s="63"/>
      <c r="U168" s="63"/>
      <c r="V168" s="63"/>
      <c r="W168" s="63"/>
      <c r="X168" s="63"/>
    </row>
    <row r="169" spans="6:24" ht="25" customHeight="1">
      <c r="F169" s="53"/>
      <c r="H169" s="55" t="e">
        <f>tbl_TitusWeld[[#This Row],[Qty Complete]]/tbl_TitusWeld[[#This Row],[Qty Required]]</f>
        <v>#DIV/0!</v>
      </c>
      <c r="K169" s="57" t="str">
        <f>IFERROR(tbl_TitusWeld[[#This Row],[Qty Required]]/tbl_TitusWeld[[#This Row],[PPH]]*tbl_TitusWeld[[#This Row],['# of men]],"")</f>
        <v/>
      </c>
      <c r="L169" s="58" t="e">
        <f>tbl_TitusWeld[[#This Row],[Total hours]]*tbl_TitusWeld[[#This Row],[% Complete]]</f>
        <v>#VALUE!</v>
      </c>
      <c r="M169" s="59" t="str">
        <f>IFERROR(tbl_TitusWeld[[#This Row],[Qty Complete]]/tbl_TitusWeld[[#This Row],[Total Hours Act]]*tbl_TitusWeld[[#This Row],['# of men Act]],"")</f>
        <v/>
      </c>
      <c r="O169"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69" s="71" t="str">
        <f>IFERROR((tbl_TitusWeld[[#This Row],[Adj. Total Hours]]+tbl_TitusWeld[[#This Row],[Est. Hours]])/(tbl_TitusWeld[[#This Row],[Total Hours Act]]+tbl_TitusWeld[[#This Row],[Act. Hours]]),"")</f>
        <v/>
      </c>
      <c r="S169" s="63"/>
      <c r="T169" s="63"/>
      <c r="U169" s="63"/>
      <c r="V169" s="63"/>
      <c r="W169" s="63"/>
      <c r="X169" s="63"/>
    </row>
    <row r="170" spans="6:24" ht="25" customHeight="1">
      <c r="F170" s="53"/>
      <c r="H170" s="55" t="e">
        <f>tbl_TitusWeld[[#This Row],[Qty Complete]]/tbl_TitusWeld[[#This Row],[Qty Required]]</f>
        <v>#DIV/0!</v>
      </c>
      <c r="K170" s="57" t="str">
        <f>IFERROR(tbl_TitusWeld[[#This Row],[Qty Required]]/tbl_TitusWeld[[#This Row],[PPH]]*tbl_TitusWeld[[#This Row],['# of men]],"")</f>
        <v/>
      </c>
      <c r="L170" s="58" t="e">
        <f>tbl_TitusWeld[[#This Row],[Total hours]]*tbl_TitusWeld[[#This Row],[% Complete]]</f>
        <v>#VALUE!</v>
      </c>
      <c r="M170" s="59" t="str">
        <f>IFERROR(tbl_TitusWeld[[#This Row],[Qty Complete]]/tbl_TitusWeld[[#This Row],[Total Hours Act]]*tbl_TitusWeld[[#This Row],['# of men Act]],"")</f>
        <v/>
      </c>
      <c r="O170"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70" s="71" t="str">
        <f>IFERROR((tbl_TitusWeld[[#This Row],[Adj. Total Hours]]+tbl_TitusWeld[[#This Row],[Est. Hours]])/(tbl_TitusWeld[[#This Row],[Total Hours Act]]+tbl_TitusWeld[[#This Row],[Act. Hours]]),"")</f>
        <v/>
      </c>
      <c r="S170" s="63"/>
      <c r="T170" s="63"/>
      <c r="U170" s="63"/>
      <c r="V170" s="63"/>
      <c r="W170" s="63"/>
      <c r="X170" s="63"/>
    </row>
    <row r="171" spans="6:24" ht="25" customHeight="1">
      <c r="F171" s="53"/>
      <c r="H171" s="55" t="e">
        <f>tbl_TitusWeld[[#This Row],[Qty Complete]]/tbl_TitusWeld[[#This Row],[Qty Required]]</f>
        <v>#DIV/0!</v>
      </c>
      <c r="K171" s="57" t="str">
        <f>IFERROR(tbl_TitusWeld[[#This Row],[Qty Required]]/tbl_TitusWeld[[#This Row],[PPH]]*tbl_TitusWeld[[#This Row],['# of men]],"")</f>
        <v/>
      </c>
      <c r="L171" s="58" t="e">
        <f>tbl_TitusWeld[[#This Row],[Total hours]]*tbl_TitusWeld[[#This Row],[% Complete]]</f>
        <v>#VALUE!</v>
      </c>
      <c r="M171" s="59" t="str">
        <f>IFERROR(tbl_TitusWeld[[#This Row],[Qty Complete]]/tbl_TitusWeld[[#This Row],[Total Hours Act]]*tbl_TitusWeld[[#This Row],['# of men Act]],"")</f>
        <v/>
      </c>
      <c r="O171"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71" s="71" t="str">
        <f>IFERROR((tbl_TitusWeld[[#This Row],[Adj. Total Hours]]+tbl_TitusWeld[[#This Row],[Est. Hours]])/(tbl_TitusWeld[[#This Row],[Total Hours Act]]+tbl_TitusWeld[[#This Row],[Act. Hours]]),"")</f>
        <v/>
      </c>
      <c r="S171" s="63"/>
      <c r="T171" s="63"/>
      <c r="U171" s="63"/>
      <c r="V171" s="63"/>
      <c r="W171" s="63"/>
      <c r="X171" s="63"/>
    </row>
    <row r="172" spans="6:24" ht="25" customHeight="1">
      <c r="F172" s="53"/>
      <c r="H172" s="55" t="e">
        <f>tbl_TitusWeld[[#This Row],[Qty Complete]]/tbl_TitusWeld[[#This Row],[Qty Required]]</f>
        <v>#DIV/0!</v>
      </c>
      <c r="K172" s="57" t="str">
        <f>IFERROR(tbl_TitusWeld[[#This Row],[Qty Required]]/tbl_TitusWeld[[#This Row],[PPH]]*tbl_TitusWeld[[#This Row],['# of men]],"")</f>
        <v/>
      </c>
      <c r="L172" s="58" t="e">
        <f>tbl_TitusWeld[[#This Row],[Total hours]]*tbl_TitusWeld[[#This Row],[% Complete]]</f>
        <v>#VALUE!</v>
      </c>
      <c r="M172" s="59" t="str">
        <f>IFERROR(tbl_TitusWeld[[#This Row],[Qty Complete]]/tbl_TitusWeld[[#This Row],[Total Hours Act]]*tbl_TitusWeld[[#This Row],['# of men Act]],"")</f>
        <v/>
      </c>
      <c r="O172"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72" s="71" t="str">
        <f>IFERROR((tbl_TitusWeld[[#This Row],[Adj. Total Hours]]+tbl_TitusWeld[[#This Row],[Est. Hours]])/(tbl_TitusWeld[[#This Row],[Total Hours Act]]+tbl_TitusWeld[[#This Row],[Act. Hours]]),"")</f>
        <v/>
      </c>
      <c r="S172" s="63"/>
      <c r="T172" s="63"/>
      <c r="U172" s="63"/>
      <c r="V172" s="63"/>
      <c r="W172" s="63"/>
      <c r="X172" s="63"/>
    </row>
    <row r="173" spans="6:24" ht="25" customHeight="1">
      <c r="F173" s="53"/>
      <c r="H173" s="55" t="e">
        <f>tbl_TitusWeld[[#This Row],[Qty Complete]]/tbl_TitusWeld[[#This Row],[Qty Required]]</f>
        <v>#DIV/0!</v>
      </c>
      <c r="K173" s="57" t="str">
        <f>IFERROR(tbl_TitusWeld[[#This Row],[Qty Required]]/tbl_TitusWeld[[#This Row],[PPH]]*tbl_TitusWeld[[#This Row],['# of men]],"")</f>
        <v/>
      </c>
      <c r="L173" s="58" t="e">
        <f>tbl_TitusWeld[[#This Row],[Total hours]]*tbl_TitusWeld[[#This Row],[% Complete]]</f>
        <v>#VALUE!</v>
      </c>
      <c r="M173" s="59" t="str">
        <f>IFERROR(tbl_TitusWeld[[#This Row],[Qty Complete]]/tbl_TitusWeld[[#This Row],[Total Hours Act]]*tbl_TitusWeld[[#This Row],['# of men Act]],"")</f>
        <v/>
      </c>
      <c r="O173"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73" s="71" t="str">
        <f>IFERROR((tbl_TitusWeld[[#This Row],[Adj. Total Hours]]+tbl_TitusWeld[[#This Row],[Est. Hours]])/(tbl_TitusWeld[[#This Row],[Total Hours Act]]+tbl_TitusWeld[[#This Row],[Act. Hours]]),"")</f>
        <v/>
      </c>
      <c r="S173" s="63"/>
      <c r="T173" s="63"/>
      <c r="U173" s="63"/>
      <c r="V173" s="63"/>
      <c r="W173" s="63"/>
      <c r="X173" s="63"/>
    </row>
    <row r="174" spans="6:24" ht="25" customHeight="1">
      <c r="F174" s="53"/>
      <c r="H174" s="55" t="e">
        <f>tbl_TitusWeld[[#This Row],[Qty Complete]]/tbl_TitusWeld[[#This Row],[Qty Required]]</f>
        <v>#DIV/0!</v>
      </c>
      <c r="K174" s="57" t="str">
        <f>IFERROR(tbl_TitusWeld[[#This Row],[Qty Required]]/tbl_TitusWeld[[#This Row],[PPH]]*tbl_TitusWeld[[#This Row],['# of men]],"")</f>
        <v/>
      </c>
      <c r="L174" s="58" t="e">
        <f>tbl_TitusWeld[[#This Row],[Total hours]]*tbl_TitusWeld[[#This Row],[% Complete]]</f>
        <v>#VALUE!</v>
      </c>
      <c r="M174" s="59" t="str">
        <f>IFERROR(tbl_TitusWeld[[#This Row],[Qty Complete]]/tbl_TitusWeld[[#This Row],[Total Hours Act]]*tbl_TitusWeld[[#This Row],['# of men Act]],"")</f>
        <v/>
      </c>
      <c r="O174"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74" s="71" t="str">
        <f>IFERROR((tbl_TitusWeld[[#This Row],[Adj. Total Hours]]+tbl_TitusWeld[[#This Row],[Est. Hours]])/(tbl_TitusWeld[[#This Row],[Total Hours Act]]+tbl_TitusWeld[[#This Row],[Act. Hours]]),"")</f>
        <v/>
      </c>
      <c r="S174" s="63"/>
      <c r="T174" s="63"/>
      <c r="U174" s="63"/>
      <c r="V174" s="63"/>
      <c r="W174" s="63"/>
      <c r="X174" s="63"/>
    </row>
    <row r="175" spans="6:24" ht="25" customHeight="1">
      <c r="F175" s="53"/>
      <c r="H175" s="55" t="e">
        <f>tbl_TitusWeld[[#This Row],[Qty Complete]]/tbl_TitusWeld[[#This Row],[Qty Required]]</f>
        <v>#DIV/0!</v>
      </c>
      <c r="K175" s="57" t="str">
        <f>IFERROR(tbl_TitusWeld[[#This Row],[Qty Required]]/tbl_TitusWeld[[#This Row],[PPH]]*tbl_TitusWeld[[#This Row],['# of men]],"")</f>
        <v/>
      </c>
      <c r="L175" s="58" t="e">
        <f>tbl_TitusWeld[[#This Row],[Total hours]]*tbl_TitusWeld[[#This Row],[% Complete]]</f>
        <v>#VALUE!</v>
      </c>
      <c r="M175" s="59" t="str">
        <f>IFERROR(tbl_TitusWeld[[#This Row],[Qty Complete]]/tbl_TitusWeld[[#This Row],[Total Hours Act]]*tbl_TitusWeld[[#This Row],['# of men Act]],"")</f>
        <v/>
      </c>
      <c r="O175"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75" s="71" t="str">
        <f>IFERROR((tbl_TitusWeld[[#This Row],[Adj. Total Hours]]+tbl_TitusWeld[[#This Row],[Est. Hours]])/(tbl_TitusWeld[[#This Row],[Total Hours Act]]+tbl_TitusWeld[[#This Row],[Act. Hours]]),"")</f>
        <v/>
      </c>
      <c r="S175" s="63"/>
      <c r="T175" s="63"/>
      <c r="U175" s="63"/>
      <c r="V175" s="63"/>
      <c r="W175" s="63"/>
      <c r="X175" s="63"/>
    </row>
    <row r="176" spans="6:24" ht="25" customHeight="1">
      <c r="F176" s="53"/>
      <c r="H176" s="55" t="e">
        <f>tbl_TitusWeld[[#This Row],[Qty Complete]]/tbl_TitusWeld[[#This Row],[Qty Required]]</f>
        <v>#DIV/0!</v>
      </c>
      <c r="K176" s="57" t="str">
        <f>IFERROR(tbl_TitusWeld[[#This Row],[Qty Required]]/tbl_TitusWeld[[#This Row],[PPH]]*tbl_TitusWeld[[#This Row],['# of men]],"")</f>
        <v/>
      </c>
      <c r="L176" s="58" t="e">
        <f>tbl_TitusWeld[[#This Row],[Total hours]]*tbl_TitusWeld[[#This Row],[% Complete]]</f>
        <v>#VALUE!</v>
      </c>
      <c r="M176" s="59" t="str">
        <f>IFERROR(tbl_TitusWeld[[#This Row],[Qty Complete]]/tbl_TitusWeld[[#This Row],[Total Hours Act]]*tbl_TitusWeld[[#This Row],['# of men Act]],"")</f>
        <v/>
      </c>
      <c r="O176"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76" s="71" t="str">
        <f>IFERROR((tbl_TitusWeld[[#This Row],[Adj. Total Hours]]+tbl_TitusWeld[[#This Row],[Est. Hours]])/(tbl_TitusWeld[[#This Row],[Total Hours Act]]+tbl_TitusWeld[[#This Row],[Act. Hours]]),"")</f>
        <v/>
      </c>
      <c r="S176" s="63"/>
      <c r="T176" s="63"/>
      <c r="U176" s="63"/>
      <c r="V176" s="63"/>
      <c r="W176" s="63"/>
      <c r="X176" s="63"/>
    </row>
    <row r="177" spans="6:24" ht="25" customHeight="1">
      <c r="F177" s="53"/>
      <c r="H177" s="55" t="e">
        <f>tbl_TitusWeld[[#This Row],[Qty Complete]]/tbl_TitusWeld[[#This Row],[Qty Required]]</f>
        <v>#DIV/0!</v>
      </c>
      <c r="K177" s="57" t="str">
        <f>IFERROR(tbl_TitusWeld[[#This Row],[Qty Required]]/tbl_TitusWeld[[#This Row],[PPH]]*tbl_TitusWeld[[#This Row],['# of men]],"")</f>
        <v/>
      </c>
      <c r="L177" s="58" t="e">
        <f>tbl_TitusWeld[[#This Row],[Total hours]]*tbl_TitusWeld[[#This Row],[% Complete]]</f>
        <v>#VALUE!</v>
      </c>
      <c r="M177" s="59" t="str">
        <f>IFERROR(tbl_TitusWeld[[#This Row],[Qty Complete]]/tbl_TitusWeld[[#This Row],[Total Hours Act]]*tbl_TitusWeld[[#This Row],['# of men Act]],"")</f>
        <v/>
      </c>
      <c r="O177"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77" s="71" t="str">
        <f>IFERROR((tbl_TitusWeld[[#This Row],[Adj. Total Hours]]+tbl_TitusWeld[[#This Row],[Est. Hours]])/(tbl_TitusWeld[[#This Row],[Total Hours Act]]+tbl_TitusWeld[[#This Row],[Act. Hours]]),"")</f>
        <v/>
      </c>
      <c r="S177" s="63"/>
      <c r="T177" s="63"/>
      <c r="U177" s="63"/>
      <c r="V177" s="63"/>
      <c r="W177" s="63"/>
      <c r="X177" s="63"/>
    </row>
    <row r="178" spans="6:24" ht="25" customHeight="1">
      <c r="F178" s="53"/>
      <c r="H178" s="55" t="e">
        <f>tbl_TitusWeld[[#This Row],[Qty Complete]]/tbl_TitusWeld[[#This Row],[Qty Required]]</f>
        <v>#DIV/0!</v>
      </c>
      <c r="K178" s="57" t="str">
        <f>IFERROR(tbl_TitusWeld[[#This Row],[Qty Required]]/tbl_TitusWeld[[#This Row],[PPH]]*tbl_TitusWeld[[#This Row],['# of men]],"")</f>
        <v/>
      </c>
      <c r="L178" s="58" t="e">
        <f>tbl_TitusWeld[[#This Row],[Total hours]]*tbl_TitusWeld[[#This Row],[% Complete]]</f>
        <v>#VALUE!</v>
      </c>
      <c r="M178" s="59" t="str">
        <f>IFERROR(tbl_TitusWeld[[#This Row],[Qty Complete]]/tbl_TitusWeld[[#This Row],[Total Hours Act]]*tbl_TitusWeld[[#This Row],['# of men Act]],"")</f>
        <v/>
      </c>
      <c r="O178"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78" s="71" t="str">
        <f>IFERROR((tbl_TitusWeld[[#This Row],[Adj. Total Hours]]+tbl_TitusWeld[[#This Row],[Est. Hours]])/(tbl_TitusWeld[[#This Row],[Total Hours Act]]+tbl_TitusWeld[[#This Row],[Act. Hours]]),"")</f>
        <v/>
      </c>
      <c r="S178" s="63"/>
      <c r="T178" s="63"/>
      <c r="U178" s="63"/>
      <c r="V178" s="63"/>
      <c r="W178" s="63"/>
      <c r="X178" s="63"/>
    </row>
    <row r="179" spans="6:24" ht="25" customHeight="1">
      <c r="F179" s="53"/>
      <c r="H179" s="55" t="e">
        <f>tbl_TitusWeld[[#This Row],[Qty Complete]]/tbl_TitusWeld[[#This Row],[Qty Required]]</f>
        <v>#DIV/0!</v>
      </c>
      <c r="K179" s="57" t="str">
        <f>IFERROR(tbl_TitusWeld[[#This Row],[Qty Required]]/tbl_TitusWeld[[#This Row],[PPH]]*tbl_TitusWeld[[#This Row],['# of men]],"")</f>
        <v/>
      </c>
      <c r="L179" s="58" t="e">
        <f>tbl_TitusWeld[[#This Row],[Total hours]]*tbl_TitusWeld[[#This Row],[% Complete]]</f>
        <v>#VALUE!</v>
      </c>
      <c r="M179" s="59" t="str">
        <f>IFERROR(tbl_TitusWeld[[#This Row],[Qty Complete]]/tbl_TitusWeld[[#This Row],[Total Hours Act]]*tbl_TitusWeld[[#This Row],['# of men Act]],"")</f>
        <v/>
      </c>
      <c r="O179"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79" s="71" t="str">
        <f>IFERROR((tbl_TitusWeld[[#This Row],[Adj. Total Hours]]+tbl_TitusWeld[[#This Row],[Est. Hours]])/(tbl_TitusWeld[[#This Row],[Total Hours Act]]+tbl_TitusWeld[[#This Row],[Act. Hours]]),"")</f>
        <v/>
      </c>
      <c r="S179" s="63"/>
      <c r="T179" s="63"/>
      <c r="U179" s="63"/>
      <c r="V179" s="63"/>
      <c r="W179" s="63"/>
      <c r="X179" s="63"/>
    </row>
    <row r="180" spans="6:24" ht="25" customHeight="1">
      <c r="F180" s="53"/>
      <c r="H180" s="55" t="e">
        <f>tbl_TitusWeld[[#This Row],[Qty Complete]]/tbl_TitusWeld[[#This Row],[Qty Required]]</f>
        <v>#DIV/0!</v>
      </c>
      <c r="K180" s="57" t="str">
        <f>IFERROR(tbl_TitusWeld[[#This Row],[Qty Required]]/tbl_TitusWeld[[#This Row],[PPH]]*tbl_TitusWeld[[#This Row],['# of men]],"")</f>
        <v/>
      </c>
      <c r="L180" s="58" t="e">
        <f>tbl_TitusWeld[[#This Row],[Total hours]]*tbl_TitusWeld[[#This Row],[% Complete]]</f>
        <v>#VALUE!</v>
      </c>
      <c r="M180" s="59" t="str">
        <f>IFERROR(tbl_TitusWeld[[#This Row],[Qty Complete]]/tbl_TitusWeld[[#This Row],[Total Hours Act]]*tbl_TitusWeld[[#This Row],['# of men Act]],"")</f>
        <v/>
      </c>
      <c r="O180"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80" s="71" t="str">
        <f>IFERROR((tbl_TitusWeld[[#This Row],[Adj. Total Hours]]+tbl_TitusWeld[[#This Row],[Est. Hours]])/(tbl_TitusWeld[[#This Row],[Total Hours Act]]+tbl_TitusWeld[[#This Row],[Act. Hours]]),"")</f>
        <v/>
      </c>
      <c r="S180" s="63"/>
      <c r="T180" s="63"/>
      <c r="U180" s="63"/>
      <c r="V180" s="63"/>
      <c r="W180" s="63"/>
      <c r="X180" s="63"/>
    </row>
    <row r="181" spans="6:24" ht="25" customHeight="1">
      <c r="F181" s="53"/>
      <c r="H181" s="55" t="e">
        <f>tbl_TitusWeld[[#This Row],[Qty Complete]]/tbl_TitusWeld[[#This Row],[Qty Required]]</f>
        <v>#DIV/0!</v>
      </c>
      <c r="K181" s="57" t="str">
        <f>IFERROR(tbl_TitusWeld[[#This Row],[Qty Required]]/tbl_TitusWeld[[#This Row],[PPH]]*tbl_TitusWeld[[#This Row],['# of men]],"")</f>
        <v/>
      </c>
      <c r="L181" s="58" t="e">
        <f>tbl_TitusWeld[[#This Row],[Total hours]]*tbl_TitusWeld[[#This Row],[% Complete]]</f>
        <v>#VALUE!</v>
      </c>
      <c r="M181" s="59" t="str">
        <f>IFERROR(tbl_TitusWeld[[#This Row],[Qty Complete]]/tbl_TitusWeld[[#This Row],[Total Hours Act]]*tbl_TitusWeld[[#This Row],['# of men Act]],"")</f>
        <v/>
      </c>
      <c r="O181"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81" s="71" t="str">
        <f>IFERROR((tbl_TitusWeld[[#This Row],[Adj. Total Hours]]+tbl_TitusWeld[[#This Row],[Est. Hours]])/(tbl_TitusWeld[[#This Row],[Total Hours Act]]+tbl_TitusWeld[[#This Row],[Act. Hours]]),"")</f>
        <v/>
      </c>
      <c r="S181" s="63"/>
      <c r="T181" s="63"/>
      <c r="U181" s="63"/>
      <c r="V181" s="63"/>
      <c r="W181" s="63"/>
      <c r="X181" s="63"/>
    </row>
    <row r="182" spans="6:24" ht="25" customHeight="1">
      <c r="F182" s="53"/>
      <c r="H182" s="55" t="e">
        <f>tbl_TitusWeld[[#This Row],[Qty Complete]]/tbl_TitusWeld[[#This Row],[Qty Required]]</f>
        <v>#DIV/0!</v>
      </c>
      <c r="K182" s="57" t="str">
        <f>IFERROR(tbl_TitusWeld[[#This Row],[Qty Required]]/tbl_TitusWeld[[#This Row],[PPH]]*tbl_TitusWeld[[#This Row],['# of men]],"")</f>
        <v/>
      </c>
      <c r="L182" s="58" t="e">
        <f>tbl_TitusWeld[[#This Row],[Total hours]]*tbl_TitusWeld[[#This Row],[% Complete]]</f>
        <v>#VALUE!</v>
      </c>
      <c r="M182" s="59" t="str">
        <f>IFERROR(tbl_TitusWeld[[#This Row],[Qty Complete]]/tbl_TitusWeld[[#This Row],[Total Hours Act]]*tbl_TitusWeld[[#This Row],['# of men Act]],"")</f>
        <v/>
      </c>
      <c r="O182"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82" s="71" t="str">
        <f>IFERROR((tbl_TitusWeld[[#This Row],[Adj. Total Hours]]+tbl_TitusWeld[[#This Row],[Est. Hours]])/(tbl_TitusWeld[[#This Row],[Total Hours Act]]+tbl_TitusWeld[[#This Row],[Act. Hours]]),"")</f>
        <v/>
      </c>
      <c r="S182" s="63"/>
      <c r="T182" s="63"/>
      <c r="U182" s="63"/>
      <c r="V182" s="63"/>
      <c r="W182" s="63"/>
      <c r="X182" s="63"/>
    </row>
    <row r="183" spans="6:24" ht="25" customHeight="1">
      <c r="F183" s="53"/>
      <c r="H183" s="55" t="e">
        <f>tbl_TitusWeld[[#This Row],[Qty Complete]]/tbl_TitusWeld[[#This Row],[Qty Required]]</f>
        <v>#DIV/0!</v>
      </c>
      <c r="K183" s="57" t="str">
        <f>IFERROR(tbl_TitusWeld[[#This Row],[Qty Required]]/tbl_TitusWeld[[#This Row],[PPH]]*tbl_TitusWeld[[#This Row],['# of men]],"")</f>
        <v/>
      </c>
      <c r="L183" s="58" t="e">
        <f>tbl_TitusWeld[[#This Row],[Total hours]]*tbl_TitusWeld[[#This Row],[% Complete]]</f>
        <v>#VALUE!</v>
      </c>
      <c r="M183" s="59" t="str">
        <f>IFERROR(tbl_TitusWeld[[#This Row],[Qty Complete]]/tbl_TitusWeld[[#This Row],[Total Hours Act]]*tbl_TitusWeld[[#This Row],['# of men Act]],"")</f>
        <v/>
      </c>
      <c r="O183"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83" s="71" t="str">
        <f>IFERROR((tbl_TitusWeld[[#This Row],[Adj. Total Hours]]+tbl_TitusWeld[[#This Row],[Est. Hours]])/(tbl_TitusWeld[[#This Row],[Total Hours Act]]+tbl_TitusWeld[[#This Row],[Act. Hours]]),"")</f>
        <v/>
      </c>
      <c r="S183" s="63"/>
      <c r="T183" s="63"/>
      <c r="U183" s="63"/>
      <c r="V183" s="63"/>
      <c r="W183" s="63"/>
      <c r="X183" s="63"/>
    </row>
    <row r="184" spans="6:24" ht="25" customHeight="1">
      <c r="F184" s="53"/>
      <c r="H184" s="55" t="e">
        <f>tbl_TitusWeld[[#This Row],[Qty Complete]]/tbl_TitusWeld[[#This Row],[Qty Required]]</f>
        <v>#DIV/0!</v>
      </c>
      <c r="K184" s="57" t="str">
        <f>IFERROR(tbl_TitusWeld[[#This Row],[Qty Required]]/tbl_TitusWeld[[#This Row],[PPH]]*tbl_TitusWeld[[#This Row],['# of men]],"")</f>
        <v/>
      </c>
      <c r="L184" s="58" t="e">
        <f>tbl_TitusWeld[[#This Row],[Total hours]]*tbl_TitusWeld[[#This Row],[% Complete]]</f>
        <v>#VALUE!</v>
      </c>
      <c r="M184" s="59" t="str">
        <f>IFERROR(tbl_TitusWeld[[#This Row],[Qty Complete]]/tbl_TitusWeld[[#This Row],[Total Hours Act]]*tbl_TitusWeld[[#This Row],['# of men Act]],"")</f>
        <v/>
      </c>
      <c r="O184"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84" s="71" t="str">
        <f>IFERROR((tbl_TitusWeld[[#This Row],[Adj. Total Hours]]+tbl_TitusWeld[[#This Row],[Est. Hours]])/(tbl_TitusWeld[[#This Row],[Total Hours Act]]+tbl_TitusWeld[[#This Row],[Act. Hours]]),"")</f>
        <v/>
      </c>
      <c r="S184" s="63"/>
      <c r="T184" s="63"/>
      <c r="U184" s="63"/>
      <c r="V184" s="63"/>
      <c r="W184" s="63"/>
      <c r="X184" s="63"/>
    </row>
    <row r="185" spans="6:24" ht="25" customHeight="1">
      <c r="F185" s="53"/>
      <c r="H185" s="55" t="e">
        <f>tbl_TitusWeld[[#This Row],[Qty Complete]]/tbl_TitusWeld[[#This Row],[Qty Required]]</f>
        <v>#DIV/0!</v>
      </c>
      <c r="K185" s="57" t="str">
        <f>IFERROR(tbl_TitusWeld[[#This Row],[Qty Required]]/tbl_TitusWeld[[#This Row],[PPH]]*tbl_TitusWeld[[#This Row],['# of men]],"")</f>
        <v/>
      </c>
      <c r="L185" s="58" t="e">
        <f>tbl_TitusWeld[[#This Row],[Total hours]]*tbl_TitusWeld[[#This Row],[% Complete]]</f>
        <v>#VALUE!</v>
      </c>
      <c r="M185" s="59" t="str">
        <f>IFERROR(tbl_TitusWeld[[#This Row],[Qty Complete]]/tbl_TitusWeld[[#This Row],[Total Hours Act]]*tbl_TitusWeld[[#This Row],['# of men Act]],"")</f>
        <v/>
      </c>
      <c r="O185"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85" s="71" t="str">
        <f>IFERROR((tbl_TitusWeld[[#This Row],[Adj. Total Hours]]+tbl_TitusWeld[[#This Row],[Est. Hours]])/(tbl_TitusWeld[[#This Row],[Total Hours Act]]+tbl_TitusWeld[[#This Row],[Act. Hours]]),"")</f>
        <v/>
      </c>
      <c r="S185" s="63"/>
      <c r="T185" s="63"/>
      <c r="U185" s="63"/>
      <c r="V185" s="63"/>
      <c r="W185" s="63"/>
      <c r="X185" s="63"/>
    </row>
    <row r="186" spans="6:24" ht="25" customHeight="1">
      <c r="F186" s="53"/>
      <c r="H186" s="55" t="e">
        <f>tbl_TitusWeld[[#This Row],[Qty Complete]]/tbl_TitusWeld[[#This Row],[Qty Required]]</f>
        <v>#DIV/0!</v>
      </c>
      <c r="K186" s="57" t="str">
        <f>IFERROR(tbl_TitusWeld[[#This Row],[Qty Required]]/tbl_TitusWeld[[#This Row],[PPH]]*tbl_TitusWeld[[#This Row],['# of men]],"")</f>
        <v/>
      </c>
      <c r="L186" s="58" t="e">
        <f>tbl_TitusWeld[[#This Row],[Total hours]]*tbl_TitusWeld[[#This Row],[% Complete]]</f>
        <v>#VALUE!</v>
      </c>
      <c r="M186" s="59" t="str">
        <f>IFERROR(tbl_TitusWeld[[#This Row],[Qty Complete]]/tbl_TitusWeld[[#This Row],[Total Hours Act]]*tbl_TitusWeld[[#This Row],['# of men Act]],"")</f>
        <v/>
      </c>
      <c r="O186"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86" s="71" t="str">
        <f>IFERROR((tbl_TitusWeld[[#This Row],[Adj. Total Hours]]+tbl_TitusWeld[[#This Row],[Est. Hours]])/(tbl_TitusWeld[[#This Row],[Total Hours Act]]+tbl_TitusWeld[[#This Row],[Act. Hours]]),"")</f>
        <v/>
      </c>
      <c r="S186" s="63"/>
      <c r="T186" s="63"/>
      <c r="U186" s="63"/>
      <c r="V186" s="63"/>
      <c r="W186" s="63"/>
      <c r="X186" s="63"/>
    </row>
    <row r="187" spans="6:24" ht="25" customHeight="1">
      <c r="F187" s="53"/>
      <c r="H187" s="55" t="e">
        <f>tbl_TitusWeld[[#This Row],[Qty Complete]]/tbl_TitusWeld[[#This Row],[Qty Required]]</f>
        <v>#DIV/0!</v>
      </c>
      <c r="K187" s="57" t="str">
        <f>IFERROR(tbl_TitusWeld[[#This Row],[Qty Required]]/tbl_TitusWeld[[#This Row],[PPH]]*tbl_TitusWeld[[#This Row],['# of men]],"")</f>
        <v/>
      </c>
      <c r="L187" s="58" t="e">
        <f>tbl_TitusWeld[[#This Row],[Total hours]]*tbl_TitusWeld[[#This Row],[% Complete]]</f>
        <v>#VALUE!</v>
      </c>
      <c r="M187" s="59" t="str">
        <f>IFERROR(tbl_TitusWeld[[#This Row],[Qty Complete]]/tbl_TitusWeld[[#This Row],[Total Hours Act]]*tbl_TitusWeld[[#This Row],['# of men Act]],"")</f>
        <v/>
      </c>
      <c r="O187"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87" s="71" t="str">
        <f>IFERROR((tbl_TitusWeld[[#This Row],[Adj. Total Hours]]+tbl_TitusWeld[[#This Row],[Est. Hours]])/(tbl_TitusWeld[[#This Row],[Total Hours Act]]+tbl_TitusWeld[[#This Row],[Act. Hours]]),"")</f>
        <v/>
      </c>
      <c r="S187" s="63"/>
      <c r="T187" s="63"/>
      <c r="U187" s="63"/>
      <c r="V187" s="63"/>
      <c r="W187" s="63"/>
      <c r="X187" s="63"/>
    </row>
    <row r="188" spans="6:24" ht="25" customHeight="1">
      <c r="F188" s="53"/>
      <c r="H188" s="55" t="e">
        <f>tbl_TitusWeld[[#This Row],[Qty Complete]]/tbl_TitusWeld[[#This Row],[Qty Required]]</f>
        <v>#DIV/0!</v>
      </c>
      <c r="K188" s="57" t="str">
        <f>IFERROR(tbl_TitusWeld[[#This Row],[Qty Required]]/tbl_TitusWeld[[#This Row],[PPH]]*tbl_TitusWeld[[#This Row],['# of men]],"")</f>
        <v/>
      </c>
      <c r="L188" s="58" t="e">
        <f>tbl_TitusWeld[[#This Row],[Total hours]]*tbl_TitusWeld[[#This Row],[% Complete]]</f>
        <v>#VALUE!</v>
      </c>
      <c r="M188" s="59" t="str">
        <f>IFERROR(tbl_TitusWeld[[#This Row],[Qty Complete]]/tbl_TitusWeld[[#This Row],[Total Hours Act]]*tbl_TitusWeld[[#This Row],['# of men Act]],"")</f>
        <v/>
      </c>
      <c r="O188"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88" s="71" t="str">
        <f>IFERROR((tbl_TitusWeld[[#This Row],[Adj. Total Hours]]+tbl_TitusWeld[[#This Row],[Est. Hours]])/(tbl_TitusWeld[[#This Row],[Total Hours Act]]+tbl_TitusWeld[[#This Row],[Act. Hours]]),"")</f>
        <v/>
      </c>
      <c r="S188" s="63"/>
      <c r="T188" s="63"/>
      <c r="U188" s="63"/>
      <c r="V188" s="63"/>
      <c r="W188" s="63"/>
      <c r="X188" s="63"/>
    </row>
    <row r="189" spans="6:24" ht="25" customHeight="1">
      <c r="F189" s="53"/>
      <c r="H189" s="55" t="e">
        <f>tbl_TitusWeld[[#This Row],[Qty Complete]]/tbl_TitusWeld[[#This Row],[Qty Required]]</f>
        <v>#DIV/0!</v>
      </c>
      <c r="K189" s="57" t="str">
        <f>IFERROR(tbl_TitusWeld[[#This Row],[Qty Required]]/tbl_TitusWeld[[#This Row],[PPH]]*tbl_TitusWeld[[#This Row],['# of men]],"")</f>
        <v/>
      </c>
      <c r="L189" s="58" t="e">
        <f>tbl_TitusWeld[[#This Row],[Total hours]]*tbl_TitusWeld[[#This Row],[% Complete]]</f>
        <v>#VALUE!</v>
      </c>
      <c r="M189" s="59" t="str">
        <f>IFERROR(tbl_TitusWeld[[#This Row],[Qty Complete]]/tbl_TitusWeld[[#This Row],[Total Hours Act]]*tbl_TitusWeld[[#This Row],['# of men Act]],"")</f>
        <v/>
      </c>
      <c r="O189"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89" s="71" t="str">
        <f>IFERROR((tbl_TitusWeld[[#This Row],[Adj. Total Hours]]+tbl_TitusWeld[[#This Row],[Est. Hours]])/(tbl_TitusWeld[[#This Row],[Total Hours Act]]+tbl_TitusWeld[[#This Row],[Act. Hours]]),"")</f>
        <v/>
      </c>
      <c r="S189" s="63"/>
      <c r="T189" s="63"/>
      <c r="U189" s="63"/>
      <c r="V189" s="63"/>
      <c r="W189" s="63"/>
      <c r="X189" s="63"/>
    </row>
    <row r="190" spans="6:24" ht="25" customHeight="1">
      <c r="F190" s="53"/>
      <c r="H190" s="55" t="e">
        <f>tbl_TitusWeld[[#This Row],[Qty Complete]]/tbl_TitusWeld[[#This Row],[Qty Required]]</f>
        <v>#DIV/0!</v>
      </c>
      <c r="K190" s="57" t="str">
        <f>IFERROR(tbl_TitusWeld[[#This Row],[Qty Required]]/tbl_TitusWeld[[#This Row],[PPH]]*tbl_TitusWeld[[#This Row],['# of men]],"")</f>
        <v/>
      </c>
      <c r="L190" s="58" t="e">
        <f>tbl_TitusWeld[[#This Row],[Total hours]]*tbl_TitusWeld[[#This Row],[% Complete]]</f>
        <v>#VALUE!</v>
      </c>
      <c r="M190" s="59" t="str">
        <f>IFERROR(tbl_TitusWeld[[#This Row],[Qty Complete]]/tbl_TitusWeld[[#This Row],[Total Hours Act]]*tbl_TitusWeld[[#This Row],['# of men Act]],"")</f>
        <v/>
      </c>
      <c r="O190"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90" s="71" t="str">
        <f>IFERROR((tbl_TitusWeld[[#This Row],[Adj. Total Hours]]+tbl_TitusWeld[[#This Row],[Est. Hours]])/(tbl_TitusWeld[[#This Row],[Total Hours Act]]+tbl_TitusWeld[[#This Row],[Act. Hours]]),"")</f>
        <v/>
      </c>
      <c r="S190" s="63"/>
      <c r="T190" s="63"/>
      <c r="U190" s="63"/>
      <c r="V190" s="63"/>
      <c r="W190" s="63"/>
      <c r="X190" s="63"/>
    </row>
    <row r="191" spans="6:24" ht="25" customHeight="1">
      <c r="F191" s="53"/>
      <c r="H191" s="55" t="e">
        <f>tbl_TitusWeld[[#This Row],[Qty Complete]]/tbl_TitusWeld[[#This Row],[Qty Required]]</f>
        <v>#DIV/0!</v>
      </c>
      <c r="K191" s="57" t="str">
        <f>IFERROR(tbl_TitusWeld[[#This Row],[Qty Required]]/tbl_TitusWeld[[#This Row],[PPH]]*tbl_TitusWeld[[#This Row],['# of men]],"")</f>
        <v/>
      </c>
      <c r="L191" s="58" t="e">
        <f>tbl_TitusWeld[[#This Row],[Total hours]]*tbl_TitusWeld[[#This Row],[% Complete]]</f>
        <v>#VALUE!</v>
      </c>
      <c r="M191" s="59" t="str">
        <f>IFERROR(tbl_TitusWeld[[#This Row],[Qty Complete]]/tbl_TitusWeld[[#This Row],[Total Hours Act]]*tbl_TitusWeld[[#This Row],['# of men Act]],"")</f>
        <v/>
      </c>
      <c r="O191"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91" s="71" t="str">
        <f>IFERROR((tbl_TitusWeld[[#This Row],[Adj. Total Hours]]+tbl_TitusWeld[[#This Row],[Est. Hours]])/(tbl_TitusWeld[[#This Row],[Total Hours Act]]+tbl_TitusWeld[[#This Row],[Act. Hours]]),"")</f>
        <v/>
      </c>
      <c r="S191" s="63"/>
      <c r="T191" s="63"/>
      <c r="U191" s="63"/>
      <c r="V191" s="63"/>
      <c r="W191" s="63"/>
      <c r="X191" s="63"/>
    </row>
    <row r="192" spans="6:24" ht="25" customHeight="1">
      <c r="F192" s="53"/>
      <c r="H192" s="55" t="e">
        <f>tbl_TitusWeld[[#This Row],[Qty Complete]]/tbl_TitusWeld[[#This Row],[Qty Required]]</f>
        <v>#DIV/0!</v>
      </c>
      <c r="K192" s="57" t="str">
        <f>IFERROR(tbl_TitusWeld[[#This Row],[Qty Required]]/tbl_TitusWeld[[#This Row],[PPH]]*tbl_TitusWeld[[#This Row],['# of men]],"")</f>
        <v/>
      </c>
      <c r="L192" s="58" t="e">
        <f>tbl_TitusWeld[[#This Row],[Total hours]]*tbl_TitusWeld[[#This Row],[% Complete]]</f>
        <v>#VALUE!</v>
      </c>
      <c r="M192" s="59" t="str">
        <f>IFERROR(tbl_TitusWeld[[#This Row],[Qty Complete]]/tbl_TitusWeld[[#This Row],[Total Hours Act]]*tbl_TitusWeld[[#This Row],['# of men Act]],"")</f>
        <v/>
      </c>
      <c r="O192"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92" s="71" t="str">
        <f>IFERROR((tbl_TitusWeld[[#This Row],[Adj. Total Hours]]+tbl_TitusWeld[[#This Row],[Est. Hours]])/(tbl_TitusWeld[[#This Row],[Total Hours Act]]+tbl_TitusWeld[[#This Row],[Act. Hours]]),"")</f>
        <v/>
      </c>
      <c r="S192" s="63"/>
      <c r="T192" s="63"/>
      <c r="U192" s="63"/>
      <c r="V192" s="63"/>
      <c r="W192" s="63"/>
      <c r="X192" s="63"/>
    </row>
    <row r="193" spans="6:24" ht="25" customHeight="1">
      <c r="F193" s="53"/>
      <c r="H193" s="55" t="e">
        <f>tbl_TitusWeld[[#This Row],[Qty Complete]]/tbl_TitusWeld[[#This Row],[Qty Required]]</f>
        <v>#DIV/0!</v>
      </c>
      <c r="K193" s="57" t="str">
        <f>IFERROR(tbl_TitusWeld[[#This Row],[Qty Required]]/tbl_TitusWeld[[#This Row],[PPH]]*tbl_TitusWeld[[#This Row],['# of men]],"")</f>
        <v/>
      </c>
      <c r="L193" s="58" t="e">
        <f>tbl_TitusWeld[[#This Row],[Total hours]]*tbl_TitusWeld[[#This Row],[% Complete]]</f>
        <v>#VALUE!</v>
      </c>
      <c r="M193" s="59" t="str">
        <f>IFERROR(tbl_TitusWeld[[#This Row],[Qty Complete]]/tbl_TitusWeld[[#This Row],[Total Hours Act]]*tbl_TitusWeld[[#This Row],['# of men Act]],"")</f>
        <v/>
      </c>
      <c r="O193"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93" s="71" t="str">
        <f>IFERROR((tbl_TitusWeld[[#This Row],[Adj. Total Hours]]+tbl_TitusWeld[[#This Row],[Est. Hours]])/(tbl_TitusWeld[[#This Row],[Total Hours Act]]+tbl_TitusWeld[[#This Row],[Act. Hours]]),"")</f>
        <v/>
      </c>
      <c r="S193" s="63"/>
      <c r="T193" s="63"/>
      <c r="U193" s="63"/>
      <c r="V193" s="63"/>
      <c r="W193" s="63"/>
      <c r="X193" s="63"/>
    </row>
    <row r="194" spans="6:24" ht="25" customHeight="1">
      <c r="F194" s="53"/>
      <c r="H194" s="55" t="e">
        <f>tbl_TitusWeld[[#This Row],[Qty Complete]]/tbl_TitusWeld[[#This Row],[Qty Required]]</f>
        <v>#DIV/0!</v>
      </c>
      <c r="K194" s="57" t="str">
        <f>IFERROR(tbl_TitusWeld[[#This Row],[Qty Required]]/tbl_TitusWeld[[#This Row],[PPH]]*tbl_TitusWeld[[#This Row],['# of men]],"")</f>
        <v/>
      </c>
      <c r="L194" s="58" t="e">
        <f>tbl_TitusWeld[[#This Row],[Total hours]]*tbl_TitusWeld[[#This Row],[% Complete]]</f>
        <v>#VALUE!</v>
      </c>
      <c r="M194" s="59" t="str">
        <f>IFERROR(tbl_TitusWeld[[#This Row],[Qty Complete]]/tbl_TitusWeld[[#This Row],[Total Hours Act]]*tbl_TitusWeld[[#This Row],['# of men Act]],"")</f>
        <v/>
      </c>
      <c r="O194"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94" s="71" t="str">
        <f>IFERROR((tbl_TitusWeld[[#This Row],[Adj. Total Hours]]+tbl_TitusWeld[[#This Row],[Est. Hours]])/(tbl_TitusWeld[[#This Row],[Total Hours Act]]+tbl_TitusWeld[[#This Row],[Act. Hours]]),"")</f>
        <v/>
      </c>
      <c r="S194" s="63"/>
      <c r="T194" s="63"/>
      <c r="U194" s="63"/>
      <c r="V194" s="63"/>
      <c r="W194" s="63"/>
      <c r="X194" s="63"/>
    </row>
    <row r="195" spans="6:24" ht="25" customHeight="1">
      <c r="F195" s="53"/>
      <c r="H195" s="55" t="e">
        <f>tbl_TitusWeld[[#This Row],[Qty Complete]]/tbl_TitusWeld[[#This Row],[Qty Required]]</f>
        <v>#DIV/0!</v>
      </c>
      <c r="K195" s="57" t="str">
        <f>IFERROR(tbl_TitusWeld[[#This Row],[Qty Required]]/tbl_TitusWeld[[#This Row],[PPH]]*tbl_TitusWeld[[#This Row],['# of men]],"")</f>
        <v/>
      </c>
      <c r="L195" s="58" t="e">
        <f>tbl_TitusWeld[[#This Row],[Total hours]]*tbl_TitusWeld[[#This Row],[% Complete]]</f>
        <v>#VALUE!</v>
      </c>
      <c r="M195" s="59" t="str">
        <f>IFERROR(tbl_TitusWeld[[#This Row],[Qty Complete]]/tbl_TitusWeld[[#This Row],[Total Hours Act]]*tbl_TitusWeld[[#This Row],['# of men Act]],"")</f>
        <v/>
      </c>
      <c r="O195"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95" s="71" t="str">
        <f>IFERROR((tbl_TitusWeld[[#This Row],[Adj. Total Hours]]+tbl_TitusWeld[[#This Row],[Est. Hours]])/(tbl_TitusWeld[[#This Row],[Total Hours Act]]+tbl_TitusWeld[[#This Row],[Act. Hours]]),"")</f>
        <v/>
      </c>
      <c r="S195" s="63"/>
      <c r="T195" s="63"/>
      <c r="U195" s="63"/>
      <c r="V195" s="63"/>
      <c r="W195" s="63"/>
      <c r="X195" s="63"/>
    </row>
    <row r="196" spans="6:24" ht="25" customHeight="1">
      <c r="F196" s="53"/>
      <c r="H196" s="55" t="e">
        <f>tbl_TitusWeld[[#This Row],[Qty Complete]]/tbl_TitusWeld[[#This Row],[Qty Required]]</f>
        <v>#DIV/0!</v>
      </c>
      <c r="K196" s="57" t="str">
        <f>IFERROR(tbl_TitusWeld[[#This Row],[Qty Required]]/tbl_TitusWeld[[#This Row],[PPH]]*tbl_TitusWeld[[#This Row],['# of men]],"")</f>
        <v/>
      </c>
      <c r="L196" s="58" t="e">
        <f>tbl_TitusWeld[[#This Row],[Total hours]]*tbl_TitusWeld[[#This Row],[% Complete]]</f>
        <v>#VALUE!</v>
      </c>
      <c r="M196" s="59" t="str">
        <f>IFERROR(tbl_TitusWeld[[#This Row],[Qty Complete]]/tbl_TitusWeld[[#This Row],[Total Hours Act]]*tbl_TitusWeld[[#This Row],['# of men Act]],"")</f>
        <v/>
      </c>
      <c r="O196"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96" s="71" t="str">
        <f>IFERROR((tbl_TitusWeld[[#This Row],[Adj. Total Hours]]+tbl_TitusWeld[[#This Row],[Est. Hours]])/(tbl_TitusWeld[[#This Row],[Total Hours Act]]+tbl_TitusWeld[[#This Row],[Act. Hours]]),"")</f>
        <v/>
      </c>
      <c r="S196" s="63"/>
      <c r="T196" s="63"/>
      <c r="U196" s="63"/>
      <c r="V196" s="63"/>
      <c r="W196" s="63"/>
      <c r="X196" s="63"/>
    </row>
    <row r="197" spans="6:24" ht="25" customHeight="1">
      <c r="F197" s="53"/>
      <c r="H197" s="55" t="e">
        <f>tbl_TitusWeld[[#This Row],[Qty Complete]]/tbl_TitusWeld[[#This Row],[Qty Required]]</f>
        <v>#DIV/0!</v>
      </c>
      <c r="K197" s="57" t="str">
        <f>IFERROR(tbl_TitusWeld[[#This Row],[Qty Required]]/tbl_TitusWeld[[#This Row],[PPH]]*tbl_TitusWeld[[#This Row],['# of men]],"")</f>
        <v/>
      </c>
      <c r="L197" s="58" t="e">
        <f>tbl_TitusWeld[[#This Row],[Total hours]]*tbl_TitusWeld[[#This Row],[% Complete]]</f>
        <v>#VALUE!</v>
      </c>
      <c r="M197" s="59" t="str">
        <f>IFERROR(tbl_TitusWeld[[#This Row],[Qty Complete]]/tbl_TitusWeld[[#This Row],[Total Hours Act]]*tbl_TitusWeld[[#This Row],['# of men Act]],"")</f>
        <v/>
      </c>
      <c r="O197"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97" s="71" t="str">
        <f>IFERROR((tbl_TitusWeld[[#This Row],[Adj. Total Hours]]+tbl_TitusWeld[[#This Row],[Est. Hours]])/(tbl_TitusWeld[[#This Row],[Total Hours Act]]+tbl_TitusWeld[[#This Row],[Act. Hours]]),"")</f>
        <v/>
      </c>
      <c r="S197" s="63"/>
      <c r="T197" s="63"/>
      <c r="U197" s="63"/>
      <c r="V197" s="63"/>
      <c r="W197" s="63"/>
      <c r="X197" s="63"/>
    </row>
    <row r="198" spans="6:24" ht="25" customHeight="1">
      <c r="F198" s="53"/>
      <c r="H198" s="55" t="e">
        <f>tbl_TitusWeld[[#This Row],[Qty Complete]]/tbl_TitusWeld[[#This Row],[Qty Required]]</f>
        <v>#DIV/0!</v>
      </c>
      <c r="K198" s="57" t="str">
        <f>IFERROR(tbl_TitusWeld[[#This Row],[Qty Required]]/tbl_TitusWeld[[#This Row],[PPH]]*tbl_TitusWeld[[#This Row],['# of men]],"")</f>
        <v/>
      </c>
      <c r="L198" s="58" t="e">
        <f>tbl_TitusWeld[[#This Row],[Total hours]]*tbl_TitusWeld[[#This Row],[% Complete]]</f>
        <v>#VALUE!</v>
      </c>
      <c r="M198" s="59" t="str">
        <f>IFERROR(tbl_TitusWeld[[#This Row],[Qty Complete]]/tbl_TitusWeld[[#This Row],[Total Hours Act]]*tbl_TitusWeld[[#This Row],['# of men Act]],"")</f>
        <v/>
      </c>
      <c r="O198"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98" s="71" t="str">
        <f>IFERROR((tbl_TitusWeld[[#This Row],[Adj. Total Hours]]+tbl_TitusWeld[[#This Row],[Est. Hours]])/(tbl_TitusWeld[[#This Row],[Total Hours Act]]+tbl_TitusWeld[[#This Row],[Act. Hours]]),"")</f>
        <v/>
      </c>
      <c r="S198" s="63"/>
      <c r="T198" s="63"/>
      <c r="U198" s="63"/>
      <c r="V198" s="63"/>
      <c r="W198" s="63"/>
      <c r="X198" s="63"/>
    </row>
    <row r="199" spans="6:24" ht="25" customHeight="1">
      <c r="F199" s="53"/>
      <c r="H199" s="55" t="e">
        <f>tbl_TitusWeld[[#This Row],[Qty Complete]]/tbl_TitusWeld[[#This Row],[Qty Required]]</f>
        <v>#DIV/0!</v>
      </c>
      <c r="K199" s="57" t="str">
        <f>IFERROR(tbl_TitusWeld[[#This Row],[Qty Required]]/tbl_TitusWeld[[#This Row],[PPH]]*tbl_TitusWeld[[#This Row],['# of men]],"")</f>
        <v/>
      </c>
      <c r="L199" s="58" t="e">
        <f>tbl_TitusWeld[[#This Row],[Total hours]]*tbl_TitusWeld[[#This Row],[% Complete]]</f>
        <v>#VALUE!</v>
      </c>
      <c r="M199" s="59" t="str">
        <f>IFERROR(tbl_TitusWeld[[#This Row],[Qty Complete]]/tbl_TitusWeld[[#This Row],[Total Hours Act]]*tbl_TitusWeld[[#This Row],['# of men Act]],"")</f>
        <v/>
      </c>
      <c r="O199"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199" s="71" t="str">
        <f>IFERROR((tbl_TitusWeld[[#This Row],[Adj. Total Hours]]+tbl_TitusWeld[[#This Row],[Est. Hours]])/(tbl_TitusWeld[[#This Row],[Total Hours Act]]+tbl_TitusWeld[[#This Row],[Act. Hours]]),"")</f>
        <v/>
      </c>
      <c r="S199" s="63"/>
      <c r="T199" s="63"/>
      <c r="U199" s="63"/>
      <c r="V199" s="63"/>
      <c r="W199" s="63"/>
      <c r="X199" s="63"/>
    </row>
    <row r="200" spans="6:24" ht="25" customHeight="1">
      <c r="F200" s="53"/>
      <c r="H200" s="55" t="e">
        <f>tbl_TitusWeld[[#This Row],[Qty Complete]]/tbl_TitusWeld[[#This Row],[Qty Required]]</f>
        <v>#DIV/0!</v>
      </c>
      <c r="K200" s="57" t="str">
        <f>IFERROR(tbl_TitusWeld[[#This Row],[Qty Required]]/tbl_TitusWeld[[#This Row],[PPH]]*tbl_TitusWeld[[#This Row],['# of men]],"")</f>
        <v/>
      </c>
      <c r="L200" s="58" t="e">
        <f>tbl_TitusWeld[[#This Row],[Total hours]]*tbl_TitusWeld[[#This Row],[% Complete]]</f>
        <v>#VALUE!</v>
      </c>
      <c r="M200" s="59" t="str">
        <f>IFERROR(tbl_TitusWeld[[#This Row],[Qty Complete]]/tbl_TitusWeld[[#This Row],[Total Hours Act]]*tbl_TitusWeld[[#This Row],['# of men Act]],"")</f>
        <v/>
      </c>
      <c r="O200"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00" s="71" t="str">
        <f>IFERROR((tbl_TitusWeld[[#This Row],[Adj. Total Hours]]+tbl_TitusWeld[[#This Row],[Est. Hours]])/(tbl_TitusWeld[[#This Row],[Total Hours Act]]+tbl_TitusWeld[[#This Row],[Act. Hours]]),"")</f>
        <v/>
      </c>
      <c r="S200" s="63"/>
      <c r="T200" s="63"/>
      <c r="U200" s="63"/>
      <c r="V200" s="63"/>
      <c r="W200" s="63"/>
      <c r="X200" s="63"/>
    </row>
    <row r="201" spans="6:24" ht="25" customHeight="1">
      <c r="F201" s="53"/>
      <c r="H201" s="55" t="e">
        <f>tbl_TitusWeld[[#This Row],[Qty Complete]]/tbl_TitusWeld[[#This Row],[Qty Required]]</f>
        <v>#DIV/0!</v>
      </c>
      <c r="K201" s="57" t="str">
        <f>IFERROR(tbl_TitusWeld[[#This Row],[Qty Required]]/tbl_TitusWeld[[#This Row],[PPH]]*tbl_TitusWeld[[#This Row],['# of men]],"")</f>
        <v/>
      </c>
      <c r="L201" s="58" t="e">
        <f>tbl_TitusWeld[[#This Row],[Total hours]]*tbl_TitusWeld[[#This Row],[% Complete]]</f>
        <v>#VALUE!</v>
      </c>
      <c r="M201" s="59" t="str">
        <f>IFERROR(tbl_TitusWeld[[#This Row],[Qty Complete]]/tbl_TitusWeld[[#This Row],[Total Hours Act]]*tbl_TitusWeld[[#This Row],['# of men Act]],"")</f>
        <v/>
      </c>
      <c r="O201"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01" s="71" t="str">
        <f>IFERROR((tbl_TitusWeld[[#This Row],[Adj. Total Hours]]+tbl_TitusWeld[[#This Row],[Est. Hours]])/(tbl_TitusWeld[[#This Row],[Total Hours Act]]+tbl_TitusWeld[[#This Row],[Act. Hours]]),"")</f>
        <v/>
      </c>
      <c r="S201" s="63"/>
      <c r="T201" s="63"/>
      <c r="U201" s="63"/>
      <c r="V201" s="63"/>
      <c r="W201" s="63"/>
      <c r="X201" s="63"/>
    </row>
    <row r="202" spans="6:24" ht="25" customHeight="1">
      <c r="F202" s="53"/>
      <c r="H202" s="55" t="e">
        <f>tbl_TitusWeld[[#This Row],[Qty Complete]]/tbl_TitusWeld[[#This Row],[Qty Required]]</f>
        <v>#DIV/0!</v>
      </c>
      <c r="K202" s="57" t="str">
        <f>IFERROR(tbl_TitusWeld[[#This Row],[Qty Required]]/tbl_TitusWeld[[#This Row],[PPH]]*tbl_TitusWeld[[#This Row],['# of men]],"")</f>
        <v/>
      </c>
      <c r="L202" s="58" t="e">
        <f>tbl_TitusWeld[[#This Row],[Total hours]]*tbl_TitusWeld[[#This Row],[% Complete]]</f>
        <v>#VALUE!</v>
      </c>
      <c r="M202" s="59" t="str">
        <f>IFERROR(tbl_TitusWeld[[#This Row],[Qty Complete]]/tbl_TitusWeld[[#This Row],[Total Hours Act]]*tbl_TitusWeld[[#This Row],['# of men Act]],"")</f>
        <v/>
      </c>
      <c r="O202"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02" s="71" t="str">
        <f>IFERROR((tbl_TitusWeld[[#This Row],[Adj. Total Hours]]+tbl_TitusWeld[[#This Row],[Est. Hours]])/(tbl_TitusWeld[[#This Row],[Total Hours Act]]+tbl_TitusWeld[[#This Row],[Act. Hours]]),"")</f>
        <v/>
      </c>
      <c r="S202" s="63"/>
      <c r="T202" s="63"/>
      <c r="U202" s="63"/>
      <c r="V202" s="63"/>
      <c r="W202" s="63"/>
      <c r="X202" s="63"/>
    </row>
    <row r="203" spans="6:24" ht="25" customHeight="1">
      <c r="F203" s="53"/>
      <c r="H203" s="55" t="e">
        <f>tbl_TitusWeld[[#This Row],[Qty Complete]]/tbl_TitusWeld[[#This Row],[Qty Required]]</f>
        <v>#DIV/0!</v>
      </c>
      <c r="K203" s="57" t="str">
        <f>IFERROR(tbl_TitusWeld[[#This Row],[Qty Required]]/tbl_TitusWeld[[#This Row],[PPH]]*tbl_TitusWeld[[#This Row],['# of men]],"")</f>
        <v/>
      </c>
      <c r="L203" s="58" t="e">
        <f>tbl_TitusWeld[[#This Row],[Total hours]]*tbl_TitusWeld[[#This Row],[% Complete]]</f>
        <v>#VALUE!</v>
      </c>
      <c r="M203" s="59" t="str">
        <f>IFERROR(tbl_TitusWeld[[#This Row],[Qty Complete]]/tbl_TitusWeld[[#This Row],[Total Hours Act]]*tbl_TitusWeld[[#This Row],['# of men Act]],"")</f>
        <v/>
      </c>
      <c r="O203"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03" s="71" t="str">
        <f>IFERROR((tbl_TitusWeld[[#This Row],[Adj. Total Hours]]+tbl_TitusWeld[[#This Row],[Est. Hours]])/(tbl_TitusWeld[[#This Row],[Total Hours Act]]+tbl_TitusWeld[[#This Row],[Act. Hours]]),"")</f>
        <v/>
      </c>
      <c r="S203" s="63"/>
      <c r="T203" s="63"/>
      <c r="U203" s="63"/>
      <c r="V203" s="63"/>
      <c r="W203" s="63"/>
      <c r="X203" s="63"/>
    </row>
    <row r="204" spans="6:24" ht="25" customHeight="1">
      <c r="F204" s="53"/>
      <c r="H204" s="55" t="e">
        <f>tbl_TitusWeld[[#This Row],[Qty Complete]]/tbl_TitusWeld[[#This Row],[Qty Required]]</f>
        <v>#DIV/0!</v>
      </c>
      <c r="K204" s="57" t="str">
        <f>IFERROR(tbl_TitusWeld[[#This Row],[Qty Required]]/tbl_TitusWeld[[#This Row],[PPH]]*tbl_TitusWeld[[#This Row],['# of men]],"")</f>
        <v/>
      </c>
      <c r="L204" s="58" t="e">
        <f>tbl_TitusWeld[[#This Row],[Total hours]]*tbl_TitusWeld[[#This Row],[% Complete]]</f>
        <v>#VALUE!</v>
      </c>
      <c r="M204" s="59" t="str">
        <f>IFERROR(tbl_TitusWeld[[#This Row],[Qty Complete]]/tbl_TitusWeld[[#This Row],[Total Hours Act]]*tbl_TitusWeld[[#This Row],['# of men Act]],"")</f>
        <v/>
      </c>
      <c r="O204"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04" s="71" t="str">
        <f>IFERROR((tbl_TitusWeld[[#This Row],[Adj. Total Hours]]+tbl_TitusWeld[[#This Row],[Est. Hours]])/(tbl_TitusWeld[[#This Row],[Total Hours Act]]+tbl_TitusWeld[[#This Row],[Act. Hours]]),"")</f>
        <v/>
      </c>
      <c r="S204" s="63"/>
      <c r="T204" s="63"/>
      <c r="U204" s="63"/>
      <c r="V204" s="63"/>
      <c r="W204" s="63"/>
      <c r="X204" s="63"/>
    </row>
    <row r="205" spans="6:24" ht="25" customHeight="1">
      <c r="F205" s="53"/>
      <c r="H205" s="55" t="e">
        <f>tbl_TitusWeld[[#This Row],[Qty Complete]]/tbl_TitusWeld[[#This Row],[Qty Required]]</f>
        <v>#DIV/0!</v>
      </c>
      <c r="K205" s="57" t="str">
        <f>IFERROR(tbl_TitusWeld[[#This Row],[Qty Required]]/tbl_TitusWeld[[#This Row],[PPH]]*tbl_TitusWeld[[#This Row],['# of men]],"")</f>
        <v/>
      </c>
      <c r="L205" s="58" t="e">
        <f>tbl_TitusWeld[[#This Row],[Total hours]]*tbl_TitusWeld[[#This Row],[% Complete]]</f>
        <v>#VALUE!</v>
      </c>
      <c r="M205" s="59" t="str">
        <f>IFERROR(tbl_TitusWeld[[#This Row],[Qty Complete]]/tbl_TitusWeld[[#This Row],[Total Hours Act]]*tbl_TitusWeld[[#This Row],['# of men Act]],"")</f>
        <v/>
      </c>
      <c r="O205"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05" s="71" t="str">
        <f>IFERROR((tbl_TitusWeld[[#This Row],[Adj. Total Hours]]+tbl_TitusWeld[[#This Row],[Est. Hours]])/(tbl_TitusWeld[[#This Row],[Total Hours Act]]+tbl_TitusWeld[[#This Row],[Act. Hours]]),"")</f>
        <v/>
      </c>
      <c r="S205" s="63"/>
      <c r="T205" s="63"/>
      <c r="U205" s="63"/>
      <c r="V205" s="63"/>
      <c r="W205" s="63"/>
      <c r="X205" s="63"/>
    </row>
    <row r="206" spans="6:24" ht="25" customHeight="1">
      <c r="F206" s="53"/>
      <c r="H206" s="55" t="e">
        <f>tbl_TitusWeld[[#This Row],[Qty Complete]]/tbl_TitusWeld[[#This Row],[Qty Required]]</f>
        <v>#DIV/0!</v>
      </c>
      <c r="K206" s="57" t="str">
        <f>IFERROR(tbl_TitusWeld[[#This Row],[Qty Required]]/tbl_TitusWeld[[#This Row],[PPH]]*tbl_TitusWeld[[#This Row],['# of men]],"")</f>
        <v/>
      </c>
      <c r="L206" s="58" t="e">
        <f>tbl_TitusWeld[[#This Row],[Total hours]]*tbl_TitusWeld[[#This Row],[% Complete]]</f>
        <v>#VALUE!</v>
      </c>
      <c r="M206" s="59" t="str">
        <f>IFERROR(tbl_TitusWeld[[#This Row],[Qty Complete]]/tbl_TitusWeld[[#This Row],[Total Hours Act]]*tbl_TitusWeld[[#This Row],['# of men Act]],"")</f>
        <v/>
      </c>
      <c r="O206"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06" s="71" t="str">
        <f>IFERROR((tbl_TitusWeld[[#This Row],[Adj. Total Hours]]+tbl_TitusWeld[[#This Row],[Est. Hours]])/(tbl_TitusWeld[[#This Row],[Total Hours Act]]+tbl_TitusWeld[[#This Row],[Act. Hours]]),"")</f>
        <v/>
      </c>
      <c r="S206" s="63"/>
      <c r="T206" s="63"/>
      <c r="U206" s="63"/>
      <c r="V206" s="63"/>
      <c r="W206" s="63"/>
      <c r="X206" s="63"/>
    </row>
    <row r="207" spans="6:24" ht="25" customHeight="1">
      <c r="F207" s="53"/>
      <c r="H207" s="55" t="e">
        <f>tbl_TitusWeld[[#This Row],[Qty Complete]]/tbl_TitusWeld[[#This Row],[Qty Required]]</f>
        <v>#DIV/0!</v>
      </c>
      <c r="K207" s="57" t="str">
        <f>IFERROR(tbl_TitusWeld[[#This Row],[Qty Required]]/tbl_TitusWeld[[#This Row],[PPH]]*tbl_TitusWeld[[#This Row],['# of men]],"")</f>
        <v/>
      </c>
      <c r="L207" s="58" t="e">
        <f>tbl_TitusWeld[[#This Row],[Total hours]]*tbl_TitusWeld[[#This Row],[% Complete]]</f>
        <v>#VALUE!</v>
      </c>
      <c r="M207" s="59" t="str">
        <f>IFERROR(tbl_TitusWeld[[#This Row],[Qty Complete]]/tbl_TitusWeld[[#This Row],[Total Hours Act]]*tbl_TitusWeld[[#This Row],['# of men Act]],"")</f>
        <v/>
      </c>
      <c r="O207"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07" s="71" t="str">
        <f>IFERROR((tbl_TitusWeld[[#This Row],[Adj. Total Hours]]+tbl_TitusWeld[[#This Row],[Est. Hours]])/(tbl_TitusWeld[[#This Row],[Total Hours Act]]+tbl_TitusWeld[[#This Row],[Act. Hours]]),"")</f>
        <v/>
      </c>
      <c r="S207" s="63"/>
      <c r="T207" s="63"/>
      <c r="U207" s="63"/>
      <c r="V207" s="63"/>
      <c r="W207" s="63"/>
      <c r="X207" s="63"/>
    </row>
    <row r="208" spans="6:24" ht="25" customHeight="1">
      <c r="F208" s="53"/>
      <c r="H208" s="55" t="e">
        <f>tbl_TitusWeld[[#This Row],[Qty Complete]]/tbl_TitusWeld[[#This Row],[Qty Required]]</f>
        <v>#DIV/0!</v>
      </c>
      <c r="K208" s="57" t="str">
        <f>IFERROR(tbl_TitusWeld[[#This Row],[Qty Required]]/tbl_TitusWeld[[#This Row],[PPH]]*tbl_TitusWeld[[#This Row],['# of men]],"")</f>
        <v/>
      </c>
      <c r="L208" s="58" t="e">
        <f>tbl_TitusWeld[[#This Row],[Total hours]]*tbl_TitusWeld[[#This Row],[% Complete]]</f>
        <v>#VALUE!</v>
      </c>
      <c r="M208" s="59" t="str">
        <f>IFERROR(tbl_TitusWeld[[#This Row],[Qty Complete]]/tbl_TitusWeld[[#This Row],[Total Hours Act]]*tbl_TitusWeld[[#This Row],['# of men Act]],"")</f>
        <v/>
      </c>
      <c r="O208"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08" s="71" t="str">
        <f>IFERROR((tbl_TitusWeld[[#This Row],[Adj. Total Hours]]+tbl_TitusWeld[[#This Row],[Est. Hours]])/(tbl_TitusWeld[[#This Row],[Total Hours Act]]+tbl_TitusWeld[[#This Row],[Act. Hours]]),"")</f>
        <v/>
      </c>
      <c r="S208" s="63"/>
      <c r="T208" s="63"/>
      <c r="U208" s="63"/>
      <c r="V208" s="63"/>
      <c r="W208" s="63"/>
      <c r="X208" s="63"/>
    </row>
    <row r="209" spans="6:24" ht="25" customHeight="1">
      <c r="F209" s="53"/>
      <c r="H209" s="55" t="e">
        <f>tbl_TitusWeld[[#This Row],[Qty Complete]]/tbl_TitusWeld[[#This Row],[Qty Required]]</f>
        <v>#DIV/0!</v>
      </c>
      <c r="K209" s="57" t="str">
        <f>IFERROR(tbl_TitusWeld[[#This Row],[Qty Required]]/tbl_TitusWeld[[#This Row],[PPH]]*tbl_TitusWeld[[#This Row],['# of men]],"")</f>
        <v/>
      </c>
      <c r="L209" s="58" t="e">
        <f>tbl_TitusWeld[[#This Row],[Total hours]]*tbl_TitusWeld[[#This Row],[% Complete]]</f>
        <v>#VALUE!</v>
      </c>
      <c r="M209" s="59" t="str">
        <f>IFERROR(tbl_TitusWeld[[#This Row],[Qty Complete]]/tbl_TitusWeld[[#This Row],[Total Hours Act]]*tbl_TitusWeld[[#This Row],['# of men Act]],"")</f>
        <v/>
      </c>
      <c r="O209"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09" s="71" t="str">
        <f>IFERROR((tbl_TitusWeld[[#This Row],[Adj. Total Hours]]+tbl_TitusWeld[[#This Row],[Est. Hours]])/(tbl_TitusWeld[[#This Row],[Total Hours Act]]+tbl_TitusWeld[[#This Row],[Act. Hours]]),"")</f>
        <v/>
      </c>
      <c r="S209" s="63"/>
      <c r="T209" s="63"/>
      <c r="U209" s="63"/>
      <c r="V209" s="63"/>
      <c r="W209" s="63"/>
      <c r="X209" s="63"/>
    </row>
    <row r="210" spans="6:24" ht="25" customHeight="1">
      <c r="F210" s="53"/>
      <c r="H210" s="55" t="e">
        <f>tbl_TitusWeld[[#This Row],[Qty Complete]]/tbl_TitusWeld[[#This Row],[Qty Required]]</f>
        <v>#DIV/0!</v>
      </c>
      <c r="K210" s="57" t="str">
        <f>IFERROR(tbl_TitusWeld[[#This Row],[Qty Required]]/tbl_TitusWeld[[#This Row],[PPH]]*tbl_TitusWeld[[#This Row],['# of men]],"")</f>
        <v/>
      </c>
      <c r="L210" s="58" t="e">
        <f>tbl_TitusWeld[[#This Row],[Total hours]]*tbl_TitusWeld[[#This Row],[% Complete]]</f>
        <v>#VALUE!</v>
      </c>
      <c r="M210" s="59" t="str">
        <f>IFERROR(tbl_TitusWeld[[#This Row],[Qty Complete]]/tbl_TitusWeld[[#This Row],[Total Hours Act]]*tbl_TitusWeld[[#This Row],['# of men Act]],"")</f>
        <v/>
      </c>
      <c r="O210"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10" s="71" t="str">
        <f>IFERROR((tbl_TitusWeld[[#This Row],[Adj. Total Hours]]+tbl_TitusWeld[[#This Row],[Est. Hours]])/(tbl_TitusWeld[[#This Row],[Total Hours Act]]+tbl_TitusWeld[[#This Row],[Act. Hours]]),"")</f>
        <v/>
      </c>
      <c r="S210" s="63"/>
      <c r="T210" s="63"/>
      <c r="U210" s="63"/>
      <c r="V210" s="63"/>
      <c r="W210" s="63"/>
      <c r="X210" s="63"/>
    </row>
    <row r="211" spans="6:24" ht="25" customHeight="1">
      <c r="F211" s="53"/>
      <c r="H211" s="55" t="e">
        <f>tbl_TitusWeld[[#This Row],[Qty Complete]]/tbl_TitusWeld[[#This Row],[Qty Required]]</f>
        <v>#DIV/0!</v>
      </c>
      <c r="K211" s="57" t="str">
        <f>IFERROR(tbl_TitusWeld[[#This Row],[Qty Required]]/tbl_TitusWeld[[#This Row],[PPH]]*tbl_TitusWeld[[#This Row],['# of men]],"")</f>
        <v/>
      </c>
      <c r="L211" s="58" t="e">
        <f>tbl_TitusWeld[[#This Row],[Total hours]]*tbl_TitusWeld[[#This Row],[% Complete]]</f>
        <v>#VALUE!</v>
      </c>
      <c r="M211" s="59" t="str">
        <f>IFERROR(tbl_TitusWeld[[#This Row],[Qty Complete]]/tbl_TitusWeld[[#This Row],[Total Hours Act]]*tbl_TitusWeld[[#This Row],['# of men Act]],"")</f>
        <v/>
      </c>
      <c r="O211"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11" s="71" t="str">
        <f>IFERROR((tbl_TitusWeld[[#This Row],[Adj. Total Hours]]+tbl_TitusWeld[[#This Row],[Est. Hours]])/(tbl_TitusWeld[[#This Row],[Total Hours Act]]+tbl_TitusWeld[[#This Row],[Act. Hours]]),"")</f>
        <v/>
      </c>
      <c r="S211" s="63"/>
      <c r="T211" s="63"/>
      <c r="U211" s="63"/>
      <c r="V211" s="63"/>
      <c r="W211" s="63"/>
      <c r="X211" s="63"/>
    </row>
    <row r="212" spans="6:24" ht="25" customHeight="1">
      <c r="F212" s="53"/>
      <c r="H212" s="55" t="e">
        <f>tbl_TitusWeld[[#This Row],[Qty Complete]]/tbl_TitusWeld[[#This Row],[Qty Required]]</f>
        <v>#DIV/0!</v>
      </c>
      <c r="K212" s="57" t="str">
        <f>IFERROR(tbl_TitusWeld[[#This Row],[Qty Required]]/tbl_TitusWeld[[#This Row],[PPH]]*tbl_TitusWeld[[#This Row],['# of men]],"")</f>
        <v/>
      </c>
      <c r="L212" s="58" t="e">
        <f>tbl_TitusWeld[[#This Row],[Total hours]]*tbl_TitusWeld[[#This Row],[% Complete]]</f>
        <v>#VALUE!</v>
      </c>
      <c r="M212" s="59" t="str">
        <f>IFERROR(tbl_TitusWeld[[#This Row],[Qty Complete]]/tbl_TitusWeld[[#This Row],[Total Hours Act]]*tbl_TitusWeld[[#This Row],['# of men Act]],"")</f>
        <v/>
      </c>
      <c r="O212"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12" s="71" t="str">
        <f>IFERROR((tbl_TitusWeld[[#This Row],[Adj. Total Hours]]+tbl_TitusWeld[[#This Row],[Est. Hours]])/(tbl_TitusWeld[[#This Row],[Total Hours Act]]+tbl_TitusWeld[[#This Row],[Act. Hours]]),"")</f>
        <v/>
      </c>
      <c r="S212" s="63"/>
      <c r="T212" s="63"/>
      <c r="U212" s="63"/>
      <c r="V212" s="63"/>
      <c r="W212" s="63"/>
      <c r="X212" s="63"/>
    </row>
    <row r="213" spans="6:24" ht="25" customHeight="1">
      <c r="F213" s="53"/>
      <c r="H213" s="55" t="e">
        <f>tbl_TitusWeld[[#This Row],[Qty Complete]]/tbl_TitusWeld[[#This Row],[Qty Required]]</f>
        <v>#DIV/0!</v>
      </c>
      <c r="K213" s="57" t="str">
        <f>IFERROR(tbl_TitusWeld[[#This Row],[Qty Required]]/tbl_TitusWeld[[#This Row],[PPH]]*tbl_TitusWeld[[#This Row],['# of men]],"")</f>
        <v/>
      </c>
      <c r="L213" s="58" t="e">
        <f>tbl_TitusWeld[[#This Row],[Total hours]]*tbl_TitusWeld[[#This Row],[% Complete]]</f>
        <v>#VALUE!</v>
      </c>
      <c r="M213" s="59" t="str">
        <f>IFERROR(tbl_TitusWeld[[#This Row],[Qty Complete]]/tbl_TitusWeld[[#This Row],[Total Hours Act]]*tbl_TitusWeld[[#This Row],['# of men Act]],"")</f>
        <v/>
      </c>
      <c r="O213"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13" s="71" t="str">
        <f>IFERROR((tbl_TitusWeld[[#This Row],[Adj. Total Hours]]+tbl_TitusWeld[[#This Row],[Est. Hours]])/(tbl_TitusWeld[[#This Row],[Total Hours Act]]+tbl_TitusWeld[[#This Row],[Act. Hours]]),"")</f>
        <v/>
      </c>
      <c r="S213" s="63"/>
      <c r="T213" s="63"/>
      <c r="U213" s="63"/>
      <c r="V213" s="63"/>
      <c r="W213" s="63"/>
      <c r="X213" s="63"/>
    </row>
    <row r="214" spans="6:24" ht="25" customHeight="1">
      <c r="F214" s="53"/>
      <c r="H214" s="55" t="e">
        <f>tbl_TitusWeld[[#This Row],[Qty Complete]]/tbl_TitusWeld[[#This Row],[Qty Required]]</f>
        <v>#DIV/0!</v>
      </c>
      <c r="K214" s="57" t="str">
        <f>IFERROR(tbl_TitusWeld[[#This Row],[Qty Required]]/tbl_TitusWeld[[#This Row],[PPH]]*tbl_TitusWeld[[#This Row],['# of men]],"")</f>
        <v/>
      </c>
      <c r="L214" s="58" t="e">
        <f>tbl_TitusWeld[[#This Row],[Total hours]]*tbl_TitusWeld[[#This Row],[% Complete]]</f>
        <v>#VALUE!</v>
      </c>
      <c r="M214" s="59" t="str">
        <f>IFERROR(tbl_TitusWeld[[#This Row],[Qty Complete]]/tbl_TitusWeld[[#This Row],[Total Hours Act]]*tbl_TitusWeld[[#This Row],['# of men Act]],"")</f>
        <v/>
      </c>
      <c r="O214"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14" s="71" t="str">
        <f>IFERROR((tbl_TitusWeld[[#This Row],[Adj. Total Hours]]+tbl_TitusWeld[[#This Row],[Est. Hours]])/(tbl_TitusWeld[[#This Row],[Total Hours Act]]+tbl_TitusWeld[[#This Row],[Act. Hours]]),"")</f>
        <v/>
      </c>
      <c r="S214" s="63"/>
      <c r="T214" s="63"/>
      <c r="U214" s="63"/>
      <c r="V214" s="63"/>
      <c r="W214" s="63"/>
      <c r="X214" s="63"/>
    </row>
    <row r="215" spans="6:24" ht="25" customHeight="1">
      <c r="F215" s="53"/>
      <c r="H215" s="55" t="e">
        <f>tbl_TitusWeld[[#This Row],[Qty Complete]]/tbl_TitusWeld[[#This Row],[Qty Required]]</f>
        <v>#DIV/0!</v>
      </c>
      <c r="K215" s="57" t="str">
        <f>IFERROR(tbl_TitusWeld[[#This Row],[Qty Required]]/tbl_TitusWeld[[#This Row],[PPH]]*tbl_TitusWeld[[#This Row],['# of men]],"")</f>
        <v/>
      </c>
      <c r="L215" s="58" t="e">
        <f>tbl_TitusWeld[[#This Row],[Total hours]]*tbl_TitusWeld[[#This Row],[% Complete]]</f>
        <v>#VALUE!</v>
      </c>
      <c r="M215" s="59" t="str">
        <f>IFERROR(tbl_TitusWeld[[#This Row],[Qty Complete]]/tbl_TitusWeld[[#This Row],[Total Hours Act]]*tbl_TitusWeld[[#This Row],['# of men Act]],"")</f>
        <v/>
      </c>
      <c r="O215"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15" s="71" t="str">
        <f>IFERROR((tbl_TitusWeld[[#This Row],[Adj. Total Hours]]+tbl_TitusWeld[[#This Row],[Est. Hours]])/(tbl_TitusWeld[[#This Row],[Total Hours Act]]+tbl_TitusWeld[[#This Row],[Act. Hours]]),"")</f>
        <v/>
      </c>
      <c r="S215" s="63"/>
      <c r="T215" s="63"/>
      <c r="U215" s="63"/>
      <c r="V215" s="63"/>
      <c r="W215" s="63"/>
      <c r="X215" s="63"/>
    </row>
    <row r="216" spans="6:24" ht="25" customHeight="1">
      <c r="F216" s="53"/>
      <c r="H216" s="55" t="e">
        <f>tbl_TitusWeld[[#This Row],[Qty Complete]]/tbl_TitusWeld[[#This Row],[Qty Required]]</f>
        <v>#DIV/0!</v>
      </c>
      <c r="K216" s="57" t="str">
        <f>IFERROR(tbl_TitusWeld[[#This Row],[Qty Required]]/tbl_TitusWeld[[#This Row],[PPH]]*tbl_TitusWeld[[#This Row],['# of men]],"")</f>
        <v/>
      </c>
      <c r="L216" s="58" t="e">
        <f>tbl_TitusWeld[[#This Row],[Total hours]]*tbl_TitusWeld[[#This Row],[% Complete]]</f>
        <v>#VALUE!</v>
      </c>
      <c r="M216" s="59" t="str">
        <f>IFERROR(tbl_TitusWeld[[#This Row],[Qty Complete]]/tbl_TitusWeld[[#This Row],[Total Hours Act]]*tbl_TitusWeld[[#This Row],['# of men Act]],"")</f>
        <v/>
      </c>
      <c r="O216"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16" s="71" t="str">
        <f>IFERROR((tbl_TitusWeld[[#This Row],[Adj. Total Hours]]+tbl_TitusWeld[[#This Row],[Est. Hours]])/(tbl_TitusWeld[[#This Row],[Total Hours Act]]+tbl_TitusWeld[[#This Row],[Act. Hours]]),"")</f>
        <v/>
      </c>
      <c r="S216" s="63"/>
      <c r="T216" s="63"/>
      <c r="U216" s="63"/>
      <c r="V216" s="63"/>
      <c r="W216" s="63"/>
      <c r="X216" s="63"/>
    </row>
    <row r="217" spans="6:24" ht="25" customHeight="1">
      <c r="F217" s="53"/>
      <c r="H217" s="55" t="e">
        <f>tbl_TitusWeld[[#This Row],[Qty Complete]]/tbl_TitusWeld[[#This Row],[Qty Required]]</f>
        <v>#DIV/0!</v>
      </c>
      <c r="K217" s="57" t="str">
        <f>IFERROR(tbl_TitusWeld[[#This Row],[Qty Required]]/tbl_TitusWeld[[#This Row],[PPH]]*tbl_TitusWeld[[#This Row],['# of men]],"")</f>
        <v/>
      </c>
      <c r="L217" s="58" t="e">
        <f>tbl_TitusWeld[[#This Row],[Total hours]]*tbl_TitusWeld[[#This Row],[% Complete]]</f>
        <v>#VALUE!</v>
      </c>
      <c r="M217" s="59" t="str">
        <f>IFERROR(tbl_TitusWeld[[#This Row],[Qty Complete]]/tbl_TitusWeld[[#This Row],[Total Hours Act]]*tbl_TitusWeld[[#This Row],['# of men Act]],"")</f>
        <v/>
      </c>
      <c r="O217"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17" s="71" t="str">
        <f>IFERROR((tbl_TitusWeld[[#This Row],[Adj. Total Hours]]+tbl_TitusWeld[[#This Row],[Est. Hours]])/(tbl_TitusWeld[[#This Row],[Total Hours Act]]+tbl_TitusWeld[[#This Row],[Act. Hours]]),"")</f>
        <v/>
      </c>
      <c r="S217" s="63"/>
      <c r="T217" s="63"/>
      <c r="U217" s="63"/>
      <c r="V217" s="63"/>
      <c r="W217" s="63"/>
      <c r="X217" s="63"/>
    </row>
    <row r="218" spans="6:24" ht="25" customHeight="1">
      <c r="F218" s="53"/>
      <c r="H218" s="55" t="e">
        <f>tbl_TitusWeld[[#This Row],[Qty Complete]]/tbl_TitusWeld[[#This Row],[Qty Required]]</f>
        <v>#DIV/0!</v>
      </c>
      <c r="K218" s="57" t="str">
        <f>IFERROR(tbl_TitusWeld[[#This Row],[Qty Required]]/tbl_TitusWeld[[#This Row],[PPH]]*tbl_TitusWeld[[#This Row],['# of men]],"")</f>
        <v/>
      </c>
      <c r="L218" s="58" t="e">
        <f>tbl_TitusWeld[[#This Row],[Total hours]]*tbl_TitusWeld[[#This Row],[% Complete]]</f>
        <v>#VALUE!</v>
      </c>
      <c r="M218" s="59" t="str">
        <f>IFERROR(tbl_TitusWeld[[#This Row],[Qty Complete]]/tbl_TitusWeld[[#This Row],[Total Hours Act]]*tbl_TitusWeld[[#This Row],['# of men Act]],"")</f>
        <v/>
      </c>
      <c r="O218"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18" s="71" t="str">
        <f>IFERROR((tbl_TitusWeld[[#This Row],[Adj. Total Hours]]+tbl_TitusWeld[[#This Row],[Est. Hours]])/(tbl_TitusWeld[[#This Row],[Total Hours Act]]+tbl_TitusWeld[[#This Row],[Act. Hours]]),"")</f>
        <v/>
      </c>
      <c r="S218" s="63"/>
      <c r="T218" s="63"/>
      <c r="U218" s="63"/>
      <c r="V218" s="63"/>
      <c r="W218" s="63"/>
      <c r="X218" s="63"/>
    </row>
    <row r="219" spans="6:24" ht="25" customHeight="1">
      <c r="F219" s="53"/>
      <c r="H219" s="55" t="e">
        <f>tbl_TitusWeld[[#This Row],[Qty Complete]]/tbl_TitusWeld[[#This Row],[Qty Required]]</f>
        <v>#DIV/0!</v>
      </c>
      <c r="K219" s="57" t="str">
        <f>IFERROR(tbl_TitusWeld[[#This Row],[Qty Required]]/tbl_TitusWeld[[#This Row],[PPH]]*tbl_TitusWeld[[#This Row],['# of men]],"")</f>
        <v/>
      </c>
      <c r="L219" s="58" t="e">
        <f>tbl_TitusWeld[[#This Row],[Total hours]]*tbl_TitusWeld[[#This Row],[% Complete]]</f>
        <v>#VALUE!</v>
      </c>
      <c r="M219" s="59" t="str">
        <f>IFERROR(tbl_TitusWeld[[#This Row],[Qty Complete]]/tbl_TitusWeld[[#This Row],[Total Hours Act]]*tbl_TitusWeld[[#This Row],['# of men Act]],"")</f>
        <v/>
      </c>
      <c r="O219"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19" s="71" t="str">
        <f>IFERROR((tbl_TitusWeld[[#This Row],[Adj. Total Hours]]+tbl_TitusWeld[[#This Row],[Est. Hours]])/(tbl_TitusWeld[[#This Row],[Total Hours Act]]+tbl_TitusWeld[[#This Row],[Act. Hours]]),"")</f>
        <v/>
      </c>
      <c r="S219" s="63"/>
      <c r="T219" s="63"/>
      <c r="U219" s="63"/>
      <c r="V219" s="63"/>
      <c r="W219" s="63"/>
      <c r="X219" s="63"/>
    </row>
    <row r="220" spans="6:24" ht="25" customHeight="1">
      <c r="F220" s="53"/>
      <c r="H220" s="55" t="e">
        <f>tbl_TitusWeld[[#This Row],[Qty Complete]]/tbl_TitusWeld[[#This Row],[Qty Required]]</f>
        <v>#DIV/0!</v>
      </c>
      <c r="K220" s="57" t="str">
        <f>IFERROR(tbl_TitusWeld[[#This Row],[Qty Required]]/tbl_TitusWeld[[#This Row],[PPH]]*tbl_TitusWeld[[#This Row],['# of men]],"")</f>
        <v/>
      </c>
      <c r="L220" s="58" t="e">
        <f>tbl_TitusWeld[[#This Row],[Total hours]]*tbl_TitusWeld[[#This Row],[% Complete]]</f>
        <v>#VALUE!</v>
      </c>
      <c r="M220" s="59" t="str">
        <f>IFERROR(tbl_TitusWeld[[#This Row],[Qty Complete]]/tbl_TitusWeld[[#This Row],[Total Hours Act]]*tbl_TitusWeld[[#This Row],['# of men Act]],"")</f>
        <v/>
      </c>
      <c r="O220"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20" s="71" t="str">
        <f>IFERROR((tbl_TitusWeld[[#This Row],[Adj. Total Hours]]+tbl_TitusWeld[[#This Row],[Est. Hours]])/(tbl_TitusWeld[[#This Row],[Total Hours Act]]+tbl_TitusWeld[[#This Row],[Act. Hours]]),"")</f>
        <v/>
      </c>
      <c r="S220" s="63"/>
      <c r="T220" s="63"/>
      <c r="U220" s="63"/>
      <c r="V220" s="63"/>
      <c r="W220" s="63"/>
      <c r="X220" s="63"/>
    </row>
    <row r="221" spans="6:24" ht="25" customHeight="1">
      <c r="F221" s="53"/>
      <c r="H221" s="55" t="e">
        <f>tbl_TitusWeld[[#This Row],[Qty Complete]]/tbl_TitusWeld[[#This Row],[Qty Required]]</f>
        <v>#DIV/0!</v>
      </c>
      <c r="K221" s="57" t="str">
        <f>IFERROR(tbl_TitusWeld[[#This Row],[Qty Required]]/tbl_TitusWeld[[#This Row],[PPH]]*tbl_TitusWeld[[#This Row],['# of men]],"")</f>
        <v/>
      </c>
      <c r="L221" s="58" t="e">
        <f>tbl_TitusWeld[[#This Row],[Total hours]]*tbl_TitusWeld[[#This Row],[% Complete]]</f>
        <v>#VALUE!</v>
      </c>
      <c r="M221" s="59" t="str">
        <f>IFERROR(tbl_TitusWeld[[#This Row],[Qty Complete]]/tbl_TitusWeld[[#This Row],[Total Hours Act]]*tbl_TitusWeld[[#This Row],['# of men Act]],"")</f>
        <v/>
      </c>
      <c r="O221"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21" s="71" t="str">
        <f>IFERROR((tbl_TitusWeld[[#This Row],[Adj. Total Hours]]+tbl_TitusWeld[[#This Row],[Est. Hours]])/(tbl_TitusWeld[[#This Row],[Total Hours Act]]+tbl_TitusWeld[[#This Row],[Act. Hours]]),"")</f>
        <v/>
      </c>
      <c r="S221" s="63"/>
      <c r="T221" s="63"/>
      <c r="U221" s="63"/>
      <c r="V221" s="63"/>
      <c r="W221" s="63"/>
      <c r="X221" s="63"/>
    </row>
    <row r="222" spans="6:24" ht="25" customHeight="1">
      <c r="F222" s="53"/>
      <c r="H222" s="55" t="e">
        <f>tbl_TitusWeld[[#This Row],[Qty Complete]]/tbl_TitusWeld[[#This Row],[Qty Required]]</f>
        <v>#DIV/0!</v>
      </c>
      <c r="K222" s="57" t="str">
        <f>IFERROR(tbl_TitusWeld[[#This Row],[Qty Required]]/tbl_TitusWeld[[#This Row],[PPH]]*tbl_TitusWeld[[#This Row],['# of men]],"")</f>
        <v/>
      </c>
      <c r="L222" s="58" t="e">
        <f>tbl_TitusWeld[[#This Row],[Total hours]]*tbl_TitusWeld[[#This Row],[% Complete]]</f>
        <v>#VALUE!</v>
      </c>
      <c r="M222" s="59" t="str">
        <f>IFERROR(tbl_TitusWeld[[#This Row],[Qty Complete]]/tbl_TitusWeld[[#This Row],[Total Hours Act]]*tbl_TitusWeld[[#This Row],['# of men Act]],"")</f>
        <v/>
      </c>
      <c r="O222"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22" s="71" t="str">
        <f>IFERROR((tbl_TitusWeld[[#This Row],[Adj. Total Hours]]+tbl_TitusWeld[[#This Row],[Est. Hours]])/(tbl_TitusWeld[[#This Row],[Total Hours Act]]+tbl_TitusWeld[[#This Row],[Act. Hours]]),"")</f>
        <v/>
      </c>
      <c r="S222" s="63"/>
      <c r="T222" s="63"/>
      <c r="U222" s="63"/>
      <c r="V222" s="63"/>
      <c r="W222" s="63"/>
      <c r="X222" s="63"/>
    </row>
    <row r="223" spans="6:24" ht="25" customHeight="1">
      <c r="F223" s="53"/>
      <c r="H223" s="55" t="e">
        <f>tbl_TitusWeld[[#This Row],[Qty Complete]]/tbl_TitusWeld[[#This Row],[Qty Required]]</f>
        <v>#DIV/0!</v>
      </c>
      <c r="K223" s="57" t="str">
        <f>IFERROR(tbl_TitusWeld[[#This Row],[Qty Required]]/tbl_TitusWeld[[#This Row],[PPH]]*tbl_TitusWeld[[#This Row],['# of men]],"")</f>
        <v/>
      </c>
      <c r="L223" s="58" t="e">
        <f>tbl_TitusWeld[[#This Row],[Total hours]]*tbl_TitusWeld[[#This Row],[% Complete]]</f>
        <v>#VALUE!</v>
      </c>
      <c r="M223" s="59" t="str">
        <f>IFERROR(tbl_TitusWeld[[#This Row],[Qty Complete]]/tbl_TitusWeld[[#This Row],[Total Hours Act]]*tbl_TitusWeld[[#This Row],['# of men Act]],"")</f>
        <v/>
      </c>
      <c r="O223"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23" s="71" t="str">
        <f>IFERROR((tbl_TitusWeld[[#This Row],[Adj. Total Hours]]+tbl_TitusWeld[[#This Row],[Est. Hours]])/(tbl_TitusWeld[[#This Row],[Total Hours Act]]+tbl_TitusWeld[[#This Row],[Act. Hours]]),"")</f>
        <v/>
      </c>
      <c r="S223" s="63"/>
      <c r="T223" s="63"/>
      <c r="U223" s="63"/>
      <c r="V223" s="63"/>
      <c r="W223" s="63"/>
      <c r="X223" s="63"/>
    </row>
    <row r="224" spans="6:24" ht="25" customHeight="1">
      <c r="F224" s="53"/>
      <c r="H224" s="55" t="e">
        <f>tbl_TitusWeld[[#This Row],[Qty Complete]]/tbl_TitusWeld[[#This Row],[Qty Required]]</f>
        <v>#DIV/0!</v>
      </c>
      <c r="K224" s="57" t="str">
        <f>IFERROR(tbl_TitusWeld[[#This Row],[Qty Required]]/tbl_TitusWeld[[#This Row],[PPH]]*tbl_TitusWeld[[#This Row],['# of men]],"")</f>
        <v/>
      </c>
      <c r="L224" s="58" t="e">
        <f>tbl_TitusWeld[[#This Row],[Total hours]]*tbl_TitusWeld[[#This Row],[% Complete]]</f>
        <v>#VALUE!</v>
      </c>
      <c r="M224" s="59" t="str">
        <f>IFERROR(tbl_TitusWeld[[#This Row],[Qty Complete]]/tbl_TitusWeld[[#This Row],[Total Hours Act]]*tbl_TitusWeld[[#This Row],['# of men Act]],"")</f>
        <v/>
      </c>
      <c r="O224"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24" s="71" t="str">
        <f>IFERROR((tbl_TitusWeld[[#This Row],[Adj. Total Hours]]+tbl_TitusWeld[[#This Row],[Est. Hours]])/(tbl_TitusWeld[[#This Row],[Total Hours Act]]+tbl_TitusWeld[[#This Row],[Act. Hours]]),"")</f>
        <v/>
      </c>
      <c r="S224" s="63"/>
      <c r="T224" s="63"/>
      <c r="U224" s="63"/>
      <c r="V224" s="63"/>
      <c r="W224" s="63"/>
      <c r="X224" s="63"/>
    </row>
    <row r="225" spans="6:24" ht="25" customHeight="1">
      <c r="F225" s="53"/>
      <c r="H225" s="55" t="e">
        <f>tbl_TitusWeld[[#This Row],[Qty Complete]]/tbl_TitusWeld[[#This Row],[Qty Required]]</f>
        <v>#DIV/0!</v>
      </c>
      <c r="K225" s="57" t="str">
        <f>IFERROR(tbl_TitusWeld[[#This Row],[Qty Required]]/tbl_TitusWeld[[#This Row],[PPH]]*tbl_TitusWeld[[#This Row],['# of men]],"")</f>
        <v/>
      </c>
      <c r="L225" s="58" t="e">
        <f>tbl_TitusWeld[[#This Row],[Total hours]]*tbl_TitusWeld[[#This Row],[% Complete]]</f>
        <v>#VALUE!</v>
      </c>
      <c r="M225" s="59" t="str">
        <f>IFERROR(tbl_TitusWeld[[#This Row],[Qty Complete]]/tbl_TitusWeld[[#This Row],[Total Hours Act]]*tbl_TitusWeld[[#This Row],['# of men Act]],"")</f>
        <v/>
      </c>
      <c r="O225"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25" s="71" t="str">
        <f>IFERROR((tbl_TitusWeld[[#This Row],[Adj. Total Hours]]+tbl_TitusWeld[[#This Row],[Est. Hours]])/(tbl_TitusWeld[[#This Row],[Total Hours Act]]+tbl_TitusWeld[[#This Row],[Act. Hours]]),"")</f>
        <v/>
      </c>
      <c r="S225" s="63"/>
      <c r="T225" s="63"/>
      <c r="U225" s="63"/>
      <c r="V225" s="63"/>
      <c r="W225" s="63"/>
      <c r="X225" s="63"/>
    </row>
    <row r="226" spans="6:24" ht="25" customHeight="1">
      <c r="F226" s="53"/>
      <c r="H226" s="55" t="e">
        <f>tbl_TitusWeld[[#This Row],[Qty Complete]]/tbl_TitusWeld[[#This Row],[Qty Required]]</f>
        <v>#DIV/0!</v>
      </c>
      <c r="K226" s="57" t="str">
        <f>IFERROR(tbl_TitusWeld[[#This Row],[Qty Required]]/tbl_TitusWeld[[#This Row],[PPH]]*tbl_TitusWeld[[#This Row],['# of men]],"")</f>
        <v/>
      </c>
      <c r="L226" s="58" t="e">
        <f>tbl_TitusWeld[[#This Row],[Total hours]]*tbl_TitusWeld[[#This Row],[% Complete]]</f>
        <v>#VALUE!</v>
      </c>
      <c r="M226" s="59" t="str">
        <f>IFERROR(tbl_TitusWeld[[#This Row],[Qty Complete]]/tbl_TitusWeld[[#This Row],[Total Hours Act]]*tbl_TitusWeld[[#This Row],['# of men Act]],"")</f>
        <v/>
      </c>
      <c r="O226"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26" s="71" t="str">
        <f>IFERROR((tbl_TitusWeld[[#This Row],[Adj. Total Hours]]+tbl_TitusWeld[[#This Row],[Est. Hours]])/(tbl_TitusWeld[[#This Row],[Total Hours Act]]+tbl_TitusWeld[[#This Row],[Act. Hours]]),"")</f>
        <v/>
      </c>
      <c r="S226" s="63"/>
      <c r="T226" s="63"/>
      <c r="U226" s="63"/>
      <c r="V226" s="63"/>
      <c r="W226" s="63"/>
      <c r="X226" s="63"/>
    </row>
    <row r="227" spans="6:24" ht="25" customHeight="1">
      <c r="F227" s="53"/>
      <c r="H227" s="55" t="e">
        <f>tbl_TitusWeld[[#This Row],[Qty Complete]]/tbl_TitusWeld[[#This Row],[Qty Required]]</f>
        <v>#DIV/0!</v>
      </c>
      <c r="K227" s="57" t="str">
        <f>IFERROR(tbl_TitusWeld[[#This Row],[Qty Required]]/tbl_TitusWeld[[#This Row],[PPH]]*tbl_TitusWeld[[#This Row],['# of men]],"")</f>
        <v/>
      </c>
      <c r="L227" s="58" t="e">
        <f>tbl_TitusWeld[[#This Row],[Total hours]]*tbl_TitusWeld[[#This Row],[% Complete]]</f>
        <v>#VALUE!</v>
      </c>
      <c r="M227" s="59" t="str">
        <f>IFERROR(tbl_TitusWeld[[#This Row],[Qty Complete]]/tbl_TitusWeld[[#This Row],[Total Hours Act]]*tbl_TitusWeld[[#This Row],['# of men Act]],"")</f>
        <v/>
      </c>
      <c r="O227"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27" s="71" t="str">
        <f>IFERROR((tbl_TitusWeld[[#This Row],[Adj. Total Hours]]+tbl_TitusWeld[[#This Row],[Est. Hours]])/(tbl_TitusWeld[[#This Row],[Total Hours Act]]+tbl_TitusWeld[[#This Row],[Act. Hours]]),"")</f>
        <v/>
      </c>
      <c r="S227" s="63"/>
      <c r="T227" s="63"/>
      <c r="U227" s="63"/>
      <c r="V227" s="63"/>
      <c r="W227" s="63"/>
      <c r="X227" s="63"/>
    </row>
    <row r="228" spans="6:24" ht="25" customHeight="1">
      <c r="F228" s="53"/>
      <c r="H228" s="55" t="e">
        <f>tbl_TitusWeld[[#This Row],[Qty Complete]]/tbl_TitusWeld[[#This Row],[Qty Required]]</f>
        <v>#DIV/0!</v>
      </c>
      <c r="K228" s="57" t="str">
        <f>IFERROR(tbl_TitusWeld[[#This Row],[Qty Required]]/tbl_TitusWeld[[#This Row],[PPH]]*tbl_TitusWeld[[#This Row],['# of men]],"")</f>
        <v/>
      </c>
      <c r="L228" s="58" t="e">
        <f>tbl_TitusWeld[[#This Row],[Total hours]]*tbl_TitusWeld[[#This Row],[% Complete]]</f>
        <v>#VALUE!</v>
      </c>
      <c r="M228" s="59" t="str">
        <f>IFERROR(tbl_TitusWeld[[#This Row],[Qty Complete]]/tbl_TitusWeld[[#This Row],[Total Hours Act]]*tbl_TitusWeld[[#This Row],['# of men Act]],"")</f>
        <v/>
      </c>
      <c r="O228"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28" s="71" t="str">
        <f>IFERROR((tbl_TitusWeld[[#This Row],[Adj. Total Hours]]+tbl_TitusWeld[[#This Row],[Est. Hours]])/(tbl_TitusWeld[[#This Row],[Total Hours Act]]+tbl_TitusWeld[[#This Row],[Act. Hours]]),"")</f>
        <v/>
      </c>
      <c r="S228" s="63"/>
      <c r="T228" s="63"/>
      <c r="U228" s="63"/>
      <c r="V228" s="63"/>
      <c r="W228" s="63"/>
      <c r="X228" s="63"/>
    </row>
    <row r="229" spans="6:24" ht="25" customHeight="1">
      <c r="F229" s="53"/>
      <c r="H229" s="55" t="e">
        <f>tbl_TitusWeld[[#This Row],[Qty Complete]]/tbl_TitusWeld[[#This Row],[Qty Required]]</f>
        <v>#DIV/0!</v>
      </c>
      <c r="K229" s="57" t="str">
        <f>IFERROR(tbl_TitusWeld[[#This Row],[Qty Required]]/tbl_TitusWeld[[#This Row],[PPH]]*tbl_TitusWeld[[#This Row],['# of men]],"")</f>
        <v/>
      </c>
      <c r="L229" s="58" t="e">
        <f>tbl_TitusWeld[[#This Row],[Total hours]]*tbl_TitusWeld[[#This Row],[% Complete]]</f>
        <v>#VALUE!</v>
      </c>
      <c r="M229" s="59" t="str">
        <f>IFERROR(tbl_TitusWeld[[#This Row],[Qty Complete]]/tbl_TitusWeld[[#This Row],[Total Hours Act]]*tbl_TitusWeld[[#This Row],['# of men Act]],"")</f>
        <v/>
      </c>
      <c r="O229"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29" s="71" t="str">
        <f>IFERROR((tbl_TitusWeld[[#This Row],[Adj. Total Hours]]+tbl_TitusWeld[[#This Row],[Est. Hours]])/(tbl_TitusWeld[[#This Row],[Total Hours Act]]+tbl_TitusWeld[[#This Row],[Act. Hours]]),"")</f>
        <v/>
      </c>
      <c r="S229" s="63"/>
      <c r="T229" s="63"/>
      <c r="U229" s="63"/>
      <c r="V229" s="63"/>
      <c r="W229" s="63"/>
      <c r="X229" s="63"/>
    </row>
    <row r="230" spans="6:24" ht="25" customHeight="1">
      <c r="F230" s="53"/>
      <c r="H230" s="55" t="e">
        <f>tbl_TitusWeld[[#This Row],[Qty Complete]]/tbl_TitusWeld[[#This Row],[Qty Required]]</f>
        <v>#DIV/0!</v>
      </c>
      <c r="K230" s="57" t="str">
        <f>IFERROR(tbl_TitusWeld[[#This Row],[Qty Required]]/tbl_TitusWeld[[#This Row],[PPH]]*tbl_TitusWeld[[#This Row],['# of men]],"")</f>
        <v/>
      </c>
      <c r="L230" s="58" t="e">
        <f>tbl_TitusWeld[[#This Row],[Total hours]]*tbl_TitusWeld[[#This Row],[% Complete]]</f>
        <v>#VALUE!</v>
      </c>
      <c r="M230" s="59" t="str">
        <f>IFERROR(tbl_TitusWeld[[#This Row],[Qty Complete]]/tbl_TitusWeld[[#This Row],[Total Hours Act]]*tbl_TitusWeld[[#This Row],['# of men Act]],"")</f>
        <v/>
      </c>
      <c r="O230"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30" s="71" t="str">
        <f>IFERROR((tbl_TitusWeld[[#This Row],[Adj. Total Hours]]+tbl_TitusWeld[[#This Row],[Est. Hours]])/(tbl_TitusWeld[[#This Row],[Total Hours Act]]+tbl_TitusWeld[[#This Row],[Act. Hours]]),"")</f>
        <v/>
      </c>
      <c r="S230" s="63"/>
      <c r="T230" s="63"/>
      <c r="U230" s="63"/>
      <c r="V230" s="63"/>
      <c r="W230" s="63"/>
      <c r="X230" s="63"/>
    </row>
    <row r="231" spans="6:24" ht="25" customHeight="1">
      <c r="F231" s="53"/>
      <c r="H231" s="55" t="e">
        <f>tbl_TitusWeld[[#This Row],[Qty Complete]]/tbl_TitusWeld[[#This Row],[Qty Required]]</f>
        <v>#DIV/0!</v>
      </c>
      <c r="K231" s="57" t="str">
        <f>IFERROR(tbl_TitusWeld[[#This Row],[Qty Required]]/tbl_TitusWeld[[#This Row],[PPH]]*tbl_TitusWeld[[#This Row],['# of men]],"")</f>
        <v/>
      </c>
      <c r="L231" s="58" t="e">
        <f>tbl_TitusWeld[[#This Row],[Total hours]]*tbl_TitusWeld[[#This Row],[% Complete]]</f>
        <v>#VALUE!</v>
      </c>
      <c r="M231" s="59" t="str">
        <f>IFERROR(tbl_TitusWeld[[#This Row],[Qty Complete]]/tbl_TitusWeld[[#This Row],[Total Hours Act]]*tbl_TitusWeld[[#This Row],['# of men Act]],"")</f>
        <v/>
      </c>
      <c r="O231"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31" s="71" t="str">
        <f>IFERROR((tbl_TitusWeld[[#This Row],[Adj. Total Hours]]+tbl_TitusWeld[[#This Row],[Est. Hours]])/(tbl_TitusWeld[[#This Row],[Total Hours Act]]+tbl_TitusWeld[[#This Row],[Act. Hours]]),"")</f>
        <v/>
      </c>
      <c r="S231" s="63"/>
      <c r="T231" s="63"/>
      <c r="U231" s="63"/>
      <c r="V231" s="63"/>
      <c r="W231" s="63"/>
      <c r="X231" s="63"/>
    </row>
    <row r="232" spans="6:24" ht="25" customHeight="1">
      <c r="F232" s="53"/>
      <c r="H232" s="55" t="e">
        <f>tbl_TitusWeld[[#This Row],[Qty Complete]]/tbl_TitusWeld[[#This Row],[Qty Required]]</f>
        <v>#DIV/0!</v>
      </c>
      <c r="K232" s="57" t="str">
        <f>IFERROR(tbl_TitusWeld[[#This Row],[Qty Required]]/tbl_TitusWeld[[#This Row],[PPH]]*tbl_TitusWeld[[#This Row],['# of men]],"")</f>
        <v/>
      </c>
      <c r="L232" s="58" t="e">
        <f>tbl_TitusWeld[[#This Row],[Total hours]]*tbl_TitusWeld[[#This Row],[% Complete]]</f>
        <v>#VALUE!</v>
      </c>
      <c r="M232" s="59" t="str">
        <f>IFERROR(tbl_TitusWeld[[#This Row],[Qty Complete]]/tbl_TitusWeld[[#This Row],[Total Hours Act]]*tbl_TitusWeld[[#This Row],['# of men Act]],"")</f>
        <v/>
      </c>
      <c r="O232"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32" s="71" t="str">
        <f>IFERROR((tbl_TitusWeld[[#This Row],[Adj. Total Hours]]+tbl_TitusWeld[[#This Row],[Est. Hours]])/(tbl_TitusWeld[[#This Row],[Total Hours Act]]+tbl_TitusWeld[[#This Row],[Act. Hours]]),"")</f>
        <v/>
      </c>
      <c r="S232" s="63"/>
      <c r="T232" s="63"/>
      <c r="U232" s="63"/>
      <c r="V232" s="63"/>
      <c r="W232" s="63"/>
      <c r="X232" s="63"/>
    </row>
    <row r="233" spans="6:24" ht="25" customHeight="1">
      <c r="F233" s="53"/>
      <c r="H233" s="55" t="e">
        <f>tbl_TitusWeld[[#This Row],[Qty Complete]]/tbl_TitusWeld[[#This Row],[Qty Required]]</f>
        <v>#DIV/0!</v>
      </c>
      <c r="K233" s="57" t="str">
        <f>IFERROR(tbl_TitusWeld[[#This Row],[Qty Required]]/tbl_TitusWeld[[#This Row],[PPH]]*tbl_TitusWeld[[#This Row],['# of men]],"")</f>
        <v/>
      </c>
      <c r="L233" s="58" t="e">
        <f>tbl_TitusWeld[[#This Row],[Total hours]]*tbl_TitusWeld[[#This Row],[% Complete]]</f>
        <v>#VALUE!</v>
      </c>
      <c r="M233" s="59" t="str">
        <f>IFERROR(tbl_TitusWeld[[#This Row],[Qty Complete]]/tbl_TitusWeld[[#This Row],[Total Hours Act]]*tbl_TitusWeld[[#This Row],['# of men Act]],"")</f>
        <v/>
      </c>
      <c r="O233"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33" s="71" t="str">
        <f>IFERROR((tbl_TitusWeld[[#This Row],[Adj. Total Hours]]+tbl_TitusWeld[[#This Row],[Est. Hours]])/(tbl_TitusWeld[[#This Row],[Total Hours Act]]+tbl_TitusWeld[[#This Row],[Act. Hours]]),"")</f>
        <v/>
      </c>
      <c r="S233" s="63"/>
      <c r="T233" s="63"/>
      <c r="U233" s="63"/>
      <c r="V233" s="63"/>
      <c r="W233" s="63"/>
      <c r="X233" s="63"/>
    </row>
    <row r="234" spans="6:24" ht="25" customHeight="1">
      <c r="F234" s="53"/>
      <c r="H234" s="55" t="e">
        <f>tbl_TitusWeld[[#This Row],[Qty Complete]]/tbl_TitusWeld[[#This Row],[Qty Required]]</f>
        <v>#DIV/0!</v>
      </c>
      <c r="K234" s="57" t="str">
        <f>IFERROR(tbl_TitusWeld[[#This Row],[Qty Required]]/tbl_TitusWeld[[#This Row],[PPH]]*tbl_TitusWeld[[#This Row],['# of men]],"")</f>
        <v/>
      </c>
      <c r="L234" s="58" t="e">
        <f>tbl_TitusWeld[[#This Row],[Total hours]]*tbl_TitusWeld[[#This Row],[% Complete]]</f>
        <v>#VALUE!</v>
      </c>
      <c r="M234" s="59" t="str">
        <f>IFERROR(tbl_TitusWeld[[#This Row],[Qty Complete]]/tbl_TitusWeld[[#This Row],[Total Hours Act]]*tbl_TitusWeld[[#This Row],['# of men Act]],"")</f>
        <v/>
      </c>
      <c r="O234"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34" s="71" t="str">
        <f>IFERROR((tbl_TitusWeld[[#This Row],[Adj. Total Hours]]+tbl_TitusWeld[[#This Row],[Est. Hours]])/(tbl_TitusWeld[[#This Row],[Total Hours Act]]+tbl_TitusWeld[[#This Row],[Act. Hours]]),"")</f>
        <v/>
      </c>
      <c r="S234" s="63"/>
      <c r="T234" s="63"/>
      <c r="U234" s="63"/>
      <c r="V234" s="63"/>
      <c r="W234" s="63"/>
      <c r="X234" s="63"/>
    </row>
    <row r="235" spans="6:24" ht="25" customHeight="1">
      <c r="F235" s="53"/>
      <c r="H235" s="55" t="e">
        <f>tbl_TitusWeld[[#This Row],[Qty Complete]]/tbl_TitusWeld[[#This Row],[Qty Required]]</f>
        <v>#DIV/0!</v>
      </c>
      <c r="K235" s="57" t="str">
        <f>IFERROR(tbl_TitusWeld[[#This Row],[Qty Required]]/tbl_TitusWeld[[#This Row],[PPH]]*tbl_TitusWeld[[#This Row],['# of men]],"")</f>
        <v/>
      </c>
      <c r="L235" s="58" t="e">
        <f>tbl_TitusWeld[[#This Row],[Total hours]]*tbl_TitusWeld[[#This Row],[% Complete]]</f>
        <v>#VALUE!</v>
      </c>
      <c r="M235" s="59" t="str">
        <f>IFERROR(tbl_TitusWeld[[#This Row],[Qty Complete]]/tbl_TitusWeld[[#This Row],[Total Hours Act]]*tbl_TitusWeld[[#This Row],['# of men Act]],"")</f>
        <v/>
      </c>
      <c r="O235"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35" s="71" t="str">
        <f>IFERROR((tbl_TitusWeld[[#This Row],[Adj. Total Hours]]+tbl_TitusWeld[[#This Row],[Est. Hours]])/(tbl_TitusWeld[[#This Row],[Total Hours Act]]+tbl_TitusWeld[[#This Row],[Act. Hours]]),"")</f>
        <v/>
      </c>
      <c r="S235" s="63"/>
      <c r="T235" s="63"/>
      <c r="U235" s="63"/>
      <c r="V235" s="63"/>
      <c r="W235" s="63"/>
      <c r="X235" s="63"/>
    </row>
    <row r="236" spans="6:24" ht="25" customHeight="1">
      <c r="F236" s="53"/>
      <c r="H236" s="55" t="e">
        <f>tbl_TitusWeld[[#This Row],[Qty Complete]]/tbl_TitusWeld[[#This Row],[Qty Required]]</f>
        <v>#DIV/0!</v>
      </c>
      <c r="K236" s="57" t="str">
        <f>IFERROR(tbl_TitusWeld[[#This Row],[Qty Required]]/tbl_TitusWeld[[#This Row],[PPH]]*tbl_TitusWeld[[#This Row],['# of men]],"")</f>
        <v/>
      </c>
      <c r="L236" s="58" t="e">
        <f>tbl_TitusWeld[[#This Row],[Total hours]]*tbl_TitusWeld[[#This Row],[% Complete]]</f>
        <v>#VALUE!</v>
      </c>
      <c r="M236" s="59" t="str">
        <f>IFERROR(tbl_TitusWeld[[#This Row],[Qty Complete]]/tbl_TitusWeld[[#This Row],[Total Hours Act]]*tbl_TitusWeld[[#This Row],['# of men Act]],"")</f>
        <v/>
      </c>
      <c r="O236"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36" s="71" t="str">
        <f>IFERROR((tbl_TitusWeld[[#This Row],[Adj. Total Hours]]+tbl_TitusWeld[[#This Row],[Est. Hours]])/(tbl_TitusWeld[[#This Row],[Total Hours Act]]+tbl_TitusWeld[[#This Row],[Act. Hours]]),"")</f>
        <v/>
      </c>
      <c r="S236" s="63"/>
      <c r="T236" s="63"/>
      <c r="U236" s="63"/>
      <c r="V236" s="63"/>
      <c r="W236" s="63"/>
      <c r="X236" s="63"/>
    </row>
    <row r="237" spans="6:24" ht="25" customHeight="1">
      <c r="F237" s="53"/>
      <c r="H237" s="55" t="e">
        <f>tbl_TitusWeld[[#This Row],[Qty Complete]]/tbl_TitusWeld[[#This Row],[Qty Required]]</f>
        <v>#DIV/0!</v>
      </c>
      <c r="K237" s="57" t="str">
        <f>IFERROR(tbl_TitusWeld[[#This Row],[Qty Required]]/tbl_TitusWeld[[#This Row],[PPH]]*tbl_TitusWeld[[#This Row],['# of men]],"")</f>
        <v/>
      </c>
      <c r="L237" s="58" t="e">
        <f>tbl_TitusWeld[[#This Row],[Total hours]]*tbl_TitusWeld[[#This Row],[% Complete]]</f>
        <v>#VALUE!</v>
      </c>
      <c r="M237" s="59" t="str">
        <f>IFERROR(tbl_TitusWeld[[#This Row],[Qty Complete]]/tbl_TitusWeld[[#This Row],[Total Hours Act]]*tbl_TitusWeld[[#This Row],['# of men Act]],"")</f>
        <v/>
      </c>
      <c r="O237"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37" s="71" t="str">
        <f>IFERROR((tbl_TitusWeld[[#This Row],[Adj. Total Hours]]+tbl_TitusWeld[[#This Row],[Est. Hours]])/(tbl_TitusWeld[[#This Row],[Total Hours Act]]+tbl_TitusWeld[[#This Row],[Act. Hours]]),"")</f>
        <v/>
      </c>
      <c r="S237" s="63"/>
      <c r="T237" s="63"/>
      <c r="U237" s="63"/>
      <c r="V237" s="63"/>
      <c r="W237" s="63"/>
      <c r="X237" s="63"/>
    </row>
    <row r="238" spans="6:24" ht="25" customHeight="1">
      <c r="F238" s="53"/>
      <c r="H238" s="55" t="e">
        <f>tbl_TitusWeld[[#This Row],[Qty Complete]]/tbl_TitusWeld[[#This Row],[Qty Required]]</f>
        <v>#DIV/0!</v>
      </c>
      <c r="K238" s="57" t="str">
        <f>IFERROR(tbl_TitusWeld[[#This Row],[Qty Required]]/tbl_TitusWeld[[#This Row],[PPH]]*tbl_TitusWeld[[#This Row],['# of men]],"")</f>
        <v/>
      </c>
      <c r="L238" s="58" t="e">
        <f>tbl_TitusWeld[[#This Row],[Total hours]]*tbl_TitusWeld[[#This Row],[% Complete]]</f>
        <v>#VALUE!</v>
      </c>
      <c r="M238" s="59" t="str">
        <f>IFERROR(tbl_TitusWeld[[#This Row],[Qty Complete]]/tbl_TitusWeld[[#This Row],[Total Hours Act]]*tbl_TitusWeld[[#This Row],['# of men Act]],"")</f>
        <v/>
      </c>
      <c r="O238"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38" s="71" t="str">
        <f>IFERROR((tbl_TitusWeld[[#This Row],[Adj. Total Hours]]+tbl_TitusWeld[[#This Row],[Est. Hours]])/(tbl_TitusWeld[[#This Row],[Total Hours Act]]+tbl_TitusWeld[[#This Row],[Act. Hours]]),"")</f>
        <v/>
      </c>
      <c r="S238" s="63"/>
      <c r="T238" s="63"/>
      <c r="U238" s="63"/>
      <c r="V238" s="63"/>
      <c r="W238" s="63"/>
      <c r="X238" s="63"/>
    </row>
    <row r="239" spans="6:24" ht="25" customHeight="1">
      <c r="F239" s="53"/>
      <c r="H239" s="55" t="e">
        <f>tbl_TitusWeld[[#This Row],[Qty Complete]]/tbl_TitusWeld[[#This Row],[Qty Required]]</f>
        <v>#DIV/0!</v>
      </c>
      <c r="K239" s="57" t="str">
        <f>IFERROR(tbl_TitusWeld[[#This Row],[Qty Required]]/tbl_TitusWeld[[#This Row],[PPH]]*tbl_TitusWeld[[#This Row],['# of men]],"")</f>
        <v/>
      </c>
      <c r="L239" s="58" t="e">
        <f>tbl_TitusWeld[[#This Row],[Total hours]]*tbl_TitusWeld[[#This Row],[% Complete]]</f>
        <v>#VALUE!</v>
      </c>
      <c r="M239" s="59" t="str">
        <f>IFERROR(tbl_TitusWeld[[#This Row],[Qty Complete]]/tbl_TitusWeld[[#This Row],[Total Hours Act]]*tbl_TitusWeld[[#This Row],['# of men Act]],"")</f>
        <v/>
      </c>
      <c r="O239"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39" s="71" t="str">
        <f>IFERROR((tbl_TitusWeld[[#This Row],[Adj. Total Hours]]+tbl_TitusWeld[[#This Row],[Est. Hours]])/(tbl_TitusWeld[[#This Row],[Total Hours Act]]+tbl_TitusWeld[[#This Row],[Act. Hours]]),"")</f>
        <v/>
      </c>
      <c r="S239" s="63"/>
      <c r="T239" s="63"/>
      <c r="U239" s="63"/>
      <c r="V239" s="63"/>
      <c r="W239" s="63"/>
      <c r="X239" s="63"/>
    </row>
    <row r="240" spans="6:24" ht="25" customHeight="1">
      <c r="F240" s="53"/>
      <c r="H240" s="55" t="e">
        <f>tbl_TitusWeld[[#This Row],[Qty Complete]]/tbl_TitusWeld[[#This Row],[Qty Required]]</f>
        <v>#DIV/0!</v>
      </c>
      <c r="K240" s="57" t="str">
        <f>IFERROR(tbl_TitusWeld[[#This Row],[Qty Required]]/tbl_TitusWeld[[#This Row],[PPH]]*tbl_TitusWeld[[#This Row],['# of men]],"")</f>
        <v/>
      </c>
      <c r="L240" s="58" t="e">
        <f>tbl_TitusWeld[[#This Row],[Total hours]]*tbl_TitusWeld[[#This Row],[% Complete]]</f>
        <v>#VALUE!</v>
      </c>
      <c r="M240" s="59" t="str">
        <f>IFERROR(tbl_TitusWeld[[#This Row],[Qty Complete]]/tbl_TitusWeld[[#This Row],[Total Hours Act]]*tbl_TitusWeld[[#This Row],['# of men Act]],"")</f>
        <v/>
      </c>
      <c r="O240"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40" s="71" t="str">
        <f>IFERROR((tbl_TitusWeld[[#This Row],[Adj. Total Hours]]+tbl_TitusWeld[[#This Row],[Est. Hours]])/(tbl_TitusWeld[[#This Row],[Total Hours Act]]+tbl_TitusWeld[[#This Row],[Act. Hours]]),"")</f>
        <v/>
      </c>
      <c r="S240" s="63"/>
      <c r="T240" s="63"/>
      <c r="U240" s="63"/>
      <c r="V240" s="63"/>
      <c r="W240" s="63"/>
      <c r="X240" s="63"/>
    </row>
    <row r="241" spans="6:24" ht="25" customHeight="1">
      <c r="F241" s="53"/>
      <c r="H241" s="55" t="e">
        <f>tbl_TitusWeld[[#This Row],[Qty Complete]]/tbl_TitusWeld[[#This Row],[Qty Required]]</f>
        <v>#DIV/0!</v>
      </c>
      <c r="K241" s="57" t="str">
        <f>IFERROR(tbl_TitusWeld[[#This Row],[Qty Required]]/tbl_TitusWeld[[#This Row],[PPH]]*tbl_TitusWeld[[#This Row],['# of men]],"")</f>
        <v/>
      </c>
      <c r="L241" s="58" t="e">
        <f>tbl_TitusWeld[[#This Row],[Total hours]]*tbl_TitusWeld[[#This Row],[% Complete]]</f>
        <v>#VALUE!</v>
      </c>
      <c r="M241" s="59" t="str">
        <f>IFERROR(tbl_TitusWeld[[#This Row],[Qty Complete]]/tbl_TitusWeld[[#This Row],[Total Hours Act]]*tbl_TitusWeld[[#This Row],['# of men Act]],"")</f>
        <v/>
      </c>
      <c r="O241"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41" s="71" t="str">
        <f>IFERROR((tbl_TitusWeld[[#This Row],[Adj. Total Hours]]+tbl_TitusWeld[[#This Row],[Est. Hours]])/(tbl_TitusWeld[[#This Row],[Total Hours Act]]+tbl_TitusWeld[[#This Row],[Act. Hours]]),"")</f>
        <v/>
      </c>
      <c r="S241" s="63"/>
      <c r="T241" s="63"/>
      <c r="U241" s="63"/>
      <c r="V241" s="63"/>
      <c r="W241" s="63"/>
      <c r="X241" s="63"/>
    </row>
    <row r="242" spans="6:24" ht="25" customHeight="1">
      <c r="F242" s="53"/>
      <c r="H242" s="55" t="e">
        <f>tbl_TitusWeld[[#This Row],[Qty Complete]]/tbl_TitusWeld[[#This Row],[Qty Required]]</f>
        <v>#DIV/0!</v>
      </c>
      <c r="K242" s="57" t="str">
        <f>IFERROR(tbl_TitusWeld[[#This Row],[Qty Required]]/tbl_TitusWeld[[#This Row],[PPH]]*tbl_TitusWeld[[#This Row],['# of men]],"")</f>
        <v/>
      </c>
      <c r="L242" s="58" t="e">
        <f>tbl_TitusWeld[[#This Row],[Total hours]]*tbl_TitusWeld[[#This Row],[% Complete]]</f>
        <v>#VALUE!</v>
      </c>
      <c r="M242" s="59" t="str">
        <f>IFERROR(tbl_TitusWeld[[#This Row],[Qty Complete]]/tbl_TitusWeld[[#This Row],[Total Hours Act]]*tbl_TitusWeld[[#This Row],['# of men Act]],"")</f>
        <v/>
      </c>
      <c r="O242"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42" s="71" t="str">
        <f>IFERROR((tbl_TitusWeld[[#This Row],[Adj. Total Hours]]+tbl_TitusWeld[[#This Row],[Est. Hours]])/(tbl_TitusWeld[[#This Row],[Total Hours Act]]+tbl_TitusWeld[[#This Row],[Act. Hours]]),"")</f>
        <v/>
      </c>
      <c r="S242" s="63"/>
      <c r="T242" s="63"/>
      <c r="U242" s="63"/>
      <c r="V242" s="63"/>
      <c r="W242" s="63"/>
      <c r="X242" s="63"/>
    </row>
    <row r="243" spans="6:24" ht="25" customHeight="1">
      <c r="F243" s="53"/>
      <c r="H243" s="55" t="e">
        <f>tbl_TitusWeld[[#This Row],[Qty Complete]]/tbl_TitusWeld[[#This Row],[Qty Required]]</f>
        <v>#DIV/0!</v>
      </c>
      <c r="K243" s="57" t="str">
        <f>IFERROR(tbl_TitusWeld[[#This Row],[Qty Required]]/tbl_TitusWeld[[#This Row],[PPH]]*tbl_TitusWeld[[#This Row],['# of men]],"")</f>
        <v/>
      </c>
      <c r="L243" s="58" t="e">
        <f>tbl_TitusWeld[[#This Row],[Total hours]]*tbl_TitusWeld[[#This Row],[% Complete]]</f>
        <v>#VALUE!</v>
      </c>
      <c r="M243" s="59" t="str">
        <f>IFERROR(tbl_TitusWeld[[#This Row],[Qty Complete]]/tbl_TitusWeld[[#This Row],[Total Hours Act]]*tbl_TitusWeld[[#This Row],['# of men Act]],"")</f>
        <v/>
      </c>
      <c r="O243"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43" s="71" t="str">
        <f>IFERROR((tbl_TitusWeld[[#This Row],[Adj. Total Hours]]+tbl_TitusWeld[[#This Row],[Est. Hours]])/(tbl_TitusWeld[[#This Row],[Total Hours Act]]+tbl_TitusWeld[[#This Row],[Act. Hours]]),"")</f>
        <v/>
      </c>
      <c r="S243" s="63"/>
      <c r="T243" s="63"/>
      <c r="U243" s="63"/>
      <c r="V243" s="63"/>
      <c r="W243" s="63"/>
      <c r="X243" s="63"/>
    </row>
    <row r="244" spans="6:24" ht="25" customHeight="1">
      <c r="F244" s="53"/>
      <c r="H244" s="55" t="e">
        <f>tbl_TitusWeld[[#This Row],[Qty Complete]]/tbl_TitusWeld[[#This Row],[Qty Required]]</f>
        <v>#DIV/0!</v>
      </c>
      <c r="K244" s="57" t="str">
        <f>IFERROR(tbl_TitusWeld[[#This Row],[Qty Required]]/tbl_TitusWeld[[#This Row],[PPH]]*tbl_TitusWeld[[#This Row],['# of men]],"")</f>
        <v/>
      </c>
      <c r="L244" s="58" t="e">
        <f>tbl_TitusWeld[[#This Row],[Total hours]]*tbl_TitusWeld[[#This Row],[% Complete]]</f>
        <v>#VALUE!</v>
      </c>
      <c r="M244" s="59" t="str">
        <f>IFERROR(tbl_TitusWeld[[#This Row],[Qty Complete]]/tbl_TitusWeld[[#This Row],[Total Hours Act]]*tbl_TitusWeld[[#This Row],['# of men Act]],"")</f>
        <v/>
      </c>
      <c r="O244"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44" s="71" t="str">
        <f>IFERROR((tbl_TitusWeld[[#This Row],[Adj. Total Hours]]+tbl_TitusWeld[[#This Row],[Est. Hours]])/(tbl_TitusWeld[[#This Row],[Total Hours Act]]+tbl_TitusWeld[[#This Row],[Act. Hours]]),"")</f>
        <v/>
      </c>
      <c r="S244" s="63"/>
      <c r="T244" s="63"/>
      <c r="U244" s="63"/>
      <c r="V244" s="63"/>
      <c r="W244" s="63"/>
      <c r="X244" s="63"/>
    </row>
    <row r="245" spans="6:24" ht="25" customHeight="1">
      <c r="F245" s="53"/>
      <c r="H245" s="55" t="e">
        <f>tbl_TitusWeld[[#This Row],[Qty Complete]]/tbl_TitusWeld[[#This Row],[Qty Required]]</f>
        <v>#DIV/0!</v>
      </c>
      <c r="K245" s="57" t="str">
        <f>IFERROR(tbl_TitusWeld[[#This Row],[Qty Required]]/tbl_TitusWeld[[#This Row],[PPH]]*tbl_TitusWeld[[#This Row],['# of men]],"")</f>
        <v/>
      </c>
      <c r="L245" s="58" t="e">
        <f>tbl_TitusWeld[[#This Row],[Total hours]]*tbl_TitusWeld[[#This Row],[% Complete]]</f>
        <v>#VALUE!</v>
      </c>
      <c r="M245" s="59" t="str">
        <f>IFERROR(tbl_TitusWeld[[#This Row],[Qty Complete]]/tbl_TitusWeld[[#This Row],[Total Hours Act]]*tbl_TitusWeld[[#This Row],['# of men Act]],"")</f>
        <v/>
      </c>
      <c r="O245"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45" s="71" t="str">
        <f>IFERROR((tbl_TitusWeld[[#This Row],[Adj. Total Hours]]+tbl_TitusWeld[[#This Row],[Est. Hours]])/(tbl_TitusWeld[[#This Row],[Total Hours Act]]+tbl_TitusWeld[[#This Row],[Act. Hours]]),"")</f>
        <v/>
      </c>
      <c r="S245" s="63"/>
      <c r="T245" s="63"/>
      <c r="U245" s="63"/>
      <c r="V245" s="63"/>
      <c r="W245" s="63"/>
      <c r="X245" s="63"/>
    </row>
    <row r="246" spans="6:24" ht="25" customHeight="1">
      <c r="F246" s="53"/>
      <c r="H246" s="55" t="e">
        <f>tbl_TitusWeld[[#This Row],[Qty Complete]]/tbl_TitusWeld[[#This Row],[Qty Required]]</f>
        <v>#DIV/0!</v>
      </c>
      <c r="K246" s="57" t="str">
        <f>IFERROR(tbl_TitusWeld[[#This Row],[Qty Required]]/tbl_TitusWeld[[#This Row],[PPH]]*tbl_TitusWeld[[#This Row],['# of men]],"")</f>
        <v/>
      </c>
      <c r="L246" s="58" t="e">
        <f>tbl_TitusWeld[[#This Row],[Total hours]]*tbl_TitusWeld[[#This Row],[% Complete]]</f>
        <v>#VALUE!</v>
      </c>
      <c r="M246" s="59" t="str">
        <f>IFERROR(tbl_TitusWeld[[#This Row],[Qty Complete]]/tbl_TitusWeld[[#This Row],[Total Hours Act]]*tbl_TitusWeld[[#This Row],['# of men Act]],"")</f>
        <v/>
      </c>
      <c r="O246"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46" s="71" t="str">
        <f>IFERROR((tbl_TitusWeld[[#This Row],[Adj. Total Hours]]+tbl_TitusWeld[[#This Row],[Est. Hours]])/(tbl_TitusWeld[[#This Row],[Total Hours Act]]+tbl_TitusWeld[[#This Row],[Act. Hours]]),"")</f>
        <v/>
      </c>
      <c r="S246" s="63"/>
      <c r="T246" s="63"/>
      <c r="U246" s="63"/>
      <c r="V246" s="63"/>
      <c r="W246" s="63"/>
      <c r="X246" s="63"/>
    </row>
    <row r="247" spans="6:24" ht="25" customHeight="1">
      <c r="F247" s="53"/>
      <c r="H247" s="55" t="e">
        <f>tbl_TitusWeld[[#This Row],[Qty Complete]]/tbl_TitusWeld[[#This Row],[Qty Required]]</f>
        <v>#DIV/0!</v>
      </c>
      <c r="K247" s="57" t="str">
        <f>IFERROR(tbl_TitusWeld[[#This Row],[Qty Required]]/tbl_TitusWeld[[#This Row],[PPH]]*tbl_TitusWeld[[#This Row],['# of men]],"")</f>
        <v/>
      </c>
      <c r="L247" s="58" t="e">
        <f>tbl_TitusWeld[[#This Row],[Total hours]]*tbl_TitusWeld[[#This Row],[% Complete]]</f>
        <v>#VALUE!</v>
      </c>
      <c r="M247" s="59" t="str">
        <f>IFERROR(tbl_TitusWeld[[#This Row],[Qty Complete]]/tbl_TitusWeld[[#This Row],[Total Hours Act]]*tbl_TitusWeld[[#This Row],['# of men Act]],"")</f>
        <v/>
      </c>
      <c r="O247"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47" s="71" t="str">
        <f>IFERROR((tbl_TitusWeld[[#This Row],[Adj. Total Hours]]+tbl_TitusWeld[[#This Row],[Est. Hours]])/(tbl_TitusWeld[[#This Row],[Total Hours Act]]+tbl_TitusWeld[[#This Row],[Act. Hours]]),"")</f>
        <v/>
      </c>
      <c r="S247" s="63"/>
      <c r="T247" s="63"/>
      <c r="U247" s="63"/>
      <c r="V247" s="63"/>
      <c r="W247" s="63"/>
      <c r="X247" s="63"/>
    </row>
    <row r="248" spans="6:24" ht="25" customHeight="1">
      <c r="F248" s="53"/>
      <c r="H248" s="55" t="e">
        <f>tbl_TitusWeld[[#This Row],[Qty Complete]]/tbl_TitusWeld[[#This Row],[Qty Required]]</f>
        <v>#DIV/0!</v>
      </c>
      <c r="K248" s="57" t="str">
        <f>IFERROR(tbl_TitusWeld[[#This Row],[Qty Required]]/tbl_TitusWeld[[#This Row],[PPH]]*tbl_TitusWeld[[#This Row],['# of men]],"")</f>
        <v/>
      </c>
      <c r="L248" s="58" t="e">
        <f>tbl_TitusWeld[[#This Row],[Total hours]]*tbl_TitusWeld[[#This Row],[% Complete]]</f>
        <v>#VALUE!</v>
      </c>
      <c r="M248" s="59" t="str">
        <f>IFERROR(tbl_TitusWeld[[#This Row],[Qty Complete]]/tbl_TitusWeld[[#This Row],[Total Hours Act]]*tbl_TitusWeld[[#This Row],['# of men Act]],"")</f>
        <v/>
      </c>
      <c r="O248"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48" s="71" t="str">
        <f>IFERROR((tbl_TitusWeld[[#This Row],[Adj. Total Hours]]+tbl_TitusWeld[[#This Row],[Est. Hours]])/(tbl_TitusWeld[[#This Row],[Total Hours Act]]+tbl_TitusWeld[[#This Row],[Act. Hours]]),"")</f>
        <v/>
      </c>
      <c r="S248" s="63"/>
      <c r="T248" s="63"/>
      <c r="U248" s="63"/>
      <c r="V248" s="63"/>
      <c r="W248" s="63"/>
      <c r="X248" s="63"/>
    </row>
    <row r="249" spans="6:24" ht="25" customHeight="1">
      <c r="F249" s="53"/>
      <c r="H249" s="55" t="e">
        <f>tbl_TitusWeld[[#This Row],[Qty Complete]]/tbl_TitusWeld[[#This Row],[Qty Required]]</f>
        <v>#DIV/0!</v>
      </c>
      <c r="K249" s="57" t="str">
        <f>IFERROR(tbl_TitusWeld[[#This Row],[Qty Required]]/tbl_TitusWeld[[#This Row],[PPH]]*tbl_TitusWeld[[#This Row],['# of men]],"")</f>
        <v/>
      </c>
      <c r="L249" s="58" t="e">
        <f>tbl_TitusWeld[[#This Row],[Total hours]]*tbl_TitusWeld[[#This Row],[% Complete]]</f>
        <v>#VALUE!</v>
      </c>
      <c r="M249" s="59" t="str">
        <f>IFERROR(tbl_TitusWeld[[#This Row],[Qty Complete]]/tbl_TitusWeld[[#This Row],[Total Hours Act]]*tbl_TitusWeld[[#This Row],['# of men Act]],"")</f>
        <v/>
      </c>
      <c r="O249"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49" s="71" t="str">
        <f>IFERROR((tbl_TitusWeld[[#This Row],[Adj. Total Hours]]+tbl_TitusWeld[[#This Row],[Est. Hours]])/(tbl_TitusWeld[[#This Row],[Total Hours Act]]+tbl_TitusWeld[[#This Row],[Act. Hours]]),"")</f>
        <v/>
      </c>
      <c r="S249" s="63"/>
      <c r="T249" s="63"/>
      <c r="U249" s="63"/>
      <c r="V249" s="63"/>
      <c r="W249" s="63"/>
      <c r="X249" s="63"/>
    </row>
    <row r="250" spans="6:24" ht="25" customHeight="1">
      <c r="F250" s="53"/>
      <c r="H250" s="55" t="e">
        <f>tbl_TitusWeld[[#This Row],[Qty Complete]]/tbl_TitusWeld[[#This Row],[Qty Required]]</f>
        <v>#DIV/0!</v>
      </c>
      <c r="K250" s="57" t="str">
        <f>IFERROR(tbl_TitusWeld[[#This Row],[Qty Required]]/tbl_TitusWeld[[#This Row],[PPH]]*tbl_TitusWeld[[#This Row],['# of men]],"")</f>
        <v/>
      </c>
      <c r="L250" s="58" t="e">
        <f>tbl_TitusWeld[[#This Row],[Total hours]]*tbl_TitusWeld[[#This Row],[% Complete]]</f>
        <v>#VALUE!</v>
      </c>
      <c r="M250" s="59" t="str">
        <f>IFERROR(tbl_TitusWeld[[#This Row],[Qty Complete]]/tbl_TitusWeld[[#This Row],[Total Hours Act]]*tbl_TitusWeld[[#This Row],['# of men Act]],"")</f>
        <v/>
      </c>
      <c r="O250" s="60">
        <f>(MOD(tbl_TitusWeld[[#This Row],[End Time]]-tbl_TitusWeld[[#This Row],[Start Time]],1)*24*tbl_TitusWeld[[#This Row],['# of men Act]])-
(
IF(AND(tbl_TitusWeld[[#This Row],[Start Time]]&lt;=Data!$B$2+(Data!$B$2&lt;tbl_TitusWeld[[#This Row],[Start Time]]),tbl_TitusWeld[[#This Row],[Start Time]]+MOD(tbl_TitusWeld[[#This Row],[End Time]]-tbl_TitusWeld[[#This Row],[Start Time]],1)&gt;=Data!$C$2+(Data!$C$2&lt;tbl_TitusWeld[[#This Row],[Start Time]])),0.5*tbl_TitusWeld[[#This Row],['# of men Act]],0)
+
IF(AND(tbl_TitusWeld[[#This Row],[Start Time]]&lt;=Data!$B$3+(Data!$B$3&lt;tbl_TitusWeld[[#This Row],[Start Time]]),tbl_TitusWeld[[#This Row],[Start Time]]+MOD(tbl_TitusWeld[[#This Row],[End Time]]-tbl_TitusWeld[[#This Row],[Start Time]],1)&gt;=Data!$C$3+(Data!$C$3&lt;tbl_TitusWeld[[#This Row],[Start Time]])),0.5*tbl_TitusWeld[[#This Row],['# of men Act]],0)
)</f>
        <v>0</v>
      </c>
      <c r="R250" s="71" t="str">
        <f>IFERROR((tbl_TitusWeld[[#This Row],[Adj. Total Hours]]+tbl_TitusWeld[[#This Row],[Est. Hours]])/(tbl_TitusWeld[[#This Row],[Total Hours Act]]+tbl_TitusWeld[[#This Row],[Act. Hours]]),"")</f>
        <v/>
      </c>
      <c r="S250" s="63"/>
      <c r="T250" s="63"/>
      <c r="U250" s="63"/>
      <c r="V250" s="63"/>
      <c r="W250" s="63"/>
      <c r="X250" s="63"/>
    </row>
  </sheetData>
  <sheetProtection sheet="1" objects="1" scenarios="1"/>
  <protectedRanges>
    <protectedRange sqref="A1:G1048576 I1:J1048576 N1:N1048576 P1:Q1048576 S1:X1048576" name="Range1"/>
  </protectedRanges>
  <mergeCells count="1">
    <mergeCell ref="P1:Q1"/>
  </mergeCells>
  <conditionalFormatting sqref="R3:R3852">
    <cfRule type="expression" dxfId="20" priority="1">
      <formula>AND(R3&gt;0.85,R3&lt;&gt;"")</formula>
    </cfRule>
    <cfRule type="expression" dxfId="19" priority="2">
      <formula>AND(R3&gt;=0.7,R3&lt;=0.85,R3&lt;&gt;"")</formula>
    </cfRule>
    <cfRule type="expression" dxfId="18" priority="3">
      <formula>AND(R3&lt;0.7,R3&lt;&gt;"")</formula>
    </cfRule>
  </conditionalFormatting>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3B931-7547-4E19-BE8E-6B2C12F7C726}">
  <dimension ref="A1:X250"/>
  <sheetViews>
    <sheetView tabSelected="1" zoomScale="60" zoomScaleNormal="60" workbookViewId="0">
      <pane ySplit="2" topLeftCell="A24" activePane="bottomLeft" state="frozen"/>
      <selection pane="bottomLeft" activeCell="A41" sqref="A41"/>
    </sheetView>
  </sheetViews>
  <sheetFormatPr defaultColWidth="9.1796875" defaultRowHeight="25" customHeight="1"/>
  <cols>
    <col min="1" max="1" width="11.54296875" style="52" customWidth="1"/>
    <col min="2" max="2" width="13.1796875" style="53" customWidth="1"/>
    <col min="3" max="3" width="14.1796875" style="53" customWidth="1"/>
    <col min="4" max="4" width="15.54296875" style="54" bestFit="1" customWidth="1"/>
    <col min="5" max="5" width="14.7265625" style="54" bestFit="1" customWidth="1"/>
    <col min="6" max="6" width="18.26953125" style="54" bestFit="1" customWidth="1"/>
    <col min="7" max="7" width="19" style="53" bestFit="1" customWidth="1"/>
    <col min="8" max="8" width="19" style="53" hidden="1" customWidth="1"/>
    <col min="9" max="9" width="10.1796875" style="56" bestFit="1" customWidth="1"/>
    <col min="10" max="10" width="14" style="53" bestFit="1" customWidth="1"/>
    <col min="11" max="11" width="16.453125" style="66" bestFit="1" customWidth="1"/>
    <col min="12" max="12" width="16.453125" style="47" hidden="1" customWidth="1"/>
    <col min="13" max="13" width="13.453125" style="67" bestFit="1" customWidth="1"/>
    <col min="14" max="14" width="17.26953125" style="53" bestFit="1" customWidth="1"/>
    <col min="15" max="15" width="20.1796875" style="68" bestFit="1" customWidth="1"/>
    <col min="16" max="17" width="15.7265625" style="61" bestFit="1" customWidth="1"/>
    <col min="18" max="18" width="15.1796875" style="69" bestFit="1" customWidth="1"/>
    <col min="19" max="19" width="55.26953125" style="53" customWidth="1"/>
    <col min="20" max="20" width="16.1796875" style="53" customWidth="1"/>
    <col min="21" max="24" width="16.81640625" style="53" bestFit="1" customWidth="1"/>
    <col min="25" max="16384" width="9.1796875" style="47"/>
  </cols>
  <sheetData>
    <row r="1" spans="1:24" ht="47.25" customHeight="1">
      <c r="A1" s="8"/>
      <c r="B1" s="7"/>
      <c r="C1" s="7"/>
      <c r="D1" s="9"/>
      <c r="E1" s="9"/>
      <c r="F1" s="9"/>
      <c r="G1" s="7"/>
      <c r="H1" s="7"/>
      <c r="I1" s="13"/>
      <c r="J1" s="40" t="s">
        <v>0</v>
      </c>
      <c r="K1" s="46"/>
      <c r="L1" s="46"/>
      <c r="M1" s="4"/>
      <c r="N1" s="41" t="s">
        <v>1</v>
      </c>
      <c r="O1" s="5"/>
      <c r="P1" s="113" t="s">
        <v>2</v>
      </c>
      <c r="Q1" s="114"/>
      <c r="R1" s="39" t="s">
        <v>3</v>
      </c>
      <c r="S1" s="7"/>
      <c r="T1" s="7"/>
      <c r="U1" s="7"/>
      <c r="V1" s="7"/>
      <c r="W1" s="7"/>
      <c r="X1" s="7"/>
    </row>
    <row r="2" spans="1:24" ht="17">
      <c r="A2" s="10" t="s">
        <v>4</v>
      </c>
      <c r="B2" s="6" t="s">
        <v>5</v>
      </c>
      <c r="C2" s="6" t="s">
        <v>7</v>
      </c>
      <c r="D2" s="11" t="s">
        <v>8</v>
      </c>
      <c r="E2" s="11" t="s">
        <v>9</v>
      </c>
      <c r="F2" s="11" t="s">
        <v>10</v>
      </c>
      <c r="G2" s="6" t="s">
        <v>11</v>
      </c>
      <c r="H2" s="48" t="s">
        <v>12</v>
      </c>
      <c r="I2" s="12" t="s">
        <v>13</v>
      </c>
      <c r="J2" s="6" t="s">
        <v>14</v>
      </c>
      <c r="K2" s="49" t="s">
        <v>15</v>
      </c>
      <c r="L2" s="50" t="s">
        <v>16</v>
      </c>
      <c r="M2" s="2" t="s">
        <v>21</v>
      </c>
      <c r="N2" s="6" t="s">
        <v>22</v>
      </c>
      <c r="O2" s="3" t="s">
        <v>23</v>
      </c>
      <c r="P2" s="25" t="s">
        <v>25</v>
      </c>
      <c r="Q2" s="25" t="s">
        <v>26</v>
      </c>
      <c r="R2" s="51" t="s">
        <v>27</v>
      </c>
      <c r="S2" s="6" t="s">
        <v>31</v>
      </c>
      <c r="T2" s="6" t="s">
        <v>617</v>
      </c>
      <c r="U2" s="6" t="s">
        <v>32</v>
      </c>
      <c r="V2" s="6" t="s">
        <v>33</v>
      </c>
      <c r="W2" s="6" t="s">
        <v>34</v>
      </c>
      <c r="X2" s="6" t="s">
        <v>35</v>
      </c>
    </row>
    <row r="3" spans="1:24" ht="25" customHeight="1">
      <c r="A3" s="52">
        <v>46120</v>
      </c>
      <c r="B3" s="53" t="s">
        <v>619</v>
      </c>
      <c r="C3" s="53" t="s">
        <v>620</v>
      </c>
      <c r="D3" s="54">
        <v>0.3659722222222222</v>
      </c>
      <c r="E3" s="54">
        <v>0.66666666666666663</v>
      </c>
      <c r="F3" s="53">
        <v>1</v>
      </c>
      <c r="G3" s="53">
        <v>1</v>
      </c>
      <c r="H3" s="55">
        <f>tbl_MacGyverWeld[[#This Row],[Qty Complete]]/tbl_MacGyverWeld[[#This Row],[Qty Required]]</f>
        <v>1</v>
      </c>
      <c r="I3" s="56">
        <v>0.125</v>
      </c>
      <c r="J3" s="53">
        <v>2</v>
      </c>
      <c r="K3" s="57">
        <f>IFERROR(tbl_MacGyverWeld[[#This Row],[Qty Required]]/tbl_MacGyverWeld[[#This Row],[PPH]]*tbl_MacGyverWeld[[#This Row],['# of men]],"")</f>
        <v>16</v>
      </c>
      <c r="L3" s="58">
        <f>tbl_MacGyverWeld[[#This Row],[Total hours]]*tbl_MacGyverWeld[[#This Row],[% Complete]]</f>
        <v>16</v>
      </c>
      <c r="M3" s="59">
        <f>IFERROR(tbl_MacGyverWeld[[#This Row],[Qty Complete]]/tbl_MacGyverWeld[[#This Row],[Total Hours Act]]*tbl_MacGyverWeld[[#This Row],['# of men Act]],"")</f>
        <v>0.14888337468982629</v>
      </c>
      <c r="N3" s="53">
        <v>2</v>
      </c>
      <c r="O3"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13.433333333333334</v>
      </c>
      <c r="P3" s="61">
        <v>0</v>
      </c>
      <c r="Q3" s="61">
        <v>0</v>
      </c>
      <c r="R3" s="62">
        <f>IFERROR((tbl_MacGyverWeld[[#This Row],[Adj. Total Hours]]+tbl_MacGyverWeld[[#This Row],[Est. Hours]])/(tbl_MacGyverWeld[[#This Row],[Total Hours Act]]+tbl_MacGyverWeld[[#This Row],[Act. Hours]]),"")</f>
        <v>1.1910669975186103</v>
      </c>
      <c r="S3" s="63"/>
      <c r="T3" s="63" t="s">
        <v>621</v>
      </c>
      <c r="U3" s="64" t="s">
        <v>622</v>
      </c>
      <c r="V3" s="65" t="s">
        <v>623</v>
      </c>
      <c r="W3" s="63"/>
      <c r="X3" s="63"/>
    </row>
    <row r="4" spans="1:24" ht="25" customHeight="1">
      <c r="A4" s="52">
        <v>46121</v>
      </c>
      <c r="B4" s="53" t="s">
        <v>624</v>
      </c>
      <c r="C4" s="53" t="s">
        <v>625</v>
      </c>
      <c r="D4" s="54">
        <v>0.99305555555555558</v>
      </c>
      <c r="E4" s="54">
        <v>0.40486111111111112</v>
      </c>
      <c r="F4" s="53">
        <v>1</v>
      </c>
      <c r="G4" s="53">
        <v>1</v>
      </c>
      <c r="H4" s="55">
        <f>tbl_MacGyverWeld[[#This Row],[Qty Complete]]/tbl_MacGyverWeld[[#This Row],[Qty Required]]</f>
        <v>1</v>
      </c>
      <c r="I4" s="56">
        <v>0.1</v>
      </c>
      <c r="J4" s="53">
        <v>2</v>
      </c>
      <c r="K4" s="57">
        <f>IFERROR(tbl_MacGyverWeld[[#This Row],[Qty Required]]/tbl_MacGyverWeld[[#This Row],[PPH]]*tbl_MacGyverWeld[[#This Row],['# of men]],"")</f>
        <v>20</v>
      </c>
      <c r="L4" s="58">
        <f>tbl_MacGyverWeld[[#This Row],[Total hours]]*tbl_MacGyverWeld[[#This Row],[% Complete]]</f>
        <v>20</v>
      </c>
      <c r="M4" s="59">
        <f>IFERROR(tbl_MacGyverWeld[[#This Row],[Qty Complete]]/tbl_MacGyverWeld[[#This Row],[Total Hours Act]]*tbl_MacGyverWeld[[#This Row],['# of men Act]],"")</f>
        <v>0.10657193605683837</v>
      </c>
      <c r="N4" s="53">
        <v>2</v>
      </c>
      <c r="O4"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18.766666666666666</v>
      </c>
      <c r="R4" s="71">
        <f>IFERROR((tbl_MacGyverWeld[[#This Row],[Adj. Total Hours]]+tbl_MacGyverWeld[[#This Row],[Est. Hours]])/(tbl_MacGyverWeld[[#This Row],[Total Hours Act]]+tbl_MacGyverWeld[[#This Row],[Act. Hours]]),"")</f>
        <v>1.0657193605683837</v>
      </c>
      <c r="S4" s="63"/>
      <c r="T4" s="63" t="s">
        <v>626</v>
      </c>
      <c r="U4" s="63" t="s">
        <v>627</v>
      </c>
      <c r="V4" s="63" t="s">
        <v>628</v>
      </c>
      <c r="W4" s="63"/>
      <c r="X4" s="63"/>
    </row>
    <row r="5" spans="1:24" ht="25" customHeight="1">
      <c r="A5" s="52">
        <v>46120</v>
      </c>
      <c r="B5" s="53" t="s">
        <v>624</v>
      </c>
      <c r="C5" s="53" t="s">
        <v>625</v>
      </c>
      <c r="D5" s="54">
        <v>4.1666666666666664E-2</v>
      </c>
      <c r="E5" s="54">
        <v>0.3888888888888889</v>
      </c>
      <c r="F5" s="53">
        <v>1</v>
      </c>
      <c r="G5" s="53">
        <v>1</v>
      </c>
      <c r="H5" s="55">
        <f>tbl_MacGyverWeld[[#This Row],[Qty Complete]]/tbl_MacGyverWeld[[#This Row],[Qty Required]]</f>
        <v>1</v>
      </c>
      <c r="I5" s="56">
        <v>0.1</v>
      </c>
      <c r="J5" s="53">
        <v>2</v>
      </c>
      <c r="K5" s="57">
        <f>IFERROR(tbl_MacGyverWeld[[#This Row],[Qty Required]]/tbl_MacGyverWeld[[#This Row],[PPH]]*tbl_MacGyverWeld[[#This Row],['# of men]],"")</f>
        <v>20</v>
      </c>
      <c r="L5" s="58">
        <f>tbl_MacGyverWeld[[#This Row],[Total hours]]*tbl_MacGyverWeld[[#This Row],[% Complete]]</f>
        <v>20</v>
      </c>
      <c r="M5" s="59">
        <f>IFERROR(tbl_MacGyverWeld[[#This Row],[Qty Complete]]/tbl_MacGyverWeld[[#This Row],[Total Hours Act]]*tbl_MacGyverWeld[[#This Row],['# of men Act]],"")</f>
        <v>0.12000000000000002</v>
      </c>
      <c r="N5" s="53">
        <v>2</v>
      </c>
      <c r="O5"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16.666666666666664</v>
      </c>
      <c r="R5" s="71">
        <f>IFERROR((tbl_MacGyverWeld[[#This Row],[Adj. Total Hours]]+tbl_MacGyverWeld[[#This Row],[Est. Hours]])/(tbl_MacGyverWeld[[#This Row],[Total Hours Act]]+tbl_MacGyverWeld[[#This Row],[Act. Hours]]),"")</f>
        <v>1.2000000000000002</v>
      </c>
      <c r="S5" s="63"/>
      <c r="T5" s="63" t="s">
        <v>629</v>
      </c>
      <c r="U5" s="63" t="s">
        <v>630</v>
      </c>
      <c r="V5" s="63" t="s">
        <v>631</v>
      </c>
      <c r="W5" s="63"/>
      <c r="X5" s="63"/>
    </row>
    <row r="6" spans="1:24" ht="25" customHeight="1">
      <c r="A6" s="52">
        <v>46120</v>
      </c>
      <c r="B6" s="53" t="s">
        <v>632</v>
      </c>
      <c r="C6" s="53" t="s">
        <v>620</v>
      </c>
      <c r="D6" s="54">
        <v>0.9819444444444444</v>
      </c>
      <c r="E6" s="54">
        <v>0.3125</v>
      </c>
      <c r="F6" s="53">
        <v>1</v>
      </c>
      <c r="G6" s="53">
        <v>1</v>
      </c>
      <c r="H6" s="55">
        <f>tbl_MacGyverWeld[[#This Row],[Qty Complete]]/tbl_MacGyverWeld[[#This Row],[Qty Required]]</f>
        <v>1</v>
      </c>
      <c r="I6" s="56">
        <v>0.125</v>
      </c>
      <c r="J6" s="53">
        <v>2</v>
      </c>
      <c r="K6" s="57">
        <f>IFERROR(tbl_MacGyverWeld[[#This Row],[Qty Required]]/tbl_MacGyverWeld[[#This Row],[PPH]]*tbl_MacGyverWeld[[#This Row],['# of men]],"")</f>
        <v>16</v>
      </c>
      <c r="L6" s="58">
        <f>tbl_MacGyverWeld[[#This Row],[Total hours]]*tbl_MacGyverWeld[[#This Row],[% Complete]]</f>
        <v>16</v>
      </c>
      <c r="M6" s="59">
        <f>IFERROR(tbl_MacGyverWeld[[#This Row],[Qty Complete]]/tbl_MacGyverWeld[[#This Row],[Total Hours Act]]*tbl_MacGyverWeld[[#This Row],['# of men Act]],"")</f>
        <v>0.13452914798206275</v>
      </c>
      <c r="N6" s="53">
        <v>2</v>
      </c>
      <c r="O6"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14.866666666666669</v>
      </c>
      <c r="R6" s="71">
        <f>IFERROR((tbl_MacGyverWeld[[#This Row],[Adj. Total Hours]]+tbl_MacGyverWeld[[#This Row],[Est. Hours]])/(tbl_MacGyverWeld[[#This Row],[Total Hours Act]]+tbl_MacGyverWeld[[#This Row],[Act. Hours]]),"")</f>
        <v>1.076233183856502</v>
      </c>
      <c r="S6" s="63"/>
      <c r="T6" s="63" t="s">
        <v>633</v>
      </c>
      <c r="U6" s="63" t="s">
        <v>622</v>
      </c>
      <c r="V6" s="63" t="s">
        <v>623</v>
      </c>
      <c r="W6" s="63"/>
      <c r="X6" s="63"/>
    </row>
    <row r="7" spans="1:24" ht="25" customHeight="1">
      <c r="A7" s="52">
        <v>46119</v>
      </c>
      <c r="B7" s="53" t="s">
        <v>634</v>
      </c>
      <c r="C7" s="53" t="s">
        <v>635</v>
      </c>
      <c r="D7" s="54">
        <v>0.70833333333333337</v>
      </c>
      <c r="E7" s="54">
        <v>0.97916666666666663</v>
      </c>
      <c r="F7" s="53">
        <v>1</v>
      </c>
      <c r="G7" s="53">
        <v>1</v>
      </c>
      <c r="H7" s="55">
        <f>tbl_MacGyverWeld[[#This Row],[Qty Complete]]/tbl_MacGyverWeld[[#This Row],[Qty Required]]</f>
        <v>1</v>
      </c>
      <c r="I7" s="56">
        <v>0.1</v>
      </c>
      <c r="J7" s="53">
        <v>2</v>
      </c>
      <c r="K7" s="57">
        <f>IFERROR(tbl_MacGyverWeld[[#This Row],[Qty Required]]/tbl_MacGyverWeld[[#This Row],[PPH]]*tbl_MacGyverWeld[[#This Row],['# of men]],"")</f>
        <v>20</v>
      </c>
      <c r="L7" s="58">
        <f>tbl_MacGyverWeld[[#This Row],[Total hours]]*tbl_MacGyverWeld[[#This Row],[% Complete]]</f>
        <v>20</v>
      </c>
      <c r="M7" s="59">
        <f>IFERROR(tbl_MacGyverWeld[[#This Row],[Qty Complete]]/tbl_MacGyverWeld[[#This Row],[Total Hours Act]]*tbl_MacGyverWeld[[#This Row],['# of men Act]],"")</f>
        <v>0.15384615384615388</v>
      </c>
      <c r="N7" s="53">
        <v>2</v>
      </c>
      <c r="O7"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12.999999999999996</v>
      </c>
      <c r="R7" s="71">
        <f>IFERROR((tbl_MacGyverWeld[[#This Row],[Adj. Total Hours]]+tbl_MacGyverWeld[[#This Row],[Est. Hours]])/(tbl_MacGyverWeld[[#This Row],[Total Hours Act]]+tbl_MacGyverWeld[[#This Row],[Act. Hours]]),"")</f>
        <v>1.538461538461539</v>
      </c>
      <c r="S7" s="63"/>
      <c r="T7" s="63" t="s">
        <v>636</v>
      </c>
      <c r="U7" s="63" t="s">
        <v>637</v>
      </c>
      <c r="V7" s="63" t="s">
        <v>628</v>
      </c>
      <c r="W7" s="63"/>
      <c r="X7" s="63"/>
    </row>
    <row r="8" spans="1:24" ht="25" customHeight="1">
      <c r="A8" s="52">
        <v>46119</v>
      </c>
      <c r="B8" s="53" t="s">
        <v>624</v>
      </c>
      <c r="C8" s="53" t="s">
        <v>638</v>
      </c>
      <c r="D8" s="54">
        <v>0.64583333333333337</v>
      </c>
      <c r="E8" s="54">
        <v>0.99305555555555558</v>
      </c>
      <c r="F8" s="53">
        <v>1</v>
      </c>
      <c r="G8" s="53">
        <v>1</v>
      </c>
      <c r="H8" s="55">
        <f>tbl_MacGyverWeld[[#This Row],[Qty Complete]]/tbl_MacGyverWeld[[#This Row],[Qty Required]]</f>
        <v>1</v>
      </c>
      <c r="I8" s="56">
        <v>0.1</v>
      </c>
      <c r="J8" s="53">
        <v>2</v>
      </c>
      <c r="K8" s="57">
        <f>IFERROR(tbl_MacGyverWeld[[#This Row],[Qty Required]]/tbl_MacGyverWeld[[#This Row],[PPH]]*tbl_MacGyverWeld[[#This Row],['# of men]],"")</f>
        <v>20</v>
      </c>
      <c r="L8" s="58">
        <f>tbl_MacGyverWeld[[#This Row],[Total hours]]*tbl_MacGyverWeld[[#This Row],[% Complete]]</f>
        <v>20</v>
      </c>
      <c r="M8" s="59">
        <f>IFERROR(tbl_MacGyverWeld[[#This Row],[Qty Complete]]/tbl_MacGyverWeld[[#This Row],[Total Hours Act]]*tbl_MacGyverWeld[[#This Row],['# of men Act]],"")</f>
        <v>0.12000000000000002</v>
      </c>
      <c r="N8" s="53">
        <v>2</v>
      </c>
      <c r="O8"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16.666666666666664</v>
      </c>
      <c r="R8" s="71">
        <f>IFERROR((tbl_MacGyverWeld[[#This Row],[Adj. Total Hours]]+tbl_MacGyverWeld[[#This Row],[Est. Hours]])/(tbl_MacGyverWeld[[#This Row],[Total Hours Act]]+tbl_MacGyverWeld[[#This Row],[Act. Hours]]),"")</f>
        <v>1.2000000000000002</v>
      </c>
      <c r="S8" s="63"/>
      <c r="T8" s="63" t="s">
        <v>639</v>
      </c>
      <c r="U8" s="63" t="s">
        <v>640</v>
      </c>
      <c r="V8" s="63" t="s">
        <v>641</v>
      </c>
      <c r="W8" s="63"/>
      <c r="X8" s="63"/>
    </row>
    <row r="9" spans="1:24" ht="25" customHeight="1">
      <c r="A9" s="52">
        <v>46122</v>
      </c>
      <c r="B9" s="53" t="s">
        <v>642</v>
      </c>
      <c r="C9" s="53" t="s">
        <v>625</v>
      </c>
      <c r="D9" s="54">
        <v>0.75</v>
      </c>
      <c r="E9" s="54">
        <v>0.33333333333333331</v>
      </c>
      <c r="F9" s="53">
        <v>1</v>
      </c>
      <c r="G9" s="53">
        <v>1</v>
      </c>
      <c r="H9" s="55">
        <f>tbl_MacGyverWeld[[#This Row],[Qty Complete]]/tbl_MacGyverWeld[[#This Row],[Qty Required]]</f>
        <v>1</v>
      </c>
      <c r="I9" s="56">
        <v>0.1</v>
      </c>
      <c r="J9" s="53">
        <v>2</v>
      </c>
      <c r="K9" s="57">
        <f>IFERROR(tbl_MacGyverWeld[[#This Row],[Qty Required]]/tbl_MacGyverWeld[[#This Row],[PPH]]*tbl_MacGyverWeld[[#This Row],['# of men]],"")</f>
        <v>20</v>
      </c>
      <c r="L9" s="58">
        <f>tbl_MacGyverWeld[[#This Row],[Total hours]]*tbl_MacGyverWeld[[#This Row],[% Complete]]</f>
        <v>20</v>
      </c>
      <c r="M9" s="59">
        <f>IFERROR(tbl_MacGyverWeld[[#This Row],[Qty Complete]]/tbl_MacGyverWeld[[#This Row],[Total Hours Act]]*tbl_MacGyverWeld[[#This Row],['# of men Act]],"")</f>
        <v>7.4074074074074084E-2</v>
      </c>
      <c r="N9" s="53">
        <v>2</v>
      </c>
      <c r="O9"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26.999999999999996</v>
      </c>
      <c r="R9" s="71">
        <f>IFERROR((tbl_MacGyverWeld[[#This Row],[Adj. Total Hours]]+tbl_MacGyverWeld[[#This Row],[Est. Hours]])/(tbl_MacGyverWeld[[#This Row],[Total Hours Act]]+tbl_MacGyverWeld[[#This Row],[Act. Hours]]),"")</f>
        <v>0.74074074074074081</v>
      </c>
      <c r="S9" s="63" t="s">
        <v>643</v>
      </c>
      <c r="T9" s="63" t="s">
        <v>644</v>
      </c>
      <c r="U9" s="63" t="s">
        <v>645</v>
      </c>
      <c r="V9" s="63" t="s">
        <v>646</v>
      </c>
      <c r="W9" s="63" t="s">
        <v>647</v>
      </c>
      <c r="X9" s="63"/>
    </row>
    <row r="10" spans="1:24" ht="25" customHeight="1">
      <c r="A10" s="52">
        <v>46122</v>
      </c>
      <c r="B10" s="53" t="s">
        <v>642</v>
      </c>
      <c r="C10" s="53" t="s">
        <v>625</v>
      </c>
      <c r="D10" s="54">
        <v>0.125</v>
      </c>
      <c r="E10" s="54">
        <v>0.58333333333333337</v>
      </c>
      <c r="F10" s="53">
        <v>1</v>
      </c>
      <c r="G10" s="53">
        <v>1</v>
      </c>
      <c r="H10" s="55">
        <f>tbl_MacGyverWeld[[#This Row],[Qty Complete]]/tbl_MacGyverWeld[[#This Row],[Qty Required]]</f>
        <v>1</v>
      </c>
      <c r="I10" s="56">
        <v>0.1</v>
      </c>
      <c r="J10" s="53">
        <v>2</v>
      </c>
      <c r="K10" s="57">
        <f>IFERROR(tbl_MacGyverWeld[[#This Row],[Qty Required]]/tbl_MacGyverWeld[[#This Row],[PPH]]*tbl_MacGyverWeld[[#This Row],['# of men]],"")</f>
        <v>20</v>
      </c>
      <c r="L10" s="58">
        <f>tbl_MacGyverWeld[[#This Row],[Total hours]]*tbl_MacGyverWeld[[#This Row],[% Complete]]</f>
        <v>20</v>
      </c>
      <c r="M10" s="59">
        <f>IFERROR(tbl_MacGyverWeld[[#This Row],[Qty Complete]]/tbl_MacGyverWeld[[#This Row],[Total Hours Act]]*tbl_MacGyverWeld[[#This Row],['# of men Act]],"")</f>
        <v>9.5238095238095233E-2</v>
      </c>
      <c r="N10" s="53">
        <v>2</v>
      </c>
      <c r="O10"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21</v>
      </c>
      <c r="R10" s="71">
        <f>IFERROR((tbl_MacGyverWeld[[#This Row],[Adj. Total Hours]]+tbl_MacGyverWeld[[#This Row],[Est. Hours]])/(tbl_MacGyverWeld[[#This Row],[Total Hours Act]]+tbl_MacGyverWeld[[#This Row],[Act. Hours]]),"")</f>
        <v>0.95238095238095233</v>
      </c>
      <c r="S10" s="63" t="s">
        <v>648</v>
      </c>
      <c r="T10" s="63" t="s">
        <v>649</v>
      </c>
      <c r="U10" s="63" t="s">
        <v>650</v>
      </c>
      <c r="V10" s="63" t="s">
        <v>651</v>
      </c>
      <c r="W10" s="63"/>
      <c r="X10" s="63"/>
    </row>
    <row r="11" spans="1:24" ht="25" customHeight="1">
      <c r="A11" s="52">
        <v>46122</v>
      </c>
      <c r="B11" s="53" t="s">
        <v>652</v>
      </c>
      <c r="C11" s="53" t="s">
        <v>620</v>
      </c>
      <c r="D11" s="54">
        <v>0.20833333333333334</v>
      </c>
      <c r="E11" s="54">
        <v>0.64583333333333337</v>
      </c>
      <c r="F11" s="53">
        <v>1</v>
      </c>
      <c r="G11" s="53">
        <v>1</v>
      </c>
      <c r="H11" s="55">
        <f>tbl_MacGyverWeld[[#This Row],[Qty Complete]]/tbl_MacGyverWeld[[#This Row],[Qty Required]]</f>
        <v>1</v>
      </c>
      <c r="I11" s="56">
        <v>0.125</v>
      </c>
      <c r="J11" s="53">
        <v>2</v>
      </c>
      <c r="K11" s="57">
        <f>IFERROR(tbl_MacGyverWeld[[#This Row],[Qty Required]]/tbl_MacGyverWeld[[#This Row],[PPH]]*tbl_MacGyverWeld[[#This Row],['# of men]],"")</f>
        <v>16</v>
      </c>
      <c r="L11" s="58">
        <f>tbl_MacGyverWeld[[#This Row],[Total hours]]*tbl_MacGyverWeld[[#This Row],[% Complete]]</f>
        <v>16</v>
      </c>
      <c r="M11" s="59">
        <f>IFERROR(tbl_MacGyverWeld[[#This Row],[Qty Complete]]/tbl_MacGyverWeld[[#This Row],[Total Hours Act]]*tbl_MacGyverWeld[[#This Row],['# of men Act]],"")</f>
        <v>0.1</v>
      </c>
      <c r="N11" s="53">
        <v>2</v>
      </c>
      <c r="O11"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20</v>
      </c>
      <c r="R11" s="71">
        <f>IFERROR((tbl_MacGyverWeld[[#This Row],[Adj. Total Hours]]+tbl_MacGyverWeld[[#This Row],[Est. Hours]])/(tbl_MacGyverWeld[[#This Row],[Total Hours Act]]+tbl_MacGyverWeld[[#This Row],[Act. Hours]]),"")</f>
        <v>0.8</v>
      </c>
      <c r="S11" s="63" t="s">
        <v>653</v>
      </c>
      <c r="T11" s="63" t="s">
        <v>654</v>
      </c>
      <c r="U11" s="63" t="s">
        <v>655</v>
      </c>
      <c r="V11" s="63" t="s">
        <v>656</v>
      </c>
      <c r="W11" s="63"/>
      <c r="X11" s="63"/>
    </row>
    <row r="12" spans="1:24" ht="25" customHeight="1">
      <c r="A12" s="52">
        <v>46122</v>
      </c>
      <c r="B12" s="53" t="s">
        <v>657</v>
      </c>
      <c r="C12" s="53" t="s">
        <v>620</v>
      </c>
      <c r="D12" s="54">
        <v>0.35416666666666669</v>
      </c>
      <c r="E12" s="54">
        <v>0.6875</v>
      </c>
      <c r="F12" s="53">
        <v>1</v>
      </c>
      <c r="G12" s="53">
        <v>1</v>
      </c>
      <c r="H12" s="55">
        <f>tbl_MacGyverWeld[[#This Row],[Qty Complete]]/tbl_MacGyverWeld[[#This Row],[Qty Required]]</f>
        <v>1</v>
      </c>
      <c r="I12" s="56">
        <v>0.125</v>
      </c>
      <c r="J12" s="53">
        <v>2</v>
      </c>
      <c r="K12" s="57">
        <f>IFERROR(tbl_MacGyverWeld[[#This Row],[Qty Required]]/tbl_MacGyverWeld[[#This Row],[PPH]]*tbl_MacGyverWeld[[#This Row],['# of men]],"")</f>
        <v>16</v>
      </c>
      <c r="L12" s="58">
        <f>tbl_MacGyverWeld[[#This Row],[Total hours]]*tbl_MacGyverWeld[[#This Row],[% Complete]]</f>
        <v>16</v>
      </c>
      <c r="M12" s="59">
        <f>IFERROR(tbl_MacGyverWeld[[#This Row],[Qty Complete]]/tbl_MacGyverWeld[[#This Row],[Total Hours Act]]*tbl_MacGyverWeld[[#This Row],['# of men Act]],"")</f>
        <v>0.13333333333333333</v>
      </c>
      <c r="N12" s="53">
        <v>2</v>
      </c>
      <c r="O12"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15</v>
      </c>
      <c r="R12" s="71">
        <f>IFERROR((tbl_MacGyverWeld[[#This Row],[Adj. Total Hours]]+tbl_MacGyverWeld[[#This Row],[Est. Hours]])/(tbl_MacGyverWeld[[#This Row],[Total Hours Act]]+tbl_MacGyverWeld[[#This Row],[Act. Hours]]),"")</f>
        <v>1.0666666666666667</v>
      </c>
      <c r="S12" s="63"/>
      <c r="T12" s="63" t="s">
        <v>658</v>
      </c>
      <c r="U12" s="63" t="s">
        <v>645</v>
      </c>
      <c r="V12" s="63" t="s">
        <v>646</v>
      </c>
      <c r="W12" s="63"/>
      <c r="X12" s="63"/>
    </row>
    <row r="13" spans="1:24" ht="25" customHeight="1">
      <c r="A13" s="52">
        <v>46123</v>
      </c>
      <c r="B13" s="53" t="s">
        <v>657</v>
      </c>
      <c r="C13" s="53" t="s">
        <v>620</v>
      </c>
      <c r="D13" s="54">
        <v>0.625</v>
      </c>
      <c r="E13" s="54">
        <v>1</v>
      </c>
      <c r="F13" s="53">
        <v>1</v>
      </c>
      <c r="G13" s="53">
        <v>1</v>
      </c>
      <c r="H13" s="55">
        <f>tbl_MacGyverWeld[[#This Row],[Qty Complete]]/tbl_MacGyverWeld[[#This Row],[Qty Required]]</f>
        <v>1</v>
      </c>
      <c r="I13" s="56">
        <v>0.125</v>
      </c>
      <c r="J13" s="53">
        <v>2</v>
      </c>
      <c r="K13" s="57">
        <f>IFERROR(tbl_MacGyverWeld[[#This Row],[Qty Required]]/tbl_MacGyverWeld[[#This Row],[PPH]]*tbl_MacGyverWeld[[#This Row],['# of men]],"")</f>
        <v>16</v>
      </c>
      <c r="L13" s="58">
        <f>tbl_MacGyverWeld[[#This Row],[Total hours]]*tbl_MacGyverWeld[[#This Row],[% Complete]]</f>
        <v>16</v>
      </c>
      <c r="M13" s="59">
        <f>IFERROR(tbl_MacGyverWeld[[#This Row],[Qty Complete]]/tbl_MacGyverWeld[[#This Row],[Total Hours Act]]*tbl_MacGyverWeld[[#This Row],['# of men Act]],"")</f>
        <v>0.1111111111111111</v>
      </c>
      <c r="N13" s="53">
        <v>2</v>
      </c>
      <c r="O13"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18</v>
      </c>
      <c r="R13" s="71">
        <f>IFERROR((tbl_MacGyverWeld[[#This Row],[Adj. Total Hours]]+tbl_MacGyverWeld[[#This Row],[Est. Hours]])/(tbl_MacGyverWeld[[#This Row],[Total Hours Act]]+tbl_MacGyverWeld[[#This Row],[Act. Hours]]),"")</f>
        <v>0.88888888888888884</v>
      </c>
      <c r="S13" s="63" t="s">
        <v>659</v>
      </c>
      <c r="T13" s="63" t="s">
        <v>660</v>
      </c>
      <c r="U13" s="63" t="s">
        <v>661</v>
      </c>
      <c r="V13" s="63" t="s">
        <v>651</v>
      </c>
      <c r="W13" s="63"/>
      <c r="X13" s="63"/>
    </row>
    <row r="14" spans="1:24" ht="25" customHeight="1">
      <c r="A14" s="52">
        <v>46123</v>
      </c>
      <c r="B14" s="53" t="s">
        <v>657</v>
      </c>
      <c r="C14" s="53" t="s">
        <v>620</v>
      </c>
      <c r="D14" s="54">
        <v>0.65625</v>
      </c>
      <c r="E14" s="54">
        <v>0.94791666666666663</v>
      </c>
      <c r="F14" s="53">
        <v>1</v>
      </c>
      <c r="G14" s="53">
        <v>1</v>
      </c>
      <c r="H14" s="55">
        <f>tbl_MacGyverWeld[[#This Row],[Qty Complete]]/tbl_MacGyverWeld[[#This Row],[Qty Required]]</f>
        <v>1</v>
      </c>
      <c r="I14" s="56">
        <v>0.125</v>
      </c>
      <c r="J14" s="53">
        <v>2</v>
      </c>
      <c r="K14" s="57">
        <f>IFERROR(tbl_MacGyverWeld[[#This Row],[Qty Required]]/tbl_MacGyverWeld[[#This Row],[PPH]]*tbl_MacGyverWeld[[#This Row],['# of men]],"")</f>
        <v>16</v>
      </c>
      <c r="L14" s="58">
        <f>tbl_MacGyverWeld[[#This Row],[Total hours]]*tbl_MacGyverWeld[[#This Row],[% Complete]]</f>
        <v>16</v>
      </c>
      <c r="M14" s="59">
        <f>IFERROR(tbl_MacGyverWeld[[#This Row],[Qty Complete]]/tbl_MacGyverWeld[[#This Row],[Total Hours Act]]*tbl_MacGyverWeld[[#This Row],['# of men Act]],"")</f>
        <v>0.14285714285714288</v>
      </c>
      <c r="N14" s="53">
        <v>2</v>
      </c>
      <c r="O14"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13.999999999999998</v>
      </c>
      <c r="R14" s="71">
        <f>IFERROR((tbl_MacGyverWeld[[#This Row],[Adj. Total Hours]]+tbl_MacGyverWeld[[#This Row],[Est. Hours]])/(tbl_MacGyverWeld[[#This Row],[Total Hours Act]]+tbl_MacGyverWeld[[#This Row],[Act. Hours]]),"")</f>
        <v>1.142857142857143</v>
      </c>
      <c r="S14" s="63"/>
      <c r="T14" s="63" t="s">
        <v>662</v>
      </c>
      <c r="U14" s="63" t="s">
        <v>655</v>
      </c>
      <c r="V14" s="63" t="s">
        <v>656</v>
      </c>
      <c r="W14" s="63"/>
      <c r="X14" s="63"/>
    </row>
    <row r="15" spans="1:24" ht="25" customHeight="1">
      <c r="A15" s="52">
        <v>46123</v>
      </c>
      <c r="B15" s="53" t="s">
        <v>663</v>
      </c>
      <c r="C15" s="53" t="s">
        <v>664</v>
      </c>
      <c r="D15" s="54">
        <v>0.20833333333333334</v>
      </c>
      <c r="E15" s="54">
        <v>0.5625</v>
      </c>
      <c r="F15" s="53">
        <v>1</v>
      </c>
      <c r="G15" s="53">
        <v>1</v>
      </c>
      <c r="H15" s="55">
        <f>tbl_MacGyverWeld[[#This Row],[Qty Complete]]/tbl_MacGyverWeld[[#This Row],[Qty Required]]</f>
        <v>1</v>
      </c>
      <c r="I15" s="56">
        <v>0.125</v>
      </c>
      <c r="J15" s="53">
        <v>2</v>
      </c>
      <c r="K15" s="57">
        <f>IFERROR(tbl_MacGyverWeld[[#This Row],[Qty Required]]/tbl_MacGyverWeld[[#This Row],[PPH]]*tbl_MacGyverWeld[[#This Row],['# of men]],"")</f>
        <v>16</v>
      </c>
      <c r="L15" s="58">
        <f>tbl_MacGyverWeld[[#This Row],[Total hours]]*tbl_MacGyverWeld[[#This Row],[% Complete]]</f>
        <v>16</v>
      </c>
      <c r="M15" s="59">
        <f>IFERROR(tbl_MacGyverWeld[[#This Row],[Qty Complete]]/tbl_MacGyverWeld[[#This Row],[Total Hours Act]]*tbl_MacGyverWeld[[#This Row],['# of men Act]],"")</f>
        <v>0.125</v>
      </c>
      <c r="N15" s="53">
        <v>2</v>
      </c>
      <c r="O15"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16</v>
      </c>
      <c r="R15" s="71">
        <f>IFERROR((tbl_MacGyverWeld[[#This Row],[Adj. Total Hours]]+tbl_MacGyverWeld[[#This Row],[Est. Hours]])/(tbl_MacGyverWeld[[#This Row],[Total Hours Act]]+tbl_MacGyverWeld[[#This Row],[Act. Hours]]),"")</f>
        <v>1</v>
      </c>
      <c r="S15" s="63"/>
      <c r="T15" s="63" t="s">
        <v>665</v>
      </c>
      <c r="U15" s="63" t="s">
        <v>645</v>
      </c>
      <c r="V15" s="63" t="s">
        <v>646</v>
      </c>
      <c r="W15" s="63"/>
      <c r="X15" s="63"/>
    </row>
    <row r="16" spans="1:24" ht="25" customHeight="1">
      <c r="A16" s="52">
        <v>46124</v>
      </c>
      <c r="B16" s="53" t="s">
        <v>663</v>
      </c>
      <c r="C16" s="53" t="s">
        <v>664</v>
      </c>
      <c r="D16" s="54">
        <v>0.52083333333333337</v>
      </c>
      <c r="E16" s="54">
        <v>0.89583333333333337</v>
      </c>
      <c r="F16" s="53">
        <v>1</v>
      </c>
      <c r="G16" s="53">
        <v>1</v>
      </c>
      <c r="H16" s="55">
        <f>tbl_MacGyverWeld[[#This Row],[Qty Complete]]/tbl_MacGyverWeld[[#This Row],[Qty Required]]</f>
        <v>1</v>
      </c>
      <c r="I16" s="56">
        <v>0.125</v>
      </c>
      <c r="J16" s="53">
        <v>2</v>
      </c>
      <c r="K16" s="57">
        <f>IFERROR(tbl_MacGyverWeld[[#This Row],[Qty Required]]/tbl_MacGyverWeld[[#This Row],[PPH]]*tbl_MacGyverWeld[[#This Row],['# of men]],"")</f>
        <v>16</v>
      </c>
      <c r="L16" s="58">
        <f>tbl_MacGyverWeld[[#This Row],[Total hours]]*tbl_MacGyverWeld[[#This Row],[% Complete]]</f>
        <v>16</v>
      </c>
      <c r="M16" s="59">
        <f>IFERROR(tbl_MacGyverWeld[[#This Row],[Qty Complete]]/tbl_MacGyverWeld[[#This Row],[Total Hours Act]]*tbl_MacGyverWeld[[#This Row],['# of men Act]],"")</f>
        <v>0.11764705882352941</v>
      </c>
      <c r="N16" s="53">
        <v>2</v>
      </c>
      <c r="O16"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17</v>
      </c>
      <c r="R16" s="71">
        <f>IFERROR((tbl_MacGyverWeld[[#This Row],[Adj. Total Hours]]+tbl_MacGyverWeld[[#This Row],[Est. Hours]])/(tbl_MacGyverWeld[[#This Row],[Total Hours Act]]+tbl_MacGyverWeld[[#This Row],[Act. Hours]]),"")</f>
        <v>0.94117647058823528</v>
      </c>
      <c r="S16" s="63" t="s">
        <v>666</v>
      </c>
      <c r="T16" s="63" t="s">
        <v>667</v>
      </c>
      <c r="U16" s="63" t="s">
        <v>651</v>
      </c>
      <c r="V16" s="63" t="s">
        <v>661</v>
      </c>
      <c r="W16" s="63"/>
      <c r="X16" s="63"/>
    </row>
    <row r="17" spans="1:24" ht="25" customHeight="1">
      <c r="A17" s="52">
        <v>46124</v>
      </c>
      <c r="B17" s="53" t="s">
        <v>663</v>
      </c>
      <c r="C17" s="53" t="s">
        <v>664</v>
      </c>
      <c r="D17" s="54">
        <v>0.54166666666666663</v>
      </c>
      <c r="E17" s="54">
        <v>0.91666666666666663</v>
      </c>
      <c r="F17" s="53">
        <v>1</v>
      </c>
      <c r="G17" s="53">
        <v>1</v>
      </c>
      <c r="H17" s="55">
        <f>tbl_MacGyverWeld[[#This Row],[Qty Complete]]/tbl_MacGyverWeld[[#This Row],[Qty Required]]</f>
        <v>1</v>
      </c>
      <c r="I17" s="56">
        <v>0.125</v>
      </c>
      <c r="J17" s="53">
        <v>2</v>
      </c>
      <c r="K17" s="57">
        <f>IFERROR(tbl_MacGyverWeld[[#This Row],[Qty Required]]/tbl_MacGyverWeld[[#This Row],[PPH]]*tbl_MacGyverWeld[[#This Row],['# of men]],"")</f>
        <v>16</v>
      </c>
      <c r="L17" s="58">
        <f>tbl_MacGyverWeld[[#This Row],[Total hours]]*tbl_MacGyverWeld[[#This Row],[% Complete]]</f>
        <v>16</v>
      </c>
      <c r="M17" s="59">
        <f>IFERROR(tbl_MacGyverWeld[[#This Row],[Qty Complete]]/tbl_MacGyverWeld[[#This Row],[Total Hours Act]]*tbl_MacGyverWeld[[#This Row],['# of men Act]],"")</f>
        <v>0.1111111111111111</v>
      </c>
      <c r="N17" s="53">
        <v>2</v>
      </c>
      <c r="O17"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18</v>
      </c>
      <c r="R17" s="71">
        <f>IFERROR((tbl_MacGyverWeld[[#This Row],[Adj. Total Hours]]+tbl_MacGyverWeld[[#This Row],[Est. Hours]])/(tbl_MacGyverWeld[[#This Row],[Total Hours Act]]+tbl_MacGyverWeld[[#This Row],[Act. Hours]]),"")</f>
        <v>0.88888888888888884</v>
      </c>
      <c r="S17" s="63" t="s">
        <v>668</v>
      </c>
      <c r="T17" s="63" t="s">
        <v>669</v>
      </c>
      <c r="U17" s="63" t="s">
        <v>655</v>
      </c>
      <c r="V17" s="63" t="s">
        <v>656</v>
      </c>
      <c r="W17" s="63"/>
      <c r="X17" s="63"/>
    </row>
    <row r="18" spans="1:24" ht="25" customHeight="1">
      <c r="A18" s="52">
        <v>46124</v>
      </c>
      <c r="B18" s="53" t="s">
        <v>642</v>
      </c>
      <c r="C18" s="53" t="s">
        <v>625</v>
      </c>
      <c r="D18" s="54">
        <v>0.20833333333333334</v>
      </c>
      <c r="E18" s="54">
        <v>0.625</v>
      </c>
      <c r="F18" s="53">
        <v>1</v>
      </c>
      <c r="G18" s="53">
        <v>1</v>
      </c>
      <c r="H18" s="55">
        <f>tbl_MacGyverWeld[[#This Row],[Qty Complete]]/tbl_MacGyverWeld[[#This Row],[Qty Required]]</f>
        <v>1</v>
      </c>
      <c r="I18" s="56">
        <v>0.1</v>
      </c>
      <c r="J18" s="53">
        <v>2</v>
      </c>
      <c r="K18" s="57">
        <f>IFERROR(tbl_MacGyverWeld[[#This Row],[Qty Required]]/tbl_MacGyverWeld[[#This Row],[PPH]]*tbl_MacGyverWeld[[#This Row],['# of men]],"")</f>
        <v>20</v>
      </c>
      <c r="L18" s="58">
        <f>tbl_MacGyverWeld[[#This Row],[Total hours]]*tbl_MacGyverWeld[[#This Row],[% Complete]]</f>
        <v>20</v>
      </c>
      <c r="M18" s="59">
        <f>IFERROR(tbl_MacGyverWeld[[#This Row],[Qty Complete]]/tbl_MacGyverWeld[[#This Row],[Total Hours Act]]*tbl_MacGyverWeld[[#This Row],['# of men Act]],"")</f>
        <v>0.10526315789473684</v>
      </c>
      <c r="N18" s="53">
        <v>2</v>
      </c>
      <c r="O18"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19</v>
      </c>
      <c r="R18" s="71">
        <f>IFERROR((tbl_MacGyverWeld[[#This Row],[Adj. Total Hours]]+tbl_MacGyverWeld[[#This Row],[Est. Hours]])/(tbl_MacGyverWeld[[#This Row],[Total Hours Act]]+tbl_MacGyverWeld[[#This Row],[Act. Hours]]),"")</f>
        <v>1.0526315789473684</v>
      </c>
      <c r="S18" s="63"/>
      <c r="T18" s="63"/>
      <c r="U18" s="63" t="s">
        <v>646</v>
      </c>
      <c r="V18" s="63" t="s">
        <v>645</v>
      </c>
      <c r="W18" s="63"/>
      <c r="X18" s="63"/>
    </row>
    <row r="19" spans="1:24" ht="25" customHeight="1">
      <c r="A19" s="52">
        <v>46125</v>
      </c>
      <c r="B19" s="53" t="s">
        <v>670</v>
      </c>
      <c r="C19" s="53" t="s">
        <v>635</v>
      </c>
      <c r="D19" s="54">
        <v>0.3125</v>
      </c>
      <c r="E19" s="54">
        <v>0.67708333333333337</v>
      </c>
      <c r="F19" s="53">
        <v>1</v>
      </c>
      <c r="G19" s="53">
        <v>1</v>
      </c>
      <c r="H19" s="55">
        <f>tbl_MacGyverWeld[[#This Row],[Qty Complete]]/tbl_MacGyverWeld[[#This Row],[Qty Required]]</f>
        <v>1</v>
      </c>
      <c r="I19" s="56">
        <v>0.1</v>
      </c>
      <c r="J19" s="53">
        <v>2</v>
      </c>
      <c r="K19" s="57">
        <f>IFERROR(tbl_MacGyverWeld[[#This Row],[Qty Required]]/tbl_MacGyverWeld[[#This Row],[PPH]]*tbl_MacGyverWeld[[#This Row],['# of men]],"")</f>
        <v>20</v>
      </c>
      <c r="L19" s="58">
        <f>tbl_MacGyverWeld[[#This Row],[Total hours]]*tbl_MacGyverWeld[[#This Row],[% Complete]]</f>
        <v>20</v>
      </c>
      <c r="M19" s="59">
        <f>IFERROR(tbl_MacGyverWeld[[#This Row],[Qty Complete]]/tbl_MacGyverWeld[[#This Row],[Total Hours Act]]*tbl_MacGyverWeld[[#This Row],['# of men Act]],"")</f>
        <v>0.12121212121212122</v>
      </c>
      <c r="N19" s="53">
        <v>2</v>
      </c>
      <c r="O19"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16.5</v>
      </c>
      <c r="R19" s="71">
        <f>IFERROR((tbl_MacGyverWeld[[#This Row],[Adj. Total Hours]]+tbl_MacGyverWeld[[#This Row],[Est. Hours]])/(tbl_MacGyverWeld[[#This Row],[Total Hours Act]]+tbl_MacGyverWeld[[#This Row],[Act. Hours]]),"")</f>
        <v>1.2121212121212122</v>
      </c>
      <c r="S19" s="63"/>
      <c r="T19" s="63" t="s">
        <v>671</v>
      </c>
      <c r="U19" s="63" t="s">
        <v>672</v>
      </c>
      <c r="V19" s="63" t="s">
        <v>673</v>
      </c>
      <c r="W19" s="63"/>
      <c r="X19" s="63"/>
    </row>
    <row r="20" spans="1:24" ht="25" customHeight="1">
      <c r="A20" s="52">
        <v>46125</v>
      </c>
      <c r="B20" s="53" t="s">
        <v>670</v>
      </c>
      <c r="C20" s="53" t="s">
        <v>635</v>
      </c>
      <c r="D20" s="54">
        <v>0.6875</v>
      </c>
      <c r="E20" s="54">
        <v>0.90625</v>
      </c>
      <c r="F20" s="53">
        <v>1</v>
      </c>
      <c r="G20" s="53">
        <v>1</v>
      </c>
      <c r="H20" s="55">
        <f>tbl_MacGyverWeld[[#This Row],[Qty Complete]]/tbl_MacGyverWeld[[#This Row],[Qty Required]]</f>
        <v>1</v>
      </c>
      <c r="I20" s="56">
        <v>0.1</v>
      </c>
      <c r="J20" s="53">
        <v>2</v>
      </c>
      <c r="K20" s="57">
        <f>IFERROR(tbl_MacGyverWeld[[#This Row],[Qty Required]]/tbl_MacGyverWeld[[#This Row],[PPH]]*tbl_MacGyverWeld[[#This Row],['# of men]],"")</f>
        <v>20</v>
      </c>
      <c r="L20" s="58">
        <f>tbl_MacGyverWeld[[#This Row],[Total hours]]*tbl_MacGyverWeld[[#This Row],[% Complete]]</f>
        <v>20</v>
      </c>
      <c r="M20" s="59">
        <f>IFERROR(tbl_MacGyverWeld[[#This Row],[Qty Complete]]/tbl_MacGyverWeld[[#This Row],[Total Hours Act]]*tbl_MacGyverWeld[[#This Row],['# of men Act]],"")</f>
        <v>0.19047619047619047</v>
      </c>
      <c r="N20" s="53">
        <v>2</v>
      </c>
      <c r="O20"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10.5</v>
      </c>
      <c r="R20" s="71">
        <f>IFERROR((tbl_MacGyverWeld[[#This Row],[Adj. Total Hours]]+tbl_MacGyverWeld[[#This Row],[Est. Hours]])/(tbl_MacGyverWeld[[#This Row],[Total Hours Act]]+tbl_MacGyverWeld[[#This Row],[Act. Hours]]),"")</f>
        <v>1.9047619047619047</v>
      </c>
      <c r="S20" s="63"/>
      <c r="T20" s="63" t="s">
        <v>674</v>
      </c>
      <c r="U20" s="63" t="s">
        <v>675</v>
      </c>
      <c r="V20" s="63" t="s">
        <v>676</v>
      </c>
      <c r="W20" s="63"/>
      <c r="X20" s="63"/>
    </row>
    <row r="21" spans="1:24" ht="25" customHeight="1">
      <c r="A21" s="52">
        <v>46125</v>
      </c>
      <c r="B21" s="53" t="s">
        <v>677</v>
      </c>
      <c r="C21" s="53" t="s">
        <v>678</v>
      </c>
      <c r="D21" s="54">
        <v>0.30208333333333331</v>
      </c>
      <c r="E21" s="54">
        <v>0.72916666666666663</v>
      </c>
      <c r="F21" s="53">
        <v>1</v>
      </c>
      <c r="G21" s="53">
        <v>1</v>
      </c>
      <c r="H21" s="55">
        <f>tbl_MacGyverWeld[[#This Row],[Qty Complete]]/tbl_MacGyverWeld[[#This Row],[Qty Required]]</f>
        <v>1</v>
      </c>
      <c r="I21" s="56">
        <v>0.1</v>
      </c>
      <c r="J21" s="53">
        <v>2</v>
      </c>
      <c r="K21" s="57">
        <f>IFERROR(tbl_MacGyverWeld[[#This Row],[Qty Required]]/tbl_MacGyverWeld[[#This Row],[PPH]]*tbl_MacGyverWeld[[#This Row],['# of men]],"")</f>
        <v>20</v>
      </c>
      <c r="L21" s="58">
        <f>tbl_MacGyverWeld[[#This Row],[Total hours]]*tbl_MacGyverWeld[[#This Row],[% Complete]]</f>
        <v>20</v>
      </c>
      <c r="M21" s="59">
        <f>IFERROR(tbl_MacGyverWeld[[#This Row],[Qty Complete]]/tbl_MacGyverWeld[[#This Row],[Total Hours Act]]*tbl_MacGyverWeld[[#This Row],['# of men Act]],"")</f>
        <v>0.10256410256410256</v>
      </c>
      <c r="N21" s="53">
        <v>2</v>
      </c>
      <c r="O21"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19.5</v>
      </c>
      <c r="R21" s="71">
        <f>IFERROR((tbl_MacGyverWeld[[#This Row],[Adj. Total Hours]]+tbl_MacGyverWeld[[#This Row],[Est. Hours]])/(tbl_MacGyverWeld[[#This Row],[Total Hours Act]]+tbl_MacGyverWeld[[#This Row],[Act. Hours]]),"")</f>
        <v>1.0256410256410255</v>
      </c>
      <c r="S21" s="63"/>
      <c r="T21" s="63" t="s">
        <v>679</v>
      </c>
      <c r="U21" s="63" t="s">
        <v>641</v>
      </c>
      <c r="V21" s="63" t="s">
        <v>680</v>
      </c>
      <c r="W21" s="63"/>
      <c r="X21" s="63"/>
    </row>
    <row r="22" spans="1:24" ht="25" customHeight="1">
      <c r="A22" s="52">
        <v>46125</v>
      </c>
      <c r="B22" s="53" t="s">
        <v>677</v>
      </c>
      <c r="C22" s="53" t="s">
        <v>625</v>
      </c>
      <c r="D22" s="54">
        <v>0.20833333333333334</v>
      </c>
      <c r="E22" s="54">
        <v>0.8125</v>
      </c>
      <c r="F22" s="53">
        <v>1</v>
      </c>
      <c r="G22" s="53">
        <v>1</v>
      </c>
      <c r="H22" s="55">
        <f>tbl_MacGyverWeld[[#This Row],[Qty Complete]]/tbl_MacGyverWeld[[#This Row],[Qty Required]]</f>
        <v>1</v>
      </c>
      <c r="I22" s="56">
        <v>0.1</v>
      </c>
      <c r="J22" s="53">
        <v>2</v>
      </c>
      <c r="K22" s="57">
        <f>IFERROR(tbl_MacGyverWeld[[#This Row],[Qty Required]]/tbl_MacGyverWeld[[#This Row],[PPH]]*tbl_MacGyverWeld[[#This Row],['# of men]],"")</f>
        <v>20</v>
      </c>
      <c r="L22" s="58">
        <f>tbl_MacGyverWeld[[#This Row],[Total hours]]*tbl_MacGyverWeld[[#This Row],[% Complete]]</f>
        <v>20</v>
      </c>
      <c r="M22" s="59">
        <f>IFERROR(tbl_MacGyverWeld[[#This Row],[Qty Complete]]/tbl_MacGyverWeld[[#This Row],[Total Hours Act]]*tbl_MacGyverWeld[[#This Row],['# of men Act]],"")</f>
        <v>7.1428571428571425E-2</v>
      </c>
      <c r="N22" s="53">
        <v>1</v>
      </c>
      <c r="O22"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14</v>
      </c>
      <c r="R22" s="71">
        <f>IFERROR((tbl_MacGyverWeld[[#This Row],[Adj. Total Hours]]+tbl_MacGyverWeld[[#This Row],[Est. Hours]])/(tbl_MacGyverWeld[[#This Row],[Total Hours Act]]+tbl_MacGyverWeld[[#This Row],[Act. Hours]]),"")</f>
        <v>1.4285714285714286</v>
      </c>
      <c r="S22" s="63"/>
      <c r="T22" s="63" t="s">
        <v>681</v>
      </c>
      <c r="U22" s="63" t="s">
        <v>631</v>
      </c>
      <c r="V22" s="63"/>
      <c r="W22" s="63"/>
      <c r="X22" s="63"/>
    </row>
    <row r="23" spans="1:24" ht="25" customHeight="1">
      <c r="A23" s="52">
        <v>46125</v>
      </c>
      <c r="B23" s="53" t="s">
        <v>677</v>
      </c>
      <c r="C23" s="53" t="s">
        <v>625</v>
      </c>
      <c r="D23" s="54">
        <v>0.20833333333333334</v>
      </c>
      <c r="E23" s="54">
        <v>0.6875</v>
      </c>
      <c r="F23" s="53">
        <v>1</v>
      </c>
      <c r="G23" s="53">
        <v>1</v>
      </c>
      <c r="H23" s="55">
        <f>tbl_MacGyverWeld[[#This Row],[Qty Complete]]/tbl_MacGyverWeld[[#This Row],[Qty Required]]</f>
        <v>1</v>
      </c>
      <c r="I23" s="56">
        <v>0.1</v>
      </c>
      <c r="J23" s="53">
        <v>2</v>
      </c>
      <c r="K23" s="57">
        <f>IFERROR(tbl_MacGyverWeld[[#This Row],[Qty Required]]/tbl_MacGyverWeld[[#This Row],[PPH]]*tbl_MacGyverWeld[[#This Row],['# of men]],"")</f>
        <v>20</v>
      </c>
      <c r="L23" s="58">
        <f>tbl_MacGyverWeld[[#This Row],[Total hours]]*tbl_MacGyverWeld[[#This Row],[% Complete]]</f>
        <v>20</v>
      </c>
      <c r="M23" s="59">
        <f>IFERROR(tbl_MacGyverWeld[[#This Row],[Qty Complete]]/tbl_MacGyverWeld[[#This Row],[Total Hours Act]]*tbl_MacGyverWeld[[#This Row],['# of men Act]],"")</f>
        <v>9.0909090909090912E-2</v>
      </c>
      <c r="N23" s="53">
        <v>2</v>
      </c>
      <c r="O23"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22</v>
      </c>
      <c r="R23" s="71">
        <f>IFERROR((tbl_MacGyverWeld[[#This Row],[Adj. Total Hours]]+tbl_MacGyverWeld[[#This Row],[Est. Hours]])/(tbl_MacGyverWeld[[#This Row],[Total Hours Act]]+tbl_MacGyverWeld[[#This Row],[Act. Hours]]),"")</f>
        <v>0.90909090909090906</v>
      </c>
      <c r="S23" s="63"/>
      <c r="T23" s="63" t="s">
        <v>682</v>
      </c>
      <c r="U23" s="63" t="s">
        <v>683</v>
      </c>
      <c r="V23" s="63" t="s">
        <v>627</v>
      </c>
      <c r="W23" s="63"/>
      <c r="X23" s="63"/>
    </row>
    <row r="24" spans="1:24" ht="25" customHeight="1">
      <c r="A24" s="52">
        <v>46126</v>
      </c>
      <c r="B24" s="53" t="s">
        <v>684</v>
      </c>
      <c r="C24" s="53" t="s">
        <v>635</v>
      </c>
      <c r="D24" s="54">
        <v>0.97916666666666663</v>
      </c>
      <c r="E24" s="54">
        <v>0.41666666666666669</v>
      </c>
      <c r="F24" s="53">
        <v>1</v>
      </c>
      <c r="G24" s="53">
        <v>1</v>
      </c>
      <c r="H24" s="55">
        <f>tbl_MacGyverWeld[[#This Row],[Qty Complete]]/tbl_MacGyverWeld[[#This Row],[Qty Required]]</f>
        <v>1</v>
      </c>
      <c r="I24" s="56">
        <v>0.1</v>
      </c>
      <c r="J24" s="53">
        <v>2</v>
      </c>
      <c r="K24" s="57">
        <f>IFERROR(tbl_MacGyverWeld[[#This Row],[Qty Required]]/tbl_MacGyverWeld[[#This Row],[PPH]]*tbl_MacGyverWeld[[#This Row],['# of men]],"")</f>
        <v>20</v>
      </c>
      <c r="L24" s="58">
        <f>tbl_MacGyverWeld[[#This Row],[Total hours]]*tbl_MacGyverWeld[[#This Row],[% Complete]]</f>
        <v>20</v>
      </c>
      <c r="M24" s="59">
        <f>IFERROR(tbl_MacGyverWeld[[#This Row],[Qty Complete]]/tbl_MacGyverWeld[[#This Row],[Total Hours Act]]*tbl_MacGyverWeld[[#This Row],['# of men Act]],"")</f>
        <v>0.1</v>
      </c>
      <c r="N24" s="53">
        <v>2</v>
      </c>
      <c r="O24"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20</v>
      </c>
      <c r="R24" s="71">
        <f>IFERROR((tbl_MacGyverWeld[[#This Row],[Adj. Total Hours]]+tbl_MacGyverWeld[[#This Row],[Est. Hours]])/(tbl_MacGyverWeld[[#This Row],[Total Hours Act]]+tbl_MacGyverWeld[[#This Row],[Act. Hours]]),"")</f>
        <v>1</v>
      </c>
      <c r="S24" s="63"/>
      <c r="T24" s="63" t="s">
        <v>685</v>
      </c>
      <c r="U24" s="63" t="s">
        <v>686</v>
      </c>
      <c r="V24" s="63" t="s">
        <v>687</v>
      </c>
      <c r="W24" s="63"/>
      <c r="X24" s="63"/>
    </row>
    <row r="25" spans="1:24" ht="25" customHeight="1">
      <c r="A25" s="52">
        <v>46125</v>
      </c>
      <c r="B25" s="53" t="s">
        <v>670</v>
      </c>
      <c r="C25" s="53" t="s">
        <v>635</v>
      </c>
      <c r="D25" s="54">
        <v>0.6875</v>
      </c>
      <c r="E25" s="54">
        <v>0.90625</v>
      </c>
      <c r="F25" s="53">
        <v>1</v>
      </c>
      <c r="G25" s="53">
        <v>1</v>
      </c>
      <c r="H25" s="55">
        <f>tbl_MacGyverWeld[[#This Row],[Qty Complete]]/tbl_MacGyverWeld[[#This Row],[Qty Required]]</f>
        <v>1</v>
      </c>
      <c r="I25" s="56">
        <v>0.1</v>
      </c>
      <c r="J25" s="53">
        <v>2</v>
      </c>
      <c r="K25" s="57">
        <f>IFERROR(tbl_MacGyverWeld[[#This Row],[Qty Required]]/tbl_MacGyverWeld[[#This Row],[PPH]]*tbl_MacGyverWeld[[#This Row],['# of men]],"")</f>
        <v>20</v>
      </c>
      <c r="L25" s="58">
        <f>tbl_MacGyverWeld[[#This Row],[Total hours]]*tbl_MacGyverWeld[[#This Row],[% Complete]]</f>
        <v>20</v>
      </c>
      <c r="M25" s="59">
        <f>IFERROR(tbl_MacGyverWeld[[#This Row],[Qty Complete]]/tbl_MacGyverWeld[[#This Row],[Total Hours Act]]*tbl_MacGyverWeld[[#This Row],['# of men Act]],"")</f>
        <v>0.19047619047619047</v>
      </c>
      <c r="N25" s="53">
        <v>2</v>
      </c>
      <c r="O25"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10.5</v>
      </c>
      <c r="R25" s="71">
        <f>IFERROR((tbl_MacGyverWeld[[#This Row],[Adj. Total Hours]]+tbl_MacGyverWeld[[#This Row],[Est. Hours]])/(tbl_MacGyverWeld[[#This Row],[Total Hours Act]]+tbl_MacGyverWeld[[#This Row],[Act. Hours]]),"")</f>
        <v>1.9047619047619047</v>
      </c>
      <c r="S25" s="63"/>
      <c r="T25" s="63"/>
      <c r="U25" s="63" t="s">
        <v>637</v>
      </c>
      <c r="V25" s="63" t="s">
        <v>688</v>
      </c>
      <c r="W25" s="63"/>
      <c r="X25" s="63"/>
    </row>
    <row r="26" spans="1:24" ht="25" customHeight="1">
      <c r="A26" s="52">
        <v>46125</v>
      </c>
      <c r="B26" s="53" t="s">
        <v>670</v>
      </c>
      <c r="C26" s="53" t="s">
        <v>635</v>
      </c>
      <c r="D26" s="54">
        <v>0.6875</v>
      </c>
      <c r="E26" s="54">
        <v>0.90625</v>
      </c>
      <c r="F26" s="53">
        <v>1</v>
      </c>
      <c r="G26" s="53">
        <v>1</v>
      </c>
      <c r="H26" s="55">
        <f>tbl_MacGyverWeld[[#This Row],[Qty Complete]]/tbl_MacGyverWeld[[#This Row],[Qty Required]]</f>
        <v>1</v>
      </c>
      <c r="I26" s="56">
        <v>0.1</v>
      </c>
      <c r="J26" s="53">
        <v>2</v>
      </c>
      <c r="K26" s="57">
        <f>IFERROR(tbl_MacGyverWeld[[#This Row],[Qty Required]]/tbl_MacGyverWeld[[#This Row],[PPH]]*tbl_MacGyverWeld[[#This Row],['# of men]],"")</f>
        <v>20</v>
      </c>
      <c r="L26" s="58">
        <f>tbl_MacGyverWeld[[#This Row],[Total hours]]*tbl_MacGyverWeld[[#This Row],[% Complete]]</f>
        <v>20</v>
      </c>
      <c r="M26" s="59">
        <f>IFERROR(tbl_MacGyverWeld[[#This Row],[Qty Complete]]/tbl_MacGyverWeld[[#This Row],[Total Hours Act]]*tbl_MacGyverWeld[[#This Row],['# of men Act]],"")</f>
        <v>0.19047619047619047</v>
      </c>
      <c r="N26" s="53">
        <v>2</v>
      </c>
      <c r="O26"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10.5</v>
      </c>
      <c r="R26" s="71">
        <f>IFERROR((tbl_MacGyverWeld[[#This Row],[Adj. Total Hours]]+tbl_MacGyverWeld[[#This Row],[Est. Hours]])/(tbl_MacGyverWeld[[#This Row],[Total Hours Act]]+tbl_MacGyverWeld[[#This Row],[Act. Hours]]),"")</f>
        <v>1.9047619047619047</v>
      </c>
      <c r="S26" s="63"/>
      <c r="T26" s="63"/>
      <c r="U26" s="63" t="s">
        <v>637</v>
      </c>
      <c r="V26" s="63" t="s">
        <v>688</v>
      </c>
      <c r="W26" s="63"/>
      <c r="X26" s="63"/>
    </row>
    <row r="27" spans="1:24" ht="25" customHeight="1">
      <c r="A27" s="52">
        <v>46126</v>
      </c>
      <c r="B27" s="53" t="s">
        <v>689</v>
      </c>
      <c r="C27" s="53" t="s">
        <v>690</v>
      </c>
      <c r="D27" s="54">
        <v>0.9375</v>
      </c>
      <c r="E27" s="54">
        <v>0.27083333333333331</v>
      </c>
      <c r="F27" s="53">
        <v>1</v>
      </c>
      <c r="G27" s="53">
        <v>1</v>
      </c>
      <c r="H27" s="55">
        <f>tbl_MacGyverWeld[[#This Row],[Qty Complete]]/tbl_MacGyverWeld[[#This Row],[Qty Required]]</f>
        <v>1</v>
      </c>
      <c r="I27" s="56">
        <v>0.125</v>
      </c>
      <c r="J27" s="53">
        <v>2</v>
      </c>
      <c r="K27" s="57">
        <f>IFERROR(tbl_MacGyverWeld[[#This Row],[Qty Required]]/tbl_MacGyverWeld[[#This Row],[PPH]]*tbl_MacGyverWeld[[#This Row],['# of men]],"")</f>
        <v>16</v>
      </c>
      <c r="L27" s="58">
        <f>tbl_MacGyverWeld[[#This Row],[Total hours]]*tbl_MacGyverWeld[[#This Row],[% Complete]]</f>
        <v>16</v>
      </c>
      <c r="M27" s="59">
        <f>IFERROR(tbl_MacGyverWeld[[#This Row],[Qty Complete]]/tbl_MacGyverWeld[[#This Row],[Total Hours Act]]*tbl_MacGyverWeld[[#This Row],['# of men Act]],"")</f>
        <v>0.13333333333333336</v>
      </c>
      <c r="N27" s="53">
        <v>2</v>
      </c>
      <c r="O27"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14.999999999999996</v>
      </c>
      <c r="R27" s="71">
        <f>IFERROR((tbl_MacGyverWeld[[#This Row],[Adj. Total Hours]]+tbl_MacGyverWeld[[#This Row],[Est. Hours]])/(tbl_MacGyverWeld[[#This Row],[Total Hours Act]]+tbl_MacGyverWeld[[#This Row],[Act. Hours]]),"")</f>
        <v>1.0666666666666669</v>
      </c>
      <c r="S27" s="63"/>
      <c r="T27" s="63" t="s">
        <v>691</v>
      </c>
      <c r="U27" s="63" t="s">
        <v>692</v>
      </c>
      <c r="V27" s="63"/>
      <c r="W27" s="63"/>
      <c r="X27" s="63"/>
    </row>
    <row r="28" spans="1:24" ht="25" customHeight="1">
      <c r="A28" s="52">
        <v>46126</v>
      </c>
      <c r="B28" s="53" t="s">
        <v>689</v>
      </c>
      <c r="C28" s="53" t="s">
        <v>664</v>
      </c>
      <c r="D28" s="54">
        <v>0.25</v>
      </c>
      <c r="E28" s="54">
        <v>0.5625</v>
      </c>
      <c r="F28" s="53">
        <v>1</v>
      </c>
      <c r="G28" s="53">
        <v>1</v>
      </c>
      <c r="H28" s="55">
        <f>tbl_MacGyverWeld[[#This Row],[Qty Complete]]/tbl_MacGyverWeld[[#This Row],[Qty Required]]</f>
        <v>1</v>
      </c>
      <c r="I28" s="56">
        <v>0.125</v>
      </c>
      <c r="J28" s="53">
        <v>2</v>
      </c>
      <c r="K28" s="57">
        <f>IFERROR(tbl_MacGyverWeld[[#This Row],[Qty Required]]/tbl_MacGyverWeld[[#This Row],[PPH]]*tbl_MacGyverWeld[[#This Row],['# of men]],"")</f>
        <v>16</v>
      </c>
      <c r="L28" s="58">
        <f>tbl_MacGyverWeld[[#This Row],[Total hours]]*tbl_MacGyverWeld[[#This Row],[% Complete]]</f>
        <v>16</v>
      </c>
      <c r="M28" s="59">
        <f>IFERROR(tbl_MacGyverWeld[[#This Row],[Qty Complete]]/tbl_MacGyverWeld[[#This Row],[Total Hours Act]]*tbl_MacGyverWeld[[#This Row],['# of men Act]],"")</f>
        <v>0.14285714285714285</v>
      </c>
      <c r="N28" s="53">
        <v>2</v>
      </c>
      <c r="O28"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14</v>
      </c>
      <c r="R28" s="71">
        <f>IFERROR((tbl_MacGyverWeld[[#This Row],[Adj. Total Hours]]+tbl_MacGyverWeld[[#This Row],[Est. Hours]])/(tbl_MacGyverWeld[[#This Row],[Total Hours Act]]+tbl_MacGyverWeld[[#This Row],[Act. Hours]]),"")</f>
        <v>1.1428571428571428</v>
      </c>
      <c r="S28" s="63"/>
      <c r="T28" s="63" t="s">
        <v>693</v>
      </c>
      <c r="U28" s="63" t="s">
        <v>694</v>
      </c>
      <c r="V28" s="63" t="s">
        <v>695</v>
      </c>
      <c r="W28" s="63"/>
      <c r="X28" s="63"/>
    </row>
    <row r="29" spans="1:24" ht="25" customHeight="1">
      <c r="A29" s="52">
        <v>46126</v>
      </c>
      <c r="B29" s="53" t="s">
        <v>689</v>
      </c>
      <c r="C29" s="53" t="s">
        <v>664</v>
      </c>
      <c r="D29" s="54">
        <v>0.24791666666666667</v>
      </c>
      <c r="E29" s="54">
        <v>0.625</v>
      </c>
      <c r="F29" s="53">
        <v>1</v>
      </c>
      <c r="G29" s="53">
        <v>1</v>
      </c>
      <c r="H29" s="55">
        <f>tbl_MacGyverWeld[[#This Row],[Qty Complete]]/tbl_MacGyverWeld[[#This Row],[Qty Required]]</f>
        <v>1</v>
      </c>
      <c r="I29" s="56">
        <v>0.125</v>
      </c>
      <c r="J29" s="53">
        <v>2</v>
      </c>
      <c r="K29" s="57">
        <f>IFERROR(tbl_MacGyverWeld[[#This Row],[Qty Required]]/tbl_MacGyverWeld[[#This Row],[PPH]]*tbl_MacGyverWeld[[#This Row],['# of men]],"")</f>
        <v>16</v>
      </c>
      <c r="L29" s="58">
        <f>tbl_MacGyverWeld[[#This Row],[Total hours]]*tbl_MacGyverWeld[[#This Row],[% Complete]]</f>
        <v>16</v>
      </c>
      <c r="M29" s="59">
        <f>IFERROR(tbl_MacGyverWeld[[#This Row],[Qty Complete]]/tbl_MacGyverWeld[[#This Row],[Total Hours Act]]*tbl_MacGyverWeld[[#This Row],['# of men Act]],"")</f>
        <v>0.11695906432748537</v>
      </c>
      <c r="N29" s="53">
        <v>2</v>
      </c>
      <c r="O29"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17.100000000000001</v>
      </c>
      <c r="R29" s="71">
        <f>IFERROR((tbl_MacGyverWeld[[#This Row],[Adj. Total Hours]]+tbl_MacGyverWeld[[#This Row],[Est. Hours]])/(tbl_MacGyverWeld[[#This Row],[Total Hours Act]]+tbl_MacGyverWeld[[#This Row],[Act. Hours]]),"")</f>
        <v>0.93567251461988299</v>
      </c>
      <c r="S29" s="63"/>
      <c r="T29" s="63" t="s">
        <v>696</v>
      </c>
      <c r="U29" s="63" t="s">
        <v>627</v>
      </c>
      <c r="V29" s="63" t="s">
        <v>697</v>
      </c>
      <c r="W29" s="63"/>
      <c r="X29" s="63"/>
    </row>
    <row r="30" spans="1:24" ht="25" customHeight="1">
      <c r="A30" s="52">
        <v>46127</v>
      </c>
      <c r="B30" s="110" t="s">
        <v>684</v>
      </c>
      <c r="C30" s="53" t="s">
        <v>698</v>
      </c>
      <c r="D30" s="54">
        <v>0.125</v>
      </c>
      <c r="E30" s="54">
        <v>0.54791666666666672</v>
      </c>
      <c r="F30" s="53">
        <v>1</v>
      </c>
      <c r="G30" s="53">
        <v>1</v>
      </c>
      <c r="H30" s="55">
        <f>tbl_MacGyverWeld[[#This Row],[Qty Complete]]/tbl_MacGyverWeld[[#This Row],[Qty Required]]</f>
        <v>1</v>
      </c>
      <c r="I30" s="56">
        <v>0.1</v>
      </c>
      <c r="J30" s="53">
        <v>2</v>
      </c>
      <c r="K30" s="57">
        <f>IFERROR(tbl_MacGyverWeld[[#This Row],[Qty Required]]/tbl_MacGyverWeld[[#This Row],[PPH]]*tbl_MacGyverWeld[[#This Row],['# of men]],"")</f>
        <v>20</v>
      </c>
      <c r="L30" s="58">
        <f>tbl_MacGyverWeld[[#This Row],[Total hours]]*tbl_MacGyverWeld[[#This Row],[% Complete]]</f>
        <v>20</v>
      </c>
      <c r="M30" s="59">
        <f>IFERROR(tbl_MacGyverWeld[[#This Row],[Qty Complete]]/tbl_MacGyverWeld[[#This Row],[Total Hours Act]]*tbl_MacGyverWeld[[#This Row],['# of men Act]],"")</f>
        <v>0.10362694300518133</v>
      </c>
      <c r="N30" s="53">
        <v>2</v>
      </c>
      <c r="O30"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19.300000000000004</v>
      </c>
      <c r="R30" s="71">
        <f>IFERROR((tbl_MacGyverWeld[[#This Row],[Adj. Total Hours]]+tbl_MacGyverWeld[[#This Row],[Est. Hours]])/(tbl_MacGyverWeld[[#This Row],[Total Hours Act]]+tbl_MacGyverWeld[[#This Row],[Act. Hours]]),"")</f>
        <v>1.0362694300518132</v>
      </c>
      <c r="S30" s="63"/>
      <c r="T30" s="63" t="s">
        <v>699</v>
      </c>
      <c r="U30" s="63" t="s">
        <v>627</v>
      </c>
      <c r="V30" s="63" t="s">
        <v>697</v>
      </c>
      <c r="W30" s="63"/>
      <c r="X30" s="63"/>
    </row>
    <row r="31" spans="1:24" ht="25" customHeight="1">
      <c r="A31" s="52">
        <v>46127</v>
      </c>
      <c r="B31" s="53" t="s">
        <v>700</v>
      </c>
      <c r="C31" s="53" t="s">
        <v>678</v>
      </c>
      <c r="D31" s="54">
        <v>0.625</v>
      </c>
      <c r="E31" s="54">
        <v>0.9375</v>
      </c>
      <c r="F31" s="53">
        <v>1</v>
      </c>
      <c r="G31" s="53">
        <v>1</v>
      </c>
      <c r="H31" s="55">
        <f>tbl_MacGyverWeld[[#This Row],[Qty Complete]]/tbl_MacGyverWeld[[#This Row],[Qty Required]]</f>
        <v>1</v>
      </c>
      <c r="I31" s="56">
        <v>0.1</v>
      </c>
      <c r="J31" s="53">
        <v>2</v>
      </c>
      <c r="K31" s="57">
        <f>IFERROR(tbl_MacGyverWeld[[#This Row],[Qty Required]]/tbl_MacGyverWeld[[#This Row],[PPH]]*tbl_MacGyverWeld[[#This Row],['# of men]],"")</f>
        <v>20</v>
      </c>
      <c r="L31" s="58">
        <f>tbl_MacGyverWeld[[#This Row],[Total hours]]*tbl_MacGyverWeld[[#This Row],[% Complete]]</f>
        <v>20</v>
      </c>
      <c r="M31" s="59">
        <f>IFERROR(tbl_MacGyverWeld[[#This Row],[Qty Complete]]/tbl_MacGyverWeld[[#This Row],[Total Hours Act]]*tbl_MacGyverWeld[[#This Row],['# of men Act]],"")</f>
        <v>0.13333333333333333</v>
      </c>
      <c r="N31" s="53">
        <v>2</v>
      </c>
      <c r="O31"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15</v>
      </c>
      <c r="R31" s="71">
        <f>IFERROR((tbl_MacGyverWeld[[#This Row],[Adj. Total Hours]]+tbl_MacGyverWeld[[#This Row],[Est. Hours]])/(tbl_MacGyverWeld[[#This Row],[Total Hours Act]]+tbl_MacGyverWeld[[#This Row],[Act. Hours]]),"")</f>
        <v>1.3333333333333333</v>
      </c>
      <c r="S31" s="63"/>
      <c r="T31" s="63" t="s">
        <v>701</v>
      </c>
      <c r="U31" s="63" t="s">
        <v>702</v>
      </c>
      <c r="V31" s="63" t="s">
        <v>647</v>
      </c>
      <c r="W31" s="63"/>
      <c r="X31" s="63"/>
    </row>
    <row r="32" spans="1:24" ht="25" customHeight="1">
      <c r="A32" s="52">
        <v>46127</v>
      </c>
      <c r="B32" s="53" t="s">
        <v>700</v>
      </c>
      <c r="C32" s="53" t="s">
        <v>678</v>
      </c>
      <c r="D32" s="54">
        <v>0.58333333333333337</v>
      </c>
      <c r="E32" s="54">
        <v>0.91666666666666663</v>
      </c>
      <c r="F32" s="53">
        <v>1</v>
      </c>
      <c r="G32" s="53">
        <v>1</v>
      </c>
      <c r="H32" s="55">
        <f>tbl_MacGyverWeld[[#This Row],[Qty Complete]]/tbl_MacGyverWeld[[#This Row],[Qty Required]]</f>
        <v>1</v>
      </c>
      <c r="I32" s="56">
        <v>0.1</v>
      </c>
      <c r="J32" s="53">
        <v>2</v>
      </c>
      <c r="K32" s="57">
        <f>IFERROR(tbl_MacGyverWeld[[#This Row],[Qty Required]]/tbl_MacGyverWeld[[#This Row],[PPH]]*tbl_MacGyverWeld[[#This Row],['# of men]],"")</f>
        <v>20</v>
      </c>
      <c r="L32" s="58">
        <f>tbl_MacGyverWeld[[#This Row],[Total hours]]*tbl_MacGyverWeld[[#This Row],[% Complete]]</f>
        <v>20</v>
      </c>
      <c r="M32" s="59">
        <f>IFERROR(tbl_MacGyverWeld[[#This Row],[Qty Complete]]/tbl_MacGyverWeld[[#This Row],[Total Hours Act]]*tbl_MacGyverWeld[[#This Row],['# of men Act]],"")</f>
        <v>0.12500000000000003</v>
      </c>
      <c r="N32" s="53">
        <v>2</v>
      </c>
      <c r="O32"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15.999999999999996</v>
      </c>
      <c r="R32" s="71">
        <f>IFERROR((tbl_MacGyverWeld[[#This Row],[Adj. Total Hours]]+tbl_MacGyverWeld[[#This Row],[Est. Hours]])/(tbl_MacGyverWeld[[#This Row],[Total Hours Act]]+tbl_MacGyverWeld[[#This Row],[Act. Hours]]),"")</f>
        <v>1.2500000000000002</v>
      </c>
      <c r="S32" s="63"/>
      <c r="T32" s="63" t="s">
        <v>703</v>
      </c>
      <c r="U32" s="63" t="s">
        <v>704</v>
      </c>
      <c r="V32" s="63" t="s">
        <v>628</v>
      </c>
      <c r="W32" s="63"/>
      <c r="X32" s="63"/>
    </row>
    <row r="33" spans="1:24" ht="25" customHeight="1">
      <c r="A33" s="52">
        <v>46127</v>
      </c>
      <c r="B33" s="53" t="s">
        <v>700</v>
      </c>
      <c r="C33" s="53" t="s">
        <v>678</v>
      </c>
      <c r="D33" s="54">
        <v>0.25694444444444442</v>
      </c>
      <c r="E33" s="54">
        <v>0.61458333333333337</v>
      </c>
      <c r="F33" s="53">
        <v>1</v>
      </c>
      <c r="G33" s="53">
        <v>1</v>
      </c>
      <c r="H33" s="55">
        <f>tbl_MacGyverWeld[[#This Row],[Qty Complete]]/tbl_MacGyverWeld[[#This Row],[Qty Required]]</f>
        <v>1</v>
      </c>
      <c r="I33" s="56">
        <v>0.1</v>
      </c>
      <c r="J33" s="53">
        <v>2</v>
      </c>
      <c r="K33" s="57">
        <f>IFERROR(tbl_MacGyverWeld[[#This Row],[Qty Required]]/tbl_MacGyverWeld[[#This Row],[PPH]]*tbl_MacGyverWeld[[#This Row],['# of men]],"")</f>
        <v>20</v>
      </c>
      <c r="L33" s="58">
        <f>tbl_MacGyverWeld[[#This Row],[Total hours]]*tbl_MacGyverWeld[[#This Row],[% Complete]]</f>
        <v>20</v>
      </c>
      <c r="M33" s="59">
        <f>IFERROR(tbl_MacGyverWeld[[#This Row],[Qty Complete]]/tbl_MacGyverWeld[[#This Row],[Total Hours Act]]*tbl_MacGyverWeld[[#This Row],['# of men Act]],"")</f>
        <v>0.12371134020618553</v>
      </c>
      <c r="N33" s="53">
        <v>2</v>
      </c>
      <c r="O33"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16.166666666666671</v>
      </c>
      <c r="R33" s="71">
        <f>IFERROR((tbl_MacGyverWeld[[#This Row],[Adj. Total Hours]]+tbl_MacGyverWeld[[#This Row],[Est. Hours]])/(tbl_MacGyverWeld[[#This Row],[Total Hours Act]]+tbl_MacGyverWeld[[#This Row],[Act. Hours]]),"")</f>
        <v>1.2371134020618553</v>
      </c>
      <c r="S33" s="63"/>
      <c r="T33" s="63" t="s">
        <v>705</v>
      </c>
      <c r="U33" s="63" t="s">
        <v>706</v>
      </c>
      <c r="V33" s="63" t="s">
        <v>707</v>
      </c>
      <c r="W33" s="63"/>
      <c r="X33" s="63"/>
    </row>
    <row r="34" spans="1:24" ht="25" customHeight="1">
      <c r="A34" s="52">
        <v>46127</v>
      </c>
      <c r="B34" s="53" t="s">
        <v>684</v>
      </c>
      <c r="C34" s="53" t="s">
        <v>708</v>
      </c>
      <c r="D34" s="54">
        <v>0.25694444444444442</v>
      </c>
      <c r="E34" s="54">
        <v>0.61111111111111116</v>
      </c>
      <c r="F34" s="53">
        <v>1</v>
      </c>
      <c r="G34" s="53">
        <v>1</v>
      </c>
      <c r="H34" s="55">
        <f>tbl_MacGyverWeld[[#This Row],[Qty Complete]]/tbl_MacGyverWeld[[#This Row],[Qty Required]]</f>
        <v>1</v>
      </c>
      <c r="I34" s="56">
        <v>0.1</v>
      </c>
      <c r="J34" s="53">
        <v>2</v>
      </c>
      <c r="K34" s="57">
        <f>IFERROR(tbl_MacGyverWeld[[#This Row],[Qty Required]]/tbl_MacGyverWeld[[#This Row],[PPH]]*tbl_MacGyverWeld[[#This Row],['# of men]],"")</f>
        <v>20</v>
      </c>
      <c r="L34" s="58">
        <f>tbl_MacGyverWeld[[#This Row],[Total hours]]*tbl_MacGyverWeld[[#This Row],[% Complete]]</f>
        <v>20</v>
      </c>
      <c r="M34" s="59">
        <f>IFERROR(tbl_MacGyverWeld[[#This Row],[Qty Complete]]/tbl_MacGyverWeld[[#This Row],[Total Hours Act]]*tbl_MacGyverWeld[[#This Row],['# of men Act]],"")</f>
        <v>0.12499999999999997</v>
      </c>
      <c r="N34" s="53">
        <v>2</v>
      </c>
      <c r="O34"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16.000000000000004</v>
      </c>
      <c r="R34" s="71">
        <f>IFERROR((tbl_MacGyverWeld[[#This Row],[Adj. Total Hours]]+tbl_MacGyverWeld[[#This Row],[Est. Hours]])/(tbl_MacGyverWeld[[#This Row],[Total Hours Act]]+tbl_MacGyverWeld[[#This Row],[Act. Hours]]),"")</f>
        <v>1.2499999999999998</v>
      </c>
      <c r="S34" s="63"/>
      <c r="T34" s="63" t="s">
        <v>709</v>
      </c>
      <c r="U34" s="63" t="s">
        <v>686</v>
      </c>
      <c r="V34" s="63" t="s">
        <v>687</v>
      </c>
      <c r="W34" s="63"/>
      <c r="X34" s="63"/>
    </row>
    <row r="35" spans="1:24" ht="25" customHeight="1">
      <c r="A35" s="52">
        <v>46129</v>
      </c>
      <c r="B35" s="53" t="s">
        <v>745</v>
      </c>
      <c r="C35" s="53" t="s">
        <v>635</v>
      </c>
      <c r="D35" s="54">
        <v>0.70833333333333337</v>
      </c>
      <c r="E35" s="54">
        <v>0.29166666666666669</v>
      </c>
      <c r="F35" s="53">
        <v>1</v>
      </c>
      <c r="G35" s="53">
        <v>1</v>
      </c>
      <c r="H35" s="55">
        <f>tbl_MacGyverWeld[[#This Row],[Qty Complete]]/tbl_MacGyverWeld[[#This Row],[Qty Required]]</f>
        <v>1</v>
      </c>
      <c r="I35" s="56">
        <v>0.1</v>
      </c>
      <c r="J35" s="53">
        <v>2</v>
      </c>
      <c r="K35" s="57">
        <f>IFERROR(tbl_MacGyverWeld[[#This Row],[Qty Required]]/tbl_MacGyverWeld[[#This Row],[PPH]]*tbl_MacGyverWeld[[#This Row],['# of men]],"")</f>
        <v>20</v>
      </c>
      <c r="L35" s="58">
        <f>tbl_MacGyverWeld[[#This Row],[Total hours]]*tbl_MacGyverWeld[[#This Row],[% Complete]]</f>
        <v>20</v>
      </c>
      <c r="M35" s="59">
        <f>IFERROR(tbl_MacGyverWeld[[#This Row],[Qty Complete]]/tbl_MacGyverWeld[[#This Row],[Total Hours Act]]*tbl_MacGyverWeld[[#This Row],['# of men Act]],"")</f>
        <v>7.4074074074074084E-2</v>
      </c>
      <c r="N35" s="53">
        <v>2</v>
      </c>
      <c r="O35"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26.999999999999996</v>
      </c>
      <c r="R35" s="71">
        <f>IFERROR((tbl_MacGyverWeld[[#This Row],[Adj. Total Hours]]+tbl_MacGyverWeld[[#This Row],[Est. Hours]])/(tbl_MacGyverWeld[[#This Row],[Total Hours Act]]+tbl_MacGyverWeld[[#This Row],[Act. Hours]]),"")</f>
        <v>0.74074074074074081</v>
      </c>
      <c r="S35" s="63" t="s">
        <v>746</v>
      </c>
      <c r="T35" s="63" t="s">
        <v>747</v>
      </c>
      <c r="U35" s="63" t="s">
        <v>748</v>
      </c>
      <c r="V35" s="63" t="s">
        <v>645</v>
      </c>
      <c r="W35" s="63" t="s">
        <v>749</v>
      </c>
      <c r="X35" s="63"/>
    </row>
    <row r="36" spans="1:24" ht="25" customHeight="1">
      <c r="A36" s="52">
        <v>46129</v>
      </c>
      <c r="B36" s="53" t="s">
        <v>754</v>
      </c>
      <c r="C36" s="53" t="s">
        <v>625</v>
      </c>
      <c r="D36" s="54">
        <v>0.80208333333333337</v>
      </c>
      <c r="E36" s="54">
        <v>0.40625</v>
      </c>
      <c r="F36" s="53">
        <v>1</v>
      </c>
      <c r="G36" s="53">
        <v>1</v>
      </c>
      <c r="H36" s="55">
        <f>tbl_MacGyverWeld[[#This Row],[Qty Complete]]/tbl_MacGyverWeld[[#This Row],[Qty Required]]</f>
        <v>1</v>
      </c>
      <c r="I36" s="56">
        <v>0.1</v>
      </c>
      <c r="J36" s="53">
        <v>2</v>
      </c>
      <c r="K36" s="57">
        <f>IFERROR(tbl_MacGyverWeld[[#This Row],[Qty Required]]/tbl_MacGyverWeld[[#This Row],[PPH]]*tbl_MacGyverWeld[[#This Row],['# of men]],"")</f>
        <v>20</v>
      </c>
      <c r="L36" s="58">
        <f>tbl_MacGyverWeld[[#This Row],[Total hours]]*tbl_MacGyverWeld[[#This Row],[% Complete]]</f>
        <v>20</v>
      </c>
      <c r="M36" s="59">
        <f>IFERROR(tbl_MacGyverWeld[[#This Row],[Qty Complete]]/tbl_MacGyverWeld[[#This Row],[Total Hours Act]]*tbl_MacGyverWeld[[#This Row],['# of men Act]],"")</f>
        <v>7.1428571428571425E-2</v>
      </c>
      <c r="N36" s="53">
        <v>2</v>
      </c>
      <c r="O36"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28</v>
      </c>
      <c r="R36" s="71">
        <f>IFERROR((tbl_MacGyverWeld[[#This Row],[Adj. Total Hours]]+tbl_MacGyverWeld[[#This Row],[Est. Hours]])/(tbl_MacGyverWeld[[#This Row],[Total Hours Act]]+tbl_MacGyverWeld[[#This Row],[Act. Hours]]),"")</f>
        <v>0.7142857142857143</v>
      </c>
      <c r="S36" s="63" t="s">
        <v>755</v>
      </c>
      <c r="T36" s="63" t="s">
        <v>756</v>
      </c>
      <c r="U36" s="63" t="s">
        <v>760</v>
      </c>
      <c r="V36" s="63" t="s">
        <v>757</v>
      </c>
      <c r="W36" s="63" t="s">
        <v>758</v>
      </c>
      <c r="X36" s="63"/>
    </row>
    <row r="37" spans="1:24" ht="25" customHeight="1">
      <c r="A37" s="52">
        <v>46129</v>
      </c>
      <c r="B37" s="53" t="s">
        <v>745</v>
      </c>
      <c r="C37" s="53" t="s">
        <v>635</v>
      </c>
      <c r="D37" s="54">
        <v>0.95833333333333337</v>
      </c>
      <c r="E37" s="54">
        <v>0.41666666666666669</v>
      </c>
      <c r="F37" s="53">
        <v>1</v>
      </c>
      <c r="G37" s="53">
        <v>1</v>
      </c>
      <c r="H37" s="55">
        <f>tbl_MacGyverWeld[[#This Row],[Qty Complete]]/tbl_MacGyverWeld[[#This Row],[Qty Required]]</f>
        <v>1</v>
      </c>
      <c r="I37" s="56">
        <v>0.1</v>
      </c>
      <c r="J37" s="53">
        <v>2</v>
      </c>
      <c r="K37" s="57">
        <f>IFERROR(tbl_MacGyverWeld[[#This Row],[Qty Required]]/tbl_MacGyverWeld[[#This Row],[PPH]]*tbl_MacGyverWeld[[#This Row],['# of men]],"")</f>
        <v>20</v>
      </c>
      <c r="L37" s="58">
        <f>tbl_MacGyverWeld[[#This Row],[Total hours]]*tbl_MacGyverWeld[[#This Row],[% Complete]]</f>
        <v>20</v>
      </c>
      <c r="M37" s="59">
        <f>IFERROR(tbl_MacGyverWeld[[#This Row],[Qty Complete]]/tbl_MacGyverWeld[[#This Row],[Total Hours Act]]*tbl_MacGyverWeld[[#This Row],['# of men Act]],"")</f>
        <v>9.5238095238095261E-2</v>
      </c>
      <c r="N37" s="53">
        <v>2</v>
      </c>
      <c r="O37"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20.999999999999996</v>
      </c>
      <c r="R37" s="71">
        <f>IFERROR((tbl_MacGyverWeld[[#This Row],[Adj. Total Hours]]+tbl_MacGyverWeld[[#This Row],[Est. Hours]])/(tbl_MacGyverWeld[[#This Row],[Total Hours Act]]+tbl_MacGyverWeld[[#This Row],[Act. Hours]]),"")</f>
        <v>0.95238095238095255</v>
      </c>
      <c r="S37" s="63"/>
      <c r="T37" s="63" t="s">
        <v>759</v>
      </c>
      <c r="U37" s="63" t="s">
        <v>761</v>
      </c>
      <c r="V37" s="63" t="s">
        <v>762</v>
      </c>
      <c r="W37" s="63" t="s">
        <v>646</v>
      </c>
      <c r="X37" s="63" t="s">
        <v>763</v>
      </c>
    </row>
    <row r="38" spans="1:24" ht="25" customHeight="1">
      <c r="A38" s="52">
        <v>46129</v>
      </c>
      <c r="B38" s="53" t="s">
        <v>773</v>
      </c>
      <c r="C38" s="53" t="s">
        <v>625</v>
      </c>
      <c r="D38" s="54">
        <v>0.375</v>
      </c>
      <c r="E38" s="54">
        <v>0.6875</v>
      </c>
      <c r="F38" s="53">
        <v>1</v>
      </c>
      <c r="G38" s="53">
        <v>1</v>
      </c>
      <c r="H38" s="55">
        <f>tbl_MacGyverWeld[[#This Row],[Qty Complete]]/tbl_MacGyverWeld[[#This Row],[Qty Required]]</f>
        <v>1</v>
      </c>
      <c r="I38" s="56">
        <v>0.1</v>
      </c>
      <c r="J38" s="53">
        <v>2</v>
      </c>
      <c r="K38" s="57">
        <f>IFERROR(tbl_MacGyverWeld[[#This Row],[Qty Required]]/tbl_MacGyverWeld[[#This Row],[PPH]]*tbl_MacGyverWeld[[#This Row],['# of men]],"")</f>
        <v>20</v>
      </c>
      <c r="L38" s="58">
        <f>tbl_MacGyverWeld[[#This Row],[Total hours]]*tbl_MacGyverWeld[[#This Row],[% Complete]]</f>
        <v>20</v>
      </c>
      <c r="M38" s="59">
        <f>IFERROR(tbl_MacGyverWeld[[#This Row],[Qty Complete]]/tbl_MacGyverWeld[[#This Row],[Total Hours Act]]*tbl_MacGyverWeld[[#This Row],['# of men Act]],"")</f>
        <v>0.14285714285714285</v>
      </c>
      <c r="N38" s="53">
        <v>3</v>
      </c>
      <c r="O38"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21</v>
      </c>
      <c r="R38" s="71">
        <f>IFERROR((tbl_MacGyverWeld[[#This Row],[Adj. Total Hours]]+tbl_MacGyverWeld[[#This Row],[Est. Hours]])/(tbl_MacGyverWeld[[#This Row],[Total Hours Act]]+tbl_MacGyverWeld[[#This Row],[Act. Hours]]),"")</f>
        <v>0.95238095238095233</v>
      </c>
      <c r="S38" s="63"/>
      <c r="T38" s="63" t="s">
        <v>774</v>
      </c>
      <c r="U38" s="63" t="s">
        <v>645</v>
      </c>
      <c r="V38" s="63" t="s">
        <v>775</v>
      </c>
      <c r="W38" s="63" t="s">
        <v>687</v>
      </c>
      <c r="X38" s="63"/>
    </row>
    <row r="39" spans="1:24" ht="25" customHeight="1">
      <c r="A39" s="52">
        <v>46130</v>
      </c>
      <c r="B39" s="53" t="s">
        <v>754</v>
      </c>
      <c r="C39" s="53" t="s">
        <v>625</v>
      </c>
      <c r="D39" s="54">
        <v>0.45833333333333331</v>
      </c>
      <c r="E39" s="54">
        <v>0.9375</v>
      </c>
      <c r="F39" s="53">
        <v>1</v>
      </c>
      <c r="G39" s="53">
        <v>1</v>
      </c>
      <c r="H39" s="55">
        <f>tbl_MacGyverWeld[[#This Row],[Qty Complete]]/tbl_MacGyverWeld[[#This Row],[Qty Required]]</f>
        <v>1</v>
      </c>
      <c r="I39" s="56">
        <v>0.1</v>
      </c>
      <c r="J39" s="53">
        <v>2</v>
      </c>
      <c r="K39" s="57">
        <f>IFERROR(tbl_MacGyverWeld[[#This Row],[Qty Required]]/tbl_MacGyverWeld[[#This Row],[PPH]]*tbl_MacGyverWeld[[#This Row],['# of men]],"")</f>
        <v>20</v>
      </c>
      <c r="L39" s="58">
        <f>tbl_MacGyverWeld[[#This Row],[Total hours]]*tbl_MacGyverWeld[[#This Row],[% Complete]]</f>
        <v>20</v>
      </c>
      <c r="M39" s="59">
        <f>IFERROR(tbl_MacGyverWeld[[#This Row],[Qty Complete]]/tbl_MacGyverWeld[[#This Row],[Total Hours Act]]*tbl_MacGyverWeld[[#This Row],['# of men Act]],"")</f>
        <v>9.0909090909090912E-2</v>
      </c>
      <c r="N39" s="53">
        <v>2</v>
      </c>
      <c r="O39"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22</v>
      </c>
      <c r="R39" s="71">
        <f>IFERROR((tbl_MacGyverWeld[[#This Row],[Adj. Total Hours]]+tbl_MacGyverWeld[[#This Row],[Est. Hours]])/(tbl_MacGyverWeld[[#This Row],[Total Hours Act]]+tbl_MacGyverWeld[[#This Row],[Act. Hours]]),"")</f>
        <v>0.90909090909090906</v>
      </c>
      <c r="S39" s="63"/>
      <c r="T39" s="63" t="s">
        <v>806</v>
      </c>
      <c r="U39" s="63" t="s">
        <v>646</v>
      </c>
      <c r="V39" s="63" t="s">
        <v>707</v>
      </c>
      <c r="W39" s="63"/>
      <c r="X39" s="63"/>
    </row>
    <row r="40" spans="1:24" ht="25" customHeight="1">
      <c r="A40" s="52">
        <v>46130</v>
      </c>
      <c r="B40" s="53" t="s">
        <v>807</v>
      </c>
      <c r="C40" s="53" t="s">
        <v>620</v>
      </c>
      <c r="D40" s="54">
        <v>0.20833333333333334</v>
      </c>
      <c r="E40" s="54">
        <v>0.46875</v>
      </c>
      <c r="F40" s="53">
        <v>1</v>
      </c>
      <c r="G40" s="53">
        <v>1</v>
      </c>
      <c r="H40" s="55">
        <f>tbl_MacGyverWeld[[#This Row],[Qty Complete]]/tbl_MacGyverWeld[[#This Row],[Qty Required]]</f>
        <v>1</v>
      </c>
      <c r="I40" s="56">
        <v>0.125</v>
      </c>
      <c r="J40" s="53">
        <v>2</v>
      </c>
      <c r="K40" s="57">
        <f>IFERROR(tbl_MacGyverWeld[[#This Row],[Qty Required]]/tbl_MacGyverWeld[[#This Row],[PPH]]*tbl_MacGyverWeld[[#This Row],['# of men]],"")</f>
        <v>16</v>
      </c>
      <c r="L40" s="58">
        <f>tbl_MacGyverWeld[[#This Row],[Total hours]]*tbl_MacGyverWeld[[#This Row],[% Complete]]</f>
        <v>16</v>
      </c>
      <c r="M40" s="59">
        <f>IFERROR(tbl_MacGyverWeld[[#This Row],[Qty Complete]]/tbl_MacGyverWeld[[#This Row],[Total Hours Act]]*tbl_MacGyverWeld[[#This Row],['# of men Act]],"")</f>
        <v>0.16000000000000003</v>
      </c>
      <c r="N40" s="53">
        <v>2</v>
      </c>
      <c r="O40"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12.499999999999998</v>
      </c>
      <c r="R40" s="71">
        <f>IFERROR((tbl_MacGyverWeld[[#This Row],[Adj. Total Hours]]+tbl_MacGyverWeld[[#This Row],[Est. Hours]])/(tbl_MacGyverWeld[[#This Row],[Total Hours Act]]+tbl_MacGyverWeld[[#This Row],[Act. Hours]]),"")</f>
        <v>1.2800000000000002</v>
      </c>
      <c r="S40" s="63"/>
      <c r="T40" s="63" t="s">
        <v>808</v>
      </c>
      <c r="U40" s="63" t="s">
        <v>695</v>
      </c>
      <c r="V40" s="63" t="s">
        <v>687</v>
      </c>
      <c r="W40" s="63"/>
      <c r="X40" s="63"/>
    </row>
    <row r="41" spans="1:24" ht="25" customHeight="1">
      <c r="F41" s="53"/>
      <c r="H41" s="55" t="e">
        <f>tbl_MacGyverWeld[[#This Row],[Qty Complete]]/tbl_MacGyverWeld[[#This Row],[Qty Required]]</f>
        <v>#DIV/0!</v>
      </c>
      <c r="K41" s="57" t="str">
        <f>IFERROR(tbl_MacGyverWeld[[#This Row],[Qty Required]]/tbl_MacGyverWeld[[#This Row],[PPH]]*tbl_MacGyverWeld[[#This Row],['# of men]],"")</f>
        <v/>
      </c>
      <c r="L41" s="58" t="e">
        <f>tbl_MacGyverWeld[[#This Row],[Total hours]]*tbl_MacGyverWeld[[#This Row],[% Complete]]</f>
        <v>#VALUE!</v>
      </c>
      <c r="M41" s="59" t="str">
        <f>IFERROR(tbl_MacGyverWeld[[#This Row],[Qty Complete]]/tbl_MacGyverWeld[[#This Row],[Total Hours Act]]*tbl_MacGyverWeld[[#This Row],['# of men Act]],"")</f>
        <v/>
      </c>
      <c r="O41"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41" s="71" t="str">
        <f>IFERROR((tbl_MacGyverWeld[[#This Row],[Adj. Total Hours]]+tbl_MacGyverWeld[[#This Row],[Est. Hours]])/(tbl_MacGyverWeld[[#This Row],[Total Hours Act]]+tbl_MacGyverWeld[[#This Row],[Act. Hours]]),"")</f>
        <v/>
      </c>
      <c r="S41" s="63"/>
      <c r="T41" s="63"/>
      <c r="U41" s="63"/>
      <c r="V41" s="63"/>
      <c r="W41" s="63"/>
      <c r="X41" s="63"/>
    </row>
    <row r="42" spans="1:24" ht="25" customHeight="1">
      <c r="F42" s="53"/>
      <c r="H42" s="55" t="e">
        <f>tbl_MacGyverWeld[[#This Row],[Qty Complete]]/tbl_MacGyverWeld[[#This Row],[Qty Required]]</f>
        <v>#DIV/0!</v>
      </c>
      <c r="K42" s="57" t="str">
        <f>IFERROR(tbl_MacGyverWeld[[#This Row],[Qty Required]]/tbl_MacGyverWeld[[#This Row],[PPH]]*tbl_MacGyverWeld[[#This Row],['# of men]],"")</f>
        <v/>
      </c>
      <c r="L42" s="58" t="e">
        <f>tbl_MacGyverWeld[[#This Row],[Total hours]]*tbl_MacGyverWeld[[#This Row],[% Complete]]</f>
        <v>#VALUE!</v>
      </c>
      <c r="M42" s="59" t="str">
        <f>IFERROR(tbl_MacGyverWeld[[#This Row],[Qty Complete]]/tbl_MacGyverWeld[[#This Row],[Total Hours Act]]*tbl_MacGyverWeld[[#This Row],['# of men Act]],"")</f>
        <v/>
      </c>
      <c r="O42"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42" s="71" t="str">
        <f>IFERROR((tbl_MacGyverWeld[[#This Row],[Adj. Total Hours]]+tbl_MacGyverWeld[[#This Row],[Est. Hours]])/(tbl_MacGyverWeld[[#This Row],[Total Hours Act]]+tbl_MacGyverWeld[[#This Row],[Act. Hours]]),"")</f>
        <v/>
      </c>
      <c r="S42" s="63"/>
      <c r="T42" s="63"/>
      <c r="U42" s="63"/>
      <c r="V42" s="63"/>
      <c r="W42" s="63"/>
      <c r="X42" s="63"/>
    </row>
    <row r="43" spans="1:24" ht="25" customHeight="1">
      <c r="F43" s="53"/>
      <c r="H43" s="55" t="e">
        <f>tbl_MacGyverWeld[[#This Row],[Qty Complete]]/tbl_MacGyverWeld[[#This Row],[Qty Required]]</f>
        <v>#DIV/0!</v>
      </c>
      <c r="K43" s="57" t="str">
        <f>IFERROR(tbl_MacGyverWeld[[#This Row],[Qty Required]]/tbl_MacGyverWeld[[#This Row],[PPH]]*tbl_MacGyverWeld[[#This Row],['# of men]],"")</f>
        <v/>
      </c>
      <c r="L43" s="58" t="e">
        <f>tbl_MacGyverWeld[[#This Row],[Total hours]]*tbl_MacGyverWeld[[#This Row],[% Complete]]</f>
        <v>#VALUE!</v>
      </c>
      <c r="M43" s="59" t="str">
        <f>IFERROR(tbl_MacGyverWeld[[#This Row],[Qty Complete]]/tbl_MacGyverWeld[[#This Row],[Total Hours Act]]*tbl_MacGyverWeld[[#This Row],['# of men Act]],"")</f>
        <v/>
      </c>
      <c r="O43"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43" s="71" t="str">
        <f>IFERROR((tbl_MacGyverWeld[[#This Row],[Adj. Total Hours]]+tbl_MacGyverWeld[[#This Row],[Est. Hours]])/(tbl_MacGyverWeld[[#This Row],[Total Hours Act]]+tbl_MacGyverWeld[[#This Row],[Act. Hours]]),"")</f>
        <v/>
      </c>
      <c r="S43" s="63"/>
      <c r="T43" s="63"/>
      <c r="U43" s="63"/>
      <c r="V43" s="63"/>
      <c r="W43" s="63"/>
      <c r="X43" s="63"/>
    </row>
    <row r="44" spans="1:24" ht="25" customHeight="1">
      <c r="F44" s="53"/>
      <c r="H44" s="55" t="e">
        <f>tbl_MacGyverWeld[[#This Row],[Qty Complete]]/tbl_MacGyverWeld[[#This Row],[Qty Required]]</f>
        <v>#DIV/0!</v>
      </c>
      <c r="K44" s="57" t="str">
        <f>IFERROR(tbl_MacGyverWeld[[#This Row],[Qty Required]]/tbl_MacGyverWeld[[#This Row],[PPH]]*tbl_MacGyverWeld[[#This Row],['# of men]],"")</f>
        <v/>
      </c>
      <c r="L44" s="58" t="e">
        <f>tbl_MacGyverWeld[[#This Row],[Total hours]]*tbl_MacGyverWeld[[#This Row],[% Complete]]</f>
        <v>#VALUE!</v>
      </c>
      <c r="M44" s="59" t="str">
        <f>IFERROR(tbl_MacGyverWeld[[#This Row],[Qty Complete]]/tbl_MacGyverWeld[[#This Row],[Total Hours Act]]*tbl_MacGyverWeld[[#This Row],['# of men Act]],"")</f>
        <v/>
      </c>
      <c r="O44"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44" s="71" t="str">
        <f>IFERROR((tbl_MacGyverWeld[[#This Row],[Adj. Total Hours]]+tbl_MacGyverWeld[[#This Row],[Est. Hours]])/(tbl_MacGyverWeld[[#This Row],[Total Hours Act]]+tbl_MacGyverWeld[[#This Row],[Act. Hours]]),"")</f>
        <v/>
      </c>
      <c r="S44" s="63"/>
      <c r="T44" s="63"/>
      <c r="U44" s="63"/>
      <c r="V44" s="63"/>
      <c r="W44" s="63"/>
      <c r="X44" s="63"/>
    </row>
    <row r="45" spans="1:24" ht="25" customHeight="1">
      <c r="F45" s="53"/>
      <c r="H45" s="55" t="e">
        <f>tbl_MacGyverWeld[[#This Row],[Qty Complete]]/tbl_MacGyverWeld[[#This Row],[Qty Required]]</f>
        <v>#DIV/0!</v>
      </c>
      <c r="K45" s="57" t="str">
        <f>IFERROR(tbl_MacGyverWeld[[#This Row],[Qty Required]]/tbl_MacGyverWeld[[#This Row],[PPH]]*tbl_MacGyverWeld[[#This Row],['# of men]],"")</f>
        <v/>
      </c>
      <c r="L45" s="58" t="e">
        <f>tbl_MacGyverWeld[[#This Row],[Total hours]]*tbl_MacGyverWeld[[#This Row],[% Complete]]</f>
        <v>#VALUE!</v>
      </c>
      <c r="M45" s="59" t="str">
        <f>IFERROR(tbl_MacGyverWeld[[#This Row],[Qty Complete]]/tbl_MacGyverWeld[[#This Row],[Total Hours Act]]*tbl_MacGyverWeld[[#This Row],['# of men Act]],"")</f>
        <v/>
      </c>
      <c r="O45"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45" s="71" t="str">
        <f>IFERROR((tbl_MacGyverWeld[[#This Row],[Adj. Total Hours]]+tbl_MacGyverWeld[[#This Row],[Est. Hours]])/(tbl_MacGyverWeld[[#This Row],[Total Hours Act]]+tbl_MacGyverWeld[[#This Row],[Act. Hours]]),"")</f>
        <v/>
      </c>
      <c r="S45" s="63"/>
      <c r="T45" s="63"/>
      <c r="U45" s="63"/>
      <c r="V45" s="63"/>
      <c r="W45" s="63"/>
      <c r="X45" s="63"/>
    </row>
    <row r="46" spans="1:24" ht="25" customHeight="1">
      <c r="F46" s="53"/>
      <c r="H46" s="55" t="e">
        <f>tbl_MacGyverWeld[[#This Row],[Qty Complete]]/tbl_MacGyverWeld[[#This Row],[Qty Required]]</f>
        <v>#DIV/0!</v>
      </c>
      <c r="K46" s="57" t="str">
        <f>IFERROR(tbl_MacGyverWeld[[#This Row],[Qty Required]]/tbl_MacGyverWeld[[#This Row],[PPH]]*tbl_MacGyverWeld[[#This Row],['# of men]],"")</f>
        <v/>
      </c>
      <c r="L46" s="58" t="e">
        <f>tbl_MacGyverWeld[[#This Row],[Total hours]]*tbl_MacGyverWeld[[#This Row],[% Complete]]</f>
        <v>#VALUE!</v>
      </c>
      <c r="M46" s="59" t="str">
        <f>IFERROR(tbl_MacGyverWeld[[#This Row],[Qty Complete]]/tbl_MacGyverWeld[[#This Row],[Total Hours Act]]*tbl_MacGyverWeld[[#This Row],['# of men Act]],"")</f>
        <v/>
      </c>
      <c r="O46"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46" s="71" t="str">
        <f>IFERROR((tbl_MacGyverWeld[[#This Row],[Adj. Total Hours]]+tbl_MacGyverWeld[[#This Row],[Est. Hours]])/(tbl_MacGyverWeld[[#This Row],[Total Hours Act]]+tbl_MacGyverWeld[[#This Row],[Act. Hours]]),"")</f>
        <v/>
      </c>
      <c r="S46" s="63"/>
      <c r="T46" s="63"/>
      <c r="U46" s="63"/>
      <c r="V46" s="63"/>
      <c r="W46" s="63"/>
      <c r="X46" s="63"/>
    </row>
    <row r="47" spans="1:24" ht="25" customHeight="1">
      <c r="F47" s="53"/>
      <c r="H47" s="55" t="e">
        <f>tbl_MacGyverWeld[[#This Row],[Qty Complete]]/tbl_MacGyverWeld[[#This Row],[Qty Required]]</f>
        <v>#DIV/0!</v>
      </c>
      <c r="K47" s="57" t="str">
        <f>IFERROR(tbl_MacGyverWeld[[#This Row],[Qty Required]]/tbl_MacGyverWeld[[#This Row],[PPH]]*tbl_MacGyverWeld[[#This Row],['# of men]],"")</f>
        <v/>
      </c>
      <c r="L47" s="58" t="e">
        <f>tbl_MacGyverWeld[[#This Row],[Total hours]]*tbl_MacGyverWeld[[#This Row],[% Complete]]</f>
        <v>#VALUE!</v>
      </c>
      <c r="M47" s="59" t="str">
        <f>IFERROR(tbl_MacGyverWeld[[#This Row],[Qty Complete]]/tbl_MacGyverWeld[[#This Row],[Total Hours Act]]*tbl_MacGyverWeld[[#This Row],['# of men Act]],"")</f>
        <v/>
      </c>
      <c r="O47"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47" s="71" t="str">
        <f>IFERROR((tbl_MacGyverWeld[[#This Row],[Adj. Total Hours]]+tbl_MacGyverWeld[[#This Row],[Est. Hours]])/(tbl_MacGyverWeld[[#This Row],[Total Hours Act]]+tbl_MacGyverWeld[[#This Row],[Act. Hours]]),"")</f>
        <v/>
      </c>
      <c r="S47" s="63"/>
      <c r="T47" s="63"/>
      <c r="U47" s="63"/>
      <c r="V47" s="63"/>
      <c r="W47" s="63"/>
      <c r="X47" s="63"/>
    </row>
    <row r="48" spans="1:24" ht="25" customHeight="1">
      <c r="F48" s="53"/>
      <c r="H48" s="55" t="e">
        <f>tbl_MacGyverWeld[[#This Row],[Qty Complete]]/tbl_MacGyverWeld[[#This Row],[Qty Required]]</f>
        <v>#DIV/0!</v>
      </c>
      <c r="K48" s="57" t="str">
        <f>IFERROR(tbl_MacGyverWeld[[#This Row],[Qty Required]]/tbl_MacGyverWeld[[#This Row],[PPH]]*tbl_MacGyverWeld[[#This Row],['# of men]],"")</f>
        <v/>
      </c>
      <c r="L48" s="58" t="e">
        <f>tbl_MacGyverWeld[[#This Row],[Total hours]]*tbl_MacGyverWeld[[#This Row],[% Complete]]</f>
        <v>#VALUE!</v>
      </c>
      <c r="M48" s="59" t="str">
        <f>IFERROR(tbl_MacGyverWeld[[#This Row],[Qty Complete]]/tbl_MacGyverWeld[[#This Row],[Total Hours Act]]*tbl_MacGyverWeld[[#This Row],['# of men Act]],"")</f>
        <v/>
      </c>
      <c r="O48"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48" s="71" t="str">
        <f>IFERROR((tbl_MacGyverWeld[[#This Row],[Adj. Total Hours]]+tbl_MacGyverWeld[[#This Row],[Est. Hours]])/(tbl_MacGyverWeld[[#This Row],[Total Hours Act]]+tbl_MacGyverWeld[[#This Row],[Act. Hours]]),"")</f>
        <v/>
      </c>
      <c r="S48" s="63"/>
      <c r="T48" s="63"/>
      <c r="U48" s="63"/>
      <c r="V48" s="63"/>
      <c r="W48" s="63"/>
      <c r="X48" s="63"/>
    </row>
    <row r="49" spans="6:24" ht="25" customHeight="1">
      <c r="F49" s="53"/>
      <c r="H49" s="55" t="e">
        <f>tbl_MacGyverWeld[[#This Row],[Qty Complete]]/tbl_MacGyverWeld[[#This Row],[Qty Required]]</f>
        <v>#DIV/0!</v>
      </c>
      <c r="K49" s="57" t="str">
        <f>IFERROR(tbl_MacGyverWeld[[#This Row],[Qty Required]]/tbl_MacGyverWeld[[#This Row],[PPH]]*tbl_MacGyverWeld[[#This Row],['# of men]],"")</f>
        <v/>
      </c>
      <c r="L49" s="58" t="e">
        <f>tbl_MacGyverWeld[[#This Row],[Total hours]]*tbl_MacGyverWeld[[#This Row],[% Complete]]</f>
        <v>#VALUE!</v>
      </c>
      <c r="M49" s="59" t="str">
        <f>IFERROR(tbl_MacGyverWeld[[#This Row],[Qty Complete]]/tbl_MacGyverWeld[[#This Row],[Total Hours Act]]*tbl_MacGyverWeld[[#This Row],['# of men Act]],"")</f>
        <v/>
      </c>
      <c r="O49"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49" s="71" t="str">
        <f>IFERROR((tbl_MacGyverWeld[[#This Row],[Adj. Total Hours]]+tbl_MacGyverWeld[[#This Row],[Est. Hours]])/(tbl_MacGyverWeld[[#This Row],[Total Hours Act]]+tbl_MacGyverWeld[[#This Row],[Act. Hours]]),"")</f>
        <v/>
      </c>
      <c r="S49" s="63"/>
      <c r="T49" s="63"/>
      <c r="U49" s="63"/>
      <c r="V49" s="63"/>
      <c r="W49" s="63"/>
      <c r="X49" s="63"/>
    </row>
    <row r="50" spans="6:24" ht="25" customHeight="1">
      <c r="F50" s="53"/>
      <c r="H50" s="55" t="e">
        <f>tbl_MacGyverWeld[[#This Row],[Qty Complete]]/tbl_MacGyverWeld[[#This Row],[Qty Required]]</f>
        <v>#DIV/0!</v>
      </c>
      <c r="K50" s="57" t="str">
        <f>IFERROR(tbl_MacGyverWeld[[#This Row],[Qty Required]]/tbl_MacGyverWeld[[#This Row],[PPH]]*tbl_MacGyverWeld[[#This Row],['# of men]],"")</f>
        <v/>
      </c>
      <c r="L50" s="58" t="e">
        <f>tbl_MacGyverWeld[[#This Row],[Total hours]]*tbl_MacGyverWeld[[#This Row],[% Complete]]</f>
        <v>#VALUE!</v>
      </c>
      <c r="M50" s="59" t="str">
        <f>IFERROR(tbl_MacGyverWeld[[#This Row],[Qty Complete]]/tbl_MacGyverWeld[[#This Row],[Total Hours Act]]*tbl_MacGyverWeld[[#This Row],['# of men Act]],"")</f>
        <v/>
      </c>
      <c r="O50"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50" s="71" t="str">
        <f>IFERROR((tbl_MacGyverWeld[[#This Row],[Adj. Total Hours]]+tbl_MacGyverWeld[[#This Row],[Est. Hours]])/(tbl_MacGyverWeld[[#This Row],[Total Hours Act]]+tbl_MacGyverWeld[[#This Row],[Act. Hours]]),"")</f>
        <v/>
      </c>
      <c r="S50" s="63"/>
      <c r="T50" s="63"/>
      <c r="U50" s="63"/>
      <c r="V50" s="63"/>
      <c r="W50" s="63"/>
      <c r="X50" s="63"/>
    </row>
    <row r="51" spans="6:24" ht="25" customHeight="1">
      <c r="F51" s="53"/>
      <c r="H51" s="55" t="e">
        <f>tbl_MacGyverWeld[[#This Row],[Qty Complete]]/tbl_MacGyverWeld[[#This Row],[Qty Required]]</f>
        <v>#DIV/0!</v>
      </c>
      <c r="K51" s="57" t="str">
        <f>IFERROR(tbl_MacGyverWeld[[#This Row],[Qty Required]]/tbl_MacGyverWeld[[#This Row],[PPH]]*tbl_MacGyverWeld[[#This Row],['# of men]],"")</f>
        <v/>
      </c>
      <c r="L51" s="58" t="e">
        <f>tbl_MacGyverWeld[[#This Row],[Total hours]]*tbl_MacGyverWeld[[#This Row],[% Complete]]</f>
        <v>#VALUE!</v>
      </c>
      <c r="M51" s="59" t="str">
        <f>IFERROR(tbl_MacGyverWeld[[#This Row],[Qty Complete]]/tbl_MacGyverWeld[[#This Row],[Total Hours Act]]*tbl_MacGyverWeld[[#This Row],['# of men Act]],"")</f>
        <v/>
      </c>
      <c r="O51"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51" s="71" t="str">
        <f>IFERROR((tbl_MacGyverWeld[[#This Row],[Adj. Total Hours]]+tbl_MacGyverWeld[[#This Row],[Est. Hours]])/(tbl_MacGyverWeld[[#This Row],[Total Hours Act]]+tbl_MacGyverWeld[[#This Row],[Act. Hours]]),"")</f>
        <v/>
      </c>
      <c r="S51" s="63"/>
      <c r="T51" s="63"/>
      <c r="U51" s="63"/>
      <c r="V51" s="63"/>
      <c r="W51" s="63"/>
      <c r="X51" s="63"/>
    </row>
    <row r="52" spans="6:24" ht="25" customHeight="1">
      <c r="F52" s="53"/>
      <c r="H52" s="55" t="e">
        <f>tbl_MacGyverWeld[[#This Row],[Qty Complete]]/tbl_MacGyverWeld[[#This Row],[Qty Required]]</f>
        <v>#DIV/0!</v>
      </c>
      <c r="K52" s="57" t="str">
        <f>IFERROR(tbl_MacGyverWeld[[#This Row],[Qty Required]]/tbl_MacGyverWeld[[#This Row],[PPH]]*tbl_MacGyverWeld[[#This Row],['# of men]],"")</f>
        <v/>
      </c>
      <c r="L52" s="58" t="e">
        <f>tbl_MacGyverWeld[[#This Row],[Total hours]]*tbl_MacGyverWeld[[#This Row],[% Complete]]</f>
        <v>#VALUE!</v>
      </c>
      <c r="M52" s="59" t="str">
        <f>IFERROR(tbl_MacGyverWeld[[#This Row],[Qty Complete]]/tbl_MacGyverWeld[[#This Row],[Total Hours Act]]*tbl_MacGyverWeld[[#This Row],['# of men Act]],"")</f>
        <v/>
      </c>
      <c r="O52"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52" s="71" t="str">
        <f>IFERROR((tbl_MacGyverWeld[[#This Row],[Adj. Total Hours]]+tbl_MacGyverWeld[[#This Row],[Est. Hours]])/(tbl_MacGyverWeld[[#This Row],[Total Hours Act]]+tbl_MacGyverWeld[[#This Row],[Act. Hours]]),"")</f>
        <v/>
      </c>
      <c r="S52" s="63"/>
      <c r="T52" s="63"/>
      <c r="U52" s="63"/>
      <c r="V52" s="63"/>
      <c r="W52" s="63"/>
      <c r="X52" s="63"/>
    </row>
    <row r="53" spans="6:24" ht="25" customHeight="1">
      <c r="F53" s="53"/>
      <c r="H53" s="55" t="e">
        <f>tbl_MacGyverWeld[[#This Row],[Qty Complete]]/tbl_MacGyverWeld[[#This Row],[Qty Required]]</f>
        <v>#DIV/0!</v>
      </c>
      <c r="K53" s="57" t="str">
        <f>IFERROR(tbl_MacGyverWeld[[#This Row],[Qty Required]]/tbl_MacGyverWeld[[#This Row],[PPH]]*tbl_MacGyverWeld[[#This Row],['# of men]],"")</f>
        <v/>
      </c>
      <c r="L53" s="58" t="e">
        <f>tbl_MacGyverWeld[[#This Row],[Total hours]]*tbl_MacGyverWeld[[#This Row],[% Complete]]</f>
        <v>#VALUE!</v>
      </c>
      <c r="M53" s="59" t="str">
        <f>IFERROR(tbl_MacGyverWeld[[#This Row],[Qty Complete]]/tbl_MacGyverWeld[[#This Row],[Total Hours Act]]*tbl_MacGyverWeld[[#This Row],['# of men Act]],"")</f>
        <v/>
      </c>
      <c r="O53"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53" s="71" t="str">
        <f>IFERROR((tbl_MacGyverWeld[[#This Row],[Adj. Total Hours]]+tbl_MacGyverWeld[[#This Row],[Est. Hours]])/(tbl_MacGyverWeld[[#This Row],[Total Hours Act]]+tbl_MacGyverWeld[[#This Row],[Act. Hours]]),"")</f>
        <v/>
      </c>
      <c r="S53" s="63"/>
      <c r="T53" s="63"/>
      <c r="U53" s="63"/>
      <c r="V53" s="63"/>
      <c r="W53" s="63"/>
      <c r="X53" s="63"/>
    </row>
    <row r="54" spans="6:24" ht="25" customHeight="1">
      <c r="F54" s="53"/>
      <c r="H54" s="55" t="e">
        <f>tbl_MacGyverWeld[[#This Row],[Qty Complete]]/tbl_MacGyverWeld[[#This Row],[Qty Required]]</f>
        <v>#DIV/0!</v>
      </c>
      <c r="K54" s="57" t="str">
        <f>IFERROR(tbl_MacGyverWeld[[#This Row],[Qty Required]]/tbl_MacGyverWeld[[#This Row],[PPH]]*tbl_MacGyverWeld[[#This Row],['# of men]],"")</f>
        <v/>
      </c>
      <c r="L54" s="58" t="e">
        <f>tbl_MacGyverWeld[[#This Row],[Total hours]]*tbl_MacGyverWeld[[#This Row],[% Complete]]</f>
        <v>#VALUE!</v>
      </c>
      <c r="M54" s="59" t="str">
        <f>IFERROR(tbl_MacGyverWeld[[#This Row],[Qty Complete]]/tbl_MacGyverWeld[[#This Row],[Total Hours Act]]*tbl_MacGyverWeld[[#This Row],['# of men Act]],"")</f>
        <v/>
      </c>
      <c r="O54"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54" s="71" t="str">
        <f>IFERROR((tbl_MacGyverWeld[[#This Row],[Adj. Total Hours]]+tbl_MacGyverWeld[[#This Row],[Est. Hours]])/(tbl_MacGyverWeld[[#This Row],[Total Hours Act]]+tbl_MacGyverWeld[[#This Row],[Act. Hours]]),"")</f>
        <v/>
      </c>
      <c r="S54" s="63"/>
      <c r="T54" s="63"/>
      <c r="U54" s="63"/>
      <c r="V54" s="63"/>
      <c r="W54" s="63"/>
      <c r="X54" s="63"/>
    </row>
    <row r="55" spans="6:24" ht="25" customHeight="1">
      <c r="F55" s="53"/>
      <c r="H55" s="55" t="e">
        <f>tbl_MacGyverWeld[[#This Row],[Qty Complete]]/tbl_MacGyverWeld[[#This Row],[Qty Required]]</f>
        <v>#DIV/0!</v>
      </c>
      <c r="K55" s="57" t="str">
        <f>IFERROR(tbl_MacGyverWeld[[#This Row],[Qty Required]]/tbl_MacGyverWeld[[#This Row],[PPH]]*tbl_MacGyverWeld[[#This Row],['# of men]],"")</f>
        <v/>
      </c>
      <c r="L55" s="58" t="e">
        <f>tbl_MacGyverWeld[[#This Row],[Total hours]]*tbl_MacGyverWeld[[#This Row],[% Complete]]</f>
        <v>#VALUE!</v>
      </c>
      <c r="M55" s="59" t="str">
        <f>IFERROR(tbl_MacGyverWeld[[#This Row],[Qty Complete]]/tbl_MacGyverWeld[[#This Row],[Total Hours Act]]*tbl_MacGyverWeld[[#This Row],['# of men Act]],"")</f>
        <v/>
      </c>
      <c r="O55"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55" s="71" t="str">
        <f>IFERROR((tbl_MacGyverWeld[[#This Row],[Adj. Total Hours]]+tbl_MacGyverWeld[[#This Row],[Est. Hours]])/(tbl_MacGyverWeld[[#This Row],[Total Hours Act]]+tbl_MacGyverWeld[[#This Row],[Act. Hours]]),"")</f>
        <v/>
      </c>
      <c r="S55" s="63"/>
      <c r="T55" s="63"/>
      <c r="U55" s="63"/>
      <c r="V55" s="63"/>
      <c r="W55" s="63"/>
      <c r="X55" s="63"/>
    </row>
    <row r="56" spans="6:24" ht="25" customHeight="1">
      <c r="F56" s="53"/>
      <c r="H56" s="55" t="e">
        <f>tbl_MacGyverWeld[[#This Row],[Qty Complete]]/tbl_MacGyverWeld[[#This Row],[Qty Required]]</f>
        <v>#DIV/0!</v>
      </c>
      <c r="K56" s="57" t="str">
        <f>IFERROR(tbl_MacGyverWeld[[#This Row],[Qty Required]]/tbl_MacGyverWeld[[#This Row],[PPH]]*tbl_MacGyverWeld[[#This Row],['# of men]],"")</f>
        <v/>
      </c>
      <c r="L56" s="58" t="e">
        <f>tbl_MacGyverWeld[[#This Row],[Total hours]]*tbl_MacGyverWeld[[#This Row],[% Complete]]</f>
        <v>#VALUE!</v>
      </c>
      <c r="M56" s="59" t="str">
        <f>IFERROR(tbl_MacGyverWeld[[#This Row],[Qty Complete]]/tbl_MacGyverWeld[[#This Row],[Total Hours Act]]*tbl_MacGyverWeld[[#This Row],['# of men Act]],"")</f>
        <v/>
      </c>
      <c r="O56"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56" s="71" t="str">
        <f>IFERROR((tbl_MacGyverWeld[[#This Row],[Adj. Total Hours]]+tbl_MacGyverWeld[[#This Row],[Est. Hours]])/(tbl_MacGyverWeld[[#This Row],[Total Hours Act]]+tbl_MacGyverWeld[[#This Row],[Act. Hours]]),"")</f>
        <v/>
      </c>
      <c r="S56" s="63"/>
      <c r="T56" s="63"/>
      <c r="U56" s="63"/>
      <c r="V56" s="63"/>
      <c r="W56" s="63"/>
      <c r="X56" s="63"/>
    </row>
    <row r="57" spans="6:24" ht="25" customHeight="1">
      <c r="F57" s="53"/>
      <c r="H57" s="55" t="e">
        <f>tbl_MacGyverWeld[[#This Row],[Qty Complete]]/tbl_MacGyverWeld[[#This Row],[Qty Required]]</f>
        <v>#DIV/0!</v>
      </c>
      <c r="K57" s="57" t="str">
        <f>IFERROR(tbl_MacGyverWeld[[#This Row],[Qty Required]]/tbl_MacGyverWeld[[#This Row],[PPH]]*tbl_MacGyverWeld[[#This Row],['# of men]],"")</f>
        <v/>
      </c>
      <c r="L57" s="58" t="e">
        <f>tbl_MacGyverWeld[[#This Row],[Total hours]]*tbl_MacGyverWeld[[#This Row],[% Complete]]</f>
        <v>#VALUE!</v>
      </c>
      <c r="M57" s="59" t="str">
        <f>IFERROR(tbl_MacGyverWeld[[#This Row],[Qty Complete]]/tbl_MacGyverWeld[[#This Row],[Total Hours Act]]*tbl_MacGyverWeld[[#This Row],['# of men Act]],"")</f>
        <v/>
      </c>
      <c r="O57"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57" s="71" t="str">
        <f>IFERROR((tbl_MacGyverWeld[[#This Row],[Adj. Total Hours]]+tbl_MacGyverWeld[[#This Row],[Est. Hours]])/(tbl_MacGyverWeld[[#This Row],[Total Hours Act]]+tbl_MacGyverWeld[[#This Row],[Act. Hours]]),"")</f>
        <v/>
      </c>
      <c r="S57" s="63"/>
      <c r="T57" s="63"/>
      <c r="U57" s="63"/>
      <c r="V57" s="63"/>
      <c r="W57" s="63"/>
      <c r="X57" s="63"/>
    </row>
    <row r="58" spans="6:24" ht="25" customHeight="1">
      <c r="F58" s="53"/>
      <c r="H58" s="55" t="e">
        <f>tbl_MacGyverWeld[[#This Row],[Qty Complete]]/tbl_MacGyverWeld[[#This Row],[Qty Required]]</f>
        <v>#DIV/0!</v>
      </c>
      <c r="K58" s="57" t="str">
        <f>IFERROR(tbl_MacGyverWeld[[#This Row],[Qty Required]]/tbl_MacGyverWeld[[#This Row],[PPH]]*tbl_MacGyverWeld[[#This Row],['# of men]],"")</f>
        <v/>
      </c>
      <c r="L58" s="58" t="e">
        <f>tbl_MacGyverWeld[[#This Row],[Total hours]]*tbl_MacGyverWeld[[#This Row],[% Complete]]</f>
        <v>#VALUE!</v>
      </c>
      <c r="M58" s="59" t="str">
        <f>IFERROR(tbl_MacGyverWeld[[#This Row],[Qty Complete]]/tbl_MacGyverWeld[[#This Row],[Total Hours Act]]*tbl_MacGyverWeld[[#This Row],['# of men Act]],"")</f>
        <v/>
      </c>
      <c r="O58"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58" s="71" t="str">
        <f>IFERROR((tbl_MacGyverWeld[[#This Row],[Adj. Total Hours]]+tbl_MacGyverWeld[[#This Row],[Est. Hours]])/(tbl_MacGyverWeld[[#This Row],[Total Hours Act]]+tbl_MacGyverWeld[[#This Row],[Act. Hours]]),"")</f>
        <v/>
      </c>
      <c r="S58" s="63"/>
      <c r="T58" s="63"/>
      <c r="U58" s="63"/>
      <c r="V58" s="63"/>
      <c r="W58" s="63"/>
      <c r="X58" s="63"/>
    </row>
    <row r="59" spans="6:24" ht="25" customHeight="1">
      <c r="F59" s="53"/>
      <c r="H59" s="55" t="e">
        <f>tbl_MacGyverWeld[[#This Row],[Qty Complete]]/tbl_MacGyverWeld[[#This Row],[Qty Required]]</f>
        <v>#DIV/0!</v>
      </c>
      <c r="K59" s="57" t="str">
        <f>IFERROR(tbl_MacGyverWeld[[#This Row],[Qty Required]]/tbl_MacGyverWeld[[#This Row],[PPH]]*tbl_MacGyverWeld[[#This Row],['# of men]],"")</f>
        <v/>
      </c>
      <c r="L59" s="58" t="e">
        <f>tbl_MacGyverWeld[[#This Row],[Total hours]]*tbl_MacGyverWeld[[#This Row],[% Complete]]</f>
        <v>#VALUE!</v>
      </c>
      <c r="M59" s="59" t="str">
        <f>IFERROR(tbl_MacGyverWeld[[#This Row],[Qty Complete]]/tbl_MacGyverWeld[[#This Row],[Total Hours Act]]*tbl_MacGyverWeld[[#This Row],['# of men Act]],"")</f>
        <v/>
      </c>
      <c r="O59"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59" s="71" t="str">
        <f>IFERROR((tbl_MacGyverWeld[[#This Row],[Adj. Total Hours]]+tbl_MacGyverWeld[[#This Row],[Est. Hours]])/(tbl_MacGyverWeld[[#This Row],[Total Hours Act]]+tbl_MacGyverWeld[[#This Row],[Act. Hours]]),"")</f>
        <v/>
      </c>
      <c r="S59" s="63"/>
      <c r="T59" s="63"/>
      <c r="U59" s="63"/>
      <c r="V59" s="63"/>
      <c r="W59" s="63"/>
      <c r="X59" s="63"/>
    </row>
    <row r="60" spans="6:24" ht="25" customHeight="1">
      <c r="F60" s="53"/>
      <c r="H60" s="55" t="e">
        <f>tbl_MacGyverWeld[[#This Row],[Qty Complete]]/tbl_MacGyverWeld[[#This Row],[Qty Required]]</f>
        <v>#DIV/0!</v>
      </c>
      <c r="K60" s="57" t="str">
        <f>IFERROR(tbl_MacGyverWeld[[#This Row],[Qty Required]]/tbl_MacGyverWeld[[#This Row],[PPH]]*tbl_MacGyverWeld[[#This Row],['# of men]],"")</f>
        <v/>
      </c>
      <c r="L60" s="58" t="e">
        <f>tbl_MacGyverWeld[[#This Row],[Total hours]]*tbl_MacGyverWeld[[#This Row],[% Complete]]</f>
        <v>#VALUE!</v>
      </c>
      <c r="M60" s="59" t="str">
        <f>IFERROR(tbl_MacGyverWeld[[#This Row],[Qty Complete]]/tbl_MacGyverWeld[[#This Row],[Total Hours Act]]*tbl_MacGyverWeld[[#This Row],['# of men Act]],"")</f>
        <v/>
      </c>
      <c r="O60"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60" s="71" t="str">
        <f>IFERROR((tbl_MacGyverWeld[[#This Row],[Adj. Total Hours]]+tbl_MacGyverWeld[[#This Row],[Est. Hours]])/(tbl_MacGyverWeld[[#This Row],[Total Hours Act]]+tbl_MacGyverWeld[[#This Row],[Act. Hours]]),"")</f>
        <v/>
      </c>
      <c r="S60" s="63"/>
      <c r="T60" s="63"/>
      <c r="U60" s="63"/>
      <c r="V60" s="63"/>
      <c r="W60" s="63"/>
      <c r="X60" s="63"/>
    </row>
    <row r="61" spans="6:24" ht="25" customHeight="1">
      <c r="F61" s="53"/>
      <c r="H61" s="55" t="e">
        <f>tbl_MacGyverWeld[[#This Row],[Qty Complete]]/tbl_MacGyverWeld[[#This Row],[Qty Required]]</f>
        <v>#DIV/0!</v>
      </c>
      <c r="K61" s="57" t="str">
        <f>IFERROR(tbl_MacGyverWeld[[#This Row],[Qty Required]]/tbl_MacGyverWeld[[#This Row],[PPH]]*tbl_MacGyverWeld[[#This Row],['# of men]],"")</f>
        <v/>
      </c>
      <c r="L61" s="58" t="e">
        <f>tbl_MacGyverWeld[[#This Row],[Total hours]]*tbl_MacGyverWeld[[#This Row],[% Complete]]</f>
        <v>#VALUE!</v>
      </c>
      <c r="M61" s="59" t="str">
        <f>IFERROR(tbl_MacGyverWeld[[#This Row],[Qty Complete]]/tbl_MacGyverWeld[[#This Row],[Total Hours Act]]*tbl_MacGyverWeld[[#This Row],['# of men Act]],"")</f>
        <v/>
      </c>
      <c r="O61"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61" s="71" t="str">
        <f>IFERROR((tbl_MacGyverWeld[[#This Row],[Adj. Total Hours]]+tbl_MacGyverWeld[[#This Row],[Est. Hours]])/(tbl_MacGyverWeld[[#This Row],[Total Hours Act]]+tbl_MacGyverWeld[[#This Row],[Act. Hours]]),"")</f>
        <v/>
      </c>
      <c r="S61" s="63"/>
      <c r="T61" s="63"/>
      <c r="U61" s="63"/>
      <c r="V61" s="63"/>
      <c r="W61" s="63"/>
      <c r="X61" s="63"/>
    </row>
    <row r="62" spans="6:24" ht="25" customHeight="1">
      <c r="F62" s="53"/>
      <c r="H62" s="55" t="e">
        <f>tbl_MacGyverWeld[[#This Row],[Qty Complete]]/tbl_MacGyverWeld[[#This Row],[Qty Required]]</f>
        <v>#DIV/0!</v>
      </c>
      <c r="K62" s="57" t="str">
        <f>IFERROR(tbl_MacGyverWeld[[#This Row],[Qty Required]]/tbl_MacGyverWeld[[#This Row],[PPH]]*tbl_MacGyverWeld[[#This Row],['# of men]],"")</f>
        <v/>
      </c>
      <c r="L62" s="58" t="e">
        <f>tbl_MacGyverWeld[[#This Row],[Total hours]]*tbl_MacGyverWeld[[#This Row],[% Complete]]</f>
        <v>#VALUE!</v>
      </c>
      <c r="M62" s="59" t="str">
        <f>IFERROR(tbl_MacGyverWeld[[#This Row],[Qty Complete]]/tbl_MacGyverWeld[[#This Row],[Total Hours Act]]*tbl_MacGyverWeld[[#This Row],['# of men Act]],"")</f>
        <v/>
      </c>
      <c r="O62"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62" s="71" t="str">
        <f>IFERROR((tbl_MacGyverWeld[[#This Row],[Adj. Total Hours]]+tbl_MacGyverWeld[[#This Row],[Est. Hours]])/(tbl_MacGyverWeld[[#This Row],[Total Hours Act]]+tbl_MacGyverWeld[[#This Row],[Act. Hours]]),"")</f>
        <v/>
      </c>
      <c r="S62" s="63"/>
      <c r="T62" s="63"/>
      <c r="U62" s="63"/>
      <c r="V62" s="63"/>
      <c r="W62" s="63"/>
      <c r="X62" s="63"/>
    </row>
    <row r="63" spans="6:24" ht="25" customHeight="1">
      <c r="F63" s="53"/>
      <c r="H63" s="55" t="e">
        <f>tbl_MacGyverWeld[[#This Row],[Qty Complete]]/tbl_MacGyverWeld[[#This Row],[Qty Required]]</f>
        <v>#DIV/0!</v>
      </c>
      <c r="K63" s="57" t="str">
        <f>IFERROR(tbl_MacGyverWeld[[#This Row],[Qty Required]]/tbl_MacGyverWeld[[#This Row],[PPH]]*tbl_MacGyverWeld[[#This Row],['# of men]],"")</f>
        <v/>
      </c>
      <c r="L63" s="58" t="e">
        <f>tbl_MacGyverWeld[[#This Row],[Total hours]]*tbl_MacGyverWeld[[#This Row],[% Complete]]</f>
        <v>#VALUE!</v>
      </c>
      <c r="M63" s="59" t="str">
        <f>IFERROR(tbl_MacGyverWeld[[#This Row],[Qty Complete]]/tbl_MacGyverWeld[[#This Row],[Total Hours Act]]*tbl_MacGyverWeld[[#This Row],['# of men Act]],"")</f>
        <v/>
      </c>
      <c r="O63"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63" s="71" t="str">
        <f>IFERROR((tbl_MacGyverWeld[[#This Row],[Adj. Total Hours]]+tbl_MacGyverWeld[[#This Row],[Est. Hours]])/(tbl_MacGyverWeld[[#This Row],[Total Hours Act]]+tbl_MacGyverWeld[[#This Row],[Act. Hours]]),"")</f>
        <v/>
      </c>
      <c r="S63" s="63"/>
      <c r="T63" s="63"/>
      <c r="U63" s="63"/>
      <c r="V63" s="63"/>
      <c r="W63" s="63"/>
      <c r="X63" s="63"/>
    </row>
    <row r="64" spans="6:24" ht="25" customHeight="1">
      <c r="F64" s="53"/>
      <c r="H64" s="55" t="e">
        <f>tbl_MacGyverWeld[[#This Row],[Qty Complete]]/tbl_MacGyverWeld[[#This Row],[Qty Required]]</f>
        <v>#DIV/0!</v>
      </c>
      <c r="K64" s="57" t="str">
        <f>IFERROR(tbl_MacGyverWeld[[#This Row],[Qty Required]]/tbl_MacGyverWeld[[#This Row],[PPH]]*tbl_MacGyverWeld[[#This Row],['# of men]],"")</f>
        <v/>
      </c>
      <c r="L64" s="58" t="e">
        <f>tbl_MacGyverWeld[[#This Row],[Total hours]]*tbl_MacGyverWeld[[#This Row],[% Complete]]</f>
        <v>#VALUE!</v>
      </c>
      <c r="M64" s="59" t="str">
        <f>IFERROR(tbl_MacGyverWeld[[#This Row],[Qty Complete]]/tbl_MacGyverWeld[[#This Row],[Total Hours Act]]*tbl_MacGyverWeld[[#This Row],['# of men Act]],"")</f>
        <v/>
      </c>
      <c r="O64"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64" s="71" t="str">
        <f>IFERROR((tbl_MacGyverWeld[[#This Row],[Adj. Total Hours]]+tbl_MacGyverWeld[[#This Row],[Est. Hours]])/(tbl_MacGyverWeld[[#This Row],[Total Hours Act]]+tbl_MacGyverWeld[[#This Row],[Act. Hours]]),"")</f>
        <v/>
      </c>
      <c r="S64" s="63"/>
      <c r="T64" s="63"/>
      <c r="U64" s="63"/>
      <c r="V64" s="63"/>
      <c r="W64" s="63"/>
      <c r="X64" s="63"/>
    </row>
    <row r="65" spans="6:24" ht="25" customHeight="1">
      <c r="F65" s="53"/>
      <c r="H65" s="55" t="e">
        <f>tbl_MacGyverWeld[[#This Row],[Qty Complete]]/tbl_MacGyverWeld[[#This Row],[Qty Required]]</f>
        <v>#DIV/0!</v>
      </c>
      <c r="K65" s="57" t="str">
        <f>IFERROR(tbl_MacGyverWeld[[#This Row],[Qty Required]]/tbl_MacGyverWeld[[#This Row],[PPH]]*tbl_MacGyverWeld[[#This Row],['# of men]],"")</f>
        <v/>
      </c>
      <c r="L65" s="58" t="e">
        <f>tbl_MacGyverWeld[[#This Row],[Total hours]]*tbl_MacGyverWeld[[#This Row],[% Complete]]</f>
        <v>#VALUE!</v>
      </c>
      <c r="M65" s="59" t="str">
        <f>IFERROR(tbl_MacGyverWeld[[#This Row],[Qty Complete]]/tbl_MacGyverWeld[[#This Row],[Total Hours Act]]*tbl_MacGyverWeld[[#This Row],['# of men Act]],"")</f>
        <v/>
      </c>
      <c r="O65"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65" s="71" t="str">
        <f>IFERROR((tbl_MacGyverWeld[[#This Row],[Adj. Total Hours]]+tbl_MacGyverWeld[[#This Row],[Est. Hours]])/(tbl_MacGyverWeld[[#This Row],[Total Hours Act]]+tbl_MacGyverWeld[[#This Row],[Act. Hours]]),"")</f>
        <v/>
      </c>
      <c r="S65" s="63"/>
      <c r="T65" s="63"/>
      <c r="U65" s="63"/>
      <c r="V65" s="63"/>
      <c r="W65" s="63"/>
      <c r="X65" s="63"/>
    </row>
    <row r="66" spans="6:24" ht="25" customHeight="1">
      <c r="F66" s="53"/>
      <c r="H66" s="55" t="e">
        <f>tbl_MacGyverWeld[[#This Row],[Qty Complete]]/tbl_MacGyverWeld[[#This Row],[Qty Required]]</f>
        <v>#DIV/0!</v>
      </c>
      <c r="K66" s="57" t="str">
        <f>IFERROR(tbl_MacGyverWeld[[#This Row],[Qty Required]]/tbl_MacGyverWeld[[#This Row],[PPH]]*tbl_MacGyverWeld[[#This Row],['# of men]],"")</f>
        <v/>
      </c>
      <c r="L66" s="58" t="e">
        <f>tbl_MacGyverWeld[[#This Row],[Total hours]]*tbl_MacGyverWeld[[#This Row],[% Complete]]</f>
        <v>#VALUE!</v>
      </c>
      <c r="M66" s="59" t="str">
        <f>IFERROR(tbl_MacGyverWeld[[#This Row],[Qty Complete]]/tbl_MacGyverWeld[[#This Row],[Total Hours Act]]*tbl_MacGyverWeld[[#This Row],['# of men Act]],"")</f>
        <v/>
      </c>
      <c r="O66"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66" s="71" t="str">
        <f>IFERROR((tbl_MacGyverWeld[[#This Row],[Adj. Total Hours]]+tbl_MacGyverWeld[[#This Row],[Est. Hours]])/(tbl_MacGyverWeld[[#This Row],[Total Hours Act]]+tbl_MacGyverWeld[[#This Row],[Act. Hours]]),"")</f>
        <v/>
      </c>
      <c r="S66" s="63"/>
      <c r="T66" s="63"/>
      <c r="U66" s="63"/>
      <c r="V66" s="63"/>
      <c r="W66" s="63"/>
      <c r="X66" s="63"/>
    </row>
    <row r="67" spans="6:24" ht="25" customHeight="1">
      <c r="F67" s="53"/>
      <c r="H67" s="55" t="e">
        <f>tbl_MacGyverWeld[[#This Row],[Qty Complete]]/tbl_MacGyverWeld[[#This Row],[Qty Required]]</f>
        <v>#DIV/0!</v>
      </c>
      <c r="K67" s="57" t="str">
        <f>IFERROR(tbl_MacGyverWeld[[#This Row],[Qty Required]]/tbl_MacGyverWeld[[#This Row],[PPH]]*tbl_MacGyverWeld[[#This Row],['# of men]],"")</f>
        <v/>
      </c>
      <c r="L67" s="58" t="e">
        <f>tbl_MacGyverWeld[[#This Row],[Total hours]]*tbl_MacGyverWeld[[#This Row],[% Complete]]</f>
        <v>#VALUE!</v>
      </c>
      <c r="M67" s="59" t="str">
        <f>IFERROR(tbl_MacGyverWeld[[#This Row],[Qty Complete]]/tbl_MacGyverWeld[[#This Row],[Total Hours Act]]*tbl_MacGyverWeld[[#This Row],['# of men Act]],"")</f>
        <v/>
      </c>
      <c r="O67"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67" s="71" t="str">
        <f>IFERROR((tbl_MacGyverWeld[[#This Row],[Adj. Total Hours]]+tbl_MacGyverWeld[[#This Row],[Est. Hours]])/(tbl_MacGyverWeld[[#This Row],[Total Hours Act]]+tbl_MacGyverWeld[[#This Row],[Act. Hours]]),"")</f>
        <v/>
      </c>
      <c r="S67" s="63"/>
      <c r="T67" s="63"/>
      <c r="U67" s="63"/>
      <c r="V67" s="63"/>
      <c r="W67" s="63"/>
      <c r="X67" s="63"/>
    </row>
    <row r="68" spans="6:24" ht="25" customHeight="1">
      <c r="F68" s="53"/>
      <c r="H68" s="55" t="e">
        <f>tbl_MacGyverWeld[[#This Row],[Qty Complete]]/tbl_MacGyverWeld[[#This Row],[Qty Required]]</f>
        <v>#DIV/0!</v>
      </c>
      <c r="K68" s="57" t="str">
        <f>IFERROR(tbl_MacGyverWeld[[#This Row],[Qty Required]]/tbl_MacGyverWeld[[#This Row],[PPH]]*tbl_MacGyverWeld[[#This Row],['# of men]],"")</f>
        <v/>
      </c>
      <c r="L68" s="58" t="e">
        <f>tbl_MacGyverWeld[[#This Row],[Total hours]]*tbl_MacGyverWeld[[#This Row],[% Complete]]</f>
        <v>#VALUE!</v>
      </c>
      <c r="M68" s="59" t="str">
        <f>IFERROR(tbl_MacGyverWeld[[#This Row],[Qty Complete]]/tbl_MacGyverWeld[[#This Row],[Total Hours Act]]*tbl_MacGyverWeld[[#This Row],['# of men Act]],"")</f>
        <v/>
      </c>
      <c r="O68"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68" s="71" t="str">
        <f>IFERROR((tbl_MacGyverWeld[[#This Row],[Adj. Total Hours]]+tbl_MacGyverWeld[[#This Row],[Est. Hours]])/(tbl_MacGyverWeld[[#This Row],[Total Hours Act]]+tbl_MacGyverWeld[[#This Row],[Act. Hours]]),"")</f>
        <v/>
      </c>
      <c r="S68" s="63"/>
      <c r="T68" s="63"/>
      <c r="U68" s="63"/>
      <c r="V68" s="63"/>
      <c r="W68" s="63"/>
      <c r="X68" s="63"/>
    </row>
    <row r="69" spans="6:24" ht="25" customHeight="1">
      <c r="F69" s="53"/>
      <c r="H69" s="55" t="e">
        <f>tbl_MacGyverWeld[[#This Row],[Qty Complete]]/tbl_MacGyverWeld[[#This Row],[Qty Required]]</f>
        <v>#DIV/0!</v>
      </c>
      <c r="K69" s="57" t="str">
        <f>IFERROR(tbl_MacGyverWeld[[#This Row],[Qty Required]]/tbl_MacGyverWeld[[#This Row],[PPH]]*tbl_MacGyverWeld[[#This Row],['# of men]],"")</f>
        <v/>
      </c>
      <c r="L69" s="58" t="e">
        <f>tbl_MacGyverWeld[[#This Row],[Total hours]]*tbl_MacGyverWeld[[#This Row],[% Complete]]</f>
        <v>#VALUE!</v>
      </c>
      <c r="M69" s="59" t="str">
        <f>IFERROR(tbl_MacGyverWeld[[#This Row],[Qty Complete]]/tbl_MacGyverWeld[[#This Row],[Total Hours Act]]*tbl_MacGyverWeld[[#This Row],['# of men Act]],"")</f>
        <v/>
      </c>
      <c r="O69"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69" s="71" t="str">
        <f>IFERROR((tbl_MacGyverWeld[[#This Row],[Adj. Total Hours]]+tbl_MacGyverWeld[[#This Row],[Est. Hours]])/(tbl_MacGyverWeld[[#This Row],[Total Hours Act]]+tbl_MacGyverWeld[[#This Row],[Act. Hours]]),"")</f>
        <v/>
      </c>
      <c r="S69" s="63"/>
      <c r="T69" s="63"/>
      <c r="U69" s="63"/>
      <c r="V69" s="63"/>
      <c r="W69" s="63"/>
      <c r="X69" s="63"/>
    </row>
    <row r="70" spans="6:24" ht="25" customHeight="1">
      <c r="F70" s="53"/>
      <c r="H70" s="55" t="e">
        <f>tbl_MacGyverWeld[[#This Row],[Qty Complete]]/tbl_MacGyverWeld[[#This Row],[Qty Required]]</f>
        <v>#DIV/0!</v>
      </c>
      <c r="K70" s="57" t="str">
        <f>IFERROR(tbl_MacGyverWeld[[#This Row],[Qty Required]]/tbl_MacGyverWeld[[#This Row],[PPH]]*tbl_MacGyverWeld[[#This Row],['# of men]],"")</f>
        <v/>
      </c>
      <c r="L70" s="58" t="e">
        <f>tbl_MacGyverWeld[[#This Row],[Total hours]]*tbl_MacGyverWeld[[#This Row],[% Complete]]</f>
        <v>#VALUE!</v>
      </c>
      <c r="M70" s="59" t="str">
        <f>IFERROR(tbl_MacGyverWeld[[#This Row],[Qty Complete]]/tbl_MacGyverWeld[[#This Row],[Total Hours Act]]*tbl_MacGyverWeld[[#This Row],['# of men Act]],"")</f>
        <v/>
      </c>
      <c r="O70"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70" s="71" t="str">
        <f>IFERROR((tbl_MacGyverWeld[[#This Row],[Adj. Total Hours]]+tbl_MacGyverWeld[[#This Row],[Est. Hours]])/(tbl_MacGyverWeld[[#This Row],[Total Hours Act]]+tbl_MacGyverWeld[[#This Row],[Act. Hours]]),"")</f>
        <v/>
      </c>
      <c r="S70" s="63"/>
      <c r="T70" s="63"/>
      <c r="U70" s="63"/>
      <c r="V70" s="63"/>
      <c r="W70" s="63"/>
      <c r="X70" s="63"/>
    </row>
    <row r="71" spans="6:24" ht="25" customHeight="1">
      <c r="F71" s="53"/>
      <c r="H71" s="55" t="e">
        <f>tbl_MacGyverWeld[[#This Row],[Qty Complete]]/tbl_MacGyverWeld[[#This Row],[Qty Required]]</f>
        <v>#DIV/0!</v>
      </c>
      <c r="K71" s="57" t="str">
        <f>IFERROR(tbl_MacGyverWeld[[#This Row],[Qty Required]]/tbl_MacGyverWeld[[#This Row],[PPH]]*tbl_MacGyverWeld[[#This Row],['# of men]],"")</f>
        <v/>
      </c>
      <c r="L71" s="58" t="e">
        <f>tbl_MacGyverWeld[[#This Row],[Total hours]]*tbl_MacGyverWeld[[#This Row],[% Complete]]</f>
        <v>#VALUE!</v>
      </c>
      <c r="M71" s="59" t="str">
        <f>IFERROR(tbl_MacGyverWeld[[#This Row],[Qty Complete]]/tbl_MacGyverWeld[[#This Row],[Total Hours Act]]*tbl_MacGyverWeld[[#This Row],['# of men Act]],"")</f>
        <v/>
      </c>
      <c r="O71"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71" s="71" t="str">
        <f>IFERROR((tbl_MacGyverWeld[[#This Row],[Adj. Total Hours]]+tbl_MacGyverWeld[[#This Row],[Est. Hours]])/(tbl_MacGyverWeld[[#This Row],[Total Hours Act]]+tbl_MacGyverWeld[[#This Row],[Act. Hours]]),"")</f>
        <v/>
      </c>
      <c r="S71" s="63"/>
      <c r="T71" s="63"/>
      <c r="U71" s="63"/>
      <c r="V71" s="63"/>
      <c r="W71" s="63"/>
      <c r="X71" s="63"/>
    </row>
    <row r="72" spans="6:24" ht="25" customHeight="1">
      <c r="F72" s="53"/>
      <c r="H72" s="55" t="e">
        <f>tbl_MacGyverWeld[[#This Row],[Qty Complete]]/tbl_MacGyverWeld[[#This Row],[Qty Required]]</f>
        <v>#DIV/0!</v>
      </c>
      <c r="K72" s="57" t="str">
        <f>IFERROR(tbl_MacGyverWeld[[#This Row],[Qty Required]]/tbl_MacGyverWeld[[#This Row],[PPH]]*tbl_MacGyverWeld[[#This Row],['# of men]],"")</f>
        <v/>
      </c>
      <c r="L72" s="58" t="e">
        <f>tbl_MacGyverWeld[[#This Row],[Total hours]]*tbl_MacGyverWeld[[#This Row],[% Complete]]</f>
        <v>#VALUE!</v>
      </c>
      <c r="M72" s="59" t="str">
        <f>IFERROR(tbl_MacGyverWeld[[#This Row],[Qty Complete]]/tbl_MacGyverWeld[[#This Row],[Total Hours Act]]*tbl_MacGyverWeld[[#This Row],['# of men Act]],"")</f>
        <v/>
      </c>
      <c r="O72"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72" s="71" t="str">
        <f>IFERROR((tbl_MacGyverWeld[[#This Row],[Adj. Total Hours]]+tbl_MacGyverWeld[[#This Row],[Est. Hours]])/(tbl_MacGyverWeld[[#This Row],[Total Hours Act]]+tbl_MacGyverWeld[[#This Row],[Act. Hours]]),"")</f>
        <v/>
      </c>
      <c r="S72" s="63"/>
      <c r="T72" s="63"/>
      <c r="U72" s="63"/>
      <c r="V72" s="63"/>
      <c r="W72" s="63"/>
      <c r="X72" s="63"/>
    </row>
    <row r="73" spans="6:24" ht="25" customHeight="1">
      <c r="F73" s="53"/>
      <c r="H73" s="55" t="e">
        <f>tbl_MacGyverWeld[[#This Row],[Qty Complete]]/tbl_MacGyverWeld[[#This Row],[Qty Required]]</f>
        <v>#DIV/0!</v>
      </c>
      <c r="K73" s="57" t="str">
        <f>IFERROR(tbl_MacGyverWeld[[#This Row],[Qty Required]]/tbl_MacGyverWeld[[#This Row],[PPH]]*tbl_MacGyverWeld[[#This Row],['# of men]],"")</f>
        <v/>
      </c>
      <c r="L73" s="58" t="e">
        <f>tbl_MacGyverWeld[[#This Row],[Total hours]]*tbl_MacGyverWeld[[#This Row],[% Complete]]</f>
        <v>#VALUE!</v>
      </c>
      <c r="M73" s="59" t="str">
        <f>IFERROR(tbl_MacGyverWeld[[#This Row],[Qty Complete]]/tbl_MacGyverWeld[[#This Row],[Total Hours Act]]*tbl_MacGyverWeld[[#This Row],['# of men Act]],"")</f>
        <v/>
      </c>
      <c r="O73"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73" s="71" t="str">
        <f>IFERROR((tbl_MacGyverWeld[[#This Row],[Adj. Total Hours]]+tbl_MacGyverWeld[[#This Row],[Est. Hours]])/(tbl_MacGyverWeld[[#This Row],[Total Hours Act]]+tbl_MacGyverWeld[[#This Row],[Act. Hours]]),"")</f>
        <v/>
      </c>
      <c r="S73" s="63"/>
      <c r="T73" s="63"/>
      <c r="U73" s="63"/>
      <c r="V73" s="63"/>
      <c r="W73" s="63"/>
      <c r="X73" s="63"/>
    </row>
    <row r="74" spans="6:24" ht="25" customHeight="1">
      <c r="F74" s="53"/>
      <c r="H74" s="55" t="e">
        <f>tbl_MacGyverWeld[[#This Row],[Qty Complete]]/tbl_MacGyverWeld[[#This Row],[Qty Required]]</f>
        <v>#DIV/0!</v>
      </c>
      <c r="K74" s="57" t="str">
        <f>IFERROR(tbl_MacGyverWeld[[#This Row],[Qty Required]]/tbl_MacGyverWeld[[#This Row],[PPH]]*tbl_MacGyverWeld[[#This Row],['# of men]],"")</f>
        <v/>
      </c>
      <c r="L74" s="58" t="e">
        <f>tbl_MacGyverWeld[[#This Row],[Total hours]]*tbl_MacGyverWeld[[#This Row],[% Complete]]</f>
        <v>#VALUE!</v>
      </c>
      <c r="M74" s="59" t="str">
        <f>IFERROR(tbl_MacGyverWeld[[#This Row],[Qty Complete]]/tbl_MacGyverWeld[[#This Row],[Total Hours Act]]*tbl_MacGyverWeld[[#This Row],['# of men Act]],"")</f>
        <v/>
      </c>
      <c r="O74"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74" s="71" t="str">
        <f>IFERROR((tbl_MacGyverWeld[[#This Row],[Adj. Total Hours]]+tbl_MacGyverWeld[[#This Row],[Est. Hours]])/(tbl_MacGyverWeld[[#This Row],[Total Hours Act]]+tbl_MacGyverWeld[[#This Row],[Act. Hours]]),"")</f>
        <v/>
      </c>
      <c r="S74" s="63"/>
      <c r="T74" s="63"/>
      <c r="U74" s="63"/>
      <c r="V74" s="63"/>
      <c r="W74" s="63"/>
      <c r="X74" s="63"/>
    </row>
    <row r="75" spans="6:24" ht="25" customHeight="1">
      <c r="F75" s="53"/>
      <c r="H75" s="55" t="e">
        <f>tbl_MacGyverWeld[[#This Row],[Qty Complete]]/tbl_MacGyverWeld[[#This Row],[Qty Required]]</f>
        <v>#DIV/0!</v>
      </c>
      <c r="K75" s="57" t="str">
        <f>IFERROR(tbl_MacGyverWeld[[#This Row],[Qty Required]]/tbl_MacGyverWeld[[#This Row],[PPH]]*tbl_MacGyverWeld[[#This Row],['# of men]],"")</f>
        <v/>
      </c>
      <c r="L75" s="58" t="e">
        <f>tbl_MacGyverWeld[[#This Row],[Total hours]]*tbl_MacGyverWeld[[#This Row],[% Complete]]</f>
        <v>#VALUE!</v>
      </c>
      <c r="M75" s="59" t="str">
        <f>IFERROR(tbl_MacGyverWeld[[#This Row],[Qty Complete]]/tbl_MacGyverWeld[[#This Row],[Total Hours Act]]*tbl_MacGyverWeld[[#This Row],['# of men Act]],"")</f>
        <v/>
      </c>
      <c r="O75"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75" s="71" t="str">
        <f>IFERROR((tbl_MacGyverWeld[[#This Row],[Adj. Total Hours]]+tbl_MacGyverWeld[[#This Row],[Est. Hours]])/(tbl_MacGyverWeld[[#This Row],[Total Hours Act]]+tbl_MacGyverWeld[[#This Row],[Act. Hours]]),"")</f>
        <v/>
      </c>
      <c r="S75" s="63"/>
      <c r="T75" s="63"/>
      <c r="U75" s="63"/>
      <c r="V75" s="63"/>
      <c r="W75" s="63"/>
      <c r="X75" s="63"/>
    </row>
    <row r="76" spans="6:24" ht="25" customHeight="1">
      <c r="F76" s="53"/>
      <c r="H76" s="55" t="e">
        <f>tbl_MacGyverWeld[[#This Row],[Qty Complete]]/tbl_MacGyverWeld[[#This Row],[Qty Required]]</f>
        <v>#DIV/0!</v>
      </c>
      <c r="K76" s="57" t="str">
        <f>IFERROR(tbl_MacGyverWeld[[#This Row],[Qty Required]]/tbl_MacGyverWeld[[#This Row],[PPH]]*tbl_MacGyverWeld[[#This Row],['# of men]],"")</f>
        <v/>
      </c>
      <c r="L76" s="58" t="e">
        <f>tbl_MacGyverWeld[[#This Row],[Total hours]]*tbl_MacGyverWeld[[#This Row],[% Complete]]</f>
        <v>#VALUE!</v>
      </c>
      <c r="M76" s="59" t="str">
        <f>IFERROR(tbl_MacGyverWeld[[#This Row],[Qty Complete]]/tbl_MacGyverWeld[[#This Row],[Total Hours Act]]*tbl_MacGyverWeld[[#This Row],['# of men Act]],"")</f>
        <v/>
      </c>
      <c r="O76"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76" s="71" t="str">
        <f>IFERROR((tbl_MacGyverWeld[[#This Row],[Adj. Total Hours]]+tbl_MacGyverWeld[[#This Row],[Est. Hours]])/(tbl_MacGyverWeld[[#This Row],[Total Hours Act]]+tbl_MacGyverWeld[[#This Row],[Act. Hours]]),"")</f>
        <v/>
      </c>
      <c r="S76" s="63"/>
      <c r="T76" s="63"/>
      <c r="U76" s="63"/>
      <c r="V76" s="63"/>
      <c r="W76" s="63"/>
      <c r="X76" s="63"/>
    </row>
    <row r="77" spans="6:24" ht="25" customHeight="1">
      <c r="F77" s="53"/>
      <c r="H77" s="55" t="e">
        <f>tbl_MacGyverWeld[[#This Row],[Qty Complete]]/tbl_MacGyverWeld[[#This Row],[Qty Required]]</f>
        <v>#DIV/0!</v>
      </c>
      <c r="K77" s="57" t="str">
        <f>IFERROR(tbl_MacGyverWeld[[#This Row],[Qty Required]]/tbl_MacGyverWeld[[#This Row],[PPH]]*tbl_MacGyverWeld[[#This Row],['# of men]],"")</f>
        <v/>
      </c>
      <c r="L77" s="58" t="e">
        <f>tbl_MacGyverWeld[[#This Row],[Total hours]]*tbl_MacGyverWeld[[#This Row],[% Complete]]</f>
        <v>#VALUE!</v>
      </c>
      <c r="M77" s="59" t="str">
        <f>IFERROR(tbl_MacGyverWeld[[#This Row],[Qty Complete]]/tbl_MacGyverWeld[[#This Row],[Total Hours Act]]*tbl_MacGyverWeld[[#This Row],['# of men Act]],"")</f>
        <v/>
      </c>
      <c r="O77"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77" s="71" t="str">
        <f>IFERROR((tbl_MacGyverWeld[[#This Row],[Adj. Total Hours]]+tbl_MacGyverWeld[[#This Row],[Est. Hours]])/(tbl_MacGyverWeld[[#This Row],[Total Hours Act]]+tbl_MacGyverWeld[[#This Row],[Act. Hours]]),"")</f>
        <v/>
      </c>
      <c r="S77" s="63"/>
      <c r="T77" s="63"/>
      <c r="U77" s="63"/>
      <c r="V77" s="63"/>
      <c r="W77" s="63"/>
      <c r="X77" s="63"/>
    </row>
    <row r="78" spans="6:24" ht="25" customHeight="1">
      <c r="F78" s="53"/>
      <c r="H78" s="55" t="e">
        <f>tbl_MacGyverWeld[[#This Row],[Qty Complete]]/tbl_MacGyverWeld[[#This Row],[Qty Required]]</f>
        <v>#DIV/0!</v>
      </c>
      <c r="K78" s="57" t="str">
        <f>IFERROR(tbl_MacGyverWeld[[#This Row],[Qty Required]]/tbl_MacGyverWeld[[#This Row],[PPH]]*tbl_MacGyverWeld[[#This Row],['# of men]],"")</f>
        <v/>
      </c>
      <c r="L78" s="58" t="e">
        <f>tbl_MacGyverWeld[[#This Row],[Total hours]]*tbl_MacGyverWeld[[#This Row],[% Complete]]</f>
        <v>#VALUE!</v>
      </c>
      <c r="M78" s="59" t="str">
        <f>IFERROR(tbl_MacGyverWeld[[#This Row],[Qty Complete]]/tbl_MacGyverWeld[[#This Row],[Total Hours Act]]*tbl_MacGyverWeld[[#This Row],['# of men Act]],"")</f>
        <v/>
      </c>
      <c r="O78"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78" s="71" t="str">
        <f>IFERROR((tbl_MacGyverWeld[[#This Row],[Adj. Total Hours]]+tbl_MacGyverWeld[[#This Row],[Est. Hours]])/(tbl_MacGyverWeld[[#This Row],[Total Hours Act]]+tbl_MacGyverWeld[[#This Row],[Act. Hours]]),"")</f>
        <v/>
      </c>
      <c r="S78" s="63"/>
      <c r="T78" s="63"/>
      <c r="U78" s="63"/>
      <c r="V78" s="63"/>
      <c r="W78" s="63"/>
      <c r="X78" s="63"/>
    </row>
    <row r="79" spans="6:24" ht="25" customHeight="1">
      <c r="F79" s="53"/>
      <c r="H79" s="55" t="e">
        <f>tbl_MacGyverWeld[[#This Row],[Qty Complete]]/tbl_MacGyverWeld[[#This Row],[Qty Required]]</f>
        <v>#DIV/0!</v>
      </c>
      <c r="K79" s="57" t="str">
        <f>IFERROR(tbl_MacGyverWeld[[#This Row],[Qty Required]]/tbl_MacGyverWeld[[#This Row],[PPH]]*tbl_MacGyverWeld[[#This Row],['# of men]],"")</f>
        <v/>
      </c>
      <c r="L79" s="58" t="e">
        <f>tbl_MacGyverWeld[[#This Row],[Total hours]]*tbl_MacGyverWeld[[#This Row],[% Complete]]</f>
        <v>#VALUE!</v>
      </c>
      <c r="M79" s="59" t="str">
        <f>IFERROR(tbl_MacGyverWeld[[#This Row],[Qty Complete]]/tbl_MacGyverWeld[[#This Row],[Total Hours Act]]*tbl_MacGyverWeld[[#This Row],['# of men Act]],"")</f>
        <v/>
      </c>
      <c r="O79"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79" s="71" t="str">
        <f>IFERROR((tbl_MacGyverWeld[[#This Row],[Adj. Total Hours]]+tbl_MacGyverWeld[[#This Row],[Est. Hours]])/(tbl_MacGyverWeld[[#This Row],[Total Hours Act]]+tbl_MacGyverWeld[[#This Row],[Act. Hours]]),"")</f>
        <v/>
      </c>
      <c r="S79" s="63"/>
      <c r="T79" s="63"/>
      <c r="U79" s="63"/>
      <c r="V79" s="63"/>
      <c r="W79" s="63"/>
      <c r="X79" s="63"/>
    </row>
    <row r="80" spans="6:24" ht="25" customHeight="1">
      <c r="F80" s="53"/>
      <c r="H80" s="55" t="e">
        <f>tbl_MacGyverWeld[[#This Row],[Qty Complete]]/tbl_MacGyverWeld[[#This Row],[Qty Required]]</f>
        <v>#DIV/0!</v>
      </c>
      <c r="K80" s="57" t="str">
        <f>IFERROR(tbl_MacGyverWeld[[#This Row],[Qty Required]]/tbl_MacGyverWeld[[#This Row],[PPH]]*tbl_MacGyverWeld[[#This Row],['# of men]],"")</f>
        <v/>
      </c>
      <c r="L80" s="58" t="e">
        <f>tbl_MacGyverWeld[[#This Row],[Total hours]]*tbl_MacGyverWeld[[#This Row],[% Complete]]</f>
        <v>#VALUE!</v>
      </c>
      <c r="M80" s="59" t="str">
        <f>IFERROR(tbl_MacGyverWeld[[#This Row],[Qty Complete]]/tbl_MacGyverWeld[[#This Row],[Total Hours Act]]*tbl_MacGyverWeld[[#This Row],['# of men Act]],"")</f>
        <v/>
      </c>
      <c r="O80"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80" s="71" t="str">
        <f>IFERROR((tbl_MacGyverWeld[[#This Row],[Adj. Total Hours]]+tbl_MacGyverWeld[[#This Row],[Est. Hours]])/(tbl_MacGyverWeld[[#This Row],[Total Hours Act]]+tbl_MacGyverWeld[[#This Row],[Act. Hours]]),"")</f>
        <v/>
      </c>
      <c r="S80" s="63"/>
      <c r="T80" s="63"/>
      <c r="U80" s="63"/>
      <c r="V80" s="63"/>
      <c r="W80" s="63"/>
      <c r="X80" s="63"/>
    </row>
    <row r="81" spans="6:24" ht="25" customHeight="1">
      <c r="F81" s="53"/>
      <c r="H81" s="55" t="e">
        <f>tbl_MacGyverWeld[[#This Row],[Qty Complete]]/tbl_MacGyverWeld[[#This Row],[Qty Required]]</f>
        <v>#DIV/0!</v>
      </c>
      <c r="K81" s="57" t="str">
        <f>IFERROR(tbl_MacGyverWeld[[#This Row],[Qty Required]]/tbl_MacGyverWeld[[#This Row],[PPH]]*tbl_MacGyverWeld[[#This Row],['# of men]],"")</f>
        <v/>
      </c>
      <c r="L81" s="58" t="e">
        <f>tbl_MacGyverWeld[[#This Row],[Total hours]]*tbl_MacGyverWeld[[#This Row],[% Complete]]</f>
        <v>#VALUE!</v>
      </c>
      <c r="M81" s="59" t="str">
        <f>IFERROR(tbl_MacGyverWeld[[#This Row],[Qty Complete]]/tbl_MacGyverWeld[[#This Row],[Total Hours Act]]*tbl_MacGyverWeld[[#This Row],['# of men Act]],"")</f>
        <v/>
      </c>
      <c r="O81"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81" s="71" t="str">
        <f>IFERROR((tbl_MacGyverWeld[[#This Row],[Adj. Total Hours]]+tbl_MacGyverWeld[[#This Row],[Est. Hours]])/(tbl_MacGyverWeld[[#This Row],[Total Hours Act]]+tbl_MacGyverWeld[[#This Row],[Act. Hours]]),"")</f>
        <v/>
      </c>
      <c r="S81" s="63"/>
      <c r="T81" s="63"/>
      <c r="U81" s="63"/>
      <c r="V81" s="63"/>
      <c r="W81" s="63"/>
      <c r="X81" s="63"/>
    </row>
    <row r="82" spans="6:24" ht="25" customHeight="1">
      <c r="F82" s="53"/>
      <c r="H82" s="55" t="e">
        <f>tbl_MacGyverWeld[[#This Row],[Qty Complete]]/tbl_MacGyverWeld[[#This Row],[Qty Required]]</f>
        <v>#DIV/0!</v>
      </c>
      <c r="K82" s="57" t="str">
        <f>IFERROR(tbl_MacGyverWeld[[#This Row],[Qty Required]]/tbl_MacGyverWeld[[#This Row],[PPH]]*tbl_MacGyverWeld[[#This Row],['# of men]],"")</f>
        <v/>
      </c>
      <c r="L82" s="58" t="e">
        <f>tbl_MacGyverWeld[[#This Row],[Total hours]]*tbl_MacGyverWeld[[#This Row],[% Complete]]</f>
        <v>#VALUE!</v>
      </c>
      <c r="M82" s="59" t="str">
        <f>IFERROR(tbl_MacGyverWeld[[#This Row],[Qty Complete]]/tbl_MacGyverWeld[[#This Row],[Total Hours Act]]*tbl_MacGyverWeld[[#This Row],['# of men Act]],"")</f>
        <v/>
      </c>
      <c r="O82"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82" s="71" t="str">
        <f>IFERROR((tbl_MacGyverWeld[[#This Row],[Adj. Total Hours]]+tbl_MacGyverWeld[[#This Row],[Est. Hours]])/(tbl_MacGyverWeld[[#This Row],[Total Hours Act]]+tbl_MacGyverWeld[[#This Row],[Act. Hours]]),"")</f>
        <v/>
      </c>
      <c r="S82" s="63"/>
      <c r="T82" s="63"/>
      <c r="U82" s="63"/>
      <c r="V82" s="63"/>
      <c r="W82" s="63"/>
      <c r="X82" s="63"/>
    </row>
    <row r="83" spans="6:24" ht="25" customHeight="1">
      <c r="F83" s="53"/>
      <c r="H83" s="55" t="e">
        <f>tbl_MacGyverWeld[[#This Row],[Qty Complete]]/tbl_MacGyverWeld[[#This Row],[Qty Required]]</f>
        <v>#DIV/0!</v>
      </c>
      <c r="K83" s="57" t="str">
        <f>IFERROR(tbl_MacGyverWeld[[#This Row],[Qty Required]]/tbl_MacGyverWeld[[#This Row],[PPH]]*tbl_MacGyverWeld[[#This Row],['# of men]],"")</f>
        <v/>
      </c>
      <c r="L83" s="58" t="e">
        <f>tbl_MacGyverWeld[[#This Row],[Total hours]]*tbl_MacGyverWeld[[#This Row],[% Complete]]</f>
        <v>#VALUE!</v>
      </c>
      <c r="M83" s="59" t="str">
        <f>IFERROR(tbl_MacGyverWeld[[#This Row],[Qty Complete]]/tbl_MacGyverWeld[[#This Row],[Total Hours Act]]*tbl_MacGyverWeld[[#This Row],['# of men Act]],"")</f>
        <v/>
      </c>
      <c r="O83"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83" s="71" t="str">
        <f>IFERROR((tbl_MacGyverWeld[[#This Row],[Adj. Total Hours]]+tbl_MacGyverWeld[[#This Row],[Est. Hours]])/(tbl_MacGyverWeld[[#This Row],[Total Hours Act]]+tbl_MacGyverWeld[[#This Row],[Act. Hours]]),"")</f>
        <v/>
      </c>
      <c r="S83" s="63"/>
      <c r="T83" s="63"/>
      <c r="U83" s="63"/>
      <c r="V83" s="63"/>
      <c r="W83" s="63"/>
      <c r="X83" s="63"/>
    </row>
    <row r="84" spans="6:24" ht="25" customHeight="1">
      <c r="F84" s="53"/>
      <c r="H84" s="55" t="e">
        <f>tbl_MacGyverWeld[[#This Row],[Qty Complete]]/tbl_MacGyverWeld[[#This Row],[Qty Required]]</f>
        <v>#DIV/0!</v>
      </c>
      <c r="K84" s="57" t="str">
        <f>IFERROR(tbl_MacGyverWeld[[#This Row],[Qty Required]]/tbl_MacGyverWeld[[#This Row],[PPH]]*tbl_MacGyverWeld[[#This Row],['# of men]],"")</f>
        <v/>
      </c>
      <c r="L84" s="58" t="e">
        <f>tbl_MacGyverWeld[[#This Row],[Total hours]]*tbl_MacGyverWeld[[#This Row],[% Complete]]</f>
        <v>#VALUE!</v>
      </c>
      <c r="M84" s="59" t="str">
        <f>IFERROR(tbl_MacGyverWeld[[#This Row],[Qty Complete]]/tbl_MacGyverWeld[[#This Row],[Total Hours Act]]*tbl_MacGyverWeld[[#This Row],['# of men Act]],"")</f>
        <v/>
      </c>
      <c r="O84"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84" s="71" t="str">
        <f>IFERROR((tbl_MacGyverWeld[[#This Row],[Adj. Total Hours]]+tbl_MacGyverWeld[[#This Row],[Est. Hours]])/(tbl_MacGyverWeld[[#This Row],[Total Hours Act]]+tbl_MacGyverWeld[[#This Row],[Act. Hours]]),"")</f>
        <v/>
      </c>
      <c r="S84" s="63"/>
      <c r="T84" s="63"/>
      <c r="U84" s="63"/>
      <c r="V84" s="63"/>
      <c r="W84" s="63"/>
      <c r="X84" s="63"/>
    </row>
    <row r="85" spans="6:24" ht="25" customHeight="1">
      <c r="F85" s="53"/>
      <c r="H85" s="55" t="e">
        <f>tbl_MacGyverWeld[[#This Row],[Qty Complete]]/tbl_MacGyverWeld[[#This Row],[Qty Required]]</f>
        <v>#DIV/0!</v>
      </c>
      <c r="K85" s="57" t="str">
        <f>IFERROR(tbl_MacGyverWeld[[#This Row],[Qty Required]]/tbl_MacGyverWeld[[#This Row],[PPH]]*tbl_MacGyverWeld[[#This Row],['# of men]],"")</f>
        <v/>
      </c>
      <c r="L85" s="58" t="e">
        <f>tbl_MacGyverWeld[[#This Row],[Total hours]]*tbl_MacGyverWeld[[#This Row],[% Complete]]</f>
        <v>#VALUE!</v>
      </c>
      <c r="M85" s="59" t="str">
        <f>IFERROR(tbl_MacGyverWeld[[#This Row],[Qty Complete]]/tbl_MacGyverWeld[[#This Row],[Total Hours Act]]*tbl_MacGyverWeld[[#This Row],['# of men Act]],"")</f>
        <v/>
      </c>
      <c r="O85"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85" s="71" t="str">
        <f>IFERROR((tbl_MacGyverWeld[[#This Row],[Adj. Total Hours]]+tbl_MacGyverWeld[[#This Row],[Est. Hours]])/(tbl_MacGyverWeld[[#This Row],[Total Hours Act]]+tbl_MacGyverWeld[[#This Row],[Act. Hours]]),"")</f>
        <v/>
      </c>
      <c r="S85" s="63"/>
      <c r="T85" s="63"/>
      <c r="U85" s="63"/>
      <c r="V85" s="63"/>
      <c r="W85" s="63"/>
      <c r="X85" s="63"/>
    </row>
    <row r="86" spans="6:24" ht="25" customHeight="1">
      <c r="F86" s="53"/>
      <c r="H86" s="55" t="e">
        <f>tbl_MacGyverWeld[[#This Row],[Qty Complete]]/tbl_MacGyverWeld[[#This Row],[Qty Required]]</f>
        <v>#DIV/0!</v>
      </c>
      <c r="K86" s="57" t="str">
        <f>IFERROR(tbl_MacGyverWeld[[#This Row],[Qty Required]]/tbl_MacGyverWeld[[#This Row],[PPH]]*tbl_MacGyverWeld[[#This Row],['# of men]],"")</f>
        <v/>
      </c>
      <c r="L86" s="58" t="e">
        <f>tbl_MacGyverWeld[[#This Row],[Total hours]]*tbl_MacGyverWeld[[#This Row],[% Complete]]</f>
        <v>#VALUE!</v>
      </c>
      <c r="M86" s="59" t="str">
        <f>IFERROR(tbl_MacGyverWeld[[#This Row],[Qty Complete]]/tbl_MacGyverWeld[[#This Row],[Total Hours Act]]*tbl_MacGyverWeld[[#This Row],['# of men Act]],"")</f>
        <v/>
      </c>
      <c r="O86"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86" s="71" t="str">
        <f>IFERROR((tbl_MacGyverWeld[[#This Row],[Adj. Total Hours]]+tbl_MacGyverWeld[[#This Row],[Est. Hours]])/(tbl_MacGyverWeld[[#This Row],[Total Hours Act]]+tbl_MacGyverWeld[[#This Row],[Act. Hours]]),"")</f>
        <v/>
      </c>
      <c r="S86" s="63"/>
      <c r="T86" s="63"/>
      <c r="U86" s="63"/>
      <c r="V86" s="63"/>
      <c r="W86" s="63"/>
      <c r="X86" s="63"/>
    </row>
    <row r="87" spans="6:24" ht="25" customHeight="1">
      <c r="F87" s="53"/>
      <c r="H87" s="55" t="e">
        <f>tbl_MacGyverWeld[[#This Row],[Qty Complete]]/tbl_MacGyverWeld[[#This Row],[Qty Required]]</f>
        <v>#DIV/0!</v>
      </c>
      <c r="K87" s="57" t="str">
        <f>IFERROR(tbl_MacGyverWeld[[#This Row],[Qty Required]]/tbl_MacGyverWeld[[#This Row],[PPH]]*tbl_MacGyverWeld[[#This Row],['# of men]],"")</f>
        <v/>
      </c>
      <c r="L87" s="58" t="e">
        <f>tbl_MacGyverWeld[[#This Row],[Total hours]]*tbl_MacGyverWeld[[#This Row],[% Complete]]</f>
        <v>#VALUE!</v>
      </c>
      <c r="M87" s="59" t="str">
        <f>IFERROR(tbl_MacGyverWeld[[#This Row],[Qty Complete]]/tbl_MacGyverWeld[[#This Row],[Total Hours Act]]*tbl_MacGyverWeld[[#This Row],['# of men Act]],"")</f>
        <v/>
      </c>
      <c r="O87"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87" s="71" t="str">
        <f>IFERROR((tbl_MacGyverWeld[[#This Row],[Adj. Total Hours]]+tbl_MacGyverWeld[[#This Row],[Est. Hours]])/(tbl_MacGyverWeld[[#This Row],[Total Hours Act]]+tbl_MacGyverWeld[[#This Row],[Act. Hours]]),"")</f>
        <v/>
      </c>
      <c r="S87" s="63"/>
      <c r="T87" s="63"/>
      <c r="U87" s="63"/>
      <c r="V87" s="63"/>
      <c r="W87" s="63"/>
      <c r="X87" s="63"/>
    </row>
    <row r="88" spans="6:24" ht="25" customHeight="1">
      <c r="F88" s="53"/>
      <c r="H88" s="55" t="e">
        <f>tbl_MacGyverWeld[[#This Row],[Qty Complete]]/tbl_MacGyverWeld[[#This Row],[Qty Required]]</f>
        <v>#DIV/0!</v>
      </c>
      <c r="K88" s="57" t="str">
        <f>IFERROR(tbl_MacGyverWeld[[#This Row],[Qty Required]]/tbl_MacGyverWeld[[#This Row],[PPH]]*tbl_MacGyverWeld[[#This Row],['# of men]],"")</f>
        <v/>
      </c>
      <c r="L88" s="58" t="e">
        <f>tbl_MacGyverWeld[[#This Row],[Total hours]]*tbl_MacGyverWeld[[#This Row],[% Complete]]</f>
        <v>#VALUE!</v>
      </c>
      <c r="M88" s="59" t="str">
        <f>IFERROR(tbl_MacGyverWeld[[#This Row],[Qty Complete]]/tbl_MacGyverWeld[[#This Row],[Total Hours Act]]*tbl_MacGyverWeld[[#This Row],['# of men Act]],"")</f>
        <v/>
      </c>
      <c r="O88"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88" s="71" t="str">
        <f>IFERROR((tbl_MacGyverWeld[[#This Row],[Adj. Total Hours]]+tbl_MacGyverWeld[[#This Row],[Est. Hours]])/(tbl_MacGyverWeld[[#This Row],[Total Hours Act]]+tbl_MacGyverWeld[[#This Row],[Act. Hours]]),"")</f>
        <v/>
      </c>
      <c r="S88" s="63"/>
      <c r="T88" s="63"/>
      <c r="U88" s="63"/>
      <c r="V88" s="63"/>
      <c r="W88" s="63"/>
      <c r="X88" s="63"/>
    </row>
    <row r="89" spans="6:24" ht="25" customHeight="1">
      <c r="F89" s="53"/>
      <c r="H89" s="55" t="e">
        <f>tbl_MacGyverWeld[[#This Row],[Qty Complete]]/tbl_MacGyverWeld[[#This Row],[Qty Required]]</f>
        <v>#DIV/0!</v>
      </c>
      <c r="K89" s="57" t="str">
        <f>IFERROR(tbl_MacGyverWeld[[#This Row],[Qty Required]]/tbl_MacGyverWeld[[#This Row],[PPH]]*tbl_MacGyverWeld[[#This Row],['# of men]],"")</f>
        <v/>
      </c>
      <c r="L89" s="58" t="e">
        <f>tbl_MacGyverWeld[[#This Row],[Total hours]]*tbl_MacGyverWeld[[#This Row],[% Complete]]</f>
        <v>#VALUE!</v>
      </c>
      <c r="M89" s="59" t="str">
        <f>IFERROR(tbl_MacGyverWeld[[#This Row],[Qty Complete]]/tbl_MacGyverWeld[[#This Row],[Total Hours Act]]*tbl_MacGyverWeld[[#This Row],['# of men Act]],"")</f>
        <v/>
      </c>
      <c r="O89"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89" s="71" t="str">
        <f>IFERROR((tbl_MacGyverWeld[[#This Row],[Adj. Total Hours]]+tbl_MacGyverWeld[[#This Row],[Est. Hours]])/(tbl_MacGyverWeld[[#This Row],[Total Hours Act]]+tbl_MacGyverWeld[[#This Row],[Act. Hours]]),"")</f>
        <v/>
      </c>
      <c r="S89" s="63"/>
      <c r="T89" s="63"/>
      <c r="U89" s="63"/>
      <c r="V89" s="63"/>
      <c r="W89" s="63"/>
      <c r="X89" s="63"/>
    </row>
    <row r="90" spans="6:24" ht="25" customHeight="1">
      <c r="F90" s="53"/>
      <c r="H90" s="55" t="e">
        <f>tbl_MacGyverWeld[[#This Row],[Qty Complete]]/tbl_MacGyverWeld[[#This Row],[Qty Required]]</f>
        <v>#DIV/0!</v>
      </c>
      <c r="K90" s="57" t="str">
        <f>IFERROR(tbl_MacGyverWeld[[#This Row],[Qty Required]]/tbl_MacGyverWeld[[#This Row],[PPH]]*tbl_MacGyverWeld[[#This Row],['# of men]],"")</f>
        <v/>
      </c>
      <c r="L90" s="58" t="e">
        <f>tbl_MacGyverWeld[[#This Row],[Total hours]]*tbl_MacGyverWeld[[#This Row],[% Complete]]</f>
        <v>#VALUE!</v>
      </c>
      <c r="M90" s="59" t="str">
        <f>IFERROR(tbl_MacGyverWeld[[#This Row],[Qty Complete]]/tbl_MacGyverWeld[[#This Row],[Total Hours Act]]*tbl_MacGyverWeld[[#This Row],['# of men Act]],"")</f>
        <v/>
      </c>
      <c r="O90"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90" s="71" t="str">
        <f>IFERROR((tbl_MacGyverWeld[[#This Row],[Adj. Total Hours]]+tbl_MacGyverWeld[[#This Row],[Est. Hours]])/(tbl_MacGyverWeld[[#This Row],[Total Hours Act]]+tbl_MacGyverWeld[[#This Row],[Act. Hours]]),"")</f>
        <v/>
      </c>
      <c r="S90" s="63"/>
      <c r="T90" s="63"/>
      <c r="U90" s="63"/>
      <c r="V90" s="63"/>
      <c r="W90" s="63"/>
      <c r="X90" s="63"/>
    </row>
    <row r="91" spans="6:24" ht="25" customHeight="1">
      <c r="F91" s="53"/>
      <c r="H91" s="55" t="e">
        <f>tbl_MacGyverWeld[[#This Row],[Qty Complete]]/tbl_MacGyverWeld[[#This Row],[Qty Required]]</f>
        <v>#DIV/0!</v>
      </c>
      <c r="K91" s="57" t="str">
        <f>IFERROR(tbl_MacGyverWeld[[#This Row],[Qty Required]]/tbl_MacGyverWeld[[#This Row],[PPH]]*tbl_MacGyverWeld[[#This Row],['# of men]],"")</f>
        <v/>
      </c>
      <c r="L91" s="58" t="e">
        <f>tbl_MacGyverWeld[[#This Row],[Total hours]]*tbl_MacGyverWeld[[#This Row],[% Complete]]</f>
        <v>#VALUE!</v>
      </c>
      <c r="M91" s="59" t="str">
        <f>IFERROR(tbl_MacGyverWeld[[#This Row],[Qty Complete]]/tbl_MacGyverWeld[[#This Row],[Total Hours Act]]*tbl_MacGyverWeld[[#This Row],['# of men Act]],"")</f>
        <v/>
      </c>
      <c r="O91"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91" s="71" t="str">
        <f>IFERROR((tbl_MacGyverWeld[[#This Row],[Adj. Total Hours]]+tbl_MacGyverWeld[[#This Row],[Est. Hours]])/(tbl_MacGyverWeld[[#This Row],[Total Hours Act]]+tbl_MacGyverWeld[[#This Row],[Act. Hours]]),"")</f>
        <v/>
      </c>
      <c r="S91" s="63"/>
      <c r="T91" s="63"/>
      <c r="U91" s="63"/>
      <c r="V91" s="63"/>
      <c r="W91" s="63"/>
      <c r="X91" s="63"/>
    </row>
    <row r="92" spans="6:24" ht="25" customHeight="1">
      <c r="F92" s="53"/>
      <c r="H92" s="55" t="e">
        <f>tbl_MacGyverWeld[[#This Row],[Qty Complete]]/tbl_MacGyverWeld[[#This Row],[Qty Required]]</f>
        <v>#DIV/0!</v>
      </c>
      <c r="K92" s="57" t="str">
        <f>IFERROR(tbl_MacGyverWeld[[#This Row],[Qty Required]]/tbl_MacGyverWeld[[#This Row],[PPH]]*tbl_MacGyverWeld[[#This Row],['# of men]],"")</f>
        <v/>
      </c>
      <c r="L92" s="58" t="e">
        <f>tbl_MacGyverWeld[[#This Row],[Total hours]]*tbl_MacGyverWeld[[#This Row],[% Complete]]</f>
        <v>#VALUE!</v>
      </c>
      <c r="M92" s="59" t="str">
        <f>IFERROR(tbl_MacGyverWeld[[#This Row],[Qty Complete]]/tbl_MacGyverWeld[[#This Row],[Total Hours Act]]*tbl_MacGyverWeld[[#This Row],['# of men Act]],"")</f>
        <v/>
      </c>
      <c r="O92"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92" s="71" t="str">
        <f>IFERROR((tbl_MacGyverWeld[[#This Row],[Adj. Total Hours]]+tbl_MacGyverWeld[[#This Row],[Est. Hours]])/(tbl_MacGyverWeld[[#This Row],[Total Hours Act]]+tbl_MacGyverWeld[[#This Row],[Act. Hours]]),"")</f>
        <v/>
      </c>
      <c r="S92" s="63"/>
      <c r="T92" s="63"/>
      <c r="U92" s="63"/>
      <c r="V92" s="63"/>
      <c r="W92" s="63"/>
      <c r="X92" s="63"/>
    </row>
    <row r="93" spans="6:24" ht="25" customHeight="1">
      <c r="F93" s="53"/>
      <c r="H93" s="55" t="e">
        <f>tbl_MacGyverWeld[[#This Row],[Qty Complete]]/tbl_MacGyverWeld[[#This Row],[Qty Required]]</f>
        <v>#DIV/0!</v>
      </c>
      <c r="K93" s="57" t="str">
        <f>IFERROR(tbl_MacGyverWeld[[#This Row],[Qty Required]]/tbl_MacGyverWeld[[#This Row],[PPH]]*tbl_MacGyverWeld[[#This Row],['# of men]],"")</f>
        <v/>
      </c>
      <c r="L93" s="58" t="e">
        <f>tbl_MacGyverWeld[[#This Row],[Total hours]]*tbl_MacGyverWeld[[#This Row],[% Complete]]</f>
        <v>#VALUE!</v>
      </c>
      <c r="M93" s="59" t="str">
        <f>IFERROR(tbl_MacGyverWeld[[#This Row],[Qty Complete]]/tbl_MacGyverWeld[[#This Row],[Total Hours Act]]*tbl_MacGyverWeld[[#This Row],['# of men Act]],"")</f>
        <v/>
      </c>
      <c r="O93"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93" s="71" t="str">
        <f>IFERROR((tbl_MacGyverWeld[[#This Row],[Adj. Total Hours]]+tbl_MacGyverWeld[[#This Row],[Est. Hours]])/(tbl_MacGyverWeld[[#This Row],[Total Hours Act]]+tbl_MacGyverWeld[[#This Row],[Act. Hours]]),"")</f>
        <v/>
      </c>
      <c r="S93" s="63"/>
      <c r="T93" s="63"/>
      <c r="U93" s="63"/>
      <c r="V93" s="63"/>
      <c r="W93" s="63"/>
      <c r="X93" s="63"/>
    </row>
    <row r="94" spans="6:24" ht="25" customHeight="1">
      <c r="F94" s="53"/>
      <c r="H94" s="55" t="e">
        <f>tbl_MacGyverWeld[[#This Row],[Qty Complete]]/tbl_MacGyverWeld[[#This Row],[Qty Required]]</f>
        <v>#DIV/0!</v>
      </c>
      <c r="K94" s="57" t="str">
        <f>IFERROR(tbl_MacGyverWeld[[#This Row],[Qty Required]]/tbl_MacGyverWeld[[#This Row],[PPH]]*tbl_MacGyverWeld[[#This Row],['# of men]],"")</f>
        <v/>
      </c>
      <c r="L94" s="58" t="e">
        <f>tbl_MacGyverWeld[[#This Row],[Total hours]]*tbl_MacGyverWeld[[#This Row],[% Complete]]</f>
        <v>#VALUE!</v>
      </c>
      <c r="M94" s="59" t="str">
        <f>IFERROR(tbl_MacGyverWeld[[#This Row],[Qty Complete]]/tbl_MacGyverWeld[[#This Row],[Total Hours Act]]*tbl_MacGyverWeld[[#This Row],['# of men Act]],"")</f>
        <v/>
      </c>
      <c r="O94"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94" s="71" t="str">
        <f>IFERROR((tbl_MacGyverWeld[[#This Row],[Adj. Total Hours]]+tbl_MacGyverWeld[[#This Row],[Est. Hours]])/(tbl_MacGyverWeld[[#This Row],[Total Hours Act]]+tbl_MacGyverWeld[[#This Row],[Act. Hours]]),"")</f>
        <v/>
      </c>
      <c r="S94" s="63"/>
      <c r="T94" s="63"/>
      <c r="U94" s="63"/>
      <c r="V94" s="63"/>
      <c r="W94" s="63"/>
      <c r="X94" s="63"/>
    </row>
    <row r="95" spans="6:24" ht="25" customHeight="1">
      <c r="F95" s="53"/>
      <c r="H95" s="55" t="e">
        <f>tbl_MacGyverWeld[[#This Row],[Qty Complete]]/tbl_MacGyverWeld[[#This Row],[Qty Required]]</f>
        <v>#DIV/0!</v>
      </c>
      <c r="K95" s="57" t="str">
        <f>IFERROR(tbl_MacGyverWeld[[#This Row],[Qty Required]]/tbl_MacGyverWeld[[#This Row],[PPH]]*tbl_MacGyverWeld[[#This Row],['# of men]],"")</f>
        <v/>
      </c>
      <c r="L95" s="58" t="e">
        <f>tbl_MacGyverWeld[[#This Row],[Total hours]]*tbl_MacGyverWeld[[#This Row],[% Complete]]</f>
        <v>#VALUE!</v>
      </c>
      <c r="M95" s="59" t="str">
        <f>IFERROR(tbl_MacGyverWeld[[#This Row],[Qty Complete]]/tbl_MacGyverWeld[[#This Row],[Total Hours Act]]*tbl_MacGyverWeld[[#This Row],['# of men Act]],"")</f>
        <v/>
      </c>
      <c r="O95"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95" s="71" t="str">
        <f>IFERROR((tbl_MacGyverWeld[[#This Row],[Adj. Total Hours]]+tbl_MacGyverWeld[[#This Row],[Est. Hours]])/(tbl_MacGyverWeld[[#This Row],[Total Hours Act]]+tbl_MacGyverWeld[[#This Row],[Act. Hours]]),"")</f>
        <v/>
      </c>
      <c r="S95" s="63"/>
      <c r="T95" s="63"/>
      <c r="U95" s="63"/>
      <c r="V95" s="63"/>
      <c r="W95" s="63"/>
      <c r="X95" s="63"/>
    </row>
    <row r="96" spans="6:24" ht="25" customHeight="1">
      <c r="F96" s="53"/>
      <c r="H96" s="55" t="e">
        <f>tbl_MacGyverWeld[[#This Row],[Qty Complete]]/tbl_MacGyverWeld[[#This Row],[Qty Required]]</f>
        <v>#DIV/0!</v>
      </c>
      <c r="K96" s="57" t="str">
        <f>IFERROR(tbl_MacGyverWeld[[#This Row],[Qty Required]]/tbl_MacGyverWeld[[#This Row],[PPH]]*tbl_MacGyverWeld[[#This Row],['# of men]],"")</f>
        <v/>
      </c>
      <c r="L96" s="58" t="e">
        <f>tbl_MacGyverWeld[[#This Row],[Total hours]]*tbl_MacGyverWeld[[#This Row],[% Complete]]</f>
        <v>#VALUE!</v>
      </c>
      <c r="M96" s="59" t="str">
        <f>IFERROR(tbl_MacGyverWeld[[#This Row],[Qty Complete]]/tbl_MacGyverWeld[[#This Row],[Total Hours Act]]*tbl_MacGyverWeld[[#This Row],['# of men Act]],"")</f>
        <v/>
      </c>
      <c r="O96"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96" s="71" t="str">
        <f>IFERROR((tbl_MacGyverWeld[[#This Row],[Adj. Total Hours]]+tbl_MacGyverWeld[[#This Row],[Est. Hours]])/(tbl_MacGyverWeld[[#This Row],[Total Hours Act]]+tbl_MacGyverWeld[[#This Row],[Act. Hours]]),"")</f>
        <v/>
      </c>
      <c r="S96" s="63"/>
      <c r="T96" s="63"/>
      <c r="U96" s="63"/>
      <c r="V96" s="63"/>
      <c r="W96" s="63"/>
      <c r="X96" s="63"/>
    </row>
    <row r="97" spans="6:24" ht="25" customHeight="1">
      <c r="F97" s="53"/>
      <c r="H97" s="55" t="e">
        <f>tbl_MacGyverWeld[[#This Row],[Qty Complete]]/tbl_MacGyverWeld[[#This Row],[Qty Required]]</f>
        <v>#DIV/0!</v>
      </c>
      <c r="K97" s="57" t="str">
        <f>IFERROR(tbl_MacGyverWeld[[#This Row],[Qty Required]]/tbl_MacGyverWeld[[#This Row],[PPH]]*tbl_MacGyverWeld[[#This Row],['# of men]],"")</f>
        <v/>
      </c>
      <c r="L97" s="58" t="e">
        <f>tbl_MacGyverWeld[[#This Row],[Total hours]]*tbl_MacGyverWeld[[#This Row],[% Complete]]</f>
        <v>#VALUE!</v>
      </c>
      <c r="M97" s="59" t="str">
        <f>IFERROR(tbl_MacGyverWeld[[#This Row],[Qty Complete]]/tbl_MacGyverWeld[[#This Row],[Total Hours Act]]*tbl_MacGyverWeld[[#This Row],['# of men Act]],"")</f>
        <v/>
      </c>
      <c r="O97"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97" s="71" t="str">
        <f>IFERROR((tbl_MacGyverWeld[[#This Row],[Adj. Total Hours]]+tbl_MacGyverWeld[[#This Row],[Est. Hours]])/(tbl_MacGyverWeld[[#This Row],[Total Hours Act]]+tbl_MacGyverWeld[[#This Row],[Act. Hours]]),"")</f>
        <v/>
      </c>
      <c r="S97" s="63"/>
      <c r="T97" s="63"/>
      <c r="U97" s="63"/>
      <c r="V97" s="63"/>
      <c r="W97" s="63"/>
      <c r="X97" s="63"/>
    </row>
    <row r="98" spans="6:24" ht="25" customHeight="1">
      <c r="F98" s="53"/>
      <c r="H98" s="55" t="e">
        <f>tbl_MacGyverWeld[[#This Row],[Qty Complete]]/tbl_MacGyverWeld[[#This Row],[Qty Required]]</f>
        <v>#DIV/0!</v>
      </c>
      <c r="K98" s="57" t="str">
        <f>IFERROR(tbl_MacGyverWeld[[#This Row],[Qty Required]]/tbl_MacGyverWeld[[#This Row],[PPH]]*tbl_MacGyverWeld[[#This Row],['# of men]],"")</f>
        <v/>
      </c>
      <c r="L98" s="58" t="e">
        <f>tbl_MacGyverWeld[[#This Row],[Total hours]]*tbl_MacGyverWeld[[#This Row],[% Complete]]</f>
        <v>#VALUE!</v>
      </c>
      <c r="M98" s="59" t="str">
        <f>IFERROR(tbl_MacGyverWeld[[#This Row],[Qty Complete]]/tbl_MacGyverWeld[[#This Row],[Total Hours Act]]*tbl_MacGyverWeld[[#This Row],['# of men Act]],"")</f>
        <v/>
      </c>
      <c r="O98"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98" s="71" t="str">
        <f>IFERROR((tbl_MacGyverWeld[[#This Row],[Adj. Total Hours]]+tbl_MacGyverWeld[[#This Row],[Est. Hours]])/(tbl_MacGyverWeld[[#This Row],[Total Hours Act]]+tbl_MacGyverWeld[[#This Row],[Act. Hours]]),"")</f>
        <v/>
      </c>
      <c r="S98" s="63"/>
      <c r="T98" s="63"/>
      <c r="U98" s="63"/>
      <c r="V98" s="63"/>
      <c r="W98" s="63"/>
      <c r="X98" s="63"/>
    </row>
    <row r="99" spans="6:24" ht="25" customHeight="1">
      <c r="F99" s="53"/>
      <c r="H99" s="55" t="e">
        <f>tbl_MacGyverWeld[[#This Row],[Qty Complete]]/tbl_MacGyverWeld[[#This Row],[Qty Required]]</f>
        <v>#DIV/0!</v>
      </c>
      <c r="K99" s="57" t="str">
        <f>IFERROR(tbl_MacGyverWeld[[#This Row],[Qty Required]]/tbl_MacGyverWeld[[#This Row],[PPH]]*tbl_MacGyverWeld[[#This Row],['# of men]],"")</f>
        <v/>
      </c>
      <c r="L99" s="58" t="e">
        <f>tbl_MacGyverWeld[[#This Row],[Total hours]]*tbl_MacGyverWeld[[#This Row],[% Complete]]</f>
        <v>#VALUE!</v>
      </c>
      <c r="M99" s="59" t="str">
        <f>IFERROR(tbl_MacGyverWeld[[#This Row],[Qty Complete]]/tbl_MacGyverWeld[[#This Row],[Total Hours Act]]*tbl_MacGyverWeld[[#This Row],['# of men Act]],"")</f>
        <v/>
      </c>
      <c r="O99"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99" s="71" t="str">
        <f>IFERROR((tbl_MacGyverWeld[[#This Row],[Adj. Total Hours]]+tbl_MacGyverWeld[[#This Row],[Est. Hours]])/(tbl_MacGyverWeld[[#This Row],[Total Hours Act]]+tbl_MacGyverWeld[[#This Row],[Act. Hours]]),"")</f>
        <v/>
      </c>
      <c r="S99" s="63"/>
      <c r="T99" s="63"/>
      <c r="U99" s="63"/>
      <c r="V99" s="63"/>
      <c r="W99" s="63"/>
      <c r="X99" s="63"/>
    </row>
    <row r="100" spans="6:24" ht="25" customHeight="1">
      <c r="F100" s="53"/>
      <c r="H100" s="55" t="e">
        <f>tbl_MacGyverWeld[[#This Row],[Qty Complete]]/tbl_MacGyverWeld[[#This Row],[Qty Required]]</f>
        <v>#DIV/0!</v>
      </c>
      <c r="K100" s="57" t="str">
        <f>IFERROR(tbl_MacGyverWeld[[#This Row],[Qty Required]]/tbl_MacGyverWeld[[#This Row],[PPH]]*tbl_MacGyverWeld[[#This Row],['# of men]],"")</f>
        <v/>
      </c>
      <c r="L100" s="58" t="e">
        <f>tbl_MacGyverWeld[[#This Row],[Total hours]]*tbl_MacGyverWeld[[#This Row],[% Complete]]</f>
        <v>#VALUE!</v>
      </c>
      <c r="M100" s="59" t="str">
        <f>IFERROR(tbl_MacGyverWeld[[#This Row],[Qty Complete]]/tbl_MacGyverWeld[[#This Row],[Total Hours Act]]*tbl_MacGyverWeld[[#This Row],['# of men Act]],"")</f>
        <v/>
      </c>
      <c r="O100"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00" s="71" t="str">
        <f>IFERROR((tbl_MacGyverWeld[[#This Row],[Adj. Total Hours]]+tbl_MacGyverWeld[[#This Row],[Est. Hours]])/(tbl_MacGyverWeld[[#This Row],[Total Hours Act]]+tbl_MacGyverWeld[[#This Row],[Act. Hours]]),"")</f>
        <v/>
      </c>
      <c r="S100" s="63"/>
      <c r="T100" s="63"/>
      <c r="U100" s="63"/>
      <c r="V100" s="63"/>
      <c r="W100" s="63"/>
      <c r="X100" s="63"/>
    </row>
    <row r="101" spans="6:24" ht="25" customHeight="1">
      <c r="F101" s="53"/>
      <c r="H101" s="55" t="e">
        <f>tbl_MacGyverWeld[[#This Row],[Qty Complete]]/tbl_MacGyverWeld[[#This Row],[Qty Required]]</f>
        <v>#DIV/0!</v>
      </c>
      <c r="K101" s="57" t="str">
        <f>IFERROR(tbl_MacGyverWeld[[#This Row],[Qty Required]]/tbl_MacGyverWeld[[#This Row],[PPH]]*tbl_MacGyverWeld[[#This Row],['# of men]],"")</f>
        <v/>
      </c>
      <c r="L101" s="58" t="e">
        <f>tbl_MacGyverWeld[[#This Row],[Total hours]]*tbl_MacGyverWeld[[#This Row],[% Complete]]</f>
        <v>#VALUE!</v>
      </c>
      <c r="M101" s="59" t="str">
        <f>IFERROR(tbl_MacGyverWeld[[#This Row],[Qty Complete]]/tbl_MacGyverWeld[[#This Row],[Total Hours Act]]*tbl_MacGyverWeld[[#This Row],['# of men Act]],"")</f>
        <v/>
      </c>
      <c r="O101"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01" s="71" t="str">
        <f>IFERROR((tbl_MacGyverWeld[[#This Row],[Adj. Total Hours]]+tbl_MacGyverWeld[[#This Row],[Est. Hours]])/(tbl_MacGyverWeld[[#This Row],[Total Hours Act]]+tbl_MacGyverWeld[[#This Row],[Act. Hours]]),"")</f>
        <v/>
      </c>
      <c r="S101" s="63"/>
      <c r="T101" s="63"/>
      <c r="U101" s="63"/>
      <c r="V101" s="63"/>
      <c r="W101" s="63"/>
      <c r="X101" s="63"/>
    </row>
    <row r="102" spans="6:24" ht="25" customHeight="1">
      <c r="F102" s="53"/>
      <c r="H102" s="55" t="e">
        <f>tbl_MacGyverWeld[[#This Row],[Qty Complete]]/tbl_MacGyverWeld[[#This Row],[Qty Required]]</f>
        <v>#DIV/0!</v>
      </c>
      <c r="K102" s="57" t="str">
        <f>IFERROR(tbl_MacGyverWeld[[#This Row],[Qty Required]]/tbl_MacGyverWeld[[#This Row],[PPH]]*tbl_MacGyverWeld[[#This Row],['# of men]],"")</f>
        <v/>
      </c>
      <c r="L102" s="58" t="e">
        <f>tbl_MacGyverWeld[[#This Row],[Total hours]]*tbl_MacGyverWeld[[#This Row],[% Complete]]</f>
        <v>#VALUE!</v>
      </c>
      <c r="M102" s="59" t="str">
        <f>IFERROR(tbl_MacGyverWeld[[#This Row],[Qty Complete]]/tbl_MacGyverWeld[[#This Row],[Total Hours Act]]*tbl_MacGyverWeld[[#This Row],['# of men Act]],"")</f>
        <v/>
      </c>
      <c r="O102"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02" s="71" t="str">
        <f>IFERROR((tbl_MacGyverWeld[[#This Row],[Adj. Total Hours]]+tbl_MacGyverWeld[[#This Row],[Est. Hours]])/(tbl_MacGyverWeld[[#This Row],[Total Hours Act]]+tbl_MacGyverWeld[[#This Row],[Act. Hours]]),"")</f>
        <v/>
      </c>
      <c r="S102" s="63"/>
      <c r="T102" s="63"/>
      <c r="U102" s="63"/>
      <c r="V102" s="63"/>
      <c r="W102" s="63"/>
      <c r="X102" s="63"/>
    </row>
    <row r="103" spans="6:24" ht="25" customHeight="1">
      <c r="F103" s="53"/>
      <c r="H103" s="55" t="e">
        <f>tbl_MacGyverWeld[[#This Row],[Qty Complete]]/tbl_MacGyverWeld[[#This Row],[Qty Required]]</f>
        <v>#DIV/0!</v>
      </c>
      <c r="K103" s="57" t="str">
        <f>IFERROR(tbl_MacGyverWeld[[#This Row],[Qty Required]]/tbl_MacGyverWeld[[#This Row],[PPH]]*tbl_MacGyverWeld[[#This Row],['# of men]],"")</f>
        <v/>
      </c>
      <c r="L103" s="58" t="e">
        <f>tbl_MacGyverWeld[[#This Row],[Total hours]]*tbl_MacGyverWeld[[#This Row],[% Complete]]</f>
        <v>#VALUE!</v>
      </c>
      <c r="M103" s="59" t="str">
        <f>IFERROR(tbl_MacGyverWeld[[#This Row],[Qty Complete]]/tbl_MacGyverWeld[[#This Row],[Total Hours Act]]*tbl_MacGyverWeld[[#This Row],['# of men Act]],"")</f>
        <v/>
      </c>
      <c r="O103"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03" s="71" t="str">
        <f>IFERROR((tbl_MacGyverWeld[[#This Row],[Adj. Total Hours]]+tbl_MacGyverWeld[[#This Row],[Est. Hours]])/(tbl_MacGyverWeld[[#This Row],[Total Hours Act]]+tbl_MacGyverWeld[[#This Row],[Act. Hours]]),"")</f>
        <v/>
      </c>
      <c r="S103" s="63"/>
      <c r="T103" s="63"/>
      <c r="U103" s="63"/>
      <c r="V103" s="63"/>
      <c r="W103" s="63"/>
      <c r="X103" s="63"/>
    </row>
    <row r="104" spans="6:24" ht="25" customHeight="1">
      <c r="F104" s="53"/>
      <c r="H104" s="55" t="e">
        <f>tbl_MacGyverWeld[[#This Row],[Qty Complete]]/tbl_MacGyverWeld[[#This Row],[Qty Required]]</f>
        <v>#DIV/0!</v>
      </c>
      <c r="K104" s="57" t="str">
        <f>IFERROR(tbl_MacGyverWeld[[#This Row],[Qty Required]]/tbl_MacGyverWeld[[#This Row],[PPH]]*tbl_MacGyverWeld[[#This Row],['# of men]],"")</f>
        <v/>
      </c>
      <c r="L104" s="58" t="e">
        <f>tbl_MacGyverWeld[[#This Row],[Total hours]]*tbl_MacGyverWeld[[#This Row],[% Complete]]</f>
        <v>#VALUE!</v>
      </c>
      <c r="M104" s="59" t="str">
        <f>IFERROR(tbl_MacGyverWeld[[#This Row],[Qty Complete]]/tbl_MacGyverWeld[[#This Row],[Total Hours Act]]*tbl_MacGyverWeld[[#This Row],['# of men Act]],"")</f>
        <v/>
      </c>
      <c r="O104"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04" s="71" t="str">
        <f>IFERROR((tbl_MacGyverWeld[[#This Row],[Adj. Total Hours]]+tbl_MacGyverWeld[[#This Row],[Est. Hours]])/(tbl_MacGyverWeld[[#This Row],[Total Hours Act]]+tbl_MacGyverWeld[[#This Row],[Act. Hours]]),"")</f>
        <v/>
      </c>
      <c r="S104" s="63"/>
      <c r="T104" s="63"/>
      <c r="U104" s="63"/>
      <c r="V104" s="63"/>
      <c r="W104" s="63"/>
      <c r="X104" s="63"/>
    </row>
    <row r="105" spans="6:24" ht="25" customHeight="1">
      <c r="F105" s="53"/>
      <c r="H105" s="55" t="e">
        <f>tbl_MacGyverWeld[[#This Row],[Qty Complete]]/tbl_MacGyverWeld[[#This Row],[Qty Required]]</f>
        <v>#DIV/0!</v>
      </c>
      <c r="K105" s="57" t="str">
        <f>IFERROR(tbl_MacGyverWeld[[#This Row],[Qty Required]]/tbl_MacGyverWeld[[#This Row],[PPH]]*tbl_MacGyverWeld[[#This Row],['# of men]],"")</f>
        <v/>
      </c>
      <c r="L105" s="58" t="e">
        <f>tbl_MacGyverWeld[[#This Row],[Total hours]]*tbl_MacGyverWeld[[#This Row],[% Complete]]</f>
        <v>#VALUE!</v>
      </c>
      <c r="M105" s="59" t="str">
        <f>IFERROR(tbl_MacGyverWeld[[#This Row],[Qty Complete]]/tbl_MacGyverWeld[[#This Row],[Total Hours Act]]*tbl_MacGyverWeld[[#This Row],['# of men Act]],"")</f>
        <v/>
      </c>
      <c r="O105"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05" s="71" t="str">
        <f>IFERROR((tbl_MacGyverWeld[[#This Row],[Adj. Total Hours]]+tbl_MacGyverWeld[[#This Row],[Est. Hours]])/(tbl_MacGyverWeld[[#This Row],[Total Hours Act]]+tbl_MacGyverWeld[[#This Row],[Act. Hours]]),"")</f>
        <v/>
      </c>
      <c r="S105" s="63"/>
      <c r="T105" s="63"/>
      <c r="U105" s="63"/>
      <c r="V105" s="63"/>
      <c r="W105" s="63"/>
      <c r="X105" s="63"/>
    </row>
    <row r="106" spans="6:24" ht="25" customHeight="1">
      <c r="F106" s="53"/>
      <c r="H106" s="55" t="e">
        <f>tbl_MacGyverWeld[[#This Row],[Qty Complete]]/tbl_MacGyverWeld[[#This Row],[Qty Required]]</f>
        <v>#DIV/0!</v>
      </c>
      <c r="K106" s="57" t="str">
        <f>IFERROR(tbl_MacGyverWeld[[#This Row],[Qty Required]]/tbl_MacGyverWeld[[#This Row],[PPH]]*tbl_MacGyverWeld[[#This Row],['# of men]],"")</f>
        <v/>
      </c>
      <c r="L106" s="58" t="e">
        <f>tbl_MacGyverWeld[[#This Row],[Total hours]]*tbl_MacGyverWeld[[#This Row],[% Complete]]</f>
        <v>#VALUE!</v>
      </c>
      <c r="M106" s="59" t="str">
        <f>IFERROR(tbl_MacGyverWeld[[#This Row],[Qty Complete]]/tbl_MacGyverWeld[[#This Row],[Total Hours Act]]*tbl_MacGyverWeld[[#This Row],['# of men Act]],"")</f>
        <v/>
      </c>
      <c r="O106"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06" s="71" t="str">
        <f>IFERROR((tbl_MacGyverWeld[[#This Row],[Adj. Total Hours]]+tbl_MacGyverWeld[[#This Row],[Est. Hours]])/(tbl_MacGyverWeld[[#This Row],[Total Hours Act]]+tbl_MacGyverWeld[[#This Row],[Act. Hours]]),"")</f>
        <v/>
      </c>
      <c r="S106" s="63"/>
      <c r="T106" s="63"/>
      <c r="U106" s="63"/>
      <c r="V106" s="63"/>
      <c r="W106" s="63"/>
      <c r="X106" s="63"/>
    </row>
    <row r="107" spans="6:24" ht="25" customHeight="1">
      <c r="F107" s="53"/>
      <c r="H107" s="55" t="e">
        <f>tbl_MacGyverWeld[[#This Row],[Qty Complete]]/tbl_MacGyverWeld[[#This Row],[Qty Required]]</f>
        <v>#DIV/0!</v>
      </c>
      <c r="K107" s="57" t="str">
        <f>IFERROR(tbl_MacGyverWeld[[#This Row],[Qty Required]]/tbl_MacGyverWeld[[#This Row],[PPH]]*tbl_MacGyverWeld[[#This Row],['# of men]],"")</f>
        <v/>
      </c>
      <c r="L107" s="58" t="e">
        <f>tbl_MacGyverWeld[[#This Row],[Total hours]]*tbl_MacGyverWeld[[#This Row],[% Complete]]</f>
        <v>#VALUE!</v>
      </c>
      <c r="M107" s="59" t="str">
        <f>IFERROR(tbl_MacGyverWeld[[#This Row],[Qty Complete]]/tbl_MacGyverWeld[[#This Row],[Total Hours Act]]*tbl_MacGyverWeld[[#This Row],['# of men Act]],"")</f>
        <v/>
      </c>
      <c r="O107"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07" s="71" t="str">
        <f>IFERROR((tbl_MacGyverWeld[[#This Row],[Adj. Total Hours]]+tbl_MacGyverWeld[[#This Row],[Est. Hours]])/(tbl_MacGyverWeld[[#This Row],[Total Hours Act]]+tbl_MacGyverWeld[[#This Row],[Act. Hours]]),"")</f>
        <v/>
      </c>
      <c r="S107" s="63"/>
      <c r="T107" s="63"/>
      <c r="U107" s="63"/>
      <c r="V107" s="63"/>
      <c r="W107" s="63"/>
      <c r="X107" s="63"/>
    </row>
    <row r="108" spans="6:24" ht="25" customHeight="1">
      <c r="F108" s="53"/>
      <c r="H108" s="55" t="e">
        <f>tbl_MacGyverWeld[[#This Row],[Qty Complete]]/tbl_MacGyverWeld[[#This Row],[Qty Required]]</f>
        <v>#DIV/0!</v>
      </c>
      <c r="K108" s="57" t="str">
        <f>IFERROR(tbl_MacGyverWeld[[#This Row],[Qty Required]]/tbl_MacGyverWeld[[#This Row],[PPH]]*tbl_MacGyverWeld[[#This Row],['# of men]],"")</f>
        <v/>
      </c>
      <c r="L108" s="58" t="e">
        <f>tbl_MacGyverWeld[[#This Row],[Total hours]]*tbl_MacGyverWeld[[#This Row],[% Complete]]</f>
        <v>#VALUE!</v>
      </c>
      <c r="M108" s="59" t="str">
        <f>IFERROR(tbl_MacGyverWeld[[#This Row],[Qty Complete]]/tbl_MacGyverWeld[[#This Row],[Total Hours Act]]*tbl_MacGyverWeld[[#This Row],['# of men Act]],"")</f>
        <v/>
      </c>
      <c r="O108"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08" s="71" t="str">
        <f>IFERROR((tbl_MacGyverWeld[[#This Row],[Adj. Total Hours]]+tbl_MacGyverWeld[[#This Row],[Est. Hours]])/(tbl_MacGyverWeld[[#This Row],[Total Hours Act]]+tbl_MacGyverWeld[[#This Row],[Act. Hours]]),"")</f>
        <v/>
      </c>
      <c r="S108" s="63"/>
      <c r="T108" s="63"/>
      <c r="U108" s="63"/>
      <c r="V108" s="63"/>
      <c r="W108" s="63"/>
      <c r="X108" s="63"/>
    </row>
    <row r="109" spans="6:24" ht="25" customHeight="1">
      <c r="F109" s="53"/>
      <c r="H109" s="55" t="e">
        <f>tbl_MacGyverWeld[[#This Row],[Qty Complete]]/tbl_MacGyverWeld[[#This Row],[Qty Required]]</f>
        <v>#DIV/0!</v>
      </c>
      <c r="K109" s="57" t="str">
        <f>IFERROR(tbl_MacGyverWeld[[#This Row],[Qty Required]]/tbl_MacGyverWeld[[#This Row],[PPH]]*tbl_MacGyverWeld[[#This Row],['# of men]],"")</f>
        <v/>
      </c>
      <c r="L109" s="58" t="e">
        <f>tbl_MacGyverWeld[[#This Row],[Total hours]]*tbl_MacGyverWeld[[#This Row],[% Complete]]</f>
        <v>#VALUE!</v>
      </c>
      <c r="M109" s="59" t="str">
        <f>IFERROR(tbl_MacGyverWeld[[#This Row],[Qty Complete]]/tbl_MacGyverWeld[[#This Row],[Total Hours Act]]*tbl_MacGyverWeld[[#This Row],['# of men Act]],"")</f>
        <v/>
      </c>
      <c r="O109"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09" s="71" t="str">
        <f>IFERROR((tbl_MacGyverWeld[[#This Row],[Adj. Total Hours]]+tbl_MacGyverWeld[[#This Row],[Est. Hours]])/(tbl_MacGyverWeld[[#This Row],[Total Hours Act]]+tbl_MacGyverWeld[[#This Row],[Act. Hours]]),"")</f>
        <v/>
      </c>
      <c r="S109" s="63"/>
      <c r="T109" s="63"/>
      <c r="U109" s="63"/>
      <c r="V109" s="63"/>
      <c r="W109" s="63"/>
      <c r="X109" s="63"/>
    </row>
    <row r="110" spans="6:24" ht="25" customHeight="1">
      <c r="F110" s="53"/>
      <c r="H110" s="55" t="e">
        <f>tbl_MacGyverWeld[[#This Row],[Qty Complete]]/tbl_MacGyverWeld[[#This Row],[Qty Required]]</f>
        <v>#DIV/0!</v>
      </c>
      <c r="K110" s="57" t="str">
        <f>IFERROR(tbl_MacGyverWeld[[#This Row],[Qty Required]]/tbl_MacGyverWeld[[#This Row],[PPH]]*tbl_MacGyverWeld[[#This Row],['# of men]],"")</f>
        <v/>
      </c>
      <c r="L110" s="58" t="e">
        <f>tbl_MacGyverWeld[[#This Row],[Total hours]]*tbl_MacGyverWeld[[#This Row],[% Complete]]</f>
        <v>#VALUE!</v>
      </c>
      <c r="M110" s="59" t="str">
        <f>IFERROR(tbl_MacGyverWeld[[#This Row],[Qty Complete]]/tbl_MacGyverWeld[[#This Row],[Total Hours Act]]*tbl_MacGyverWeld[[#This Row],['# of men Act]],"")</f>
        <v/>
      </c>
      <c r="O110"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10" s="71" t="str">
        <f>IFERROR((tbl_MacGyverWeld[[#This Row],[Adj. Total Hours]]+tbl_MacGyverWeld[[#This Row],[Est. Hours]])/(tbl_MacGyverWeld[[#This Row],[Total Hours Act]]+tbl_MacGyverWeld[[#This Row],[Act. Hours]]),"")</f>
        <v/>
      </c>
      <c r="S110" s="63"/>
      <c r="T110" s="63"/>
      <c r="U110" s="63"/>
      <c r="V110" s="63"/>
      <c r="W110" s="63"/>
      <c r="X110" s="63"/>
    </row>
    <row r="111" spans="6:24" ht="25" customHeight="1">
      <c r="F111" s="53"/>
      <c r="H111" s="55" t="e">
        <f>tbl_MacGyverWeld[[#This Row],[Qty Complete]]/tbl_MacGyverWeld[[#This Row],[Qty Required]]</f>
        <v>#DIV/0!</v>
      </c>
      <c r="K111" s="57" t="str">
        <f>IFERROR(tbl_MacGyverWeld[[#This Row],[Qty Required]]/tbl_MacGyverWeld[[#This Row],[PPH]]*tbl_MacGyverWeld[[#This Row],['# of men]],"")</f>
        <v/>
      </c>
      <c r="L111" s="58" t="e">
        <f>tbl_MacGyverWeld[[#This Row],[Total hours]]*tbl_MacGyverWeld[[#This Row],[% Complete]]</f>
        <v>#VALUE!</v>
      </c>
      <c r="M111" s="59" t="str">
        <f>IFERROR(tbl_MacGyverWeld[[#This Row],[Qty Complete]]/tbl_MacGyverWeld[[#This Row],[Total Hours Act]]*tbl_MacGyverWeld[[#This Row],['# of men Act]],"")</f>
        <v/>
      </c>
      <c r="O111"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11" s="71" t="str">
        <f>IFERROR((tbl_MacGyverWeld[[#This Row],[Adj. Total Hours]]+tbl_MacGyverWeld[[#This Row],[Est. Hours]])/(tbl_MacGyverWeld[[#This Row],[Total Hours Act]]+tbl_MacGyverWeld[[#This Row],[Act. Hours]]),"")</f>
        <v/>
      </c>
      <c r="S111" s="63"/>
      <c r="T111" s="63"/>
      <c r="U111" s="63"/>
      <c r="V111" s="63"/>
      <c r="W111" s="63"/>
      <c r="X111" s="63"/>
    </row>
    <row r="112" spans="6:24" ht="25" customHeight="1">
      <c r="F112" s="53"/>
      <c r="H112" s="55" t="e">
        <f>tbl_MacGyverWeld[[#This Row],[Qty Complete]]/tbl_MacGyverWeld[[#This Row],[Qty Required]]</f>
        <v>#DIV/0!</v>
      </c>
      <c r="K112" s="57" t="str">
        <f>IFERROR(tbl_MacGyverWeld[[#This Row],[Qty Required]]/tbl_MacGyverWeld[[#This Row],[PPH]]*tbl_MacGyverWeld[[#This Row],['# of men]],"")</f>
        <v/>
      </c>
      <c r="L112" s="58" t="e">
        <f>tbl_MacGyverWeld[[#This Row],[Total hours]]*tbl_MacGyverWeld[[#This Row],[% Complete]]</f>
        <v>#VALUE!</v>
      </c>
      <c r="M112" s="59" t="str">
        <f>IFERROR(tbl_MacGyverWeld[[#This Row],[Qty Complete]]/tbl_MacGyverWeld[[#This Row],[Total Hours Act]]*tbl_MacGyverWeld[[#This Row],['# of men Act]],"")</f>
        <v/>
      </c>
      <c r="O112"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12" s="71" t="str">
        <f>IFERROR((tbl_MacGyverWeld[[#This Row],[Adj. Total Hours]]+tbl_MacGyverWeld[[#This Row],[Est. Hours]])/(tbl_MacGyverWeld[[#This Row],[Total Hours Act]]+tbl_MacGyverWeld[[#This Row],[Act. Hours]]),"")</f>
        <v/>
      </c>
      <c r="S112" s="63"/>
      <c r="T112" s="63"/>
      <c r="U112" s="63"/>
      <c r="V112" s="63"/>
      <c r="W112" s="63"/>
      <c r="X112" s="63"/>
    </row>
    <row r="113" spans="6:24" ht="25" customHeight="1">
      <c r="F113" s="53"/>
      <c r="H113" s="55" t="e">
        <f>tbl_MacGyverWeld[[#This Row],[Qty Complete]]/tbl_MacGyverWeld[[#This Row],[Qty Required]]</f>
        <v>#DIV/0!</v>
      </c>
      <c r="K113" s="57" t="str">
        <f>IFERROR(tbl_MacGyverWeld[[#This Row],[Qty Required]]/tbl_MacGyverWeld[[#This Row],[PPH]]*tbl_MacGyverWeld[[#This Row],['# of men]],"")</f>
        <v/>
      </c>
      <c r="L113" s="58" t="e">
        <f>tbl_MacGyverWeld[[#This Row],[Total hours]]*tbl_MacGyverWeld[[#This Row],[% Complete]]</f>
        <v>#VALUE!</v>
      </c>
      <c r="M113" s="59" t="str">
        <f>IFERROR(tbl_MacGyverWeld[[#This Row],[Qty Complete]]/tbl_MacGyverWeld[[#This Row],[Total Hours Act]]*tbl_MacGyverWeld[[#This Row],['# of men Act]],"")</f>
        <v/>
      </c>
      <c r="O113"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13" s="71" t="str">
        <f>IFERROR((tbl_MacGyverWeld[[#This Row],[Adj. Total Hours]]+tbl_MacGyverWeld[[#This Row],[Est. Hours]])/(tbl_MacGyverWeld[[#This Row],[Total Hours Act]]+tbl_MacGyverWeld[[#This Row],[Act. Hours]]),"")</f>
        <v/>
      </c>
      <c r="S113" s="63"/>
      <c r="T113" s="63"/>
      <c r="U113" s="63"/>
      <c r="V113" s="63"/>
      <c r="W113" s="63"/>
      <c r="X113" s="63"/>
    </row>
    <row r="114" spans="6:24" ht="25" customHeight="1">
      <c r="F114" s="53"/>
      <c r="H114" s="55" t="e">
        <f>tbl_MacGyverWeld[[#This Row],[Qty Complete]]/tbl_MacGyverWeld[[#This Row],[Qty Required]]</f>
        <v>#DIV/0!</v>
      </c>
      <c r="K114" s="57" t="str">
        <f>IFERROR(tbl_MacGyverWeld[[#This Row],[Qty Required]]/tbl_MacGyverWeld[[#This Row],[PPH]]*tbl_MacGyverWeld[[#This Row],['# of men]],"")</f>
        <v/>
      </c>
      <c r="L114" s="58" t="e">
        <f>tbl_MacGyverWeld[[#This Row],[Total hours]]*tbl_MacGyverWeld[[#This Row],[% Complete]]</f>
        <v>#VALUE!</v>
      </c>
      <c r="M114" s="59" t="str">
        <f>IFERROR(tbl_MacGyverWeld[[#This Row],[Qty Complete]]/tbl_MacGyverWeld[[#This Row],[Total Hours Act]]*tbl_MacGyverWeld[[#This Row],['# of men Act]],"")</f>
        <v/>
      </c>
      <c r="O114"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14" s="71" t="str">
        <f>IFERROR((tbl_MacGyverWeld[[#This Row],[Adj. Total Hours]]+tbl_MacGyverWeld[[#This Row],[Est. Hours]])/(tbl_MacGyverWeld[[#This Row],[Total Hours Act]]+tbl_MacGyverWeld[[#This Row],[Act. Hours]]),"")</f>
        <v/>
      </c>
      <c r="S114" s="63"/>
      <c r="T114" s="63"/>
      <c r="U114" s="63"/>
      <c r="V114" s="63"/>
      <c r="W114" s="63"/>
      <c r="X114" s="63"/>
    </row>
    <row r="115" spans="6:24" ht="25" customHeight="1">
      <c r="F115" s="53"/>
      <c r="H115" s="55" t="e">
        <f>tbl_MacGyverWeld[[#This Row],[Qty Complete]]/tbl_MacGyverWeld[[#This Row],[Qty Required]]</f>
        <v>#DIV/0!</v>
      </c>
      <c r="K115" s="57" t="str">
        <f>IFERROR(tbl_MacGyverWeld[[#This Row],[Qty Required]]/tbl_MacGyverWeld[[#This Row],[PPH]]*tbl_MacGyverWeld[[#This Row],['# of men]],"")</f>
        <v/>
      </c>
      <c r="L115" s="58" t="e">
        <f>tbl_MacGyverWeld[[#This Row],[Total hours]]*tbl_MacGyverWeld[[#This Row],[% Complete]]</f>
        <v>#VALUE!</v>
      </c>
      <c r="M115" s="59" t="str">
        <f>IFERROR(tbl_MacGyverWeld[[#This Row],[Qty Complete]]/tbl_MacGyverWeld[[#This Row],[Total Hours Act]]*tbl_MacGyverWeld[[#This Row],['# of men Act]],"")</f>
        <v/>
      </c>
      <c r="O115"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15" s="71" t="str">
        <f>IFERROR((tbl_MacGyverWeld[[#This Row],[Adj. Total Hours]]+tbl_MacGyverWeld[[#This Row],[Est. Hours]])/(tbl_MacGyverWeld[[#This Row],[Total Hours Act]]+tbl_MacGyverWeld[[#This Row],[Act. Hours]]),"")</f>
        <v/>
      </c>
      <c r="S115" s="63"/>
      <c r="T115" s="63"/>
      <c r="U115" s="63"/>
      <c r="V115" s="63"/>
      <c r="W115" s="63"/>
      <c r="X115" s="63"/>
    </row>
    <row r="116" spans="6:24" ht="25" customHeight="1">
      <c r="F116" s="53"/>
      <c r="H116" s="55" t="e">
        <f>tbl_MacGyverWeld[[#This Row],[Qty Complete]]/tbl_MacGyverWeld[[#This Row],[Qty Required]]</f>
        <v>#DIV/0!</v>
      </c>
      <c r="K116" s="57" t="str">
        <f>IFERROR(tbl_MacGyverWeld[[#This Row],[Qty Required]]/tbl_MacGyverWeld[[#This Row],[PPH]]*tbl_MacGyverWeld[[#This Row],['# of men]],"")</f>
        <v/>
      </c>
      <c r="L116" s="58" t="e">
        <f>tbl_MacGyverWeld[[#This Row],[Total hours]]*tbl_MacGyverWeld[[#This Row],[% Complete]]</f>
        <v>#VALUE!</v>
      </c>
      <c r="M116" s="59" t="str">
        <f>IFERROR(tbl_MacGyverWeld[[#This Row],[Qty Complete]]/tbl_MacGyverWeld[[#This Row],[Total Hours Act]]*tbl_MacGyverWeld[[#This Row],['# of men Act]],"")</f>
        <v/>
      </c>
      <c r="O116"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16" s="71" t="str">
        <f>IFERROR((tbl_MacGyverWeld[[#This Row],[Adj. Total Hours]]+tbl_MacGyverWeld[[#This Row],[Est. Hours]])/(tbl_MacGyverWeld[[#This Row],[Total Hours Act]]+tbl_MacGyverWeld[[#This Row],[Act. Hours]]),"")</f>
        <v/>
      </c>
      <c r="S116" s="63"/>
      <c r="T116" s="63"/>
      <c r="U116" s="63"/>
      <c r="V116" s="63"/>
      <c r="W116" s="63"/>
      <c r="X116" s="63"/>
    </row>
    <row r="117" spans="6:24" ht="25" customHeight="1">
      <c r="F117" s="53"/>
      <c r="H117" s="55" t="e">
        <f>tbl_MacGyverWeld[[#This Row],[Qty Complete]]/tbl_MacGyverWeld[[#This Row],[Qty Required]]</f>
        <v>#DIV/0!</v>
      </c>
      <c r="K117" s="57" t="str">
        <f>IFERROR(tbl_MacGyverWeld[[#This Row],[Qty Required]]/tbl_MacGyverWeld[[#This Row],[PPH]]*tbl_MacGyverWeld[[#This Row],['# of men]],"")</f>
        <v/>
      </c>
      <c r="L117" s="58" t="e">
        <f>tbl_MacGyverWeld[[#This Row],[Total hours]]*tbl_MacGyverWeld[[#This Row],[% Complete]]</f>
        <v>#VALUE!</v>
      </c>
      <c r="M117" s="59" t="str">
        <f>IFERROR(tbl_MacGyverWeld[[#This Row],[Qty Complete]]/tbl_MacGyverWeld[[#This Row],[Total Hours Act]]*tbl_MacGyverWeld[[#This Row],['# of men Act]],"")</f>
        <v/>
      </c>
      <c r="O117"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17" s="71" t="str">
        <f>IFERROR((tbl_MacGyverWeld[[#This Row],[Adj. Total Hours]]+tbl_MacGyverWeld[[#This Row],[Est. Hours]])/(tbl_MacGyverWeld[[#This Row],[Total Hours Act]]+tbl_MacGyverWeld[[#This Row],[Act. Hours]]),"")</f>
        <v/>
      </c>
      <c r="S117" s="63"/>
      <c r="T117" s="63"/>
      <c r="U117" s="63"/>
      <c r="V117" s="63"/>
      <c r="W117" s="63"/>
      <c r="X117" s="63"/>
    </row>
    <row r="118" spans="6:24" ht="25" customHeight="1">
      <c r="F118" s="53"/>
      <c r="H118" s="55" t="e">
        <f>tbl_MacGyverWeld[[#This Row],[Qty Complete]]/tbl_MacGyverWeld[[#This Row],[Qty Required]]</f>
        <v>#DIV/0!</v>
      </c>
      <c r="K118" s="57" t="str">
        <f>IFERROR(tbl_MacGyverWeld[[#This Row],[Qty Required]]/tbl_MacGyverWeld[[#This Row],[PPH]]*tbl_MacGyverWeld[[#This Row],['# of men]],"")</f>
        <v/>
      </c>
      <c r="L118" s="58" t="e">
        <f>tbl_MacGyverWeld[[#This Row],[Total hours]]*tbl_MacGyverWeld[[#This Row],[% Complete]]</f>
        <v>#VALUE!</v>
      </c>
      <c r="M118" s="59" t="str">
        <f>IFERROR(tbl_MacGyverWeld[[#This Row],[Qty Complete]]/tbl_MacGyverWeld[[#This Row],[Total Hours Act]]*tbl_MacGyverWeld[[#This Row],['# of men Act]],"")</f>
        <v/>
      </c>
      <c r="O118"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18" s="71" t="str">
        <f>IFERROR((tbl_MacGyverWeld[[#This Row],[Adj. Total Hours]]+tbl_MacGyverWeld[[#This Row],[Est. Hours]])/(tbl_MacGyverWeld[[#This Row],[Total Hours Act]]+tbl_MacGyverWeld[[#This Row],[Act. Hours]]),"")</f>
        <v/>
      </c>
      <c r="S118" s="63"/>
      <c r="T118" s="63"/>
      <c r="U118" s="63"/>
      <c r="V118" s="63"/>
      <c r="W118" s="63"/>
      <c r="X118" s="63"/>
    </row>
    <row r="119" spans="6:24" ht="25" customHeight="1">
      <c r="F119" s="53"/>
      <c r="H119" s="55" t="e">
        <f>tbl_MacGyverWeld[[#This Row],[Qty Complete]]/tbl_MacGyverWeld[[#This Row],[Qty Required]]</f>
        <v>#DIV/0!</v>
      </c>
      <c r="K119" s="57" t="str">
        <f>IFERROR(tbl_MacGyverWeld[[#This Row],[Qty Required]]/tbl_MacGyverWeld[[#This Row],[PPH]]*tbl_MacGyverWeld[[#This Row],['# of men]],"")</f>
        <v/>
      </c>
      <c r="L119" s="58" t="e">
        <f>tbl_MacGyverWeld[[#This Row],[Total hours]]*tbl_MacGyverWeld[[#This Row],[% Complete]]</f>
        <v>#VALUE!</v>
      </c>
      <c r="M119" s="59" t="str">
        <f>IFERROR(tbl_MacGyverWeld[[#This Row],[Qty Complete]]/tbl_MacGyverWeld[[#This Row],[Total Hours Act]]*tbl_MacGyverWeld[[#This Row],['# of men Act]],"")</f>
        <v/>
      </c>
      <c r="O119"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19" s="71" t="str">
        <f>IFERROR((tbl_MacGyverWeld[[#This Row],[Adj. Total Hours]]+tbl_MacGyverWeld[[#This Row],[Est. Hours]])/(tbl_MacGyverWeld[[#This Row],[Total Hours Act]]+tbl_MacGyverWeld[[#This Row],[Act. Hours]]),"")</f>
        <v/>
      </c>
      <c r="S119" s="63"/>
      <c r="T119" s="63"/>
      <c r="U119" s="63"/>
      <c r="V119" s="63"/>
      <c r="W119" s="63"/>
      <c r="X119" s="63"/>
    </row>
    <row r="120" spans="6:24" ht="25" customHeight="1">
      <c r="F120" s="53"/>
      <c r="H120" s="55" t="e">
        <f>tbl_MacGyverWeld[[#This Row],[Qty Complete]]/tbl_MacGyverWeld[[#This Row],[Qty Required]]</f>
        <v>#DIV/0!</v>
      </c>
      <c r="K120" s="57" t="str">
        <f>IFERROR(tbl_MacGyverWeld[[#This Row],[Qty Required]]/tbl_MacGyverWeld[[#This Row],[PPH]]*tbl_MacGyverWeld[[#This Row],['# of men]],"")</f>
        <v/>
      </c>
      <c r="L120" s="58" t="e">
        <f>tbl_MacGyverWeld[[#This Row],[Total hours]]*tbl_MacGyverWeld[[#This Row],[% Complete]]</f>
        <v>#VALUE!</v>
      </c>
      <c r="M120" s="59" t="str">
        <f>IFERROR(tbl_MacGyverWeld[[#This Row],[Qty Complete]]/tbl_MacGyverWeld[[#This Row],[Total Hours Act]]*tbl_MacGyverWeld[[#This Row],['# of men Act]],"")</f>
        <v/>
      </c>
      <c r="O120"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20" s="71" t="str">
        <f>IFERROR((tbl_MacGyverWeld[[#This Row],[Adj. Total Hours]]+tbl_MacGyverWeld[[#This Row],[Est. Hours]])/(tbl_MacGyverWeld[[#This Row],[Total Hours Act]]+tbl_MacGyverWeld[[#This Row],[Act. Hours]]),"")</f>
        <v/>
      </c>
      <c r="S120" s="63"/>
      <c r="T120" s="63"/>
      <c r="U120" s="63"/>
      <c r="V120" s="63"/>
      <c r="W120" s="63"/>
      <c r="X120" s="63"/>
    </row>
    <row r="121" spans="6:24" ht="25" customHeight="1">
      <c r="F121" s="53"/>
      <c r="H121" s="55" t="e">
        <f>tbl_MacGyverWeld[[#This Row],[Qty Complete]]/tbl_MacGyverWeld[[#This Row],[Qty Required]]</f>
        <v>#DIV/0!</v>
      </c>
      <c r="K121" s="57" t="str">
        <f>IFERROR(tbl_MacGyverWeld[[#This Row],[Qty Required]]/tbl_MacGyverWeld[[#This Row],[PPH]]*tbl_MacGyverWeld[[#This Row],['# of men]],"")</f>
        <v/>
      </c>
      <c r="L121" s="58" t="e">
        <f>tbl_MacGyverWeld[[#This Row],[Total hours]]*tbl_MacGyverWeld[[#This Row],[% Complete]]</f>
        <v>#VALUE!</v>
      </c>
      <c r="M121" s="59" t="str">
        <f>IFERROR(tbl_MacGyverWeld[[#This Row],[Qty Complete]]/tbl_MacGyverWeld[[#This Row],[Total Hours Act]]*tbl_MacGyverWeld[[#This Row],['# of men Act]],"")</f>
        <v/>
      </c>
      <c r="O121"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21" s="71" t="str">
        <f>IFERROR((tbl_MacGyverWeld[[#This Row],[Adj. Total Hours]]+tbl_MacGyverWeld[[#This Row],[Est. Hours]])/(tbl_MacGyverWeld[[#This Row],[Total Hours Act]]+tbl_MacGyverWeld[[#This Row],[Act. Hours]]),"")</f>
        <v/>
      </c>
      <c r="S121" s="63"/>
      <c r="T121" s="63"/>
      <c r="U121" s="63"/>
      <c r="V121" s="63"/>
      <c r="W121" s="63"/>
      <c r="X121" s="63"/>
    </row>
    <row r="122" spans="6:24" ht="25" customHeight="1">
      <c r="F122" s="53"/>
      <c r="H122" s="55" t="e">
        <f>tbl_MacGyverWeld[[#This Row],[Qty Complete]]/tbl_MacGyverWeld[[#This Row],[Qty Required]]</f>
        <v>#DIV/0!</v>
      </c>
      <c r="K122" s="57" t="str">
        <f>IFERROR(tbl_MacGyverWeld[[#This Row],[Qty Required]]/tbl_MacGyverWeld[[#This Row],[PPH]]*tbl_MacGyverWeld[[#This Row],['# of men]],"")</f>
        <v/>
      </c>
      <c r="L122" s="58" t="e">
        <f>tbl_MacGyverWeld[[#This Row],[Total hours]]*tbl_MacGyverWeld[[#This Row],[% Complete]]</f>
        <v>#VALUE!</v>
      </c>
      <c r="M122" s="59" t="str">
        <f>IFERROR(tbl_MacGyverWeld[[#This Row],[Qty Complete]]/tbl_MacGyverWeld[[#This Row],[Total Hours Act]]*tbl_MacGyverWeld[[#This Row],['# of men Act]],"")</f>
        <v/>
      </c>
      <c r="O122"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22" s="71" t="str">
        <f>IFERROR((tbl_MacGyverWeld[[#This Row],[Adj. Total Hours]]+tbl_MacGyverWeld[[#This Row],[Est. Hours]])/(tbl_MacGyverWeld[[#This Row],[Total Hours Act]]+tbl_MacGyverWeld[[#This Row],[Act. Hours]]),"")</f>
        <v/>
      </c>
      <c r="S122" s="63"/>
      <c r="T122" s="63"/>
      <c r="U122" s="63"/>
      <c r="V122" s="63"/>
      <c r="W122" s="63"/>
      <c r="X122" s="63"/>
    </row>
    <row r="123" spans="6:24" ht="25" customHeight="1">
      <c r="F123" s="53"/>
      <c r="H123" s="55" t="e">
        <f>tbl_MacGyverWeld[[#This Row],[Qty Complete]]/tbl_MacGyverWeld[[#This Row],[Qty Required]]</f>
        <v>#DIV/0!</v>
      </c>
      <c r="K123" s="57" t="str">
        <f>IFERROR(tbl_MacGyverWeld[[#This Row],[Qty Required]]/tbl_MacGyverWeld[[#This Row],[PPH]]*tbl_MacGyverWeld[[#This Row],['# of men]],"")</f>
        <v/>
      </c>
      <c r="L123" s="58" t="e">
        <f>tbl_MacGyverWeld[[#This Row],[Total hours]]*tbl_MacGyverWeld[[#This Row],[% Complete]]</f>
        <v>#VALUE!</v>
      </c>
      <c r="M123" s="59" t="str">
        <f>IFERROR(tbl_MacGyverWeld[[#This Row],[Qty Complete]]/tbl_MacGyverWeld[[#This Row],[Total Hours Act]]*tbl_MacGyverWeld[[#This Row],['# of men Act]],"")</f>
        <v/>
      </c>
      <c r="O123"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23" s="71" t="str">
        <f>IFERROR((tbl_MacGyverWeld[[#This Row],[Adj. Total Hours]]+tbl_MacGyverWeld[[#This Row],[Est. Hours]])/(tbl_MacGyverWeld[[#This Row],[Total Hours Act]]+tbl_MacGyverWeld[[#This Row],[Act. Hours]]),"")</f>
        <v/>
      </c>
      <c r="S123" s="63"/>
      <c r="T123" s="63"/>
      <c r="U123" s="63"/>
      <c r="V123" s="63"/>
      <c r="W123" s="63"/>
      <c r="X123" s="63"/>
    </row>
    <row r="124" spans="6:24" ht="25" customHeight="1">
      <c r="F124" s="53"/>
      <c r="H124" s="55" t="e">
        <f>tbl_MacGyverWeld[[#This Row],[Qty Complete]]/tbl_MacGyverWeld[[#This Row],[Qty Required]]</f>
        <v>#DIV/0!</v>
      </c>
      <c r="K124" s="57" t="str">
        <f>IFERROR(tbl_MacGyverWeld[[#This Row],[Qty Required]]/tbl_MacGyverWeld[[#This Row],[PPH]]*tbl_MacGyverWeld[[#This Row],['# of men]],"")</f>
        <v/>
      </c>
      <c r="L124" s="58" t="e">
        <f>tbl_MacGyverWeld[[#This Row],[Total hours]]*tbl_MacGyverWeld[[#This Row],[% Complete]]</f>
        <v>#VALUE!</v>
      </c>
      <c r="M124" s="59" t="str">
        <f>IFERROR(tbl_MacGyverWeld[[#This Row],[Qty Complete]]/tbl_MacGyverWeld[[#This Row],[Total Hours Act]]*tbl_MacGyverWeld[[#This Row],['# of men Act]],"")</f>
        <v/>
      </c>
      <c r="O124"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24" s="71" t="str">
        <f>IFERROR((tbl_MacGyverWeld[[#This Row],[Adj. Total Hours]]+tbl_MacGyverWeld[[#This Row],[Est. Hours]])/(tbl_MacGyverWeld[[#This Row],[Total Hours Act]]+tbl_MacGyverWeld[[#This Row],[Act. Hours]]),"")</f>
        <v/>
      </c>
      <c r="S124" s="63"/>
      <c r="T124" s="63"/>
      <c r="U124" s="63"/>
      <c r="V124" s="63"/>
      <c r="W124" s="63"/>
      <c r="X124" s="63"/>
    </row>
    <row r="125" spans="6:24" ht="25" customHeight="1">
      <c r="F125" s="53"/>
      <c r="H125" s="55" t="e">
        <f>tbl_MacGyverWeld[[#This Row],[Qty Complete]]/tbl_MacGyverWeld[[#This Row],[Qty Required]]</f>
        <v>#DIV/0!</v>
      </c>
      <c r="K125" s="57" t="str">
        <f>IFERROR(tbl_MacGyverWeld[[#This Row],[Qty Required]]/tbl_MacGyverWeld[[#This Row],[PPH]]*tbl_MacGyverWeld[[#This Row],['# of men]],"")</f>
        <v/>
      </c>
      <c r="L125" s="58" t="e">
        <f>tbl_MacGyverWeld[[#This Row],[Total hours]]*tbl_MacGyverWeld[[#This Row],[% Complete]]</f>
        <v>#VALUE!</v>
      </c>
      <c r="M125" s="59" t="str">
        <f>IFERROR(tbl_MacGyverWeld[[#This Row],[Qty Complete]]/tbl_MacGyverWeld[[#This Row],[Total Hours Act]]*tbl_MacGyverWeld[[#This Row],['# of men Act]],"")</f>
        <v/>
      </c>
      <c r="O125"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25" s="71" t="str">
        <f>IFERROR((tbl_MacGyverWeld[[#This Row],[Adj. Total Hours]]+tbl_MacGyverWeld[[#This Row],[Est. Hours]])/(tbl_MacGyverWeld[[#This Row],[Total Hours Act]]+tbl_MacGyverWeld[[#This Row],[Act. Hours]]),"")</f>
        <v/>
      </c>
      <c r="S125" s="63"/>
      <c r="T125" s="63"/>
      <c r="U125" s="63"/>
      <c r="V125" s="63"/>
      <c r="W125" s="63"/>
      <c r="X125" s="63"/>
    </row>
    <row r="126" spans="6:24" ht="25" customHeight="1">
      <c r="F126" s="53"/>
      <c r="H126" s="55" t="e">
        <f>tbl_MacGyverWeld[[#This Row],[Qty Complete]]/tbl_MacGyverWeld[[#This Row],[Qty Required]]</f>
        <v>#DIV/0!</v>
      </c>
      <c r="K126" s="57" t="str">
        <f>IFERROR(tbl_MacGyverWeld[[#This Row],[Qty Required]]/tbl_MacGyverWeld[[#This Row],[PPH]]*tbl_MacGyverWeld[[#This Row],['# of men]],"")</f>
        <v/>
      </c>
      <c r="L126" s="58" t="e">
        <f>tbl_MacGyverWeld[[#This Row],[Total hours]]*tbl_MacGyverWeld[[#This Row],[% Complete]]</f>
        <v>#VALUE!</v>
      </c>
      <c r="M126" s="59" t="str">
        <f>IFERROR(tbl_MacGyverWeld[[#This Row],[Qty Complete]]/tbl_MacGyverWeld[[#This Row],[Total Hours Act]]*tbl_MacGyverWeld[[#This Row],['# of men Act]],"")</f>
        <v/>
      </c>
      <c r="O126"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26" s="71" t="str">
        <f>IFERROR((tbl_MacGyverWeld[[#This Row],[Adj. Total Hours]]+tbl_MacGyverWeld[[#This Row],[Est. Hours]])/(tbl_MacGyverWeld[[#This Row],[Total Hours Act]]+tbl_MacGyverWeld[[#This Row],[Act. Hours]]),"")</f>
        <v/>
      </c>
      <c r="S126" s="63"/>
      <c r="T126" s="63"/>
      <c r="U126" s="63"/>
      <c r="V126" s="63"/>
      <c r="W126" s="63"/>
      <c r="X126" s="63"/>
    </row>
    <row r="127" spans="6:24" ht="25" customHeight="1">
      <c r="F127" s="53"/>
      <c r="H127" s="55" t="e">
        <f>tbl_MacGyverWeld[[#This Row],[Qty Complete]]/tbl_MacGyverWeld[[#This Row],[Qty Required]]</f>
        <v>#DIV/0!</v>
      </c>
      <c r="K127" s="57" t="str">
        <f>IFERROR(tbl_MacGyverWeld[[#This Row],[Qty Required]]/tbl_MacGyverWeld[[#This Row],[PPH]]*tbl_MacGyverWeld[[#This Row],['# of men]],"")</f>
        <v/>
      </c>
      <c r="L127" s="58" t="e">
        <f>tbl_MacGyverWeld[[#This Row],[Total hours]]*tbl_MacGyverWeld[[#This Row],[% Complete]]</f>
        <v>#VALUE!</v>
      </c>
      <c r="M127" s="59" t="str">
        <f>IFERROR(tbl_MacGyverWeld[[#This Row],[Qty Complete]]/tbl_MacGyverWeld[[#This Row],[Total Hours Act]]*tbl_MacGyverWeld[[#This Row],['# of men Act]],"")</f>
        <v/>
      </c>
      <c r="O127"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27" s="71" t="str">
        <f>IFERROR((tbl_MacGyverWeld[[#This Row],[Adj. Total Hours]]+tbl_MacGyverWeld[[#This Row],[Est. Hours]])/(tbl_MacGyverWeld[[#This Row],[Total Hours Act]]+tbl_MacGyverWeld[[#This Row],[Act. Hours]]),"")</f>
        <v/>
      </c>
      <c r="S127" s="63"/>
      <c r="T127" s="63"/>
      <c r="U127" s="63"/>
      <c r="V127" s="63"/>
      <c r="W127" s="63"/>
      <c r="X127" s="63"/>
    </row>
    <row r="128" spans="6:24" ht="25" customHeight="1">
      <c r="F128" s="53"/>
      <c r="H128" s="55" t="e">
        <f>tbl_MacGyverWeld[[#This Row],[Qty Complete]]/tbl_MacGyverWeld[[#This Row],[Qty Required]]</f>
        <v>#DIV/0!</v>
      </c>
      <c r="K128" s="57" t="str">
        <f>IFERROR(tbl_MacGyverWeld[[#This Row],[Qty Required]]/tbl_MacGyverWeld[[#This Row],[PPH]]*tbl_MacGyverWeld[[#This Row],['# of men]],"")</f>
        <v/>
      </c>
      <c r="L128" s="58" t="e">
        <f>tbl_MacGyverWeld[[#This Row],[Total hours]]*tbl_MacGyverWeld[[#This Row],[% Complete]]</f>
        <v>#VALUE!</v>
      </c>
      <c r="M128" s="59" t="str">
        <f>IFERROR(tbl_MacGyverWeld[[#This Row],[Qty Complete]]/tbl_MacGyverWeld[[#This Row],[Total Hours Act]]*tbl_MacGyverWeld[[#This Row],['# of men Act]],"")</f>
        <v/>
      </c>
      <c r="O128"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28" s="71" t="str">
        <f>IFERROR((tbl_MacGyverWeld[[#This Row],[Adj. Total Hours]]+tbl_MacGyverWeld[[#This Row],[Est. Hours]])/(tbl_MacGyverWeld[[#This Row],[Total Hours Act]]+tbl_MacGyverWeld[[#This Row],[Act. Hours]]),"")</f>
        <v/>
      </c>
      <c r="S128" s="63"/>
      <c r="T128" s="63"/>
      <c r="U128" s="63"/>
      <c r="V128" s="63"/>
      <c r="W128" s="63"/>
      <c r="X128" s="63"/>
    </row>
    <row r="129" spans="6:24" ht="25" customHeight="1">
      <c r="F129" s="53"/>
      <c r="H129" s="55" t="e">
        <f>tbl_MacGyverWeld[[#This Row],[Qty Complete]]/tbl_MacGyverWeld[[#This Row],[Qty Required]]</f>
        <v>#DIV/0!</v>
      </c>
      <c r="K129" s="57" t="str">
        <f>IFERROR(tbl_MacGyverWeld[[#This Row],[Qty Required]]/tbl_MacGyverWeld[[#This Row],[PPH]]*tbl_MacGyverWeld[[#This Row],['# of men]],"")</f>
        <v/>
      </c>
      <c r="L129" s="58" t="e">
        <f>tbl_MacGyverWeld[[#This Row],[Total hours]]*tbl_MacGyverWeld[[#This Row],[% Complete]]</f>
        <v>#VALUE!</v>
      </c>
      <c r="M129" s="59" t="str">
        <f>IFERROR(tbl_MacGyverWeld[[#This Row],[Qty Complete]]/tbl_MacGyverWeld[[#This Row],[Total Hours Act]]*tbl_MacGyverWeld[[#This Row],['# of men Act]],"")</f>
        <v/>
      </c>
      <c r="O129"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29" s="71" t="str">
        <f>IFERROR((tbl_MacGyverWeld[[#This Row],[Adj. Total Hours]]+tbl_MacGyverWeld[[#This Row],[Est. Hours]])/(tbl_MacGyverWeld[[#This Row],[Total Hours Act]]+tbl_MacGyverWeld[[#This Row],[Act. Hours]]),"")</f>
        <v/>
      </c>
      <c r="S129" s="63"/>
      <c r="T129" s="63"/>
      <c r="U129" s="63"/>
      <c r="V129" s="63"/>
      <c r="W129" s="63"/>
      <c r="X129" s="63"/>
    </row>
    <row r="130" spans="6:24" ht="25" customHeight="1">
      <c r="F130" s="53"/>
      <c r="H130" s="55" t="e">
        <f>tbl_MacGyverWeld[[#This Row],[Qty Complete]]/tbl_MacGyverWeld[[#This Row],[Qty Required]]</f>
        <v>#DIV/0!</v>
      </c>
      <c r="K130" s="57" t="str">
        <f>IFERROR(tbl_MacGyverWeld[[#This Row],[Qty Required]]/tbl_MacGyverWeld[[#This Row],[PPH]]*tbl_MacGyverWeld[[#This Row],['# of men]],"")</f>
        <v/>
      </c>
      <c r="L130" s="58" t="e">
        <f>tbl_MacGyverWeld[[#This Row],[Total hours]]*tbl_MacGyverWeld[[#This Row],[% Complete]]</f>
        <v>#VALUE!</v>
      </c>
      <c r="M130" s="59" t="str">
        <f>IFERROR(tbl_MacGyverWeld[[#This Row],[Qty Complete]]/tbl_MacGyverWeld[[#This Row],[Total Hours Act]]*tbl_MacGyverWeld[[#This Row],['# of men Act]],"")</f>
        <v/>
      </c>
      <c r="O130"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30" s="71" t="str">
        <f>IFERROR((tbl_MacGyverWeld[[#This Row],[Adj. Total Hours]]+tbl_MacGyverWeld[[#This Row],[Est. Hours]])/(tbl_MacGyverWeld[[#This Row],[Total Hours Act]]+tbl_MacGyverWeld[[#This Row],[Act. Hours]]),"")</f>
        <v/>
      </c>
      <c r="S130" s="63"/>
      <c r="T130" s="63"/>
      <c r="U130" s="63"/>
      <c r="V130" s="63"/>
      <c r="W130" s="63"/>
      <c r="X130" s="63"/>
    </row>
    <row r="131" spans="6:24" ht="25" customHeight="1">
      <c r="F131" s="53"/>
      <c r="H131" s="55" t="e">
        <f>tbl_MacGyverWeld[[#This Row],[Qty Complete]]/tbl_MacGyverWeld[[#This Row],[Qty Required]]</f>
        <v>#DIV/0!</v>
      </c>
      <c r="K131" s="57" t="str">
        <f>IFERROR(tbl_MacGyverWeld[[#This Row],[Qty Required]]/tbl_MacGyverWeld[[#This Row],[PPH]]*tbl_MacGyverWeld[[#This Row],['# of men]],"")</f>
        <v/>
      </c>
      <c r="L131" s="58" t="e">
        <f>tbl_MacGyverWeld[[#This Row],[Total hours]]*tbl_MacGyverWeld[[#This Row],[% Complete]]</f>
        <v>#VALUE!</v>
      </c>
      <c r="M131" s="59" t="str">
        <f>IFERROR(tbl_MacGyverWeld[[#This Row],[Qty Complete]]/tbl_MacGyverWeld[[#This Row],[Total Hours Act]]*tbl_MacGyverWeld[[#This Row],['# of men Act]],"")</f>
        <v/>
      </c>
      <c r="O131"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31" s="71" t="str">
        <f>IFERROR((tbl_MacGyverWeld[[#This Row],[Adj. Total Hours]]+tbl_MacGyverWeld[[#This Row],[Est. Hours]])/(tbl_MacGyverWeld[[#This Row],[Total Hours Act]]+tbl_MacGyverWeld[[#This Row],[Act. Hours]]),"")</f>
        <v/>
      </c>
      <c r="S131" s="63"/>
      <c r="T131" s="63"/>
      <c r="U131" s="63"/>
      <c r="V131" s="63"/>
      <c r="W131" s="63"/>
      <c r="X131" s="63"/>
    </row>
    <row r="132" spans="6:24" ht="25" customHeight="1">
      <c r="F132" s="53"/>
      <c r="H132" s="55" t="e">
        <f>tbl_MacGyverWeld[[#This Row],[Qty Complete]]/tbl_MacGyverWeld[[#This Row],[Qty Required]]</f>
        <v>#DIV/0!</v>
      </c>
      <c r="K132" s="57" t="str">
        <f>IFERROR(tbl_MacGyverWeld[[#This Row],[Qty Required]]/tbl_MacGyverWeld[[#This Row],[PPH]]*tbl_MacGyverWeld[[#This Row],['# of men]],"")</f>
        <v/>
      </c>
      <c r="L132" s="58" t="e">
        <f>tbl_MacGyverWeld[[#This Row],[Total hours]]*tbl_MacGyverWeld[[#This Row],[% Complete]]</f>
        <v>#VALUE!</v>
      </c>
      <c r="M132" s="59" t="str">
        <f>IFERROR(tbl_MacGyverWeld[[#This Row],[Qty Complete]]/tbl_MacGyverWeld[[#This Row],[Total Hours Act]]*tbl_MacGyverWeld[[#This Row],['# of men Act]],"")</f>
        <v/>
      </c>
      <c r="O132"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32" s="71" t="str">
        <f>IFERROR((tbl_MacGyverWeld[[#This Row],[Adj. Total Hours]]+tbl_MacGyverWeld[[#This Row],[Est. Hours]])/(tbl_MacGyverWeld[[#This Row],[Total Hours Act]]+tbl_MacGyverWeld[[#This Row],[Act. Hours]]),"")</f>
        <v/>
      </c>
      <c r="S132" s="63"/>
      <c r="T132" s="63"/>
      <c r="U132" s="63"/>
      <c r="V132" s="63"/>
      <c r="W132" s="63"/>
      <c r="X132" s="63"/>
    </row>
    <row r="133" spans="6:24" ht="25" customHeight="1">
      <c r="F133" s="53"/>
      <c r="H133" s="55" t="e">
        <f>tbl_MacGyverWeld[[#This Row],[Qty Complete]]/tbl_MacGyverWeld[[#This Row],[Qty Required]]</f>
        <v>#DIV/0!</v>
      </c>
      <c r="K133" s="57" t="str">
        <f>IFERROR(tbl_MacGyverWeld[[#This Row],[Qty Required]]/tbl_MacGyverWeld[[#This Row],[PPH]]*tbl_MacGyverWeld[[#This Row],['# of men]],"")</f>
        <v/>
      </c>
      <c r="L133" s="58" t="e">
        <f>tbl_MacGyverWeld[[#This Row],[Total hours]]*tbl_MacGyverWeld[[#This Row],[% Complete]]</f>
        <v>#VALUE!</v>
      </c>
      <c r="M133" s="59" t="str">
        <f>IFERROR(tbl_MacGyverWeld[[#This Row],[Qty Complete]]/tbl_MacGyverWeld[[#This Row],[Total Hours Act]]*tbl_MacGyverWeld[[#This Row],['# of men Act]],"")</f>
        <v/>
      </c>
      <c r="O133"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33" s="71" t="str">
        <f>IFERROR((tbl_MacGyverWeld[[#This Row],[Adj. Total Hours]]+tbl_MacGyverWeld[[#This Row],[Est. Hours]])/(tbl_MacGyverWeld[[#This Row],[Total Hours Act]]+tbl_MacGyverWeld[[#This Row],[Act. Hours]]),"")</f>
        <v/>
      </c>
      <c r="S133" s="63"/>
      <c r="T133" s="63"/>
      <c r="U133" s="63"/>
      <c r="V133" s="63"/>
      <c r="W133" s="63"/>
      <c r="X133" s="63"/>
    </row>
    <row r="134" spans="6:24" ht="25" customHeight="1">
      <c r="F134" s="53"/>
      <c r="H134" s="55" t="e">
        <f>tbl_MacGyverWeld[[#This Row],[Qty Complete]]/tbl_MacGyverWeld[[#This Row],[Qty Required]]</f>
        <v>#DIV/0!</v>
      </c>
      <c r="K134" s="57" t="str">
        <f>IFERROR(tbl_MacGyverWeld[[#This Row],[Qty Required]]/tbl_MacGyverWeld[[#This Row],[PPH]]*tbl_MacGyverWeld[[#This Row],['# of men]],"")</f>
        <v/>
      </c>
      <c r="L134" s="58" t="e">
        <f>tbl_MacGyverWeld[[#This Row],[Total hours]]*tbl_MacGyverWeld[[#This Row],[% Complete]]</f>
        <v>#VALUE!</v>
      </c>
      <c r="M134" s="59" t="str">
        <f>IFERROR(tbl_MacGyverWeld[[#This Row],[Qty Complete]]/tbl_MacGyverWeld[[#This Row],[Total Hours Act]]*tbl_MacGyverWeld[[#This Row],['# of men Act]],"")</f>
        <v/>
      </c>
      <c r="O134"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34" s="71" t="str">
        <f>IFERROR((tbl_MacGyverWeld[[#This Row],[Adj. Total Hours]]+tbl_MacGyverWeld[[#This Row],[Est. Hours]])/(tbl_MacGyverWeld[[#This Row],[Total Hours Act]]+tbl_MacGyverWeld[[#This Row],[Act. Hours]]),"")</f>
        <v/>
      </c>
      <c r="S134" s="63"/>
      <c r="T134" s="63"/>
      <c r="U134" s="63"/>
      <c r="V134" s="63"/>
      <c r="W134" s="63"/>
      <c r="X134" s="63"/>
    </row>
    <row r="135" spans="6:24" ht="25" customHeight="1">
      <c r="F135" s="53"/>
      <c r="H135" s="55" t="e">
        <f>tbl_MacGyverWeld[[#This Row],[Qty Complete]]/tbl_MacGyverWeld[[#This Row],[Qty Required]]</f>
        <v>#DIV/0!</v>
      </c>
      <c r="K135" s="57" t="str">
        <f>IFERROR(tbl_MacGyverWeld[[#This Row],[Qty Required]]/tbl_MacGyverWeld[[#This Row],[PPH]]*tbl_MacGyverWeld[[#This Row],['# of men]],"")</f>
        <v/>
      </c>
      <c r="L135" s="58" t="e">
        <f>tbl_MacGyverWeld[[#This Row],[Total hours]]*tbl_MacGyverWeld[[#This Row],[% Complete]]</f>
        <v>#VALUE!</v>
      </c>
      <c r="M135" s="59" t="str">
        <f>IFERROR(tbl_MacGyverWeld[[#This Row],[Qty Complete]]/tbl_MacGyverWeld[[#This Row],[Total Hours Act]]*tbl_MacGyverWeld[[#This Row],['# of men Act]],"")</f>
        <v/>
      </c>
      <c r="O135"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35" s="71" t="str">
        <f>IFERROR((tbl_MacGyverWeld[[#This Row],[Adj. Total Hours]]+tbl_MacGyverWeld[[#This Row],[Est. Hours]])/(tbl_MacGyverWeld[[#This Row],[Total Hours Act]]+tbl_MacGyverWeld[[#This Row],[Act. Hours]]),"")</f>
        <v/>
      </c>
      <c r="S135" s="63"/>
      <c r="T135" s="63"/>
      <c r="U135" s="63"/>
      <c r="V135" s="63"/>
      <c r="W135" s="63"/>
      <c r="X135" s="63"/>
    </row>
    <row r="136" spans="6:24" ht="25" customHeight="1">
      <c r="F136" s="53"/>
      <c r="H136" s="55" t="e">
        <f>tbl_MacGyverWeld[[#This Row],[Qty Complete]]/tbl_MacGyverWeld[[#This Row],[Qty Required]]</f>
        <v>#DIV/0!</v>
      </c>
      <c r="K136" s="57" t="str">
        <f>IFERROR(tbl_MacGyverWeld[[#This Row],[Qty Required]]/tbl_MacGyverWeld[[#This Row],[PPH]]*tbl_MacGyverWeld[[#This Row],['# of men]],"")</f>
        <v/>
      </c>
      <c r="L136" s="58" t="e">
        <f>tbl_MacGyverWeld[[#This Row],[Total hours]]*tbl_MacGyverWeld[[#This Row],[% Complete]]</f>
        <v>#VALUE!</v>
      </c>
      <c r="M136" s="59" t="str">
        <f>IFERROR(tbl_MacGyverWeld[[#This Row],[Qty Complete]]/tbl_MacGyverWeld[[#This Row],[Total Hours Act]]*tbl_MacGyverWeld[[#This Row],['# of men Act]],"")</f>
        <v/>
      </c>
      <c r="O136"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36" s="71" t="str">
        <f>IFERROR((tbl_MacGyverWeld[[#This Row],[Adj. Total Hours]]+tbl_MacGyverWeld[[#This Row],[Est. Hours]])/(tbl_MacGyverWeld[[#This Row],[Total Hours Act]]+tbl_MacGyverWeld[[#This Row],[Act. Hours]]),"")</f>
        <v/>
      </c>
      <c r="S136" s="63"/>
      <c r="T136" s="63"/>
      <c r="U136" s="63"/>
      <c r="V136" s="63"/>
      <c r="W136" s="63"/>
      <c r="X136" s="63"/>
    </row>
    <row r="137" spans="6:24" ht="25" customHeight="1">
      <c r="F137" s="53"/>
      <c r="H137" s="55" t="e">
        <f>tbl_MacGyverWeld[[#This Row],[Qty Complete]]/tbl_MacGyverWeld[[#This Row],[Qty Required]]</f>
        <v>#DIV/0!</v>
      </c>
      <c r="K137" s="57" t="str">
        <f>IFERROR(tbl_MacGyverWeld[[#This Row],[Qty Required]]/tbl_MacGyverWeld[[#This Row],[PPH]]*tbl_MacGyverWeld[[#This Row],['# of men]],"")</f>
        <v/>
      </c>
      <c r="L137" s="58" t="e">
        <f>tbl_MacGyverWeld[[#This Row],[Total hours]]*tbl_MacGyverWeld[[#This Row],[% Complete]]</f>
        <v>#VALUE!</v>
      </c>
      <c r="M137" s="59" t="str">
        <f>IFERROR(tbl_MacGyverWeld[[#This Row],[Qty Complete]]/tbl_MacGyverWeld[[#This Row],[Total Hours Act]]*tbl_MacGyverWeld[[#This Row],['# of men Act]],"")</f>
        <v/>
      </c>
      <c r="O137"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37" s="71" t="str">
        <f>IFERROR((tbl_MacGyverWeld[[#This Row],[Adj. Total Hours]]+tbl_MacGyverWeld[[#This Row],[Est. Hours]])/(tbl_MacGyverWeld[[#This Row],[Total Hours Act]]+tbl_MacGyverWeld[[#This Row],[Act. Hours]]),"")</f>
        <v/>
      </c>
      <c r="S137" s="63"/>
      <c r="T137" s="63"/>
      <c r="U137" s="63"/>
      <c r="V137" s="63"/>
      <c r="W137" s="63"/>
      <c r="X137" s="63"/>
    </row>
    <row r="138" spans="6:24" ht="25" customHeight="1">
      <c r="F138" s="53"/>
      <c r="H138" s="55" t="e">
        <f>tbl_MacGyverWeld[[#This Row],[Qty Complete]]/tbl_MacGyverWeld[[#This Row],[Qty Required]]</f>
        <v>#DIV/0!</v>
      </c>
      <c r="K138" s="57" t="str">
        <f>IFERROR(tbl_MacGyverWeld[[#This Row],[Qty Required]]/tbl_MacGyverWeld[[#This Row],[PPH]]*tbl_MacGyverWeld[[#This Row],['# of men]],"")</f>
        <v/>
      </c>
      <c r="L138" s="58" t="e">
        <f>tbl_MacGyverWeld[[#This Row],[Total hours]]*tbl_MacGyverWeld[[#This Row],[% Complete]]</f>
        <v>#VALUE!</v>
      </c>
      <c r="M138" s="59" t="str">
        <f>IFERROR(tbl_MacGyverWeld[[#This Row],[Qty Complete]]/tbl_MacGyverWeld[[#This Row],[Total Hours Act]]*tbl_MacGyverWeld[[#This Row],['# of men Act]],"")</f>
        <v/>
      </c>
      <c r="O138"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38" s="71" t="str">
        <f>IFERROR((tbl_MacGyverWeld[[#This Row],[Adj. Total Hours]]+tbl_MacGyverWeld[[#This Row],[Est. Hours]])/(tbl_MacGyverWeld[[#This Row],[Total Hours Act]]+tbl_MacGyverWeld[[#This Row],[Act. Hours]]),"")</f>
        <v/>
      </c>
      <c r="S138" s="63"/>
      <c r="T138" s="63"/>
      <c r="U138" s="63"/>
      <c r="V138" s="63"/>
      <c r="W138" s="63"/>
      <c r="X138" s="63"/>
    </row>
    <row r="139" spans="6:24" ht="25" customHeight="1">
      <c r="F139" s="53"/>
      <c r="H139" s="55" t="e">
        <f>tbl_MacGyverWeld[[#This Row],[Qty Complete]]/tbl_MacGyverWeld[[#This Row],[Qty Required]]</f>
        <v>#DIV/0!</v>
      </c>
      <c r="K139" s="57" t="str">
        <f>IFERROR(tbl_MacGyverWeld[[#This Row],[Qty Required]]/tbl_MacGyverWeld[[#This Row],[PPH]]*tbl_MacGyverWeld[[#This Row],['# of men]],"")</f>
        <v/>
      </c>
      <c r="L139" s="58" t="e">
        <f>tbl_MacGyverWeld[[#This Row],[Total hours]]*tbl_MacGyverWeld[[#This Row],[% Complete]]</f>
        <v>#VALUE!</v>
      </c>
      <c r="M139" s="59" t="str">
        <f>IFERROR(tbl_MacGyverWeld[[#This Row],[Qty Complete]]/tbl_MacGyverWeld[[#This Row],[Total Hours Act]]*tbl_MacGyverWeld[[#This Row],['# of men Act]],"")</f>
        <v/>
      </c>
      <c r="O139"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39" s="71" t="str">
        <f>IFERROR((tbl_MacGyverWeld[[#This Row],[Adj. Total Hours]]+tbl_MacGyverWeld[[#This Row],[Est. Hours]])/(tbl_MacGyverWeld[[#This Row],[Total Hours Act]]+tbl_MacGyverWeld[[#This Row],[Act. Hours]]),"")</f>
        <v/>
      </c>
      <c r="S139" s="63"/>
      <c r="T139" s="63"/>
      <c r="U139" s="63"/>
      <c r="V139" s="63"/>
      <c r="W139" s="63"/>
      <c r="X139" s="63"/>
    </row>
    <row r="140" spans="6:24" ht="25" customHeight="1">
      <c r="F140" s="53"/>
      <c r="H140" s="55" t="e">
        <f>tbl_MacGyverWeld[[#This Row],[Qty Complete]]/tbl_MacGyverWeld[[#This Row],[Qty Required]]</f>
        <v>#DIV/0!</v>
      </c>
      <c r="K140" s="57" t="str">
        <f>IFERROR(tbl_MacGyverWeld[[#This Row],[Qty Required]]/tbl_MacGyverWeld[[#This Row],[PPH]]*tbl_MacGyverWeld[[#This Row],['# of men]],"")</f>
        <v/>
      </c>
      <c r="L140" s="58" t="e">
        <f>tbl_MacGyverWeld[[#This Row],[Total hours]]*tbl_MacGyverWeld[[#This Row],[% Complete]]</f>
        <v>#VALUE!</v>
      </c>
      <c r="M140" s="59" t="str">
        <f>IFERROR(tbl_MacGyverWeld[[#This Row],[Qty Complete]]/tbl_MacGyverWeld[[#This Row],[Total Hours Act]]*tbl_MacGyverWeld[[#This Row],['# of men Act]],"")</f>
        <v/>
      </c>
      <c r="O140"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40" s="71" t="str">
        <f>IFERROR((tbl_MacGyverWeld[[#This Row],[Adj. Total Hours]]+tbl_MacGyverWeld[[#This Row],[Est. Hours]])/(tbl_MacGyverWeld[[#This Row],[Total Hours Act]]+tbl_MacGyverWeld[[#This Row],[Act. Hours]]),"")</f>
        <v/>
      </c>
      <c r="S140" s="63"/>
      <c r="T140" s="63"/>
      <c r="U140" s="63"/>
      <c r="V140" s="63"/>
      <c r="W140" s="63"/>
      <c r="X140" s="63"/>
    </row>
    <row r="141" spans="6:24" ht="25" customHeight="1">
      <c r="F141" s="53"/>
      <c r="H141" s="55" t="e">
        <f>tbl_MacGyverWeld[[#This Row],[Qty Complete]]/tbl_MacGyverWeld[[#This Row],[Qty Required]]</f>
        <v>#DIV/0!</v>
      </c>
      <c r="K141" s="57" t="str">
        <f>IFERROR(tbl_MacGyverWeld[[#This Row],[Qty Required]]/tbl_MacGyverWeld[[#This Row],[PPH]]*tbl_MacGyverWeld[[#This Row],['# of men]],"")</f>
        <v/>
      </c>
      <c r="L141" s="58" t="e">
        <f>tbl_MacGyverWeld[[#This Row],[Total hours]]*tbl_MacGyverWeld[[#This Row],[% Complete]]</f>
        <v>#VALUE!</v>
      </c>
      <c r="M141" s="59" t="str">
        <f>IFERROR(tbl_MacGyverWeld[[#This Row],[Qty Complete]]/tbl_MacGyverWeld[[#This Row],[Total Hours Act]]*tbl_MacGyverWeld[[#This Row],['# of men Act]],"")</f>
        <v/>
      </c>
      <c r="O141"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41" s="71" t="str">
        <f>IFERROR((tbl_MacGyverWeld[[#This Row],[Adj. Total Hours]]+tbl_MacGyverWeld[[#This Row],[Est. Hours]])/(tbl_MacGyverWeld[[#This Row],[Total Hours Act]]+tbl_MacGyverWeld[[#This Row],[Act. Hours]]),"")</f>
        <v/>
      </c>
      <c r="S141" s="63"/>
      <c r="T141" s="63"/>
      <c r="U141" s="63"/>
      <c r="V141" s="63"/>
      <c r="W141" s="63"/>
      <c r="X141" s="63"/>
    </row>
    <row r="142" spans="6:24" ht="25" customHeight="1">
      <c r="F142" s="53"/>
      <c r="H142" s="55" t="e">
        <f>tbl_MacGyverWeld[[#This Row],[Qty Complete]]/tbl_MacGyverWeld[[#This Row],[Qty Required]]</f>
        <v>#DIV/0!</v>
      </c>
      <c r="K142" s="57" t="str">
        <f>IFERROR(tbl_MacGyverWeld[[#This Row],[Qty Required]]/tbl_MacGyverWeld[[#This Row],[PPH]]*tbl_MacGyverWeld[[#This Row],['# of men]],"")</f>
        <v/>
      </c>
      <c r="L142" s="58" t="e">
        <f>tbl_MacGyverWeld[[#This Row],[Total hours]]*tbl_MacGyverWeld[[#This Row],[% Complete]]</f>
        <v>#VALUE!</v>
      </c>
      <c r="M142" s="59" t="str">
        <f>IFERROR(tbl_MacGyverWeld[[#This Row],[Qty Complete]]/tbl_MacGyverWeld[[#This Row],[Total Hours Act]]*tbl_MacGyverWeld[[#This Row],['# of men Act]],"")</f>
        <v/>
      </c>
      <c r="O142"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42" s="71" t="str">
        <f>IFERROR((tbl_MacGyverWeld[[#This Row],[Adj. Total Hours]]+tbl_MacGyverWeld[[#This Row],[Est. Hours]])/(tbl_MacGyverWeld[[#This Row],[Total Hours Act]]+tbl_MacGyverWeld[[#This Row],[Act. Hours]]),"")</f>
        <v/>
      </c>
      <c r="S142" s="63"/>
      <c r="T142" s="63"/>
      <c r="U142" s="63"/>
      <c r="V142" s="63"/>
      <c r="W142" s="63"/>
      <c r="X142" s="63"/>
    </row>
    <row r="143" spans="6:24" ht="25" customHeight="1">
      <c r="F143" s="53"/>
      <c r="H143" s="55" t="e">
        <f>tbl_MacGyverWeld[[#This Row],[Qty Complete]]/tbl_MacGyverWeld[[#This Row],[Qty Required]]</f>
        <v>#DIV/0!</v>
      </c>
      <c r="K143" s="57" t="str">
        <f>IFERROR(tbl_MacGyverWeld[[#This Row],[Qty Required]]/tbl_MacGyverWeld[[#This Row],[PPH]]*tbl_MacGyverWeld[[#This Row],['# of men]],"")</f>
        <v/>
      </c>
      <c r="L143" s="58" t="e">
        <f>tbl_MacGyverWeld[[#This Row],[Total hours]]*tbl_MacGyverWeld[[#This Row],[% Complete]]</f>
        <v>#VALUE!</v>
      </c>
      <c r="M143" s="59" t="str">
        <f>IFERROR(tbl_MacGyverWeld[[#This Row],[Qty Complete]]/tbl_MacGyverWeld[[#This Row],[Total Hours Act]]*tbl_MacGyverWeld[[#This Row],['# of men Act]],"")</f>
        <v/>
      </c>
      <c r="O143"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43" s="71" t="str">
        <f>IFERROR((tbl_MacGyverWeld[[#This Row],[Adj. Total Hours]]+tbl_MacGyverWeld[[#This Row],[Est. Hours]])/(tbl_MacGyverWeld[[#This Row],[Total Hours Act]]+tbl_MacGyverWeld[[#This Row],[Act. Hours]]),"")</f>
        <v/>
      </c>
      <c r="S143" s="63"/>
      <c r="T143" s="63"/>
      <c r="U143" s="63"/>
      <c r="V143" s="63"/>
      <c r="W143" s="63"/>
      <c r="X143" s="63"/>
    </row>
    <row r="144" spans="6:24" ht="25" customHeight="1">
      <c r="F144" s="53"/>
      <c r="H144" s="55" t="e">
        <f>tbl_MacGyverWeld[[#This Row],[Qty Complete]]/tbl_MacGyverWeld[[#This Row],[Qty Required]]</f>
        <v>#DIV/0!</v>
      </c>
      <c r="K144" s="57" t="str">
        <f>IFERROR(tbl_MacGyverWeld[[#This Row],[Qty Required]]/tbl_MacGyverWeld[[#This Row],[PPH]]*tbl_MacGyverWeld[[#This Row],['# of men]],"")</f>
        <v/>
      </c>
      <c r="L144" s="58" t="e">
        <f>tbl_MacGyverWeld[[#This Row],[Total hours]]*tbl_MacGyverWeld[[#This Row],[% Complete]]</f>
        <v>#VALUE!</v>
      </c>
      <c r="M144" s="59" t="str">
        <f>IFERROR(tbl_MacGyverWeld[[#This Row],[Qty Complete]]/tbl_MacGyverWeld[[#This Row],[Total Hours Act]]*tbl_MacGyverWeld[[#This Row],['# of men Act]],"")</f>
        <v/>
      </c>
      <c r="O144"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44" s="71" t="str">
        <f>IFERROR((tbl_MacGyverWeld[[#This Row],[Adj. Total Hours]]+tbl_MacGyverWeld[[#This Row],[Est. Hours]])/(tbl_MacGyverWeld[[#This Row],[Total Hours Act]]+tbl_MacGyverWeld[[#This Row],[Act. Hours]]),"")</f>
        <v/>
      </c>
      <c r="S144" s="63"/>
      <c r="T144" s="63"/>
      <c r="U144" s="63"/>
      <c r="V144" s="63"/>
      <c r="W144" s="63"/>
      <c r="X144" s="63"/>
    </row>
    <row r="145" spans="6:24" ht="25" customHeight="1">
      <c r="F145" s="53"/>
      <c r="H145" s="55" t="e">
        <f>tbl_MacGyverWeld[[#This Row],[Qty Complete]]/tbl_MacGyverWeld[[#This Row],[Qty Required]]</f>
        <v>#DIV/0!</v>
      </c>
      <c r="K145" s="57" t="str">
        <f>IFERROR(tbl_MacGyverWeld[[#This Row],[Qty Required]]/tbl_MacGyverWeld[[#This Row],[PPH]]*tbl_MacGyverWeld[[#This Row],['# of men]],"")</f>
        <v/>
      </c>
      <c r="L145" s="58" t="e">
        <f>tbl_MacGyverWeld[[#This Row],[Total hours]]*tbl_MacGyverWeld[[#This Row],[% Complete]]</f>
        <v>#VALUE!</v>
      </c>
      <c r="M145" s="59" t="str">
        <f>IFERROR(tbl_MacGyverWeld[[#This Row],[Qty Complete]]/tbl_MacGyverWeld[[#This Row],[Total Hours Act]]*tbl_MacGyverWeld[[#This Row],['# of men Act]],"")</f>
        <v/>
      </c>
      <c r="O145"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45" s="71" t="str">
        <f>IFERROR((tbl_MacGyverWeld[[#This Row],[Adj. Total Hours]]+tbl_MacGyverWeld[[#This Row],[Est. Hours]])/(tbl_MacGyverWeld[[#This Row],[Total Hours Act]]+tbl_MacGyverWeld[[#This Row],[Act. Hours]]),"")</f>
        <v/>
      </c>
      <c r="S145" s="63"/>
      <c r="T145" s="63"/>
      <c r="U145" s="63"/>
      <c r="V145" s="63"/>
      <c r="W145" s="63"/>
      <c r="X145" s="63"/>
    </row>
    <row r="146" spans="6:24" ht="25" customHeight="1">
      <c r="F146" s="53"/>
      <c r="H146" s="55" t="e">
        <f>tbl_MacGyverWeld[[#This Row],[Qty Complete]]/tbl_MacGyverWeld[[#This Row],[Qty Required]]</f>
        <v>#DIV/0!</v>
      </c>
      <c r="K146" s="57" t="str">
        <f>IFERROR(tbl_MacGyverWeld[[#This Row],[Qty Required]]/tbl_MacGyverWeld[[#This Row],[PPH]]*tbl_MacGyverWeld[[#This Row],['# of men]],"")</f>
        <v/>
      </c>
      <c r="L146" s="58" t="e">
        <f>tbl_MacGyverWeld[[#This Row],[Total hours]]*tbl_MacGyverWeld[[#This Row],[% Complete]]</f>
        <v>#VALUE!</v>
      </c>
      <c r="M146" s="59" t="str">
        <f>IFERROR(tbl_MacGyverWeld[[#This Row],[Qty Complete]]/tbl_MacGyverWeld[[#This Row],[Total Hours Act]]*tbl_MacGyverWeld[[#This Row],['# of men Act]],"")</f>
        <v/>
      </c>
      <c r="O146"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46" s="71" t="str">
        <f>IFERROR((tbl_MacGyverWeld[[#This Row],[Adj. Total Hours]]+tbl_MacGyverWeld[[#This Row],[Est. Hours]])/(tbl_MacGyverWeld[[#This Row],[Total Hours Act]]+tbl_MacGyverWeld[[#This Row],[Act. Hours]]),"")</f>
        <v/>
      </c>
      <c r="S146" s="63"/>
      <c r="T146" s="63"/>
      <c r="U146" s="63"/>
      <c r="V146" s="63"/>
      <c r="W146" s="63"/>
      <c r="X146" s="63"/>
    </row>
    <row r="147" spans="6:24" ht="25" customHeight="1">
      <c r="F147" s="53"/>
      <c r="H147" s="55" t="e">
        <f>tbl_MacGyverWeld[[#This Row],[Qty Complete]]/tbl_MacGyverWeld[[#This Row],[Qty Required]]</f>
        <v>#DIV/0!</v>
      </c>
      <c r="K147" s="57" t="str">
        <f>IFERROR(tbl_MacGyverWeld[[#This Row],[Qty Required]]/tbl_MacGyverWeld[[#This Row],[PPH]]*tbl_MacGyverWeld[[#This Row],['# of men]],"")</f>
        <v/>
      </c>
      <c r="L147" s="58" t="e">
        <f>tbl_MacGyverWeld[[#This Row],[Total hours]]*tbl_MacGyverWeld[[#This Row],[% Complete]]</f>
        <v>#VALUE!</v>
      </c>
      <c r="M147" s="59" t="str">
        <f>IFERROR(tbl_MacGyverWeld[[#This Row],[Qty Complete]]/tbl_MacGyverWeld[[#This Row],[Total Hours Act]]*tbl_MacGyverWeld[[#This Row],['# of men Act]],"")</f>
        <v/>
      </c>
      <c r="O147"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47" s="71" t="str">
        <f>IFERROR((tbl_MacGyverWeld[[#This Row],[Adj. Total Hours]]+tbl_MacGyverWeld[[#This Row],[Est. Hours]])/(tbl_MacGyverWeld[[#This Row],[Total Hours Act]]+tbl_MacGyverWeld[[#This Row],[Act. Hours]]),"")</f>
        <v/>
      </c>
      <c r="S147" s="63"/>
      <c r="T147" s="63"/>
      <c r="U147" s="63"/>
      <c r="V147" s="63"/>
      <c r="W147" s="63"/>
      <c r="X147" s="63"/>
    </row>
    <row r="148" spans="6:24" ht="25" customHeight="1">
      <c r="F148" s="53"/>
      <c r="H148" s="55" t="e">
        <f>tbl_MacGyverWeld[[#This Row],[Qty Complete]]/tbl_MacGyverWeld[[#This Row],[Qty Required]]</f>
        <v>#DIV/0!</v>
      </c>
      <c r="K148" s="57" t="str">
        <f>IFERROR(tbl_MacGyverWeld[[#This Row],[Qty Required]]/tbl_MacGyverWeld[[#This Row],[PPH]]*tbl_MacGyverWeld[[#This Row],['# of men]],"")</f>
        <v/>
      </c>
      <c r="L148" s="58" t="e">
        <f>tbl_MacGyverWeld[[#This Row],[Total hours]]*tbl_MacGyverWeld[[#This Row],[% Complete]]</f>
        <v>#VALUE!</v>
      </c>
      <c r="M148" s="59" t="str">
        <f>IFERROR(tbl_MacGyverWeld[[#This Row],[Qty Complete]]/tbl_MacGyverWeld[[#This Row],[Total Hours Act]]*tbl_MacGyverWeld[[#This Row],['# of men Act]],"")</f>
        <v/>
      </c>
      <c r="O148"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48" s="71" t="str">
        <f>IFERROR((tbl_MacGyverWeld[[#This Row],[Adj. Total Hours]]+tbl_MacGyverWeld[[#This Row],[Est. Hours]])/(tbl_MacGyverWeld[[#This Row],[Total Hours Act]]+tbl_MacGyverWeld[[#This Row],[Act. Hours]]),"")</f>
        <v/>
      </c>
      <c r="S148" s="63"/>
      <c r="T148" s="63"/>
      <c r="U148" s="63"/>
      <c r="V148" s="63"/>
      <c r="W148" s="63"/>
      <c r="X148" s="63"/>
    </row>
    <row r="149" spans="6:24" ht="25" customHeight="1">
      <c r="F149" s="53"/>
      <c r="H149" s="55" t="e">
        <f>tbl_MacGyverWeld[[#This Row],[Qty Complete]]/tbl_MacGyverWeld[[#This Row],[Qty Required]]</f>
        <v>#DIV/0!</v>
      </c>
      <c r="K149" s="57" t="str">
        <f>IFERROR(tbl_MacGyverWeld[[#This Row],[Qty Required]]/tbl_MacGyverWeld[[#This Row],[PPH]]*tbl_MacGyverWeld[[#This Row],['# of men]],"")</f>
        <v/>
      </c>
      <c r="L149" s="58" t="e">
        <f>tbl_MacGyverWeld[[#This Row],[Total hours]]*tbl_MacGyverWeld[[#This Row],[% Complete]]</f>
        <v>#VALUE!</v>
      </c>
      <c r="M149" s="59" t="str">
        <f>IFERROR(tbl_MacGyverWeld[[#This Row],[Qty Complete]]/tbl_MacGyverWeld[[#This Row],[Total Hours Act]]*tbl_MacGyverWeld[[#This Row],['# of men Act]],"")</f>
        <v/>
      </c>
      <c r="O149"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49" s="71" t="str">
        <f>IFERROR((tbl_MacGyverWeld[[#This Row],[Adj. Total Hours]]+tbl_MacGyverWeld[[#This Row],[Est. Hours]])/(tbl_MacGyverWeld[[#This Row],[Total Hours Act]]+tbl_MacGyverWeld[[#This Row],[Act. Hours]]),"")</f>
        <v/>
      </c>
      <c r="S149" s="63"/>
      <c r="T149" s="63"/>
      <c r="U149" s="63"/>
      <c r="V149" s="63"/>
      <c r="W149" s="63"/>
      <c r="X149" s="63"/>
    </row>
    <row r="150" spans="6:24" ht="25" customHeight="1">
      <c r="F150" s="53"/>
      <c r="H150" s="55" t="e">
        <f>tbl_MacGyverWeld[[#This Row],[Qty Complete]]/tbl_MacGyverWeld[[#This Row],[Qty Required]]</f>
        <v>#DIV/0!</v>
      </c>
      <c r="K150" s="57" t="str">
        <f>IFERROR(tbl_MacGyverWeld[[#This Row],[Qty Required]]/tbl_MacGyverWeld[[#This Row],[PPH]]*tbl_MacGyverWeld[[#This Row],['# of men]],"")</f>
        <v/>
      </c>
      <c r="L150" s="58" t="e">
        <f>tbl_MacGyverWeld[[#This Row],[Total hours]]*tbl_MacGyverWeld[[#This Row],[% Complete]]</f>
        <v>#VALUE!</v>
      </c>
      <c r="M150" s="59" t="str">
        <f>IFERROR(tbl_MacGyverWeld[[#This Row],[Qty Complete]]/tbl_MacGyverWeld[[#This Row],[Total Hours Act]]*tbl_MacGyverWeld[[#This Row],['# of men Act]],"")</f>
        <v/>
      </c>
      <c r="O150"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50" s="71" t="str">
        <f>IFERROR((tbl_MacGyverWeld[[#This Row],[Adj. Total Hours]]+tbl_MacGyverWeld[[#This Row],[Est. Hours]])/(tbl_MacGyverWeld[[#This Row],[Total Hours Act]]+tbl_MacGyverWeld[[#This Row],[Act. Hours]]),"")</f>
        <v/>
      </c>
      <c r="S150" s="63"/>
      <c r="T150" s="63"/>
      <c r="U150" s="63"/>
      <c r="V150" s="63"/>
      <c r="W150" s="63"/>
      <c r="X150" s="63"/>
    </row>
    <row r="151" spans="6:24" ht="25" customHeight="1">
      <c r="F151" s="53"/>
      <c r="H151" s="55" t="e">
        <f>tbl_MacGyverWeld[[#This Row],[Qty Complete]]/tbl_MacGyverWeld[[#This Row],[Qty Required]]</f>
        <v>#DIV/0!</v>
      </c>
      <c r="K151" s="57" t="str">
        <f>IFERROR(tbl_MacGyverWeld[[#This Row],[Qty Required]]/tbl_MacGyverWeld[[#This Row],[PPH]]*tbl_MacGyverWeld[[#This Row],['# of men]],"")</f>
        <v/>
      </c>
      <c r="L151" s="58" t="e">
        <f>tbl_MacGyverWeld[[#This Row],[Total hours]]*tbl_MacGyverWeld[[#This Row],[% Complete]]</f>
        <v>#VALUE!</v>
      </c>
      <c r="M151" s="59" t="str">
        <f>IFERROR(tbl_MacGyverWeld[[#This Row],[Qty Complete]]/tbl_MacGyverWeld[[#This Row],[Total Hours Act]]*tbl_MacGyverWeld[[#This Row],['# of men Act]],"")</f>
        <v/>
      </c>
      <c r="O151"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51" s="71" t="str">
        <f>IFERROR((tbl_MacGyverWeld[[#This Row],[Adj. Total Hours]]+tbl_MacGyverWeld[[#This Row],[Est. Hours]])/(tbl_MacGyverWeld[[#This Row],[Total Hours Act]]+tbl_MacGyverWeld[[#This Row],[Act. Hours]]),"")</f>
        <v/>
      </c>
      <c r="S151" s="63"/>
      <c r="T151" s="63"/>
      <c r="U151" s="63"/>
      <c r="V151" s="63"/>
      <c r="W151" s="63"/>
      <c r="X151" s="63"/>
    </row>
    <row r="152" spans="6:24" ht="25" customHeight="1">
      <c r="F152" s="53"/>
      <c r="H152" s="55" t="e">
        <f>tbl_MacGyverWeld[[#This Row],[Qty Complete]]/tbl_MacGyverWeld[[#This Row],[Qty Required]]</f>
        <v>#DIV/0!</v>
      </c>
      <c r="K152" s="57" t="str">
        <f>IFERROR(tbl_MacGyverWeld[[#This Row],[Qty Required]]/tbl_MacGyverWeld[[#This Row],[PPH]]*tbl_MacGyverWeld[[#This Row],['# of men]],"")</f>
        <v/>
      </c>
      <c r="L152" s="58" t="e">
        <f>tbl_MacGyverWeld[[#This Row],[Total hours]]*tbl_MacGyverWeld[[#This Row],[% Complete]]</f>
        <v>#VALUE!</v>
      </c>
      <c r="M152" s="59" t="str">
        <f>IFERROR(tbl_MacGyverWeld[[#This Row],[Qty Complete]]/tbl_MacGyverWeld[[#This Row],[Total Hours Act]]*tbl_MacGyverWeld[[#This Row],['# of men Act]],"")</f>
        <v/>
      </c>
      <c r="O152"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52" s="71" t="str">
        <f>IFERROR((tbl_MacGyverWeld[[#This Row],[Adj. Total Hours]]+tbl_MacGyverWeld[[#This Row],[Est. Hours]])/(tbl_MacGyverWeld[[#This Row],[Total Hours Act]]+tbl_MacGyverWeld[[#This Row],[Act. Hours]]),"")</f>
        <v/>
      </c>
      <c r="S152" s="63"/>
      <c r="T152" s="63"/>
      <c r="U152" s="63"/>
      <c r="V152" s="63"/>
      <c r="W152" s="63"/>
      <c r="X152" s="63"/>
    </row>
    <row r="153" spans="6:24" ht="25" customHeight="1">
      <c r="F153" s="53"/>
      <c r="H153" s="55" t="e">
        <f>tbl_MacGyverWeld[[#This Row],[Qty Complete]]/tbl_MacGyverWeld[[#This Row],[Qty Required]]</f>
        <v>#DIV/0!</v>
      </c>
      <c r="K153" s="57" t="str">
        <f>IFERROR(tbl_MacGyverWeld[[#This Row],[Qty Required]]/tbl_MacGyverWeld[[#This Row],[PPH]]*tbl_MacGyverWeld[[#This Row],['# of men]],"")</f>
        <v/>
      </c>
      <c r="L153" s="58" t="e">
        <f>tbl_MacGyverWeld[[#This Row],[Total hours]]*tbl_MacGyverWeld[[#This Row],[% Complete]]</f>
        <v>#VALUE!</v>
      </c>
      <c r="M153" s="59" t="str">
        <f>IFERROR(tbl_MacGyverWeld[[#This Row],[Qty Complete]]/tbl_MacGyverWeld[[#This Row],[Total Hours Act]]*tbl_MacGyverWeld[[#This Row],['# of men Act]],"")</f>
        <v/>
      </c>
      <c r="O153"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53" s="71" t="str">
        <f>IFERROR((tbl_MacGyverWeld[[#This Row],[Adj. Total Hours]]+tbl_MacGyverWeld[[#This Row],[Est. Hours]])/(tbl_MacGyverWeld[[#This Row],[Total Hours Act]]+tbl_MacGyverWeld[[#This Row],[Act. Hours]]),"")</f>
        <v/>
      </c>
      <c r="S153" s="63"/>
      <c r="T153" s="63"/>
      <c r="U153" s="63"/>
      <c r="V153" s="63"/>
      <c r="W153" s="63"/>
      <c r="X153" s="63"/>
    </row>
    <row r="154" spans="6:24" ht="25" customHeight="1">
      <c r="F154" s="53"/>
      <c r="H154" s="55" t="e">
        <f>tbl_MacGyverWeld[[#This Row],[Qty Complete]]/tbl_MacGyverWeld[[#This Row],[Qty Required]]</f>
        <v>#DIV/0!</v>
      </c>
      <c r="K154" s="57" t="str">
        <f>IFERROR(tbl_MacGyverWeld[[#This Row],[Qty Required]]/tbl_MacGyverWeld[[#This Row],[PPH]]*tbl_MacGyverWeld[[#This Row],['# of men]],"")</f>
        <v/>
      </c>
      <c r="L154" s="58" t="e">
        <f>tbl_MacGyverWeld[[#This Row],[Total hours]]*tbl_MacGyverWeld[[#This Row],[% Complete]]</f>
        <v>#VALUE!</v>
      </c>
      <c r="M154" s="59" t="str">
        <f>IFERROR(tbl_MacGyverWeld[[#This Row],[Qty Complete]]/tbl_MacGyverWeld[[#This Row],[Total Hours Act]]*tbl_MacGyverWeld[[#This Row],['# of men Act]],"")</f>
        <v/>
      </c>
      <c r="O154"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54" s="71" t="str">
        <f>IFERROR((tbl_MacGyverWeld[[#This Row],[Adj. Total Hours]]+tbl_MacGyverWeld[[#This Row],[Est. Hours]])/(tbl_MacGyverWeld[[#This Row],[Total Hours Act]]+tbl_MacGyverWeld[[#This Row],[Act. Hours]]),"")</f>
        <v/>
      </c>
      <c r="S154" s="63"/>
      <c r="T154" s="63"/>
      <c r="U154" s="63"/>
      <c r="V154" s="63"/>
      <c r="W154" s="63"/>
      <c r="X154" s="63"/>
    </row>
    <row r="155" spans="6:24" ht="25" customHeight="1">
      <c r="F155" s="53"/>
      <c r="H155" s="55" t="e">
        <f>tbl_MacGyverWeld[[#This Row],[Qty Complete]]/tbl_MacGyverWeld[[#This Row],[Qty Required]]</f>
        <v>#DIV/0!</v>
      </c>
      <c r="K155" s="57" t="str">
        <f>IFERROR(tbl_MacGyverWeld[[#This Row],[Qty Required]]/tbl_MacGyverWeld[[#This Row],[PPH]]*tbl_MacGyverWeld[[#This Row],['# of men]],"")</f>
        <v/>
      </c>
      <c r="L155" s="58" t="e">
        <f>tbl_MacGyverWeld[[#This Row],[Total hours]]*tbl_MacGyverWeld[[#This Row],[% Complete]]</f>
        <v>#VALUE!</v>
      </c>
      <c r="M155" s="59" t="str">
        <f>IFERROR(tbl_MacGyverWeld[[#This Row],[Qty Complete]]/tbl_MacGyverWeld[[#This Row],[Total Hours Act]]*tbl_MacGyverWeld[[#This Row],['# of men Act]],"")</f>
        <v/>
      </c>
      <c r="O155"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55" s="71" t="str">
        <f>IFERROR((tbl_MacGyverWeld[[#This Row],[Adj. Total Hours]]+tbl_MacGyverWeld[[#This Row],[Est. Hours]])/(tbl_MacGyverWeld[[#This Row],[Total Hours Act]]+tbl_MacGyverWeld[[#This Row],[Act. Hours]]),"")</f>
        <v/>
      </c>
      <c r="S155" s="63"/>
      <c r="T155" s="63"/>
      <c r="U155" s="63"/>
      <c r="V155" s="63"/>
      <c r="W155" s="63"/>
      <c r="X155" s="63"/>
    </row>
    <row r="156" spans="6:24" ht="25" customHeight="1">
      <c r="F156" s="53"/>
      <c r="H156" s="55" t="e">
        <f>tbl_MacGyverWeld[[#This Row],[Qty Complete]]/tbl_MacGyverWeld[[#This Row],[Qty Required]]</f>
        <v>#DIV/0!</v>
      </c>
      <c r="K156" s="57" t="str">
        <f>IFERROR(tbl_MacGyverWeld[[#This Row],[Qty Required]]/tbl_MacGyverWeld[[#This Row],[PPH]]*tbl_MacGyverWeld[[#This Row],['# of men]],"")</f>
        <v/>
      </c>
      <c r="L156" s="58" t="e">
        <f>tbl_MacGyverWeld[[#This Row],[Total hours]]*tbl_MacGyverWeld[[#This Row],[% Complete]]</f>
        <v>#VALUE!</v>
      </c>
      <c r="M156" s="59" t="str">
        <f>IFERROR(tbl_MacGyverWeld[[#This Row],[Qty Complete]]/tbl_MacGyverWeld[[#This Row],[Total Hours Act]]*tbl_MacGyverWeld[[#This Row],['# of men Act]],"")</f>
        <v/>
      </c>
      <c r="O156"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56" s="71" t="str">
        <f>IFERROR((tbl_MacGyverWeld[[#This Row],[Adj. Total Hours]]+tbl_MacGyverWeld[[#This Row],[Est. Hours]])/(tbl_MacGyverWeld[[#This Row],[Total Hours Act]]+tbl_MacGyverWeld[[#This Row],[Act. Hours]]),"")</f>
        <v/>
      </c>
      <c r="S156" s="63"/>
      <c r="T156" s="63"/>
      <c r="U156" s="63"/>
      <c r="V156" s="63"/>
      <c r="W156" s="63"/>
      <c r="X156" s="63"/>
    </row>
    <row r="157" spans="6:24" ht="25" customHeight="1">
      <c r="F157" s="53"/>
      <c r="H157" s="55" t="e">
        <f>tbl_MacGyverWeld[[#This Row],[Qty Complete]]/tbl_MacGyverWeld[[#This Row],[Qty Required]]</f>
        <v>#DIV/0!</v>
      </c>
      <c r="K157" s="57" t="str">
        <f>IFERROR(tbl_MacGyverWeld[[#This Row],[Qty Required]]/tbl_MacGyverWeld[[#This Row],[PPH]]*tbl_MacGyverWeld[[#This Row],['# of men]],"")</f>
        <v/>
      </c>
      <c r="L157" s="58" t="e">
        <f>tbl_MacGyverWeld[[#This Row],[Total hours]]*tbl_MacGyverWeld[[#This Row],[% Complete]]</f>
        <v>#VALUE!</v>
      </c>
      <c r="M157" s="59" t="str">
        <f>IFERROR(tbl_MacGyverWeld[[#This Row],[Qty Complete]]/tbl_MacGyverWeld[[#This Row],[Total Hours Act]]*tbl_MacGyverWeld[[#This Row],['# of men Act]],"")</f>
        <v/>
      </c>
      <c r="O157"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57" s="71" t="str">
        <f>IFERROR((tbl_MacGyverWeld[[#This Row],[Adj. Total Hours]]+tbl_MacGyverWeld[[#This Row],[Est. Hours]])/(tbl_MacGyverWeld[[#This Row],[Total Hours Act]]+tbl_MacGyverWeld[[#This Row],[Act. Hours]]),"")</f>
        <v/>
      </c>
      <c r="S157" s="63"/>
      <c r="T157" s="63"/>
      <c r="U157" s="63"/>
      <c r="V157" s="63"/>
      <c r="W157" s="63"/>
      <c r="X157" s="63"/>
    </row>
    <row r="158" spans="6:24" ht="25" customHeight="1">
      <c r="F158" s="53"/>
      <c r="H158" s="55" t="e">
        <f>tbl_MacGyverWeld[[#This Row],[Qty Complete]]/tbl_MacGyverWeld[[#This Row],[Qty Required]]</f>
        <v>#DIV/0!</v>
      </c>
      <c r="K158" s="57" t="str">
        <f>IFERROR(tbl_MacGyverWeld[[#This Row],[Qty Required]]/tbl_MacGyverWeld[[#This Row],[PPH]]*tbl_MacGyverWeld[[#This Row],['# of men]],"")</f>
        <v/>
      </c>
      <c r="L158" s="58" t="e">
        <f>tbl_MacGyverWeld[[#This Row],[Total hours]]*tbl_MacGyverWeld[[#This Row],[% Complete]]</f>
        <v>#VALUE!</v>
      </c>
      <c r="M158" s="59" t="str">
        <f>IFERROR(tbl_MacGyverWeld[[#This Row],[Qty Complete]]/tbl_MacGyverWeld[[#This Row],[Total Hours Act]]*tbl_MacGyverWeld[[#This Row],['# of men Act]],"")</f>
        <v/>
      </c>
      <c r="O158"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58" s="71" t="str">
        <f>IFERROR((tbl_MacGyverWeld[[#This Row],[Adj. Total Hours]]+tbl_MacGyverWeld[[#This Row],[Est. Hours]])/(tbl_MacGyverWeld[[#This Row],[Total Hours Act]]+tbl_MacGyverWeld[[#This Row],[Act. Hours]]),"")</f>
        <v/>
      </c>
      <c r="S158" s="63"/>
      <c r="T158" s="63"/>
      <c r="U158" s="63"/>
      <c r="V158" s="63"/>
      <c r="W158" s="63"/>
      <c r="X158" s="63"/>
    </row>
    <row r="159" spans="6:24" ht="25" customHeight="1">
      <c r="F159" s="53"/>
      <c r="H159" s="55" t="e">
        <f>tbl_MacGyverWeld[[#This Row],[Qty Complete]]/tbl_MacGyverWeld[[#This Row],[Qty Required]]</f>
        <v>#DIV/0!</v>
      </c>
      <c r="K159" s="57" t="str">
        <f>IFERROR(tbl_MacGyverWeld[[#This Row],[Qty Required]]/tbl_MacGyverWeld[[#This Row],[PPH]]*tbl_MacGyverWeld[[#This Row],['# of men]],"")</f>
        <v/>
      </c>
      <c r="L159" s="58" t="e">
        <f>tbl_MacGyverWeld[[#This Row],[Total hours]]*tbl_MacGyverWeld[[#This Row],[% Complete]]</f>
        <v>#VALUE!</v>
      </c>
      <c r="M159" s="59" t="str">
        <f>IFERROR(tbl_MacGyverWeld[[#This Row],[Qty Complete]]/tbl_MacGyverWeld[[#This Row],[Total Hours Act]]*tbl_MacGyverWeld[[#This Row],['# of men Act]],"")</f>
        <v/>
      </c>
      <c r="O159"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59" s="71" t="str">
        <f>IFERROR((tbl_MacGyverWeld[[#This Row],[Adj. Total Hours]]+tbl_MacGyverWeld[[#This Row],[Est. Hours]])/(tbl_MacGyverWeld[[#This Row],[Total Hours Act]]+tbl_MacGyverWeld[[#This Row],[Act. Hours]]),"")</f>
        <v/>
      </c>
      <c r="S159" s="63"/>
      <c r="T159" s="63"/>
      <c r="U159" s="63"/>
      <c r="V159" s="63"/>
      <c r="W159" s="63"/>
      <c r="X159" s="63"/>
    </row>
    <row r="160" spans="6:24" ht="25" customHeight="1">
      <c r="F160" s="53"/>
      <c r="H160" s="55" t="e">
        <f>tbl_MacGyverWeld[[#This Row],[Qty Complete]]/tbl_MacGyverWeld[[#This Row],[Qty Required]]</f>
        <v>#DIV/0!</v>
      </c>
      <c r="K160" s="57" t="str">
        <f>IFERROR(tbl_MacGyverWeld[[#This Row],[Qty Required]]/tbl_MacGyverWeld[[#This Row],[PPH]]*tbl_MacGyverWeld[[#This Row],['# of men]],"")</f>
        <v/>
      </c>
      <c r="L160" s="58" t="e">
        <f>tbl_MacGyverWeld[[#This Row],[Total hours]]*tbl_MacGyverWeld[[#This Row],[% Complete]]</f>
        <v>#VALUE!</v>
      </c>
      <c r="M160" s="59" t="str">
        <f>IFERROR(tbl_MacGyverWeld[[#This Row],[Qty Complete]]/tbl_MacGyverWeld[[#This Row],[Total Hours Act]]*tbl_MacGyverWeld[[#This Row],['# of men Act]],"")</f>
        <v/>
      </c>
      <c r="O160"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60" s="71" t="str">
        <f>IFERROR((tbl_MacGyverWeld[[#This Row],[Adj. Total Hours]]+tbl_MacGyverWeld[[#This Row],[Est. Hours]])/(tbl_MacGyverWeld[[#This Row],[Total Hours Act]]+tbl_MacGyverWeld[[#This Row],[Act. Hours]]),"")</f>
        <v/>
      </c>
      <c r="S160" s="63"/>
      <c r="T160" s="63"/>
      <c r="U160" s="63"/>
      <c r="V160" s="63"/>
      <c r="W160" s="63"/>
      <c r="X160" s="63"/>
    </row>
    <row r="161" spans="6:24" ht="25" customHeight="1">
      <c r="F161" s="53"/>
      <c r="H161" s="55" t="e">
        <f>tbl_MacGyverWeld[[#This Row],[Qty Complete]]/tbl_MacGyverWeld[[#This Row],[Qty Required]]</f>
        <v>#DIV/0!</v>
      </c>
      <c r="K161" s="57" t="str">
        <f>IFERROR(tbl_MacGyverWeld[[#This Row],[Qty Required]]/tbl_MacGyverWeld[[#This Row],[PPH]]*tbl_MacGyverWeld[[#This Row],['# of men]],"")</f>
        <v/>
      </c>
      <c r="L161" s="58" t="e">
        <f>tbl_MacGyverWeld[[#This Row],[Total hours]]*tbl_MacGyverWeld[[#This Row],[% Complete]]</f>
        <v>#VALUE!</v>
      </c>
      <c r="M161" s="59" t="str">
        <f>IFERROR(tbl_MacGyverWeld[[#This Row],[Qty Complete]]/tbl_MacGyverWeld[[#This Row],[Total Hours Act]]*tbl_MacGyverWeld[[#This Row],['# of men Act]],"")</f>
        <v/>
      </c>
      <c r="O161"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61" s="71" t="str">
        <f>IFERROR((tbl_MacGyverWeld[[#This Row],[Adj. Total Hours]]+tbl_MacGyverWeld[[#This Row],[Est. Hours]])/(tbl_MacGyverWeld[[#This Row],[Total Hours Act]]+tbl_MacGyverWeld[[#This Row],[Act. Hours]]),"")</f>
        <v/>
      </c>
      <c r="S161" s="63"/>
      <c r="T161" s="63"/>
      <c r="U161" s="63"/>
      <c r="V161" s="63"/>
      <c r="W161" s="63"/>
      <c r="X161" s="63"/>
    </row>
    <row r="162" spans="6:24" ht="25" customHeight="1">
      <c r="F162" s="53"/>
      <c r="H162" s="55" t="e">
        <f>tbl_MacGyverWeld[[#This Row],[Qty Complete]]/tbl_MacGyverWeld[[#This Row],[Qty Required]]</f>
        <v>#DIV/0!</v>
      </c>
      <c r="K162" s="57" t="str">
        <f>IFERROR(tbl_MacGyverWeld[[#This Row],[Qty Required]]/tbl_MacGyverWeld[[#This Row],[PPH]]*tbl_MacGyverWeld[[#This Row],['# of men]],"")</f>
        <v/>
      </c>
      <c r="L162" s="58" t="e">
        <f>tbl_MacGyverWeld[[#This Row],[Total hours]]*tbl_MacGyverWeld[[#This Row],[% Complete]]</f>
        <v>#VALUE!</v>
      </c>
      <c r="M162" s="59" t="str">
        <f>IFERROR(tbl_MacGyverWeld[[#This Row],[Qty Complete]]/tbl_MacGyverWeld[[#This Row],[Total Hours Act]]*tbl_MacGyverWeld[[#This Row],['# of men Act]],"")</f>
        <v/>
      </c>
      <c r="O162"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62" s="71" t="str">
        <f>IFERROR((tbl_MacGyverWeld[[#This Row],[Adj. Total Hours]]+tbl_MacGyverWeld[[#This Row],[Est. Hours]])/(tbl_MacGyverWeld[[#This Row],[Total Hours Act]]+tbl_MacGyverWeld[[#This Row],[Act. Hours]]),"")</f>
        <v/>
      </c>
      <c r="S162" s="63"/>
      <c r="T162" s="63"/>
      <c r="U162" s="63"/>
      <c r="V162" s="63"/>
      <c r="W162" s="63"/>
      <c r="X162" s="63"/>
    </row>
    <row r="163" spans="6:24" ht="25" customHeight="1">
      <c r="F163" s="53"/>
      <c r="H163" s="55" t="e">
        <f>tbl_MacGyverWeld[[#This Row],[Qty Complete]]/tbl_MacGyverWeld[[#This Row],[Qty Required]]</f>
        <v>#DIV/0!</v>
      </c>
      <c r="K163" s="57" t="str">
        <f>IFERROR(tbl_MacGyverWeld[[#This Row],[Qty Required]]/tbl_MacGyverWeld[[#This Row],[PPH]]*tbl_MacGyverWeld[[#This Row],['# of men]],"")</f>
        <v/>
      </c>
      <c r="L163" s="58" t="e">
        <f>tbl_MacGyverWeld[[#This Row],[Total hours]]*tbl_MacGyverWeld[[#This Row],[% Complete]]</f>
        <v>#VALUE!</v>
      </c>
      <c r="M163" s="59" t="str">
        <f>IFERROR(tbl_MacGyverWeld[[#This Row],[Qty Complete]]/tbl_MacGyverWeld[[#This Row],[Total Hours Act]]*tbl_MacGyverWeld[[#This Row],['# of men Act]],"")</f>
        <v/>
      </c>
      <c r="O163"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63" s="71" t="str">
        <f>IFERROR((tbl_MacGyverWeld[[#This Row],[Adj. Total Hours]]+tbl_MacGyverWeld[[#This Row],[Est. Hours]])/(tbl_MacGyverWeld[[#This Row],[Total Hours Act]]+tbl_MacGyverWeld[[#This Row],[Act. Hours]]),"")</f>
        <v/>
      </c>
      <c r="S163" s="63"/>
      <c r="T163" s="63"/>
      <c r="U163" s="63"/>
      <c r="V163" s="63"/>
      <c r="W163" s="63"/>
      <c r="X163" s="63"/>
    </row>
    <row r="164" spans="6:24" ht="25" customHeight="1">
      <c r="F164" s="53"/>
      <c r="H164" s="55" t="e">
        <f>tbl_MacGyverWeld[[#This Row],[Qty Complete]]/tbl_MacGyverWeld[[#This Row],[Qty Required]]</f>
        <v>#DIV/0!</v>
      </c>
      <c r="K164" s="57" t="str">
        <f>IFERROR(tbl_MacGyverWeld[[#This Row],[Qty Required]]/tbl_MacGyverWeld[[#This Row],[PPH]]*tbl_MacGyverWeld[[#This Row],['# of men]],"")</f>
        <v/>
      </c>
      <c r="L164" s="58" t="e">
        <f>tbl_MacGyverWeld[[#This Row],[Total hours]]*tbl_MacGyverWeld[[#This Row],[% Complete]]</f>
        <v>#VALUE!</v>
      </c>
      <c r="M164" s="59" t="str">
        <f>IFERROR(tbl_MacGyverWeld[[#This Row],[Qty Complete]]/tbl_MacGyverWeld[[#This Row],[Total Hours Act]]*tbl_MacGyverWeld[[#This Row],['# of men Act]],"")</f>
        <v/>
      </c>
      <c r="O164"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64" s="71" t="str">
        <f>IFERROR((tbl_MacGyverWeld[[#This Row],[Adj. Total Hours]]+tbl_MacGyverWeld[[#This Row],[Est. Hours]])/(tbl_MacGyverWeld[[#This Row],[Total Hours Act]]+tbl_MacGyverWeld[[#This Row],[Act. Hours]]),"")</f>
        <v/>
      </c>
      <c r="S164" s="63"/>
      <c r="T164" s="63"/>
      <c r="U164" s="63"/>
      <c r="V164" s="63"/>
      <c r="W164" s="63"/>
      <c r="X164" s="63"/>
    </row>
    <row r="165" spans="6:24" ht="25" customHeight="1">
      <c r="F165" s="53"/>
      <c r="H165" s="55" t="e">
        <f>tbl_MacGyverWeld[[#This Row],[Qty Complete]]/tbl_MacGyverWeld[[#This Row],[Qty Required]]</f>
        <v>#DIV/0!</v>
      </c>
      <c r="K165" s="57" t="str">
        <f>IFERROR(tbl_MacGyverWeld[[#This Row],[Qty Required]]/tbl_MacGyverWeld[[#This Row],[PPH]]*tbl_MacGyverWeld[[#This Row],['# of men]],"")</f>
        <v/>
      </c>
      <c r="L165" s="58" t="e">
        <f>tbl_MacGyverWeld[[#This Row],[Total hours]]*tbl_MacGyverWeld[[#This Row],[% Complete]]</f>
        <v>#VALUE!</v>
      </c>
      <c r="M165" s="59" t="str">
        <f>IFERROR(tbl_MacGyverWeld[[#This Row],[Qty Complete]]/tbl_MacGyverWeld[[#This Row],[Total Hours Act]]*tbl_MacGyverWeld[[#This Row],['# of men Act]],"")</f>
        <v/>
      </c>
      <c r="O165"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65" s="71" t="str">
        <f>IFERROR((tbl_MacGyverWeld[[#This Row],[Adj. Total Hours]]+tbl_MacGyverWeld[[#This Row],[Est. Hours]])/(tbl_MacGyverWeld[[#This Row],[Total Hours Act]]+tbl_MacGyverWeld[[#This Row],[Act. Hours]]),"")</f>
        <v/>
      </c>
      <c r="S165" s="63"/>
      <c r="T165" s="63"/>
      <c r="U165" s="63"/>
      <c r="V165" s="63"/>
      <c r="W165" s="63"/>
      <c r="X165" s="63"/>
    </row>
    <row r="166" spans="6:24" ht="25" customHeight="1">
      <c r="F166" s="53"/>
      <c r="H166" s="55" t="e">
        <f>tbl_MacGyverWeld[[#This Row],[Qty Complete]]/tbl_MacGyverWeld[[#This Row],[Qty Required]]</f>
        <v>#DIV/0!</v>
      </c>
      <c r="K166" s="57" t="str">
        <f>IFERROR(tbl_MacGyverWeld[[#This Row],[Qty Required]]/tbl_MacGyverWeld[[#This Row],[PPH]]*tbl_MacGyverWeld[[#This Row],['# of men]],"")</f>
        <v/>
      </c>
      <c r="L166" s="58" t="e">
        <f>tbl_MacGyverWeld[[#This Row],[Total hours]]*tbl_MacGyverWeld[[#This Row],[% Complete]]</f>
        <v>#VALUE!</v>
      </c>
      <c r="M166" s="59" t="str">
        <f>IFERROR(tbl_MacGyverWeld[[#This Row],[Qty Complete]]/tbl_MacGyverWeld[[#This Row],[Total Hours Act]]*tbl_MacGyverWeld[[#This Row],['# of men Act]],"")</f>
        <v/>
      </c>
      <c r="O166"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66" s="71" t="str">
        <f>IFERROR((tbl_MacGyverWeld[[#This Row],[Adj. Total Hours]]+tbl_MacGyverWeld[[#This Row],[Est. Hours]])/(tbl_MacGyverWeld[[#This Row],[Total Hours Act]]+tbl_MacGyverWeld[[#This Row],[Act. Hours]]),"")</f>
        <v/>
      </c>
      <c r="S166" s="63"/>
      <c r="T166" s="63"/>
      <c r="U166" s="63"/>
      <c r="V166" s="63"/>
      <c r="W166" s="63"/>
      <c r="X166" s="63"/>
    </row>
    <row r="167" spans="6:24" ht="25" customHeight="1">
      <c r="F167" s="53"/>
      <c r="H167" s="55" t="e">
        <f>tbl_MacGyverWeld[[#This Row],[Qty Complete]]/tbl_MacGyverWeld[[#This Row],[Qty Required]]</f>
        <v>#DIV/0!</v>
      </c>
      <c r="K167" s="57" t="str">
        <f>IFERROR(tbl_MacGyverWeld[[#This Row],[Qty Required]]/tbl_MacGyverWeld[[#This Row],[PPH]]*tbl_MacGyverWeld[[#This Row],['# of men]],"")</f>
        <v/>
      </c>
      <c r="L167" s="58" t="e">
        <f>tbl_MacGyverWeld[[#This Row],[Total hours]]*tbl_MacGyverWeld[[#This Row],[% Complete]]</f>
        <v>#VALUE!</v>
      </c>
      <c r="M167" s="59" t="str">
        <f>IFERROR(tbl_MacGyverWeld[[#This Row],[Qty Complete]]/tbl_MacGyverWeld[[#This Row],[Total Hours Act]]*tbl_MacGyverWeld[[#This Row],['# of men Act]],"")</f>
        <v/>
      </c>
      <c r="O167"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67" s="71" t="str">
        <f>IFERROR((tbl_MacGyverWeld[[#This Row],[Adj. Total Hours]]+tbl_MacGyverWeld[[#This Row],[Est. Hours]])/(tbl_MacGyverWeld[[#This Row],[Total Hours Act]]+tbl_MacGyverWeld[[#This Row],[Act. Hours]]),"")</f>
        <v/>
      </c>
      <c r="S167" s="63"/>
      <c r="T167" s="63"/>
      <c r="U167" s="63"/>
      <c r="V167" s="63"/>
      <c r="W167" s="63"/>
      <c r="X167" s="63"/>
    </row>
    <row r="168" spans="6:24" ht="25" customHeight="1">
      <c r="F168" s="53"/>
      <c r="H168" s="55" t="e">
        <f>tbl_MacGyverWeld[[#This Row],[Qty Complete]]/tbl_MacGyverWeld[[#This Row],[Qty Required]]</f>
        <v>#DIV/0!</v>
      </c>
      <c r="K168" s="57" t="str">
        <f>IFERROR(tbl_MacGyverWeld[[#This Row],[Qty Required]]/tbl_MacGyverWeld[[#This Row],[PPH]]*tbl_MacGyverWeld[[#This Row],['# of men]],"")</f>
        <v/>
      </c>
      <c r="L168" s="58" t="e">
        <f>tbl_MacGyverWeld[[#This Row],[Total hours]]*tbl_MacGyverWeld[[#This Row],[% Complete]]</f>
        <v>#VALUE!</v>
      </c>
      <c r="M168" s="59" t="str">
        <f>IFERROR(tbl_MacGyverWeld[[#This Row],[Qty Complete]]/tbl_MacGyverWeld[[#This Row],[Total Hours Act]]*tbl_MacGyverWeld[[#This Row],['# of men Act]],"")</f>
        <v/>
      </c>
      <c r="O168"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68" s="71" t="str">
        <f>IFERROR((tbl_MacGyverWeld[[#This Row],[Adj. Total Hours]]+tbl_MacGyverWeld[[#This Row],[Est. Hours]])/(tbl_MacGyverWeld[[#This Row],[Total Hours Act]]+tbl_MacGyverWeld[[#This Row],[Act. Hours]]),"")</f>
        <v/>
      </c>
      <c r="S168" s="63"/>
      <c r="T168" s="63"/>
      <c r="U168" s="63"/>
      <c r="V168" s="63"/>
      <c r="W168" s="63"/>
      <c r="X168" s="63"/>
    </row>
    <row r="169" spans="6:24" ht="25" customHeight="1">
      <c r="F169" s="53"/>
      <c r="H169" s="55" t="e">
        <f>tbl_MacGyverWeld[[#This Row],[Qty Complete]]/tbl_MacGyverWeld[[#This Row],[Qty Required]]</f>
        <v>#DIV/0!</v>
      </c>
      <c r="K169" s="57" t="str">
        <f>IFERROR(tbl_MacGyverWeld[[#This Row],[Qty Required]]/tbl_MacGyverWeld[[#This Row],[PPH]]*tbl_MacGyverWeld[[#This Row],['# of men]],"")</f>
        <v/>
      </c>
      <c r="L169" s="58" t="e">
        <f>tbl_MacGyverWeld[[#This Row],[Total hours]]*tbl_MacGyverWeld[[#This Row],[% Complete]]</f>
        <v>#VALUE!</v>
      </c>
      <c r="M169" s="59" t="str">
        <f>IFERROR(tbl_MacGyverWeld[[#This Row],[Qty Complete]]/tbl_MacGyverWeld[[#This Row],[Total Hours Act]]*tbl_MacGyverWeld[[#This Row],['# of men Act]],"")</f>
        <v/>
      </c>
      <c r="O169"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69" s="71" t="str">
        <f>IFERROR((tbl_MacGyverWeld[[#This Row],[Adj. Total Hours]]+tbl_MacGyverWeld[[#This Row],[Est. Hours]])/(tbl_MacGyverWeld[[#This Row],[Total Hours Act]]+tbl_MacGyverWeld[[#This Row],[Act. Hours]]),"")</f>
        <v/>
      </c>
      <c r="S169" s="63"/>
      <c r="T169" s="63"/>
      <c r="U169" s="63"/>
      <c r="V169" s="63"/>
      <c r="W169" s="63"/>
      <c r="X169" s="63"/>
    </row>
    <row r="170" spans="6:24" ht="25" customHeight="1">
      <c r="F170" s="53"/>
      <c r="H170" s="55" t="e">
        <f>tbl_MacGyverWeld[[#This Row],[Qty Complete]]/tbl_MacGyverWeld[[#This Row],[Qty Required]]</f>
        <v>#DIV/0!</v>
      </c>
      <c r="K170" s="57" t="str">
        <f>IFERROR(tbl_MacGyverWeld[[#This Row],[Qty Required]]/tbl_MacGyverWeld[[#This Row],[PPH]]*tbl_MacGyverWeld[[#This Row],['# of men]],"")</f>
        <v/>
      </c>
      <c r="L170" s="58" t="e">
        <f>tbl_MacGyverWeld[[#This Row],[Total hours]]*tbl_MacGyverWeld[[#This Row],[% Complete]]</f>
        <v>#VALUE!</v>
      </c>
      <c r="M170" s="59" t="str">
        <f>IFERROR(tbl_MacGyverWeld[[#This Row],[Qty Complete]]/tbl_MacGyverWeld[[#This Row],[Total Hours Act]]*tbl_MacGyverWeld[[#This Row],['# of men Act]],"")</f>
        <v/>
      </c>
      <c r="O170"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70" s="71" t="str">
        <f>IFERROR((tbl_MacGyverWeld[[#This Row],[Adj. Total Hours]]+tbl_MacGyverWeld[[#This Row],[Est. Hours]])/(tbl_MacGyverWeld[[#This Row],[Total Hours Act]]+tbl_MacGyverWeld[[#This Row],[Act. Hours]]),"")</f>
        <v/>
      </c>
      <c r="S170" s="63"/>
      <c r="T170" s="63"/>
      <c r="U170" s="63"/>
      <c r="V170" s="63"/>
      <c r="W170" s="63"/>
      <c r="X170" s="63"/>
    </row>
    <row r="171" spans="6:24" ht="25" customHeight="1">
      <c r="F171" s="53"/>
      <c r="H171" s="55" t="e">
        <f>tbl_MacGyverWeld[[#This Row],[Qty Complete]]/tbl_MacGyverWeld[[#This Row],[Qty Required]]</f>
        <v>#DIV/0!</v>
      </c>
      <c r="K171" s="57" t="str">
        <f>IFERROR(tbl_MacGyverWeld[[#This Row],[Qty Required]]/tbl_MacGyverWeld[[#This Row],[PPH]]*tbl_MacGyverWeld[[#This Row],['# of men]],"")</f>
        <v/>
      </c>
      <c r="L171" s="58" t="e">
        <f>tbl_MacGyverWeld[[#This Row],[Total hours]]*tbl_MacGyverWeld[[#This Row],[% Complete]]</f>
        <v>#VALUE!</v>
      </c>
      <c r="M171" s="59" t="str">
        <f>IFERROR(tbl_MacGyverWeld[[#This Row],[Qty Complete]]/tbl_MacGyverWeld[[#This Row],[Total Hours Act]]*tbl_MacGyverWeld[[#This Row],['# of men Act]],"")</f>
        <v/>
      </c>
      <c r="O171"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71" s="71" t="str">
        <f>IFERROR((tbl_MacGyverWeld[[#This Row],[Adj. Total Hours]]+tbl_MacGyverWeld[[#This Row],[Est. Hours]])/(tbl_MacGyverWeld[[#This Row],[Total Hours Act]]+tbl_MacGyverWeld[[#This Row],[Act. Hours]]),"")</f>
        <v/>
      </c>
      <c r="S171" s="63"/>
      <c r="T171" s="63"/>
      <c r="U171" s="63"/>
      <c r="V171" s="63"/>
      <c r="W171" s="63"/>
      <c r="X171" s="63"/>
    </row>
    <row r="172" spans="6:24" ht="25" customHeight="1">
      <c r="F172" s="53"/>
      <c r="H172" s="55" t="e">
        <f>tbl_MacGyverWeld[[#This Row],[Qty Complete]]/tbl_MacGyverWeld[[#This Row],[Qty Required]]</f>
        <v>#DIV/0!</v>
      </c>
      <c r="K172" s="57" t="str">
        <f>IFERROR(tbl_MacGyverWeld[[#This Row],[Qty Required]]/tbl_MacGyverWeld[[#This Row],[PPH]]*tbl_MacGyverWeld[[#This Row],['# of men]],"")</f>
        <v/>
      </c>
      <c r="L172" s="58" t="e">
        <f>tbl_MacGyverWeld[[#This Row],[Total hours]]*tbl_MacGyverWeld[[#This Row],[% Complete]]</f>
        <v>#VALUE!</v>
      </c>
      <c r="M172" s="59" t="str">
        <f>IFERROR(tbl_MacGyverWeld[[#This Row],[Qty Complete]]/tbl_MacGyverWeld[[#This Row],[Total Hours Act]]*tbl_MacGyverWeld[[#This Row],['# of men Act]],"")</f>
        <v/>
      </c>
      <c r="O172"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72" s="71" t="str">
        <f>IFERROR((tbl_MacGyverWeld[[#This Row],[Adj. Total Hours]]+tbl_MacGyverWeld[[#This Row],[Est. Hours]])/(tbl_MacGyverWeld[[#This Row],[Total Hours Act]]+tbl_MacGyverWeld[[#This Row],[Act. Hours]]),"")</f>
        <v/>
      </c>
      <c r="S172" s="63"/>
      <c r="T172" s="63"/>
      <c r="U172" s="63"/>
      <c r="V172" s="63"/>
      <c r="W172" s="63"/>
      <c r="X172" s="63"/>
    </row>
    <row r="173" spans="6:24" ht="25" customHeight="1">
      <c r="F173" s="53"/>
      <c r="H173" s="55" t="e">
        <f>tbl_MacGyverWeld[[#This Row],[Qty Complete]]/tbl_MacGyverWeld[[#This Row],[Qty Required]]</f>
        <v>#DIV/0!</v>
      </c>
      <c r="K173" s="57" t="str">
        <f>IFERROR(tbl_MacGyverWeld[[#This Row],[Qty Required]]/tbl_MacGyverWeld[[#This Row],[PPH]]*tbl_MacGyverWeld[[#This Row],['# of men]],"")</f>
        <v/>
      </c>
      <c r="L173" s="58" t="e">
        <f>tbl_MacGyverWeld[[#This Row],[Total hours]]*tbl_MacGyverWeld[[#This Row],[% Complete]]</f>
        <v>#VALUE!</v>
      </c>
      <c r="M173" s="59" t="str">
        <f>IFERROR(tbl_MacGyverWeld[[#This Row],[Qty Complete]]/tbl_MacGyverWeld[[#This Row],[Total Hours Act]]*tbl_MacGyverWeld[[#This Row],['# of men Act]],"")</f>
        <v/>
      </c>
      <c r="O173"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73" s="71" t="str">
        <f>IFERROR((tbl_MacGyverWeld[[#This Row],[Adj. Total Hours]]+tbl_MacGyverWeld[[#This Row],[Est. Hours]])/(tbl_MacGyverWeld[[#This Row],[Total Hours Act]]+tbl_MacGyverWeld[[#This Row],[Act. Hours]]),"")</f>
        <v/>
      </c>
      <c r="S173" s="63"/>
      <c r="T173" s="63"/>
      <c r="U173" s="63"/>
      <c r="V173" s="63"/>
      <c r="W173" s="63"/>
      <c r="X173" s="63"/>
    </row>
    <row r="174" spans="6:24" ht="25" customHeight="1">
      <c r="F174" s="53"/>
      <c r="H174" s="55" t="e">
        <f>tbl_MacGyverWeld[[#This Row],[Qty Complete]]/tbl_MacGyverWeld[[#This Row],[Qty Required]]</f>
        <v>#DIV/0!</v>
      </c>
      <c r="K174" s="57" t="str">
        <f>IFERROR(tbl_MacGyverWeld[[#This Row],[Qty Required]]/tbl_MacGyverWeld[[#This Row],[PPH]]*tbl_MacGyverWeld[[#This Row],['# of men]],"")</f>
        <v/>
      </c>
      <c r="L174" s="58" t="e">
        <f>tbl_MacGyverWeld[[#This Row],[Total hours]]*tbl_MacGyverWeld[[#This Row],[% Complete]]</f>
        <v>#VALUE!</v>
      </c>
      <c r="M174" s="59" t="str">
        <f>IFERROR(tbl_MacGyverWeld[[#This Row],[Qty Complete]]/tbl_MacGyverWeld[[#This Row],[Total Hours Act]]*tbl_MacGyverWeld[[#This Row],['# of men Act]],"")</f>
        <v/>
      </c>
      <c r="O174"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74" s="71" t="str">
        <f>IFERROR((tbl_MacGyverWeld[[#This Row],[Adj. Total Hours]]+tbl_MacGyverWeld[[#This Row],[Est. Hours]])/(tbl_MacGyverWeld[[#This Row],[Total Hours Act]]+tbl_MacGyverWeld[[#This Row],[Act. Hours]]),"")</f>
        <v/>
      </c>
      <c r="S174" s="63"/>
      <c r="T174" s="63"/>
      <c r="U174" s="63"/>
      <c r="V174" s="63"/>
      <c r="W174" s="63"/>
      <c r="X174" s="63"/>
    </row>
    <row r="175" spans="6:24" ht="25" customHeight="1">
      <c r="F175" s="53"/>
      <c r="H175" s="55" t="e">
        <f>tbl_MacGyverWeld[[#This Row],[Qty Complete]]/tbl_MacGyverWeld[[#This Row],[Qty Required]]</f>
        <v>#DIV/0!</v>
      </c>
      <c r="K175" s="57" t="str">
        <f>IFERROR(tbl_MacGyverWeld[[#This Row],[Qty Required]]/tbl_MacGyverWeld[[#This Row],[PPH]]*tbl_MacGyverWeld[[#This Row],['# of men]],"")</f>
        <v/>
      </c>
      <c r="L175" s="58" t="e">
        <f>tbl_MacGyverWeld[[#This Row],[Total hours]]*tbl_MacGyverWeld[[#This Row],[% Complete]]</f>
        <v>#VALUE!</v>
      </c>
      <c r="M175" s="59" t="str">
        <f>IFERROR(tbl_MacGyverWeld[[#This Row],[Qty Complete]]/tbl_MacGyverWeld[[#This Row],[Total Hours Act]]*tbl_MacGyverWeld[[#This Row],['# of men Act]],"")</f>
        <v/>
      </c>
      <c r="O175"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75" s="71" t="str">
        <f>IFERROR((tbl_MacGyverWeld[[#This Row],[Adj. Total Hours]]+tbl_MacGyverWeld[[#This Row],[Est. Hours]])/(tbl_MacGyverWeld[[#This Row],[Total Hours Act]]+tbl_MacGyverWeld[[#This Row],[Act. Hours]]),"")</f>
        <v/>
      </c>
      <c r="S175" s="63"/>
      <c r="T175" s="63"/>
      <c r="U175" s="63"/>
      <c r="V175" s="63"/>
      <c r="W175" s="63"/>
      <c r="X175" s="63"/>
    </row>
    <row r="176" spans="6:24" ht="25" customHeight="1">
      <c r="F176" s="53"/>
      <c r="H176" s="55" t="e">
        <f>tbl_MacGyverWeld[[#This Row],[Qty Complete]]/tbl_MacGyverWeld[[#This Row],[Qty Required]]</f>
        <v>#DIV/0!</v>
      </c>
      <c r="K176" s="57" t="str">
        <f>IFERROR(tbl_MacGyverWeld[[#This Row],[Qty Required]]/tbl_MacGyverWeld[[#This Row],[PPH]]*tbl_MacGyverWeld[[#This Row],['# of men]],"")</f>
        <v/>
      </c>
      <c r="L176" s="58" t="e">
        <f>tbl_MacGyverWeld[[#This Row],[Total hours]]*tbl_MacGyverWeld[[#This Row],[% Complete]]</f>
        <v>#VALUE!</v>
      </c>
      <c r="M176" s="59" t="str">
        <f>IFERROR(tbl_MacGyverWeld[[#This Row],[Qty Complete]]/tbl_MacGyverWeld[[#This Row],[Total Hours Act]]*tbl_MacGyverWeld[[#This Row],['# of men Act]],"")</f>
        <v/>
      </c>
      <c r="O176"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76" s="71" t="str">
        <f>IFERROR((tbl_MacGyverWeld[[#This Row],[Adj. Total Hours]]+tbl_MacGyverWeld[[#This Row],[Est. Hours]])/(tbl_MacGyverWeld[[#This Row],[Total Hours Act]]+tbl_MacGyverWeld[[#This Row],[Act. Hours]]),"")</f>
        <v/>
      </c>
      <c r="S176" s="63"/>
      <c r="T176" s="63"/>
      <c r="U176" s="63"/>
      <c r="V176" s="63"/>
      <c r="W176" s="63"/>
      <c r="X176" s="63"/>
    </row>
    <row r="177" spans="6:24" ht="25" customHeight="1">
      <c r="F177" s="53"/>
      <c r="H177" s="55" t="e">
        <f>tbl_MacGyverWeld[[#This Row],[Qty Complete]]/tbl_MacGyverWeld[[#This Row],[Qty Required]]</f>
        <v>#DIV/0!</v>
      </c>
      <c r="K177" s="57" t="str">
        <f>IFERROR(tbl_MacGyverWeld[[#This Row],[Qty Required]]/tbl_MacGyverWeld[[#This Row],[PPH]]*tbl_MacGyverWeld[[#This Row],['# of men]],"")</f>
        <v/>
      </c>
      <c r="L177" s="58" t="e">
        <f>tbl_MacGyverWeld[[#This Row],[Total hours]]*tbl_MacGyverWeld[[#This Row],[% Complete]]</f>
        <v>#VALUE!</v>
      </c>
      <c r="M177" s="59" t="str">
        <f>IFERROR(tbl_MacGyverWeld[[#This Row],[Qty Complete]]/tbl_MacGyverWeld[[#This Row],[Total Hours Act]]*tbl_MacGyverWeld[[#This Row],['# of men Act]],"")</f>
        <v/>
      </c>
      <c r="O177"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77" s="71" t="str">
        <f>IFERROR((tbl_MacGyverWeld[[#This Row],[Adj. Total Hours]]+tbl_MacGyverWeld[[#This Row],[Est. Hours]])/(tbl_MacGyverWeld[[#This Row],[Total Hours Act]]+tbl_MacGyverWeld[[#This Row],[Act. Hours]]),"")</f>
        <v/>
      </c>
      <c r="S177" s="63"/>
      <c r="T177" s="63"/>
      <c r="U177" s="63"/>
      <c r="V177" s="63"/>
      <c r="W177" s="63"/>
      <c r="X177" s="63"/>
    </row>
    <row r="178" spans="6:24" ht="25" customHeight="1">
      <c r="F178" s="53"/>
      <c r="H178" s="55" t="e">
        <f>tbl_MacGyverWeld[[#This Row],[Qty Complete]]/tbl_MacGyverWeld[[#This Row],[Qty Required]]</f>
        <v>#DIV/0!</v>
      </c>
      <c r="K178" s="57" t="str">
        <f>IFERROR(tbl_MacGyverWeld[[#This Row],[Qty Required]]/tbl_MacGyverWeld[[#This Row],[PPH]]*tbl_MacGyverWeld[[#This Row],['# of men]],"")</f>
        <v/>
      </c>
      <c r="L178" s="58" t="e">
        <f>tbl_MacGyverWeld[[#This Row],[Total hours]]*tbl_MacGyverWeld[[#This Row],[% Complete]]</f>
        <v>#VALUE!</v>
      </c>
      <c r="M178" s="59" t="str">
        <f>IFERROR(tbl_MacGyverWeld[[#This Row],[Qty Complete]]/tbl_MacGyverWeld[[#This Row],[Total Hours Act]]*tbl_MacGyverWeld[[#This Row],['# of men Act]],"")</f>
        <v/>
      </c>
      <c r="O178"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78" s="71" t="str">
        <f>IFERROR((tbl_MacGyverWeld[[#This Row],[Adj. Total Hours]]+tbl_MacGyverWeld[[#This Row],[Est. Hours]])/(tbl_MacGyverWeld[[#This Row],[Total Hours Act]]+tbl_MacGyverWeld[[#This Row],[Act. Hours]]),"")</f>
        <v/>
      </c>
      <c r="S178" s="63"/>
      <c r="T178" s="63"/>
      <c r="U178" s="63"/>
      <c r="V178" s="63"/>
      <c r="W178" s="63"/>
      <c r="X178" s="63"/>
    </row>
    <row r="179" spans="6:24" ht="25" customHeight="1">
      <c r="F179" s="53"/>
      <c r="H179" s="55" t="e">
        <f>tbl_MacGyverWeld[[#This Row],[Qty Complete]]/tbl_MacGyverWeld[[#This Row],[Qty Required]]</f>
        <v>#DIV/0!</v>
      </c>
      <c r="K179" s="57" t="str">
        <f>IFERROR(tbl_MacGyverWeld[[#This Row],[Qty Required]]/tbl_MacGyverWeld[[#This Row],[PPH]]*tbl_MacGyverWeld[[#This Row],['# of men]],"")</f>
        <v/>
      </c>
      <c r="L179" s="58" t="e">
        <f>tbl_MacGyverWeld[[#This Row],[Total hours]]*tbl_MacGyverWeld[[#This Row],[% Complete]]</f>
        <v>#VALUE!</v>
      </c>
      <c r="M179" s="59" t="str">
        <f>IFERROR(tbl_MacGyverWeld[[#This Row],[Qty Complete]]/tbl_MacGyverWeld[[#This Row],[Total Hours Act]]*tbl_MacGyverWeld[[#This Row],['# of men Act]],"")</f>
        <v/>
      </c>
      <c r="O179"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79" s="71" t="str">
        <f>IFERROR((tbl_MacGyverWeld[[#This Row],[Adj. Total Hours]]+tbl_MacGyverWeld[[#This Row],[Est. Hours]])/(tbl_MacGyverWeld[[#This Row],[Total Hours Act]]+tbl_MacGyverWeld[[#This Row],[Act. Hours]]),"")</f>
        <v/>
      </c>
      <c r="S179" s="63"/>
      <c r="T179" s="63"/>
      <c r="U179" s="63"/>
      <c r="V179" s="63"/>
      <c r="W179" s="63"/>
      <c r="X179" s="63"/>
    </row>
    <row r="180" spans="6:24" ht="25" customHeight="1">
      <c r="F180" s="53"/>
      <c r="H180" s="55" t="e">
        <f>tbl_MacGyverWeld[[#This Row],[Qty Complete]]/tbl_MacGyverWeld[[#This Row],[Qty Required]]</f>
        <v>#DIV/0!</v>
      </c>
      <c r="K180" s="57" t="str">
        <f>IFERROR(tbl_MacGyverWeld[[#This Row],[Qty Required]]/tbl_MacGyverWeld[[#This Row],[PPH]]*tbl_MacGyverWeld[[#This Row],['# of men]],"")</f>
        <v/>
      </c>
      <c r="L180" s="58" t="e">
        <f>tbl_MacGyverWeld[[#This Row],[Total hours]]*tbl_MacGyverWeld[[#This Row],[% Complete]]</f>
        <v>#VALUE!</v>
      </c>
      <c r="M180" s="59" t="str">
        <f>IFERROR(tbl_MacGyverWeld[[#This Row],[Qty Complete]]/tbl_MacGyverWeld[[#This Row],[Total Hours Act]]*tbl_MacGyverWeld[[#This Row],['# of men Act]],"")</f>
        <v/>
      </c>
      <c r="O180"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80" s="71" t="str">
        <f>IFERROR((tbl_MacGyverWeld[[#This Row],[Adj. Total Hours]]+tbl_MacGyverWeld[[#This Row],[Est. Hours]])/(tbl_MacGyverWeld[[#This Row],[Total Hours Act]]+tbl_MacGyverWeld[[#This Row],[Act. Hours]]),"")</f>
        <v/>
      </c>
      <c r="S180" s="63"/>
      <c r="T180" s="63"/>
      <c r="U180" s="63"/>
      <c r="V180" s="63"/>
      <c r="W180" s="63"/>
      <c r="X180" s="63"/>
    </row>
    <row r="181" spans="6:24" ht="25" customHeight="1">
      <c r="F181" s="53"/>
      <c r="H181" s="55" t="e">
        <f>tbl_MacGyverWeld[[#This Row],[Qty Complete]]/tbl_MacGyverWeld[[#This Row],[Qty Required]]</f>
        <v>#DIV/0!</v>
      </c>
      <c r="K181" s="57" t="str">
        <f>IFERROR(tbl_MacGyverWeld[[#This Row],[Qty Required]]/tbl_MacGyverWeld[[#This Row],[PPH]]*tbl_MacGyverWeld[[#This Row],['# of men]],"")</f>
        <v/>
      </c>
      <c r="L181" s="58" t="e">
        <f>tbl_MacGyverWeld[[#This Row],[Total hours]]*tbl_MacGyverWeld[[#This Row],[% Complete]]</f>
        <v>#VALUE!</v>
      </c>
      <c r="M181" s="59" t="str">
        <f>IFERROR(tbl_MacGyverWeld[[#This Row],[Qty Complete]]/tbl_MacGyverWeld[[#This Row],[Total Hours Act]]*tbl_MacGyverWeld[[#This Row],['# of men Act]],"")</f>
        <v/>
      </c>
      <c r="O181"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81" s="71" t="str">
        <f>IFERROR((tbl_MacGyverWeld[[#This Row],[Adj. Total Hours]]+tbl_MacGyverWeld[[#This Row],[Est. Hours]])/(tbl_MacGyverWeld[[#This Row],[Total Hours Act]]+tbl_MacGyverWeld[[#This Row],[Act. Hours]]),"")</f>
        <v/>
      </c>
      <c r="S181" s="63"/>
      <c r="T181" s="63"/>
      <c r="U181" s="63"/>
      <c r="V181" s="63"/>
      <c r="W181" s="63"/>
      <c r="X181" s="63"/>
    </row>
    <row r="182" spans="6:24" ht="25" customHeight="1">
      <c r="F182" s="53"/>
      <c r="H182" s="55" t="e">
        <f>tbl_MacGyverWeld[[#This Row],[Qty Complete]]/tbl_MacGyverWeld[[#This Row],[Qty Required]]</f>
        <v>#DIV/0!</v>
      </c>
      <c r="K182" s="57" t="str">
        <f>IFERROR(tbl_MacGyverWeld[[#This Row],[Qty Required]]/tbl_MacGyverWeld[[#This Row],[PPH]]*tbl_MacGyverWeld[[#This Row],['# of men]],"")</f>
        <v/>
      </c>
      <c r="L182" s="58" t="e">
        <f>tbl_MacGyverWeld[[#This Row],[Total hours]]*tbl_MacGyverWeld[[#This Row],[% Complete]]</f>
        <v>#VALUE!</v>
      </c>
      <c r="M182" s="59" t="str">
        <f>IFERROR(tbl_MacGyverWeld[[#This Row],[Qty Complete]]/tbl_MacGyverWeld[[#This Row],[Total Hours Act]]*tbl_MacGyverWeld[[#This Row],['# of men Act]],"")</f>
        <v/>
      </c>
      <c r="O182"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82" s="71" t="str">
        <f>IFERROR((tbl_MacGyverWeld[[#This Row],[Adj. Total Hours]]+tbl_MacGyverWeld[[#This Row],[Est. Hours]])/(tbl_MacGyverWeld[[#This Row],[Total Hours Act]]+tbl_MacGyverWeld[[#This Row],[Act. Hours]]),"")</f>
        <v/>
      </c>
      <c r="S182" s="63"/>
      <c r="T182" s="63"/>
      <c r="U182" s="63"/>
      <c r="V182" s="63"/>
      <c r="W182" s="63"/>
      <c r="X182" s="63"/>
    </row>
    <row r="183" spans="6:24" ht="25" customHeight="1">
      <c r="F183" s="53"/>
      <c r="H183" s="55" t="e">
        <f>tbl_MacGyverWeld[[#This Row],[Qty Complete]]/tbl_MacGyverWeld[[#This Row],[Qty Required]]</f>
        <v>#DIV/0!</v>
      </c>
      <c r="K183" s="57" t="str">
        <f>IFERROR(tbl_MacGyverWeld[[#This Row],[Qty Required]]/tbl_MacGyverWeld[[#This Row],[PPH]]*tbl_MacGyverWeld[[#This Row],['# of men]],"")</f>
        <v/>
      </c>
      <c r="L183" s="58" t="e">
        <f>tbl_MacGyverWeld[[#This Row],[Total hours]]*tbl_MacGyverWeld[[#This Row],[% Complete]]</f>
        <v>#VALUE!</v>
      </c>
      <c r="M183" s="59" t="str">
        <f>IFERROR(tbl_MacGyverWeld[[#This Row],[Qty Complete]]/tbl_MacGyverWeld[[#This Row],[Total Hours Act]]*tbl_MacGyverWeld[[#This Row],['# of men Act]],"")</f>
        <v/>
      </c>
      <c r="O183"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83" s="71" t="str">
        <f>IFERROR((tbl_MacGyverWeld[[#This Row],[Adj. Total Hours]]+tbl_MacGyverWeld[[#This Row],[Est. Hours]])/(tbl_MacGyverWeld[[#This Row],[Total Hours Act]]+tbl_MacGyverWeld[[#This Row],[Act. Hours]]),"")</f>
        <v/>
      </c>
      <c r="S183" s="63"/>
      <c r="T183" s="63"/>
      <c r="U183" s="63"/>
      <c r="V183" s="63"/>
      <c r="W183" s="63"/>
      <c r="X183" s="63"/>
    </row>
    <row r="184" spans="6:24" ht="25" customHeight="1">
      <c r="F184" s="53"/>
      <c r="H184" s="55" t="e">
        <f>tbl_MacGyverWeld[[#This Row],[Qty Complete]]/tbl_MacGyverWeld[[#This Row],[Qty Required]]</f>
        <v>#DIV/0!</v>
      </c>
      <c r="K184" s="57" t="str">
        <f>IFERROR(tbl_MacGyverWeld[[#This Row],[Qty Required]]/tbl_MacGyverWeld[[#This Row],[PPH]]*tbl_MacGyverWeld[[#This Row],['# of men]],"")</f>
        <v/>
      </c>
      <c r="L184" s="58" t="e">
        <f>tbl_MacGyverWeld[[#This Row],[Total hours]]*tbl_MacGyverWeld[[#This Row],[% Complete]]</f>
        <v>#VALUE!</v>
      </c>
      <c r="M184" s="59" t="str">
        <f>IFERROR(tbl_MacGyverWeld[[#This Row],[Qty Complete]]/tbl_MacGyverWeld[[#This Row],[Total Hours Act]]*tbl_MacGyverWeld[[#This Row],['# of men Act]],"")</f>
        <v/>
      </c>
      <c r="O184"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84" s="71" t="str">
        <f>IFERROR((tbl_MacGyverWeld[[#This Row],[Adj. Total Hours]]+tbl_MacGyverWeld[[#This Row],[Est. Hours]])/(tbl_MacGyverWeld[[#This Row],[Total Hours Act]]+tbl_MacGyverWeld[[#This Row],[Act. Hours]]),"")</f>
        <v/>
      </c>
      <c r="S184" s="63"/>
      <c r="T184" s="63"/>
      <c r="U184" s="63"/>
      <c r="V184" s="63"/>
      <c r="W184" s="63"/>
      <c r="X184" s="63"/>
    </row>
    <row r="185" spans="6:24" ht="25" customHeight="1">
      <c r="F185" s="53"/>
      <c r="H185" s="55" t="e">
        <f>tbl_MacGyverWeld[[#This Row],[Qty Complete]]/tbl_MacGyverWeld[[#This Row],[Qty Required]]</f>
        <v>#DIV/0!</v>
      </c>
      <c r="K185" s="57" t="str">
        <f>IFERROR(tbl_MacGyverWeld[[#This Row],[Qty Required]]/tbl_MacGyverWeld[[#This Row],[PPH]]*tbl_MacGyverWeld[[#This Row],['# of men]],"")</f>
        <v/>
      </c>
      <c r="L185" s="58" t="e">
        <f>tbl_MacGyverWeld[[#This Row],[Total hours]]*tbl_MacGyverWeld[[#This Row],[% Complete]]</f>
        <v>#VALUE!</v>
      </c>
      <c r="M185" s="59" t="str">
        <f>IFERROR(tbl_MacGyverWeld[[#This Row],[Qty Complete]]/tbl_MacGyverWeld[[#This Row],[Total Hours Act]]*tbl_MacGyverWeld[[#This Row],['# of men Act]],"")</f>
        <v/>
      </c>
      <c r="O185"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85" s="71" t="str">
        <f>IFERROR((tbl_MacGyverWeld[[#This Row],[Adj. Total Hours]]+tbl_MacGyverWeld[[#This Row],[Est. Hours]])/(tbl_MacGyverWeld[[#This Row],[Total Hours Act]]+tbl_MacGyverWeld[[#This Row],[Act. Hours]]),"")</f>
        <v/>
      </c>
      <c r="S185" s="63"/>
      <c r="T185" s="63"/>
      <c r="U185" s="63"/>
      <c r="V185" s="63"/>
      <c r="W185" s="63"/>
      <c r="X185" s="63"/>
    </row>
    <row r="186" spans="6:24" ht="25" customHeight="1">
      <c r="F186" s="53"/>
      <c r="H186" s="55" t="e">
        <f>tbl_MacGyverWeld[[#This Row],[Qty Complete]]/tbl_MacGyverWeld[[#This Row],[Qty Required]]</f>
        <v>#DIV/0!</v>
      </c>
      <c r="K186" s="57" t="str">
        <f>IFERROR(tbl_MacGyverWeld[[#This Row],[Qty Required]]/tbl_MacGyverWeld[[#This Row],[PPH]]*tbl_MacGyverWeld[[#This Row],['# of men]],"")</f>
        <v/>
      </c>
      <c r="L186" s="58" t="e">
        <f>tbl_MacGyverWeld[[#This Row],[Total hours]]*tbl_MacGyverWeld[[#This Row],[% Complete]]</f>
        <v>#VALUE!</v>
      </c>
      <c r="M186" s="59" t="str">
        <f>IFERROR(tbl_MacGyverWeld[[#This Row],[Qty Complete]]/tbl_MacGyverWeld[[#This Row],[Total Hours Act]]*tbl_MacGyverWeld[[#This Row],['# of men Act]],"")</f>
        <v/>
      </c>
      <c r="O186"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86" s="71" t="str">
        <f>IFERROR((tbl_MacGyverWeld[[#This Row],[Adj. Total Hours]]+tbl_MacGyverWeld[[#This Row],[Est. Hours]])/(tbl_MacGyverWeld[[#This Row],[Total Hours Act]]+tbl_MacGyverWeld[[#This Row],[Act. Hours]]),"")</f>
        <v/>
      </c>
      <c r="S186" s="63"/>
      <c r="T186" s="63"/>
      <c r="U186" s="63"/>
      <c r="V186" s="63"/>
      <c r="W186" s="63"/>
      <c r="X186" s="63"/>
    </row>
    <row r="187" spans="6:24" ht="25" customHeight="1">
      <c r="F187" s="53"/>
      <c r="H187" s="55" t="e">
        <f>tbl_MacGyverWeld[[#This Row],[Qty Complete]]/tbl_MacGyverWeld[[#This Row],[Qty Required]]</f>
        <v>#DIV/0!</v>
      </c>
      <c r="K187" s="57" t="str">
        <f>IFERROR(tbl_MacGyverWeld[[#This Row],[Qty Required]]/tbl_MacGyverWeld[[#This Row],[PPH]]*tbl_MacGyverWeld[[#This Row],['# of men]],"")</f>
        <v/>
      </c>
      <c r="L187" s="58" t="e">
        <f>tbl_MacGyverWeld[[#This Row],[Total hours]]*tbl_MacGyverWeld[[#This Row],[% Complete]]</f>
        <v>#VALUE!</v>
      </c>
      <c r="M187" s="59" t="str">
        <f>IFERROR(tbl_MacGyverWeld[[#This Row],[Qty Complete]]/tbl_MacGyverWeld[[#This Row],[Total Hours Act]]*tbl_MacGyverWeld[[#This Row],['# of men Act]],"")</f>
        <v/>
      </c>
      <c r="O187"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87" s="71" t="str">
        <f>IFERROR((tbl_MacGyverWeld[[#This Row],[Adj. Total Hours]]+tbl_MacGyverWeld[[#This Row],[Est. Hours]])/(tbl_MacGyverWeld[[#This Row],[Total Hours Act]]+tbl_MacGyverWeld[[#This Row],[Act. Hours]]),"")</f>
        <v/>
      </c>
      <c r="S187" s="63"/>
      <c r="T187" s="63"/>
      <c r="U187" s="63"/>
      <c r="V187" s="63"/>
      <c r="W187" s="63"/>
      <c r="X187" s="63"/>
    </row>
    <row r="188" spans="6:24" ht="25" customHeight="1">
      <c r="F188" s="53"/>
      <c r="H188" s="55" t="e">
        <f>tbl_MacGyverWeld[[#This Row],[Qty Complete]]/tbl_MacGyverWeld[[#This Row],[Qty Required]]</f>
        <v>#DIV/0!</v>
      </c>
      <c r="K188" s="57" t="str">
        <f>IFERROR(tbl_MacGyverWeld[[#This Row],[Qty Required]]/tbl_MacGyverWeld[[#This Row],[PPH]]*tbl_MacGyverWeld[[#This Row],['# of men]],"")</f>
        <v/>
      </c>
      <c r="L188" s="58" t="e">
        <f>tbl_MacGyverWeld[[#This Row],[Total hours]]*tbl_MacGyverWeld[[#This Row],[% Complete]]</f>
        <v>#VALUE!</v>
      </c>
      <c r="M188" s="59" t="str">
        <f>IFERROR(tbl_MacGyverWeld[[#This Row],[Qty Complete]]/tbl_MacGyverWeld[[#This Row],[Total Hours Act]]*tbl_MacGyverWeld[[#This Row],['# of men Act]],"")</f>
        <v/>
      </c>
      <c r="O188"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88" s="71" t="str">
        <f>IFERROR((tbl_MacGyverWeld[[#This Row],[Adj. Total Hours]]+tbl_MacGyverWeld[[#This Row],[Est. Hours]])/(tbl_MacGyverWeld[[#This Row],[Total Hours Act]]+tbl_MacGyverWeld[[#This Row],[Act. Hours]]),"")</f>
        <v/>
      </c>
      <c r="S188" s="63"/>
      <c r="T188" s="63"/>
      <c r="U188" s="63"/>
      <c r="V188" s="63"/>
      <c r="W188" s="63"/>
      <c r="X188" s="63"/>
    </row>
    <row r="189" spans="6:24" ht="25" customHeight="1">
      <c r="F189" s="53"/>
      <c r="H189" s="55" t="e">
        <f>tbl_MacGyverWeld[[#This Row],[Qty Complete]]/tbl_MacGyverWeld[[#This Row],[Qty Required]]</f>
        <v>#DIV/0!</v>
      </c>
      <c r="K189" s="57" t="str">
        <f>IFERROR(tbl_MacGyverWeld[[#This Row],[Qty Required]]/tbl_MacGyverWeld[[#This Row],[PPH]]*tbl_MacGyverWeld[[#This Row],['# of men]],"")</f>
        <v/>
      </c>
      <c r="L189" s="58" t="e">
        <f>tbl_MacGyverWeld[[#This Row],[Total hours]]*tbl_MacGyverWeld[[#This Row],[% Complete]]</f>
        <v>#VALUE!</v>
      </c>
      <c r="M189" s="59" t="str">
        <f>IFERROR(tbl_MacGyverWeld[[#This Row],[Qty Complete]]/tbl_MacGyverWeld[[#This Row],[Total Hours Act]]*tbl_MacGyverWeld[[#This Row],['# of men Act]],"")</f>
        <v/>
      </c>
      <c r="O189"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89" s="71" t="str">
        <f>IFERROR((tbl_MacGyverWeld[[#This Row],[Adj. Total Hours]]+tbl_MacGyverWeld[[#This Row],[Est. Hours]])/(tbl_MacGyverWeld[[#This Row],[Total Hours Act]]+tbl_MacGyverWeld[[#This Row],[Act. Hours]]),"")</f>
        <v/>
      </c>
      <c r="S189" s="63"/>
      <c r="T189" s="63"/>
      <c r="U189" s="63"/>
      <c r="V189" s="63"/>
      <c r="W189" s="63"/>
      <c r="X189" s="63"/>
    </row>
    <row r="190" spans="6:24" ht="25" customHeight="1">
      <c r="F190" s="53"/>
      <c r="H190" s="55" t="e">
        <f>tbl_MacGyverWeld[[#This Row],[Qty Complete]]/tbl_MacGyverWeld[[#This Row],[Qty Required]]</f>
        <v>#DIV/0!</v>
      </c>
      <c r="K190" s="57" t="str">
        <f>IFERROR(tbl_MacGyverWeld[[#This Row],[Qty Required]]/tbl_MacGyverWeld[[#This Row],[PPH]]*tbl_MacGyverWeld[[#This Row],['# of men]],"")</f>
        <v/>
      </c>
      <c r="L190" s="58" t="e">
        <f>tbl_MacGyverWeld[[#This Row],[Total hours]]*tbl_MacGyverWeld[[#This Row],[% Complete]]</f>
        <v>#VALUE!</v>
      </c>
      <c r="M190" s="59" t="str">
        <f>IFERROR(tbl_MacGyverWeld[[#This Row],[Qty Complete]]/tbl_MacGyverWeld[[#This Row],[Total Hours Act]]*tbl_MacGyverWeld[[#This Row],['# of men Act]],"")</f>
        <v/>
      </c>
      <c r="O190"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90" s="71" t="str">
        <f>IFERROR((tbl_MacGyverWeld[[#This Row],[Adj. Total Hours]]+tbl_MacGyverWeld[[#This Row],[Est. Hours]])/(tbl_MacGyverWeld[[#This Row],[Total Hours Act]]+tbl_MacGyverWeld[[#This Row],[Act. Hours]]),"")</f>
        <v/>
      </c>
      <c r="S190" s="63"/>
      <c r="T190" s="63"/>
      <c r="U190" s="63"/>
      <c r="V190" s="63"/>
      <c r="W190" s="63"/>
      <c r="X190" s="63"/>
    </row>
    <row r="191" spans="6:24" ht="25" customHeight="1">
      <c r="F191" s="53"/>
      <c r="H191" s="55" t="e">
        <f>tbl_MacGyverWeld[[#This Row],[Qty Complete]]/tbl_MacGyverWeld[[#This Row],[Qty Required]]</f>
        <v>#DIV/0!</v>
      </c>
      <c r="K191" s="57" t="str">
        <f>IFERROR(tbl_MacGyverWeld[[#This Row],[Qty Required]]/tbl_MacGyverWeld[[#This Row],[PPH]]*tbl_MacGyverWeld[[#This Row],['# of men]],"")</f>
        <v/>
      </c>
      <c r="L191" s="58" t="e">
        <f>tbl_MacGyverWeld[[#This Row],[Total hours]]*tbl_MacGyverWeld[[#This Row],[% Complete]]</f>
        <v>#VALUE!</v>
      </c>
      <c r="M191" s="59" t="str">
        <f>IFERROR(tbl_MacGyverWeld[[#This Row],[Qty Complete]]/tbl_MacGyverWeld[[#This Row],[Total Hours Act]]*tbl_MacGyverWeld[[#This Row],['# of men Act]],"")</f>
        <v/>
      </c>
      <c r="O191"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91" s="71" t="str">
        <f>IFERROR((tbl_MacGyverWeld[[#This Row],[Adj. Total Hours]]+tbl_MacGyverWeld[[#This Row],[Est. Hours]])/(tbl_MacGyverWeld[[#This Row],[Total Hours Act]]+tbl_MacGyverWeld[[#This Row],[Act. Hours]]),"")</f>
        <v/>
      </c>
      <c r="S191" s="63"/>
      <c r="T191" s="63"/>
      <c r="U191" s="63"/>
      <c r="V191" s="63"/>
      <c r="W191" s="63"/>
      <c r="X191" s="63"/>
    </row>
    <row r="192" spans="6:24" ht="25" customHeight="1">
      <c r="F192" s="53"/>
      <c r="H192" s="55" t="e">
        <f>tbl_MacGyverWeld[[#This Row],[Qty Complete]]/tbl_MacGyverWeld[[#This Row],[Qty Required]]</f>
        <v>#DIV/0!</v>
      </c>
      <c r="K192" s="57" t="str">
        <f>IFERROR(tbl_MacGyverWeld[[#This Row],[Qty Required]]/tbl_MacGyverWeld[[#This Row],[PPH]]*tbl_MacGyverWeld[[#This Row],['# of men]],"")</f>
        <v/>
      </c>
      <c r="L192" s="58" t="e">
        <f>tbl_MacGyverWeld[[#This Row],[Total hours]]*tbl_MacGyverWeld[[#This Row],[% Complete]]</f>
        <v>#VALUE!</v>
      </c>
      <c r="M192" s="59" t="str">
        <f>IFERROR(tbl_MacGyverWeld[[#This Row],[Qty Complete]]/tbl_MacGyverWeld[[#This Row],[Total Hours Act]]*tbl_MacGyverWeld[[#This Row],['# of men Act]],"")</f>
        <v/>
      </c>
      <c r="O192"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92" s="71" t="str">
        <f>IFERROR((tbl_MacGyverWeld[[#This Row],[Adj. Total Hours]]+tbl_MacGyverWeld[[#This Row],[Est. Hours]])/(tbl_MacGyverWeld[[#This Row],[Total Hours Act]]+tbl_MacGyverWeld[[#This Row],[Act. Hours]]),"")</f>
        <v/>
      </c>
      <c r="S192" s="63"/>
      <c r="T192" s="63"/>
      <c r="U192" s="63"/>
      <c r="V192" s="63"/>
      <c r="W192" s="63"/>
      <c r="X192" s="63"/>
    </row>
    <row r="193" spans="6:24" ht="25" customHeight="1">
      <c r="F193" s="53"/>
      <c r="H193" s="55" t="e">
        <f>tbl_MacGyverWeld[[#This Row],[Qty Complete]]/tbl_MacGyverWeld[[#This Row],[Qty Required]]</f>
        <v>#DIV/0!</v>
      </c>
      <c r="K193" s="57" t="str">
        <f>IFERROR(tbl_MacGyverWeld[[#This Row],[Qty Required]]/tbl_MacGyverWeld[[#This Row],[PPH]]*tbl_MacGyverWeld[[#This Row],['# of men]],"")</f>
        <v/>
      </c>
      <c r="L193" s="58" t="e">
        <f>tbl_MacGyverWeld[[#This Row],[Total hours]]*tbl_MacGyverWeld[[#This Row],[% Complete]]</f>
        <v>#VALUE!</v>
      </c>
      <c r="M193" s="59" t="str">
        <f>IFERROR(tbl_MacGyverWeld[[#This Row],[Qty Complete]]/tbl_MacGyverWeld[[#This Row],[Total Hours Act]]*tbl_MacGyverWeld[[#This Row],['# of men Act]],"")</f>
        <v/>
      </c>
      <c r="O193"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93" s="71" t="str">
        <f>IFERROR((tbl_MacGyverWeld[[#This Row],[Adj. Total Hours]]+tbl_MacGyverWeld[[#This Row],[Est. Hours]])/(tbl_MacGyverWeld[[#This Row],[Total Hours Act]]+tbl_MacGyverWeld[[#This Row],[Act. Hours]]),"")</f>
        <v/>
      </c>
      <c r="S193" s="63"/>
      <c r="T193" s="63"/>
      <c r="U193" s="63"/>
      <c r="V193" s="63"/>
      <c r="W193" s="63"/>
      <c r="X193" s="63"/>
    </row>
    <row r="194" spans="6:24" ht="25" customHeight="1">
      <c r="F194" s="53"/>
      <c r="H194" s="55" t="e">
        <f>tbl_MacGyverWeld[[#This Row],[Qty Complete]]/tbl_MacGyverWeld[[#This Row],[Qty Required]]</f>
        <v>#DIV/0!</v>
      </c>
      <c r="K194" s="57" t="str">
        <f>IFERROR(tbl_MacGyverWeld[[#This Row],[Qty Required]]/tbl_MacGyverWeld[[#This Row],[PPH]]*tbl_MacGyverWeld[[#This Row],['# of men]],"")</f>
        <v/>
      </c>
      <c r="L194" s="58" t="e">
        <f>tbl_MacGyverWeld[[#This Row],[Total hours]]*tbl_MacGyverWeld[[#This Row],[% Complete]]</f>
        <v>#VALUE!</v>
      </c>
      <c r="M194" s="59" t="str">
        <f>IFERROR(tbl_MacGyverWeld[[#This Row],[Qty Complete]]/tbl_MacGyverWeld[[#This Row],[Total Hours Act]]*tbl_MacGyverWeld[[#This Row],['# of men Act]],"")</f>
        <v/>
      </c>
      <c r="O194"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94" s="71" t="str">
        <f>IFERROR((tbl_MacGyverWeld[[#This Row],[Adj. Total Hours]]+tbl_MacGyverWeld[[#This Row],[Est. Hours]])/(tbl_MacGyverWeld[[#This Row],[Total Hours Act]]+tbl_MacGyverWeld[[#This Row],[Act. Hours]]),"")</f>
        <v/>
      </c>
      <c r="S194" s="63"/>
      <c r="T194" s="63"/>
      <c r="U194" s="63"/>
      <c r="V194" s="63"/>
      <c r="W194" s="63"/>
      <c r="X194" s="63"/>
    </row>
    <row r="195" spans="6:24" ht="25" customHeight="1">
      <c r="F195" s="53"/>
      <c r="H195" s="55" t="e">
        <f>tbl_MacGyverWeld[[#This Row],[Qty Complete]]/tbl_MacGyverWeld[[#This Row],[Qty Required]]</f>
        <v>#DIV/0!</v>
      </c>
      <c r="K195" s="57" t="str">
        <f>IFERROR(tbl_MacGyverWeld[[#This Row],[Qty Required]]/tbl_MacGyverWeld[[#This Row],[PPH]]*tbl_MacGyverWeld[[#This Row],['# of men]],"")</f>
        <v/>
      </c>
      <c r="L195" s="58" t="e">
        <f>tbl_MacGyverWeld[[#This Row],[Total hours]]*tbl_MacGyverWeld[[#This Row],[% Complete]]</f>
        <v>#VALUE!</v>
      </c>
      <c r="M195" s="59" t="str">
        <f>IFERROR(tbl_MacGyverWeld[[#This Row],[Qty Complete]]/tbl_MacGyverWeld[[#This Row],[Total Hours Act]]*tbl_MacGyverWeld[[#This Row],['# of men Act]],"")</f>
        <v/>
      </c>
      <c r="O195"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95" s="71" t="str">
        <f>IFERROR((tbl_MacGyverWeld[[#This Row],[Adj. Total Hours]]+tbl_MacGyverWeld[[#This Row],[Est. Hours]])/(tbl_MacGyverWeld[[#This Row],[Total Hours Act]]+tbl_MacGyverWeld[[#This Row],[Act. Hours]]),"")</f>
        <v/>
      </c>
      <c r="S195" s="63"/>
      <c r="T195" s="63"/>
      <c r="U195" s="63"/>
      <c r="V195" s="63"/>
      <c r="W195" s="63"/>
      <c r="X195" s="63"/>
    </row>
    <row r="196" spans="6:24" ht="25" customHeight="1">
      <c r="F196" s="53"/>
      <c r="H196" s="55" t="e">
        <f>tbl_MacGyverWeld[[#This Row],[Qty Complete]]/tbl_MacGyverWeld[[#This Row],[Qty Required]]</f>
        <v>#DIV/0!</v>
      </c>
      <c r="K196" s="57" t="str">
        <f>IFERROR(tbl_MacGyverWeld[[#This Row],[Qty Required]]/tbl_MacGyverWeld[[#This Row],[PPH]]*tbl_MacGyverWeld[[#This Row],['# of men]],"")</f>
        <v/>
      </c>
      <c r="L196" s="58" t="e">
        <f>tbl_MacGyverWeld[[#This Row],[Total hours]]*tbl_MacGyverWeld[[#This Row],[% Complete]]</f>
        <v>#VALUE!</v>
      </c>
      <c r="M196" s="59" t="str">
        <f>IFERROR(tbl_MacGyverWeld[[#This Row],[Qty Complete]]/tbl_MacGyverWeld[[#This Row],[Total Hours Act]]*tbl_MacGyverWeld[[#This Row],['# of men Act]],"")</f>
        <v/>
      </c>
      <c r="O196"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96" s="71" t="str">
        <f>IFERROR((tbl_MacGyverWeld[[#This Row],[Adj. Total Hours]]+tbl_MacGyverWeld[[#This Row],[Est. Hours]])/(tbl_MacGyverWeld[[#This Row],[Total Hours Act]]+tbl_MacGyverWeld[[#This Row],[Act. Hours]]),"")</f>
        <v/>
      </c>
      <c r="S196" s="63"/>
      <c r="T196" s="63"/>
      <c r="U196" s="63"/>
      <c r="V196" s="63"/>
      <c r="W196" s="63"/>
      <c r="X196" s="63"/>
    </row>
    <row r="197" spans="6:24" ht="25" customHeight="1">
      <c r="F197" s="53"/>
      <c r="H197" s="55" t="e">
        <f>tbl_MacGyverWeld[[#This Row],[Qty Complete]]/tbl_MacGyverWeld[[#This Row],[Qty Required]]</f>
        <v>#DIV/0!</v>
      </c>
      <c r="K197" s="57" t="str">
        <f>IFERROR(tbl_MacGyverWeld[[#This Row],[Qty Required]]/tbl_MacGyverWeld[[#This Row],[PPH]]*tbl_MacGyverWeld[[#This Row],['# of men]],"")</f>
        <v/>
      </c>
      <c r="L197" s="58" t="e">
        <f>tbl_MacGyverWeld[[#This Row],[Total hours]]*tbl_MacGyverWeld[[#This Row],[% Complete]]</f>
        <v>#VALUE!</v>
      </c>
      <c r="M197" s="59" t="str">
        <f>IFERROR(tbl_MacGyverWeld[[#This Row],[Qty Complete]]/tbl_MacGyverWeld[[#This Row],[Total Hours Act]]*tbl_MacGyverWeld[[#This Row],['# of men Act]],"")</f>
        <v/>
      </c>
      <c r="O197"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97" s="71" t="str">
        <f>IFERROR((tbl_MacGyverWeld[[#This Row],[Adj. Total Hours]]+tbl_MacGyverWeld[[#This Row],[Est. Hours]])/(tbl_MacGyverWeld[[#This Row],[Total Hours Act]]+tbl_MacGyverWeld[[#This Row],[Act. Hours]]),"")</f>
        <v/>
      </c>
      <c r="S197" s="63"/>
      <c r="T197" s="63"/>
      <c r="U197" s="63"/>
      <c r="V197" s="63"/>
      <c r="W197" s="63"/>
      <c r="X197" s="63"/>
    </row>
    <row r="198" spans="6:24" ht="25" customHeight="1">
      <c r="F198" s="53"/>
      <c r="H198" s="55" t="e">
        <f>tbl_MacGyverWeld[[#This Row],[Qty Complete]]/tbl_MacGyverWeld[[#This Row],[Qty Required]]</f>
        <v>#DIV/0!</v>
      </c>
      <c r="K198" s="57" t="str">
        <f>IFERROR(tbl_MacGyverWeld[[#This Row],[Qty Required]]/tbl_MacGyverWeld[[#This Row],[PPH]]*tbl_MacGyverWeld[[#This Row],['# of men]],"")</f>
        <v/>
      </c>
      <c r="L198" s="58" t="e">
        <f>tbl_MacGyverWeld[[#This Row],[Total hours]]*tbl_MacGyverWeld[[#This Row],[% Complete]]</f>
        <v>#VALUE!</v>
      </c>
      <c r="M198" s="59" t="str">
        <f>IFERROR(tbl_MacGyverWeld[[#This Row],[Qty Complete]]/tbl_MacGyverWeld[[#This Row],[Total Hours Act]]*tbl_MacGyverWeld[[#This Row],['# of men Act]],"")</f>
        <v/>
      </c>
      <c r="O198"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98" s="71" t="str">
        <f>IFERROR((tbl_MacGyverWeld[[#This Row],[Adj. Total Hours]]+tbl_MacGyverWeld[[#This Row],[Est. Hours]])/(tbl_MacGyverWeld[[#This Row],[Total Hours Act]]+tbl_MacGyverWeld[[#This Row],[Act. Hours]]),"")</f>
        <v/>
      </c>
      <c r="S198" s="63"/>
      <c r="T198" s="63"/>
      <c r="U198" s="63"/>
      <c r="V198" s="63"/>
      <c r="W198" s="63"/>
      <c r="X198" s="63"/>
    </row>
    <row r="199" spans="6:24" ht="25" customHeight="1">
      <c r="F199" s="53"/>
      <c r="H199" s="55" t="e">
        <f>tbl_MacGyverWeld[[#This Row],[Qty Complete]]/tbl_MacGyverWeld[[#This Row],[Qty Required]]</f>
        <v>#DIV/0!</v>
      </c>
      <c r="K199" s="57" t="str">
        <f>IFERROR(tbl_MacGyverWeld[[#This Row],[Qty Required]]/tbl_MacGyverWeld[[#This Row],[PPH]]*tbl_MacGyverWeld[[#This Row],['# of men]],"")</f>
        <v/>
      </c>
      <c r="L199" s="58" t="e">
        <f>tbl_MacGyverWeld[[#This Row],[Total hours]]*tbl_MacGyverWeld[[#This Row],[% Complete]]</f>
        <v>#VALUE!</v>
      </c>
      <c r="M199" s="59" t="str">
        <f>IFERROR(tbl_MacGyverWeld[[#This Row],[Qty Complete]]/tbl_MacGyverWeld[[#This Row],[Total Hours Act]]*tbl_MacGyverWeld[[#This Row],['# of men Act]],"")</f>
        <v/>
      </c>
      <c r="O199"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199" s="71" t="str">
        <f>IFERROR((tbl_MacGyverWeld[[#This Row],[Adj. Total Hours]]+tbl_MacGyverWeld[[#This Row],[Est. Hours]])/(tbl_MacGyverWeld[[#This Row],[Total Hours Act]]+tbl_MacGyverWeld[[#This Row],[Act. Hours]]),"")</f>
        <v/>
      </c>
      <c r="S199" s="63"/>
      <c r="T199" s="63"/>
      <c r="U199" s="63"/>
      <c r="V199" s="63"/>
      <c r="W199" s="63"/>
      <c r="X199" s="63"/>
    </row>
    <row r="200" spans="6:24" ht="25" customHeight="1">
      <c r="F200" s="53"/>
      <c r="H200" s="55" t="e">
        <f>tbl_MacGyverWeld[[#This Row],[Qty Complete]]/tbl_MacGyverWeld[[#This Row],[Qty Required]]</f>
        <v>#DIV/0!</v>
      </c>
      <c r="K200" s="57" t="str">
        <f>IFERROR(tbl_MacGyverWeld[[#This Row],[Qty Required]]/tbl_MacGyverWeld[[#This Row],[PPH]]*tbl_MacGyverWeld[[#This Row],['# of men]],"")</f>
        <v/>
      </c>
      <c r="L200" s="58" t="e">
        <f>tbl_MacGyverWeld[[#This Row],[Total hours]]*tbl_MacGyverWeld[[#This Row],[% Complete]]</f>
        <v>#VALUE!</v>
      </c>
      <c r="M200" s="59" t="str">
        <f>IFERROR(tbl_MacGyverWeld[[#This Row],[Qty Complete]]/tbl_MacGyverWeld[[#This Row],[Total Hours Act]]*tbl_MacGyverWeld[[#This Row],['# of men Act]],"")</f>
        <v/>
      </c>
      <c r="O200"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200" s="71" t="str">
        <f>IFERROR((tbl_MacGyverWeld[[#This Row],[Adj. Total Hours]]+tbl_MacGyverWeld[[#This Row],[Est. Hours]])/(tbl_MacGyverWeld[[#This Row],[Total Hours Act]]+tbl_MacGyverWeld[[#This Row],[Act. Hours]]),"")</f>
        <v/>
      </c>
      <c r="S200" s="63"/>
      <c r="T200" s="63"/>
      <c r="U200" s="63"/>
      <c r="V200" s="63"/>
      <c r="W200" s="63"/>
      <c r="X200" s="63"/>
    </row>
    <row r="201" spans="6:24" ht="25" customHeight="1">
      <c r="F201" s="53"/>
      <c r="H201" s="55" t="e">
        <f>tbl_MacGyverWeld[[#This Row],[Qty Complete]]/tbl_MacGyverWeld[[#This Row],[Qty Required]]</f>
        <v>#DIV/0!</v>
      </c>
      <c r="K201" s="57" t="str">
        <f>IFERROR(tbl_MacGyverWeld[[#This Row],[Qty Required]]/tbl_MacGyverWeld[[#This Row],[PPH]]*tbl_MacGyverWeld[[#This Row],['# of men]],"")</f>
        <v/>
      </c>
      <c r="L201" s="58" t="e">
        <f>tbl_MacGyverWeld[[#This Row],[Total hours]]*tbl_MacGyverWeld[[#This Row],[% Complete]]</f>
        <v>#VALUE!</v>
      </c>
      <c r="M201" s="59" t="str">
        <f>IFERROR(tbl_MacGyverWeld[[#This Row],[Qty Complete]]/tbl_MacGyverWeld[[#This Row],[Total Hours Act]]*tbl_MacGyverWeld[[#This Row],['# of men Act]],"")</f>
        <v/>
      </c>
      <c r="O201"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201" s="71" t="str">
        <f>IFERROR((tbl_MacGyverWeld[[#This Row],[Adj. Total Hours]]+tbl_MacGyverWeld[[#This Row],[Est. Hours]])/(tbl_MacGyverWeld[[#This Row],[Total Hours Act]]+tbl_MacGyverWeld[[#This Row],[Act. Hours]]),"")</f>
        <v/>
      </c>
      <c r="S201" s="63"/>
      <c r="T201" s="63"/>
      <c r="U201" s="63"/>
      <c r="V201" s="63"/>
      <c r="W201" s="63"/>
      <c r="X201" s="63"/>
    </row>
    <row r="202" spans="6:24" ht="25" customHeight="1">
      <c r="F202" s="53"/>
      <c r="H202" s="55" t="e">
        <f>tbl_MacGyverWeld[[#This Row],[Qty Complete]]/tbl_MacGyverWeld[[#This Row],[Qty Required]]</f>
        <v>#DIV/0!</v>
      </c>
      <c r="K202" s="57" t="str">
        <f>IFERROR(tbl_MacGyverWeld[[#This Row],[Qty Required]]/tbl_MacGyverWeld[[#This Row],[PPH]]*tbl_MacGyverWeld[[#This Row],['# of men]],"")</f>
        <v/>
      </c>
      <c r="L202" s="58" t="e">
        <f>tbl_MacGyverWeld[[#This Row],[Total hours]]*tbl_MacGyverWeld[[#This Row],[% Complete]]</f>
        <v>#VALUE!</v>
      </c>
      <c r="M202" s="59" t="str">
        <f>IFERROR(tbl_MacGyverWeld[[#This Row],[Qty Complete]]/tbl_MacGyverWeld[[#This Row],[Total Hours Act]]*tbl_MacGyverWeld[[#This Row],['# of men Act]],"")</f>
        <v/>
      </c>
      <c r="O202"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202" s="71" t="str">
        <f>IFERROR((tbl_MacGyverWeld[[#This Row],[Adj. Total Hours]]+tbl_MacGyverWeld[[#This Row],[Est. Hours]])/(tbl_MacGyverWeld[[#This Row],[Total Hours Act]]+tbl_MacGyverWeld[[#This Row],[Act. Hours]]),"")</f>
        <v/>
      </c>
      <c r="S202" s="63"/>
      <c r="T202" s="63"/>
      <c r="U202" s="63"/>
      <c r="V202" s="63"/>
      <c r="W202" s="63"/>
      <c r="X202" s="63"/>
    </row>
    <row r="203" spans="6:24" ht="25" customHeight="1">
      <c r="F203" s="53"/>
      <c r="H203" s="55" t="e">
        <f>tbl_MacGyverWeld[[#This Row],[Qty Complete]]/tbl_MacGyverWeld[[#This Row],[Qty Required]]</f>
        <v>#DIV/0!</v>
      </c>
      <c r="K203" s="57" t="str">
        <f>IFERROR(tbl_MacGyverWeld[[#This Row],[Qty Required]]/tbl_MacGyverWeld[[#This Row],[PPH]]*tbl_MacGyverWeld[[#This Row],['# of men]],"")</f>
        <v/>
      </c>
      <c r="L203" s="58" t="e">
        <f>tbl_MacGyverWeld[[#This Row],[Total hours]]*tbl_MacGyverWeld[[#This Row],[% Complete]]</f>
        <v>#VALUE!</v>
      </c>
      <c r="M203" s="59" t="str">
        <f>IFERROR(tbl_MacGyverWeld[[#This Row],[Qty Complete]]/tbl_MacGyverWeld[[#This Row],[Total Hours Act]]*tbl_MacGyverWeld[[#This Row],['# of men Act]],"")</f>
        <v/>
      </c>
      <c r="O203"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203" s="71" t="str">
        <f>IFERROR((tbl_MacGyverWeld[[#This Row],[Adj. Total Hours]]+tbl_MacGyverWeld[[#This Row],[Est. Hours]])/(tbl_MacGyverWeld[[#This Row],[Total Hours Act]]+tbl_MacGyverWeld[[#This Row],[Act. Hours]]),"")</f>
        <v/>
      </c>
      <c r="S203" s="63"/>
      <c r="T203" s="63"/>
      <c r="U203" s="63"/>
      <c r="V203" s="63"/>
      <c r="W203" s="63"/>
      <c r="X203" s="63"/>
    </row>
    <row r="204" spans="6:24" ht="25" customHeight="1">
      <c r="F204" s="53"/>
      <c r="H204" s="55" t="e">
        <f>tbl_MacGyverWeld[[#This Row],[Qty Complete]]/tbl_MacGyverWeld[[#This Row],[Qty Required]]</f>
        <v>#DIV/0!</v>
      </c>
      <c r="K204" s="57" t="str">
        <f>IFERROR(tbl_MacGyverWeld[[#This Row],[Qty Required]]/tbl_MacGyverWeld[[#This Row],[PPH]]*tbl_MacGyverWeld[[#This Row],['# of men]],"")</f>
        <v/>
      </c>
      <c r="L204" s="58" t="e">
        <f>tbl_MacGyverWeld[[#This Row],[Total hours]]*tbl_MacGyverWeld[[#This Row],[% Complete]]</f>
        <v>#VALUE!</v>
      </c>
      <c r="M204" s="59" t="str">
        <f>IFERROR(tbl_MacGyverWeld[[#This Row],[Qty Complete]]/tbl_MacGyverWeld[[#This Row],[Total Hours Act]]*tbl_MacGyverWeld[[#This Row],['# of men Act]],"")</f>
        <v/>
      </c>
      <c r="O204"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204" s="71" t="str">
        <f>IFERROR((tbl_MacGyverWeld[[#This Row],[Adj. Total Hours]]+tbl_MacGyverWeld[[#This Row],[Est. Hours]])/(tbl_MacGyverWeld[[#This Row],[Total Hours Act]]+tbl_MacGyverWeld[[#This Row],[Act. Hours]]),"")</f>
        <v/>
      </c>
      <c r="S204" s="63"/>
      <c r="T204" s="63"/>
      <c r="U204" s="63"/>
      <c r="V204" s="63"/>
      <c r="W204" s="63"/>
      <c r="X204" s="63"/>
    </row>
    <row r="205" spans="6:24" ht="25" customHeight="1">
      <c r="F205" s="53"/>
      <c r="H205" s="55" t="e">
        <f>tbl_MacGyverWeld[[#This Row],[Qty Complete]]/tbl_MacGyverWeld[[#This Row],[Qty Required]]</f>
        <v>#DIV/0!</v>
      </c>
      <c r="K205" s="57" t="str">
        <f>IFERROR(tbl_MacGyverWeld[[#This Row],[Qty Required]]/tbl_MacGyverWeld[[#This Row],[PPH]]*tbl_MacGyverWeld[[#This Row],['# of men]],"")</f>
        <v/>
      </c>
      <c r="L205" s="58" t="e">
        <f>tbl_MacGyverWeld[[#This Row],[Total hours]]*tbl_MacGyverWeld[[#This Row],[% Complete]]</f>
        <v>#VALUE!</v>
      </c>
      <c r="M205" s="59" t="str">
        <f>IFERROR(tbl_MacGyverWeld[[#This Row],[Qty Complete]]/tbl_MacGyverWeld[[#This Row],[Total Hours Act]]*tbl_MacGyverWeld[[#This Row],['# of men Act]],"")</f>
        <v/>
      </c>
      <c r="O205"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205" s="71" t="str">
        <f>IFERROR((tbl_MacGyverWeld[[#This Row],[Adj. Total Hours]]+tbl_MacGyverWeld[[#This Row],[Est. Hours]])/(tbl_MacGyverWeld[[#This Row],[Total Hours Act]]+tbl_MacGyverWeld[[#This Row],[Act. Hours]]),"")</f>
        <v/>
      </c>
      <c r="S205" s="63"/>
      <c r="T205" s="63"/>
      <c r="U205" s="63"/>
      <c r="V205" s="63"/>
      <c r="W205" s="63"/>
      <c r="X205" s="63"/>
    </row>
    <row r="206" spans="6:24" ht="25" customHeight="1">
      <c r="F206" s="53"/>
      <c r="H206" s="55" t="e">
        <f>tbl_MacGyverWeld[[#This Row],[Qty Complete]]/tbl_MacGyverWeld[[#This Row],[Qty Required]]</f>
        <v>#DIV/0!</v>
      </c>
      <c r="K206" s="57" t="str">
        <f>IFERROR(tbl_MacGyverWeld[[#This Row],[Qty Required]]/tbl_MacGyverWeld[[#This Row],[PPH]]*tbl_MacGyverWeld[[#This Row],['# of men]],"")</f>
        <v/>
      </c>
      <c r="L206" s="58" t="e">
        <f>tbl_MacGyverWeld[[#This Row],[Total hours]]*tbl_MacGyverWeld[[#This Row],[% Complete]]</f>
        <v>#VALUE!</v>
      </c>
      <c r="M206" s="59" t="str">
        <f>IFERROR(tbl_MacGyverWeld[[#This Row],[Qty Complete]]/tbl_MacGyverWeld[[#This Row],[Total Hours Act]]*tbl_MacGyverWeld[[#This Row],['# of men Act]],"")</f>
        <v/>
      </c>
      <c r="O206"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206" s="71" t="str">
        <f>IFERROR((tbl_MacGyverWeld[[#This Row],[Adj. Total Hours]]+tbl_MacGyverWeld[[#This Row],[Est. Hours]])/(tbl_MacGyverWeld[[#This Row],[Total Hours Act]]+tbl_MacGyverWeld[[#This Row],[Act. Hours]]),"")</f>
        <v/>
      </c>
      <c r="S206" s="63"/>
      <c r="T206" s="63"/>
      <c r="U206" s="63"/>
      <c r="V206" s="63"/>
      <c r="W206" s="63"/>
      <c r="X206" s="63"/>
    </row>
    <row r="207" spans="6:24" ht="25" customHeight="1">
      <c r="F207" s="53"/>
      <c r="H207" s="55" t="e">
        <f>tbl_MacGyverWeld[[#This Row],[Qty Complete]]/tbl_MacGyverWeld[[#This Row],[Qty Required]]</f>
        <v>#DIV/0!</v>
      </c>
      <c r="K207" s="57" t="str">
        <f>IFERROR(tbl_MacGyverWeld[[#This Row],[Qty Required]]/tbl_MacGyverWeld[[#This Row],[PPH]]*tbl_MacGyverWeld[[#This Row],['# of men]],"")</f>
        <v/>
      </c>
      <c r="L207" s="58" t="e">
        <f>tbl_MacGyverWeld[[#This Row],[Total hours]]*tbl_MacGyverWeld[[#This Row],[% Complete]]</f>
        <v>#VALUE!</v>
      </c>
      <c r="M207" s="59" t="str">
        <f>IFERROR(tbl_MacGyverWeld[[#This Row],[Qty Complete]]/tbl_MacGyverWeld[[#This Row],[Total Hours Act]]*tbl_MacGyverWeld[[#This Row],['# of men Act]],"")</f>
        <v/>
      </c>
      <c r="O207"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207" s="71" t="str">
        <f>IFERROR((tbl_MacGyverWeld[[#This Row],[Adj. Total Hours]]+tbl_MacGyverWeld[[#This Row],[Est. Hours]])/(tbl_MacGyverWeld[[#This Row],[Total Hours Act]]+tbl_MacGyverWeld[[#This Row],[Act. Hours]]),"")</f>
        <v/>
      </c>
      <c r="S207" s="63"/>
      <c r="T207" s="63"/>
      <c r="U207" s="63"/>
      <c r="V207" s="63"/>
      <c r="W207" s="63"/>
      <c r="X207" s="63"/>
    </row>
    <row r="208" spans="6:24" ht="25" customHeight="1">
      <c r="F208" s="53"/>
      <c r="H208" s="55" t="e">
        <f>tbl_MacGyverWeld[[#This Row],[Qty Complete]]/tbl_MacGyverWeld[[#This Row],[Qty Required]]</f>
        <v>#DIV/0!</v>
      </c>
      <c r="K208" s="57" t="str">
        <f>IFERROR(tbl_MacGyverWeld[[#This Row],[Qty Required]]/tbl_MacGyverWeld[[#This Row],[PPH]]*tbl_MacGyverWeld[[#This Row],['# of men]],"")</f>
        <v/>
      </c>
      <c r="L208" s="58" t="e">
        <f>tbl_MacGyverWeld[[#This Row],[Total hours]]*tbl_MacGyverWeld[[#This Row],[% Complete]]</f>
        <v>#VALUE!</v>
      </c>
      <c r="M208" s="59" t="str">
        <f>IFERROR(tbl_MacGyverWeld[[#This Row],[Qty Complete]]/tbl_MacGyverWeld[[#This Row],[Total Hours Act]]*tbl_MacGyverWeld[[#This Row],['# of men Act]],"")</f>
        <v/>
      </c>
      <c r="O208"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208" s="71" t="str">
        <f>IFERROR((tbl_MacGyverWeld[[#This Row],[Adj. Total Hours]]+tbl_MacGyverWeld[[#This Row],[Est. Hours]])/(tbl_MacGyverWeld[[#This Row],[Total Hours Act]]+tbl_MacGyverWeld[[#This Row],[Act. Hours]]),"")</f>
        <v/>
      </c>
      <c r="S208" s="63"/>
      <c r="T208" s="63"/>
      <c r="U208" s="63"/>
      <c r="V208" s="63"/>
      <c r="W208" s="63"/>
      <c r="X208" s="63"/>
    </row>
    <row r="209" spans="6:24" ht="25" customHeight="1">
      <c r="F209" s="53"/>
      <c r="H209" s="55" t="e">
        <f>tbl_MacGyverWeld[[#This Row],[Qty Complete]]/tbl_MacGyverWeld[[#This Row],[Qty Required]]</f>
        <v>#DIV/0!</v>
      </c>
      <c r="K209" s="57" t="str">
        <f>IFERROR(tbl_MacGyverWeld[[#This Row],[Qty Required]]/tbl_MacGyverWeld[[#This Row],[PPH]]*tbl_MacGyverWeld[[#This Row],['# of men]],"")</f>
        <v/>
      </c>
      <c r="L209" s="58" t="e">
        <f>tbl_MacGyverWeld[[#This Row],[Total hours]]*tbl_MacGyverWeld[[#This Row],[% Complete]]</f>
        <v>#VALUE!</v>
      </c>
      <c r="M209" s="59" t="str">
        <f>IFERROR(tbl_MacGyverWeld[[#This Row],[Qty Complete]]/tbl_MacGyverWeld[[#This Row],[Total Hours Act]]*tbl_MacGyverWeld[[#This Row],['# of men Act]],"")</f>
        <v/>
      </c>
      <c r="O209"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209" s="71" t="str">
        <f>IFERROR((tbl_MacGyverWeld[[#This Row],[Adj. Total Hours]]+tbl_MacGyverWeld[[#This Row],[Est. Hours]])/(tbl_MacGyverWeld[[#This Row],[Total Hours Act]]+tbl_MacGyverWeld[[#This Row],[Act. Hours]]),"")</f>
        <v/>
      </c>
      <c r="S209" s="63"/>
      <c r="T209" s="63"/>
      <c r="U209" s="63"/>
      <c r="V209" s="63"/>
      <c r="W209" s="63"/>
      <c r="X209" s="63"/>
    </row>
    <row r="210" spans="6:24" ht="25" customHeight="1">
      <c r="F210" s="53"/>
      <c r="H210" s="55" t="e">
        <f>tbl_MacGyverWeld[[#This Row],[Qty Complete]]/tbl_MacGyverWeld[[#This Row],[Qty Required]]</f>
        <v>#DIV/0!</v>
      </c>
      <c r="K210" s="57" t="str">
        <f>IFERROR(tbl_MacGyverWeld[[#This Row],[Qty Required]]/tbl_MacGyverWeld[[#This Row],[PPH]]*tbl_MacGyverWeld[[#This Row],['# of men]],"")</f>
        <v/>
      </c>
      <c r="L210" s="58" t="e">
        <f>tbl_MacGyverWeld[[#This Row],[Total hours]]*tbl_MacGyverWeld[[#This Row],[% Complete]]</f>
        <v>#VALUE!</v>
      </c>
      <c r="M210" s="59" t="str">
        <f>IFERROR(tbl_MacGyverWeld[[#This Row],[Qty Complete]]/tbl_MacGyverWeld[[#This Row],[Total Hours Act]]*tbl_MacGyverWeld[[#This Row],['# of men Act]],"")</f>
        <v/>
      </c>
      <c r="O210"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210" s="71" t="str">
        <f>IFERROR((tbl_MacGyverWeld[[#This Row],[Adj. Total Hours]]+tbl_MacGyverWeld[[#This Row],[Est. Hours]])/(tbl_MacGyverWeld[[#This Row],[Total Hours Act]]+tbl_MacGyverWeld[[#This Row],[Act. Hours]]),"")</f>
        <v/>
      </c>
      <c r="S210" s="63"/>
      <c r="T210" s="63"/>
      <c r="U210" s="63"/>
      <c r="V210" s="63"/>
      <c r="W210" s="63"/>
      <c r="X210" s="63"/>
    </row>
    <row r="211" spans="6:24" ht="25" customHeight="1">
      <c r="F211" s="53"/>
      <c r="H211" s="55" t="e">
        <f>tbl_MacGyverWeld[[#This Row],[Qty Complete]]/tbl_MacGyverWeld[[#This Row],[Qty Required]]</f>
        <v>#DIV/0!</v>
      </c>
      <c r="K211" s="57" t="str">
        <f>IFERROR(tbl_MacGyverWeld[[#This Row],[Qty Required]]/tbl_MacGyverWeld[[#This Row],[PPH]]*tbl_MacGyverWeld[[#This Row],['# of men]],"")</f>
        <v/>
      </c>
      <c r="L211" s="58" t="e">
        <f>tbl_MacGyverWeld[[#This Row],[Total hours]]*tbl_MacGyverWeld[[#This Row],[% Complete]]</f>
        <v>#VALUE!</v>
      </c>
      <c r="M211" s="59" t="str">
        <f>IFERROR(tbl_MacGyverWeld[[#This Row],[Qty Complete]]/tbl_MacGyverWeld[[#This Row],[Total Hours Act]]*tbl_MacGyverWeld[[#This Row],['# of men Act]],"")</f>
        <v/>
      </c>
      <c r="O211"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211" s="71" t="str">
        <f>IFERROR((tbl_MacGyverWeld[[#This Row],[Adj. Total Hours]]+tbl_MacGyverWeld[[#This Row],[Est. Hours]])/(tbl_MacGyverWeld[[#This Row],[Total Hours Act]]+tbl_MacGyverWeld[[#This Row],[Act. Hours]]),"")</f>
        <v/>
      </c>
      <c r="S211" s="63"/>
      <c r="T211" s="63"/>
      <c r="U211" s="63"/>
      <c r="V211" s="63"/>
      <c r="W211" s="63"/>
      <c r="X211" s="63"/>
    </row>
    <row r="212" spans="6:24" ht="25" customHeight="1">
      <c r="F212" s="53"/>
      <c r="H212" s="55" t="e">
        <f>tbl_MacGyverWeld[[#This Row],[Qty Complete]]/tbl_MacGyverWeld[[#This Row],[Qty Required]]</f>
        <v>#DIV/0!</v>
      </c>
      <c r="K212" s="57" t="str">
        <f>IFERROR(tbl_MacGyverWeld[[#This Row],[Qty Required]]/tbl_MacGyverWeld[[#This Row],[PPH]]*tbl_MacGyverWeld[[#This Row],['# of men]],"")</f>
        <v/>
      </c>
      <c r="L212" s="58" t="e">
        <f>tbl_MacGyverWeld[[#This Row],[Total hours]]*tbl_MacGyverWeld[[#This Row],[% Complete]]</f>
        <v>#VALUE!</v>
      </c>
      <c r="M212" s="59" t="str">
        <f>IFERROR(tbl_MacGyverWeld[[#This Row],[Qty Complete]]/tbl_MacGyverWeld[[#This Row],[Total Hours Act]]*tbl_MacGyverWeld[[#This Row],['# of men Act]],"")</f>
        <v/>
      </c>
      <c r="O212"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212" s="71" t="str">
        <f>IFERROR((tbl_MacGyverWeld[[#This Row],[Adj. Total Hours]]+tbl_MacGyverWeld[[#This Row],[Est. Hours]])/(tbl_MacGyverWeld[[#This Row],[Total Hours Act]]+tbl_MacGyverWeld[[#This Row],[Act. Hours]]),"")</f>
        <v/>
      </c>
      <c r="S212" s="63"/>
      <c r="T212" s="63"/>
      <c r="U212" s="63"/>
      <c r="V212" s="63"/>
      <c r="W212" s="63"/>
      <c r="X212" s="63"/>
    </row>
    <row r="213" spans="6:24" ht="25" customHeight="1">
      <c r="F213" s="53"/>
      <c r="H213" s="55" t="e">
        <f>tbl_MacGyverWeld[[#This Row],[Qty Complete]]/tbl_MacGyverWeld[[#This Row],[Qty Required]]</f>
        <v>#DIV/0!</v>
      </c>
      <c r="K213" s="57" t="str">
        <f>IFERROR(tbl_MacGyverWeld[[#This Row],[Qty Required]]/tbl_MacGyverWeld[[#This Row],[PPH]]*tbl_MacGyverWeld[[#This Row],['# of men]],"")</f>
        <v/>
      </c>
      <c r="L213" s="58" t="e">
        <f>tbl_MacGyverWeld[[#This Row],[Total hours]]*tbl_MacGyverWeld[[#This Row],[% Complete]]</f>
        <v>#VALUE!</v>
      </c>
      <c r="M213" s="59" t="str">
        <f>IFERROR(tbl_MacGyverWeld[[#This Row],[Qty Complete]]/tbl_MacGyverWeld[[#This Row],[Total Hours Act]]*tbl_MacGyverWeld[[#This Row],['# of men Act]],"")</f>
        <v/>
      </c>
      <c r="O213"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213" s="71" t="str">
        <f>IFERROR((tbl_MacGyverWeld[[#This Row],[Adj. Total Hours]]+tbl_MacGyverWeld[[#This Row],[Est. Hours]])/(tbl_MacGyverWeld[[#This Row],[Total Hours Act]]+tbl_MacGyverWeld[[#This Row],[Act. Hours]]),"")</f>
        <v/>
      </c>
      <c r="S213" s="63"/>
      <c r="T213" s="63"/>
      <c r="U213" s="63"/>
      <c r="V213" s="63"/>
      <c r="W213" s="63"/>
      <c r="X213" s="63"/>
    </row>
    <row r="214" spans="6:24" ht="25" customHeight="1">
      <c r="F214" s="53"/>
      <c r="H214" s="55" t="e">
        <f>tbl_MacGyverWeld[[#This Row],[Qty Complete]]/tbl_MacGyverWeld[[#This Row],[Qty Required]]</f>
        <v>#DIV/0!</v>
      </c>
      <c r="K214" s="57" t="str">
        <f>IFERROR(tbl_MacGyverWeld[[#This Row],[Qty Required]]/tbl_MacGyverWeld[[#This Row],[PPH]]*tbl_MacGyverWeld[[#This Row],['# of men]],"")</f>
        <v/>
      </c>
      <c r="L214" s="58" t="e">
        <f>tbl_MacGyverWeld[[#This Row],[Total hours]]*tbl_MacGyverWeld[[#This Row],[% Complete]]</f>
        <v>#VALUE!</v>
      </c>
      <c r="M214" s="59" t="str">
        <f>IFERROR(tbl_MacGyverWeld[[#This Row],[Qty Complete]]/tbl_MacGyverWeld[[#This Row],[Total Hours Act]]*tbl_MacGyverWeld[[#This Row],['# of men Act]],"")</f>
        <v/>
      </c>
      <c r="O214"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214" s="71" t="str">
        <f>IFERROR((tbl_MacGyverWeld[[#This Row],[Adj. Total Hours]]+tbl_MacGyverWeld[[#This Row],[Est. Hours]])/(tbl_MacGyverWeld[[#This Row],[Total Hours Act]]+tbl_MacGyverWeld[[#This Row],[Act. Hours]]),"")</f>
        <v/>
      </c>
      <c r="S214" s="63"/>
      <c r="T214" s="63"/>
      <c r="U214" s="63"/>
      <c r="V214" s="63"/>
      <c r="W214" s="63"/>
      <c r="X214" s="63"/>
    </row>
    <row r="215" spans="6:24" ht="25" customHeight="1">
      <c r="F215" s="53"/>
      <c r="H215" s="55" t="e">
        <f>tbl_MacGyverWeld[[#This Row],[Qty Complete]]/tbl_MacGyverWeld[[#This Row],[Qty Required]]</f>
        <v>#DIV/0!</v>
      </c>
      <c r="K215" s="57" t="str">
        <f>IFERROR(tbl_MacGyverWeld[[#This Row],[Qty Required]]/tbl_MacGyverWeld[[#This Row],[PPH]]*tbl_MacGyverWeld[[#This Row],['# of men]],"")</f>
        <v/>
      </c>
      <c r="L215" s="58" t="e">
        <f>tbl_MacGyverWeld[[#This Row],[Total hours]]*tbl_MacGyverWeld[[#This Row],[% Complete]]</f>
        <v>#VALUE!</v>
      </c>
      <c r="M215" s="59" t="str">
        <f>IFERROR(tbl_MacGyverWeld[[#This Row],[Qty Complete]]/tbl_MacGyverWeld[[#This Row],[Total Hours Act]]*tbl_MacGyverWeld[[#This Row],['# of men Act]],"")</f>
        <v/>
      </c>
      <c r="O215"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215" s="71" t="str">
        <f>IFERROR((tbl_MacGyverWeld[[#This Row],[Adj. Total Hours]]+tbl_MacGyverWeld[[#This Row],[Est. Hours]])/(tbl_MacGyverWeld[[#This Row],[Total Hours Act]]+tbl_MacGyverWeld[[#This Row],[Act. Hours]]),"")</f>
        <v/>
      </c>
      <c r="S215" s="63"/>
      <c r="T215" s="63"/>
      <c r="U215" s="63"/>
      <c r="V215" s="63"/>
      <c r="W215" s="63"/>
      <c r="X215" s="63"/>
    </row>
    <row r="216" spans="6:24" ht="25" customHeight="1">
      <c r="F216" s="53"/>
      <c r="H216" s="55" t="e">
        <f>tbl_MacGyverWeld[[#This Row],[Qty Complete]]/tbl_MacGyverWeld[[#This Row],[Qty Required]]</f>
        <v>#DIV/0!</v>
      </c>
      <c r="K216" s="57" t="str">
        <f>IFERROR(tbl_MacGyverWeld[[#This Row],[Qty Required]]/tbl_MacGyverWeld[[#This Row],[PPH]]*tbl_MacGyverWeld[[#This Row],['# of men]],"")</f>
        <v/>
      </c>
      <c r="L216" s="58" t="e">
        <f>tbl_MacGyverWeld[[#This Row],[Total hours]]*tbl_MacGyverWeld[[#This Row],[% Complete]]</f>
        <v>#VALUE!</v>
      </c>
      <c r="M216" s="59" t="str">
        <f>IFERROR(tbl_MacGyverWeld[[#This Row],[Qty Complete]]/tbl_MacGyverWeld[[#This Row],[Total Hours Act]]*tbl_MacGyverWeld[[#This Row],['# of men Act]],"")</f>
        <v/>
      </c>
      <c r="O216"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216" s="71" t="str">
        <f>IFERROR((tbl_MacGyverWeld[[#This Row],[Adj. Total Hours]]+tbl_MacGyverWeld[[#This Row],[Est. Hours]])/(tbl_MacGyverWeld[[#This Row],[Total Hours Act]]+tbl_MacGyverWeld[[#This Row],[Act. Hours]]),"")</f>
        <v/>
      </c>
      <c r="S216" s="63"/>
      <c r="T216" s="63"/>
      <c r="U216" s="63"/>
      <c r="V216" s="63"/>
      <c r="W216" s="63"/>
      <c r="X216" s="63"/>
    </row>
    <row r="217" spans="6:24" ht="25" customHeight="1">
      <c r="F217" s="53"/>
      <c r="H217" s="55" t="e">
        <f>tbl_MacGyverWeld[[#This Row],[Qty Complete]]/tbl_MacGyverWeld[[#This Row],[Qty Required]]</f>
        <v>#DIV/0!</v>
      </c>
      <c r="K217" s="57" t="str">
        <f>IFERROR(tbl_MacGyverWeld[[#This Row],[Qty Required]]/tbl_MacGyverWeld[[#This Row],[PPH]]*tbl_MacGyverWeld[[#This Row],['# of men]],"")</f>
        <v/>
      </c>
      <c r="L217" s="58" t="e">
        <f>tbl_MacGyverWeld[[#This Row],[Total hours]]*tbl_MacGyverWeld[[#This Row],[% Complete]]</f>
        <v>#VALUE!</v>
      </c>
      <c r="M217" s="59" t="str">
        <f>IFERROR(tbl_MacGyverWeld[[#This Row],[Qty Complete]]/tbl_MacGyverWeld[[#This Row],[Total Hours Act]]*tbl_MacGyverWeld[[#This Row],['# of men Act]],"")</f>
        <v/>
      </c>
      <c r="O217"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217" s="71" t="str">
        <f>IFERROR((tbl_MacGyverWeld[[#This Row],[Adj. Total Hours]]+tbl_MacGyverWeld[[#This Row],[Est. Hours]])/(tbl_MacGyverWeld[[#This Row],[Total Hours Act]]+tbl_MacGyverWeld[[#This Row],[Act. Hours]]),"")</f>
        <v/>
      </c>
      <c r="S217" s="63"/>
      <c r="T217" s="63"/>
      <c r="U217" s="63"/>
      <c r="V217" s="63"/>
      <c r="W217" s="63"/>
      <c r="X217" s="63"/>
    </row>
    <row r="218" spans="6:24" ht="25" customHeight="1">
      <c r="F218" s="53"/>
      <c r="H218" s="55" t="e">
        <f>tbl_MacGyverWeld[[#This Row],[Qty Complete]]/tbl_MacGyverWeld[[#This Row],[Qty Required]]</f>
        <v>#DIV/0!</v>
      </c>
      <c r="K218" s="57" t="str">
        <f>IFERROR(tbl_MacGyverWeld[[#This Row],[Qty Required]]/tbl_MacGyverWeld[[#This Row],[PPH]]*tbl_MacGyverWeld[[#This Row],['# of men]],"")</f>
        <v/>
      </c>
      <c r="L218" s="58" t="e">
        <f>tbl_MacGyverWeld[[#This Row],[Total hours]]*tbl_MacGyverWeld[[#This Row],[% Complete]]</f>
        <v>#VALUE!</v>
      </c>
      <c r="M218" s="59" t="str">
        <f>IFERROR(tbl_MacGyverWeld[[#This Row],[Qty Complete]]/tbl_MacGyverWeld[[#This Row],[Total Hours Act]]*tbl_MacGyverWeld[[#This Row],['# of men Act]],"")</f>
        <v/>
      </c>
      <c r="O218"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218" s="71" t="str">
        <f>IFERROR((tbl_MacGyverWeld[[#This Row],[Adj. Total Hours]]+tbl_MacGyverWeld[[#This Row],[Est. Hours]])/(tbl_MacGyverWeld[[#This Row],[Total Hours Act]]+tbl_MacGyverWeld[[#This Row],[Act. Hours]]),"")</f>
        <v/>
      </c>
      <c r="S218" s="63"/>
      <c r="T218" s="63"/>
      <c r="U218" s="63"/>
      <c r="V218" s="63"/>
      <c r="W218" s="63"/>
      <c r="X218" s="63"/>
    </row>
    <row r="219" spans="6:24" ht="25" customHeight="1">
      <c r="F219" s="53"/>
      <c r="H219" s="55" t="e">
        <f>tbl_MacGyverWeld[[#This Row],[Qty Complete]]/tbl_MacGyverWeld[[#This Row],[Qty Required]]</f>
        <v>#DIV/0!</v>
      </c>
      <c r="K219" s="57" t="str">
        <f>IFERROR(tbl_MacGyverWeld[[#This Row],[Qty Required]]/tbl_MacGyverWeld[[#This Row],[PPH]]*tbl_MacGyverWeld[[#This Row],['# of men]],"")</f>
        <v/>
      </c>
      <c r="L219" s="58" t="e">
        <f>tbl_MacGyverWeld[[#This Row],[Total hours]]*tbl_MacGyverWeld[[#This Row],[% Complete]]</f>
        <v>#VALUE!</v>
      </c>
      <c r="M219" s="59" t="str">
        <f>IFERROR(tbl_MacGyverWeld[[#This Row],[Qty Complete]]/tbl_MacGyverWeld[[#This Row],[Total Hours Act]]*tbl_MacGyverWeld[[#This Row],['# of men Act]],"")</f>
        <v/>
      </c>
      <c r="O219"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219" s="71" t="str">
        <f>IFERROR((tbl_MacGyverWeld[[#This Row],[Adj. Total Hours]]+tbl_MacGyverWeld[[#This Row],[Est. Hours]])/(tbl_MacGyverWeld[[#This Row],[Total Hours Act]]+tbl_MacGyverWeld[[#This Row],[Act. Hours]]),"")</f>
        <v/>
      </c>
      <c r="S219" s="63"/>
      <c r="T219" s="63"/>
      <c r="U219" s="63"/>
      <c r="V219" s="63"/>
      <c r="W219" s="63"/>
      <c r="X219" s="63"/>
    </row>
    <row r="220" spans="6:24" ht="25" customHeight="1">
      <c r="F220" s="53"/>
      <c r="H220" s="55" t="e">
        <f>tbl_MacGyverWeld[[#This Row],[Qty Complete]]/tbl_MacGyverWeld[[#This Row],[Qty Required]]</f>
        <v>#DIV/0!</v>
      </c>
      <c r="K220" s="57" t="str">
        <f>IFERROR(tbl_MacGyverWeld[[#This Row],[Qty Required]]/tbl_MacGyverWeld[[#This Row],[PPH]]*tbl_MacGyverWeld[[#This Row],['# of men]],"")</f>
        <v/>
      </c>
      <c r="L220" s="58" t="e">
        <f>tbl_MacGyverWeld[[#This Row],[Total hours]]*tbl_MacGyverWeld[[#This Row],[% Complete]]</f>
        <v>#VALUE!</v>
      </c>
      <c r="M220" s="59" t="str">
        <f>IFERROR(tbl_MacGyverWeld[[#This Row],[Qty Complete]]/tbl_MacGyverWeld[[#This Row],[Total Hours Act]]*tbl_MacGyverWeld[[#This Row],['# of men Act]],"")</f>
        <v/>
      </c>
      <c r="O220"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220" s="71" t="str">
        <f>IFERROR((tbl_MacGyverWeld[[#This Row],[Adj. Total Hours]]+tbl_MacGyverWeld[[#This Row],[Est. Hours]])/(tbl_MacGyverWeld[[#This Row],[Total Hours Act]]+tbl_MacGyverWeld[[#This Row],[Act. Hours]]),"")</f>
        <v/>
      </c>
      <c r="S220" s="63"/>
      <c r="T220" s="63"/>
      <c r="U220" s="63"/>
      <c r="V220" s="63"/>
      <c r="W220" s="63"/>
      <c r="X220" s="63"/>
    </row>
    <row r="221" spans="6:24" ht="25" customHeight="1">
      <c r="F221" s="53"/>
      <c r="H221" s="55" t="e">
        <f>tbl_MacGyverWeld[[#This Row],[Qty Complete]]/tbl_MacGyverWeld[[#This Row],[Qty Required]]</f>
        <v>#DIV/0!</v>
      </c>
      <c r="K221" s="57" t="str">
        <f>IFERROR(tbl_MacGyverWeld[[#This Row],[Qty Required]]/tbl_MacGyverWeld[[#This Row],[PPH]]*tbl_MacGyverWeld[[#This Row],['# of men]],"")</f>
        <v/>
      </c>
      <c r="L221" s="58" t="e">
        <f>tbl_MacGyverWeld[[#This Row],[Total hours]]*tbl_MacGyverWeld[[#This Row],[% Complete]]</f>
        <v>#VALUE!</v>
      </c>
      <c r="M221" s="59" t="str">
        <f>IFERROR(tbl_MacGyverWeld[[#This Row],[Qty Complete]]/tbl_MacGyverWeld[[#This Row],[Total Hours Act]]*tbl_MacGyverWeld[[#This Row],['# of men Act]],"")</f>
        <v/>
      </c>
      <c r="O221"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221" s="71" t="str">
        <f>IFERROR((tbl_MacGyverWeld[[#This Row],[Adj. Total Hours]]+tbl_MacGyverWeld[[#This Row],[Est. Hours]])/(tbl_MacGyverWeld[[#This Row],[Total Hours Act]]+tbl_MacGyverWeld[[#This Row],[Act. Hours]]),"")</f>
        <v/>
      </c>
      <c r="S221" s="63"/>
      <c r="T221" s="63"/>
      <c r="U221" s="63"/>
      <c r="V221" s="63"/>
      <c r="W221" s="63"/>
      <c r="X221" s="63"/>
    </row>
    <row r="222" spans="6:24" ht="25" customHeight="1">
      <c r="F222" s="53"/>
      <c r="H222" s="55" t="e">
        <f>tbl_MacGyverWeld[[#This Row],[Qty Complete]]/tbl_MacGyverWeld[[#This Row],[Qty Required]]</f>
        <v>#DIV/0!</v>
      </c>
      <c r="K222" s="57" t="str">
        <f>IFERROR(tbl_MacGyverWeld[[#This Row],[Qty Required]]/tbl_MacGyverWeld[[#This Row],[PPH]]*tbl_MacGyverWeld[[#This Row],['# of men]],"")</f>
        <v/>
      </c>
      <c r="L222" s="58" t="e">
        <f>tbl_MacGyverWeld[[#This Row],[Total hours]]*tbl_MacGyverWeld[[#This Row],[% Complete]]</f>
        <v>#VALUE!</v>
      </c>
      <c r="M222" s="59" t="str">
        <f>IFERROR(tbl_MacGyverWeld[[#This Row],[Qty Complete]]/tbl_MacGyverWeld[[#This Row],[Total Hours Act]]*tbl_MacGyverWeld[[#This Row],['# of men Act]],"")</f>
        <v/>
      </c>
      <c r="O222"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222" s="71" t="str">
        <f>IFERROR((tbl_MacGyverWeld[[#This Row],[Adj. Total Hours]]+tbl_MacGyverWeld[[#This Row],[Est. Hours]])/(tbl_MacGyverWeld[[#This Row],[Total Hours Act]]+tbl_MacGyverWeld[[#This Row],[Act. Hours]]),"")</f>
        <v/>
      </c>
      <c r="S222" s="63"/>
      <c r="T222" s="63"/>
      <c r="U222" s="63"/>
      <c r="V222" s="63"/>
      <c r="W222" s="63"/>
      <c r="X222" s="63"/>
    </row>
    <row r="223" spans="6:24" ht="25" customHeight="1">
      <c r="F223" s="53"/>
      <c r="H223" s="55" t="e">
        <f>tbl_MacGyverWeld[[#This Row],[Qty Complete]]/tbl_MacGyverWeld[[#This Row],[Qty Required]]</f>
        <v>#DIV/0!</v>
      </c>
      <c r="K223" s="57" t="str">
        <f>IFERROR(tbl_MacGyverWeld[[#This Row],[Qty Required]]/tbl_MacGyverWeld[[#This Row],[PPH]]*tbl_MacGyverWeld[[#This Row],['# of men]],"")</f>
        <v/>
      </c>
      <c r="L223" s="58" t="e">
        <f>tbl_MacGyverWeld[[#This Row],[Total hours]]*tbl_MacGyverWeld[[#This Row],[% Complete]]</f>
        <v>#VALUE!</v>
      </c>
      <c r="M223" s="59" t="str">
        <f>IFERROR(tbl_MacGyverWeld[[#This Row],[Qty Complete]]/tbl_MacGyverWeld[[#This Row],[Total Hours Act]]*tbl_MacGyverWeld[[#This Row],['# of men Act]],"")</f>
        <v/>
      </c>
      <c r="O223"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223" s="71" t="str">
        <f>IFERROR((tbl_MacGyverWeld[[#This Row],[Adj. Total Hours]]+tbl_MacGyverWeld[[#This Row],[Est. Hours]])/(tbl_MacGyverWeld[[#This Row],[Total Hours Act]]+tbl_MacGyverWeld[[#This Row],[Act. Hours]]),"")</f>
        <v/>
      </c>
      <c r="S223" s="63"/>
      <c r="T223" s="63"/>
      <c r="U223" s="63"/>
      <c r="V223" s="63"/>
      <c r="W223" s="63"/>
      <c r="X223" s="63"/>
    </row>
    <row r="224" spans="6:24" ht="25" customHeight="1">
      <c r="F224" s="53"/>
      <c r="H224" s="55" t="e">
        <f>tbl_MacGyverWeld[[#This Row],[Qty Complete]]/tbl_MacGyverWeld[[#This Row],[Qty Required]]</f>
        <v>#DIV/0!</v>
      </c>
      <c r="K224" s="57" t="str">
        <f>IFERROR(tbl_MacGyverWeld[[#This Row],[Qty Required]]/tbl_MacGyverWeld[[#This Row],[PPH]]*tbl_MacGyverWeld[[#This Row],['# of men]],"")</f>
        <v/>
      </c>
      <c r="L224" s="58" t="e">
        <f>tbl_MacGyverWeld[[#This Row],[Total hours]]*tbl_MacGyverWeld[[#This Row],[% Complete]]</f>
        <v>#VALUE!</v>
      </c>
      <c r="M224" s="59" t="str">
        <f>IFERROR(tbl_MacGyverWeld[[#This Row],[Qty Complete]]/tbl_MacGyverWeld[[#This Row],[Total Hours Act]]*tbl_MacGyverWeld[[#This Row],['# of men Act]],"")</f>
        <v/>
      </c>
      <c r="O224"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224" s="71" t="str">
        <f>IFERROR((tbl_MacGyverWeld[[#This Row],[Adj. Total Hours]]+tbl_MacGyverWeld[[#This Row],[Est. Hours]])/(tbl_MacGyverWeld[[#This Row],[Total Hours Act]]+tbl_MacGyverWeld[[#This Row],[Act. Hours]]),"")</f>
        <v/>
      </c>
      <c r="S224" s="63"/>
      <c r="T224" s="63"/>
      <c r="U224" s="63"/>
      <c r="V224" s="63"/>
      <c r="W224" s="63"/>
      <c r="X224" s="63"/>
    </row>
    <row r="225" spans="6:24" ht="25" customHeight="1">
      <c r="F225" s="53"/>
      <c r="H225" s="55" t="e">
        <f>tbl_MacGyverWeld[[#This Row],[Qty Complete]]/tbl_MacGyverWeld[[#This Row],[Qty Required]]</f>
        <v>#DIV/0!</v>
      </c>
      <c r="K225" s="57" t="str">
        <f>IFERROR(tbl_MacGyverWeld[[#This Row],[Qty Required]]/tbl_MacGyverWeld[[#This Row],[PPH]]*tbl_MacGyverWeld[[#This Row],['# of men]],"")</f>
        <v/>
      </c>
      <c r="L225" s="58" t="e">
        <f>tbl_MacGyverWeld[[#This Row],[Total hours]]*tbl_MacGyverWeld[[#This Row],[% Complete]]</f>
        <v>#VALUE!</v>
      </c>
      <c r="M225" s="59" t="str">
        <f>IFERROR(tbl_MacGyverWeld[[#This Row],[Qty Complete]]/tbl_MacGyverWeld[[#This Row],[Total Hours Act]]*tbl_MacGyverWeld[[#This Row],['# of men Act]],"")</f>
        <v/>
      </c>
      <c r="O225"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225" s="71" t="str">
        <f>IFERROR((tbl_MacGyverWeld[[#This Row],[Adj. Total Hours]]+tbl_MacGyverWeld[[#This Row],[Est. Hours]])/(tbl_MacGyverWeld[[#This Row],[Total Hours Act]]+tbl_MacGyverWeld[[#This Row],[Act. Hours]]),"")</f>
        <v/>
      </c>
      <c r="S225" s="63"/>
      <c r="T225" s="63"/>
      <c r="U225" s="63"/>
      <c r="V225" s="63"/>
      <c r="W225" s="63"/>
      <c r="X225" s="63"/>
    </row>
    <row r="226" spans="6:24" ht="25" customHeight="1">
      <c r="F226" s="53"/>
      <c r="H226" s="55" t="e">
        <f>tbl_MacGyverWeld[[#This Row],[Qty Complete]]/tbl_MacGyverWeld[[#This Row],[Qty Required]]</f>
        <v>#DIV/0!</v>
      </c>
      <c r="K226" s="57" t="str">
        <f>IFERROR(tbl_MacGyverWeld[[#This Row],[Qty Required]]/tbl_MacGyverWeld[[#This Row],[PPH]]*tbl_MacGyverWeld[[#This Row],['# of men]],"")</f>
        <v/>
      </c>
      <c r="L226" s="58" t="e">
        <f>tbl_MacGyverWeld[[#This Row],[Total hours]]*tbl_MacGyverWeld[[#This Row],[% Complete]]</f>
        <v>#VALUE!</v>
      </c>
      <c r="M226" s="59" t="str">
        <f>IFERROR(tbl_MacGyverWeld[[#This Row],[Qty Complete]]/tbl_MacGyverWeld[[#This Row],[Total Hours Act]]*tbl_MacGyverWeld[[#This Row],['# of men Act]],"")</f>
        <v/>
      </c>
      <c r="O226"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226" s="71" t="str">
        <f>IFERROR((tbl_MacGyverWeld[[#This Row],[Adj. Total Hours]]+tbl_MacGyverWeld[[#This Row],[Est. Hours]])/(tbl_MacGyverWeld[[#This Row],[Total Hours Act]]+tbl_MacGyverWeld[[#This Row],[Act. Hours]]),"")</f>
        <v/>
      </c>
      <c r="S226" s="63"/>
      <c r="T226" s="63"/>
      <c r="U226" s="63"/>
      <c r="V226" s="63"/>
      <c r="W226" s="63"/>
      <c r="X226" s="63"/>
    </row>
    <row r="227" spans="6:24" ht="25" customHeight="1">
      <c r="F227" s="53"/>
      <c r="H227" s="55" t="e">
        <f>tbl_MacGyverWeld[[#This Row],[Qty Complete]]/tbl_MacGyverWeld[[#This Row],[Qty Required]]</f>
        <v>#DIV/0!</v>
      </c>
      <c r="K227" s="57" t="str">
        <f>IFERROR(tbl_MacGyverWeld[[#This Row],[Qty Required]]/tbl_MacGyverWeld[[#This Row],[PPH]]*tbl_MacGyverWeld[[#This Row],['# of men]],"")</f>
        <v/>
      </c>
      <c r="L227" s="58" t="e">
        <f>tbl_MacGyverWeld[[#This Row],[Total hours]]*tbl_MacGyverWeld[[#This Row],[% Complete]]</f>
        <v>#VALUE!</v>
      </c>
      <c r="M227" s="59" t="str">
        <f>IFERROR(tbl_MacGyverWeld[[#This Row],[Qty Complete]]/tbl_MacGyverWeld[[#This Row],[Total Hours Act]]*tbl_MacGyverWeld[[#This Row],['# of men Act]],"")</f>
        <v/>
      </c>
      <c r="O227"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227" s="71" t="str">
        <f>IFERROR((tbl_MacGyverWeld[[#This Row],[Adj. Total Hours]]+tbl_MacGyverWeld[[#This Row],[Est. Hours]])/(tbl_MacGyverWeld[[#This Row],[Total Hours Act]]+tbl_MacGyverWeld[[#This Row],[Act. Hours]]),"")</f>
        <v/>
      </c>
      <c r="S227" s="63"/>
      <c r="T227" s="63"/>
      <c r="U227" s="63"/>
      <c r="V227" s="63"/>
      <c r="W227" s="63"/>
      <c r="X227" s="63"/>
    </row>
    <row r="228" spans="6:24" ht="25" customHeight="1">
      <c r="F228" s="53"/>
      <c r="H228" s="55" t="e">
        <f>tbl_MacGyverWeld[[#This Row],[Qty Complete]]/tbl_MacGyverWeld[[#This Row],[Qty Required]]</f>
        <v>#DIV/0!</v>
      </c>
      <c r="K228" s="57" t="str">
        <f>IFERROR(tbl_MacGyverWeld[[#This Row],[Qty Required]]/tbl_MacGyverWeld[[#This Row],[PPH]]*tbl_MacGyverWeld[[#This Row],['# of men]],"")</f>
        <v/>
      </c>
      <c r="L228" s="58" t="e">
        <f>tbl_MacGyverWeld[[#This Row],[Total hours]]*tbl_MacGyverWeld[[#This Row],[% Complete]]</f>
        <v>#VALUE!</v>
      </c>
      <c r="M228" s="59" t="str">
        <f>IFERROR(tbl_MacGyverWeld[[#This Row],[Qty Complete]]/tbl_MacGyverWeld[[#This Row],[Total Hours Act]]*tbl_MacGyverWeld[[#This Row],['# of men Act]],"")</f>
        <v/>
      </c>
      <c r="O228"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228" s="71" t="str">
        <f>IFERROR((tbl_MacGyverWeld[[#This Row],[Adj. Total Hours]]+tbl_MacGyverWeld[[#This Row],[Est. Hours]])/(tbl_MacGyverWeld[[#This Row],[Total Hours Act]]+tbl_MacGyverWeld[[#This Row],[Act. Hours]]),"")</f>
        <v/>
      </c>
      <c r="S228" s="63"/>
      <c r="T228" s="63"/>
      <c r="U228" s="63"/>
      <c r="V228" s="63"/>
      <c r="W228" s="63"/>
      <c r="X228" s="63"/>
    </row>
    <row r="229" spans="6:24" ht="25" customHeight="1">
      <c r="F229" s="53"/>
      <c r="H229" s="55" t="e">
        <f>tbl_MacGyverWeld[[#This Row],[Qty Complete]]/tbl_MacGyverWeld[[#This Row],[Qty Required]]</f>
        <v>#DIV/0!</v>
      </c>
      <c r="K229" s="57" t="str">
        <f>IFERROR(tbl_MacGyverWeld[[#This Row],[Qty Required]]/tbl_MacGyverWeld[[#This Row],[PPH]]*tbl_MacGyverWeld[[#This Row],['# of men]],"")</f>
        <v/>
      </c>
      <c r="L229" s="58" t="e">
        <f>tbl_MacGyverWeld[[#This Row],[Total hours]]*tbl_MacGyverWeld[[#This Row],[% Complete]]</f>
        <v>#VALUE!</v>
      </c>
      <c r="M229" s="59" t="str">
        <f>IFERROR(tbl_MacGyverWeld[[#This Row],[Qty Complete]]/tbl_MacGyverWeld[[#This Row],[Total Hours Act]]*tbl_MacGyverWeld[[#This Row],['# of men Act]],"")</f>
        <v/>
      </c>
      <c r="O229"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229" s="71" t="str">
        <f>IFERROR((tbl_MacGyverWeld[[#This Row],[Adj. Total Hours]]+tbl_MacGyverWeld[[#This Row],[Est. Hours]])/(tbl_MacGyverWeld[[#This Row],[Total Hours Act]]+tbl_MacGyverWeld[[#This Row],[Act. Hours]]),"")</f>
        <v/>
      </c>
      <c r="S229" s="63"/>
      <c r="T229" s="63"/>
      <c r="U229" s="63"/>
      <c r="V229" s="63"/>
      <c r="W229" s="63"/>
      <c r="X229" s="63"/>
    </row>
    <row r="230" spans="6:24" ht="25" customHeight="1">
      <c r="F230" s="53"/>
      <c r="H230" s="55" t="e">
        <f>tbl_MacGyverWeld[[#This Row],[Qty Complete]]/tbl_MacGyverWeld[[#This Row],[Qty Required]]</f>
        <v>#DIV/0!</v>
      </c>
      <c r="K230" s="57" t="str">
        <f>IFERROR(tbl_MacGyverWeld[[#This Row],[Qty Required]]/tbl_MacGyverWeld[[#This Row],[PPH]]*tbl_MacGyverWeld[[#This Row],['# of men]],"")</f>
        <v/>
      </c>
      <c r="L230" s="58" t="e">
        <f>tbl_MacGyverWeld[[#This Row],[Total hours]]*tbl_MacGyverWeld[[#This Row],[% Complete]]</f>
        <v>#VALUE!</v>
      </c>
      <c r="M230" s="59" t="str">
        <f>IFERROR(tbl_MacGyverWeld[[#This Row],[Qty Complete]]/tbl_MacGyverWeld[[#This Row],[Total Hours Act]]*tbl_MacGyverWeld[[#This Row],['# of men Act]],"")</f>
        <v/>
      </c>
      <c r="O230"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230" s="71" t="str">
        <f>IFERROR((tbl_MacGyverWeld[[#This Row],[Adj. Total Hours]]+tbl_MacGyverWeld[[#This Row],[Est. Hours]])/(tbl_MacGyverWeld[[#This Row],[Total Hours Act]]+tbl_MacGyverWeld[[#This Row],[Act. Hours]]),"")</f>
        <v/>
      </c>
      <c r="S230" s="63"/>
      <c r="T230" s="63"/>
      <c r="U230" s="63"/>
      <c r="V230" s="63"/>
      <c r="W230" s="63"/>
      <c r="X230" s="63"/>
    </row>
    <row r="231" spans="6:24" ht="25" customHeight="1">
      <c r="F231" s="53"/>
      <c r="H231" s="55" t="e">
        <f>tbl_MacGyverWeld[[#This Row],[Qty Complete]]/tbl_MacGyverWeld[[#This Row],[Qty Required]]</f>
        <v>#DIV/0!</v>
      </c>
      <c r="K231" s="57" t="str">
        <f>IFERROR(tbl_MacGyverWeld[[#This Row],[Qty Required]]/tbl_MacGyverWeld[[#This Row],[PPH]]*tbl_MacGyverWeld[[#This Row],['# of men]],"")</f>
        <v/>
      </c>
      <c r="L231" s="58" t="e">
        <f>tbl_MacGyverWeld[[#This Row],[Total hours]]*tbl_MacGyverWeld[[#This Row],[% Complete]]</f>
        <v>#VALUE!</v>
      </c>
      <c r="M231" s="59" t="str">
        <f>IFERROR(tbl_MacGyverWeld[[#This Row],[Qty Complete]]/tbl_MacGyverWeld[[#This Row],[Total Hours Act]]*tbl_MacGyverWeld[[#This Row],['# of men Act]],"")</f>
        <v/>
      </c>
      <c r="O231"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231" s="71" t="str">
        <f>IFERROR((tbl_MacGyverWeld[[#This Row],[Adj. Total Hours]]+tbl_MacGyverWeld[[#This Row],[Est. Hours]])/(tbl_MacGyverWeld[[#This Row],[Total Hours Act]]+tbl_MacGyverWeld[[#This Row],[Act. Hours]]),"")</f>
        <v/>
      </c>
      <c r="S231" s="63"/>
      <c r="T231" s="63"/>
      <c r="U231" s="63"/>
      <c r="V231" s="63"/>
      <c r="W231" s="63"/>
      <c r="X231" s="63"/>
    </row>
    <row r="232" spans="6:24" ht="25" customHeight="1">
      <c r="F232" s="53"/>
      <c r="H232" s="55" t="e">
        <f>tbl_MacGyverWeld[[#This Row],[Qty Complete]]/tbl_MacGyverWeld[[#This Row],[Qty Required]]</f>
        <v>#DIV/0!</v>
      </c>
      <c r="K232" s="57" t="str">
        <f>IFERROR(tbl_MacGyverWeld[[#This Row],[Qty Required]]/tbl_MacGyverWeld[[#This Row],[PPH]]*tbl_MacGyverWeld[[#This Row],['# of men]],"")</f>
        <v/>
      </c>
      <c r="L232" s="58" t="e">
        <f>tbl_MacGyverWeld[[#This Row],[Total hours]]*tbl_MacGyverWeld[[#This Row],[% Complete]]</f>
        <v>#VALUE!</v>
      </c>
      <c r="M232" s="59" t="str">
        <f>IFERROR(tbl_MacGyverWeld[[#This Row],[Qty Complete]]/tbl_MacGyverWeld[[#This Row],[Total Hours Act]]*tbl_MacGyverWeld[[#This Row],['# of men Act]],"")</f>
        <v/>
      </c>
      <c r="O232"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232" s="71" t="str">
        <f>IFERROR((tbl_MacGyverWeld[[#This Row],[Adj. Total Hours]]+tbl_MacGyverWeld[[#This Row],[Est. Hours]])/(tbl_MacGyverWeld[[#This Row],[Total Hours Act]]+tbl_MacGyverWeld[[#This Row],[Act. Hours]]),"")</f>
        <v/>
      </c>
      <c r="S232" s="63"/>
      <c r="T232" s="63"/>
      <c r="U232" s="63"/>
      <c r="V232" s="63"/>
      <c r="W232" s="63"/>
      <c r="X232" s="63"/>
    </row>
    <row r="233" spans="6:24" ht="25" customHeight="1">
      <c r="F233" s="53"/>
      <c r="H233" s="55" t="e">
        <f>tbl_MacGyverWeld[[#This Row],[Qty Complete]]/tbl_MacGyverWeld[[#This Row],[Qty Required]]</f>
        <v>#DIV/0!</v>
      </c>
      <c r="K233" s="57" t="str">
        <f>IFERROR(tbl_MacGyverWeld[[#This Row],[Qty Required]]/tbl_MacGyverWeld[[#This Row],[PPH]]*tbl_MacGyverWeld[[#This Row],['# of men]],"")</f>
        <v/>
      </c>
      <c r="L233" s="58" t="e">
        <f>tbl_MacGyverWeld[[#This Row],[Total hours]]*tbl_MacGyverWeld[[#This Row],[% Complete]]</f>
        <v>#VALUE!</v>
      </c>
      <c r="M233" s="59" t="str">
        <f>IFERROR(tbl_MacGyverWeld[[#This Row],[Qty Complete]]/tbl_MacGyverWeld[[#This Row],[Total Hours Act]]*tbl_MacGyverWeld[[#This Row],['# of men Act]],"")</f>
        <v/>
      </c>
      <c r="O233"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233" s="71" t="str">
        <f>IFERROR((tbl_MacGyverWeld[[#This Row],[Adj. Total Hours]]+tbl_MacGyverWeld[[#This Row],[Est. Hours]])/(tbl_MacGyverWeld[[#This Row],[Total Hours Act]]+tbl_MacGyverWeld[[#This Row],[Act. Hours]]),"")</f>
        <v/>
      </c>
      <c r="S233" s="63"/>
      <c r="T233" s="63"/>
      <c r="U233" s="63"/>
      <c r="V233" s="63"/>
      <c r="W233" s="63"/>
      <c r="X233" s="63"/>
    </row>
    <row r="234" spans="6:24" ht="25" customHeight="1">
      <c r="F234" s="53"/>
      <c r="H234" s="55" t="e">
        <f>tbl_MacGyverWeld[[#This Row],[Qty Complete]]/tbl_MacGyverWeld[[#This Row],[Qty Required]]</f>
        <v>#DIV/0!</v>
      </c>
      <c r="K234" s="57" t="str">
        <f>IFERROR(tbl_MacGyverWeld[[#This Row],[Qty Required]]/tbl_MacGyverWeld[[#This Row],[PPH]]*tbl_MacGyverWeld[[#This Row],['# of men]],"")</f>
        <v/>
      </c>
      <c r="L234" s="58" t="e">
        <f>tbl_MacGyverWeld[[#This Row],[Total hours]]*tbl_MacGyverWeld[[#This Row],[% Complete]]</f>
        <v>#VALUE!</v>
      </c>
      <c r="M234" s="59" t="str">
        <f>IFERROR(tbl_MacGyverWeld[[#This Row],[Qty Complete]]/tbl_MacGyverWeld[[#This Row],[Total Hours Act]]*tbl_MacGyverWeld[[#This Row],['# of men Act]],"")</f>
        <v/>
      </c>
      <c r="O234"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234" s="71" t="str">
        <f>IFERROR((tbl_MacGyverWeld[[#This Row],[Adj. Total Hours]]+tbl_MacGyverWeld[[#This Row],[Est. Hours]])/(tbl_MacGyverWeld[[#This Row],[Total Hours Act]]+tbl_MacGyverWeld[[#This Row],[Act. Hours]]),"")</f>
        <v/>
      </c>
      <c r="S234" s="63"/>
      <c r="T234" s="63"/>
      <c r="U234" s="63"/>
      <c r="V234" s="63"/>
      <c r="W234" s="63"/>
      <c r="X234" s="63"/>
    </row>
    <row r="235" spans="6:24" ht="25" customHeight="1">
      <c r="F235" s="53"/>
      <c r="H235" s="55" t="e">
        <f>tbl_MacGyverWeld[[#This Row],[Qty Complete]]/tbl_MacGyverWeld[[#This Row],[Qty Required]]</f>
        <v>#DIV/0!</v>
      </c>
      <c r="K235" s="57" t="str">
        <f>IFERROR(tbl_MacGyverWeld[[#This Row],[Qty Required]]/tbl_MacGyverWeld[[#This Row],[PPH]]*tbl_MacGyverWeld[[#This Row],['# of men]],"")</f>
        <v/>
      </c>
      <c r="L235" s="58" t="e">
        <f>tbl_MacGyverWeld[[#This Row],[Total hours]]*tbl_MacGyverWeld[[#This Row],[% Complete]]</f>
        <v>#VALUE!</v>
      </c>
      <c r="M235" s="59" t="str">
        <f>IFERROR(tbl_MacGyverWeld[[#This Row],[Qty Complete]]/tbl_MacGyverWeld[[#This Row],[Total Hours Act]]*tbl_MacGyverWeld[[#This Row],['# of men Act]],"")</f>
        <v/>
      </c>
      <c r="O235"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235" s="71" t="str">
        <f>IFERROR((tbl_MacGyverWeld[[#This Row],[Adj. Total Hours]]+tbl_MacGyverWeld[[#This Row],[Est. Hours]])/(tbl_MacGyverWeld[[#This Row],[Total Hours Act]]+tbl_MacGyverWeld[[#This Row],[Act. Hours]]),"")</f>
        <v/>
      </c>
      <c r="S235" s="63"/>
      <c r="T235" s="63"/>
      <c r="U235" s="63"/>
      <c r="V235" s="63"/>
      <c r="W235" s="63"/>
      <c r="X235" s="63"/>
    </row>
    <row r="236" spans="6:24" ht="25" customHeight="1">
      <c r="F236" s="53"/>
      <c r="H236" s="55" t="e">
        <f>tbl_MacGyverWeld[[#This Row],[Qty Complete]]/tbl_MacGyverWeld[[#This Row],[Qty Required]]</f>
        <v>#DIV/0!</v>
      </c>
      <c r="K236" s="57" t="str">
        <f>IFERROR(tbl_MacGyverWeld[[#This Row],[Qty Required]]/tbl_MacGyverWeld[[#This Row],[PPH]]*tbl_MacGyverWeld[[#This Row],['# of men]],"")</f>
        <v/>
      </c>
      <c r="L236" s="58" t="e">
        <f>tbl_MacGyverWeld[[#This Row],[Total hours]]*tbl_MacGyverWeld[[#This Row],[% Complete]]</f>
        <v>#VALUE!</v>
      </c>
      <c r="M236" s="59" t="str">
        <f>IFERROR(tbl_MacGyverWeld[[#This Row],[Qty Complete]]/tbl_MacGyverWeld[[#This Row],[Total Hours Act]]*tbl_MacGyverWeld[[#This Row],['# of men Act]],"")</f>
        <v/>
      </c>
      <c r="O236"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236" s="71" t="str">
        <f>IFERROR((tbl_MacGyverWeld[[#This Row],[Adj. Total Hours]]+tbl_MacGyverWeld[[#This Row],[Est. Hours]])/(tbl_MacGyverWeld[[#This Row],[Total Hours Act]]+tbl_MacGyverWeld[[#This Row],[Act. Hours]]),"")</f>
        <v/>
      </c>
      <c r="S236" s="63"/>
      <c r="T236" s="63"/>
      <c r="U236" s="63"/>
      <c r="V236" s="63"/>
      <c r="W236" s="63"/>
      <c r="X236" s="63"/>
    </row>
    <row r="237" spans="6:24" ht="25" customHeight="1">
      <c r="F237" s="53"/>
      <c r="H237" s="55" t="e">
        <f>tbl_MacGyverWeld[[#This Row],[Qty Complete]]/tbl_MacGyverWeld[[#This Row],[Qty Required]]</f>
        <v>#DIV/0!</v>
      </c>
      <c r="K237" s="57" t="str">
        <f>IFERROR(tbl_MacGyverWeld[[#This Row],[Qty Required]]/tbl_MacGyverWeld[[#This Row],[PPH]]*tbl_MacGyverWeld[[#This Row],['# of men]],"")</f>
        <v/>
      </c>
      <c r="L237" s="58" t="e">
        <f>tbl_MacGyverWeld[[#This Row],[Total hours]]*tbl_MacGyverWeld[[#This Row],[% Complete]]</f>
        <v>#VALUE!</v>
      </c>
      <c r="M237" s="59" t="str">
        <f>IFERROR(tbl_MacGyverWeld[[#This Row],[Qty Complete]]/tbl_MacGyverWeld[[#This Row],[Total Hours Act]]*tbl_MacGyverWeld[[#This Row],['# of men Act]],"")</f>
        <v/>
      </c>
      <c r="O237"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237" s="71" t="str">
        <f>IFERROR((tbl_MacGyverWeld[[#This Row],[Adj. Total Hours]]+tbl_MacGyverWeld[[#This Row],[Est. Hours]])/(tbl_MacGyverWeld[[#This Row],[Total Hours Act]]+tbl_MacGyverWeld[[#This Row],[Act. Hours]]),"")</f>
        <v/>
      </c>
      <c r="S237" s="63"/>
      <c r="T237" s="63"/>
      <c r="U237" s="63"/>
      <c r="V237" s="63"/>
      <c r="W237" s="63"/>
      <c r="X237" s="63"/>
    </row>
    <row r="238" spans="6:24" ht="25" customHeight="1">
      <c r="F238" s="53"/>
      <c r="H238" s="55" t="e">
        <f>tbl_MacGyverWeld[[#This Row],[Qty Complete]]/tbl_MacGyverWeld[[#This Row],[Qty Required]]</f>
        <v>#DIV/0!</v>
      </c>
      <c r="K238" s="57" t="str">
        <f>IFERROR(tbl_MacGyverWeld[[#This Row],[Qty Required]]/tbl_MacGyverWeld[[#This Row],[PPH]]*tbl_MacGyverWeld[[#This Row],['# of men]],"")</f>
        <v/>
      </c>
      <c r="L238" s="58" t="e">
        <f>tbl_MacGyverWeld[[#This Row],[Total hours]]*tbl_MacGyverWeld[[#This Row],[% Complete]]</f>
        <v>#VALUE!</v>
      </c>
      <c r="M238" s="59" t="str">
        <f>IFERROR(tbl_MacGyverWeld[[#This Row],[Qty Complete]]/tbl_MacGyverWeld[[#This Row],[Total Hours Act]]*tbl_MacGyverWeld[[#This Row],['# of men Act]],"")</f>
        <v/>
      </c>
      <c r="O238"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238" s="71" t="str">
        <f>IFERROR((tbl_MacGyverWeld[[#This Row],[Adj. Total Hours]]+tbl_MacGyverWeld[[#This Row],[Est. Hours]])/(tbl_MacGyverWeld[[#This Row],[Total Hours Act]]+tbl_MacGyverWeld[[#This Row],[Act. Hours]]),"")</f>
        <v/>
      </c>
      <c r="S238" s="63"/>
      <c r="T238" s="63"/>
      <c r="U238" s="63"/>
      <c r="V238" s="63"/>
      <c r="W238" s="63"/>
      <c r="X238" s="63"/>
    </row>
    <row r="239" spans="6:24" ht="25" customHeight="1">
      <c r="F239" s="53"/>
      <c r="H239" s="55" t="e">
        <f>tbl_MacGyverWeld[[#This Row],[Qty Complete]]/tbl_MacGyverWeld[[#This Row],[Qty Required]]</f>
        <v>#DIV/0!</v>
      </c>
      <c r="K239" s="57" t="str">
        <f>IFERROR(tbl_MacGyverWeld[[#This Row],[Qty Required]]/tbl_MacGyverWeld[[#This Row],[PPH]]*tbl_MacGyverWeld[[#This Row],['# of men]],"")</f>
        <v/>
      </c>
      <c r="L239" s="58" t="e">
        <f>tbl_MacGyverWeld[[#This Row],[Total hours]]*tbl_MacGyverWeld[[#This Row],[% Complete]]</f>
        <v>#VALUE!</v>
      </c>
      <c r="M239" s="59" t="str">
        <f>IFERROR(tbl_MacGyverWeld[[#This Row],[Qty Complete]]/tbl_MacGyverWeld[[#This Row],[Total Hours Act]]*tbl_MacGyverWeld[[#This Row],['# of men Act]],"")</f>
        <v/>
      </c>
      <c r="O239"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239" s="71" t="str">
        <f>IFERROR((tbl_MacGyverWeld[[#This Row],[Adj. Total Hours]]+tbl_MacGyverWeld[[#This Row],[Est. Hours]])/(tbl_MacGyverWeld[[#This Row],[Total Hours Act]]+tbl_MacGyverWeld[[#This Row],[Act. Hours]]),"")</f>
        <v/>
      </c>
      <c r="S239" s="63"/>
      <c r="T239" s="63"/>
      <c r="U239" s="63"/>
      <c r="V239" s="63"/>
      <c r="W239" s="63"/>
      <c r="X239" s="63"/>
    </row>
    <row r="240" spans="6:24" ht="25" customHeight="1">
      <c r="F240" s="53"/>
      <c r="H240" s="55" t="e">
        <f>tbl_MacGyverWeld[[#This Row],[Qty Complete]]/tbl_MacGyverWeld[[#This Row],[Qty Required]]</f>
        <v>#DIV/0!</v>
      </c>
      <c r="K240" s="57" t="str">
        <f>IFERROR(tbl_MacGyverWeld[[#This Row],[Qty Required]]/tbl_MacGyverWeld[[#This Row],[PPH]]*tbl_MacGyverWeld[[#This Row],['# of men]],"")</f>
        <v/>
      </c>
      <c r="L240" s="58" t="e">
        <f>tbl_MacGyverWeld[[#This Row],[Total hours]]*tbl_MacGyverWeld[[#This Row],[% Complete]]</f>
        <v>#VALUE!</v>
      </c>
      <c r="M240" s="59" t="str">
        <f>IFERROR(tbl_MacGyverWeld[[#This Row],[Qty Complete]]/tbl_MacGyverWeld[[#This Row],[Total Hours Act]]*tbl_MacGyverWeld[[#This Row],['# of men Act]],"")</f>
        <v/>
      </c>
      <c r="O240"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240" s="71" t="str">
        <f>IFERROR((tbl_MacGyverWeld[[#This Row],[Adj. Total Hours]]+tbl_MacGyverWeld[[#This Row],[Est. Hours]])/(tbl_MacGyverWeld[[#This Row],[Total Hours Act]]+tbl_MacGyverWeld[[#This Row],[Act. Hours]]),"")</f>
        <v/>
      </c>
      <c r="S240" s="63"/>
      <c r="T240" s="63"/>
      <c r="U240" s="63"/>
      <c r="V240" s="63"/>
      <c r="W240" s="63"/>
      <c r="X240" s="63"/>
    </row>
    <row r="241" spans="6:24" ht="25" customHeight="1">
      <c r="F241" s="53"/>
      <c r="H241" s="55" t="e">
        <f>tbl_MacGyverWeld[[#This Row],[Qty Complete]]/tbl_MacGyverWeld[[#This Row],[Qty Required]]</f>
        <v>#DIV/0!</v>
      </c>
      <c r="K241" s="57" t="str">
        <f>IFERROR(tbl_MacGyverWeld[[#This Row],[Qty Required]]/tbl_MacGyverWeld[[#This Row],[PPH]]*tbl_MacGyverWeld[[#This Row],['# of men]],"")</f>
        <v/>
      </c>
      <c r="L241" s="58" t="e">
        <f>tbl_MacGyverWeld[[#This Row],[Total hours]]*tbl_MacGyverWeld[[#This Row],[% Complete]]</f>
        <v>#VALUE!</v>
      </c>
      <c r="M241" s="59" t="str">
        <f>IFERROR(tbl_MacGyverWeld[[#This Row],[Qty Complete]]/tbl_MacGyverWeld[[#This Row],[Total Hours Act]]*tbl_MacGyverWeld[[#This Row],['# of men Act]],"")</f>
        <v/>
      </c>
      <c r="O241"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241" s="71" t="str">
        <f>IFERROR((tbl_MacGyverWeld[[#This Row],[Adj. Total Hours]]+tbl_MacGyverWeld[[#This Row],[Est. Hours]])/(tbl_MacGyverWeld[[#This Row],[Total Hours Act]]+tbl_MacGyverWeld[[#This Row],[Act. Hours]]),"")</f>
        <v/>
      </c>
      <c r="S241" s="63"/>
      <c r="T241" s="63"/>
      <c r="U241" s="63"/>
      <c r="V241" s="63"/>
      <c r="W241" s="63"/>
      <c r="X241" s="63"/>
    </row>
    <row r="242" spans="6:24" ht="25" customHeight="1">
      <c r="F242" s="53"/>
      <c r="H242" s="55" t="e">
        <f>tbl_MacGyverWeld[[#This Row],[Qty Complete]]/tbl_MacGyverWeld[[#This Row],[Qty Required]]</f>
        <v>#DIV/0!</v>
      </c>
      <c r="K242" s="57" t="str">
        <f>IFERROR(tbl_MacGyverWeld[[#This Row],[Qty Required]]/tbl_MacGyverWeld[[#This Row],[PPH]]*tbl_MacGyverWeld[[#This Row],['# of men]],"")</f>
        <v/>
      </c>
      <c r="L242" s="58" t="e">
        <f>tbl_MacGyverWeld[[#This Row],[Total hours]]*tbl_MacGyverWeld[[#This Row],[% Complete]]</f>
        <v>#VALUE!</v>
      </c>
      <c r="M242" s="59" t="str">
        <f>IFERROR(tbl_MacGyverWeld[[#This Row],[Qty Complete]]/tbl_MacGyverWeld[[#This Row],[Total Hours Act]]*tbl_MacGyverWeld[[#This Row],['# of men Act]],"")</f>
        <v/>
      </c>
      <c r="O242"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242" s="71" t="str">
        <f>IFERROR((tbl_MacGyverWeld[[#This Row],[Adj. Total Hours]]+tbl_MacGyverWeld[[#This Row],[Est. Hours]])/(tbl_MacGyverWeld[[#This Row],[Total Hours Act]]+tbl_MacGyverWeld[[#This Row],[Act. Hours]]),"")</f>
        <v/>
      </c>
      <c r="S242" s="63"/>
      <c r="T242" s="63"/>
      <c r="U242" s="63"/>
      <c r="V242" s="63"/>
      <c r="W242" s="63"/>
      <c r="X242" s="63"/>
    </row>
    <row r="243" spans="6:24" ht="25" customHeight="1">
      <c r="F243" s="53"/>
      <c r="H243" s="55" t="e">
        <f>tbl_MacGyverWeld[[#This Row],[Qty Complete]]/tbl_MacGyverWeld[[#This Row],[Qty Required]]</f>
        <v>#DIV/0!</v>
      </c>
      <c r="K243" s="57" t="str">
        <f>IFERROR(tbl_MacGyverWeld[[#This Row],[Qty Required]]/tbl_MacGyverWeld[[#This Row],[PPH]]*tbl_MacGyverWeld[[#This Row],['# of men]],"")</f>
        <v/>
      </c>
      <c r="L243" s="58" t="e">
        <f>tbl_MacGyverWeld[[#This Row],[Total hours]]*tbl_MacGyverWeld[[#This Row],[% Complete]]</f>
        <v>#VALUE!</v>
      </c>
      <c r="M243" s="59" t="str">
        <f>IFERROR(tbl_MacGyverWeld[[#This Row],[Qty Complete]]/tbl_MacGyverWeld[[#This Row],[Total Hours Act]]*tbl_MacGyverWeld[[#This Row],['# of men Act]],"")</f>
        <v/>
      </c>
      <c r="O243"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243" s="71" t="str">
        <f>IFERROR((tbl_MacGyverWeld[[#This Row],[Adj. Total Hours]]+tbl_MacGyverWeld[[#This Row],[Est. Hours]])/(tbl_MacGyverWeld[[#This Row],[Total Hours Act]]+tbl_MacGyverWeld[[#This Row],[Act. Hours]]),"")</f>
        <v/>
      </c>
      <c r="S243" s="63"/>
      <c r="T243" s="63"/>
      <c r="U243" s="63"/>
      <c r="V243" s="63"/>
      <c r="W243" s="63"/>
      <c r="X243" s="63"/>
    </row>
    <row r="244" spans="6:24" ht="25" customHeight="1">
      <c r="F244" s="53"/>
      <c r="H244" s="55" t="e">
        <f>tbl_MacGyverWeld[[#This Row],[Qty Complete]]/tbl_MacGyverWeld[[#This Row],[Qty Required]]</f>
        <v>#DIV/0!</v>
      </c>
      <c r="K244" s="57" t="str">
        <f>IFERROR(tbl_MacGyverWeld[[#This Row],[Qty Required]]/tbl_MacGyverWeld[[#This Row],[PPH]]*tbl_MacGyverWeld[[#This Row],['# of men]],"")</f>
        <v/>
      </c>
      <c r="L244" s="58" t="e">
        <f>tbl_MacGyverWeld[[#This Row],[Total hours]]*tbl_MacGyverWeld[[#This Row],[% Complete]]</f>
        <v>#VALUE!</v>
      </c>
      <c r="M244" s="59" t="str">
        <f>IFERROR(tbl_MacGyverWeld[[#This Row],[Qty Complete]]/tbl_MacGyverWeld[[#This Row],[Total Hours Act]]*tbl_MacGyverWeld[[#This Row],['# of men Act]],"")</f>
        <v/>
      </c>
      <c r="O244"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244" s="71" t="str">
        <f>IFERROR((tbl_MacGyverWeld[[#This Row],[Adj. Total Hours]]+tbl_MacGyverWeld[[#This Row],[Est. Hours]])/(tbl_MacGyverWeld[[#This Row],[Total Hours Act]]+tbl_MacGyverWeld[[#This Row],[Act. Hours]]),"")</f>
        <v/>
      </c>
      <c r="S244" s="63"/>
      <c r="T244" s="63"/>
      <c r="U244" s="63"/>
      <c r="V244" s="63"/>
      <c r="W244" s="63"/>
      <c r="X244" s="63"/>
    </row>
    <row r="245" spans="6:24" ht="25" customHeight="1">
      <c r="F245" s="53"/>
      <c r="H245" s="55" t="e">
        <f>tbl_MacGyverWeld[[#This Row],[Qty Complete]]/tbl_MacGyverWeld[[#This Row],[Qty Required]]</f>
        <v>#DIV/0!</v>
      </c>
      <c r="K245" s="57" t="str">
        <f>IFERROR(tbl_MacGyverWeld[[#This Row],[Qty Required]]/tbl_MacGyverWeld[[#This Row],[PPH]]*tbl_MacGyverWeld[[#This Row],['# of men]],"")</f>
        <v/>
      </c>
      <c r="L245" s="58" t="e">
        <f>tbl_MacGyverWeld[[#This Row],[Total hours]]*tbl_MacGyverWeld[[#This Row],[% Complete]]</f>
        <v>#VALUE!</v>
      </c>
      <c r="M245" s="59" t="str">
        <f>IFERROR(tbl_MacGyverWeld[[#This Row],[Qty Complete]]/tbl_MacGyverWeld[[#This Row],[Total Hours Act]]*tbl_MacGyverWeld[[#This Row],['# of men Act]],"")</f>
        <v/>
      </c>
      <c r="O245"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245" s="71" t="str">
        <f>IFERROR((tbl_MacGyverWeld[[#This Row],[Adj. Total Hours]]+tbl_MacGyverWeld[[#This Row],[Est. Hours]])/(tbl_MacGyverWeld[[#This Row],[Total Hours Act]]+tbl_MacGyverWeld[[#This Row],[Act. Hours]]),"")</f>
        <v/>
      </c>
      <c r="S245" s="63"/>
      <c r="T245" s="63"/>
      <c r="U245" s="63"/>
      <c r="V245" s="63"/>
      <c r="W245" s="63"/>
      <c r="X245" s="63"/>
    </row>
    <row r="246" spans="6:24" ht="25" customHeight="1">
      <c r="F246" s="53"/>
      <c r="H246" s="55" t="e">
        <f>tbl_MacGyverWeld[[#This Row],[Qty Complete]]/tbl_MacGyverWeld[[#This Row],[Qty Required]]</f>
        <v>#DIV/0!</v>
      </c>
      <c r="K246" s="57" t="str">
        <f>IFERROR(tbl_MacGyverWeld[[#This Row],[Qty Required]]/tbl_MacGyverWeld[[#This Row],[PPH]]*tbl_MacGyverWeld[[#This Row],['# of men]],"")</f>
        <v/>
      </c>
      <c r="L246" s="58" t="e">
        <f>tbl_MacGyverWeld[[#This Row],[Total hours]]*tbl_MacGyverWeld[[#This Row],[% Complete]]</f>
        <v>#VALUE!</v>
      </c>
      <c r="M246" s="59" t="str">
        <f>IFERROR(tbl_MacGyverWeld[[#This Row],[Qty Complete]]/tbl_MacGyverWeld[[#This Row],[Total Hours Act]]*tbl_MacGyverWeld[[#This Row],['# of men Act]],"")</f>
        <v/>
      </c>
      <c r="O246"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246" s="71" t="str">
        <f>IFERROR((tbl_MacGyverWeld[[#This Row],[Adj. Total Hours]]+tbl_MacGyverWeld[[#This Row],[Est. Hours]])/(tbl_MacGyverWeld[[#This Row],[Total Hours Act]]+tbl_MacGyverWeld[[#This Row],[Act. Hours]]),"")</f>
        <v/>
      </c>
      <c r="S246" s="63"/>
      <c r="T246" s="63"/>
      <c r="U246" s="63"/>
      <c r="V246" s="63"/>
      <c r="W246" s="63"/>
      <c r="X246" s="63"/>
    </row>
    <row r="247" spans="6:24" ht="25" customHeight="1">
      <c r="F247" s="53"/>
      <c r="H247" s="55" t="e">
        <f>tbl_MacGyverWeld[[#This Row],[Qty Complete]]/tbl_MacGyverWeld[[#This Row],[Qty Required]]</f>
        <v>#DIV/0!</v>
      </c>
      <c r="K247" s="57" t="str">
        <f>IFERROR(tbl_MacGyverWeld[[#This Row],[Qty Required]]/tbl_MacGyverWeld[[#This Row],[PPH]]*tbl_MacGyverWeld[[#This Row],['# of men]],"")</f>
        <v/>
      </c>
      <c r="L247" s="58" t="e">
        <f>tbl_MacGyverWeld[[#This Row],[Total hours]]*tbl_MacGyverWeld[[#This Row],[% Complete]]</f>
        <v>#VALUE!</v>
      </c>
      <c r="M247" s="59" t="str">
        <f>IFERROR(tbl_MacGyverWeld[[#This Row],[Qty Complete]]/tbl_MacGyverWeld[[#This Row],[Total Hours Act]]*tbl_MacGyverWeld[[#This Row],['# of men Act]],"")</f>
        <v/>
      </c>
      <c r="O247"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247" s="71" t="str">
        <f>IFERROR((tbl_MacGyverWeld[[#This Row],[Adj. Total Hours]]+tbl_MacGyverWeld[[#This Row],[Est. Hours]])/(tbl_MacGyverWeld[[#This Row],[Total Hours Act]]+tbl_MacGyverWeld[[#This Row],[Act. Hours]]),"")</f>
        <v/>
      </c>
      <c r="S247" s="63"/>
      <c r="T247" s="63"/>
      <c r="U247" s="63"/>
      <c r="V247" s="63"/>
      <c r="W247" s="63"/>
      <c r="X247" s="63"/>
    </row>
    <row r="248" spans="6:24" ht="25" customHeight="1">
      <c r="F248" s="53"/>
      <c r="H248" s="55" t="e">
        <f>tbl_MacGyverWeld[[#This Row],[Qty Complete]]/tbl_MacGyverWeld[[#This Row],[Qty Required]]</f>
        <v>#DIV/0!</v>
      </c>
      <c r="K248" s="57" t="str">
        <f>IFERROR(tbl_MacGyverWeld[[#This Row],[Qty Required]]/tbl_MacGyverWeld[[#This Row],[PPH]]*tbl_MacGyverWeld[[#This Row],['# of men]],"")</f>
        <v/>
      </c>
      <c r="L248" s="58" t="e">
        <f>tbl_MacGyverWeld[[#This Row],[Total hours]]*tbl_MacGyverWeld[[#This Row],[% Complete]]</f>
        <v>#VALUE!</v>
      </c>
      <c r="M248" s="59" t="str">
        <f>IFERROR(tbl_MacGyverWeld[[#This Row],[Qty Complete]]/tbl_MacGyverWeld[[#This Row],[Total Hours Act]]*tbl_MacGyverWeld[[#This Row],['# of men Act]],"")</f>
        <v/>
      </c>
      <c r="O248"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248" s="71" t="str">
        <f>IFERROR((tbl_MacGyverWeld[[#This Row],[Adj. Total Hours]]+tbl_MacGyverWeld[[#This Row],[Est. Hours]])/(tbl_MacGyverWeld[[#This Row],[Total Hours Act]]+tbl_MacGyverWeld[[#This Row],[Act. Hours]]),"")</f>
        <v/>
      </c>
      <c r="S248" s="63"/>
      <c r="T248" s="63"/>
      <c r="U248" s="63"/>
      <c r="V248" s="63"/>
      <c r="W248" s="63"/>
      <c r="X248" s="63"/>
    </row>
    <row r="249" spans="6:24" ht="25" customHeight="1">
      <c r="F249" s="53"/>
      <c r="H249" s="55" t="e">
        <f>tbl_MacGyverWeld[[#This Row],[Qty Complete]]/tbl_MacGyverWeld[[#This Row],[Qty Required]]</f>
        <v>#DIV/0!</v>
      </c>
      <c r="K249" s="57" t="str">
        <f>IFERROR(tbl_MacGyverWeld[[#This Row],[Qty Required]]/tbl_MacGyverWeld[[#This Row],[PPH]]*tbl_MacGyverWeld[[#This Row],['# of men]],"")</f>
        <v/>
      </c>
      <c r="L249" s="58" t="e">
        <f>tbl_MacGyverWeld[[#This Row],[Total hours]]*tbl_MacGyverWeld[[#This Row],[% Complete]]</f>
        <v>#VALUE!</v>
      </c>
      <c r="M249" s="59" t="str">
        <f>IFERROR(tbl_MacGyverWeld[[#This Row],[Qty Complete]]/tbl_MacGyverWeld[[#This Row],[Total Hours Act]]*tbl_MacGyverWeld[[#This Row],['# of men Act]],"")</f>
        <v/>
      </c>
      <c r="O249"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249" s="71" t="str">
        <f>IFERROR((tbl_MacGyverWeld[[#This Row],[Adj. Total Hours]]+tbl_MacGyverWeld[[#This Row],[Est. Hours]])/(tbl_MacGyverWeld[[#This Row],[Total Hours Act]]+tbl_MacGyverWeld[[#This Row],[Act. Hours]]),"")</f>
        <v/>
      </c>
      <c r="S249" s="63"/>
      <c r="T249" s="63"/>
      <c r="U249" s="63"/>
      <c r="V249" s="63"/>
      <c r="W249" s="63"/>
      <c r="X249" s="63"/>
    </row>
    <row r="250" spans="6:24" ht="25" customHeight="1">
      <c r="F250" s="53"/>
      <c r="H250" s="55" t="e">
        <f>tbl_MacGyverWeld[[#This Row],[Qty Complete]]/tbl_MacGyverWeld[[#This Row],[Qty Required]]</f>
        <v>#DIV/0!</v>
      </c>
      <c r="K250" s="57" t="str">
        <f>IFERROR(tbl_MacGyverWeld[[#This Row],[Qty Required]]/tbl_MacGyverWeld[[#This Row],[PPH]]*tbl_MacGyverWeld[[#This Row],['# of men]],"")</f>
        <v/>
      </c>
      <c r="L250" s="58" t="e">
        <f>tbl_MacGyverWeld[[#This Row],[Total hours]]*tbl_MacGyverWeld[[#This Row],[% Complete]]</f>
        <v>#VALUE!</v>
      </c>
      <c r="M250" s="59" t="str">
        <f>IFERROR(tbl_MacGyverWeld[[#This Row],[Qty Complete]]/tbl_MacGyverWeld[[#This Row],[Total Hours Act]]*tbl_MacGyverWeld[[#This Row],['# of men Act]],"")</f>
        <v/>
      </c>
      <c r="O250" s="60">
        <f>(MOD(tbl_MacGyverWeld[[#This Row],[End Time]]-tbl_MacGyverWeld[[#This Row],[Start Time]],1)*24*tbl_MacGyverWeld[[#This Row],['# of men Act]])-
(
IF(AND(tbl_MacGyverWeld[[#This Row],[Start Time]]&lt;=Data!$B$2+(Data!$B$2&lt;tbl_MacGyverWeld[[#This Row],[Start Time]]),tbl_MacGyverWeld[[#This Row],[Start Time]]+MOD(tbl_MacGyverWeld[[#This Row],[End Time]]-tbl_MacGyverWeld[[#This Row],[Start Time]],1)&gt;=Data!$C$2+(Data!$C$2&lt;tbl_MacGyverWeld[[#This Row],[Start Time]])),0.5*tbl_MacGyverWeld[[#This Row],['# of men Act]],0)
+
IF(AND(tbl_MacGyverWeld[[#This Row],[Start Time]]&lt;=Data!$B$3+(Data!$B$3&lt;tbl_MacGyverWeld[[#This Row],[Start Time]]),tbl_MacGyverWeld[[#This Row],[Start Time]]+MOD(tbl_MacGyverWeld[[#This Row],[End Time]]-tbl_MacGyverWeld[[#This Row],[Start Time]],1)&gt;=Data!$C$3+(Data!$C$3&lt;tbl_MacGyverWeld[[#This Row],[Start Time]])),0.5*tbl_MacGyverWeld[[#This Row],['# of men Act]],0)
)</f>
        <v>0</v>
      </c>
      <c r="R250" s="71" t="str">
        <f>IFERROR((tbl_MacGyverWeld[[#This Row],[Adj. Total Hours]]+tbl_MacGyverWeld[[#This Row],[Est. Hours]])/(tbl_MacGyverWeld[[#This Row],[Total Hours Act]]+tbl_MacGyverWeld[[#This Row],[Act. Hours]]),"")</f>
        <v/>
      </c>
      <c r="S250" s="63"/>
      <c r="T250" s="63"/>
      <c r="U250" s="63"/>
      <c r="V250" s="63"/>
      <c r="W250" s="63"/>
      <c r="X250" s="63"/>
    </row>
  </sheetData>
  <sheetProtection sheet="1" objects="1" scenarios="1"/>
  <protectedRanges>
    <protectedRange sqref="A1:G1048576 I1:J1048576 N1:N1048576 P1:Q1048576 U8:V8 S1:S1048576 W1:X1048576 T1:V7 U18:V18 T9:V17 T19:V1048576" name="Range1"/>
  </protectedRanges>
  <mergeCells count="1">
    <mergeCell ref="P1:Q1"/>
  </mergeCells>
  <conditionalFormatting sqref="R3:R3852">
    <cfRule type="expression" dxfId="17" priority="1">
      <formula>AND(R3&gt;0.85,R3&lt;&gt;"")</formula>
    </cfRule>
    <cfRule type="expression" dxfId="16" priority="2">
      <formula>AND(R3&gt;=0.7,R3&lt;=0.85,R3&lt;&gt;"")</formula>
    </cfRule>
    <cfRule type="expression" dxfId="15" priority="3">
      <formula>AND(R3&lt;0.7,R3&lt;&gt;"")</formula>
    </cfRule>
  </conditionalFormatting>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127B0-71D7-419B-A699-5C68F21F707D}">
  <dimension ref="A1:W250"/>
  <sheetViews>
    <sheetView workbookViewId="0">
      <pane ySplit="2" topLeftCell="A3" activePane="bottomLeft" state="frozen"/>
      <selection pane="bottomLeft" activeCell="A3" sqref="A3"/>
    </sheetView>
  </sheetViews>
  <sheetFormatPr defaultColWidth="9.1796875" defaultRowHeight="25" customHeight="1"/>
  <cols>
    <col min="1" max="1" width="11.54296875" style="52" customWidth="1"/>
    <col min="2" max="2" width="13.1796875" style="53" customWidth="1"/>
    <col min="3" max="3" width="14.1796875" style="53" customWidth="1"/>
    <col min="4" max="4" width="15.54296875" style="54" bestFit="1" customWidth="1"/>
    <col min="5" max="5" width="14.7265625" style="54" bestFit="1" customWidth="1"/>
    <col min="6" max="6" width="18.26953125" style="54" bestFit="1" customWidth="1"/>
    <col min="7" max="7" width="19" style="53" bestFit="1" customWidth="1"/>
    <col min="8" max="8" width="19" style="53" hidden="1" customWidth="1"/>
    <col min="9" max="9" width="10.1796875" style="56" bestFit="1" customWidth="1"/>
    <col min="10" max="10" width="14" style="53" bestFit="1" customWidth="1"/>
    <col min="11" max="11" width="16.453125" style="66" bestFit="1" customWidth="1"/>
    <col min="12" max="12" width="16.453125" style="47" hidden="1" customWidth="1"/>
    <col min="13" max="13" width="13.453125" style="67" bestFit="1" customWidth="1"/>
    <col min="14" max="14" width="17.26953125" style="53" bestFit="1" customWidth="1"/>
    <col min="15" max="15" width="20.1796875" style="68" bestFit="1" customWidth="1"/>
    <col min="16" max="17" width="15.7265625" style="61" bestFit="1" customWidth="1"/>
    <col min="18" max="18" width="15.1796875" style="69" bestFit="1" customWidth="1"/>
    <col min="19" max="19" width="55.26953125" style="53" customWidth="1"/>
    <col min="20" max="23" width="16.81640625" style="53" bestFit="1" customWidth="1"/>
    <col min="24" max="16384" width="9.1796875" style="47"/>
  </cols>
  <sheetData>
    <row r="1" spans="1:23" ht="47.25" customHeight="1" thickBot="1">
      <c r="A1" s="8"/>
      <c r="B1" s="7"/>
      <c r="C1" s="7"/>
      <c r="D1" s="9"/>
      <c r="E1" s="9"/>
      <c r="F1" s="9"/>
      <c r="G1" s="7"/>
      <c r="H1" s="7"/>
      <c r="I1" s="13"/>
      <c r="J1" s="40" t="s">
        <v>0</v>
      </c>
      <c r="K1" s="46"/>
      <c r="L1" s="46"/>
      <c r="M1" s="4"/>
      <c r="N1" s="41" t="s">
        <v>1</v>
      </c>
      <c r="O1" s="5"/>
      <c r="P1" s="113" t="s">
        <v>2</v>
      </c>
      <c r="Q1" s="114"/>
      <c r="R1" s="39" t="s">
        <v>3</v>
      </c>
      <c r="S1" s="7"/>
      <c r="T1" s="7"/>
      <c r="U1" s="7"/>
      <c r="V1" s="7"/>
      <c r="W1" s="7"/>
    </row>
    <row r="2" spans="1:23" ht="17.5" thickTop="1">
      <c r="A2" s="10" t="s">
        <v>4</v>
      </c>
      <c r="B2" s="6" t="s">
        <v>5</v>
      </c>
      <c r="C2" s="6" t="s">
        <v>7</v>
      </c>
      <c r="D2" s="11" t="s">
        <v>8</v>
      </c>
      <c r="E2" s="11" t="s">
        <v>9</v>
      </c>
      <c r="F2" s="11" t="s">
        <v>10</v>
      </c>
      <c r="G2" s="6" t="s">
        <v>11</v>
      </c>
      <c r="H2" s="48" t="s">
        <v>12</v>
      </c>
      <c r="I2" s="12" t="s">
        <v>13</v>
      </c>
      <c r="J2" s="6" t="s">
        <v>14</v>
      </c>
      <c r="K2" s="49" t="s">
        <v>15</v>
      </c>
      <c r="L2" s="50" t="s">
        <v>16</v>
      </c>
      <c r="M2" s="2" t="s">
        <v>21</v>
      </c>
      <c r="N2" s="6" t="s">
        <v>22</v>
      </c>
      <c r="O2" s="3" t="s">
        <v>23</v>
      </c>
      <c r="P2" s="25" t="s">
        <v>25</v>
      </c>
      <c r="Q2" s="25" t="s">
        <v>26</v>
      </c>
      <c r="R2" s="51" t="s">
        <v>27</v>
      </c>
      <c r="S2" s="6" t="s">
        <v>31</v>
      </c>
      <c r="T2" s="6" t="s">
        <v>32</v>
      </c>
      <c r="U2" s="6" t="s">
        <v>33</v>
      </c>
      <c r="V2" s="6" t="s">
        <v>34</v>
      </c>
      <c r="W2" s="6" t="s">
        <v>35</v>
      </c>
    </row>
    <row r="3" spans="1:23" ht="25" customHeight="1">
      <c r="A3" s="52">
        <v>46126</v>
      </c>
      <c r="B3" s="53" t="s">
        <v>337</v>
      </c>
      <c r="C3" s="53" t="s">
        <v>338</v>
      </c>
      <c r="D3" s="54">
        <v>0.60416666666666663</v>
      </c>
      <c r="E3" s="54">
        <v>0.6875</v>
      </c>
      <c r="F3" s="53">
        <v>800</v>
      </c>
      <c r="G3" s="53">
        <v>170</v>
      </c>
      <c r="H3" s="55">
        <f>tbl_Grind[[#This Row],[Qty Complete]]/tbl_Grind[[#This Row],[Qty Required]]</f>
        <v>0.21249999999999999</v>
      </c>
      <c r="I3" s="56">
        <v>120</v>
      </c>
      <c r="J3" s="53">
        <v>1</v>
      </c>
      <c r="K3" s="57">
        <f>IFERROR(tbl_Grind[[#This Row],[Qty Required]]/tbl_Grind[[#This Row],[PPH]]*tbl_Grind[[#This Row],['# of men]],"")</f>
        <v>6.666666666666667</v>
      </c>
      <c r="L3" s="58">
        <f>tbl_Grind[[#This Row],[Total hours]]*tbl_Grind[[#This Row],[% Complete]]</f>
        <v>1.4166666666666667</v>
      </c>
      <c r="M3" s="59">
        <f>IFERROR(tbl_Grind[[#This Row],[Qty Complete]]/tbl_Grind[[#This Row],[Total Hours Act]]*tbl_Grind[[#This Row],['# of men Act]],"")</f>
        <v>84.999999999999957</v>
      </c>
      <c r="N3" s="53">
        <v>1</v>
      </c>
      <c r="O3"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2.0000000000000009</v>
      </c>
      <c r="R3" s="62">
        <f>IFERROR((tbl_Grind[[#This Row],[Adj. Total Hours]]+tbl_Grind[[#This Row],[Est. Hours]])/(tbl_Grind[[#This Row],[Total Hours Act]]+tbl_Grind[[#This Row],[Act. Hours]]),"")</f>
        <v>0.70833333333333304</v>
      </c>
      <c r="S3" s="63" t="s">
        <v>710</v>
      </c>
      <c r="T3" s="64"/>
      <c r="U3" s="65"/>
      <c r="V3" s="63"/>
      <c r="W3" s="63"/>
    </row>
    <row r="4" spans="1:23" ht="25" customHeight="1">
      <c r="F4" s="53"/>
      <c r="H4" s="55" t="e">
        <f>tbl_Grind[[#This Row],[Qty Complete]]/tbl_Grind[[#This Row],[Qty Required]]</f>
        <v>#DIV/0!</v>
      </c>
      <c r="K4" s="57" t="str">
        <f>IFERROR(tbl_Grind[[#This Row],[Qty Required]]/tbl_Grind[[#This Row],[PPH]]*tbl_Grind[[#This Row],['# of men]],"")</f>
        <v/>
      </c>
      <c r="L4" s="58" t="e">
        <f>tbl_Grind[[#This Row],[Total hours]]*tbl_Grind[[#This Row],[% Complete]]</f>
        <v>#VALUE!</v>
      </c>
      <c r="M4" s="59" t="str">
        <f>IFERROR(tbl_Grind[[#This Row],[Qty Complete]]/tbl_Grind[[#This Row],[Total Hours Act]]*tbl_Grind[[#This Row],['# of men Act]],"")</f>
        <v/>
      </c>
      <c r="O4"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4" s="71" t="str">
        <f>IFERROR((tbl_Grind[[#This Row],[Adj. Total Hours]]+tbl_Grind[[#This Row],[Est. Hours]])/(tbl_Grind[[#This Row],[Total Hours Act]]+tbl_Grind[[#This Row],[Act. Hours]]),"")</f>
        <v/>
      </c>
      <c r="S4" s="63"/>
      <c r="T4" s="63"/>
      <c r="U4" s="63"/>
      <c r="V4" s="63"/>
      <c r="W4" s="63"/>
    </row>
    <row r="5" spans="1:23" ht="25" customHeight="1">
      <c r="F5" s="53"/>
      <c r="H5" s="55" t="e">
        <f>tbl_Grind[[#This Row],[Qty Complete]]/tbl_Grind[[#This Row],[Qty Required]]</f>
        <v>#DIV/0!</v>
      </c>
      <c r="K5" s="57" t="str">
        <f>IFERROR(tbl_Grind[[#This Row],[Qty Required]]/tbl_Grind[[#This Row],[PPH]]*tbl_Grind[[#This Row],['# of men]],"")</f>
        <v/>
      </c>
      <c r="L5" s="58" t="e">
        <f>tbl_Grind[[#This Row],[Total hours]]*tbl_Grind[[#This Row],[% Complete]]</f>
        <v>#VALUE!</v>
      </c>
      <c r="M5" s="59" t="str">
        <f>IFERROR(tbl_Grind[[#This Row],[Qty Complete]]/tbl_Grind[[#This Row],[Total Hours Act]]*tbl_Grind[[#This Row],['# of men Act]],"")</f>
        <v/>
      </c>
      <c r="O5"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5" s="71" t="str">
        <f>IFERROR((tbl_Grind[[#This Row],[Adj. Total Hours]]+tbl_Grind[[#This Row],[Est. Hours]])/(tbl_Grind[[#This Row],[Total Hours Act]]+tbl_Grind[[#This Row],[Act. Hours]]),"")</f>
        <v/>
      </c>
      <c r="S5" s="63"/>
      <c r="T5" s="63"/>
      <c r="U5" s="63"/>
      <c r="V5" s="63"/>
      <c r="W5" s="63"/>
    </row>
    <row r="6" spans="1:23" ht="25" customHeight="1">
      <c r="F6" s="53"/>
      <c r="H6" s="55" t="e">
        <f>tbl_Grind[[#This Row],[Qty Complete]]/tbl_Grind[[#This Row],[Qty Required]]</f>
        <v>#DIV/0!</v>
      </c>
      <c r="K6" s="57" t="str">
        <f>IFERROR(tbl_Grind[[#This Row],[Qty Required]]/tbl_Grind[[#This Row],[PPH]]*tbl_Grind[[#This Row],['# of men]],"")</f>
        <v/>
      </c>
      <c r="L6" s="58" t="e">
        <f>tbl_Grind[[#This Row],[Total hours]]*tbl_Grind[[#This Row],[% Complete]]</f>
        <v>#VALUE!</v>
      </c>
      <c r="M6" s="59" t="str">
        <f>IFERROR(tbl_Grind[[#This Row],[Qty Complete]]/tbl_Grind[[#This Row],[Total Hours Act]]*tbl_Grind[[#This Row],['# of men Act]],"")</f>
        <v/>
      </c>
      <c r="O6"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6" s="71" t="str">
        <f>IFERROR((tbl_Grind[[#This Row],[Adj. Total Hours]]+tbl_Grind[[#This Row],[Est. Hours]])/(tbl_Grind[[#This Row],[Total Hours Act]]+tbl_Grind[[#This Row],[Act. Hours]]),"")</f>
        <v/>
      </c>
      <c r="S6" s="63"/>
      <c r="T6" s="63"/>
      <c r="U6" s="63"/>
      <c r="V6" s="63"/>
      <c r="W6" s="63"/>
    </row>
    <row r="7" spans="1:23" ht="25" customHeight="1">
      <c r="F7" s="53"/>
      <c r="H7" s="55" t="e">
        <f>tbl_Grind[[#This Row],[Qty Complete]]/tbl_Grind[[#This Row],[Qty Required]]</f>
        <v>#DIV/0!</v>
      </c>
      <c r="K7" s="57" t="str">
        <f>IFERROR(tbl_Grind[[#This Row],[Qty Required]]/tbl_Grind[[#This Row],[PPH]]*tbl_Grind[[#This Row],['# of men]],"")</f>
        <v/>
      </c>
      <c r="L7" s="58" t="e">
        <f>tbl_Grind[[#This Row],[Total hours]]*tbl_Grind[[#This Row],[% Complete]]</f>
        <v>#VALUE!</v>
      </c>
      <c r="M7" s="59" t="str">
        <f>IFERROR(tbl_Grind[[#This Row],[Qty Complete]]/tbl_Grind[[#This Row],[Total Hours Act]]*tbl_Grind[[#This Row],['# of men Act]],"")</f>
        <v/>
      </c>
      <c r="O7"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7" s="71" t="str">
        <f>IFERROR((tbl_Grind[[#This Row],[Adj. Total Hours]]+tbl_Grind[[#This Row],[Est. Hours]])/(tbl_Grind[[#This Row],[Total Hours Act]]+tbl_Grind[[#This Row],[Act. Hours]]),"")</f>
        <v/>
      </c>
      <c r="S7" s="63"/>
      <c r="T7" s="63"/>
      <c r="U7" s="63"/>
      <c r="V7" s="63"/>
      <c r="W7" s="63"/>
    </row>
    <row r="8" spans="1:23" ht="25" customHeight="1">
      <c r="F8" s="53"/>
      <c r="H8" s="55" t="e">
        <f>tbl_Grind[[#This Row],[Qty Complete]]/tbl_Grind[[#This Row],[Qty Required]]</f>
        <v>#DIV/0!</v>
      </c>
      <c r="K8" s="57" t="str">
        <f>IFERROR(tbl_Grind[[#This Row],[Qty Required]]/tbl_Grind[[#This Row],[PPH]]*tbl_Grind[[#This Row],['# of men]],"")</f>
        <v/>
      </c>
      <c r="L8" s="58" t="e">
        <f>tbl_Grind[[#This Row],[Total hours]]*tbl_Grind[[#This Row],[% Complete]]</f>
        <v>#VALUE!</v>
      </c>
      <c r="M8" s="59" t="str">
        <f>IFERROR(tbl_Grind[[#This Row],[Qty Complete]]/tbl_Grind[[#This Row],[Total Hours Act]]*tbl_Grind[[#This Row],['# of men Act]],"")</f>
        <v/>
      </c>
      <c r="O8"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8" s="71" t="str">
        <f>IFERROR((tbl_Grind[[#This Row],[Adj. Total Hours]]+tbl_Grind[[#This Row],[Est. Hours]])/(tbl_Grind[[#This Row],[Total Hours Act]]+tbl_Grind[[#This Row],[Act. Hours]]),"")</f>
        <v/>
      </c>
      <c r="S8" s="63"/>
      <c r="T8" s="63"/>
      <c r="U8" s="63"/>
      <c r="V8" s="63"/>
      <c r="W8" s="63"/>
    </row>
    <row r="9" spans="1:23" ht="25" customHeight="1">
      <c r="F9" s="53"/>
      <c r="H9" s="55" t="e">
        <f>tbl_Grind[[#This Row],[Qty Complete]]/tbl_Grind[[#This Row],[Qty Required]]</f>
        <v>#DIV/0!</v>
      </c>
      <c r="K9" s="57" t="str">
        <f>IFERROR(tbl_Grind[[#This Row],[Qty Required]]/tbl_Grind[[#This Row],[PPH]]*tbl_Grind[[#This Row],['# of men]],"")</f>
        <v/>
      </c>
      <c r="L9" s="58" t="e">
        <f>tbl_Grind[[#This Row],[Total hours]]*tbl_Grind[[#This Row],[% Complete]]</f>
        <v>#VALUE!</v>
      </c>
      <c r="M9" s="59" t="str">
        <f>IFERROR(tbl_Grind[[#This Row],[Qty Complete]]/tbl_Grind[[#This Row],[Total Hours Act]]*tbl_Grind[[#This Row],['# of men Act]],"")</f>
        <v/>
      </c>
      <c r="O9"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9" s="71" t="str">
        <f>IFERROR((tbl_Grind[[#This Row],[Adj. Total Hours]]+tbl_Grind[[#This Row],[Est. Hours]])/(tbl_Grind[[#This Row],[Total Hours Act]]+tbl_Grind[[#This Row],[Act. Hours]]),"")</f>
        <v/>
      </c>
      <c r="S9" s="63"/>
      <c r="T9" s="63"/>
      <c r="U9" s="63"/>
      <c r="V9" s="63"/>
      <c r="W9" s="63"/>
    </row>
    <row r="10" spans="1:23" ht="25" customHeight="1">
      <c r="F10" s="53"/>
      <c r="H10" s="55" t="e">
        <f>tbl_Grind[[#This Row],[Qty Complete]]/tbl_Grind[[#This Row],[Qty Required]]</f>
        <v>#DIV/0!</v>
      </c>
      <c r="K10" s="57" t="str">
        <f>IFERROR(tbl_Grind[[#This Row],[Qty Required]]/tbl_Grind[[#This Row],[PPH]]*tbl_Grind[[#This Row],['# of men]],"")</f>
        <v/>
      </c>
      <c r="L10" s="58" t="e">
        <f>tbl_Grind[[#This Row],[Total hours]]*tbl_Grind[[#This Row],[% Complete]]</f>
        <v>#VALUE!</v>
      </c>
      <c r="M10" s="59" t="str">
        <f>IFERROR(tbl_Grind[[#This Row],[Qty Complete]]/tbl_Grind[[#This Row],[Total Hours Act]]*tbl_Grind[[#This Row],['# of men Act]],"")</f>
        <v/>
      </c>
      <c r="O10"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0" s="71" t="str">
        <f>IFERROR((tbl_Grind[[#This Row],[Adj. Total Hours]]+tbl_Grind[[#This Row],[Est. Hours]])/(tbl_Grind[[#This Row],[Total Hours Act]]+tbl_Grind[[#This Row],[Act. Hours]]),"")</f>
        <v/>
      </c>
      <c r="S10" s="63"/>
      <c r="T10" s="63"/>
      <c r="U10" s="63"/>
      <c r="V10" s="63"/>
      <c r="W10" s="63"/>
    </row>
    <row r="11" spans="1:23" ht="25" customHeight="1">
      <c r="F11" s="53"/>
      <c r="H11" s="55" t="e">
        <f>tbl_Grind[[#This Row],[Qty Complete]]/tbl_Grind[[#This Row],[Qty Required]]</f>
        <v>#DIV/0!</v>
      </c>
      <c r="K11" s="57" t="str">
        <f>IFERROR(tbl_Grind[[#This Row],[Qty Required]]/tbl_Grind[[#This Row],[PPH]]*tbl_Grind[[#This Row],['# of men]],"")</f>
        <v/>
      </c>
      <c r="L11" s="58" t="e">
        <f>tbl_Grind[[#This Row],[Total hours]]*tbl_Grind[[#This Row],[% Complete]]</f>
        <v>#VALUE!</v>
      </c>
      <c r="M11" s="59" t="str">
        <f>IFERROR(tbl_Grind[[#This Row],[Qty Complete]]/tbl_Grind[[#This Row],[Total Hours Act]]*tbl_Grind[[#This Row],['# of men Act]],"")</f>
        <v/>
      </c>
      <c r="O11"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1" s="71" t="str">
        <f>IFERROR((tbl_Grind[[#This Row],[Adj. Total Hours]]+tbl_Grind[[#This Row],[Est. Hours]])/(tbl_Grind[[#This Row],[Total Hours Act]]+tbl_Grind[[#This Row],[Act. Hours]]),"")</f>
        <v/>
      </c>
      <c r="S11" s="63"/>
      <c r="T11" s="63"/>
      <c r="U11" s="63"/>
      <c r="V11" s="63"/>
      <c r="W11" s="63"/>
    </row>
    <row r="12" spans="1:23" ht="25" customHeight="1">
      <c r="F12" s="53"/>
      <c r="H12" s="55" t="e">
        <f>tbl_Grind[[#This Row],[Qty Complete]]/tbl_Grind[[#This Row],[Qty Required]]</f>
        <v>#DIV/0!</v>
      </c>
      <c r="K12" s="57" t="str">
        <f>IFERROR(tbl_Grind[[#This Row],[Qty Required]]/tbl_Grind[[#This Row],[PPH]]*tbl_Grind[[#This Row],['# of men]],"")</f>
        <v/>
      </c>
      <c r="L12" s="58" t="e">
        <f>tbl_Grind[[#This Row],[Total hours]]*tbl_Grind[[#This Row],[% Complete]]</f>
        <v>#VALUE!</v>
      </c>
      <c r="M12" s="59" t="str">
        <f>IFERROR(tbl_Grind[[#This Row],[Qty Complete]]/tbl_Grind[[#This Row],[Total Hours Act]]*tbl_Grind[[#This Row],['# of men Act]],"")</f>
        <v/>
      </c>
      <c r="O12"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2" s="71" t="str">
        <f>IFERROR((tbl_Grind[[#This Row],[Adj. Total Hours]]+tbl_Grind[[#This Row],[Est. Hours]])/(tbl_Grind[[#This Row],[Total Hours Act]]+tbl_Grind[[#This Row],[Act. Hours]]),"")</f>
        <v/>
      </c>
      <c r="S12" s="63"/>
      <c r="T12" s="63"/>
      <c r="U12" s="63"/>
      <c r="V12" s="63"/>
      <c r="W12" s="63"/>
    </row>
    <row r="13" spans="1:23" ht="25" customHeight="1">
      <c r="F13" s="53"/>
      <c r="H13" s="55" t="e">
        <f>tbl_Grind[[#This Row],[Qty Complete]]/tbl_Grind[[#This Row],[Qty Required]]</f>
        <v>#DIV/0!</v>
      </c>
      <c r="K13" s="57" t="str">
        <f>IFERROR(tbl_Grind[[#This Row],[Qty Required]]/tbl_Grind[[#This Row],[PPH]]*tbl_Grind[[#This Row],['# of men]],"")</f>
        <v/>
      </c>
      <c r="L13" s="58" t="e">
        <f>tbl_Grind[[#This Row],[Total hours]]*tbl_Grind[[#This Row],[% Complete]]</f>
        <v>#VALUE!</v>
      </c>
      <c r="M13" s="59" t="str">
        <f>IFERROR(tbl_Grind[[#This Row],[Qty Complete]]/tbl_Grind[[#This Row],[Total Hours Act]]*tbl_Grind[[#This Row],['# of men Act]],"")</f>
        <v/>
      </c>
      <c r="O13"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3" s="71" t="str">
        <f>IFERROR((tbl_Grind[[#This Row],[Adj. Total Hours]]+tbl_Grind[[#This Row],[Est. Hours]])/(tbl_Grind[[#This Row],[Total Hours Act]]+tbl_Grind[[#This Row],[Act. Hours]]),"")</f>
        <v/>
      </c>
      <c r="S13" s="63"/>
      <c r="T13" s="63"/>
      <c r="U13" s="63"/>
      <c r="V13" s="63"/>
      <c r="W13" s="63"/>
    </row>
    <row r="14" spans="1:23" ht="25" customHeight="1">
      <c r="F14" s="53"/>
      <c r="H14" s="55" t="e">
        <f>tbl_Grind[[#This Row],[Qty Complete]]/tbl_Grind[[#This Row],[Qty Required]]</f>
        <v>#DIV/0!</v>
      </c>
      <c r="K14" s="57" t="str">
        <f>IFERROR(tbl_Grind[[#This Row],[Qty Required]]/tbl_Grind[[#This Row],[PPH]]*tbl_Grind[[#This Row],['# of men]],"")</f>
        <v/>
      </c>
      <c r="L14" s="58" t="e">
        <f>tbl_Grind[[#This Row],[Total hours]]*tbl_Grind[[#This Row],[% Complete]]</f>
        <v>#VALUE!</v>
      </c>
      <c r="M14" s="59" t="str">
        <f>IFERROR(tbl_Grind[[#This Row],[Qty Complete]]/tbl_Grind[[#This Row],[Total Hours Act]]*tbl_Grind[[#This Row],['# of men Act]],"")</f>
        <v/>
      </c>
      <c r="O14"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4" s="71" t="str">
        <f>IFERROR((tbl_Grind[[#This Row],[Adj. Total Hours]]+tbl_Grind[[#This Row],[Est. Hours]])/(tbl_Grind[[#This Row],[Total Hours Act]]+tbl_Grind[[#This Row],[Act. Hours]]),"")</f>
        <v/>
      </c>
      <c r="S14" s="63"/>
      <c r="T14" s="63"/>
      <c r="U14" s="63"/>
      <c r="V14" s="63"/>
      <c r="W14" s="63"/>
    </row>
    <row r="15" spans="1:23" ht="25" customHeight="1">
      <c r="F15" s="53"/>
      <c r="H15" s="55" t="e">
        <f>tbl_Grind[[#This Row],[Qty Complete]]/tbl_Grind[[#This Row],[Qty Required]]</f>
        <v>#DIV/0!</v>
      </c>
      <c r="K15" s="57" t="str">
        <f>IFERROR(tbl_Grind[[#This Row],[Qty Required]]/tbl_Grind[[#This Row],[PPH]]*tbl_Grind[[#This Row],['# of men]],"")</f>
        <v/>
      </c>
      <c r="L15" s="58" t="e">
        <f>tbl_Grind[[#This Row],[Total hours]]*tbl_Grind[[#This Row],[% Complete]]</f>
        <v>#VALUE!</v>
      </c>
      <c r="M15" s="59" t="str">
        <f>IFERROR(tbl_Grind[[#This Row],[Qty Complete]]/tbl_Grind[[#This Row],[Total Hours Act]]*tbl_Grind[[#This Row],['# of men Act]],"")</f>
        <v/>
      </c>
      <c r="O15"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5" s="71" t="str">
        <f>IFERROR((tbl_Grind[[#This Row],[Adj. Total Hours]]+tbl_Grind[[#This Row],[Est. Hours]])/(tbl_Grind[[#This Row],[Total Hours Act]]+tbl_Grind[[#This Row],[Act. Hours]]),"")</f>
        <v/>
      </c>
      <c r="S15" s="63"/>
      <c r="T15" s="63"/>
      <c r="U15" s="63"/>
      <c r="V15" s="63"/>
      <c r="W15" s="63"/>
    </row>
    <row r="16" spans="1:23" ht="25" customHeight="1">
      <c r="F16" s="53"/>
      <c r="H16" s="55" t="e">
        <f>tbl_Grind[[#This Row],[Qty Complete]]/tbl_Grind[[#This Row],[Qty Required]]</f>
        <v>#DIV/0!</v>
      </c>
      <c r="K16" s="57" t="str">
        <f>IFERROR(tbl_Grind[[#This Row],[Qty Required]]/tbl_Grind[[#This Row],[PPH]]*tbl_Grind[[#This Row],['# of men]],"")</f>
        <v/>
      </c>
      <c r="L16" s="58" t="e">
        <f>tbl_Grind[[#This Row],[Total hours]]*tbl_Grind[[#This Row],[% Complete]]</f>
        <v>#VALUE!</v>
      </c>
      <c r="M16" s="59" t="str">
        <f>IFERROR(tbl_Grind[[#This Row],[Qty Complete]]/tbl_Grind[[#This Row],[Total Hours Act]]*tbl_Grind[[#This Row],['# of men Act]],"")</f>
        <v/>
      </c>
      <c r="O16"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6" s="71" t="str">
        <f>IFERROR((tbl_Grind[[#This Row],[Adj. Total Hours]]+tbl_Grind[[#This Row],[Est. Hours]])/(tbl_Grind[[#This Row],[Total Hours Act]]+tbl_Grind[[#This Row],[Act. Hours]]),"")</f>
        <v/>
      </c>
      <c r="S16" s="63"/>
      <c r="T16" s="63"/>
      <c r="U16" s="63"/>
      <c r="V16" s="63"/>
      <c r="W16" s="63"/>
    </row>
    <row r="17" spans="6:23" ht="25" customHeight="1">
      <c r="F17" s="53"/>
      <c r="H17" s="55" t="e">
        <f>tbl_Grind[[#This Row],[Qty Complete]]/tbl_Grind[[#This Row],[Qty Required]]</f>
        <v>#DIV/0!</v>
      </c>
      <c r="K17" s="57" t="str">
        <f>IFERROR(tbl_Grind[[#This Row],[Qty Required]]/tbl_Grind[[#This Row],[PPH]]*tbl_Grind[[#This Row],['# of men]],"")</f>
        <v/>
      </c>
      <c r="L17" s="58" t="e">
        <f>tbl_Grind[[#This Row],[Total hours]]*tbl_Grind[[#This Row],[% Complete]]</f>
        <v>#VALUE!</v>
      </c>
      <c r="M17" s="59" t="str">
        <f>IFERROR(tbl_Grind[[#This Row],[Qty Complete]]/tbl_Grind[[#This Row],[Total Hours Act]]*tbl_Grind[[#This Row],['# of men Act]],"")</f>
        <v/>
      </c>
      <c r="O17"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7" s="71" t="str">
        <f>IFERROR((tbl_Grind[[#This Row],[Adj. Total Hours]]+tbl_Grind[[#This Row],[Est. Hours]])/(tbl_Grind[[#This Row],[Total Hours Act]]+tbl_Grind[[#This Row],[Act. Hours]]),"")</f>
        <v/>
      </c>
      <c r="S17" s="63"/>
      <c r="T17" s="63"/>
      <c r="U17" s="63"/>
      <c r="V17" s="63"/>
      <c r="W17" s="63"/>
    </row>
    <row r="18" spans="6:23" ht="25" customHeight="1">
      <c r="F18" s="53"/>
      <c r="H18" s="55" t="e">
        <f>tbl_Grind[[#This Row],[Qty Complete]]/tbl_Grind[[#This Row],[Qty Required]]</f>
        <v>#DIV/0!</v>
      </c>
      <c r="K18" s="57" t="str">
        <f>IFERROR(tbl_Grind[[#This Row],[Qty Required]]/tbl_Grind[[#This Row],[PPH]]*tbl_Grind[[#This Row],['# of men]],"")</f>
        <v/>
      </c>
      <c r="L18" s="58" t="e">
        <f>tbl_Grind[[#This Row],[Total hours]]*tbl_Grind[[#This Row],[% Complete]]</f>
        <v>#VALUE!</v>
      </c>
      <c r="M18" s="59" t="str">
        <f>IFERROR(tbl_Grind[[#This Row],[Qty Complete]]/tbl_Grind[[#This Row],[Total Hours Act]]*tbl_Grind[[#This Row],['# of men Act]],"")</f>
        <v/>
      </c>
      <c r="O18"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8" s="71" t="str">
        <f>IFERROR((tbl_Grind[[#This Row],[Adj. Total Hours]]+tbl_Grind[[#This Row],[Est. Hours]])/(tbl_Grind[[#This Row],[Total Hours Act]]+tbl_Grind[[#This Row],[Act. Hours]]),"")</f>
        <v/>
      </c>
      <c r="S18" s="63"/>
      <c r="T18" s="63"/>
      <c r="U18" s="63"/>
      <c r="V18" s="63"/>
      <c r="W18" s="63"/>
    </row>
    <row r="19" spans="6:23" ht="25" customHeight="1">
      <c r="F19" s="53"/>
      <c r="H19" s="55" t="e">
        <f>tbl_Grind[[#This Row],[Qty Complete]]/tbl_Grind[[#This Row],[Qty Required]]</f>
        <v>#DIV/0!</v>
      </c>
      <c r="K19" s="57" t="str">
        <f>IFERROR(tbl_Grind[[#This Row],[Qty Required]]/tbl_Grind[[#This Row],[PPH]]*tbl_Grind[[#This Row],['# of men]],"")</f>
        <v/>
      </c>
      <c r="L19" s="58" t="e">
        <f>tbl_Grind[[#This Row],[Total hours]]*tbl_Grind[[#This Row],[% Complete]]</f>
        <v>#VALUE!</v>
      </c>
      <c r="M19" s="59" t="str">
        <f>IFERROR(tbl_Grind[[#This Row],[Qty Complete]]/tbl_Grind[[#This Row],[Total Hours Act]]*tbl_Grind[[#This Row],['# of men Act]],"")</f>
        <v/>
      </c>
      <c r="O19"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9" s="71" t="str">
        <f>IFERROR((tbl_Grind[[#This Row],[Adj. Total Hours]]+tbl_Grind[[#This Row],[Est. Hours]])/(tbl_Grind[[#This Row],[Total Hours Act]]+tbl_Grind[[#This Row],[Act. Hours]]),"")</f>
        <v/>
      </c>
      <c r="S19" s="63"/>
      <c r="T19" s="63"/>
      <c r="U19" s="63"/>
      <c r="V19" s="63"/>
      <c r="W19" s="63"/>
    </row>
    <row r="20" spans="6:23" ht="25" customHeight="1">
      <c r="F20" s="53"/>
      <c r="H20" s="55" t="e">
        <f>tbl_Grind[[#This Row],[Qty Complete]]/tbl_Grind[[#This Row],[Qty Required]]</f>
        <v>#DIV/0!</v>
      </c>
      <c r="K20" s="57" t="str">
        <f>IFERROR(tbl_Grind[[#This Row],[Qty Required]]/tbl_Grind[[#This Row],[PPH]]*tbl_Grind[[#This Row],['# of men]],"")</f>
        <v/>
      </c>
      <c r="L20" s="58" t="e">
        <f>tbl_Grind[[#This Row],[Total hours]]*tbl_Grind[[#This Row],[% Complete]]</f>
        <v>#VALUE!</v>
      </c>
      <c r="M20" s="59" t="str">
        <f>IFERROR(tbl_Grind[[#This Row],[Qty Complete]]/tbl_Grind[[#This Row],[Total Hours Act]]*tbl_Grind[[#This Row],['# of men Act]],"")</f>
        <v/>
      </c>
      <c r="O20"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0" s="71" t="str">
        <f>IFERROR((tbl_Grind[[#This Row],[Adj. Total Hours]]+tbl_Grind[[#This Row],[Est. Hours]])/(tbl_Grind[[#This Row],[Total Hours Act]]+tbl_Grind[[#This Row],[Act. Hours]]),"")</f>
        <v/>
      </c>
      <c r="S20" s="63"/>
      <c r="T20" s="63"/>
      <c r="U20" s="63"/>
      <c r="V20" s="63"/>
      <c r="W20" s="63"/>
    </row>
    <row r="21" spans="6:23" ht="25" customHeight="1">
      <c r="F21" s="53"/>
      <c r="H21" s="55" t="e">
        <f>tbl_Grind[[#This Row],[Qty Complete]]/tbl_Grind[[#This Row],[Qty Required]]</f>
        <v>#DIV/0!</v>
      </c>
      <c r="K21" s="57" t="str">
        <f>IFERROR(tbl_Grind[[#This Row],[Qty Required]]/tbl_Grind[[#This Row],[PPH]]*tbl_Grind[[#This Row],['# of men]],"")</f>
        <v/>
      </c>
      <c r="L21" s="58" t="e">
        <f>tbl_Grind[[#This Row],[Total hours]]*tbl_Grind[[#This Row],[% Complete]]</f>
        <v>#VALUE!</v>
      </c>
      <c r="M21" s="59" t="str">
        <f>IFERROR(tbl_Grind[[#This Row],[Qty Complete]]/tbl_Grind[[#This Row],[Total Hours Act]]*tbl_Grind[[#This Row],['# of men Act]],"")</f>
        <v/>
      </c>
      <c r="O21"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1" s="71" t="str">
        <f>IFERROR((tbl_Grind[[#This Row],[Adj. Total Hours]]+tbl_Grind[[#This Row],[Est. Hours]])/(tbl_Grind[[#This Row],[Total Hours Act]]+tbl_Grind[[#This Row],[Act. Hours]]),"")</f>
        <v/>
      </c>
      <c r="S21" s="63"/>
      <c r="T21" s="63"/>
      <c r="U21" s="63"/>
      <c r="V21" s="63"/>
      <c r="W21" s="63"/>
    </row>
    <row r="22" spans="6:23" ht="25" customHeight="1">
      <c r="F22" s="53"/>
      <c r="H22" s="55" t="e">
        <f>tbl_Grind[[#This Row],[Qty Complete]]/tbl_Grind[[#This Row],[Qty Required]]</f>
        <v>#DIV/0!</v>
      </c>
      <c r="K22" s="57" t="str">
        <f>IFERROR(tbl_Grind[[#This Row],[Qty Required]]/tbl_Grind[[#This Row],[PPH]]*tbl_Grind[[#This Row],['# of men]],"")</f>
        <v/>
      </c>
      <c r="L22" s="58" t="e">
        <f>tbl_Grind[[#This Row],[Total hours]]*tbl_Grind[[#This Row],[% Complete]]</f>
        <v>#VALUE!</v>
      </c>
      <c r="M22" s="59" t="str">
        <f>IFERROR(tbl_Grind[[#This Row],[Qty Complete]]/tbl_Grind[[#This Row],[Total Hours Act]]*tbl_Grind[[#This Row],['# of men Act]],"")</f>
        <v/>
      </c>
      <c r="O22"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2" s="71" t="str">
        <f>IFERROR((tbl_Grind[[#This Row],[Adj. Total Hours]]+tbl_Grind[[#This Row],[Est. Hours]])/(tbl_Grind[[#This Row],[Total Hours Act]]+tbl_Grind[[#This Row],[Act. Hours]]),"")</f>
        <v/>
      </c>
      <c r="S22" s="63"/>
      <c r="T22" s="63"/>
      <c r="U22" s="63"/>
      <c r="V22" s="63"/>
      <c r="W22" s="63"/>
    </row>
    <row r="23" spans="6:23" ht="25" customHeight="1">
      <c r="F23" s="53"/>
      <c r="H23" s="55" t="e">
        <f>tbl_Grind[[#This Row],[Qty Complete]]/tbl_Grind[[#This Row],[Qty Required]]</f>
        <v>#DIV/0!</v>
      </c>
      <c r="K23" s="57" t="str">
        <f>IFERROR(tbl_Grind[[#This Row],[Qty Required]]/tbl_Grind[[#This Row],[PPH]]*tbl_Grind[[#This Row],['# of men]],"")</f>
        <v/>
      </c>
      <c r="L23" s="58" t="e">
        <f>tbl_Grind[[#This Row],[Total hours]]*tbl_Grind[[#This Row],[% Complete]]</f>
        <v>#VALUE!</v>
      </c>
      <c r="M23" s="59" t="str">
        <f>IFERROR(tbl_Grind[[#This Row],[Qty Complete]]/tbl_Grind[[#This Row],[Total Hours Act]]*tbl_Grind[[#This Row],['# of men Act]],"")</f>
        <v/>
      </c>
      <c r="O23"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3" s="71" t="str">
        <f>IFERROR((tbl_Grind[[#This Row],[Adj. Total Hours]]+tbl_Grind[[#This Row],[Est. Hours]])/(tbl_Grind[[#This Row],[Total Hours Act]]+tbl_Grind[[#This Row],[Act. Hours]]),"")</f>
        <v/>
      </c>
      <c r="S23" s="63"/>
      <c r="T23" s="63"/>
      <c r="U23" s="63"/>
      <c r="V23" s="63"/>
      <c r="W23" s="63"/>
    </row>
    <row r="24" spans="6:23" ht="25" customHeight="1">
      <c r="F24" s="53"/>
      <c r="H24" s="55" t="e">
        <f>tbl_Grind[[#This Row],[Qty Complete]]/tbl_Grind[[#This Row],[Qty Required]]</f>
        <v>#DIV/0!</v>
      </c>
      <c r="K24" s="57" t="str">
        <f>IFERROR(tbl_Grind[[#This Row],[Qty Required]]/tbl_Grind[[#This Row],[PPH]]*tbl_Grind[[#This Row],['# of men]],"")</f>
        <v/>
      </c>
      <c r="L24" s="58" t="e">
        <f>tbl_Grind[[#This Row],[Total hours]]*tbl_Grind[[#This Row],[% Complete]]</f>
        <v>#VALUE!</v>
      </c>
      <c r="M24" s="59" t="str">
        <f>IFERROR(tbl_Grind[[#This Row],[Qty Complete]]/tbl_Grind[[#This Row],[Total Hours Act]]*tbl_Grind[[#This Row],['# of men Act]],"")</f>
        <v/>
      </c>
      <c r="O24"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4" s="71" t="str">
        <f>IFERROR((tbl_Grind[[#This Row],[Adj. Total Hours]]+tbl_Grind[[#This Row],[Est. Hours]])/(tbl_Grind[[#This Row],[Total Hours Act]]+tbl_Grind[[#This Row],[Act. Hours]]),"")</f>
        <v/>
      </c>
      <c r="S24" s="63"/>
      <c r="T24" s="63"/>
      <c r="U24" s="63"/>
      <c r="V24" s="63"/>
      <c r="W24" s="63"/>
    </row>
    <row r="25" spans="6:23" ht="25" customHeight="1">
      <c r="F25" s="53"/>
      <c r="H25" s="55" t="e">
        <f>tbl_Grind[[#This Row],[Qty Complete]]/tbl_Grind[[#This Row],[Qty Required]]</f>
        <v>#DIV/0!</v>
      </c>
      <c r="K25" s="57" t="str">
        <f>IFERROR(tbl_Grind[[#This Row],[Qty Required]]/tbl_Grind[[#This Row],[PPH]]*tbl_Grind[[#This Row],['# of men]],"")</f>
        <v/>
      </c>
      <c r="L25" s="58" t="e">
        <f>tbl_Grind[[#This Row],[Total hours]]*tbl_Grind[[#This Row],[% Complete]]</f>
        <v>#VALUE!</v>
      </c>
      <c r="M25" s="59" t="str">
        <f>IFERROR(tbl_Grind[[#This Row],[Qty Complete]]/tbl_Grind[[#This Row],[Total Hours Act]]*tbl_Grind[[#This Row],['# of men Act]],"")</f>
        <v/>
      </c>
      <c r="O25"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5" s="71" t="str">
        <f>IFERROR((tbl_Grind[[#This Row],[Adj. Total Hours]]+tbl_Grind[[#This Row],[Est. Hours]])/(tbl_Grind[[#This Row],[Total Hours Act]]+tbl_Grind[[#This Row],[Act. Hours]]),"")</f>
        <v/>
      </c>
      <c r="S25" s="63"/>
      <c r="T25" s="63"/>
      <c r="U25" s="63"/>
      <c r="V25" s="63"/>
      <c r="W25" s="63"/>
    </row>
    <row r="26" spans="6:23" ht="25" customHeight="1">
      <c r="F26" s="53"/>
      <c r="H26" s="55" t="e">
        <f>tbl_Grind[[#This Row],[Qty Complete]]/tbl_Grind[[#This Row],[Qty Required]]</f>
        <v>#DIV/0!</v>
      </c>
      <c r="K26" s="57" t="str">
        <f>IFERROR(tbl_Grind[[#This Row],[Qty Required]]/tbl_Grind[[#This Row],[PPH]]*tbl_Grind[[#This Row],['# of men]],"")</f>
        <v/>
      </c>
      <c r="L26" s="58" t="e">
        <f>tbl_Grind[[#This Row],[Total hours]]*tbl_Grind[[#This Row],[% Complete]]</f>
        <v>#VALUE!</v>
      </c>
      <c r="M26" s="59" t="str">
        <f>IFERROR(tbl_Grind[[#This Row],[Qty Complete]]/tbl_Grind[[#This Row],[Total Hours Act]]*tbl_Grind[[#This Row],['# of men Act]],"")</f>
        <v/>
      </c>
      <c r="O26"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6" s="71" t="str">
        <f>IFERROR((tbl_Grind[[#This Row],[Adj. Total Hours]]+tbl_Grind[[#This Row],[Est. Hours]])/(tbl_Grind[[#This Row],[Total Hours Act]]+tbl_Grind[[#This Row],[Act. Hours]]),"")</f>
        <v/>
      </c>
      <c r="S26" s="63"/>
      <c r="T26" s="63"/>
      <c r="U26" s="63"/>
      <c r="V26" s="63"/>
      <c r="W26" s="63"/>
    </row>
    <row r="27" spans="6:23" ht="25" customHeight="1">
      <c r="F27" s="53"/>
      <c r="H27" s="55" t="e">
        <f>tbl_Grind[[#This Row],[Qty Complete]]/tbl_Grind[[#This Row],[Qty Required]]</f>
        <v>#DIV/0!</v>
      </c>
      <c r="K27" s="57" t="str">
        <f>IFERROR(tbl_Grind[[#This Row],[Qty Required]]/tbl_Grind[[#This Row],[PPH]]*tbl_Grind[[#This Row],['# of men]],"")</f>
        <v/>
      </c>
      <c r="L27" s="58" t="e">
        <f>tbl_Grind[[#This Row],[Total hours]]*tbl_Grind[[#This Row],[% Complete]]</f>
        <v>#VALUE!</v>
      </c>
      <c r="M27" s="59" t="str">
        <f>IFERROR(tbl_Grind[[#This Row],[Qty Complete]]/tbl_Grind[[#This Row],[Total Hours Act]]*tbl_Grind[[#This Row],['# of men Act]],"")</f>
        <v/>
      </c>
      <c r="O27"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7" s="71" t="str">
        <f>IFERROR((tbl_Grind[[#This Row],[Adj. Total Hours]]+tbl_Grind[[#This Row],[Est. Hours]])/(tbl_Grind[[#This Row],[Total Hours Act]]+tbl_Grind[[#This Row],[Act. Hours]]),"")</f>
        <v/>
      </c>
      <c r="S27" s="63"/>
      <c r="T27" s="63"/>
      <c r="U27" s="63"/>
      <c r="V27" s="63"/>
      <c r="W27" s="63"/>
    </row>
    <row r="28" spans="6:23" ht="25" customHeight="1">
      <c r="F28" s="53"/>
      <c r="H28" s="55" t="e">
        <f>tbl_Grind[[#This Row],[Qty Complete]]/tbl_Grind[[#This Row],[Qty Required]]</f>
        <v>#DIV/0!</v>
      </c>
      <c r="K28" s="57" t="str">
        <f>IFERROR(tbl_Grind[[#This Row],[Qty Required]]/tbl_Grind[[#This Row],[PPH]]*tbl_Grind[[#This Row],['# of men]],"")</f>
        <v/>
      </c>
      <c r="L28" s="58" t="e">
        <f>tbl_Grind[[#This Row],[Total hours]]*tbl_Grind[[#This Row],[% Complete]]</f>
        <v>#VALUE!</v>
      </c>
      <c r="M28" s="59" t="str">
        <f>IFERROR(tbl_Grind[[#This Row],[Qty Complete]]/tbl_Grind[[#This Row],[Total Hours Act]]*tbl_Grind[[#This Row],['# of men Act]],"")</f>
        <v/>
      </c>
      <c r="O28"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8" s="71" t="str">
        <f>IFERROR((tbl_Grind[[#This Row],[Adj. Total Hours]]+tbl_Grind[[#This Row],[Est. Hours]])/(tbl_Grind[[#This Row],[Total Hours Act]]+tbl_Grind[[#This Row],[Act. Hours]]),"")</f>
        <v/>
      </c>
      <c r="S28" s="63"/>
      <c r="T28" s="63"/>
      <c r="U28" s="63"/>
      <c r="V28" s="63"/>
      <c r="W28" s="63"/>
    </row>
    <row r="29" spans="6:23" ht="25" customHeight="1">
      <c r="F29" s="53"/>
      <c r="H29" s="55" t="e">
        <f>tbl_Grind[[#This Row],[Qty Complete]]/tbl_Grind[[#This Row],[Qty Required]]</f>
        <v>#DIV/0!</v>
      </c>
      <c r="K29" s="57" t="str">
        <f>IFERROR(tbl_Grind[[#This Row],[Qty Required]]/tbl_Grind[[#This Row],[PPH]]*tbl_Grind[[#This Row],['# of men]],"")</f>
        <v/>
      </c>
      <c r="L29" s="58" t="e">
        <f>tbl_Grind[[#This Row],[Total hours]]*tbl_Grind[[#This Row],[% Complete]]</f>
        <v>#VALUE!</v>
      </c>
      <c r="M29" s="59" t="str">
        <f>IFERROR(tbl_Grind[[#This Row],[Qty Complete]]/tbl_Grind[[#This Row],[Total Hours Act]]*tbl_Grind[[#This Row],['# of men Act]],"")</f>
        <v/>
      </c>
      <c r="O29"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9" s="71" t="str">
        <f>IFERROR((tbl_Grind[[#This Row],[Adj. Total Hours]]+tbl_Grind[[#This Row],[Est. Hours]])/(tbl_Grind[[#This Row],[Total Hours Act]]+tbl_Grind[[#This Row],[Act. Hours]]),"")</f>
        <v/>
      </c>
      <c r="S29" s="63"/>
      <c r="T29" s="63"/>
      <c r="U29" s="63"/>
      <c r="V29" s="63"/>
      <c r="W29" s="63"/>
    </row>
    <row r="30" spans="6:23" ht="25" customHeight="1">
      <c r="F30" s="53"/>
      <c r="H30" s="55" t="e">
        <f>tbl_Grind[[#This Row],[Qty Complete]]/tbl_Grind[[#This Row],[Qty Required]]</f>
        <v>#DIV/0!</v>
      </c>
      <c r="K30" s="57" t="str">
        <f>IFERROR(tbl_Grind[[#This Row],[Qty Required]]/tbl_Grind[[#This Row],[PPH]]*tbl_Grind[[#This Row],['# of men]],"")</f>
        <v/>
      </c>
      <c r="L30" s="58" t="e">
        <f>tbl_Grind[[#This Row],[Total hours]]*tbl_Grind[[#This Row],[% Complete]]</f>
        <v>#VALUE!</v>
      </c>
      <c r="M30" s="59" t="str">
        <f>IFERROR(tbl_Grind[[#This Row],[Qty Complete]]/tbl_Grind[[#This Row],[Total Hours Act]]*tbl_Grind[[#This Row],['# of men Act]],"")</f>
        <v/>
      </c>
      <c r="O30"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30" s="71" t="str">
        <f>IFERROR((tbl_Grind[[#This Row],[Adj. Total Hours]]+tbl_Grind[[#This Row],[Est. Hours]])/(tbl_Grind[[#This Row],[Total Hours Act]]+tbl_Grind[[#This Row],[Act. Hours]]),"")</f>
        <v/>
      </c>
      <c r="S30" s="63"/>
      <c r="T30" s="63"/>
      <c r="U30" s="63"/>
      <c r="V30" s="63"/>
      <c r="W30" s="63"/>
    </row>
    <row r="31" spans="6:23" ht="25" customHeight="1">
      <c r="F31" s="53"/>
      <c r="H31" s="55" t="e">
        <f>tbl_Grind[[#This Row],[Qty Complete]]/tbl_Grind[[#This Row],[Qty Required]]</f>
        <v>#DIV/0!</v>
      </c>
      <c r="K31" s="57" t="str">
        <f>IFERROR(tbl_Grind[[#This Row],[Qty Required]]/tbl_Grind[[#This Row],[PPH]]*tbl_Grind[[#This Row],['# of men]],"")</f>
        <v/>
      </c>
      <c r="L31" s="58" t="e">
        <f>tbl_Grind[[#This Row],[Total hours]]*tbl_Grind[[#This Row],[% Complete]]</f>
        <v>#VALUE!</v>
      </c>
      <c r="M31" s="59" t="str">
        <f>IFERROR(tbl_Grind[[#This Row],[Qty Complete]]/tbl_Grind[[#This Row],[Total Hours Act]]*tbl_Grind[[#This Row],['# of men Act]],"")</f>
        <v/>
      </c>
      <c r="O31"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31" s="71" t="str">
        <f>IFERROR((tbl_Grind[[#This Row],[Adj. Total Hours]]+tbl_Grind[[#This Row],[Est. Hours]])/(tbl_Grind[[#This Row],[Total Hours Act]]+tbl_Grind[[#This Row],[Act. Hours]]),"")</f>
        <v/>
      </c>
      <c r="S31" s="63"/>
      <c r="T31" s="63"/>
      <c r="U31" s="63"/>
      <c r="V31" s="63"/>
      <c r="W31" s="63"/>
    </row>
    <row r="32" spans="6:23" ht="25" customHeight="1">
      <c r="F32" s="53"/>
      <c r="H32" s="55" t="e">
        <f>tbl_Grind[[#This Row],[Qty Complete]]/tbl_Grind[[#This Row],[Qty Required]]</f>
        <v>#DIV/0!</v>
      </c>
      <c r="K32" s="57" t="str">
        <f>IFERROR(tbl_Grind[[#This Row],[Qty Required]]/tbl_Grind[[#This Row],[PPH]]*tbl_Grind[[#This Row],['# of men]],"")</f>
        <v/>
      </c>
      <c r="L32" s="58" t="e">
        <f>tbl_Grind[[#This Row],[Total hours]]*tbl_Grind[[#This Row],[% Complete]]</f>
        <v>#VALUE!</v>
      </c>
      <c r="M32" s="59" t="str">
        <f>IFERROR(tbl_Grind[[#This Row],[Qty Complete]]/tbl_Grind[[#This Row],[Total Hours Act]]*tbl_Grind[[#This Row],['# of men Act]],"")</f>
        <v/>
      </c>
      <c r="O32"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32" s="71" t="str">
        <f>IFERROR((tbl_Grind[[#This Row],[Adj. Total Hours]]+tbl_Grind[[#This Row],[Est. Hours]])/(tbl_Grind[[#This Row],[Total Hours Act]]+tbl_Grind[[#This Row],[Act. Hours]]),"")</f>
        <v/>
      </c>
      <c r="S32" s="63"/>
      <c r="T32" s="63"/>
      <c r="U32" s="63"/>
      <c r="V32" s="63"/>
      <c r="W32" s="63"/>
    </row>
    <row r="33" spans="6:23" ht="25" customHeight="1">
      <c r="F33" s="53"/>
      <c r="H33" s="55" t="e">
        <f>tbl_Grind[[#This Row],[Qty Complete]]/tbl_Grind[[#This Row],[Qty Required]]</f>
        <v>#DIV/0!</v>
      </c>
      <c r="K33" s="57" t="str">
        <f>IFERROR(tbl_Grind[[#This Row],[Qty Required]]/tbl_Grind[[#This Row],[PPH]]*tbl_Grind[[#This Row],['# of men]],"")</f>
        <v/>
      </c>
      <c r="L33" s="58" t="e">
        <f>tbl_Grind[[#This Row],[Total hours]]*tbl_Grind[[#This Row],[% Complete]]</f>
        <v>#VALUE!</v>
      </c>
      <c r="M33" s="59" t="str">
        <f>IFERROR(tbl_Grind[[#This Row],[Qty Complete]]/tbl_Grind[[#This Row],[Total Hours Act]]*tbl_Grind[[#This Row],['# of men Act]],"")</f>
        <v/>
      </c>
      <c r="O33"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33" s="71" t="str">
        <f>IFERROR((tbl_Grind[[#This Row],[Adj. Total Hours]]+tbl_Grind[[#This Row],[Est. Hours]])/(tbl_Grind[[#This Row],[Total Hours Act]]+tbl_Grind[[#This Row],[Act. Hours]]),"")</f>
        <v/>
      </c>
      <c r="S33" s="63"/>
      <c r="T33" s="63"/>
      <c r="U33" s="63"/>
      <c r="V33" s="63"/>
      <c r="W33" s="63"/>
    </row>
    <row r="34" spans="6:23" ht="25" customHeight="1">
      <c r="F34" s="53"/>
      <c r="H34" s="55" t="e">
        <f>tbl_Grind[[#This Row],[Qty Complete]]/tbl_Grind[[#This Row],[Qty Required]]</f>
        <v>#DIV/0!</v>
      </c>
      <c r="K34" s="57" t="str">
        <f>IFERROR(tbl_Grind[[#This Row],[Qty Required]]/tbl_Grind[[#This Row],[PPH]]*tbl_Grind[[#This Row],['# of men]],"")</f>
        <v/>
      </c>
      <c r="L34" s="58" t="e">
        <f>tbl_Grind[[#This Row],[Total hours]]*tbl_Grind[[#This Row],[% Complete]]</f>
        <v>#VALUE!</v>
      </c>
      <c r="M34" s="59" t="str">
        <f>IFERROR(tbl_Grind[[#This Row],[Qty Complete]]/tbl_Grind[[#This Row],[Total Hours Act]]*tbl_Grind[[#This Row],['# of men Act]],"")</f>
        <v/>
      </c>
      <c r="O34"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34" s="71" t="str">
        <f>IFERROR((tbl_Grind[[#This Row],[Adj. Total Hours]]+tbl_Grind[[#This Row],[Est. Hours]])/(tbl_Grind[[#This Row],[Total Hours Act]]+tbl_Grind[[#This Row],[Act. Hours]]),"")</f>
        <v/>
      </c>
      <c r="S34" s="63"/>
      <c r="T34" s="63"/>
      <c r="U34" s="63"/>
      <c r="V34" s="63"/>
      <c r="W34" s="63"/>
    </row>
    <row r="35" spans="6:23" ht="25" customHeight="1">
      <c r="F35" s="53"/>
      <c r="H35" s="55" t="e">
        <f>tbl_Grind[[#This Row],[Qty Complete]]/tbl_Grind[[#This Row],[Qty Required]]</f>
        <v>#DIV/0!</v>
      </c>
      <c r="K35" s="57" t="str">
        <f>IFERROR(tbl_Grind[[#This Row],[Qty Required]]/tbl_Grind[[#This Row],[PPH]]*tbl_Grind[[#This Row],['# of men]],"")</f>
        <v/>
      </c>
      <c r="L35" s="58" t="e">
        <f>tbl_Grind[[#This Row],[Total hours]]*tbl_Grind[[#This Row],[% Complete]]</f>
        <v>#VALUE!</v>
      </c>
      <c r="M35" s="59" t="str">
        <f>IFERROR(tbl_Grind[[#This Row],[Qty Complete]]/tbl_Grind[[#This Row],[Total Hours Act]]*tbl_Grind[[#This Row],['# of men Act]],"")</f>
        <v/>
      </c>
      <c r="O35"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35" s="71" t="str">
        <f>IFERROR((tbl_Grind[[#This Row],[Adj. Total Hours]]+tbl_Grind[[#This Row],[Est. Hours]])/(tbl_Grind[[#This Row],[Total Hours Act]]+tbl_Grind[[#This Row],[Act. Hours]]),"")</f>
        <v/>
      </c>
      <c r="S35" s="63"/>
      <c r="T35" s="63"/>
      <c r="U35" s="63"/>
      <c r="V35" s="63"/>
      <c r="W35" s="63"/>
    </row>
    <row r="36" spans="6:23" ht="25" customHeight="1">
      <c r="F36" s="53"/>
      <c r="H36" s="55" t="e">
        <f>tbl_Grind[[#This Row],[Qty Complete]]/tbl_Grind[[#This Row],[Qty Required]]</f>
        <v>#DIV/0!</v>
      </c>
      <c r="K36" s="57" t="str">
        <f>IFERROR(tbl_Grind[[#This Row],[Qty Required]]/tbl_Grind[[#This Row],[PPH]]*tbl_Grind[[#This Row],['# of men]],"")</f>
        <v/>
      </c>
      <c r="L36" s="58" t="e">
        <f>tbl_Grind[[#This Row],[Total hours]]*tbl_Grind[[#This Row],[% Complete]]</f>
        <v>#VALUE!</v>
      </c>
      <c r="M36" s="59" t="str">
        <f>IFERROR(tbl_Grind[[#This Row],[Qty Complete]]/tbl_Grind[[#This Row],[Total Hours Act]]*tbl_Grind[[#This Row],['# of men Act]],"")</f>
        <v/>
      </c>
      <c r="O36"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36" s="71" t="str">
        <f>IFERROR((tbl_Grind[[#This Row],[Adj. Total Hours]]+tbl_Grind[[#This Row],[Est. Hours]])/(tbl_Grind[[#This Row],[Total Hours Act]]+tbl_Grind[[#This Row],[Act. Hours]]),"")</f>
        <v/>
      </c>
      <c r="S36" s="63"/>
      <c r="T36" s="63"/>
      <c r="U36" s="63"/>
      <c r="V36" s="63"/>
      <c r="W36" s="63"/>
    </row>
    <row r="37" spans="6:23" ht="25" customHeight="1">
      <c r="F37" s="53"/>
      <c r="H37" s="55" t="e">
        <f>tbl_Grind[[#This Row],[Qty Complete]]/tbl_Grind[[#This Row],[Qty Required]]</f>
        <v>#DIV/0!</v>
      </c>
      <c r="K37" s="57" t="str">
        <f>IFERROR(tbl_Grind[[#This Row],[Qty Required]]/tbl_Grind[[#This Row],[PPH]]*tbl_Grind[[#This Row],['# of men]],"")</f>
        <v/>
      </c>
      <c r="L37" s="58" t="e">
        <f>tbl_Grind[[#This Row],[Total hours]]*tbl_Grind[[#This Row],[% Complete]]</f>
        <v>#VALUE!</v>
      </c>
      <c r="M37" s="59" t="str">
        <f>IFERROR(tbl_Grind[[#This Row],[Qty Complete]]/tbl_Grind[[#This Row],[Total Hours Act]]*tbl_Grind[[#This Row],['# of men Act]],"")</f>
        <v/>
      </c>
      <c r="O37"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37" s="71" t="str">
        <f>IFERROR((tbl_Grind[[#This Row],[Adj. Total Hours]]+tbl_Grind[[#This Row],[Est. Hours]])/(tbl_Grind[[#This Row],[Total Hours Act]]+tbl_Grind[[#This Row],[Act. Hours]]),"")</f>
        <v/>
      </c>
      <c r="S37" s="63"/>
      <c r="T37" s="63"/>
      <c r="U37" s="63"/>
      <c r="V37" s="63"/>
      <c r="W37" s="63"/>
    </row>
    <row r="38" spans="6:23" ht="25" customHeight="1">
      <c r="F38" s="53"/>
      <c r="H38" s="55" t="e">
        <f>tbl_Grind[[#This Row],[Qty Complete]]/tbl_Grind[[#This Row],[Qty Required]]</f>
        <v>#DIV/0!</v>
      </c>
      <c r="K38" s="57" t="str">
        <f>IFERROR(tbl_Grind[[#This Row],[Qty Required]]/tbl_Grind[[#This Row],[PPH]]*tbl_Grind[[#This Row],['# of men]],"")</f>
        <v/>
      </c>
      <c r="L38" s="58" t="e">
        <f>tbl_Grind[[#This Row],[Total hours]]*tbl_Grind[[#This Row],[% Complete]]</f>
        <v>#VALUE!</v>
      </c>
      <c r="M38" s="59" t="str">
        <f>IFERROR(tbl_Grind[[#This Row],[Qty Complete]]/tbl_Grind[[#This Row],[Total Hours Act]]*tbl_Grind[[#This Row],['# of men Act]],"")</f>
        <v/>
      </c>
      <c r="O38"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38" s="71" t="str">
        <f>IFERROR((tbl_Grind[[#This Row],[Adj. Total Hours]]+tbl_Grind[[#This Row],[Est. Hours]])/(tbl_Grind[[#This Row],[Total Hours Act]]+tbl_Grind[[#This Row],[Act. Hours]]),"")</f>
        <v/>
      </c>
      <c r="S38" s="63"/>
      <c r="T38" s="63"/>
      <c r="U38" s="63"/>
      <c r="V38" s="63"/>
      <c r="W38" s="63"/>
    </row>
    <row r="39" spans="6:23" ht="25" customHeight="1">
      <c r="F39" s="53"/>
      <c r="H39" s="55" t="e">
        <f>tbl_Grind[[#This Row],[Qty Complete]]/tbl_Grind[[#This Row],[Qty Required]]</f>
        <v>#DIV/0!</v>
      </c>
      <c r="K39" s="57" t="str">
        <f>IFERROR(tbl_Grind[[#This Row],[Qty Required]]/tbl_Grind[[#This Row],[PPH]]*tbl_Grind[[#This Row],['# of men]],"")</f>
        <v/>
      </c>
      <c r="L39" s="58" t="e">
        <f>tbl_Grind[[#This Row],[Total hours]]*tbl_Grind[[#This Row],[% Complete]]</f>
        <v>#VALUE!</v>
      </c>
      <c r="M39" s="59" t="str">
        <f>IFERROR(tbl_Grind[[#This Row],[Qty Complete]]/tbl_Grind[[#This Row],[Total Hours Act]]*tbl_Grind[[#This Row],['# of men Act]],"")</f>
        <v/>
      </c>
      <c r="O39"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39" s="71" t="str">
        <f>IFERROR((tbl_Grind[[#This Row],[Adj. Total Hours]]+tbl_Grind[[#This Row],[Est. Hours]])/(tbl_Grind[[#This Row],[Total Hours Act]]+tbl_Grind[[#This Row],[Act. Hours]]),"")</f>
        <v/>
      </c>
      <c r="S39" s="63"/>
      <c r="T39" s="63"/>
      <c r="U39" s="63"/>
      <c r="V39" s="63"/>
      <c r="W39" s="63"/>
    </row>
    <row r="40" spans="6:23" ht="25" customHeight="1">
      <c r="F40" s="53"/>
      <c r="H40" s="55" t="e">
        <f>tbl_Grind[[#This Row],[Qty Complete]]/tbl_Grind[[#This Row],[Qty Required]]</f>
        <v>#DIV/0!</v>
      </c>
      <c r="K40" s="57" t="str">
        <f>IFERROR(tbl_Grind[[#This Row],[Qty Required]]/tbl_Grind[[#This Row],[PPH]]*tbl_Grind[[#This Row],['# of men]],"")</f>
        <v/>
      </c>
      <c r="L40" s="58" t="e">
        <f>tbl_Grind[[#This Row],[Total hours]]*tbl_Grind[[#This Row],[% Complete]]</f>
        <v>#VALUE!</v>
      </c>
      <c r="M40" s="59" t="str">
        <f>IFERROR(tbl_Grind[[#This Row],[Qty Complete]]/tbl_Grind[[#This Row],[Total Hours Act]]*tbl_Grind[[#This Row],['# of men Act]],"")</f>
        <v/>
      </c>
      <c r="O40"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40" s="71" t="str">
        <f>IFERROR((tbl_Grind[[#This Row],[Adj. Total Hours]]+tbl_Grind[[#This Row],[Est. Hours]])/(tbl_Grind[[#This Row],[Total Hours Act]]+tbl_Grind[[#This Row],[Act. Hours]]),"")</f>
        <v/>
      </c>
      <c r="S40" s="63"/>
      <c r="T40" s="63"/>
      <c r="U40" s="63"/>
      <c r="V40" s="63"/>
      <c r="W40" s="63"/>
    </row>
    <row r="41" spans="6:23" ht="25" customHeight="1">
      <c r="F41" s="53"/>
      <c r="H41" s="55" t="e">
        <f>tbl_Grind[[#This Row],[Qty Complete]]/tbl_Grind[[#This Row],[Qty Required]]</f>
        <v>#DIV/0!</v>
      </c>
      <c r="K41" s="57" t="str">
        <f>IFERROR(tbl_Grind[[#This Row],[Qty Required]]/tbl_Grind[[#This Row],[PPH]]*tbl_Grind[[#This Row],['# of men]],"")</f>
        <v/>
      </c>
      <c r="L41" s="58" t="e">
        <f>tbl_Grind[[#This Row],[Total hours]]*tbl_Grind[[#This Row],[% Complete]]</f>
        <v>#VALUE!</v>
      </c>
      <c r="M41" s="59" t="str">
        <f>IFERROR(tbl_Grind[[#This Row],[Qty Complete]]/tbl_Grind[[#This Row],[Total Hours Act]]*tbl_Grind[[#This Row],['# of men Act]],"")</f>
        <v/>
      </c>
      <c r="O41"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41" s="71" t="str">
        <f>IFERROR((tbl_Grind[[#This Row],[Adj. Total Hours]]+tbl_Grind[[#This Row],[Est. Hours]])/(tbl_Grind[[#This Row],[Total Hours Act]]+tbl_Grind[[#This Row],[Act. Hours]]),"")</f>
        <v/>
      </c>
      <c r="S41" s="63"/>
      <c r="T41" s="63"/>
      <c r="U41" s="63"/>
      <c r="V41" s="63"/>
      <c r="W41" s="63"/>
    </row>
    <row r="42" spans="6:23" ht="25" customHeight="1">
      <c r="F42" s="53"/>
      <c r="H42" s="55" t="e">
        <f>tbl_Grind[[#This Row],[Qty Complete]]/tbl_Grind[[#This Row],[Qty Required]]</f>
        <v>#DIV/0!</v>
      </c>
      <c r="K42" s="57" t="str">
        <f>IFERROR(tbl_Grind[[#This Row],[Qty Required]]/tbl_Grind[[#This Row],[PPH]]*tbl_Grind[[#This Row],['# of men]],"")</f>
        <v/>
      </c>
      <c r="L42" s="58" t="e">
        <f>tbl_Grind[[#This Row],[Total hours]]*tbl_Grind[[#This Row],[% Complete]]</f>
        <v>#VALUE!</v>
      </c>
      <c r="M42" s="59" t="str">
        <f>IFERROR(tbl_Grind[[#This Row],[Qty Complete]]/tbl_Grind[[#This Row],[Total Hours Act]]*tbl_Grind[[#This Row],['# of men Act]],"")</f>
        <v/>
      </c>
      <c r="O42"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42" s="71" t="str">
        <f>IFERROR((tbl_Grind[[#This Row],[Adj. Total Hours]]+tbl_Grind[[#This Row],[Est. Hours]])/(tbl_Grind[[#This Row],[Total Hours Act]]+tbl_Grind[[#This Row],[Act. Hours]]),"")</f>
        <v/>
      </c>
      <c r="S42" s="63"/>
      <c r="T42" s="63"/>
      <c r="U42" s="63"/>
      <c r="V42" s="63"/>
      <c r="W42" s="63"/>
    </row>
    <row r="43" spans="6:23" ht="25" customHeight="1">
      <c r="F43" s="53"/>
      <c r="H43" s="55" t="e">
        <f>tbl_Grind[[#This Row],[Qty Complete]]/tbl_Grind[[#This Row],[Qty Required]]</f>
        <v>#DIV/0!</v>
      </c>
      <c r="K43" s="57" t="str">
        <f>IFERROR(tbl_Grind[[#This Row],[Qty Required]]/tbl_Grind[[#This Row],[PPH]]*tbl_Grind[[#This Row],['# of men]],"")</f>
        <v/>
      </c>
      <c r="L43" s="58" t="e">
        <f>tbl_Grind[[#This Row],[Total hours]]*tbl_Grind[[#This Row],[% Complete]]</f>
        <v>#VALUE!</v>
      </c>
      <c r="M43" s="59" t="str">
        <f>IFERROR(tbl_Grind[[#This Row],[Qty Complete]]/tbl_Grind[[#This Row],[Total Hours Act]]*tbl_Grind[[#This Row],['# of men Act]],"")</f>
        <v/>
      </c>
      <c r="O43"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43" s="71" t="str">
        <f>IFERROR((tbl_Grind[[#This Row],[Adj. Total Hours]]+tbl_Grind[[#This Row],[Est. Hours]])/(tbl_Grind[[#This Row],[Total Hours Act]]+tbl_Grind[[#This Row],[Act. Hours]]),"")</f>
        <v/>
      </c>
      <c r="S43" s="63"/>
      <c r="T43" s="63"/>
      <c r="U43" s="63"/>
      <c r="V43" s="63"/>
      <c r="W43" s="63"/>
    </row>
    <row r="44" spans="6:23" ht="25" customHeight="1">
      <c r="F44" s="53"/>
      <c r="H44" s="55" t="e">
        <f>tbl_Grind[[#This Row],[Qty Complete]]/tbl_Grind[[#This Row],[Qty Required]]</f>
        <v>#DIV/0!</v>
      </c>
      <c r="K44" s="57" t="str">
        <f>IFERROR(tbl_Grind[[#This Row],[Qty Required]]/tbl_Grind[[#This Row],[PPH]]*tbl_Grind[[#This Row],['# of men]],"")</f>
        <v/>
      </c>
      <c r="L44" s="58" t="e">
        <f>tbl_Grind[[#This Row],[Total hours]]*tbl_Grind[[#This Row],[% Complete]]</f>
        <v>#VALUE!</v>
      </c>
      <c r="M44" s="59" t="str">
        <f>IFERROR(tbl_Grind[[#This Row],[Qty Complete]]/tbl_Grind[[#This Row],[Total Hours Act]]*tbl_Grind[[#This Row],['# of men Act]],"")</f>
        <v/>
      </c>
      <c r="O44"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44" s="71" t="str">
        <f>IFERROR((tbl_Grind[[#This Row],[Adj. Total Hours]]+tbl_Grind[[#This Row],[Est. Hours]])/(tbl_Grind[[#This Row],[Total Hours Act]]+tbl_Grind[[#This Row],[Act. Hours]]),"")</f>
        <v/>
      </c>
      <c r="S44" s="63"/>
      <c r="T44" s="63"/>
      <c r="U44" s="63"/>
      <c r="V44" s="63"/>
      <c r="W44" s="63"/>
    </row>
    <row r="45" spans="6:23" ht="25" customHeight="1">
      <c r="F45" s="53"/>
      <c r="H45" s="55" t="e">
        <f>tbl_Grind[[#This Row],[Qty Complete]]/tbl_Grind[[#This Row],[Qty Required]]</f>
        <v>#DIV/0!</v>
      </c>
      <c r="K45" s="57" t="str">
        <f>IFERROR(tbl_Grind[[#This Row],[Qty Required]]/tbl_Grind[[#This Row],[PPH]]*tbl_Grind[[#This Row],['# of men]],"")</f>
        <v/>
      </c>
      <c r="L45" s="58" t="e">
        <f>tbl_Grind[[#This Row],[Total hours]]*tbl_Grind[[#This Row],[% Complete]]</f>
        <v>#VALUE!</v>
      </c>
      <c r="M45" s="59" t="str">
        <f>IFERROR(tbl_Grind[[#This Row],[Qty Complete]]/tbl_Grind[[#This Row],[Total Hours Act]]*tbl_Grind[[#This Row],['# of men Act]],"")</f>
        <v/>
      </c>
      <c r="O45"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45" s="71" t="str">
        <f>IFERROR((tbl_Grind[[#This Row],[Adj. Total Hours]]+tbl_Grind[[#This Row],[Est. Hours]])/(tbl_Grind[[#This Row],[Total Hours Act]]+tbl_Grind[[#This Row],[Act. Hours]]),"")</f>
        <v/>
      </c>
      <c r="S45" s="63"/>
      <c r="T45" s="63"/>
      <c r="U45" s="63"/>
      <c r="V45" s="63"/>
      <c r="W45" s="63"/>
    </row>
    <row r="46" spans="6:23" ht="25" customHeight="1">
      <c r="F46" s="53"/>
      <c r="H46" s="55" t="e">
        <f>tbl_Grind[[#This Row],[Qty Complete]]/tbl_Grind[[#This Row],[Qty Required]]</f>
        <v>#DIV/0!</v>
      </c>
      <c r="K46" s="57" t="str">
        <f>IFERROR(tbl_Grind[[#This Row],[Qty Required]]/tbl_Grind[[#This Row],[PPH]]*tbl_Grind[[#This Row],['# of men]],"")</f>
        <v/>
      </c>
      <c r="L46" s="58" t="e">
        <f>tbl_Grind[[#This Row],[Total hours]]*tbl_Grind[[#This Row],[% Complete]]</f>
        <v>#VALUE!</v>
      </c>
      <c r="M46" s="59" t="str">
        <f>IFERROR(tbl_Grind[[#This Row],[Qty Complete]]/tbl_Grind[[#This Row],[Total Hours Act]]*tbl_Grind[[#This Row],['# of men Act]],"")</f>
        <v/>
      </c>
      <c r="O46"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46" s="71" t="str">
        <f>IFERROR((tbl_Grind[[#This Row],[Adj. Total Hours]]+tbl_Grind[[#This Row],[Est. Hours]])/(tbl_Grind[[#This Row],[Total Hours Act]]+tbl_Grind[[#This Row],[Act. Hours]]),"")</f>
        <v/>
      </c>
      <c r="S46" s="63"/>
      <c r="T46" s="63"/>
      <c r="U46" s="63"/>
      <c r="V46" s="63"/>
      <c r="W46" s="63"/>
    </row>
    <row r="47" spans="6:23" ht="25" customHeight="1">
      <c r="F47" s="53"/>
      <c r="H47" s="55" t="e">
        <f>tbl_Grind[[#This Row],[Qty Complete]]/tbl_Grind[[#This Row],[Qty Required]]</f>
        <v>#DIV/0!</v>
      </c>
      <c r="K47" s="57" t="str">
        <f>IFERROR(tbl_Grind[[#This Row],[Qty Required]]/tbl_Grind[[#This Row],[PPH]]*tbl_Grind[[#This Row],['# of men]],"")</f>
        <v/>
      </c>
      <c r="L47" s="58" t="e">
        <f>tbl_Grind[[#This Row],[Total hours]]*tbl_Grind[[#This Row],[% Complete]]</f>
        <v>#VALUE!</v>
      </c>
      <c r="M47" s="59" t="str">
        <f>IFERROR(tbl_Grind[[#This Row],[Qty Complete]]/tbl_Grind[[#This Row],[Total Hours Act]]*tbl_Grind[[#This Row],['# of men Act]],"")</f>
        <v/>
      </c>
      <c r="O47"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47" s="71" t="str">
        <f>IFERROR((tbl_Grind[[#This Row],[Adj. Total Hours]]+tbl_Grind[[#This Row],[Est. Hours]])/(tbl_Grind[[#This Row],[Total Hours Act]]+tbl_Grind[[#This Row],[Act. Hours]]),"")</f>
        <v/>
      </c>
      <c r="S47" s="63"/>
      <c r="T47" s="63"/>
      <c r="U47" s="63"/>
      <c r="V47" s="63"/>
      <c r="W47" s="63"/>
    </row>
    <row r="48" spans="6:23" ht="25" customHeight="1">
      <c r="F48" s="53"/>
      <c r="H48" s="55" t="e">
        <f>tbl_Grind[[#This Row],[Qty Complete]]/tbl_Grind[[#This Row],[Qty Required]]</f>
        <v>#DIV/0!</v>
      </c>
      <c r="K48" s="57" t="str">
        <f>IFERROR(tbl_Grind[[#This Row],[Qty Required]]/tbl_Grind[[#This Row],[PPH]]*tbl_Grind[[#This Row],['# of men]],"")</f>
        <v/>
      </c>
      <c r="L48" s="58" t="e">
        <f>tbl_Grind[[#This Row],[Total hours]]*tbl_Grind[[#This Row],[% Complete]]</f>
        <v>#VALUE!</v>
      </c>
      <c r="M48" s="59" t="str">
        <f>IFERROR(tbl_Grind[[#This Row],[Qty Complete]]/tbl_Grind[[#This Row],[Total Hours Act]]*tbl_Grind[[#This Row],['# of men Act]],"")</f>
        <v/>
      </c>
      <c r="O48"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48" s="71" t="str">
        <f>IFERROR((tbl_Grind[[#This Row],[Adj. Total Hours]]+tbl_Grind[[#This Row],[Est. Hours]])/(tbl_Grind[[#This Row],[Total Hours Act]]+tbl_Grind[[#This Row],[Act. Hours]]),"")</f>
        <v/>
      </c>
      <c r="S48" s="63"/>
      <c r="T48" s="63"/>
      <c r="U48" s="63"/>
      <c r="V48" s="63"/>
      <c r="W48" s="63"/>
    </row>
    <row r="49" spans="6:23" ht="25" customHeight="1">
      <c r="F49" s="53"/>
      <c r="H49" s="55" t="e">
        <f>tbl_Grind[[#This Row],[Qty Complete]]/tbl_Grind[[#This Row],[Qty Required]]</f>
        <v>#DIV/0!</v>
      </c>
      <c r="K49" s="57" t="str">
        <f>IFERROR(tbl_Grind[[#This Row],[Qty Required]]/tbl_Grind[[#This Row],[PPH]]*tbl_Grind[[#This Row],['# of men]],"")</f>
        <v/>
      </c>
      <c r="L49" s="58" t="e">
        <f>tbl_Grind[[#This Row],[Total hours]]*tbl_Grind[[#This Row],[% Complete]]</f>
        <v>#VALUE!</v>
      </c>
      <c r="M49" s="59" t="str">
        <f>IFERROR(tbl_Grind[[#This Row],[Qty Complete]]/tbl_Grind[[#This Row],[Total Hours Act]]*tbl_Grind[[#This Row],['# of men Act]],"")</f>
        <v/>
      </c>
      <c r="O49"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49" s="71" t="str">
        <f>IFERROR((tbl_Grind[[#This Row],[Adj. Total Hours]]+tbl_Grind[[#This Row],[Est. Hours]])/(tbl_Grind[[#This Row],[Total Hours Act]]+tbl_Grind[[#This Row],[Act. Hours]]),"")</f>
        <v/>
      </c>
      <c r="S49" s="63"/>
      <c r="T49" s="63"/>
      <c r="U49" s="63"/>
      <c r="V49" s="63"/>
      <c r="W49" s="63"/>
    </row>
    <row r="50" spans="6:23" ht="25" customHeight="1">
      <c r="F50" s="53"/>
      <c r="H50" s="55" t="e">
        <f>tbl_Grind[[#This Row],[Qty Complete]]/tbl_Grind[[#This Row],[Qty Required]]</f>
        <v>#DIV/0!</v>
      </c>
      <c r="K50" s="57" t="str">
        <f>IFERROR(tbl_Grind[[#This Row],[Qty Required]]/tbl_Grind[[#This Row],[PPH]]*tbl_Grind[[#This Row],['# of men]],"")</f>
        <v/>
      </c>
      <c r="L50" s="58" t="e">
        <f>tbl_Grind[[#This Row],[Total hours]]*tbl_Grind[[#This Row],[% Complete]]</f>
        <v>#VALUE!</v>
      </c>
      <c r="M50" s="59" t="str">
        <f>IFERROR(tbl_Grind[[#This Row],[Qty Complete]]/tbl_Grind[[#This Row],[Total Hours Act]]*tbl_Grind[[#This Row],['# of men Act]],"")</f>
        <v/>
      </c>
      <c r="O50"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50" s="71" t="str">
        <f>IFERROR((tbl_Grind[[#This Row],[Adj. Total Hours]]+tbl_Grind[[#This Row],[Est. Hours]])/(tbl_Grind[[#This Row],[Total Hours Act]]+tbl_Grind[[#This Row],[Act. Hours]]),"")</f>
        <v/>
      </c>
      <c r="S50" s="63"/>
      <c r="T50" s="63"/>
      <c r="U50" s="63"/>
      <c r="V50" s="63"/>
      <c r="W50" s="63"/>
    </row>
    <row r="51" spans="6:23" ht="25" customHeight="1">
      <c r="F51" s="53"/>
      <c r="H51" s="55" t="e">
        <f>tbl_Grind[[#This Row],[Qty Complete]]/tbl_Grind[[#This Row],[Qty Required]]</f>
        <v>#DIV/0!</v>
      </c>
      <c r="K51" s="57" t="str">
        <f>IFERROR(tbl_Grind[[#This Row],[Qty Required]]/tbl_Grind[[#This Row],[PPH]]*tbl_Grind[[#This Row],['# of men]],"")</f>
        <v/>
      </c>
      <c r="L51" s="58" t="e">
        <f>tbl_Grind[[#This Row],[Total hours]]*tbl_Grind[[#This Row],[% Complete]]</f>
        <v>#VALUE!</v>
      </c>
      <c r="M51" s="59" t="str">
        <f>IFERROR(tbl_Grind[[#This Row],[Qty Complete]]/tbl_Grind[[#This Row],[Total Hours Act]]*tbl_Grind[[#This Row],['# of men Act]],"")</f>
        <v/>
      </c>
      <c r="O51"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51" s="71" t="str">
        <f>IFERROR((tbl_Grind[[#This Row],[Adj. Total Hours]]+tbl_Grind[[#This Row],[Est. Hours]])/(tbl_Grind[[#This Row],[Total Hours Act]]+tbl_Grind[[#This Row],[Act. Hours]]),"")</f>
        <v/>
      </c>
      <c r="S51" s="63"/>
      <c r="T51" s="63"/>
      <c r="U51" s="63"/>
      <c r="V51" s="63"/>
      <c r="W51" s="63"/>
    </row>
    <row r="52" spans="6:23" ht="25" customHeight="1">
      <c r="F52" s="53"/>
      <c r="H52" s="55" t="e">
        <f>tbl_Grind[[#This Row],[Qty Complete]]/tbl_Grind[[#This Row],[Qty Required]]</f>
        <v>#DIV/0!</v>
      </c>
      <c r="K52" s="57" t="str">
        <f>IFERROR(tbl_Grind[[#This Row],[Qty Required]]/tbl_Grind[[#This Row],[PPH]]*tbl_Grind[[#This Row],['# of men]],"")</f>
        <v/>
      </c>
      <c r="L52" s="58" t="e">
        <f>tbl_Grind[[#This Row],[Total hours]]*tbl_Grind[[#This Row],[% Complete]]</f>
        <v>#VALUE!</v>
      </c>
      <c r="M52" s="59" t="str">
        <f>IFERROR(tbl_Grind[[#This Row],[Qty Complete]]/tbl_Grind[[#This Row],[Total Hours Act]]*tbl_Grind[[#This Row],['# of men Act]],"")</f>
        <v/>
      </c>
      <c r="O52"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52" s="71" t="str">
        <f>IFERROR((tbl_Grind[[#This Row],[Adj. Total Hours]]+tbl_Grind[[#This Row],[Est. Hours]])/(tbl_Grind[[#This Row],[Total Hours Act]]+tbl_Grind[[#This Row],[Act. Hours]]),"")</f>
        <v/>
      </c>
      <c r="S52" s="63"/>
      <c r="T52" s="63"/>
      <c r="U52" s="63"/>
      <c r="V52" s="63"/>
      <c r="W52" s="63"/>
    </row>
    <row r="53" spans="6:23" ht="25" customHeight="1">
      <c r="F53" s="53"/>
      <c r="H53" s="55" t="e">
        <f>tbl_Grind[[#This Row],[Qty Complete]]/tbl_Grind[[#This Row],[Qty Required]]</f>
        <v>#DIV/0!</v>
      </c>
      <c r="K53" s="57" t="str">
        <f>IFERROR(tbl_Grind[[#This Row],[Qty Required]]/tbl_Grind[[#This Row],[PPH]]*tbl_Grind[[#This Row],['# of men]],"")</f>
        <v/>
      </c>
      <c r="L53" s="58" t="e">
        <f>tbl_Grind[[#This Row],[Total hours]]*tbl_Grind[[#This Row],[% Complete]]</f>
        <v>#VALUE!</v>
      </c>
      <c r="M53" s="59" t="str">
        <f>IFERROR(tbl_Grind[[#This Row],[Qty Complete]]/tbl_Grind[[#This Row],[Total Hours Act]]*tbl_Grind[[#This Row],['# of men Act]],"")</f>
        <v/>
      </c>
      <c r="O53"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53" s="71" t="str">
        <f>IFERROR((tbl_Grind[[#This Row],[Adj. Total Hours]]+tbl_Grind[[#This Row],[Est. Hours]])/(tbl_Grind[[#This Row],[Total Hours Act]]+tbl_Grind[[#This Row],[Act. Hours]]),"")</f>
        <v/>
      </c>
      <c r="S53" s="63"/>
      <c r="T53" s="63"/>
      <c r="U53" s="63"/>
      <c r="V53" s="63"/>
      <c r="W53" s="63"/>
    </row>
    <row r="54" spans="6:23" ht="25" customHeight="1">
      <c r="F54" s="53"/>
      <c r="H54" s="55" t="e">
        <f>tbl_Grind[[#This Row],[Qty Complete]]/tbl_Grind[[#This Row],[Qty Required]]</f>
        <v>#DIV/0!</v>
      </c>
      <c r="K54" s="57" t="str">
        <f>IFERROR(tbl_Grind[[#This Row],[Qty Required]]/tbl_Grind[[#This Row],[PPH]]*tbl_Grind[[#This Row],['# of men]],"")</f>
        <v/>
      </c>
      <c r="L54" s="58" t="e">
        <f>tbl_Grind[[#This Row],[Total hours]]*tbl_Grind[[#This Row],[% Complete]]</f>
        <v>#VALUE!</v>
      </c>
      <c r="M54" s="59" t="str">
        <f>IFERROR(tbl_Grind[[#This Row],[Qty Complete]]/tbl_Grind[[#This Row],[Total Hours Act]]*tbl_Grind[[#This Row],['# of men Act]],"")</f>
        <v/>
      </c>
      <c r="O54"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54" s="71" t="str">
        <f>IFERROR((tbl_Grind[[#This Row],[Adj. Total Hours]]+tbl_Grind[[#This Row],[Est. Hours]])/(tbl_Grind[[#This Row],[Total Hours Act]]+tbl_Grind[[#This Row],[Act. Hours]]),"")</f>
        <v/>
      </c>
      <c r="S54" s="63"/>
      <c r="T54" s="63"/>
      <c r="U54" s="63"/>
      <c r="V54" s="63"/>
      <c r="W54" s="63"/>
    </row>
    <row r="55" spans="6:23" ht="25" customHeight="1">
      <c r="F55" s="53"/>
      <c r="H55" s="55" t="e">
        <f>tbl_Grind[[#This Row],[Qty Complete]]/tbl_Grind[[#This Row],[Qty Required]]</f>
        <v>#DIV/0!</v>
      </c>
      <c r="K55" s="57" t="str">
        <f>IFERROR(tbl_Grind[[#This Row],[Qty Required]]/tbl_Grind[[#This Row],[PPH]]*tbl_Grind[[#This Row],['# of men]],"")</f>
        <v/>
      </c>
      <c r="L55" s="58" t="e">
        <f>tbl_Grind[[#This Row],[Total hours]]*tbl_Grind[[#This Row],[% Complete]]</f>
        <v>#VALUE!</v>
      </c>
      <c r="M55" s="59" t="str">
        <f>IFERROR(tbl_Grind[[#This Row],[Qty Complete]]/tbl_Grind[[#This Row],[Total Hours Act]]*tbl_Grind[[#This Row],['# of men Act]],"")</f>
        <v/>
      </c>
      <c r="O55"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55" s="71" t="str">
        <f>IFERROR((tbl_Grind[[#This Row],[Adj. Total Hours]]+tbl_Grind[[#This Row],[Est. Hours]])/(tbl_Grind[[#This Row],[Total Hours Act]]+tbl_Grind[[#This Row],[Act. Hours]]),"")</f>
        <v/>
      </c>
      <c r="S55" s="63"/>
      <c r="T55" s="63"/>
      <c r="U55" s="63"/>
      <c r="V55" s="63"/>
      <c r="W55" s="63"/>
    </row>
    <row r="56" spans="6:23" ht="25" customHeight="1">
      <c r="F56" s="53"/>
      <c r="H56" s="55" t="e">
        <f>tbl_Grind[[#This Row],[Qty Complete]]/tbl_Grind[[#This Row],[Qty Required]]</f>
        <v>#DIV/0!</v>
      </c>
      <c r="K56" s="57" t="str">
        <f>IFERROR(tbl_Grind[[#This Row],[Qty Required]]/tbl_Grind[[#This Row],[PPH]]*tbl_Grind[[#This Row],['# of men]],"")</f>
        <v/>
      </c>
      <c r="L56" s="58" t="e">
        <f>tbl_Grind[[#This Row],[Total hours]]*tbl_Grind[[#This Row],[% Complete]]</f>
        <v>#VALUE!</v>
      </c>
      <c r="M56" s="59" t="str">
        <f>IFERROR(tbl_Grind[[#This Row],[Qty Complete]]/tbl_Grind[[#This Row],[Total Hours Act]]*tbl_Grind[[#This Row],['# of men Act]],"")</f>
        <v/>
      </c>
      <c r="O56"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56" s="71" t="str">
        <f>IFERROR((tbl_Grind[[#This Row],[Adj. Total Hours]]+tbl_Grind[[#This Row],[Est. Hours]])/(tbl_Grind[[#This Row],[Total Hours Act]]+tbl_Grind[[#This Row],[Act. Hours]]),"")</f>
        <v/>
      </c>
      <c r="S56" s="63"/>
      <c r="T56" s="63"/>
      <c r="U56" s="63"/>
      <c r="V56" s="63"/>
      <c r="W56" s="63"/>
    </row>
    <row r="57" spans="6:23" ht="25" customHeight="1">
      <c r="F57" s="53"/>
      <c r="H57" s="55" t="e">
        <f>tbl_Grind[[#This Row],[Qty Complete]]/tbl_Grind[[#This Row],[Qty Required]]</f>
        <v>#DIV/0!</v>
      </c>
      <c r="K57" s="57" t="str">
        <f>IFERROR(tbl_Grind[[#This Row],[Qty Required]]/tbl_Grind[[#This Row],[PPH]]*tbl_Grind[[#This Row],['# of men]],"")</f>
        <v/>
      </c>
      <c r="L57" s="58" t="e">
        <f>tbl_Grind[[#This Row],[Total hours]]*tbl_Grind[[#This Row],[% Complete]]</f>
        <v>#VALUE!</v>
      </c>
      <c r="M57" s="59" t="str">
        <f>IFERROR(tbl_Grind[[#This Row],[Qty Complete]]/tbl_Grind[[#This Row],[Total Hours Act]]*tbl_Grind[[#This Row],['# of men Act]],"")</f>
        <v/>
      </c>
      <c r="O57"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57" s="71" t="str">
        <f>IFERROR((tbl_Grind[[#This Row],[Adj. Total Hours]]+tbl_Grind[[#This Row],[Est. Hours]])/(tbl_Grind[[#This Row],[Total Hours Act]]+tbl_Grind[[#This Row],[Act. Hours]]),"")</f>
        <v/>
      </c>
      <c r="S57" s="63"/>
      <c r="T57" s="63"/>
      <c r="U57" s="63"/>
      <c r="V57" s="63"/>
      <c r="W57" s="63"/>
    </row>
    <row r="58" spans="6:23" ht="25" customHeight="1">
      <c r="F58" s="53"/>
      <c r="H58" s="55" t="e">
        <f>tbl_Grind[[#This Row],[Qty Complete]]/tbl_Grind[[#This Row],[Qty Required]]</f>
        <v>#DIV/0!</v>
      </c>
      <c r="K58" s="57" t="str">
        <f>IFERROR(tbl_Grind[[#This Row],[Qty Required]]/tbl_Grind[[#This Row],[PPH]]*tbl_Grind[[#This Row],['# of men]],"")</f>
        <v/>
      </c>
      <c r="L58" s="58" t="e">
        <f>tbl_Grind[[#This Row],[Total hours]]*tbl_Grind[[#This Row],[% Complete]]</f>
        <v>#VALUE!</v>
      </c>
      <c r="M58" s="59" t="str">
        <f>IFERROR(tbl_Grind[[#This Row],[Qty Complete]]/tbl_Grind[[#This Row],[Total Hours Act]]*tbl_Grind[[#This Row],['# of men Act]],"")</f>
        <v/>
      </c>
      <c r="O58"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58" s="71" t="str">
        <f>IFERROR((tbl_Grind[[#This Row],[Adj. Total Hours]]+tbl_Grind[[#This Row],[Est. Hours]])/(tbl_Grind[[#This Row],[Total Hours Act]]+tbl_Grind[[#This Row],[Act. Hours]]),"")</f>
        <v/>
      </c>
      <c r="S58" s="63"/>
      <c r="T58" s="63"/>
      <c r="U58" s="63"/>
      <c r="V58" s="63"/>
      <c r="W58" s="63"/>
    </row>
    <row r="59" spans="6:23" ht="25" customHeight="1">
      <c r="F59" s="53"/>
      <c r="H59" s="55" t="e">
        <f>tbl_Grind[[#This Row],[Qty Complete]]/tbl_Grind[[#This Row],[Qty Required]]</f>
        <v>#DIV/0!</v>
      </c>
      <c r="K59" s="57" t="str">
        <f>IFERROR(tbl_Grind[[#This Row],[Qty Required]]/tbl_Grind[[#This Row],[PPH]]*tbl_Grind[[#This Row],['# of men]],"")</f>
        <v/>
      </c>
      <c r="L59" s="58" t="e">
        <f>tbl_Grind[[#This Row],[Total hours]]*tbl_Grind[[#This Row],[% Complete]]</f>
        <v>#VALUE!</v>
      </c>
      <c r="M59" s="59" t="str">
        <f>IFERROR(tbl_Grind[[#This Row],[Qty Complete]]/tbl_Grind[[#This Row],[Total Hours Act]]*tbl_Grind[[#This Row],['# of men Act]],"")</f>
        <v/>
      </c>
      <c r="O59"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59" s="71" t="str">
        <f>IFERROR((tbl_Grind[[#This Row],[Adj. Total Hours]]+tbl_Grind[[#This Row],[Est. Hours]])/(tbl_Grind[[#This Row],[Total Hours Act]]+tbl_Grind[[#This Row],[Act. Hours]]),"")</f>
        <v/>
      </c>
      <c r="S59" s="63"/>
      <c r="T59" s="63"/>
      <c r="U59" s="63"/>
      <c r="V59" s="63"/>
      <c r="W59" s="63"/>
    </row>
    <row r="60" spans="6:23" ht="25" customHeight="1">
      <c r="F60" s="53"/>
      <c r="H60" s="55" t="e">
        <f>tbl_Grind[[#This Row],[Qty Complete]]/tbl_Grind[[#This Row],[Qty Required]]</f>
        <v>#DIV/0!</v>
      </c>
      <c r="K60" s="57" t="str">
        <f>IFERROR(tbl_Grind[[#This Row],[Qty Required]]/tbl_Grind[[#This Row],[PPH]]*tbl_Grind[[#This Row],['# of men]],"")</f>
        <v/>
      </c>
      <c r="L60" s="58" t="e">
        <f>tbl_Grind[[#This Row],[Total hours]]*tbl_Grind[[#This Row],[% Complete]]</f>
        <v>#VALUE!</v>
      </c>
      <c r="M60" s="59" t="str">
        <f>IFERROR(tbl_Grind[[#This Row],[Qty Complete]]/tbl_Grind[[#This Row],[Total Hours Act]]*tbl_Grind[[#This Row],['# of men Act]],"")</f>
        <v/>
      </c>
      <c r="O60"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60" s="71" t="str">
        <f>IFERROR((tbl_Grind[[#This Row],[Adj. Total Hours]]+tbl_Grind[[#This Row],[Est. Hours]])/(tbl_Grind[[#This Row],[Total Hours Act]]+tbl_Grind[[#This Row],[Act. Hours]]),"")</f>
        <v/>
      </c>
      <c r="S60" s="63"/>
      <c r="T60" s="63"/>
      <c r="U60" s="63"/>
      <c r="V60" s="63"/>
      <c r="W60" s="63"/>
    </row>
    <row r="61" spans="6:23" ht="25" customHeight="1">
      <c r="F61" s="53"/>
      <c r="H61" s="55" t="e">
        <f>tbl_Grind[[#This Row],[Qty Complete]]/tbl_Grind[[#This Row],[Qty Required]]</f>
        <v>#DIV/0!</v>
      </c>
      <c r="K61" s="57" t="str">
        <f>IFERROR(tbl_Grind[[#This Row],[Qty Required]]/tbl_Grind[[#This Row],[PPH]]*tbl_Grind[[#This Row],['# of men]],"")</f>
        <v/>
      </c>
      <c r="L61" s="58" t="e">
        <f>tbl_Grind[[#This Row],[Total hours]]*tbl_Grind[[#This Row],[% Complete]]</f>
        <v>#VALUE!</v>
      </c>
      <c r="M61" s="59" t="str">
        <f>IFERROR(tbl_Grind[[#This Row],[Qty Complete]]/tbl_Grind[[#This Row],[Total Hours Act]]*tbl_Grind[[#This Row],['# of men Act]],"")</f>
        <v/>
      </c>
      <c r="O61"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61" s="71" t="str">
        <f>IFERROR((tbl_Grind[[#This Row],[Adj. Total Hours]]+tbl_Grind[[#This Row],[Est. Hours]])/(tbl_Grind[[#This Row],[Total Hours Act]]+tbl_Grind[[#This Row],[Act. Hours]]),"")</f>
        <v/>
      </c>
      <c r="S61" s="63"/>
      <c r="T61" s="63"/>
      <c r="U61" s="63"/>
      <c r="V61" s="63"/>
      <c r="W61" s="63"/>
    </row>
    <row r="62" spans="6:23" ht="25" customHeight="1">
      <c r="F62" s="53"/>
      <c r="H62" s="55" t="e">
        <f>tbl_Grind[[#This Row],[Qty Complete]]/tbl_Grind[[#This Row],[Qty Required]]</f>
        <v>#DIV/0!</v>
      </c>
      <c r="K62" s="57" t="str">
        <f>IFERROR(tbl_Grind[[#This Row],[Qty Required]]/tbl_Grind[[#This Row],[PPH]]*tbl_Grind[[#This Row],['# of men]],"")</f>
        <v/>
      </c>
      <c r="L62" s="58" t="e">
        <f>tbl_Grind[[#This Row],[Total hours]]*tbl_Grind[[#This Row],[% Complete]]</f>
        <v>#VALUE!</v>
      </c>
      <c r="M62" s="59" t="str">
        <f>IFERROR(tbl_Grind[[#This Row],[Qty Complete]]/tbl_Grind[[#This Row],[Total Hours Act]]*tbl_Grind[[#This Row],['# of men Act]],"")</f>
        <v/>
      </c>
      <c r="O62"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62" s="71" t="str">
        <f>IFERROR((tbl_Grind[[#This Row],[Adj. Total Hours]]+tbl_Grind[[#This Row],[Est. Hours]])/(tbl_Grind[[#This Row],[Total Hours Act]]+tbl_Grind[[#This Row],[Act. Hours]]),"")</f>
        <v/>
      </c>
      <c r="S62" s="63"/>
      <c r="T62" s="63"/>
      <c r="U62" s="63"/>
      <c r="V62" s="63"/>
      <c r="W62" s="63"/>
    </row>
    <row r="63" spans="6:23" ht="25" customHeight="1">
      <c r="F63" s="53"/>
      <c r="H63" s="55" t="e">
        <f>tbl_Grind[[#This Row],[Qty Complete]]/tbl_Grind[[#This Row],[Qty Required]]</f>
        <v>#DIV/0!</v>
      </c>
      <c r="K63" s="57" t="str">
        <f>IFERROR(tbl_Grind[[#This Row],[Qty Required]]/tbl_Grind[[#This Row],[PPH]]*tbl_Grind[[#This Row],['# of men]],"")</f>
        <v/>
      </c>
      <c r="L63" s="58" t="e">
        <f>tbl_Grind[[#This Row],[Total hours]]*tbl_Grind[[#This Row],[% Complete]]</f>
        <v>#VALUE!</v>
      </c>
      <c r="M63" s="59" t="str">
        <f>IFERROR(tbl_Grind[[#This Row],[Qty Complete]]/tbl_Grind[[#This Row],[Total Hours Act]]*tbl_Grind[[#This Row],['# of men Act]],"")</f>
        <v/>
      </c>
      <c r="O63"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63" s="71" t="str">
        <f>IFERROR((tbl_Grind[[#This Row],[Adj. Total Hours]]+tbl_Grind[[#This Row],[Est. Hours]])/(tbl_Grind[[#This Row],[Total Hours Act]]+tbl_Grind[[#This Row],[Act. Hours]]),"")</f>
        <v/>
      </c>
      <c r="S63" s="63"/>
      <c r="T63" s="63"/>
      <c r="U63" s="63"/>
      <c r="V63" s="63"/>
      <c r="W63" s="63"/>
    </row>
    <row r="64" spans="6:23" ht="25" customHeight="1">
      <c r="F64" s="53"/>
      <c r="H64" s="55" t="e">
        <f>tbl_Grind[[#This Row],[Qty Complete]]/tbl_Grind[[#This Row],[Qty Required]]</f>
        <v>#DIV/0!</v>
      </c>
      <c r="K64" s="57" t="str">
        <f>IFERROR(tbl_Grind[[#This Row],[Qty Required]]/tbl_Grind[[#This Row],[PPH]]*tbl_Grind[[#This Row],['# of men]],"")</f>
        <v/>
      </c>
      <c r="L64" s="58" t="e">
        <f>tbl_Grind[[#This Row],[Total hours]]*tbl_Grind[[#This Row],[% Complete]]</f>
        <v>#VALUE!</v>
      </c>
      <c r="M64" s="59" t="str">
        <f>IFERROR(tbl_Grind[[#This Row],[Qty Complete]]/tbl_Grind[[#This Row],[Total Hours Act]]*tbl_Grind[[#This Row],['# of men Act]],"")</f>
        <v/>
      </c>
      <c r="O64"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64" s="71" t="str">
        <f>IFERROR((tbl_Grind[[#This Row],[Adj. Total Hours]]+tbl_Grind[[#This Row],[Est. Hours]])/(tbl_Grind[[#This Row],[Total Hours Act]]+tbl_Grind[[#This Row],[Act. Hours]]),"")</f>
        <v/>
      </c>
      <c r="S64" s="63"/>
      <c r="T64" s="63"/>
      <c r="U64" s="63"/>
      <c r="V64" s="63"/>
      <c r="W64" s="63"/>
    </row>
    <row r="65" spans="6:23" ht="25" customHeight="1">
      <c r="F65" s="53"/>
      <c r="H65" s="55" t="e">
        <f>tbl_Grind[[#This Row],[Qty Complete]]/tbl_Grind[[#This Row],[Qty Required]]</f>
        <v>#DIV/0!</v>
      </c>
      <c r="K65" s="57" t="str">
        <f>IFERROR(tbl_Grind[[#This Row],[Qty Required]]/tbl_Grind[[#This Row],[PPH]]*tbl_Grind[[#This Row],['# of men]],"")</f>
        <v/>
      </c>
      <c r="L65" s="58" t="e">
        <f>tbl_Grind[[#This Row],[Total hours]]*tbl_Grind[[#This Row],[% Complete]]</f>
        <v>#VALUE!</v>
      </c>
      <c r="M65" s="59" t="str">
        <f>IFERROR(tbl_Grind[[#This Row],[Qty Complete]]/tbl_Grind[[#This Row],[Total Hours Act]]*tbl_Grind[[#This Row],['# of men Act]],"")</f>
        <v/>
      </c>
      <c r="O65"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65" s="71" t="str">
        <f>IFERROR((tbl_Grind[[#This Row],[Adj. Total Hours]]+tbl_Grind[[#This Row],[Est. Hours]])/(tbl_Grind[[#This Row],[Total Hours Act]]+tbl_Grind[[#This Row],[Act. Hours]]),"")</f>
        <v/>
      </c>
      <c r="S65" s="63"/>
      <c r="T65" s="63"/>
      <c r="U65" s="63"/>
      <c r="V65" s="63"/>
      <c r="W65" s="63"/>
    </row>
    <row r="66" spans="6:23" ht="25" customHeight="1">
      <c r="F66" s="53"/>
      <c r="H66" s="55" t="e">
        <f>tbl_Grind[[#This Row],[Qty Complete]]/tbl_Grind[[#This Row],[Qty Required]]</f>
        <v>#DIV/0!</v>
      </c>
      <c r="K66" s="57" t="str">
        <f>IFERROR(tbl_Grind[[#This Row],[Qty Required]]/tbl_Grind[[#This Row],[PPH]]*tbl_Grind[[#This Row],['# of men]],"")</f>
        <v/>
      </c>
      <c r="L66" s="58" t="e">
        <f>tbl_Grind[[#This Row],[Total hours]]*tbl_Grind[[#This Row],[% Complete]]</f>
        <v>#VALUE!</v>
      </c>
      <c r="M66" s="59" t="str">
        <f>IFERROR(tbl_Grind[[#This Row],[Qty Complete]]/tbl_Grind[[#This Row],[Total Hours Act]]*tbl_Grind[[#This Row],['# of men Act]],"")</f>
        <v/>
      </c>
      <c r="O66"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66" s="71" t="str">
        <f>IFERROR((tbl_Grind[[#This Row],[Adj. Total Hours]]+tbl_Grind[[#This Row],[Est. Hours]])/(tbl_Grind[[#This Row],[Total Hours Act]]+tbl_Grind[[#This Row],[Act. Hours]]),"")</f>
        <v/>
      </c>
      <c r="S66" s="63"/>
      <c r="T66" s="63"/>
      <c r="U66" s="63"/>
      <c r="V66" s="63"/>
      <c r="W66" s="63"/>
    </row>
    <row r="67" spans="6:23" ht="25" customHeight="1">
      <c r="F67" s="53"/>
      <c r="H67" s="55" t="e">
        <f>tbl_Grind[[#This Row],[Qty Complete]]/tbl_Grind[[#This Row],[Qty Required]]</f>
        <v>#DIV/0!</v>
      </c>
      <c r="K67" s="57" t="str">
        <f>IFERROR(tbl_Grind[[#This Row],[Qty Required]]/tbl_Grind[[#This Row],[PPH]]*tbl_Grind[[#This Row],['# of men]],"")</f>
        <v/>
      </c>
      <c r="L67" s="58" t="e">
        <f>tbl_Grind[[#This Row],[Total hours]]*tbl_Grind[[#This Row],[% Complete]]</f>
        <v>#VALUE!</v>
      </c>
      <c r="M67" s="59" t="str">
        <f>IFERROR(tbl_Grind[[#This Row],[Qty Complete]]/tbl_Grind[[#This Row],[Total Hours Act]]*tbl_Grind[[#This Row],['# of men Act]],"")</f>
        <v/>
      </c>
      <c r="O67"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67" s="71" t="str">
        <f>IFERROR((tbl_Grind[[#This Row],[Adj. Total Hours]]+tbl_Grind[[#This Row],[Est. Hours]])/(tbl_Grind[[#This Row],[Total Hours Act]]+tbl_Grind[[#This Row],[Act. Hours]]),"")</f>
        <v/>
      </c>
      <c r="S67" s="63"/>
      <c r="T67" s="63"/>
      <c r="U67" s="63"/>
      <c r="V67" s="63"/>
      <c r="W67" s="63"/>
    </row>
    <row r="68" spans="6:23" ht="25" customHeight="1">
      <c r="F68" s="53"/>
      <c r="H68" s="55" t="e">
        <f>tbl_Grind[[#This Row],[Qty Complete]]/tbl_Grind[[#This Row],[Qty Required]]</f>
        <v>#DIV/0!</v>
      </c>
      <c r="K68" s="57" t="str">
        <f>IFERROR(tbl_Grind[[#This Row],[Qty Required]]/tbl_Grind[[#This Row],[PPH]]*tbl_Grind[[#This Row],['# of men]],"")</f>
        <v/>
      </c>
      <c r="L68" s="58" t="e">
        <f>tbl_Grind[[#This Row],[Total hours]]*tbl_Grind[[#This Row],[% Complete]]</f>
        <v>#VALUE!</v>
      </c>
      <c r="M68" s="59" t="str">
        <f>IFERROR(tbl_Grind[[#This Row],[Qty Complete]]/tbl_Grind[[#This Row],[Total Hours Act]]*tbl_Grind[[#This Row],['# of men Act]],"")</f>
        <v/>
      </c>
      <c r="O68"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68" s="71" t="str">
        <f>IFERROR((tbl_Grind[[#This Row],[Adj. Total Hours]]+tbl_Grind[[#This Row],[Est. Hours]])/(tbl_Grind[[#This Row],[Total Hours Act]]+tbl_Grind[[#This Row],[Act. Hours]]),"")</f>
        <v/>
      </c>
      <c r="S68" s="63"/>
      <c r="T68" s="63"/>
      <c r="U68" s="63"/>
      <c r="V68" s="63"/>
      <c r="W68" s="63"/>
    </row>
    <row r="69" spans="6:23" ht="25" customHeight="1">
      <c r="F69" s="53"/>
      <c r="H69" s="55" t="e">
        <f>tbl_Grind[[#This Row],[Qty Complete]]/tbl_Grind[[#This Row],[Qty Required]]</f>
        <v>#DIV/0!</v>
      </c>
      <c r="K69" s="57" t="str">
        <f>IFERROR(tbl_Grind[[#This Row],[Qty Required]]/tbl_Grind[[#This Row],[PPH]]*tbl_Grind[[#This Row],['# of men]],"")</f>
        <v/>
      </c>
      <c r="L69" s="58" t="e">
        <f>tbl_Grind[[#This Row],[Total hours]]*tbl_Grind[[#This Row],[% Complete]]</f>
        <v>#VALUE!</v>
      </c>
      <c r="M69" s="59" t="str">
        <f>IFERROR(tbl_Grind[[#This Row],[Qty Complete]]/tbl_Grind[[#This Row],[Total Hours Act]]*tbl_Grind[[#This Row],['# of men Act]],"")</f>
        <v/>
      </c>
      <c r="O69"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69" s="71" t="str">
        <f>IFERROR((tbl_Grind[[#This Row],[Adj. Total Hours]]+tbl_Grind[[#This Row],[Est. Hours]])/(tbl_Grind[[#This Row],[Total Hours Act]]+tbl_Grind[[#This Row],[Act. Hours]]),"")</f>
        <v/>
      </c>
      <c r="S69" s="63"/>
      <c r="T69" s="63"/>
      <c r="U69" s="63"/>
      <c r="V69" s="63"/>
      <c r="W69" s="63"/>
    </row>
    <row r="70" spans="6:23" ht="25" customHeight="1">
      <c r="F70" s="53"/>
      <c r="H70" s="55" t="e">
        <f>tbl_Grind[[#This Row],[Qty Complete]]/tbl_Grind[[#This Row],[Qty Required]]</f>
        <v>#DIV/0!</v>
      </c>
      <c r="K70" s="57" t="str">
        <f>IFERROR(tbl_Grind[[#This Row],[Qty Required]]/tbl_Grind[[#This Row],[PPH]]*tbl_Grind[[#This Row],['# of men]],"")</f>
        <v/>
      </c>
      <c r="L70" s="58" t="e">
        <f>tbl_Grind[[#This Row],[Total hours]]*tbl_Grind[[#This Row],[% Complete]]</f>
        <v>#VALUE!</v>
      </c>
      <c r="M70" s="59" t="str">
        <f>IFERROR(tbl_Grind[[#This Row],[Qty Complete]]/tbl_Grind[[#This Row],[Total Hours Act]]*tbl_Grind[[#This Row],['# of men Act]],"")</f>
        <v/>
      </c>
      <c r="O70"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70" s="71" t="str">
        <f>IFERROR((tbl_Grind[[#This Row],[Adj. Total Hours]]+tbl_Grind[[#This Row],[Est. Hours]])/(tbl_Grind[[#This Row],[Total Hours Act]]+tbl_Grind[[#This Row],[Act. Hours]]),"")</f>
        <v/>
      </c>
      <c r="S70" s="63"/>
      <c r="T70" s="63"/>
      <c r="U70" s="63"/>
      <c r="V70" s="63"/>
      <c r="W70" s="63"/>
    </row>
    <row r="71" spans="6:23" ht="25" customHeight="1">
      <c r="F71" s="53"/>
      <c r="H71" s="55" t="e">
        <f>tbl_Grind[[#This Row],[Qty Complete]]/tbl_Grind[[#This Row],[Qty Required]]</f>
        <v>#DIV/0!</v>
      </c>
      <c r="K71" s="57" t="str">
        <f>IFERROR(tbl_Grind[[#This Row],[Qty Required]]/tbl_Grind[[#This Row],[PPH]]*tbl_Grind[[#This Row],['# of men]],"")</f>
        <v/>
      </c>
      <c r="L71" s="58" t="e">
        <f>tbl_Grind[[#This Row],[Total hours]]*tbl_Grind[[#This Row],[% Complete]]</f>
        <v>#VALUE!</v>
      </c>
      <c r="M71" s="59" t="str">
        <f>IFERROR(tbl_Grind[[#This Row],[Qty Complete]]/tbl_Grind[[#This Row],[Total Hours Act]]*tbl_Grind[[#This Row],['# of men Act]],"")</f>
        <v/>
      </c>
      <c r="O71"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71" s="71" t="str">
        <f>IFERROR((tbl_Grind[[#This Row],[Adj. Total Hours]]+tbl_Grind[[#This Row],[Est. Hours]])/(tbl_Grind[[#This Row],[Total Hours Act]]+tbl_Grind[[#This Row],[Act. Hours]]),"")</f>
        <v/>
      </c>
      <c r="S71" s="63"/>
      <c r="T71" s="63"/>
      <c r="U71" s="63"/>
      <c r="V71" s="63"/>
      <c r="W71" s="63"/>
    </row>
    <row r="72" spans="6:23" ht="25" customHeight="1">
      <c r="F72" s="53"/>
      <c r="H72" s="55" t="e">
        <f>tbl_Grind[[#This Row],[Qty Complete]]/tbl_Grind[[#This Row],[Qty Required]]</f>
        <v>#DIV/0!</v>
      </c>
      <c r="K72" s="57" t="str">
        <f>IFERROR(tbl_Grind[[#This Row],[Qty Required]]/tbl_Grind[[#This Row],[PPH]]*tbl_Grind[[#This Row],['# of men]],"")</f>
        <v/>
      </c>
      <c r="L72" s="58" t="e">
        <f>tbl_Grind[[#This Row],[Total hours]]*tbl_Grind[[#This Row],[% Complete]]</f>
        <v>#VALUE!</v>
      </c>
      <c r="M72" s="59" t="str">
        <f>IFERROR(tbl_Grind[[#This Row],[Qty Complete]]/tbl_Grind[[#This Row],[Total Hours Act]]*tbl_Grind[[#This Row],['# of men Act]],"")</f>
        <v/>
      </c>
      <c r="O72"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72" s="71" t="str">
        <f>IFERROR((tbl_Grind[[#This Row],[Adj. Total Hours]]+tbl_Grind[[#This Row],[Est. Hours]])/(tbl_Grind[[#This Row],[Total Hours Act]]+tbl_Grind[[#This Row],[Act. Hours]]),"")</f>
        <v/>
      </c>
      <c r="S72" s="63"/>
      <c r="T72" s="63"/>
      <c r="U72" s="63"/>
      <c r="V72" s="63"/>
      <c r="W72" s="63"/>
    </row>
    <row r="73" spans="6:23" ht="25" customHeight="1">
      <c r="F73" s="53"/>
      <c r="H73" s="55" t="e">
        <f>tbl_Grind[[#This Row],[Qty Complete]]/tbl_Grind[[#This Row],[Qty Required]]</f>
        <v>#DIV/0!</v>
      </c>
      <c r="K73" s="57" t="str">
        <f>IFERROR(tbl_Grind[[#This Row],[Qty Required]]/tbl_Grind[[#This Row],[PPH]]*tbl_Grind[[#This Row],['# of men]],"")</f>
        <v/>
      </c>
      <c r="L73" s="58" t="e">
        <f>tbl_Grind[[#This Row],[Total hours]]*tbl_Grind[[#This Row],[% Complete]]</f>
        <v>#VALUE!</v>
      </c>
      <c r="M73" s="59" t="str">
        <f>IFERROR(tbl_Grind[[#This Row],[Qty Complete]]/tbl_Grind[[#This Row],[Total Hours Act]]*tbl_Grind[[#This Row],['# of men Act]],"")</f>
        <v/>
      </c>
      <c r="O73"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73" s="71" t="str">
        <f>IFERROR((tbl_Grind[[#This Row],[Adj. Total Hours]]+tbl_Grind[[#This Row],[Est. Hours]])/(tbl_Grind[[#This Row],[Total Hours Act]]+tbl_Grind[[#This Row],[Act. Hours]]),"")</f>
        <v/>
      </c>
      <c r="S73" s="63"/>
      <c r="T73" s="63"/>
      <c r="U73" s="63"/>
      <c r="V73" s="63"/>
      <c r="W73" s="63"/>
    </row>
    <row r="74" spans="6:23" ht="25" customHeight="1">
      <c r="F74" s="53"/>
      <c r="H74" s="55" t="e">
        <f>tbl_Grind[[#This Row],[Qty Complete]]/tbl_Grind[[#This Row],[Qty Required]]</f>
        <v>#DIV/0!</v>
      </c>
      <c r="K74" s="57" t="str">
        <f>IFERROR(tbl_Grind[[#This Row],[Qty Required]]/tbl_Grind[[#This Row],[PPH]]*tbl_Grind[[#This Row],['# of men]],"")</f>
        <v/>
      </c>
      <c r="L74" s="58" t="e">
        <f>tbl_Grind[[#This Row],[Total hours]]*tbl_Grind[[#This Row],[% Complete]]</f>
        <v>#VALUE!</v>
      </c>
      <c r="M74" s="59" t="str">
        <f>IFERROR(tbl_Grind[[#This Row],[Qty Complete]]/tbl_Grind[[#This Row],[Total Hours Act]]*tbl_Grind[[#This Row],['# of men Act]],"")</f>
        <v/>
      </c>
      <c r="O74"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74" s="71" t="str">
        <f>IFERROR((tbl_Grind[[#This Row],[Adj. Total Hours]]+tbl_Grind[[#This Row],[Est. Hours]])/(tbl_Grind[[#This Row],[Total Hours Act]]+tbl_Grind[[#This Row],[Act. Hours]]),"")</f>
        <v/>
      </c>
      <c r="S74" s="63"/>
      <c r="T74" s="63"/>
      <c r="U74" s="63"/>
      <c r="V74" s="63"/>
      <c r="W74" s="63"/>
    </row>
    <row r="75" spans="6:23" ht="25" customHeight="1">
      <c r="F75" s="53"/>
      <c r="H75" s="55" t="e">
        <f>tbl_Grind[[#This Row],[Qty Complete]]/tbl_Grind[[#This Row],[Qty Required]]</f>
        <v>#DIV/0!</v>
      </c>
      <c r="K75" s="57" t="str">
        <f>IFERROR(tbl_Grind[[#This Row],[Qty Required]]/tbl_Grind[[#This Row],[PPH]]*tbl_Grind[[#This Row],['# of men]],"")</f>
        <v/>
      </c>
      <c r="L75" s="58" t="e">
        <f>tbl_Grind[[#This Row],[Total hours]]*tbl_Grind[[#This Row],[% Complete]]</f>
        <v>#VALUE!</v>
      </c>
      <c r="M75" s="59" t="str">
        <f>IFERROR(tbl_Grind[[#This Row],[Qty Complete]]/tbl_Grind[[#This Row],[Total Hours Act]]*tbl_Grind[[#This Row],['# of men Act]],"")</f>
        <v/>
      </c>
      <c r="O75"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75" s="71" t="str">
        <f>IFERROR((tbl_Grind[[#This Row],[Adj. Total Hours]]+tbl_Grind[[#This Row],[Est. Hours]])/(tbl_Grind[[#This Row],[Total Hours Act]]+tbl_Grind[[#This Row],[Act. Hours]]),"")</f>
        <v/>
      </c>
      <c r="S75" s="63"/>
      <c r="T75" s="63"/>
      <c r="U75" s="63"/>
      <c r="V75" s="63"/>
      <c r="W75" s="63"/>
    </row>
    <row r="76" spans="6:23" ht="25" customHeight="1">
      <c r="F76" s="53"/>
      <c r="H76" s="55" t="e">
        <f>tbl_Grind[[#This Row],[Qty Complete]]/tbl_Grind[[#This Row],[Qty Required]]</f>
        <v>#DIV/0!</v>
      </c>
      <c r="K76" s="57" t="str">
        <f>IFERROR(tbl_Grind[[#This Row],[Qty Required]]/tbl_Grind[[#This Row],[PPH]]*tbl_Grind[[#This Row],['# of men]],"")</f>
        <v/>
      </c>
      <c r="L76" s="58" t="e">
        <f>tbl_Grind[[#This Row],[Total hours]]*tbl_Grind[[#This Row],[% Complete]]</f>
        <v>#VALUE!</v>
      </c>
      <c r="M76" s="59" t="str">
        <f>IFERROR(tbl_Grind[[#This Row],[Qty Complete]]/tbl_Grind[[#This Row],[Total Hours Act]]*tbl_Grind[[#This Row],['# of men Act]],"")</f>
        <v/>
      </c>
      <c r="O76"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76" s="71" t="str">
        <f>IFERROR((tbl_Grind[[#This Row],[Adj. Total Hours]]+tbl_Grind[[#This Row],[Est. Hours]])/(tbl_Grind[[#This Row],[Total Hours Act]]+tbl_Grind[[#This Row],[Act. Hours]]),"")</f>
        <v/>
      </c>
      <c r="S76" s="63"/>
      <c r="T76" s="63"/>
      <c r="U76" s="63"/>
      <c r="V76" s="63"/>
      <c r="W76" s="63"/>
    </row>
    <row r="77" spans="6:23" ht="25" customHeight="1">
      <c r="F77" s="53"/>
      <c r="H77" s="55" t="e">
        <f>tbl_Grind[[#This Row],[Qty Complete]]/tbl_Grind[[#This Row],[Qty Required]]</f>
        <v>#DIV/0!</v>
      </c>
      <c r="K77" s="57" t="str">
        <f>IFERROR(tbl_Grind[[#This Row],[Qty Required]]/tbl_Grind[[#This Row],[PPH]]*tbl_Grind[[#This Row],['# of men]],"")</f>
        <v/>
      </c>
      <c r="L77" s="58" t="e">
        <f>tbl_Grind[[#This Row],[Total hours]]*tbl_Grind[[#This Row],[% Complete]]</f>
        <v>#VALUE!</v>
      </c>
      <c r="M77" s="59" t="str">
        <f>IFERROR(tbl_Grind[[#This Row],[Qty Complete]]/tbl_Grind[[#This Row],[Total Hours Act]]*tbl_Grind[[#This Row],['# of men Act]],"")</f>
        <v/>
      </c>
      <c r="O77"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77" s="71" t="str">
        <f>IFERROR((tbl_Grind[[#This Row],[Adj. Total Hours]]+tbl_Grind[[#This Row],[Est. Hours]])/(tbl_Grind[[#This Row],[Total Hours Act]]+tbl_Grind[[#This Row],[Act. Hours]]),"")</f>
        <v/>
      </c>
      <c r="S77" s="63"/>
      <c r="T77" s="63"/>
      <c r="U77" s="63"/>
      <c r="V77" s="63"/>
      <c r="W77" s="63"/>
    </row>
    <row r="78" spans="6:23" ht="25" customHeight="1">
      <c r="F78" s="53"/>
      <c r="H78" s="55" t="e">
        <f>tbl_Grind[[#This Row],[Qty Complete]]/tbl_Grind[[#This Row],[Qty Required]]</f>
        <v>#DIV/0!</v>
      </c>
      <c r="K78" s="57" t="str">
        <f>IFERROR(tbl_Grind[[#This Row],[Qty Required]]/tbl_Grind[[#This Row],[PPH]]*tbl_Grind[[#This Row],['# of men]],"")</f>
        <v/>
      </c>
      <c r="L78" s="58" t="e">
        <f>tbl_Grind[[#This Row],[Total hours]]*tbl_Grind[[#This Row],[% Complete]]</f>
        <v>#VALUE!</v>
      </c>
      <c r="M78" s="59" t="str">
        <f>IFERROR(tbl_Grind[[#This Row],[Qty Complete]]/tbl_Grind[[#This Row],[Total Hours Act]]*tbl_Grind[[#This Row],['# of men Act]],"")</f>
        <v/>
      </c>
      <c r="O78"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78" s="71" t="str">
        <f>IFERROR((tbl_Grind[[#This Row],[Adj. Total Hours]]+tbl_Grind[[#This Row],[Est. Hours]])/(tbl_Grind[[#This Row],[Total Hours Act]]+tbl_Grind[[#This Row],[Act. Hours]]),"")</f>
        <v/>
      </c>
      <c r="S78" s="63"/>
      <c r="T78" s="63"/>
      <c r="U78" s="63"/>
      <c r="V78" s="63"/>
      <c r="W78" s="63"/>
    </row>
    <row r="79" spans="6:23" ht="25" customHeight="1">
      <c r="F79" s="53"/>
      <c r="H79" s="55" t="e">
        <f>tbl_Grind[[#This Row],[Qty Complete]]/tbl_Grind[[#This Row],[Qty Required]]</f>
        <v>#DIV/0!</v>
      </c>
      <c r="K79" s="57" t="str">
        <f>IFERROR(tbl_Grind[[#This Row],[Qty Required]]/tbl_Grind[[#This Row],[PPH]]*tbl_Grind[[#This Row],['# of men]],"")</f>
        <v/>
      </c>
      <c r="L79" s="58" t="e">
        <f>tbl_Grind[[#This Row],[Total hours]]*tbl_Grind[[#This Row],[% Complete]]</f>
        <v>#VALUE!</v>
      </c>
      <c r="M79" s="59" t="str">
        <f>IFERROR(tbl_Grind[[#This Row],[Qty Complete]]/tbl_Grind[[#This Row],[Total Hours Act]]*tbl_Grind[[#This Row],['# of men Act]],"")</f>
        <v/>
      </c>
      <c r="O79"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79" s="71" t="str">
        <f>IFERROR((tbl_Grind[[#This Row],[Adj. Total Hours]]+tbl_Grind[[#This Row],[Est. Hours]])/(tbl_Grind[[#This Row],[Total Hours Act]]+tbl_Grind[[#This Row],[Act. Hours]]),"")</f>
        <v/>
      </c>
      <c r="S79" s="63"/>
      <c r="T79" s="63"/>
      <c r="U79" s="63"/>
      <c r="V79" s="63"/>
      <c r="W79" s="63"/>
    </row>
    <row r="80" spans="6:23" ht="25" customHeight="1">
      <c r="F80" s="53"/>
      <c r="H80" s="55" t="e">
        <f>tbl_Grind[[#This Row],[Qty Complete]]/tbl_Grind[[#This Row],[Qty Required]]</f>
        <v>#DIV/0!</v>
      </c>
      <c r="K80" s="57" t="str">
        <f>IFERROR(tbl_Grind[[#This Row],[Qty Required]]/tbl_Grind[[#This Row],[PPH]]*tbl_Grind[[#This Row],['# of men]],"")</f>
        <v/>
      </c>
      <c r="L80" s="58" t="e">
        <f>tbl_Grind[[#This Row],[Total hours]]*tbl_Grind[[#This Row],[% Complete]]</f>
        <v>#VALUE!</v>
      </c>
      <c r="M80" s="59" t="str">
        <f>IFERROR(tbl_Grind[[#This Row],[Qty Complete]]/tbl_Grind[[#This Row],[Total Hours Act]]*tbl_Grind[[#This Row],['# of men Act]],"")</f>
        <v/>
      </c>
      <c r="O80"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80" s="71" t="str">
        <f>IFERROR((tbl_Grind[[#This Row],[Adj. Total Hours]]+tbl_Grind[[#This Row],[Est. Hours]])/(tbl_Grind[[#This Row],[Total Hours Act]]+tbl_Grind[[#This Row],[Act. Hours]]),"")</f>
        <v/>
      </c>
      <c r="S80" s="63"/>
      <c r="T80" s="63"/>
      <c r="U80" s="63"/>
      <c r="V80" s="63"/>
      <c r="W80" s="63"/>
    </row>
    <row r="81" spans="6:23" ht="25" customHeight="1">
      <c r="F81" s="53"/>
      <c r="H81" s="55" t="e">
        <f>tbl_Grind[[#This Row],[Qty Complete]]/tbl_Grind[[#This Row],[Qty Required]]</f>
        <v>#DIV/0!</v>
      </c>
      <c r="K81" s="57" t="str">
        <f>IFERROR(tbl_Grind[[#This Row],[Qty Required]]/tbl_Grind[[#This Row],[PPH]]*tbl_Grind[[#This Row],['# of men]],"")</f>
        <v/>
      </c>
      <c r="L81" s="58" t="e">
        <f>tbl_Grind[[#This Row],[Total hours]]*tbl_Grind[[#This Row],[% Complete]]</f>
        <v>#VALUE!</v>
      </c>
      <c r="M81" s="59" t="str">
        <f>IFERROR(tbl_Grind[[#This Row],[Qty Complete]]/tbl_Grind[[#This Row],[Total Hours Act]]*tbl_Grind[[#This Row],['# of men Act]],"")</f>
        <v/>
      </c>
      <c r="O81"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81" s="71" t="str">
        <f>IFERROR((tbl_Grind[[#This Row],[Adj. Total Hours]]+tbl_Grind[[#This Row],[Est. Hours]])/(tbl_Grind[[#This Row],[Total Hours Act]]+tbl_Grind[[#This Row],[Act. Hours]]),"")</f>
        <v/>
      </c>
      <c r="S81" s="63"/>
      <c r="T81" s="63"/>
      <c r="U81" s="63"/>
      <c r="V81" s="63"/>
      <c r="W81" s="63"/>
    </row>
    <row r="82" spans="6:23" ht="25" customHeight="1">
      <c r="F82" s="53"/>
      <c r="H82" s="55" t="e">
        <f>tbl_Grind[[#This Row],[Qty Complete]]/tbl_Grind[[#This Row],[Qty Required]]</f>
        <v>#DIV/0!</v>
      </c>
      <c r="K82" s="57" t="str">
        <f>IFERROR(tbl_Grind[[#This Row],[Qty Required]]/tbl_Grind[[#This Row],[PPH]]*tbl_Grind[[#This Row],['# of men]],"")</f>
        <v/>
      </c>
      <c r="L82" s="58" t="e">
        <f>tbl_Grind[[#This Row],[Total hours]]*tbl_Grind[[#This Row],[% Complete]]</f>
        <v>#VALUE!</v>
      </c>
      <c r="M82" s="59" t="str">
        <f>IFERROR(tbl_Grind[[#This Row],[Qty Complete]]/tbl_Grind[[#This Row],[Total Hours Act]]*tbl_Grind[[#This Row],['# of men Act]],"")</f>
        <v/>
      </c>
      <c r="O82"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82" s="71" t="str">
        <f>IFERROR((tbl_Grind[[#This Row],[Adj. Total Hours]]+tbl_Grind[[#This Row],[Est. Hours]])/(tbl_Grind[[#This Row],[Total Hours Act]]+tbl_Grind[[#This Row],[Act. Hours]]),"")</f>
        <v/>
      </c>
      <c r="S82" s="63"/>
      <c r="T82" s="63"/>
      <c r="U82" s="63"/>
      <c r="V82" s="63"/>
      <c r="W82" s="63"/>
    </row>
    <row r="83" spans="6:23" ht="25" customHeight="1">
      <c r="F83" s="53"/>
      <c r="H83" s="55" t="e">
        <f>tbl_Grind[[#This Row],[Qty Complete]]/tbl_Grind[[#This Row],[Qty Required]]</f>
        <v>#DIV/0!</v>
      </c>
      <c r="K83" s="57" t="str">
        <f>IFERROR(tbl_Grind[[#This Row],[Qty Required]]/tbl_Grind[[#This Row],[PPH]]*tbl_Grind[[#This Row],['# of men]],"")</f>
        <v/>
      </c>
      <c r="L83" s="58" t="e">
        <f>tbl_Grind[[#This Row],[Total hours]]*tbl_Grind[[#This Row],[% Complete]]</f>
        <v>#VALUE!</v>
      </c>
      <c r="M83" s="59" t="str">
        <f>IFERROR(tbl_Grind[[#This Row],[Qty Complete]]/tbl_Grind[[#This Row],[Total Hours Act]]*tbl_Grind[[#This Row],['# of men Act]],"")</f>
        <v/>
      </c>
      <c r="O83"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83" s="71" t="str">
        <f>IFERROR((tbl_Grind[[#This Row],[Adj. Total Hours]]+tbl_Grind[[#This Row],[Est. Hours]])/(tbl_Grind[[#This Row],[Total Hours Act]]+tbl_Grind[[#This Row],[Act. Hours]]),"")</f>
        <v/>
      </c>
      <c r="S83" s="63"/>
      <c r="T83" s="63"/>
      <c r="U83" s="63"/>
      <c r="V83" s="63"/>
      <c r="W83" s="63"/>
    </row>
    <row r="84" spans="6:23" ht="25" customHeight="1">
      <c r="F84" s="53"/>
      <c r="H84" s="55" t="e">
        <f>tbl_Grind[[#This Row],[Qty Complete]]/tbl_Grind[[#This Row],[Qty Required]]</f>
        <v>#DIV/0!</v>
      </c>
      <c r="K84" s="57" t="str">
        <f>IFERROR(tbl_Grind[[#This Row],[Qty Required]]/tbl_Grind[[#This Row],[PPH]]*tbl_Grind[[#This Row],['# of men]],"")</f>
        <v/>
      </c>
      <c r="L84" s="58" t="e">
        <f>tbl_Grind[[#This Row],[Total hours]]*tbl_Grind[[#This Row],[% Complete]]</f>
        <v>#VALUE!</v>
      </c>
      <c r="M84" s="59" t="str">
        <f>IFERROR(tbl_Grind[[#This Row],[Qty Complete]]/tbl_Grind[[#This Row],[Total Hours Act]]*tbl_Grind[[#This Row],['# of men Act]],"")</f>
        <v/>
      </c>
      <c r="O84"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84" s="71" t="str">
        <f>IFERROR((tbl_Grind[[#This Row],[Adj. Total Hours]]+tbl_Grind[[#This Row],[Est. Hours]])/(tbl_Grind[[#This Row],[Total Hours Act]]+tbl_Grind[[#This Row],[Act. Hours]]),"")</f>
        <v/>
      </c>
      <c r="S84" s="63"/>
      <c r="T84" s="63"/>
      <c r="U84" s="63"/>
      <c r="V84" s="63"/>
      <c r="W84" s="63"/>
    </row>
    <row r="85" spans="6:23" ht="25" customHeight="1">
      <c r="F85" s="53"/>
      <c r="H85" s="55" t="e">
        <f>tbl_Grind[[#This Row],[Qty Complete]]/tbl_Grind[[#This Row],[Qty Required]]</f>
        <v>#DIV/0!</v>
      </c>
      <c r="K85" s="57" t="str">
        <f>IFERROR(tbl_Grind[[#This Row],[Qty Required]]/tbl_Grind[[#This Row],[PPH]]*tbl_Grind[[#This Row],['# of men]],"")</f>
        <v/>
      </c>
      <c r="L85" s="58" t="e">
        <f>tbl_Grind[[#This Row],[Total hours]]*tbl_Grind[[#This Row],[% Complete]]</f>
        <v>#VALUE!</v>
      </c>
      <c r="M85" s="59" t="str">
        <f>IFERROR(tbl_Grind[[#This Row],[Qty Complete]]/tbl_Grind[[#This Row],[Total Hours Act]]*tbl_Grind[[#This Row],['# of men Act]],"")</f>
        <v/>
      </c>
      <c r="O85"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85" s="71" t="str">
        <f>IFERROR((tbl_Grind[[#This Row],[Adj. Total Hours]]+tbl_Grind[[#This Row],[Est. Hours]])/(tbl_Grind[[#This Row],[Total Hours Act]]+tbl_Grind[[#This Row],[Act. Hours]]),"")</f>
        <v/>
      </c>
      <c r="S85" s="63"/>
      <c r="T85" s="63"/>
      <c r="U85" s="63"/>
      <c r="V85" s="63"/>
      <c r="W85" s="63"/>
    </row>
    <row r="86" spans="6:23" ht="25" customHeight="1">
      <c r="F86" s="53"/>
      <c r="H86" s="55" t="e">
        <f>tbl_Grind[[#This Row],[Qty Complete]]/tbl_Grind[[#This Row],[Qty Required]]</f>
        <v>#DIV/0!</v>
      </c>
      <c r="K86" s="57" t="str">
        <f>IFERROR(tbl_Grind[[#This Row],[Qty Required]]/tbl_Grind[[#This Row],[PPH]]*tbl_Grind[[#This Row],['# of men]],"")</f>
        <v/>
      </c>
      <c r="L86" s="58" t="e">
        <f>tbl_Grind[[#This Row],[Total hours]]*tbl_Grind[[#This Row],[% Complete]]</f>
        <v>#VALUE!</v>
      </c>
      <c r="M86" s="59" t="str">
        <f>IFERROR(tbl_Grind[[#This Row],[Qty Complete]]/tbl_Grind[[#This Row],[Total Hours Act]]*tbl_Grind[[#This Row],['# of men Act]],"")</f>
        <v/>
      </c>
      <c r="O86"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86" s="71" t="str">
        <f>IFERROR((tbl_Grind[[#This Row],[Adj. Total Hours]]+tbl_Grind[[#This Row],[Est. Hours]])/(tbl_Grind[[#This Row],[Total Hours Act]]+tbl_Grind[[#This Row],[Act. Hours]]),"")</f>
        <v/>
      </c>
      <c r="S86" s="63"/>
      <c r="T86" s="63"/>
      <c r="U86" s="63"/>
      <c r="V86" s="63"/>
      <c r="W86" s="63"/>
    </row>
    <row r="87" spans="6:23" ht="25" customHeight="1">
      <c r="F87" s="53"/>
      <c r="H87" s="55" t="e">
        <f>tbl_Grind[[#This Row],[Qty Complete]]/tbl_Grind[[#This Row],[Qty Required]]</f>
        <v>#DIV/0!</v>
      </c>
      <c r="K87" s="57" t="str">
        <f>IFERROR(tbl_Grind[[#This Row],[Qty Required]]/tbl_Grind[[#This Row],[PPH]]*tbl_Grind[[#This Row],['# of men]],"")</f>
        <v/>
      </c>
      <c r="L87" s="58" t="e">
        <f>tbl_Grind[[#This Row],[Total hours]]*tbl_Grind[[#This Row],[% Complete]]</f>
        <v>#VALUE!</v>
      </c>
      <c r="M87" s="59" t="str">
        <f>IFERROR(tbl_Grind[[#This Row],[Qty Complete]]/tbl_Grind[[#This Row],[Total Hours Act]]*tbl_Grind[[#This Row],['# of men Act]],"")</f>
        <v/>
      </c>
      <c r="O87"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87" s="71" t="str">
        <f>IFERROR((tbl_Grind[[#This Row],[Adj. Total Hours]]+tbl_Grind[[#This Row],[Est. Hours]])/(tbl_Grind[[#This Row],[Total Hours Act]]+tbl_Grind[[#This Row],[Act. Hours]]),"")</f>
        <v/>
      </c>
      <c r="S87" s="63"/>
      <c r="T87" s="63"/>
      <c r="U87" s="63"/>
      <c r="V87" s="63"/>
      <c r="W87" s="63"/>
    </row>
    <row r="88" spans="6:23" ht="25" customHeight="1">
      <c r="F88" s="53"/>
      <c r="H88" s="55" t="e">
        <f>tbl_Grind[[#This Row],[Qty Complete]]/tbl_Grind[[#This Row],[Qty Required]]</f>
        <v>#DIV/0!</v>
      </c>
      <c r="K88" s="57" t="str">
        <f>IFERROR(tbl_Grind[[#This Row],[Qty Required]]/tbl_Grind[[#This Row],[PPH]]*tbl_Grind[[#This Row],['# of men]],"")</f>
        <v/>
      </c>
      <c r="L88" s="58" t="e">
        <f>tbl_Grind[[#This Row],[Total hours]]*tbl_Grind[[#This Row],[% Complete]]</f>
        <v>#VALUE!</v>
      </c>
      <c r="M88" s="59" t="str">
        <f>IFERROR(tbl_Grind[[#This Row],[Qty Complete]]/tbl_Grind[[#This Row],[Total Hours Act]]*tbl_Grind[[#This Row],['# of men Act]],"")</f>
        <v/>
      </c>
      <c r="O88"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88" s="71" t="str">
        <f>IFERROR((tbl_Grind[[#This Row],[Adj. Total Hours]]+tbl_Grind[[#This Row],[Est. Hours]])/(tbl_Grind[[#This Row],[Total Hours Act]]+tbl_Grind[[#This Row],[Act. Hours]]),"")</f>
        <v/>
      </c>
      <c r="S88" s="63"/>
      <c r="T88" s="63"/>
      <c r="U88" s="63"/>
      <c r="V88" s="63"/>
      <c r="W88" s="63"/>
    </row>
    <row r="89" spans="6:23" ht="25" customHeight="1">
      <c r="F89" s="53"/>
      <c r="H89" s="55" t="e">
        <f>tbl_Grind[[#This Row],[Qty Complete]]/tbl_Grind[[#This Row],[Qty Required]]</f>
        <v>#DIV/0!</v>
      </c>
      <c r="K89" s="57" t="str">
        <f>IFERROR(tbl_Grind[[#This Row],[Qty Required]]/tbl_Grind[[#This Row],[PPH]]*tbl_Grind[[#This Row],['# of men]],"")</f>
        <v/>
      </c>
      <c r="L89" s="58" t="e">
        <f>tbl_Grind[[#This Row],[Total hours]]*tbl_Grind[[#This Row],[% Complete]]</f>
        <v>#VALUE!</v>
      </c>
      <c r="M89" s="59" t="str">
        <f>IFERROR(tbl_Grind[[#This Row],[Qty Complete]]/tbl_Grind[[#This Row],[Total Hours Act]]*tbl_Grind[[#This Row],['# of men Act]],"")</f>
        <v/>
      </c>
      <c r="O89"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89" s="71" t="str">
        <f>IFERROR((tbl_Grind[[#This Row],[Adj. Total Hours]]+tbl_Grind[[#This Row],[Est. Hours]])/(tbl_Grind[[#This Row],[Total Hours Act]]+tbl_Grind[[#This Row],[Act. Hours]]),"")</f>
        <v/>
      </c>
      <c r="S89" s="63"/>
      <c r="T89" s="63"/>
      <c r="U89" s="63"/>
      <c r="V89" s="63"/>
      <c r="W89" s="63"/>
    </row>
    <row r="90" spans="6:23" ht="25" customHeight="1">
      <c r="F90" s="53"/>
      <c r="H90" s="55" t="e">
        <f>tbl_Grind[[#This Row],[Qty Complete]]/tbl_Grind[[#This Row],[Qty Required]]</f>
        <v>#DIV/0!</v>
      </c>
      <c r="K90" s="57" t="str">
        <f>IFERROR(tbl_Grind[[#This Row],[Qty Required]]/tbl_Grind[[#This Row],[PPH]]*tbl_Grind[[#This Row],['# of men]],"")</f>
        <v/>
      </c>
      <c r="L90" s="58" t="e">
        <f>tbl_Grind[[#This Row],[Total hours]]*tbl_Grind[[#This Row],[% Complete]]</f>
        <v>#VALUE!</v>
      </c>
      <c r="M90" s="59" t="str">
        <f>IFERROR(tbl_Grind[[#This Row],[Qty Complete]]/tbl_Grind[[#This Row],[Total Hours Act]]*tbl_Grind[[#This Row],['# of men Act]],"")</f>
        <v/>
      </c>
      <c r="O90"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90" s="71" t="str">
        <f>IFERROR((tbl_Grind[[#This Row],[Adj. Total Hours]]+tbl_Grind[[#This Row],[Est. Hours]])/(tbl_Grind[[#This Row],[Total Hours Act]]+tbl_Grind[[#This Row],[Act. Hours]]),"")</f>
        <v/>
      </c>
      <c r="S90" s="63"/>
      <c r="T90" s="63"/>
      <c r="U90" s="63"/>
      <c r="V90" s="63"/>
      <c r="W90" s="63"/>
    </row>
    <row r="91" spans="6:23" ht="25" customHeight="1">
      <c r="F91" s="53"/>
      <c r="H91" s="55" t="e">
        <f>tbl_Grind[[#This Row],[Qty Complete]]/tbl_Grind[[#This Row],[Qty Required]]</f>
        <v>#DIV/0!</v>
      </c>
      <c r="K91" s="57" t="str">
        <f>IFERROR(tbl_Grind[[#This Row],[Qty Required]]/tbl_Grind[[#This Row],[PPH]]*tbl_Grind[[#This Row],['# of men]],"")</f>
        <v/>
      </c>
      <c r="L91" s="58" t="e">
        <f>tbl_Grind[[#This Row],[Total hours]]*tbl_Grind[[#This Row],[% Complete]]</f>
        <v>#VALUE!</v>
      </c>
      <c r="M91" s="59" t="str">
        <f>IFERROR(tbl_Grind[[#This Row],[Qty Complete]]/tbl_Grind[[#This Row],[Total Hours Act]]*tbl_Grind[[#This Row],['# of men Act]],"")</f>
        <v/>
      </c>
      <c r="O91"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91" s="71" t="str">
        <f>IFERROR((tbl_Grind[[#This Row],[Adj. Total Hours]]+tbl_Grind[[#This Row],[Est. Hours]])/(tbl_Grind[[#This Row],[Total Hours Act]]+tbl_Grind[[#This Row],[Act. Hours]]),"")</f>
        <v/>
      </c>
      <c r="S91" s="63"/>
      <c r="T91" s="63"/>
      <c r="U91" s="63"/>
      <c r="V91" s="63"/>
      <c r="W91" s="63"/>
    </row>
    <row r="92" spans="6:23" ht="25" customHeight="1">
      <c r="F92" s="53"/>
      <c r="H92" s="55" t="e">
        <f>tbl_Grind[[#This Row],[Qty Complete]]/tbl_Grind[[#This Row],[Qty Required]]</f>
        <v>#DIV/0!</v>
      </c>
      <c r="K92" s="57" t="str">
        <f>IFERROR(tbl_Grind[[#This Row],[Qty Required]]/tbl_Grind[[#This Row],[PPH]]*tbl_Grind[[#This Row],['# of men]],"")</f>
        <v/>
      </c>
      <c r="L92" s="58" t="e">
        <f>tbl_Grind[[#This Row],[Total hours]]*tbl_Grind[[#This Row],[% Complete]]</f>
        <v>#VALUE!</v>
      </c>
      <c r="M92" s="59" t="str">
        <f>IFERROR(tbl_Grind[[#This Row],[Qty Complete]]/tbl_Grind[[#This Row],[Total Hours Act]]*tbl_Grind[[#This Row],['# of men Act]],"")</f>
        <v/>
      </c>
      <c r="O92"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92" s="71" t="str">
        <f>IFERROR((tbl_Grind[[#This Row],[Adj. Total Hours]]+tbl_Grind[[#This Row],[Est. Hours]])/(tbl_Grind[[#This Row],[Total Hours Act]]+tbl_Grind[[#This Row],[Act. Hours]]),"")</f>
        <v/>
      </c>
      <c r="S92" s="63"/>
      <c r="T92" s="63"/>
      <c r="U92" s="63"/>
      <c r="V92" s="63"/>
      <c r="W92" s="63"/>
    </row>
    <row r="93" spans="6:23" ht="25" customHeight="1">
      <c r="F93" s="53"/>
      <c r="H93" s="55" t="e">
        <f>tbl_Grind[[#This Row],[Qty Complete]]/tbl_Grind[[#This Row],[Qty Required]]</f>
        <v>#DIV/0!</v>
      </c>
      <c r="K93" s="57" t="str">
        <f>IFERROR(tbl_Grind[[#This Row],[Qty Required]]/tbl_Grind[[#This Row],[PPH]]*tbl_Grind[[#This Row],['# of men]],"")</f>
        <v/>
      </c>
      <c r="L93" s="58" t="e">
        <f>tbl_Grind[[#This Row],[Total hours]]*tbl_Grind[[#This Row],[% Complete]]</f>
        <v>#VALUE!</v>
      </c>
      <c r="M93" s="59" t="str">
        <f>IFERROR(tbl_Grind[[#This Row],[Qty Complete]]/tbl_Grind[[#This Row],[Total Hours Act]]*tbl_Grind[[#This Row],['# of men Act]],"")</f>
        <v/>
      </c>
      <c r="O93"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93" s="71" t="str">
        <f>IFERROR((tbl_Grind[[#This Row],[Adj. Total Hours]]+tbl_Grind[[#This Row],[Est. Hours]])/(tbl_Grind[[#This Row],[Total Hours Act]]+tbl_Grind[[#This Row],[Act. Hours]]),"")</f>
        <v/>
      </c>
      <c r="S93" s="63"/>
      <c r="T93" s="63"/>
      <c r="U93" s="63"/>
      <c r="V93" s="63"/>
      <c r="W93" s="63"/>
    </row>
    <row r="94" spans="6:23" ht="25" customHeight="1">
      <c r="F94" s="53"/>
      <c r="H94" s="55" t="e">
        <f>tbl_Grind[[#This Row],[Qty Complete]]/tbl_Grind[[#This Row],[Qty Required]]</f>
        <v>#DIV/0!</v>
      </c>
      <c r="K94" s="57" t="str">
        <f>IFERROR(tbl_Grind[[#This Row],[Qty Required]]/tbl_Grind[[#This Row],[PPH]]*tbl_Grind[[#This Row],['# of men]],"")</f>
        <v/>
      </c>
      <c r="L94" s="58" t="e">
        <f>tbl_Grind[[#This Row],[Total hours]]*tbl_Grind[[#This Row],[% Complete]]</f>
        <v>#VALUE!</v>
      </c>
      <c r="M94" s="59" t="str">
        <f>IFERROR(tbl_Grind[[#This Row],[Qty Complete]]/tbl_Grind[[#This Row],[Total Hours Act]]*tbl_Grind[[#This Row],['# of men Act]],"")</f>
        <v/>
      </c>
      <c r="O94"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94" s="71" t="str">
        <f>IFERROR((tbl_Grind[[#This Row],[Adj. Total Hours]]+tbl_Grind[[#This Row],[Est. Hours]])/(tbl_Grind[[#This Row],[Total Hours Act]]+tbl_Grind[[#This Row],[Act. Hours]]),"")</f>
        <v/>
      </c>
      <c r="S94" s="63"/>
      <c r="T94" s="63"/>
      <c r="U94" s="63"/>
      <c r="V94" s="63"/>
      <c r="W94" s="63"/>
    </row>
    <row r="95" spans="6:23" ht="25" customHeight="1">
      <c r="F95" s="53"/>
      <c r="H95" s="55" t="e">
        <f>tbl_Grind[[#This Row],[Qty Complete]]/tbl_Grind[[#This Row],[Qty Required]]</f>
        <v>#DIV/0!</v>
      </c>
      <c r="K95" s="57" t="str">
        <f>IFERROR(tbl_Grind[[#This Row],[Qty Required]]/tbl_Grind[[#This Row],[PPH]]*tbl_Grind[[#This Row],['# of men]],"")</f>
        <v/>
      </c>
      <c r="L95" s="58" t="e">
        <f>tbl_Grind[[#This Row],[Total hours]]*tbl_Grind[[#This Row],[% Complete]]</f>
        <v>#VALUE!</v>
      </c>
      <c r="M95" s="59" t="str">
        <f>IFERROR(tbl_Grind[[#This Row],[Qty Complete]]/tbl_Grind[[#This Row],[Total Hours Act]]*tbl_Grind[[#This Row],['# of men Act]],"")</f>
        <v/>
      </c>
      <c r="O95"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95" s="71" t="str">
        <f>IFERROR((tbl_Grind[[#This Row],[Adj. Total Hours]]+tbl_Grind[[#This Row],[Est. Hours]])/(tbl_Grind[[#This Row],[Total Hours Act]]+tbl_Grind[[#This Row],[Act. Hours]]),"")</f>
        <v/>
      </c>
      <c r="S95" s="63"/>
      <c r="T95" s="63"/>
      <c r="U95" s="63"/>
      <c r="V95" s="63"/>
      <c r="W95" s="63"/>
    </row>
    <row r="96" spans="6:23" ht="25" customHeight="1">
      <c r="F96" s="53"/>
      <c r="H96" s="55" t="e">
        <f>tbl_Grind[[#This Row],[Qty Complete]]/tbl_Grind[[#This Row],[Qty Required]]</f>
        <v>#DIV/0!</v>
      </c>
      <c r="K96" s="57" t="str">
        <f>IFERROR(tbl_Grind[[#This Row],[Qty Required]]/tbl_Grind[[#This Row],[PPH]]*tbl_Grind[[#This Row],['# of men]],"")</f>
        <v/>
      </c>
      <c r="L96" s="58" t="e">
        <f>tbl_Grind[[#This Row],[Total hours]]*tbl_Grind[[#This Row],[% Complete]]</f>
        <v>#VALUE!</v>
      </c>
      <c r="M96" s="59" t="str">
        <f>IFERROR(tbl_Grind[[#This Row],[Qty Complete]]/tbl_Grind[[#This Row],[Total Hours Act]]*tbl_Grind[[#This Row],['# of men Act]],"")</f>
        <v/>
      </c>
      <c r="O96"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96" s="71" t="str">
        <f>IFERROR((tbl_Grind[[#This Row],[Adj. Total Hours]]+tbl_Grind[[#This Row],[Est. Hours]])/(tbl_Grind[[#This Row],[Total Hours Act]]+tbl_Grind[[#This Row],[Act. Hours]]),"")</f>
        <v/>
      </c>
      <c r="S96" s="63"/>
      <c r="T96" s="63"/>
      <c r="U96" s="63"/>
      <c r="V96" s="63"/>
      <c r="W96" s="63"/>
    </row>
    <row r="97" spans="6:23" ht="25" customHeight="1">
      <c r="F97" s="53"/>
      <c r="H97" s="55" t="e">
        <f>tbl_Grind[[#This Row],[Qty Complete]]/tbl_Grind[[#This Row],[Qty Required]]</f>
        <v>#DIV/0!</v>
      </c>
      <c r="K97" s="57" t="str">
        <f>IFERROR(tbl_Grind[[#This Row],[Qty Required]]/tbl_Grind[[#This Row],[PPH]]*tbl_Grind[[#This Row],['# of men]],"")</f>
        <v/>
      </c>
      <c r="L97" s="58" t="e">
        <f>tbl_Grind[[#This Row],[Total hours]]*tbl_Grind[[#This Row],[% Complete]]</f>
        <v>#VALUE!</v>
      </c>
      <c r="M97" s="59" t="str">
        <f>IFERROR(tbl_Grind[[#This Row],[Qty Complete]]/tbl_Grind[[#This Row],[Total Hours Act]]*tbl_Grind[[#This Row],['# of men Act]],"")</f>
        <v/>
      </c>
      <c r="O97"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97" s="71" t="str">
        <f>IFERROR((tbl_Grind[[#This Row],[Adj. Total Hours]]+tbl_Grind[[#This Row],[Est. Hours]])/(tbl_Grind[[#This Row],[Total Hours Act]]+tbl_Grind[[#This Row],[Act. Hours]]),"")</f>
        <v/>
      </c>
      <c r="S97" s="63"/>
      <c r="T97" s="63"/>
      <c r="U97" s="63"/>
      <c r="V97" s="63"/>
      <c r="W97" s="63"/>
    </row>
    <row r="98" spans="6:23" ht="25" customHeight="1">
      <c r="F98" s="53"/>
      <c r="H98" s="55" t="e">
        <f>tbl_Grind[[#This Row],[Qty Complete]]/tbl_Grind[[#This Row],[Qty Required]]</f>
        <v>#DIV/0!</v>
      </c>
      <c r="K98" s="57" t="str">
        <f>IFERROR(tbl_Grind[[#This Row],[Qty Required]]/tbl_Grind[[#This Row],[PPH]]*tbl_Grind[[#This Row],['# of men]],"")</f>
        <v/>
      </c>
      <c r="L98" s="58" t="e">
        <f>tbl_Grind[[#This Row],[Total hours]]*tbl_Grind[[#This Row],[% Complete]]</f>
        <v>#VALUE!</v>
      </c>
      <c r="M98" s="59" t="str">
        <f>IFERROR(tbl_Grind[[#This Row],[Qty Complete]]/tbl_Grind[[#This Row],[Total Hours Act]]*tbl_Grind[[#This Row],['# of men Act]],"")</f>
        <v/>
      </c>
      <c r="O98"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98" s="71" t="str">
        <f>IFERROR((tbl_Grind[[#This Row],[Adj. Total Hours]]+tbl_Grind[[#This Row],[Est. Hours]])/(tbl_Grind[[#This Row],[Total Hours Act]]+tbl_Grind[[#This Row],[Act. Hours]]),"")</f>
        <v/>
      </c>
      <c r="S98" s="63"/>
      <c r="T98" s="63"/>
      <c r="U98" s="63"/>
      <c r="V98" s="63"/>
      <c r="W98" s="63"/>
    </row>
    <row r="99" spans="6:23" ht="25" customHeight="1">
      <c r="F99" s="53"/>
      <c r="H99" s="55" t="e">
        <f>tbl_Grind[[#This Row],[Qty Complete]]/tbl_Grind[[#This Row],[Qty Required]]</f>
        <v>#DIV/0!</v>
      </c>
      <c r="K99" s="57" t="str">
        <f>IFERROR(tbl_Grind[[#This Row],[Qty Required]]/tbl_Grind[[#This Row],[PPH]]*tbl_Grind[[#This Row],['# of men]],"")</f>
        <v/>
      </c>
      <c r="L99" s="58" t="e">
        <f>tbl_Grind[[#This Row],[Total hours]]*tbl_Grind[[#This Row],[% Complete]]</f>
        <v>#VALUE!</v>
      </c>
      <c r="M99" s="59" t="str">
        <f>IFERROR(tbl_Grind[[#This Row],[Qty Complete]]/tbl_Grind[[#This Row],[Total Hours Act]]*tbl_Grind[[#This Row],['# of men Act]],"")</f>
        <v/>
      </c>
      <c r="O99"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99" s="71" t="str">
        <f>IFERROR((tbl_Grind[[#This Row],[Adj. Total Hours]]+tbl_Grind[[#This Row],[Est. Hours]])/(tbl_Grind[[#This Row],[Total Hours Act]]+tbl_Grind[[#This Row],[Act. Hours]]),"")</f>
        <v/>
      </c>
      <c r="S99" s="63"/>
      <c r="T99" s="63"/>
      <c r="U99" s="63"/>
      <c r="V99" s="63"/>
      <c r="W99" s="63"/>
    </row>
    <row r="100" spans="6:23" ht="25" customHeight="1">
      <c r="F100" s="53"/>
      <c r="H100" s="55" t="e">
        <f>tbl_Grind[[#This Row],[Qty Complete]]/tbl_Grind[[#This Row],[Qty Required]]</f>
        <v>#DIV/0!</v>
      </c>
      <c r="K100" s="57" t="str">
        <f>IFERROR(tbl_Grind[[#This Row],[Qty Required]]/tbl_Grind[[#This Row],[PPH]]*tbl_Grind[[#This Row],['# of men]],"")</f>
        <v/>
      </c>
      <c r="L100" s="58" t="e">
        <f>tbl_Grind[[#This Row],[Total hours]]*tbl_Grind[[#This Row],[% Complete]]</f>
        <v>#VALUE!</v>
      </c>
      <c r="M100" s="59" t="str">
        <f>IFERROR(tbl_Grind[[#This Row],[Qty Complete]]/tbl_Grind[[#This Row],[Total Hours Act]]*tbl_Grind[[#This Row],['# of men Act]],"")</f>
        <v/>
      </c>
      <c r="O100"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00" s="71" t="str">
        <f>IFERROR((tbl_Grind[[#This Row],[Adj. Total Hours]]+tbl_Grind[[#This Row],[Est. Hours]])/(tbl_Grind[[#This Row],[Total Hours Act]]+tbl_Grind[[#This Row],[Act. Hours]]),"")</f>
        <v/>
      </c>
      <c r="S100" s="63"/>
      <c r="T100" s="63"/>
      <c r="U100" s="63"/>
      <c r="V100" s="63"/>
      <c r="W100" s="63"/>
    </row>
    <row r="101" spans="6:23" ht="25" customHeight="1">
      <c r="F101" s="53"/>
      <c r="H101" s="55" t="e">
        <f>tbl_Grind[[#This Row],[Qty Complete]]/tbl_Grind[[#This Row],[Qty Required]]</f>
        <v>#DIV/0!</v>
      </c>
      <c r="K101" s="57" t="str">
        <f>IFERROR(tbl_Grind[[#This Row],[Qty Required]]/tbl_Grind[[#This Row],[PPH]]*tbl_Grind[[#This Row],['# of men]],"")</f>
        <v/>
      </c>
      <c r="L101" s="58" t="e">
        <f>tbl_Grind[[#This Row],[Total hours]]*tbl_Grind[[#This Row],[% Complete]]</f>
        <v>#VALUE!</v>
      </c>
      <c r="M101" s="59" t="str">
        <f>IFERROR(tbl_Grind[[#This Row],[Qty Complete]]/tbl_Grind[[#This Row],[Total Hours Act]]*tbl_Grind[[#This Row],['# of men Act]],"")</f>
        <v/>
      </c>
      <c r="O101"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01" s="71" t="str">
        <f>IFERROR((tbl_Grind[[#This Row],[Adj. Total Hours]]+tbl_Grind[[#This Row],[Est. Hours]])/(tbl_Grind[[#This Row],[Total Hours Act]]+tbl_Grind[[#This Row],[Act. Hours]]),"")</f>
        <v/>
      </c>
      <c r="S101" s="63"/>
      <c r="T101" s="63"/>
      <c r="U101" s="63"/>
      <c r="V101" s="63"/>
      <c r="W101" s="63"/>
    </row>
    <row r="102" spans="6:23" ht="25" customHeight="1">
      <c r="F102" s="53"/>
      <c r="H102" s="55" t="e">
        <f>tbl_Grind[[#This Row],[Qty Complete]]/tbl_Grind[[#This Row],[Qty Required]]</f>
        <v>#DIV/0!</v>
      </c>
      <c r="K102" s="57" t="str">
        <f>IFERROR(tbl_Grind[[#This Row],[Qty Required]]/tbl_Grind[[#This Row],[PPH]]*tbl_Grind[[#This Row],['# of men]],"")</f>
        <v/>
      </c>
      <c r="L102" s="58" t="e">
        <f>tbl_Grind[[#This Row],[Total hours]]*tbl_Grind[[#This Row],[% Complete]]</f>
        <v>#VALUE!</v>
      </c>
      <c r="M102" s="59" t="str">
        <f>IFERROR(tbl_Grind[[#This Row],[Qty Complete]]/tbl_Grind[[#This Row],[Total Hours Act]]*tbl_Grind[[#This Row],['# of men Act]],"")</f>
        <v/>
      </c>
      <c r="O102"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02" s="71" t="str">
        <f>IFERROR((tbl_Grind[[#This Row],[Adj. Total Hours]]+tbl_Grind[[#This Row],[Est. Hours]])/(tbl_Grind[[#This Row],[Total Hours Act]]+tbl_Grind[[#This Row],[Act. Hours]]),"")</f>
        <v/>
      </c>
      <c r="S102" s="63"/>
      <c r="T102" s="63"/>
      <c r="U102" s="63"/>
      <c r="V102" s="63"/>
      <c r="W102" s="63"/>
    </row>
    <row r="103" spans="6:23" ht="25" customHeight="1">
      <c r="F103" s="53"/>
      <c r="H103" s="55" t="e">
        <f>tbl_Grind[[#This Row],[Qty Complete]]/tbl_Grind[[#This Row],[Qty Required]]</f>
        <v>#DIV/0!</v>
      </c>
      <c r="K103" s="57" t="str">
        <f>IFERROR(tbl_Grind[[#This Row],[Qty Required]]/tbl_Grind[[#This Row],[PPH]]*tbl_Grind[[#This Row],['# of men]],"")</f>
        <v/>
      </c>
      <c r="L103" s="58" t="e">
        <f>tbl_Grind[[#This Row],[Total hours]]*tbl_Grind[[#This Row],[% Complete]]</f>
        <v>#VALUE!</v>
      </c>
      <c r="M103" s="59" t="str">
        <f>IFERROR(tbl_Grind[[#This Row],[Qty Complete]]/tbl_Grind[[#This Row],[Total Hours Act]]*tbl_Grind[[#This Row],['# of men Act]],"")</f>
        <v/>
      </c>
      <c r="O103"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03" s="71" t="str">
        <f>IFERROR((tbl_Grind[[#This Row],[Adj. Total Hours]]+tbl_Grind[[#This Row],[Est. Hours]])/(tbl_Grind[[#This Row],[Total Hours Act]]+tbl_Grind[[#This Row],[Act. Hours]]),"")</f>
        <v/>
      </c>
      <c r="S103" s="63"/>
      <c r="T103" s="63"/>
      <c r="U103" s="63"/>
      <c r="V103" s="63"/>
      <c r="W103" s="63"/>
    </row>
    <row r="104" spans="6:23" ht="25" customHeight="1">
      <c r="F104" s="53"/>
      <c r="H104" s="55" t="e">
        <f>tbl_Grind[[#This Row],[Qty Complete]]/tbl_Grind[[#This Row],[Qty Required]]</f>
        <v>#DIV/0!</v>
      </c>
      <c r="K104" s="57" t="str">
        <f>IFERROR(tbl_Grind[[#This Row],[Qty Required]]/tbl_Grind[[#This Row],[PPH]]*tbl_Grind[[#This Row],['# of men]],"")</f>
        <v/>
      </c>
      <c r="L104" s="58" t="e">
        <f>tbl_Grind[[#This Row],[Total hours]]*tbl_Grind[[#This Row],[% Complete]]</f>
        <v>#VALUE!</v>
      </c>
      <c r="M104" s="59" t="str">
        <f>IFERROR(tbl_Grind[[#This Row],[Qty Complete]]/tbl_Grind[[#This Row],[Total Hours Act]]*tbl_Grind[[#This Row],['# of men Act]],"")</f>
        <v/>
      </c>
      <c r="O104"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04" s="71" t="str">
        <f>IFERROR((tbl_Grind[[#This Row],[Adj. Total Hours]]+tbl_Grind[[#This Row],[Est. Hours]])/(tbl_Grind[[#This Row],[Total Hours Act]]+tbl_Grind[[#This Row],[Act. Hours]]),"")</f>
        <v/>
      </c>
      <c r="S104" s="63"/>
      <c r="T104" s="63"/>
      <c r="U104" s="63"/>
      <c r="V104" s="63"/>
      <c r="W104" s="63"/>
    </row>
    <row r="105" spans="6:23" ht="25" customHeight="1">
      <c r="F105" s="53"/>
      <c r="H105" s="55" t="e">
        <f>tbl_Grind[[#This Row],[Qty Complete]]/tbl_Grind[[#This Row],[Qty Required]]</f>
        <v>#DIV/0!</v>
      </c>
      <c r="K105" s="57" t="str">
        <f>IFERROR(tbl_Grind[[#This Row],[Qty Required]]/tbl_Grind[[#This Row],[PPH]]*tbl_Grind[[#This Row],['# of men]],"")</f>
        <v/>
      </c>
      <c r="L105" s="58" t="e">
        <f>tbl_Grind[[#This Row],[Total hours]]*tbl_Grind[[#This Row],[% Complete]]</f>
        <v>#VALUE!</v>
      </c>
      <c r="M105" s="59" t="str">
        <f>IFERROR(tbl_Grind[[#This Row],[Qty Complete]]/tbl_Grind[[#This Row],[Total Hours Act]]*tbl_Grind[[#This Row],['# of men Act]],"")</f>
        <v/>
      </c>
      <c r="O105"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05" s="71" t="str">
        <f>IFERROR((tbl_Grind[[#This Row],[Adj. Total Hours]]+tbl_Grind[[#This Row],[Est. Hours]])/(tbl_Grind[[#This Row],[Total Hours Act]]+tbl_Grind[[#This Row],[Act. Hours]]),"")</f>
        <v/>
      </c>
      <c r="S105" s="63"/>
      <c r="T105" s="63"/>
      <c r="U105" s="63"/>
      <c r="V105" s="63"/>
      <c r="W105" s="63"/>
    </row>
    <row r="106" spans="6:23" ht="25" customHeight="1">
      <c r="F106" s="53"/>
      <c r="H106" s="55" t="e">
        <f>tbl_Grind[[#This Row],[Qty Complete]]/tbl_Grind[[#This Row],[Qty Required]]</f>
        <v>#DIV/0!</v>
      </c>
      <c r="K106" s="57" t="str">
        <f>IFERROR(tbl_Grind[[#This Row],[Qty Required]]/tbl_Grind[[#This Row],[PPH]]*tbl_Grind[[#This Row],['# of men]],"")</f>
        <v/>
      </c>
      <c r="L106" s="58" t="e">
        <f>tbl_Grind[[#This Row],[Total hours]]*tbl_Grind[[#This Row],[% Complete]]</f>
        <v>#VALUE!</v>
      </c>
      <c r="M106" s="59" t="str">
        <f>IFERROR(tbl_Grind[[#This Row],[Qty Complete]]/tbl_Grind[[#This Row],[Total Hours Act]]*tbl_Grind[[#This Row],['# of men Act]],"")</f>
        <v/>
      </c>
      <c r="O106"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06" s="71" t="str">
        <f>IFERROR((tbl_Grind[[#This Row],[Adj. Total Hours]]+tbl_Grind[[#This Row],[Est. Hours]])/(tbl_Grind[[#This Row],[Total Hours Act]]+tbl_Grind[[#This Row],[Act. Hours]]),"")</f>
        <v/>
      </c>
      <c r="S106" s="63"/>
      <c r="T106" s="63"/>
      <c r="U106" s="63"/>
      <c r="V106" s="63"/>
      <c r="W106" s="63"/>
    </row>
    <row r="107" spans="6:23" ht="25" customHeight="1">
      <c r="F107" s="53"/>
      <c r="H107" s="55" t="e">
        <f>tbl_Grind[[#This Row],[Qty Complete]]/tbl_Grind[[#This Row],[Qty Required]]</f>
        <v>#DIV/0!</v>
      </c>
      <c r="K107" s="57" t="str">
        <f>IFERROR(tbl_Grind[[#This Row],[Qty Required]]/tbl_Grind[[#This Row],[PPH]]*tbl_Grind[[#This Row],['# of men]],"")</f>
        <v/>
      </c>
      <c r="L107" s="58" t="e">
        <f>tbl_Grind[[#This Row],[Total hours]]*tbl_Grind[[#This Row],[% Complete]]</f>
        <v>#VALUE!</v>
      </c>
      <c r="M107" s="59" t="str">
        <f>IFERROR(tbl_Grind[[#This Row],[Qty Complete]]/tbl_Grind[[#This Row],[Total Hours Act]]*tbl_Grind[[#This Row],['# of men Act]],"")</f>
        <v/>
      </c>
      <c r="O107"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07" s="71" t="str">
        <f>IFERROR((tbl_Grind[[#This Row],[Adj. Total Hours]]+tbl_Grind[[#This Row],[Est. Hours]])/(tbl_Grind[[#This Row],[Total Hours Act]]+tbl_Grind[[#This Row],[Act. Hours]]),"")</f>
        <v/>
      </c>
      <c r="S107" s="63"/>
      <c r="T107" s="63"/>
      <c r="U107" s="63"/>
      <c r="V107" s="63"/>
      <c r="W107" s="63"/>
    </row>
    <row r="108" spans="6:23" ht="25" customHeight="1">
      <c r="F108" s="53"/>
      <c r="H108" s="55" t="e">
        <f>tbl_Grind[[#This Row],[Qty Complete]]/tbl_Grind[[#This Row],[Qty Required]]</f>
        <v>#DIV/0!</v>
      </c>
      <c r="K108" s="57" t="str">
        <f>IFERROR(tbl_Grind[[#This Row],[Qty Required]]/tbl_Grind[[#This Row],[PPH]]*tbl_Grind[[#This Row],['# of men]],"")</f>
        <v/>
      </c>
      <c r="L108" s="58" t="e">
        <f>tbl_Grind[[#This Row],[Total hours]]*tbl_Grind[[#This Row],[% Complete]]</f>
        <v>#VALUE!</v>
      </c>
      <c r="M108" s="59" t="str">
        <f>IFERROR(tbl_Grind[[#This Row],[Qty Complete]]/tbl_Grind[[#This Row],[Total Hours Act]]*tbl_Grind[[#This Row],['# of men Act]],"")</f>
        <v/>
      </c>
      <c r="O108"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08" s="71" t="str">
        <f>IFERROR((tbl_Grind[[#This Row],[Adj. Total Hours]]+tbl_Grind[[#This Row],[Est. Hours]])/(tbl_Grind[[#This Row],[Total Hours Act]]+tbl_Grind[[#This Row],[Act. Hours]]),"")</f>
        <v/>
      </c>
      <c r="S108" s="63"/>
      <c r="T108" s="63"/>
      <c r="U108" s="63"/>
      <c r="V108" s="63"/>
      <c r="W108" s="63"/>
    </row>
    <row r="109" spans="6:23" ht="25" customHeight="1">
      <c r="F109" s="53"/>
      <c r="H109" s="55" t="e">
        <f>tbl_Grind[[#This Row],[Qty Complete]]/tbl_Grind[[#This Row],[Qty Required]]</f>
        <v>#DIV/0!</v>
      </c>
      <c r="K109" s="57" t="str">
        <f>IFERROR(tbl_Grind[[#This Row],[Qty Required]]/tbl_Grind[[#This Row],[PPH]]*tbl_Grind[[#This Row],['# of men]],"")</f>
        <v/>
      </c>
      <c r="L109" s="58" t="e">
        <f>tbl_Grind[[#This Row],[Total hours]]*tbl_Grind[[#This Row],[% Complete]]</f>
        <v>#VALUE!</v>
      </c>
      <c r="M109" s="59" t="str">
        <f>IFERROR(tbl_Grind[[#This Row],[Qty Complete]]/tbl_Grind[[#This Row],[Total Hours Act]]*tbl_Grind[[#This Row],['# of men Act]],"")</f>
        <v/>
      </c>
      <c r="O109"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09" s="71" t="str">
        <f>IFERROR((tbl_Grind[[#This Row],[Adj. Total Hours]]+tbl_Grind[[#This Row],[Est. Hours]])/(tbl_Grind[[#This Row],[Total Hours Act]]+tbl_Grind[[#This Row],[Act. Hours]]),"")</f>
        <v/>
      </c>
      <c r="S109" s="63"/>
      <c r="T109" s="63"/>
      <c r="U109" s="63"/>
      <c r="V109" s="63"/>
      <c r="W109" s="63"/>
    </row>
    <row r="110" spans="6:23" ht="25" customHeight="1">
      <c r="F110" s="53"/>
      <c r="H110" s="55" t="e">
        <f>tbl_Grind[[#This Row],[Qty Complete]]/tbl_Grind[[#This Row],[Qty Required]]</f>
        <v>#DIV/0!</v>
      </c>
      <c r="K110" s="57" t="str">
        <f>IFERROR(tbl_Grind[[#This Row],[Qty Required]]/tbl_Grind[[#This Row],[PPH]]*tbl_Grind[[#This Row],['# of men]],"")</f>
        <v/>
      </c>
      <c r="L110" s="58" t="e">
        <f>tbl_Grind[[#This Row],[Total hours]]*tbl_Grind[[#This Row],[% Complete]]</f>
        <v>#VALUE!</v>
      </c>
      <c r="M110" s="59" t="str">
        <f>IFERROR(tbl_Grind[[#This Row],[Qty Complete]]/tbl_Grind[[#This Row],[Total Hours Act]]*tbl_Grind[[#This Row],['# of men Act]],"")</f>
        <v/>
      </c>
      <c r="O110"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10" s="71" t="str">
        <f>IFERROR((tbl_Grind[[#This Row],[Adj. Total Hours]]+tbl_Grind[[#This Row],[Est. Hours]])/(tbl_Grind[[#This Row],[Total Hours Act]]+tbl_Grind[[#This Row],[Act. Hours]]),"")</f>
        <v/>
      </c>
      <c r="S110" s="63"/>
      <c r="T110" s="63"/>
      <c r="U110" s="63"/>
      <c r="V110" s="63"/>
      <c r="W110" s="63"/>
    </row>
    <row r="111" spans="6:23" ht="25" customHeight="1">
      <c r="F111" s="53"/>
      <c r="H111" s="55" t="e">
        <f>tbl_Grind[[#This Row],[Qty Complete]]/tbl_Grind[[#This Row],[Qty Required]]</f>
        <v>#DIV/0!</v>
      </c>
      <c r="K111" s="57" t="str">
        <f>IFERROR(tbl_Grind[[#This Row],[Qty Required]]/tbl_Grind[[#This Row],[PPH]]*tbl_Grind[[#This Row],['# of men]],"")</f>
        <v/>
      </c>
      <c r="L111" s="58" t="e">
        <f>tbl_Grind[[#This Row],[Total hours]]*tbl_Grind[[#This Row],[% Complete]]</f>
        <v>#VALUE!</v>
      </c>
      <c r="M111" s="59" t="str">
        <f>IFERROR(tbl_Grind[[#This Row],[Qty Complete]]/tbl_Grind[[#This Row],[Total Hours Act]]*tbl_Grind[[#This Row],['# of men Act]],"")</f>
        <v/>
      </c>
      <c r="O111"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11" s="71" t="str">
        <f>IFERROR((tbl_Grind[[#This Row],[Adj. Total Hours]]+tbl_Grind[[#This Row],[Est. Hours]])/(tbl_Grind[[#This Row],[Total Hours Act]]+tbl_Grind[[#This Row],[Act. Hours]]),"")</f>
        <v/>
      </c>
      <c r="S111" s="63"/>
      <c r="T111" s="63"/>
      <c r="U111" s="63"/>
      <c r="V111" s="63"/>
      <c r="W111" s="63"/>
    </row>
    <row r="112" spans="6:23" ht="25" customHeight="1">
      <c r="F112" s="53"/>
      <c r="H112" s="55" t="e">
        <f>tbl_Grind[[#This Row],[Qty Complete]]/tbl_Grind[[#This Row],[Qty Required]]</f>
        <v>#DIV/0!</v>
      </c>
      <c r="K112" s="57" t="str">
        <f>IFERROR(tbl_Grind[[#This Row],[Qty Required]]/tbl_Grind[[#This Row],[PPH]]*tbl_Grind[[#This Row],['# of men]],"")</f>
        <v/>
      </c>
      <c r="L112" s="58" t="e">
        <f>tbl_Grind[[#This Row],[Total hours]]*tbl_Grind[[#This Row],[% Complete]]</f>
        <v>#VALUE!</v>
      </c>
      <c r="M112" s="59" t="str">
        <f>IFERROR(tbl_Grind[[#This Row],[Qty Complete]]/tbl_Grind[[#This Row],[Total Hours Act]]*tbl_Grind[[#This Row],['# of men Act]],"")</f>
        <v/>
      </c>
      <c r="O112"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12" s="71" t="str">
        <f>IFERROR((tbl_Grind[[#This Row],[Adj. Total Hours]]+tbl_Grind[[#This Row],[Est. Hours]])/(tbl_Grind[[#This Row],[Total Hours Act]]+tbl_Grind[[#This Row],[Act. Hours]]),"")</f>
        <v/>
      </c>
      <c r="S112" s="63"/>
      <c r="T112" s="63"/>
      <c r="U112" s="63"/>
      <c r="V112" s="63"/>
      <c r="W112" s="63"/>
    </row>
    <row r="113" spans="6:23" ht="25" customHeight="1">
      <c r="F113" s="53"/>
      <c r="H113" s="55" t="e">
        <f>tbl_Grind[[#This Row],[Qty Complete]]/tbl_Grind[[#This Row],[Qty Required]]</f>
        <v>#DIV/0!</v>
      </c>
      <c r="K113" s="57" t="str">
        <f>IFERROR(tbl_Grind[[#This Row],[Qty Required]]/tbl_Grind[[#This Row],[PPH]]*tbl_Grind[[#This Row],['# of men]],"")</f>
        <v/>
      </c>
      <c r="L113" s="58" t="e">
        <f>tbl_Grind[[#This Row],[Total hours]]*tbl_Grind[[#This Row],[% Complete]]</f>
        <v>#VALUE!</v>
      </c>
      <c r="M113" s="59" t="str">
        <f>IFERROR(tbl_Grind[[#This Row],[Qty Complete]]/tbl_Grind[[#This Row],[Total Hours Act]]*tbl_Grind[[#This Row],['# of men Act]],"")</f>
        <v/>
      </c>
      <c r="O113"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13" s="71" t="str">
        <f>IFERROR((tbl_Grind[[#This Row],[Adj. Total Hours]]+tbl_Grind[[#This Row],[Est. Hours]])/(tbl_Grind[[#This Row],[Total Hours Act]]+tbl_Grind[[#This Row],[Act. Hours]]),"")</f>
        <v/>
      </c>
      <c r="S113" s="63"/>
      <c r="T113" s="63"/>
      <c r="U113" s="63"/>
      <c r="V113" s="63"/>
      <c r="W113" s="63"/>
    </row>
    <row r="114" spans="6:23" ht="25" customHeight="1">
      <c r="F114" s="53"/>
      <c r="H114" s="55" t="e">
        <f>tbl_Grind[[#This Row],[Qty Complete]]/tbl_Grind[[#This Row],[Qty Required]]</f>
        <v>#DIV/0!</v>
      </c>
      <c r="K114" s="57" t="str">
        <f>IFERROR(tbl_Grind[[#This Row],[Qty Required]]/tbl_Grind[[#This Row],[PPH]]*tbl_Grind[[#This Row],['# of men]],"")</f>
        <v/>
      </c>
      <c r="L114" s="58" t="e">
        <f>tbl_Grind[[#This Row],[Total hours]]*tbl_Grind[[#This Row],[% Complete]]</f>
        <v>#VALUE!</v>
      </c>
      <c r="M114" s="59" t="str">
        <f>IFERROR(tbl_Grind[[#This Row],[Qty Complete]]/tbl_Grind[[#This Row],[Total Hours Act]]*tbl_Grind[[#This Row],['# of men Act]],"")</f>
        <v/>
      </c>
      <c r="O114"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14" s="71" t="str">
        <f>IFERROR((tbl_Grind[[#This Row],[Adj. Total Hours]]+tbl_Grind[[#This Row],[Est. Hours]])/(tbl_Grind[[#This Row],[Total Hours Act]]+tbl_Grind[[#This Row],[Act. Hours]]),"")</f>
        <v/>
      </c>
      <c r="S114" s="63"/>
      <c r="T114" s="63"/>
      <c r="U114" s="63"/>
      <c r="V114" s="63"/>
      <c r="W114" s="63"/>
    </row>
    <row r="115" spans="6:23" ht="25" customHeight="1">
      <c r="F115" s="53"/>
      <c r="H115" s="55" t="e">
        <f>tbl_Grind[[#This Row],[Qty Complete]]/tbl_Grind[[#This Row],[Qty Required]]</f>
        <v>#DIV/0!</v>
      </c>
      <c r="K115" s="57" t="str">
        <f>IFERROR(tbl_Grind[[#This Row],[Qty Required]]/tbl_Grind[[#This Row],[PPH]]*tbl_Grind[[#This Row],['# of men]],"")</f>
        <v/>
      </c>
      <c r="L115" s="58" t="e">
        <f>tbl_Grind[[#This Row],[Total hours]]*tbl_Grind[[#This Row],[% Complete]]</f>
        <v>#VALUE!</v>
      </c>
      <c r="M115" s="59" t="str">
        <f>IFERROR(tbl_Grind[[#This Row],[Qty Complete]]/tbl_Grind[[#This Row],[Total Hours Act]]*tbl_Grind[[#This Row],['# of men Act]],"")</f>
        <v/>
      </c>
      <c r="O115"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15" s="71" t="str">
        <f>IFERROR((tbl_Grind[[#This Row],[Adj. Total Hours]]+tbl_Grind[[#This Row],[Est. Hours]])/(tbl_Grind[[#This Row],[Total Hours Act]]+tbl_Grind[[#This Row],[Act. Hours]]),"")</f>
        <v/>
      </c>
      <c r="S115" s="63"/>
      <c r="T115" s="63"/>
      <c r="U115" s="63"/>
      <c r="V115" s="63"/>
      <c r="W115" s="63"/>
    </row>
    <row r="116" spans="6:23" ht="25" customHeight="1">
      <c r="F116" s="53"/>
      <c r="H116" s="55" t="e">
        <f>tbl_Grind[[#This Row],[Qty Complete]]/tbl_Grind[[#This Row],[Qty Required]]</f>
        <v>#DIV/0!</v>
      </c>
      <c r="K116" s="57" t="str">
        <f>IFERROR(tbl_Grind[[#This Row],[Qty Required]]/tbl_Grind[[#This Row],[PPH]]*tbl_Grind[[#This Row],['# of men]],"")</f>
        <v/>
      </c>
      <c r="L116" s="58" t="e">
        <f>tbl_Grind[[#This Row],[Total hours]]*tbl_Grind[[#This Row],[% Complete]]</f>
        <v>#VALUE!</v>
      </c>
      <c r="M116" s="59" t="str">
        <f>IFERROR(tbl_Grind[[#This Row],[Qty Complete]]/tbl_Grind[[#This Row],[Total Hours Act]]*tbl_Grind[[#This Row],['# of men Act]],"")</f>
        <v/>
      </c>
      <c r="O116"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16" s="71" t="str">
        <f>IFERROR((tbl_Grind[[#This Row],[Adj. Total Hours]]+tbl_Grind[[#This Row],[Est. Hours]])/(tbl_Grind[[#This Row],[Total Hours Act]]+tbl_Grind[[#This Row],[Act. Hours]]),"")</f>
        <v/>
      </c>
      <c r="S116" s="63"/>
      <c r="T116" s="63"/>
      <c r="U116" s="63"/>
      <c r="V116" s="63"/>
      <c r="W116" s="63"/>
    </row>
    <row r="117" spans="6:23" ht="25" customHeight="1">
      <c r="F117" s="53"/>
      <c r="H117" s="55" t="e">
        <f>tbl_Grind[[#This Row],[Qty Complete]]/tbl_Grind[[#This Row],[Qty Required]]</f>
        <v>#DIV/0!</v>
      </c>
      <c r="K117" s="57" t="str">
        <f>IFERROR(tbl_Grind[[#This Row],[Qty Required]]/tbl_Grind[[#This Row],[PPH]]*tbl_Grind[[#This Row],['# of men]],"")</f>
        <v/>
      </c>
      <c r="L117" s="58" t="e">
        <f>tbl_Grind[[#This Row],[Total hours]]*tbl_Grind[[#This Row],[% Complete]]</f>
        <v>#VALUE!</v>
      </c>
      <c r="M117" s="59" t="str">
        <f>IFERROR(tbl_Grind[[#This Row],[Qty Complete]]/tbl_Grind[[#This Row],[Total Hours Act]]*tbl_Grind[[#This Row],['# of men Act]],"")</f>
        <v/>
      </c>
      <c r="O117"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17" s="71" t="str">
        <f>IFERROR((tbl_Grind[[#This Row],[Adj. Total Hours]]+tbl_Grind[[#This Row],[Est. Hours]])/(tbl_Grind[[#This Row],[Total Hours Act]]+tbl_Grind[[#This Row],[Act. Hours]]),"")</f>
        <v/>
      </c>
      <c r="S117" s="63"/>
      <c r="T117" s="63"/>
      <c r="U117" s="63"/>
      <c r="V117" s="63"/>
      <c r="W117" s="63"/>
    </row>
    <row r="118" spans="6:23" ht="25" customHeight="1">
      <c r="F118" s="53"/>
      <c r="H118" s="55" t="e">
        <f>tbl_Grind[[#This Row],[Qty Complete]]/tbl_Grind[[#This Row],[Qty Required]]</f>
        <v>#DIV/0!</v>
      </c>
      <c r="K118" s="57" t="str">
        <f>IFERROR(tbl_Grind[[#This Row],[Qty Required]]/tbl_Grind[[#This Row],[PPH]]*tbl_Grind[[#This Row],['# of men]],"")</f>
        <v/>
      </c>
      <c r="L118" s="58" t="e">
        <f>tbl_Grind[[#This Row],[Total hours]]*tbl_Grind[[#This Row],[% Complete]]</f>
        <v>#VALUE!</v>
      </c>
      <c r="M118" s="59" t="str">
        <f>IFERROR(tbl_Grind[[#This Row],[Qty Complete]]/tbl_Grind[[#This Row],[Total Hours Act]]*tbl_Grind[[#This Row],['# of men Act]],"")</f>
        <v/>
      </c>
      <c r="O118"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18" s="71" t="str">
        <f>IFERROR((tbl_Grind[[#This Row],[Adj. Total Hours]]+tbl_Grind[[#This Row],[Est. Hours]])/(tbl_Grind[[#This Row],[Total Hours Act]]+tbl_Grind[[#This Row],[Act. Hours]]),"")</f>
        <v/>
      </c>
      <c r="S118" s="63"/>
      <c r="T118" s="63"/>
      <c r="U118" s="63"/>
      <c r="V118" s="63"/>
      <c r="W118" s="63"/>
    </row>
    <row r="119" spans="6:23" ht="25" customHeight="1">
      <c r="F119" s="53"/>
      <c r="H119" s="55" t="e">
        <f>tbl_Grind[[#This Row],[Qty Complete]]/tbl_Grind[[#This Row],[Qty Required]]</f>
        <v>#DIV/0!</v>
      </c>
      <c r="K119" s="57" t="str">
        <f>IFERROR(tbl_Grind[[#This Row],[Qty Required]]/tbl_Grind[[#This Row],[PPH]]*tbl_Grind[[#This Row],['# of men]],"")</f>
        <v/>
      </c>
      <c r="L119" s="58" t="e">
        <f>tbl_Grind[[#This Row],[Total hours]]*tbl_Grind[[#This Row],[% Complete]]</f>
        <v>#VALUE!</v>
      </c>
      <c r="M119" s="59" t="str">
        <f>IFERROR(tbl_Grind[[#This Row],[Qty Complete]]/tbl_Grind[[#This Row],[Total Hours Act]]*tbl_Grind[[#This Row],['# of men Act]],"")</f>
        <v/>
      </c>
      <c r="O119"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19" s="71" t="str">
        <f>IFERROR((tbl_Grind[[#This Row],[Adj. Total Hours]]+tbl_Grind[[#This Row],[Est. Hours]])/(tbl_Grind[[#This Row],[Total Hours Act]]+tbl_Grind[[#This Row],[Act. Hours]]),"")</f>
        <v/>
      </c>
      <c r="S119" s="63"/>
      <c r="T119" s="63"/>
      <c r="U119" s="63"/>
      <c r="V119" s="63"/>
      <c r="W119" s="63"/>
    </row>
    <row r="120" spans="6:23" ht="25" customHeight="1">
      <c r="F120" s="53"/>
      <c r="H120" s="55" t="e">
        <f>tbl_Grind[[#This Row],[Qty Complete]]/tbl_Grind[[#This Row],[Qty Required]]</f>
        <v>#DIV/0!</v>
      </c>
      <c r="K120" s="57" t="str">
        <f>IFERROR(tbl_Grind[[#This Row],[Qty Required]]/tbl_Grind[[#This Row],[PPH]]*tbl_Grind[[#This Row],['# of men]],"")</f>
        <v/>
      </c>
      <c r="L120" s="58" t="e">
        <f>tbl_Grind[[#This Row],[Total hours]]*tbl_Grind[[#This Row],[% Complete]]</f>
        <v>#VALUE!</v>
      </c>
      <c r="M120" s="59" t="str">
        <f>IFERROR(tbl_Grind[[#This Row],[Qty Complete]]/tbl_Grind[[#This Row],[Total Hours Act]]*tbl_Grind[[#This Row],['# of men Act]],"")</f>
        <v/>
      </c>
      <c r="O120"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20" s="71" t="str">
        <f>IFERROR((tbl_Grind[[#This Row],[Adj. Total Hours]]+tbl_Grind[[#This Row],[Est. Hours]])/(tbl_Grind[[#This Row],[Total Hours Act]]+tbl_Grind[[#This Row],[Act. Hours]]),"")</f>
        <v/>
      </c>
      <c r="S120" s="63"/>
      <c r="T120" s="63"/>
      <c r="U120" s="63"/>
      <c r="V120" s="63"/>
      <c r="W120" s="63"/>
    </row>
    <row r="121" spans="6:23" ht="25" customHeight="1">
      <c r="F121" s="53"/>
      <c r="H121" s="55" t="e">
        <f>tbl_Grind[[#This Row],[Qty Complete]]/tbl_Grind[[#This Row],[Qty Required]]</f>
        <v>#DIV/0!</v>
      </c>
      <c r="K121" s="57" t="str">
        <f>IFERROR(tbl_Grind[[#This Row],[Qty Required]]/tbl_Grind[[#This Row],[PPH]]*tbl_Grind[[#This Row],['# of men]],"")</f>
        <v/>
      </c>
      <c r="L121" s="58" t="e">
        <f>tbl_Grind[[#This Row],[Total hours]]*tbl_Grind[[#This Row],[% Complete]]</f>
        <v>#VALUE!</v>
      </c>
      <c r="M121" s="59" t="str">
        <f>IFERROR(tbl_Grind[[#This Row],[Qty Complete]]/tbl_Grind[[#This Row],[Total Hours Act]]*tbl_Grind[[#This Row],['# of men Act]],"")</f>
        <v/>
      </c>
      <c r="O121"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21" s="71" t="str">
        <f>IFERROR((tbl_Grind[[#This Row],[Adj. Total Hours]]+tbl_Grind[[#This Row],[Est. Hours]])/(tbl_Grind[[#This Row],[Total Hours Act]]+tbl_Grind[[#This Row],[Act. Hours]]),"")</f>
        <v/>
      </c>
      <c r="S121" s="63"/>
      <c r="T121" s="63"/>
      <c r="U121" s="63"/>
      <c r="V121" s="63"/>
      <c r="W121" s="63"/>
    </row>
    <row r="122" spans="6:23" ht="25" customHeight="1">
      <c r="F122" s="53"/>
      <c r="H122" s="55" t="e">
        <f>tbl_Grind[[#This Row],[Qty Complete]]/tbl_Grind[[#This Row],[Qty Required]]</f>
        <v>#DIV/0!</v>
      </c>
      <c r="K122" s="57" t="str">
        <f>IFERROR(tbl_Grind[[#This Row],[Qty Required]]/tbl_Grind[[#This Row],[PPH]]*tbl_Grind[[#This Row],['# of men]],"")</f>
        <v/>
      </c>
      <c r="L122" s="58" t="e">
        <f>tbl_Grind[[#This Row],[Total hours]]*tbl_Grind[[#This Row],[% Complete]]</f>
        <v>#VALUE!</v>
      </c>
      <c r="M122" s="59" t="str">
        <f>IFERROR(tbl_Grind[[#This Row],[Qty Complete]]/tbl_Grind[[#This Row],[Total Hours Act]]*tbl_Grind[[#This Row],['# of men Act]],"")</f>
        <v/>
      </c>
      <c r="O122"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22" s="71" t="str">
        <f>IFERROR((tbl_Grind[[#This Row],[Adj. Total Hours]]+tbl_Grind[[#This Row],[Est. Hours]])/(tbl_Grind[[#This Row],[Total Hours Act]]+tbl_Grind[[#This Row],[Act. Hours]]),"")</f>
        <v/>
      </c>
      <c r="S122" s="63"/>
      <c r="T122" s="63"/>
      <c r="U122" s="63"/>
      <c r="V122" s="63"/>
      <c r="W122" s="63"/>
    </row>
    <row r="123" spans="6:23" ht="25" customHeight="1">
      <c r="F123" s="53"/>
      <c r="H123" s="55" t="e">
        <f>tbl_Grind[[#This Row],[Qty Complete]]/tbl_Grind[[#This Row],[Qty Required]]</f>
        <v>#DIV/0!</v>
      </c>
      <c r="K123" s="57" t="str">
        <f>IFERROR(tbl_Grind[[#This Row],[Qty Required]]/tbl_Grind[[#This Row],[PPH]]*tbl_Grind[[#This Row],['# of men]],"")</f>
        <v/>
      </c>
      <c r="L123" s="58" t="e">
        <f>tbl_Grind[[#This Row],[Total hours]]*tbl_Grind[[#This Row],[% Complete]]</f>
        <v>#VALUE!</v>
      </c>
      <c r="M123" s="59" t="str">
        <f>IFERROR(tbl_Grind[[#This Row],[Qty Complete]]/tbl_Grind[[#This Row],[Total Hours Act]]*tbl_Grind[[#This Row],['# of men Act]],"")</f>
        <v/>
      </c>
      <c r="O123"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23" s="71" t="str">
        <f>IFERROR((tbl_Grind[[#This Row],[Adj. Total Hours]]+tbl_Grind[[#This Row],[Est. Hours]])/(tbl_Grind[[#This Row],[Total Hours Act]]+tbl_Grind[[#This Row],[Act. Hours]]),"")</f>
        <v/>
      </c>
      <c r="S123" s="63"/>
      <c r="T123" s="63"/>
      <c r="U123" s="63"/>
      <c r="V123" s="63"/>
      <c r="W123" s="63"/>
    </row>
    <row r="124" spans="6:23" ht="25" customHeight="1">
      <c r="F124" s="53"/>
      <c r="H124" s="55" t="e">
        <f>tbl_Grind[[#This Row],[Qty Complete]]/tbl_Grind[[#This Row],[Qty Required]]</f>
        <v>#DIV/0!</v>
      </c>
      <c r="K124" s="57" t="str">
        <f>IFERROR(tbl_Grind[[#This Row],[Qty Required]]/tbl_Grind[[#This Row],[PPH]]*tbl_Grind[[#This Row],['# of men]],"")</f>
        <v/>
      </c>
      <c r="L124" s="58" t="e">
        <f>tbl_Grind[[#This Row],[Total hours]]*tbl_Grind[[#This Row],[% Complete]]</f>
        <v>#VALUE!</v>
      </c>
      <c r="M124" s="59" t="str">
        <f>IFERROR(tbl_Grind[[#This Row],[Qty Complete]]/tbl_Grind[[#This Row],[Total Hours Act]]*tbl_Grind[[#This Row],['# of men Act]],"")</f>
        <v/>
      </c>
      <c r="O124"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24" s="71" t="str">
        <f>IFERROR((tbl_Grind[[#This Row],[Adj. Total Hours]]+tbl_Grind[[#This Row],[Est. Hours]])/(tbl_Grind[[#This Row],[Total Hours Act]]+tbl_Grind[[#This Row],[Act. Hours]]),"")</f>
        <v/>
      </c>
      <c r="S124" s="63"/>
      <c r="T124" s="63"/>
      <c r="U124" s="63"/>
      <c r="V124" s="63"/>
      <c r="W124" s="63"/>
    </row>
    <row r="125" spans="6:23" ht="25" customHeight="1">
      <c r="F125" s="53"/>
      <c r="H125" s="55" t="e">
        <f>tbl_Grind[[#This Row],[Qty Complete]]/tbl_Grind[[#This Row],[Qty Required]]</f>
        <v>#DIV/0!</v>
      </c>
      <c r="K125" s="57" t="str">
        <f>IFERROR(tbl_Grind[[#This Row],[Qty Required]]/tbl_Grind[[#This Row],[PPH]]*tbl_Grind[[#This Row],['# of men]],"")</f>
        <v/>
      </c>
      <c r="L125" s="58" t="e">
        <f>tbl_Grind[[#This Row],[Total hours]]*tbl_Grind[[#This Row],[% Complete]]</f>
        <v>#VALUE!</v>
      </c>
      <c r="M125" s="59" t="str">
        <f>IFERROR(tbl_Grind[[#This Row],[Qty Complete]]/tbl_Grind[[#This Row],[Total Hours Act]]*tbl_Grind[[#This Row],['# of men Act]],"")</f>
        <v/>
      </c>
      <c r="O125"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25" s="71" t="str">
        <f>IFERROR((tbl_Grind[[#This Row],[Adj. Total Hours]]+tbl_Grind[[#This Row],[Est. Hours]])/(tbl_Grind[[#This Row],[Total Hours Act]]+tbl_Grind[[#This Row],[Act. Hours]]),"")</f>
        <v/>
      </c>
      <c r="S125" s="63"/>
      <c r="T125" s="63"/>
      <c r="U125" s="63"/>
      <c r="V125" s="63"/>
      <c r="W125" s="63"/>
    </row>
    <row r="126" spans="6:23" ht="25" customHeight="1">
      <c r="F126" s="53"/>
      <c r="H126" s="55" t="e">
        <f>tbl_Grind[[#This Row],[Qty Complete]]/tbl_Grind[[#This Row],[Qty Required]]</f>
        <v>#DIV/0!</v>
      </c>
      <c r="K126" s="57" t="str">
        <f>IFERROR(tbl_Grind[[#This Row],[Qty Required]]/tbl_Grind[[#This Row],[PPH]]*tbl_Grind[[#This Row],['# of men]],"")</f>
        <v/>
      </c>
      <c r="L126" s="58" t="e">
        <f>tbl_Grind[[#This Row],[Total hours]]*tbl_Grind[[#This Row],[% Complete]]</f>
        <v>#VALUE!</v>
      </c>
      <c r="M126" s="59" t="str">
        <f>IFERROR(tbl_Grind[[#This Row],[Qty Complete]]/tbl_Grind[[#This Row],[Total Hours Act]]*tbl_Grind[[#This Row],['# of men Act]],"")</f>
        <v/>
      </c>
      <c r="O126"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26" s="71" t="str">
        <f>IFERROR((tbl_Grind[[#This Row],[Adj. Total Hours]]+tbl_Grind[[#This Row],[Est. Hours]])/(tbl_Grind[[#This Row],[Total Hours Act]]+tbl_Grind[[#This Row],[Act. Hours]]),"")</f>
        <v/>
      </c>
      <c r="S126" s="63"/>
      <c r="T126" s="63"/>
      <c r="U126" s="63"/>
      <c r="V126" s="63"/>
      <c r="W126" s="63"/>
    </row>
    <row r="127" spans="6:23" ht="25" customHeight="1">
      <c r="F127" s="53"/>
      <c r="H127" s="55" t="e">
        <f>tbl_Grind[[#This Row],[Qty Complete]]/tbl_Grind[[#This Row],[Qty Required]]</f>
        <v>#DIV/0!</v>
      </c>
      <c r="K127" s="57" t="str">
        <f>IFERROR(tbl_Grind[[#This Row],[Qty Required]]/tbl_Grind[[#This Row],[PPH]]*tbl_Grind[[#This Row],['# of men]],"")</f>
        <v/>
      </c>
      <c r="L127" s="58" t="e">
        <f>tbl_Grind[[#This Row],[Total hours]]*tbl_Grind[[#This Row],[% Complete]]</f>
        <v>#VALUE!</v>
      </c>
      <c r="M127" s="59" t="str">
        <f>IFERROR(tbl_Grind[[#This Row],[Qty Complete]]/tbl_Grind[[#This Row],[Total Hours Act]]*tbl_Grind[[#This Row],['# of men Act]],"")</f>
        <v/>
      </c>
      <c r="O127"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27" s="71" t="str">
        <f>IFERROR((tbl_Grind[[#This Row],[Adj. Total Hours]]+tbl_Grind[[#This Row],[Est. Hours]])/(tbl_Grind[[#This Row],[Total Hours Act]]+tbl_Grind[[#This Row],[Act. Hours]]),"")</f>
        <v/>
      </c>
      <c r="S127" s="63"/>
      <c r="T127" s="63"/>
      <c r="U127" s="63"/>
      <c r="V127" s="63"/>
      <c r="W127" s="63"/>
    </row>
    <row r="128" spans="6:23" ht="25" customHeight="1">
      <c r="F128" s="53"/>
      <c r="H128" s="55" t="e">
        <f>tbl_Grind[[#This Row],[Qty Complete]]/tbl_Grind[[#This Row],[Qty Required]]</f>
        <v>#DIV/0!</v>
      </c>
      <c r="K128" s="57" t="str">
        <f>IFERROR(tbl_Grind[[#This Row],[Qty Required]]/tbl_Grind[[#This Row],[PPH]]*tbl_Grind[[#This Row],['# of men]],"")</f>
        <v/>
      </c>
      <c r="L128" s="58" t="e">
        <f>tbl_Grind[[#This Row],[Total hours]]*tbl_Grind[[#This Row],[% Complete]]</f>
        <v>#VALUE!</v>
      </c>
      <c r="M128" s="59" t="str">
        <f>IFERROR(tbl_Grind[[#This Row],[Qty Complete]]/tbl_Grind[[#This Row],[Total Hours Act]]*tbl_Grind[[#This Row],['# of men Act]],"")</f>
        <v/>
      </c>
      <c r="O128"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28" s="71" t="str">
        <f>IFERROR((tbl_Grind[[#This Row],[Adj. Total Hours]]+tbl_Grind[[#This Row],[Est. Hours]])/(tbl_Grind[[#This Row],[Total Hours Act]]+tbl_Grind[[#This Row],[Act. Hours]]),"")</f>
        <v/>
      </c>
      <c r="S128" s="63"/>
      <c r="T128" s="63"/>
      <c r="U128" s="63"/>
      <c r="V128" s="63"/>
      <c r="W128" s="63"/>
    </row>
    <row r="129" spans="6:23" ht="25" customHeight="1">
      <c r="F129" s="53"/>
      <c r="H129" s="55" t="e">
        <f>tbl_Grind[[#This Row],[Qty Complete]]/tbl_Grind[[#This Row],[Qty Required]]</f>
        <v>#DIV/0!</v>
      </c>
      <c r="K129" s="57" t="str">
        <f>IFERROR(tbl_Grind[[#This Row],[Qty Required]]/tbl_Grind[[#This Row],[PPH]]*tbl_Grind[[#This Row],['# of men]],"")</f>
        <v/>
      </c>
      <c r="L129" s="58" t="e">
        <f>tbl_Grind[[#This Row],[Total hours]]*tbl_Grind[[#This Row],[% Complete]]</f>
        <v>#VALUE!</v>
      </c>
      <c r="M129" s="59" t="str">
        <f>IFERROR(tbl_Grind[[#This Row],[Qty Complete]]/tbl_Grind[[#This Row],[Total Hours Act]]*tbl_Grind[[#This Row],['# of men Act]],"")</f>
        <v/>
      </c>
      <c r="O129"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29" s="71" t="str">
        <f>IFERROR((tbl_Grind[[#This Row],[Adj. Total Hours]]+tbl_Grind[[#This Row],[Est. Hours]])/(tbl_Grind[[#This Row],[Total Hours Act]]+tbl_Grind[[#This Row],[Act. Hours]]),"")</f>
        <v/>
      </c>
      <c r="S129" s="63"/>
      <c r="T129" s="63"/>
      <c r="U129" s="63"/>
      <c r="V129" s="63"/>
      <c r="W129" s="63"/>
    </row>
    <row r="130" spans="6:23" ht="25" customHeight="1">
      <c r="F130" s="53"/>
      <c r="H130" s="55" t="e">
        <f>tbl_Grind[[#This Row],[Qty Complete]]/tbl_Grind[[#This Row],[Qty Required]]</f>
        <v>#DIV/0!</v>
      </c>
      <c r="K130" s="57" t="str">
        <f>IFERROR(tbl_Grind[[#This Row],[Qty Required]]/tbl_Grind[[#This Row],[PPH]]*tbl_Grind[[#This Row],['# of men]],"")</f>
        <v/>
      </c>
      <c r="L130" s="58" t="e">
        <f>tbl_Grind[[#This Row],[Total hours]]*tbl_Grind[[#This Row],[% Complete]]</f>
        <v>#VALUE!</v>
      </c>
      <c r="M130" s="59" t="str">
        <f>IFERROR(tbl_Grind[[#This Row],[Qty Complete]]/tbl_Grind[[#This Row],[Total Hours Act]]*tbl_Grind[[#This Row],['# of men Act]],"")</f>
        <v/>
      </c>
      <c r="O130"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30" s="71" t="str">
        <f>IFERROR((tbl_Grind[[#This Row],[Adj. Total Hours]]+tbl_Grind[[#This Row],[Est. Hours]])/(tbl_Grind[[#This Row],[Total Hours Act]]+tbl_Grind[[#This Row],[Act. Hours]]),"")</f>
        <v/>
      </c>
      <c r="S130" s="63"/>
      <c r="T130" s="63"/>
      <c r="U130" s="63"/>
      <c r="V130" s="63"/>
      <c r="W130" s="63"/>
    </row>
    <row r="131" spans="6:23" ht="25" customHeight="1">
      <c r="F131" s="53"/>
      <c r="H131" s="55" t="e">
        <f>tbl_Grind[[#This Row],[Qty Complete]]/tbl_Grind[[#This Row],[Qty Required]]</f>
        <v>#DIV/0!</v>
      </c>
      <c r="K131" s="57" t="str">
        <f>IFERROR(tbl_Grind[[#This Row],[Qty Required]]/tbl_Grind[[#This Row],[PPH]]*tbl_Grind[[#This Row],['# of men]],"")</f>
        <v/>
      </c>
      <c r="L131" s="58" t="e">
        <f>tbl_Grind[[#This Row],[Total hours]]*tbl_Grind[[#This Row],[% Complete]]</f>
        <v>#VALUE!</v>
      </c>
      <c r="M131" s="59" t="str">
        <f>IFERROR(tbl_Grind[[#This Row],[Qty Complete]]/tbl_Grind[[#This Row],[Total Hours Act]]*tbl_Grind[[#This Row],['# of men Act]],"")</f>
        <v/>
      </c>
      <c r="O131"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31" s="71" t="str">
        <f>IFERROR((tbl_Grind[[#This Row],[Adj. Total Hours]]+tbl_Grind[[#This Row],[Est. Hours]])/(tbl_Grind[[#This Row],[Total Hours Act]]+tbl_Grind[[#This Row],[Act. Hours]]),"")</f>
        <v/>
      </c>
      <c r="S131" s="63"/>
      <c r="T131" s="63"/>
      <c r="U131" s="63"/>
      <c r="V131" s="63"/>
      <c r="W131" s="63"/>
    </row>
    <row r="132" spans="6:23" ht="25" customHeight="1">
      <c r="F132" s="53"/>
      <c r="H132" s="55" t="e">
        <f>tbl_Grind[[#This Row],[Qty Complete]]/tbl_Grind[[#This Row],[Qty Required]]</f>
        <v>#DIV/0!</v>
      </c>
      <c r="K132" s="57" t="str">
        <f>IFERROR(tbl_Grind[[#This Row],[Qty Required]]/tbl_Grind[[#This Row],[PPH]]*tbl_Grind[[#This Row],['# of men]],"")</f>
        <v/>
      </c>
      <c r="L132" s="58" t="e">
        <f>tbl_Grind[[#This Row],[Total hours]]*tbl_Grind[[#This Row],[% Complete]]</f>
        <v>#VALUE!</v>
      </c>
      <c r="M132" s="59" t="str">
        <f>IFERROR(tbl_Grind[[#This Row],[Qty Complete]]/tbl_Grind[[#This Row],[Total Hours Act]]*tbl_Grind[[#This Row],['# of men Act]],"")</f>
        <v/>
      </c>
      <c r="O132"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32" s="71" t="str">
        <f>IFERROR((tbl_Grind[[#This Row],[Adj. Total Hours]]+tbl_Grind[[#This Row],[Est. Hours]])/(tbl_Grind[[#This Row],[Total Hours Act]]+tbl_Grind[[#This Row],[Act. Hours]]),"")</f>
        <v/>
      </c>
      <c r="S132" s="63"/>
      <c r="T132" s="63"/>
      <c r="U132" s="63"/>
      <c r="V132" s="63"/>
      <c r="W132" s="63"/>
    </row>
    <row r="133" spans="6:23" ht="25" customHeight="1">
      <c r="F133" s="53"/>
      <c r="H133" s="55" t="e">
        <f>tbl_Grind[[#This Row],[Qty Complete]]/tbl_Grind[[#This Row],[Qty Required]]</f>
        <v>#DIV/0!</v>
      </c>
      <c r="K133" s="57" t="str">
        <f>IFERROR(tbl_Grind[[#This Row],[Qty Required]]/tbl_Grind[[#This Row],[PPH]]*tbl_Grind[[#This Row],['# of men]],"")</f>
        <v/>
      </c>
      <c r="L133" s="58" t="e">
        <f>tbl_Grind[[#This Row],[Total hours]]*tbl_Grind[[#This Row],[% Complete]]</f>
        <v>#VALUE!</v>
      </c>
      <c r="M133" s="59" t="str">
        <f>IFERROR(tbl_Grind[[#This Row],[Qty Complete]]/tbl_Grind[[#This Row],[Total Hours Act]]*tbl_Grind[[#This Row],['# of men Act]],"")</f>
        <v/>
      </c>
      <c r="O133"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33" s="71" t="str">
        <f>IFERROR((tbl_Grind[[#This Row],[Adj. Total Hours]]+tbl_Grind[[#This Row],[Est. Hours]])/(tbl_Grind[[#This Row],[Total Hours Act]]+tbl_Grind[[#This Row],[Act. Hours]]),"")</f>
        <v/>
      </c>
      <c r="S133" s="63"/>
      <c r="T133" s="63"/>
      <c r="U133" s="63"/>
      <c r="V133" s="63"/>
      <c r="W133" s="63"/>
    </row>
    <row r="134" spans="6:23" ht="25" customHeight="1">
      <c r="F134" s="53"/>
      <c r="H134" s="55" t="e">
        <f>tbl_Grind[[#This Row],[Qty Complete]]/tbl_Grind[[#This Row],[Qty Required]]</f>
        <v>#DIV/0!</v>
      </c>
      <c r="K134" s="57" t="str">
        <f>IFERROR(tbl_Grind[[#This Row],[Qty Required]]/tbl_Grind[[#This Row],[PPH]]*tbl_Grind[[#This Row],['# of men]],"")</f>
        <v/>
      </c>
      <c r="L134" s="58" t="e">
        <f>tbl_Grind[[#This Row],[Total hours]]*tbl_Grind[[#This Row],[% Complete]]</f>
        <v>#VALUE!</v>
      </c>
      <c r="M134" s="59" t="str">
        <f>IFERROR(tbl_Grind[[#This Row],[Qty Complete]]/tbl_Grind[[#This Row],[Total Hours Act]]*tbl_Grind[[#This Row],['# of men Act]],"")</f>
        <v/>
      </c>
      <c r="O134"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34" s="71" t="str">
        <f>IFERROR((tbl_Grind[[#This Row],[Adj. Total Hours]]+tbl_Grind[[#This Row],[Est. Hours]])/(tbl_Grind[[#This Row],[Total Hours Act]]+tbl_Grind[[#This Row],[Act. Hours]]),"")</f>
        <v/>
      </c>
      <c r="S134" s="63"/>
      <c r="T134" s="63"/>
      <c r="U134" s="63"/>
      <c r="V134" s="63"/>
      <c r="W134" s="63"/>
    </row>
    <row r="135" spans="6:23" ht="25" customHeight="1">
      <c r="F135" s="53"/>
      <c r="H135" s="55" t="e">
        <f>tbl_Grind[[#This Row],[Qty Complete]]/tbl_Grind[[#This Row],[Qty Required]]</f>
        <v>#DIV/0!</v>
      </c>
      <c r="K135" s="57" t="str">
        <f>IFERROR(tbl_Grind[[#This Row],[Qty Required]]/tbl_Grind[[#This Row],[PPH]]*tbl_Grind[[#This Row],['# of men]],"")</f>
        <v/>
      </c>
      <c r="L135" s="58" t="e">
        <f>tbl_Grind[[#This Row],[Total hours]]*tbl_Grind[[#This Row],[% Complete]]</f>
        <v>#VALUE!</v>
      </c>
      <c r="M135" s="59" t="str">
        <f>IFERROR(tbl_Grind[[#This Row],[Qty Complete]]/tbl_Grind[[#This Row],[Total Hours Act]]*tbl_Grind[[#This Row],['# of men Act]],"")</f>
        <v/>
      </c>
      <c r="O135"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35" s="71" t="str">
        <f>IFERROR((tbl_Grind[[#This Row],[Adj. Total Hours]]+tbl_Grind[[#This Row],[Est. Hours]])/(tbl_Grind[[#This Row],[Total Hours Act]]+tbl_Grind[[#This Row],[Act. Hours]]),"")</f>
        <v/>
      </c>
      <c r="S135" s="63"/>
      <c r="T135" s="63"/>
      <c r="U135" s="63"/>
      <c r="V135" s="63"/>
      <c r="W135" s="63"/>
    </row>
    <row r="136" spans="6:23" ht="25" customHeight="1">
      <c r="F136" s="53"/>
      <c r="H136" s="55" t="e">
        <f>tbl_Grind[[#This Row],[Qty Complete]]/tbl_Grind[[#This Row],[Qty Required]]</f>
        <v>#DIV/0!</v>
      </c>
      <c r="K136" s="57" t="str">
        <f>IFERROR(tbl_Grind[[#This Row],[Qty Required]]/tbl_Grind[[#This Row],[PPH]]*tbl_Grind[[#This Row],['# of men]],"")</f>
        <v/>
      </c>
      <c r="L136" s="58" t="e">
        <f>tbl_Grind[[#This Row],[Total hours]]*tbl_Grind[[#This Row],[% Complete]]</f>
        <v>#VALUE!</v>
      </c>
      <c r="M136" s="59" t="str">
        <f>IFERROR(tbl_Grind[[#This Row],[Qty Complete]]/tbl_Grind[[#This Row],[Total Hours Act]]*tbl_Grind[[#This Row],['# of men Act]],"")</f>
        <v/>
      </c>
      <c r="O136"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36" s="71" t="str">
        <f>IFERROR((tbl_Grind[[#This Row],[Adj. Total Hours]]+tbl_Grind[[#This Row],[Est. Hours]])/(tbl_Grind[[#This Row],[Total Hours Act]]+tbl_Grind[[#This Row],[Act. Hours]]),"")</f>
        <v/>
      </c>
      <c r="S136" s="63"/>
      <c r="T136" s="63"/>
      <c r="U136" s="63"/>
      <c r="V136" s="63"/>
      <c r="W136" s="63"/>
    </row>
    <row r="137" spans="6:23" ht="25" customHeight="1">
      <c r="F137" s="53"/>
      <c r="H137" s="55" t="e">
        <f>tbl_Grind[[#This Row],[Qty Complete]]/tbl_Grind[[#This Row],[Qty Required]]</f>
        <v>#DIV/0!</v>
      </c>
      <c r="K137" s="57" t="str">
        <f>IFERROR(tbl_Grind[[#This Row],[Qty Required]]/tbl_Grind[[#This Row],[PPH]]*tbl_Grind[[#This Row],['# of men]],"")</f>
        <v/>
      </c>
      <c r="L137" s="58" t="e">
        <f>tbl_Grind[[#This Row],[Total hours]]*tbl_Grind[[#This Row],[% Complete]]</f>
        <v>#VALUE!</v>
      </c>
      <c r="M137" s="59" t="str">
        <f>IFERROR(tbl_Grind[[#This Row],[Qty Complete]]/tbl_Grind[[#This Row],[Total Hours Act]]*tbl_Grind[[#This Row],['# of men Act]],"")</f>
        <v/>
      </c>
      <c r="O137"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37" s="71" t="str">
        <f>IFERROR((tbl_Grind[[#This Row],[Adj. Total Hours]]+tbl_Grind[[#This Row],[Est. Hours]])/(tbl_Grind[[#This Row],[Total Hours Act]]+tbl_Grind[[#This Row],[Act. Hours]]),"")</f>
        <v/>
      </c>
      <c r="S137" s="63"/>
      <c r="T137" s="63"/>
      <c r="U137" s="63"/>
      <c r="V137" s="63"/>
      <c r="W137" s="63"/>
    </row>
    <row r="138" spans="6:23" ht="25" customHeight="1">
      <c r="F138" s="53"/>
      <c r="H138" s="55" t="e">
        <f>tbl_Grind[[#This Row],[Qty Complete]]/tbl_Grind[[#This Row],[Qty Required]]</f>
        <v>#DIV/0!</v>
      </c>
      <c r="K138" s="57" t="str">
        <f>IFERROR(tbl_Grind[[#This Row],[Qty Required]]/tbl_Grind[[#This Row],[PPH]]*tbl_Grind[[#This Row],['# of men]],"")</f>
        <v/>
      </c>
      <c r="L138" s="58" t="e">
        <f>tbl_Grind[[#This Row],[Total hours]]*tbl_Grind[[#This Row],[% Complete]]</f>
        <v>#VALUE!</v>
      </c>
      <c r="M138" s="59" t="str">
        <f>IFERROR(tbl_Grind[[#This Row],[Qty Complete]]/tbl_Grind[[#This Row],[Total Hours Act]]*tbl_Grind[[#This Row],['# of men Act]],"")</f>
        <v/>
      </c>
      <c r="O138"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38" s="71" t="str">
        <f>IFERROR((tbl_Grind[[#This Row],[Adj. Total Hours]]+tbl_Grind[[#This Row],[Est. Hours]])/(tbl_Grind[[#This Row],[Total Hours Act]]+tbl_Grind[[#This Row],[Act. Hours]]),"")</f>
        <v/>
      </c>
      <c r="S138" s="63"/>
      <c r="T138" s="63"/>
      <c r="U138" s="63"/>
      <c r="V138" s="63"/>
      <c r="W138" s="63"/>
    </row>
    <row r="139" spans="6:23" ht="25" customHeight="1">
      <c r="F139" s="53"/>
      <c r="H139" s="55" t="e">
        <f>tbl_Grind[[#This Row],[Qty Complete]]/tbl_Grind[[#This Row],[Qty Required]]</f>
        <v>#DIV/0!</v>
      </c>
      <c r="K139" s="57" t="str">
        <f>IFERROR(tbl_Grind[[#This Row],[Qty Required]]/tbl_Grind[[#This Row],[PPH]]*tbl_Grind[[#This Row],['# of men]],"")</f>
        <v/>
      </c>
      <c r="L139" s="58" t="e">
        <f>tbl_Grind[[#This Row],[Total hours]]*tbl_Grind[[#This Row],[% Complete]]</f>
        <v>#VALUE!</v>
      </c>
      <c r="M139" s="59" t="str">
        <f>IFERROR(tbl_Grind[[#This Row],[Qty Complete]]/tbl_Grind[[#This Row],[Total Hours Act]]*tbl_Grind[[#This Row],['# of men Act]],"")</f>
        <v/>
      </c>
      <c r="O139"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39" s="71" t="str">
        <f>IFERROR((tbl_Grind[[#This Row],[Adj. Total Hours]]+tbl_Grind[[#This Row],[Est. Hours]])/(tbl_Grind[[#This Row],[Total Hours Act]]+tbl_Grind[[#This Row],[Act. Hours]]),"")</f>
        <v/>
      </c>
      <c r="S139" s="63"/>
      <c r="T139" s="63"/>
      <c r="U139" s="63"/>
      <c r="V139" s="63"/>
      <c r="W139" s="63"/>
    </row>
    <row r="140" spans="6:23" ht="25" customHeight="1">
      <c r="F140" s="53"/>
      <c r="H140" s="55" t="e">
        <f>tbl_Grind[[#This Row],[Qty Complete]]/tbl_Grind[[#This Row],[Qty Required]]</f>
        <v>#DIV/0!</v>
      </c>
      <c r="K140" s="57" t="str">
        <f>IFERROR(tbl_Grind[[#This Row],[Qty Required]]/tbl_Grind[[#This Row],[PPH]]*tbl_Grind[[#This Row],['# of men]],"")</f>
        <v/>
      </c>
      <c r="L140" s="58" t="e">
        <f>tbl_Grind[[#This Row],[Total hours]]*tbl_Grind[[#This Row],[% Complete]]</f>
        <v>#VALUE!</v>
      </c>
      <c r="M140" s="59" t="str">
        <f>IFERROR(tbl_Grind[[#This Row],[Qty Complete]]/tbl_Grind[[#This Row],[Total Hours Act]]*tbl_Grind[[#This Row],['# of men Act]],"")</f>
        <v/>
      </c>
      <c r="O140"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40" s="71" t="str">
        <f>IFERROR((tbl_Grind[[#This Row],[Adj. Total Hours]]+tbl_Grind[[#This Row],[Est. Hours]])/(tbl_Grind[[#This Row],[Total Hours Act]]+tbl_Grind[[#This Row],[Act. Hours]]),"")</f>
        <v/>
      </c>
      <c r="S140" s="63"/>
      <c r="T140" s="63"/>
      <c r="U140" s="63"/>
      <c r="V140" s="63"/>
      <c r="W140" s="63"/>
    </row>
    <row r="141" spans="6:23" ht="25" customHeight="1">
      <c r="F141" s="53"/>
      <c r="H141" s="55" t="e">
        <f>tbl_Grind[[#This Row],[Qty Complete]]/tbl_Grind[[#This Row],[Qty Required]]</f>
        <v>#DIV/0!</v>
      </c>
      <c r="K141" s="57" t="str">
        <f>IFERROR(tbl_Grind[[#This Row],[Qty Required]]/tbl_Grind[[#This Row],[PPH]]*tbl_Grind[[#This Row],['# of men]],"")</f>
        <v/>
      </c>
      <c r="L141" s="58" t="e">
        <f>tbl_Grind[[#This Row],[Total hours]]*tbl_Grind[[#This Row],[% Complete]]</f>
        <v>#VALUE!</v>
      </c>
      <c r="M141" s="59" t="str">
        <f>IFERROR(tbl_Grind[[#This Row],[Qty Complete]]/tbl_Grind[[#This Row],[Total Hours Act]]*tbl_Grind[[#This Row],['# of men Act]],"")</f>
        <v/>
      </c>
      <c r="O141"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41" s="71" t="str">
        <f>IFERROR((tbl_Grind[[#This Row],[Adj. Total Hours]]+tbl_Grind[[#This Row],[Est. Hours]])/(tbl_Grind[[#This Row],[Total Hours Act]]+tbl_Grind[[#This Row],[Act. Hours]]),"")</f>
        <v/>
      </c>
      <c r="S141" s="63"/>
      <c r="T141" s="63"/>
      <c r="U141" s="63"/>
      <c r="V141" s="63"/>
      <c r="W141" s="63"/>
    </row>
    <row r="142" spans="6:23" ht="25" customHeight="1">
      <c r="F142" s="53"/>
      <c r="H142" s="55" t="e">
        <f>tbl_Grind[[#This Row],[Qty Complete]]/tbl_Grind[[#This Row],[Qty Required]]</f>
        <v>#DIV/0!</v>
      </c>
      <c r="K142" s="57" t="str">
        <f>IFERROR(tbl_Grind[[#This Row],[Qty Required]]/tbl_Grind[[#This Row],[PPH]]*tbl_Grind[[#This Row],['# of men]],"")</f>
        <v/>
      </c>
      <c r="L142" s="58" t="e">
        <f>tbl_Grind[[#This Row],[Total hours]]*tbl_Grind[[#This Row],[% Complete]]</f>
        <v>#VALUE!</v>
      </c>
      <c r="M142" s="59" t="str">
        <f>IFERROR(tbl_Grind[[#This Row],[Qty Complete]]/tbl_Grind[[#This Row],[Total Hours Act]]*tbl_Grind[[#This Row],['# of men Act]],"")</f>
        <v/>
      </c>
      <c r="O142"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42" s="71" t="str">
        <f>IFERROR((tbl_Grind[[#This Row],[Adj. Total Hours]]+tbl_Grind[[#This Row],[Est. Hours]])/(tbl_Grind[[#This Row],[Total Hours Act]]+tbl_Grind[[#This Row],[Act. Hours]]),"")</f>
        <v/>
      </c>
      <c r="S142" s="63"/>
      <c r="T142" s="63"/>
      <c r="U142" s="63"/>
      <c r="V142" s="63"/>
      <c r="W142" s="63"/>
    </row>
    <row r="143" spans="6:23" ht="25" customHeight="1">
      <c r="F143" s="53"/>
      <c r="H143" s="55" t="e">
        <f>tbl_Grind[[#This Row],[Qty Complete]]/tbl_Grind[[#This Row],[Qty Required]]</f>
        <v>#DIV/0!</v>
      </c>
      <c r="K143" s="57" t="str">
        <f>IFERROR(tbl_Grind[[#This Row],[Qty Required]]/tbl_Grind[[#This Row],[PPH]]*tbl_Grind[[#This Row],['# of men]],"")</f>
        <v/>
      </c>
      <c r="L143" s="58" t="e">
        <f>tbl_Grind[[#This Row],[Total hours]]*tbl_Grind[[#This Row],[% Complete]]</f>
        <v>#VALUE!</v>
      </c>
      <c r="M143" s="59" t="str">
        <f>IFERROR(tbl_Grind[[#This Row],[Qty Complete]]/tbl_Grind[[#This Row],[Total Hours Act]]*tbl_Grind[[#This Row],['# of men Act]],"")</f>
        <v/>
      </c>
      <c r="O143"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43" s="71" t="str">
        <f>IFERROR((tbl_Grind[[#This Row],[Adj. Total Hours]]+tbl_Grind[[#This Row],[Est. Hours]])/(tbl_Grind[[#This Row],[Total Hours Act]]+tbl_Grind[[#This Row],[Act. Hours]]),"")</f>
        <v/>
      </c>
      <c r="S143" s="63"/>
      <c r="T143" s="63"/>
      <c r="U143" s="63"/>
      <c r="V143" s="63"/>
      <c r="W143" s="63"/>
    </row>
    <row r="144" spans="6:23" ht="25" customHeight="1">
      <c r="F144" s="53"/>
      <c r="H144" s="55" t="e">
        <f>tbl_Grind[[#This Row],[Qty Complete]]/tbl_Grind[[#This Row],[Qty Required]]</f>
        <v>#DIV/0!</v>
      </c>
      <c r="K144" s="57" t="str">
        <f>IFERROR(tbl_Grind[[#This Row],[Qty Required]]/tbl_Grind[[#This Row],[PPH]]*tbl_Grind[[#This Row],['# of men]],"")</f>
        <v/>
      </c>
      <c r="L144" s="58" t="e">
        <f>tbl_Grind[[#This Row],[Total hours]]*tbl_Grind[[#This Row],[% Complete]]</f>
        <v>#VALUE!</v>
      </c>
      <c r="M144" s="59" t="str">
        <f>IFERROR(tbl_Grind[[#This Row],[Qty Complete]]/tbl_Grind[[#This Row],[Total Hours Act]]*tbl_Grind[[#This Row],['# of men Act]],"")</f>
        <v/>
      </c>
      <c r="O144"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44" s="71" t="str">
        <f>IFERROR((tbl_Grind[[#This Row],[Adj. Total Hours]]+tbl_Grind[[#This Row],[Est. Hours]])/(tbl_Grind[[#This Row],[Total Hours Act]]+tbl_Grind[[#This Row],[Act. Hours]]),"")</f>
        <v/>
      </c>
      <c r="S144" s="63"/>
      <c r="T144" s="63"/>
      <c r="U144" s="63"/>
      <c r="V144" s="63"/>
      <c r="W144" s="63"/>
    </row>
    <row r="145" spans="6:23" ht="25" customHeight="1">
      <c r="F145" s="53"/>
      <c r="H145" s="55" t="e">
        <f>tbl_Grind[[#This Row],[Qty Complete]]/tbl_Grind[[#This Row],[Qty Required]]</f>
        <v>#DIV/0!</v>
      </c>
      <c r="K145" s="57" t="str">
        <f>IFERROR(tbl_Grind[[#This Row],[Qty Required]]/tbl_Grind[[#This Row],[PPH]]*tbl_Grind[[#This Row],['# of men]],"")</f>
        <v/>
      </c>
      <c r="L145" s="58" t="e">
        <f>tbl_Grind[[#This Row],[Total hours]]*tbl_Grind[[#This Row],[% Complete]]</f>
        <v>#VALUE!</v>
      </c>
      <c r="M145" s="59" t="str">
        <f>IFERROR(tbl_Grind[[#This Row],[Qty Complete]]/tbl_Grind[[#This Row],[Total Hours Act]]*tbl_Grind[[#This Row],['# of men Act]],"")</f>
        <v/>
      </c>
      <c r="O145"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45" s="71" t="str">
        <f>IFERROR((tbl_Grind[[#This Row],[Adj. Total Hours]]+tbl_Grind[[#This Row],[Est. Hours]])/(tbl_Grind[[#This Row],[Total Hours Act]]+tbl_Grind[[#This Row],[Act. Hours]]),"")</f>
        <v/>
      </c>
      <c r="S145" s="63"/>
      <c r="T145" s="63"/>
      <c r="U145" s="63"/>
      <c r="V145" s="63"/>
      <c r="W145" s="63"/>
    </row>
    <row r="146" spans="6:23" ht="25" customHeight="1">
      <c r="F146" s="53"/>
      <c r="H146" s="55" t="e">
        <f>tbl_Grind[[#This Row],[Qty Complete]]/tbl_Grind[[#This Row],[Qty Required]]</f>
        <v>#DIV/0!</v>
      </c>
      <c r="K146" s="57" t="str">
        <f>IFERROR(tbl_Grind[[#This Row],[Qty Required]]/tbl_Grind[[#This Row],[PPH]]*tbl_Grind[[#This Row],['# of men]],"")</f>
        <v/>
      </c>
      <c r="L146" s="58" t="e">
        <f>tbl_Grind[[#This Row],[Total hours]]*tbl_Grind[[#This Row],[% Complete]]</f>
        <v>#VALUE!</v>
      </c>
      <c r="M146" s="59" t="str">
        <f>IFERROR(tbl_Grind[[#This Row],[Qty Complete]]/tbl_Grind[[#This Row],[Total Hours Act]]*tbl_Grind[[#This Row],['# of men Act]],"")</f>
        <v/>
      </c>
      <c r="O146"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46" s="71" t="str">
        <f>IFERROR((tbl_Grind[[#This Row],[Adj. Total Hours]]+tbl_Grind[[#This Row],[Est. Hours]])/(tbl_Grind[[#This Row],[Total Hours Act]]+tbl_Grind[[#This Row],[Act. Hours]]),"")</f>
        <v/>
      </c>
      <c r="S146" s="63"/>
      <c r="T146" s="63"/>
      <c r="U146" s="63"/>
      <c r="V146" s="63"/>
      <c r="W146" s="63"/>
    </row>
    <row r="147" spans="6:23" ht="25" customHeight="1">
      <c r="F147" s="53"/>
      <c r="H147" s="55" t="e">
        <f>tbl_Grind[[#This Row],[Qty Complete]]/tbl_Grind[[#This Row],[Qty Required]]</f>
        <v>#DIV/0!</v>
      </c>
      <c r="K147" s="57" t="str">
        <f>IFERROR(tbl_Grind[[#This Row],[Qty Required]]/tbl_Grind[[#This Row],[PPH]]*tbl_Grind[[#This Row],['# of men]],"")</f>
        <v/>
      </c>
      <c r="L147" s="58" t="e">
        <f>tbl_Grind[[#This Row],[Total hours]]*tbl_Grind[[#This Row],[% Complete]]</f>
        <v>#VALUE!</v>
      </c>
      <c r="M147" s="59" t="str">
        <f>IFERROR(tbl_Grind[[#This Row],[Qty Complete]]/tbl_Grind[[#This Row],[Total Hours Act]]*tbl_Grind[[#This Row],['# of men Act]],"")</f>
        <v/>
      </c>
      <c r="O147"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47" s="71" t="str">
        <f>IFERROR((tbl_Grind[[#This Row],[Adj. Total Hours]]+tbl_Grind[[#This Row],[Est. Hours]])/(tbl_Grind[[#This Row],[Total Hours Act]]+tbl_Grind[[#This Row],[Act. Hours]]),"")</f>
        <v/>
      </c>
      <c r="S147" s="63"/>
      <c r="T147" s="63"/>
      <c r="U147" s="63"/>
      <c r="V147" s="63"/>
      <c r="W147" s="63"/>
    </row>
    <row r="148" spans="6:23" ht="25" customHeight="1">
      <c r="F148" s="53"/>
      <c r="H148" s="55" t="e">
        <f>tbl_Grind[[#This Row],[Qty Complete]]/tbl_Grind[[#This Row],[Qty Required]]</f>
        <v>#DIV/0!</v>
      </c>
      <c r="K148" s="57" t="str">
        <f>IFERROR(tbl_Grind[[#This Row],[Qty Required]]/tbl_Grind[[#This Row],[PPH]]*tbl_Grind[[#This Row],['# of men]],"")</f>
        <v/>
      </c>
      <c r="L148" s="58" t="e">
        <f>tbl_Grind[[#This Row],[Total hours]]*tbl_Grind[[#This Row],[% Complete]]</f>
        <v>#VALUE!</v>
      </c>
      <c r="M148" s="59" t="str">
        <f>IFERROR(tbl_Grind[[#This Row],[Qty Complete]]/tbl_Grind[[#This Row],[Total Hours Act]]*tbl_Grind[[#This Row],['# of men Act]],"")</f>
        <v/>
      </c>
      <c r="O148"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48" s="71" t="str">
        <f>IFERROR((tbl_Grind[[#This Row],[Adj. Total Hours]]+tbl_Grind[[#This Row],[Est. Hours]])/(tbl_Grind[[#This Row],[Total Hours Act]]+tbl_Grind[[#This Row],[Act. Hours]]),"")</f>
        <v/>
      </c>
      <c r="S148" s="63"/>
      <c r="T148" s="63"/>
      <c r="U148" s="63"/>
      <c r="V148" s="63"/>
      <c r="W148" s="63"/>
    </row>
    <row r="149" spans="6:23" ht="25" customHeight="1">
      <c r="F149" s="53"/>
      <c r="H149" s="55" t="e">
        <f>tbl_Grind[[#This Row],[Qty Complete]]/tbl_Grind[[#This Row],[Qty Required]]</f>
        <v>#DIV/0!</v>
      </c>
      <c r="K149" s="57" t="str">
        <f>IFERROR(tbl_Grind[[#This Row],[Qty Required]]/tbl_Grind[[#This Row],[PPH]]*tbl_Grind[[#This Row],['# of men]],"")</f>
        <v/>
      </c>
      <c r="L149" s="58" t="e">
        <f>tbl_Grind[[#This Row],[Total hours]]*tbl_Grind[[#This Row],[% Complete]]</f>
        <v>#VALUE!</v>
      </c>
      <c r="M149" s="59" t="str">
        <f>IFERROR(tbl_Grind[[#This Row],[Qty Complete]]/tbl_Grind[[#This Row],[Total Hours Act]]*tbl_Grind[[#This Row],['# of men Act]],"")</f>
        <v/>
      </c>
      <c r="O149"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49" s="71" t="str">
        <f>IFERROR((tbl_Grind[[#This Row],[Adj. Total Hours]]+tbl_Grind[[#This Row],[Est. Hours]])/(tbl_Grind[[#This Row],[Total Hours Act]]+tbl_Grind[[#This Row],[Act. Hours]]),"")</f>
        <v/>
      </c>
      <c r="S149" s="63"/>
      <c r="T149" s="63"/>
      <c r="U149" s="63"/>
      <c r="V149" s="63"/>
      <c r="W149" s="63"/>
    </row>
    <row r="150" spans="6:23" ht="25" customHeight="1">
      <c r="F150" s="53"/>
      <c r="H150" s="55" t="e">
        <f>tbl_Grind[[#This Row],[Qty Complete]]/tbl_Grind[[#This Row],[Qty Required]]</f>
        <v>#DIV/0!</v>
      </c>
      <c r="K150" s="57" t="str">
        <f>IFERROR(tbl_Grind[[#This Row],[Qty Required]]/tbl_Grind[[#This Row],[PPH]]*tbl_Grind[[#This Row],['# of men]],"")</f>
        <v/>
      </c>
      <c r="L150" s="58" t="e">
        <f>tbl_Grind[[#This Row],[Total hours]]*tbl_Grind[[#This Row],[% Complete]]</f>
        <v>#VALUE!</v>
      </c>
      <c r="M150" s="59" t="str">
        <f>IFERROR(tbl_Grind[[#This Row],[Qty Complete]]/tbl_Grind[[#This Row],[Total Hours Act]]*tbl_Grind[[#This Row],['# of men Act]],"")</f>
        <v/>
      </c>
      <c r="O150"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50" s="71" t="str">
        <f>IFERROR((tbl_Grind[[#This Row],[Adj. Total Hours]]+tbl_Grind[[#This Row],[Est. Hours]])/(tbl_Grind[[#This Row],[Total Hours Act]]+tbl_Grind[[#This Row],[Act. Hours]]),"")</f>
        <v/>
      </c>
      <c r="S150" s="63"/>
      <c r="T150" s="63"/>
      <c r="U150" s="63"/>
      <c r="V150" s="63"/>
      <c r="W150" s="63"/>
    </row>
    <row r="151" spans="6:23" ht="25" customHeight="1">
      <c r="F151" s="53"/>
      <c r="H151" s="55" t="e">
        <f>tbl_Grind[[#This Row],[Qty Complete]]/tbl_Grind[[#This Row],[Qty Required]]</f>
        <v>#DIV/0!</v>
      </c>
      <c r="K151" s="57" t="str">
        <f>IFERROR(tbl_Grind[[#This Row],[Qty Required]]/tbl_Grind[[#This Row],[PPH]]*tbl_Grind[[#This Row],['# of men]],"")</f>
        <v/>
      </c>
      <c r="L151" s="58" t="e">
        <f>tbl_Grind[[#This Row],[Total hours]]*tbl_Grind[[#This Row],[% Complete]]</f>
        <v>#VALUE!</v>
      </c>
      <c r="M151" s="59" t="str">
        <f>IFERROR(tbl_Grind[[#This Row],[Qty Complete]]/tbl_Grind[[#This Row],[Total Hours Act]]*tbl_Grind[[#This Row],['# of men Act]],"")</f>
        <v/>
      </c>
      <c r="O151"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51" s="71" t="str">
        <f>IFERROR((tbl_Grind[[#This Row],[Adj. Total Hours]]+tbl_Grind[[#This Row],[Est. Hours]])/(tbl_Grind[[#This Row],[Total Hours Act]]+tbl_Grind[[#This Row],[Act. Hours]]),"")</f>
        <v/>
      </c>
      <c r="S151" s="63"/>
      <c r="T151" s="63"/>
      <c r="U151" s="63"/>
      <c r="V151" s="63"/>
      <c r="W151" s="63"/>
    </row>
    <row r="152" spans="6:23" ht="25" customHeight="1">
      <c r="F152" s="53"/>
      <c r="H152" s="55" t="e">
        <f>tbl_Grind[[#This Row],[Qty Complete]]/tbl_Grind[[#This Row],[Qty Required]]</f>
        <v>#DIV/0!</v>
      </c>
      <c r="K152" s="57" t="str">
        <f>IFERROR(tbl_Grind[[#This Row],[Qty Required]]/tbl_Grind[[#This Row],[PPH]]*tbl_Grind[[#This Row],['# of men]],"")</f>
        <v/>
      </c>
      <c r="L152" s="58" t="e">
        <f>tbl_Grind[[#This Row],[Total hours]]*tbl_Grind[[#This Row],[% Complete]]</f>
        <v>#VALUE!</v>
      </c>
      <c r="M152" s="59" t="str">
        <f>IFERROR(tbl_Grind[[#This Row],[Qty Complete]]/tbl_Grind[[#This Row],[Total Hours Act]]*tbl_Grind[[#This Row],['# of men Act]],"")</f>
        <v/>
      </c>
      <c r="O152"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52" s="71" t="str">
        <f>IFERROR((tbl_Grind[[#This Row],[Adj. Total Hours]]+tbl_Grind[[#This Row],[Est. Hours]])/(tbl_Grind[[#This Row],[Total Hours Act]]+tbl_Grind[[#This Row],[Act. Hours]]),"")</f>
        <v/>
      </c>
      <c r="S152" s="63"/>
      <c r="T152" s="63"/>
      <c r="U152" s="63"/>
      <c r="V152" s="63"/>
      <c r="W152" s="63"/>
    </row>
    <row r="153" spans="6:23" ht="25" customHeight="1">
      <c r="F153" s="53"/>
      <c r="H153" s="55" t="e">
        <f>tbl_Grind[[#This Row],[Qty Complete]]/tbl_Grind[[#This Row],[Qty Required]]</f>
        <v>#DIV/0!</v>
      </c>
      <c r="K153" s="57" t="str">
        <f>IFERROR(tbl_Grind[[#This Row],[Qty Required]]/tbl_Grind[[#This Row],[PPH]]*tbl_Grind[[#This Row],['# of men]],"")</f>
        <v/>
      </c>
      <c r="L153" s="58" t="e">
        <f>tbl_Grind[[#This Row],[Total hours]]*tbl_Grind[[#This Row],[% Complete]]</f>
        <v>#VALUE!</v>
      </c>
      <c r="M153" s="59" t="str">
        <f>IFERROR(tbl_Grind[[#This Row],[Qty Complete]]/tbl_Grind[[#This Row],[Total Hours Act]]*tbl_Grind[[#This Row],['# of men Act]],"")</f>
        <v/>
      </c>
      <c r="O153"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53" s="71" t="str">
        <f>IFERROR((tbl_Grind[[#This Row],[Adj. Total Hours]]+tbl_Grind[[#This Row],[Est. Hours]])/(tbl_Grind[[#This Row],[Total Hours Act]]+tbl_Grind[[#This Row],[Act. Hours]]),"")</f>
        <v/>
      </c>
      <c r="S153" s="63"/>
      <c r="T153" s="63"/>
      <c r="U153" s="63"/>
      <c r="V153" s="63"/>
      <c r="W153" s="63"/>
    </row>
    <row r="154" spans="6:23" ht="25" customHeight="1">
      <c r="F154" s="53"/>
      <c r="H154" s="55" t="e">
        <f>tbl_Grind[[#This Row],[Qty Complete]]/tbl_Grind[[#This Row],[Qty Required]]</f>
        <v>#DIV/0!</v>
      </c>
      <c r="K154" s="57" t="str">
        <f>IFERROR(tbl_Grind[[#This Row],[Qty Required]]/tbl_Grind[[#This Row],[PPH]]*tbl_Grind[[#This Row],['# of men]],"")</f>
        <v/>
      </c>
      <c r="L154" s="58" t="e">
        <f>tbl_Grind[[#This Row],[Total hours]]*tbl_Grind[[#This Row],[% Complete]]</f>
        <v>#VALUE!</v>
      </c>
      <c r="M154" s="59" t="str">
        <f>IFERROR(tbl_Grind[[#This Row],[Qty Complete]]/tbl_Grind[[#This Row],[Total Hours Act]]*tbl_Grind[[#This Row],['# of men Act]],"")</f>
        <v/>
      </c>
      <c r="O154"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54" s="71" t="str">
        <f>IFERROR((tbl_Grind[[#This Row],[Adj. Total Hours]]+tbl_Grind[[#This Row],[Est. Hours]])/(tbl_Grind[[#This Row],[Total Hours Act]]+tbl_Grind[[#This Row],[Act. Hours]]),"")</f>
        <v/>
      </c>
      <c r="S154" s="63"/>
      <c r="T154" s="63"/>
      <c r="U154" s="63"/>
      <c r="V154" s="63"/>
      <c r="W154" s="63"/>
    </row>
    <row r="155" spans="6:23" ht="25" customHeight="1">
      <c r="F155" s="53"/>
      <c r="H155" s="55" t="e">
        <f>tbl_Grind[[#This Row],[Qty Complete]]/tbl_Grind[[#This Row],[Qty Required]]</f>
        <v>#DIV/0!</v>
      </c>
      <c r="K155" s="57" t="str">
        <f>IFERROR(tbl_Grind[[#This Row],[Qty Required]]/tbl_Grind[[#This Row],[PPH]]*tbl_Grind[[#This Row],['# of men]],"")</f>
        <v/>
      </c>
      <c r="L155" s="58" t="e">
        <f>tbl_Grind[[#This Row],[Total hours]]*tbl_Grind[[#This Row],[% Complete]]</f>
        <v>#VALUE!</v>
      </c>
      <c r="M155" s="59" t="str">
        <f>IFERROR(tbl_Grind[[#This Row],[Qty Complete]]/tbl_Grind[[#This Row],[Total Hours Act]]*tbl_Grind[[#This Row],['# of men Act]],"")</f>
        <v/>
      </c>
      <c r="O155"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55" s="71" t="str">
        <f>IFERROR((tbl_Grind[[#This Row],[Adj. Total Hours]]+tbl_Grind[[#This Row],[Est. Hours]])/(tbl_Grind[[#This Row],[Total Hours Act]]+tbl_Grind[[#This Row],[Act. Hours]]),"")</f>
        <v/>
      </c>
      <c r="S155" s="63"/>
      <c r="T155" s="63"/>
      <c r="U155" s="63"/>
      <c r="V155" s="63"/>
      <c r="W155" s="63"/>
    </row>
    <row r="156" spans="6:23" ht="25" customHeight="1">
      <c r="F156" s="53"/>
      <c r="H156" s="55" t="e">
        <f>tbl_Grind[[#This Row],[Qty Complete]]/tbl_Grind[[#This Row],[Qty Required]]</f>
        <v>#DIV/0!</v>
      </c>
      <c r="K156" s="57" t="str">
        <f>IFERROR(tbl_Grind[[#This Row],[Qty Required]]/tbl_Grind[[#This Row],[PPH]]*tbl_Grind[[#This Row],['# of men]],"")</f>
        <v/>
      </c>
      <c r="L156" s="58" t="e">
        <f>tbl_Grind[[#This Row],[Total hours]]*tbl_Grind[[#This Row],[% Complete]]</f>
        <v>#VALUE!</v>
      </c>
      <c r="M156" s="59" t="str">
        <f>IFERROR(tbl_Grind[[#This Row],[Qty Complete]]/tbl_Grind[[#This Row],[Total Hours Act]]*tbl_Grind[[#This Row],['# of men Act]],"")</f>
        <v/>
      </c>
      <c r="O156"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56" s="71" t="str">
        <f>IFERROR((tbl_Grind[[#This Row],[Adj. Total Hours]]+tbl_Grind[[#This Row],[Est. Hours]])/(tbl_Grind[[#This Row],[Total Hours Act]]+tbl_Grind[[#This Row],[Act. Hours]]),"")</f>
        <v/>
      </c>
      <c r="S156" s="63"/>
      <c r="T156" s="63"/>
      <c r="U156" s="63"/>
      <c r="V156" s="63"/>
      <c r="W156" s="63"/>
    </row>
    <row r="157" spans="6:23" ht="25" customHeight="1">
      <c r="F157" s="53"/>
      <c r="H157" s="55" t="e">
        <f>tbl_Grind[[#This Row],[Qty Complete]]/tbl_Grind[[#This Row],[Qty Required]]</f>
        <v>#DIV/0!</v>
      </c>
      <c r="K157" s="57" t="str">
        <f>IFERROR(tbl_Grind[[#This Row],[Qty Required]]/tbl_Grind[[#This Row],[PPH]]*tbl_Grind[[#This Row],['# of men]],"")</f>
        <v/>
      </c>
      <c r="L157" s="58" t="e">
        <f>tbl_Grind[[#This Row],[Total hours]]*tbl_Grind[[#This Row],[% Complete]]</f>
        <v>#VALUE!</v>
      </c>
      <c r="M157" s="59" t="str">
        <f>IFERROR(tbl_Grind[[#This Row],[Qty Complete]]/tbl_Grind[[#This Row],[Total Hours Act]]*tbl_Grind[[#This Row],['# of men Act]],"")</f>
        <v/>
      </c>
      <c r="O157"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57" s="71" t="str">
        <f>IFERROR((tbl_Grind[[#This Row],[Adj. Total Hours]]+tbl_Grind[[#This Row],[Est. Hours]])/(tbl_Grind[[#This Row],[Total Hours Act]]+tbl_Grind[[#This Row],[Act. Hours]]),"")</f>
        <v/>
      </c>
      <c r="S157" s="63"/>
      <c r="T157" s="63"/>
      <c r="U157" s="63"/>
      <c r="V157" s="63"/>
      <c r="W157" s="63"/>
    </row>
    <row r="158" spans="6:23" ht="25" customHeight="1">
      <c r="F158" s="53"/>
      <c r="H158" s="55" t="e">
        <f>tbl_Grind[[#This Row],[Qty Complete]]/tbl_Grind[[#This Row],[Qty Required]]</f>
        <v>#DIV/0!</v>
      </c>
      <c r="K158" s="57" t="str">
        <f>IFERROR(tbl_Grind[[#This Row],[Qty Required]]/tbl_Grind[[#This Row],[PPH]]*tbl_Grind[[#This Row],['# of men]],"")</f>
        <v/>
      </c>
      <c r="L158" s="58" t="e">
        <f>tbl_Grind[[#This Row],[Total hours]]*tbl_Grind[[#This Row],[% Complete]]</f>
        <v>#VALUE!</v>
      </c>
      <c r="M158" s="59" t="str">
        <f>IFERROR(tbl_Grind[[#This Row],[Qty Complete]]/tbl_Grind[[#This Row],[Total Hours Act]]*tbl_Grind[[#This Row],['# of men Act]],"")</f>
        <v/>
      </c>
      <c r="O158"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58" s="71" t="str">
        <f>IFERROR((tbl_Grind[[#This Row],[Adj. Total Hours]]+tbl_Grind[[#This Row],[Est. Hours]])/(tbl_Grind[[#This Row],[Total Hours Act]]+tbl_Grind[[#This Row],[Act. Hours]]),"")</f>
        <v/>
      </c>
      <c r="S158" s="63"/>
      <c r="T158" s="63"/>
      <c r="U158" s="63"/>
      <c r="V158" s="63"/>
      <c r="W158" s="63"/>
    </row>
    <row r="159" spans="6:23" ht="25" customHeight="1">
      <c r="F159" s="53"/>
      <c r="H159" s="55" t="e">
        <f>tbl_Grind[[#This Row],[Qty Complete]]/tbl_Grind[[#This Row],[Qty Required]]</f>
        <v>#DIV/0!</v>
      </c>
      <c r="K159" s="57" t="str">
        <f>IFERROR(tbl_Grind[[#This Row],[Qty Required]]/tbl_Grind[[#This Row],[PPH]]*tbl_Grind[[#This Row],['# of men]],"")</f>
        <v/>
      </c>
      <c r="L159" s="58" t="e">
        <f>tbl_Grind[[#This Row],[Total hours]]*tbl_Grind[[#This Row],[% Complete]]</f>
        <v>#VALUE!</v>
      </c>
      <c r="M159" s="59" t="str">
        <f>IFERROR(tbl_Grind[[#This Row],[Qty Complete]]/tbl_Grind[[#This Row],[Total Hours Act]]*tbl_Grind[[#This Row],['# of men Act]],"")</f>
        <v/>
      </c>
      <c r="O159"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59" s="71" t="str">
        <f>IFERROR((tbl_Grind[[#This Row],[Adj. Total Hours]]+tbl_Grind[[#This Row],[Est. Hours]])/(tbl_Grind[[#This Row],[Total Hours Act]]+tbl_Grind[[#This Row],[Act. Hours]]),"")</f>
        <v/>
      </c>
      <c r="S159" s="63"/>
      <c r="T159" s="63"/>
      <c r="U159" s="63"/>
      <c r="V159" s="63"/>
      <c r="W159" s="63"/>
    </row>
    <row r="160" spans="6:23" ht="25" customHeight="1">
      <c r="F160" s="53"/>
      <c r="H160" s="55" t="e">
        <f>tbl_Grind[[#This Row],[Qty Complete]]/tbl_Grind[[#This Row],[Qty Required]]</f>
        <v>#DIV/0!</v>
      </c>
      <c r="K160" s="57" t="str">
        <f>IFERROR(tbl_Grind[[#This Row],[Qty Required]]/tbl_Grind[[#This Row],[PPH]]*tbl_Grind[[#This Row],['# of men]],"")</f>
        <v/>
      </c>
      <c r="L160" s="58" t="e">
        <f>tbl_Grind[[#This Row],[Total hours]]*tbl_Grind[[#This Row],[% Complete]]</f>
        <v>#VALUE!</v>
      </c>
      <c r="M160" s="59" t="str">
        <f>IFERROR(tbl_Grind[[#This Row],[Qty Complete]]/tbl_Grind[[#This Row],[Total Hours Act]]*tbl_Grind[[#This Row],['# of men Act]],"")</f>
        <v/>
      </c>
      <c r="O160"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60" s="71" t="str">
        <f>IFERROR((tbl_Grind[[#This Row],[Adj. Total Hours]]+tbl_Grind[[#This Row],[Est. Hours]])/(tbl_Grind[[#This Row],[Total Hours Act]]+tbl_Grind[[#This Row],[Act. Hours]]),"")</f>
        <v/>
      </c>
      <c r="S160" s="63"/>
      <c r="T160" s="63"/>
      <c r="U160" s="63"/>
      <c r="V160" s="63"/>
      <c r="W160" s="63"/>
    </row>
    <row r="161" spans="6:23" ht="25" customHeight="1">
      <c r="F161" s="53"/>
      <c r="H161" s="55" t="e">
        <f>tbl_Grind[[#This Row],[Qty Complete]]/tbl_Grind[[#This Row],[Qty Required]]</f>
        <v>#DIV/0!</v>
      </c>
      <c r="K161" s="57" t="str">
        <f>IFERROR(tbl_Grind[[#This Row],[Qty Required]]/tbl_Grind[[#This Row],[PPH]]*tbl_Grind[[#This Row],['# of men]],"")</f>
        <v/>
      </c>
      <c r="L161" s="58" t="e">
        <f>tbl_Grind[[#This Row],[Total hours]]*tbl_Grind[[#This Row],[% Complete]]</f>
        <v>#VALUE!</v>
      </c>
      <c r="M161" s="59" t="str">
        <f>IFERROR(tbl_Grind[[#This Row],[Qty Complete]]/tbl_Grind[[#This Row],[Total Hours Act]]*tbl_Grind[[#This Row],['# of men Act]],"")</f>
        <v/>
      </c>
      <c r="O161"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61" s="71" t="str">
        <f>IFERROR((tbl_Grind[[#This Row],[Adj. Total Hours]]+tbl_Grind[[#This Row],[Est. Hours]])/(tbl_Grind[[#This Row],[Total Hours Act]]+tbl_Grind[[#This Row],[Act. Hours]]),"")</f>
        <v/>
      </c>
      <c r="S161" s="63"/>
      <c r="T161" s="63"/>
      <c r="U161" s="63"/>
      <c r="V161" s="63"/>
      <c r="W161" s="63"/>
    </row>
    <row r="162" spans="6:23" ht="25" customHeight="1">
      <c r="F162" s="53"/>
      <c r="H162" s="55" t="e">
        <f>tbl_Grind[[#This Row],[Qty Complete]]/tbl_Grind[[#This Row],[Qty Required]]</f>
        <v>#DIV/0!</v>
      </c>
      <c r="K162" s="57" t="str">
        <f>IFERROR(tbl_Grind[[#This Row],[Qty Required]]/tbl_Grind[[#This Row],[PPH]]*tbl_Grind[[#This Row],['# of men]],"")</f>
        <v/>
      </c>
      <c r="L162" s="58" t="e">
        <f>tbl_Grind[[#This Row],[Total hours]]*tbl_Grind[[#This Row],[% Complete]]</f>
        <v>#VALUE!</v>
      </c>
      <c r="M162" s="59" t="str">
        <f>IFERROR(tbl_Grind[[#This Row],[Qty Complete]]/tbl_Grind[[#This Row],[Total Hours Act]]*tbl_Grind[[#This Row],['# of men Act]],"")</f>
        <v/>
      </c>
      <c r="O162"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62" s="71" t="str">
        <f>IFERROR((tbl_Grind[[#This Row],[Adj. Total Hours]]+tbl_Grind[[#This Row],[Est. Hours]])/(tbl_Grind[[#This Row],[Total Hours Act]]+tbl_Grind[[#This Row],[Act. Hours]]),"")</f>
        <v/>
      </c>
      <c r="S162" s="63"/>
      <c r="T162" s="63"/>
      <c r="U162" s="63"/>
      <c r="V162" s="63"/>
      <c r="W162" s="63"/>
    </row>
    <row r="163" spans="6:23" ht="25" customHeight="1">
      <c r="F163" s="53"/>
      <c r="H163" s="55" t="e">
        <f>tbl_Grind[[#This Row],[Qty Complete]]/tbl_Grind[[#This Row],[Qty Required]]</f>
        <v>#DIV/0!</v>
      </c>
      <c r="K163" s="57" t="str">
        <f>IFERROR(tbl_Grind[[#This Row],[Qty Required]]/tbl_Grind[[#This Row],[PPH]]*tbl_Grind[[#This Row],['# of men]],"")</f>
        <v/>
      </c>
      <c r="L163" s="58" t="e">
        <f>tbl_Grind[[#This Row],[Total hours]]*tbl_Grind[[#This Row],[% Complete]]</f>
        <v>#VALUE!</v>
      </c>
      <c r="M163" s="59" t="str">
        <f>IFERROR(tbl_Grind[[#This Row],[Qty Complete]]/tbl_Grind[[#This Row],[Total Hours Act]]*tbl_Grind[[#This Row],['# of men Act]],"")</f>
        <v/>
      </c>
      <c r="O163"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63" s="71" t="str">
        <f>IFERROR((tbl_Grind[[#This Row],[Adj. Total Hours]]+tbl_Grind[[#This Row],[Est. Hours]])/(tbl_Grind[[#This Row],[Total Hours Act]]+tbl_Grind[[#This Row],[Act. Hours]]),"")</f>
        <v/>
      </c>
      <c r="S163" s="63"/>
      <c r="T163" s="63"/>
      <c r="U163" s="63"/>
      <c r="V163" s="63"/>
      <c r="W163" s="63"/>
    </row>
    <row r="164" spans="6:23" ht="25" customHeight="1">
      <c r="F164" s="53"/>
      <c r="H164" s="55" t="e">
        <f>tbl_Grind[[#This Row],[Qty Complete]]/tbl_Grind[[#This Row],[Qty Required]]</f>
        <v>#DIV/0!</v>
      </c>
      <c r="K164" s="57" t="str">
        <f>IFERROR(tbl_Grind[[#This Row],[Qty Required]]/tbl_Grind[[#This Row],[PPH]]*tbl_Grind[[#This Row],['# of men]],"")</f>
        <v/>
      </c>
      <c r="L164" s="58" t="e">
        <f>tbl_Grind[[#This Row],[Total hours]]*tbl_Grind[[#This Row],[% Complete]]</f>
        <v>#VALUE!</v>
      </c>
      <c r="M164" s="59" t="str">
        <f>IFERROR(tbl_Grind[[#This Row],[Qty Complete]]/tbl_Grind[[#This Row],[Total Hours Act]]*tbl_Grind[[#This Row],['# of men Act]],"")</f>
        <v/>
      </c>
      <c r="O164"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64" s="71" t="str">
        <f>IFERROR((tbl_Grind[[#This Row],[Adj. Total Hours]]+tbl_Grind[[#This Row],[Est. Hours]])/(tbl_Grind[[#This Row],[Total Hours Act]]+tbl_Grind[[#This Row],[Act. Hours]]),"")</f>
        <v/>
      </c>
      <c r="S164" s="63"/>
      <c r="T164" s="63"/>
      <c r="U164" s="63"/>
      <c r="V164" s="63"/>
      <c r="W164" s="63"/>
    </row>
    <row r="165" spans="6:23" ht="25" customHeight="1">
      <c r="F165" s="53"/>
      <c r="H165" s="55" t="e">
        <f>tbl_Grind[[#This Row],[Qty Complete]]/tbl_Grind[[#This Row],[Qty Required]]</f>
        <v>#DIV/0!</v>
      </c>
      <c r="K165" s="57" t="str">
        <f>IFERROR(tbl_Grind[[#This Row],[Qty Required]]/tbl_Grind[[#This Row],[PPH]]*tbl_Grind[[#This Row],['# of men]],"")</f>
        <v/>
      </c>
      <c r="L165" s="58" t="e">
        <f>tbl_Grind[[#This Row],[Total hours]]*tbl_Grind[[#This Row],[% Complete]]</f>
        <v>#VALUE!</v>
      </c>
      <c r="M165" s="59" t="str">
        <f>IFERROR(tbl_Grind[[#This Row],[Qty Complete]]/tbl_Grind[[#This Row],[Total Hours Act]]*tbl_Grind[[#This Row],['# of men Act]],"")</f>
        <v/>
      </c>
      <c r="O165"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65" s="71" t="str">
        <f>IFERROR((tbl_Grind[[#This Row],[Adj. Total Hours]]+tbl_Grind[[#This Row],[Est. Hours]])/(tbl_Grind[[#This Row],[Total Hours Act]]+tbl_Grind[[#This Row],[Act. Hours]]),"")</f>
        <v/>
      </c>
      <c r="S165" s="63"/>
      <c r="T165" s="63"/>
      <c r="U165" s="63"/>
      <c r="V165" s="63"/>
      <c r="W165" s="63"/>
    </row>
    <row r="166" spans="6:23" ht="25" customHeight="1">
      <c r="F166" s="53"/>
      <c r="H166" s="55" t="e">
        <f>tbl_Grind[[#This Row],[Qty Complete]]/tbl_Grind[[#This Row],[Qty Required]]</f>
        <v>#DIV/0!</v>
      </c>
      <c r="K166" s="57" t="str">
        <f>IFERROR(tbl_Grind[[#This Row],[Qty Required]]/tbl_Grind[[#This Row],[PPH]]*tbl_Grind[[#This Row],['# of men]],"")</f>
        <v/>
      </c>
      <c r="L166" s="58" t="e">
        <f>tbl_Grind[[#This Row],[Total hours]]*tbl_Grind[[#This Row],[% Complete]]</f>
        <v>#VALUE!</v>
      </c>
      <c r="M166" s="59" t="str">
        <f>IFERROR(tbl_Grind[[#This Row],[Qty Complete]]/tbl_Grind[[#This Row],[Total Hours Act]]*tbl_Grind[[#This Row],['# of men Act]],"")</f>
        <v/>
      </c>
      <c r="O166"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66" s="71" t="str">
        <f>IFERROR((tbl_Grind[[#This Row],[Adj. Total Hours]]+tbl_Grind[[#This Row],[Est. Hours]])/(tbl_Grind[[#This Row],[Total Hours Act]]+tbl_Grind[[#This Row],[Act. Hours]]),"")</f>
        <v/>
      </c>
      <c r="S166" s="63"/>
      <c r="T166" s="63"/>
      <c r="U166" s="63"/>
      <c r="V166" s="63"/>
      <c r="W166" s="63"/>
    </row>
    <row r="167" spans="6:23" ht="25" customHeight="1">
      <c r="F167" s="53"/>
      <c r="H167" s="55" t="e">
        <f>tbl_Grind[[#This Row],[Qty Complete]]/tbl_Grind[[#This Row],[Qty Required]]</f>
        <v>#DIV/0!</v>
      </c>
      <c r="K167" s="57" t="str">
        <f>IFERROR(tbl_Grind[[#This Row],[Qty Required]]/tbl_Grind[[#This Row],[PPH]]*tbl_Grind[[#This Row],['# of men]],"")</f>
        <v/>
      </c>
      <c r="L167" s="58" t="e">
        <f>tbl_Grind[[#This Row],[Total hours]]*tbl_Grind[[#This Row],[% Complete]]</f>
        <v>#VALUE!</v>
      </c>
      <c r="M167" s="59" t="str">
        <f>IFERROR(tbl_Grind[[#This Row],[Qty Complete]]/tbl_Grind[[#This Row],[Total Hours Act]]*tbl_Grind[[#This Row],['# of men Act]],"")</f>
        <v/>
      </c>
      <c r="O167"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67" s="71" t="str">
        <f>IFERROR((tbl_Grind[[#This Row],[Adj. Total Hours]]+tbl_Grind[[#This Row],[Est. Hours]])/(tbl_Grind[[#This Row],[Total Hours Act]]+tbl_Grind[[#This Row],[Act. Hours]]),"")</f>
        <v/>
      </c>
      <c r="S167" s="63"/>
      <c r="T167" s="63"/>
      <c r="U167" s="63"/>
      <c r="V167" s="63"/>
      <c r="W167" s="63"/>
    </row>
    <row r="168" spans="6:23" ht="25" customHeight="1">
      <c r="F168" s="53"/>
      <c r="H168" s="55" t="e">
        <f>tbl_Grind[[#This Row],[Qty Complete]]/tbl_Grind[[#This Row],[Qty Required]]</f>
        <v>#DIV/0!</v>
      </c>
      <c r="K168" s="57" t="str">
        <f>IFERROR(tbl_Grind[[#This Row],[Qty Required]]/tbl_Grind[[#This Row],[PPH]]*tbl_Grind[[#This Row],['# of men]],"")</f>
        <v/>
      </c>
      <c r="L168" s="58" t="e">
        <f>tbl_Grind[[#This Row],[Total hours]]*tbl_Grind[[#This Row],[% Complete]]</f>
        <v>#VALUE!</v>
      </c>
      <c r="M168" s="59" t="str">
        <f>IFERROR(tbl_Grind[[#This Row],[Qty Complete]]/tbl_Grind[[#This Row],[Total Hours Act]]*tbl_Grind[[#This Row],['# of men Act]],"")</f>
        <v/>
      </c>
      <c r="O168"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68" s="71" t="str">
        <f>IFERROR((tbl_Grind[[#This Row],[Adj. Total Hours]]+tbl_Grind[[#This Row],[Est. Hours]])/(tbl_Grind[[#This Row],[Total Hours Act]]+tbl_Grind[[#This Row],[Act. Hours]]),"")</f>
        <v/>
      </c>
      <c r="S168" s="63"/>
      <c r="T168" s="63"/>
      <c r="U168" s="63"/>
      <c r="V168" s="63"/>
      <c r="W168" s="63"/>
    </row>
    <row r="169" spans="6:23" ht="25" customHeight="1">
      <c r="F169" s="53"/>
      <c r="H169" s="55" t="e">
        <f>tbl_Grind[[#This Row],[Qty Complete]]/tbl_Grind[[#This Row],[Qty Required]]</f>
        <v>#DIV/0!</v>
      </c>
      <c r="K169" s="57" t="str">
        <f>IFERROR(tbl_Grind[[#This Row],[Qty Required]]/tbl_Grind[[#This Row],[PPH]]*tbl_Grind[[#This Row],['# of men]],"")</f>
        <v/>
      </c>
      <c r="L169" s="58" t="e">
        <f>tbl_Grind[[#This Row],[Total hours]]*tbl_Grind[[#This Row],[% Complete]]</f>
        <v>#VALUE!</v>
      </c>
      <c r="M169" s="59" t="str">
        <f>IFERROR(tbl_Grind[[#This Row],[Qty Complete]]/tbl_Grind[[#This Row],[Total Hours Act]]*tbl_Grind[[#This Row],['# of men Act]],"")</f>
        <v/>
      </c>
      <c r="O169"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69" s="71" t="str">
        <f>IFERROR((tbl_Grind[[#This Row],[Adj. Total Hours]]+tbl_Grind[[#This Row],[Est. Hours]])/(tbl_Grind[[#This Row],[Total Hours Act]]+tbl_Grind[[#This Row],[Act. Hours]]),"")</f>
        <v/>
      </c>
      <c r="S169" s="63"/>
      <c r="T169" s="63"/>
      <c r="U169" s="63"/>
      <c r="V169" s="63"/>
      <c r="W169" s="63"/>
    </row>
    <row r="170" spans="6:23" ht="25" customHeight="1">
      <c r="F170" s="53"/>
      <c r="H170" s="55" t="e">
        <f>tbl_Grind[[#This Row],[Qty Complete]]/tbl_Grind[[#This Row],[Qty Required]]</f>
        <v>#DIV/0!</v>
      </c>
      <c r="K170" s="57" t="str">
        <f>IFERROR(tbl_Grind[[#This Row],[Qty Required]]/tbl_Grind[[#This Row],[PPH]]*tbl_Grind[[#This Row],['# of men]],"")</f>
        <v/>
      </c>
      <c r="L170" s="58" t="e">
        <f>tbl_Grind[[#This Row],[Total hours]]*tbl_Grind[[#This Row],[% Complete]]</f>
        <v>#VALUE!</v>
      </c>
      <c r="M170" s="59" t="str">
        <f>IFERROR(tbl_Grind[[#This Row],[Qty Complete]]/tbl_Grind[[#This Row],[Total Hours Act]]*tbl_Grind[[#This Row],['# of men Act]],"")</f>
        <v/>
      </c>
      <c r="O170"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70" s="71" t="str">
        <f>IFERROR((tbl_Grind[[#This Row],[Adj. Total Hours]]+tbl_Grind[[#This Row],[Est. Hours]])/(tbl_Grind[[#This Row],[Total Hours Act]]+tbl_Grind[[#This Row],[Act. Hours]]),"")</f>
        <v/>
      </c>
      <c r="S170" s="63"/>
      <c r="T170" s="63"/>
      <c r="U170" s="63"/>
      <c r="V170" s="63"/>
      <c r="W170" s="63"/>
    </row>
    <row r="171" spans="6:23" ht="25" customHeight="1">
      <c r="F171" s="53"/>
      <c r="H171" s="55" t="e">
        <f>tbl_Grind[[#This Row],[Qty Complete]]/tbl_Grind[[#This Row],[Qty Required]]</f>
        <v>#DIV/0!</v>
      </c>
      <c r="K171" s="57" t="str">
        <f>IFERROR(tbl_Grind[[#This Row],[Qty Required]]/tbl_Grind[[#This Row],[PPH]]*tbl_Grind[[#This Row],['# of men]],"")</f>
        <v/>
      </c>
      <c r="L171" s="58" t="e">
        <f>tbl_Grind[[#This Row],[Total hours]]*tbl_Grind[[#This Row],[% Complete]]</f>
        <v>#VALUE!</v>
      </c>
      <c r="M171" s="59" t="str">
        <f>IFERROR(tbl_Grind[[#This Row],[Qty Complete]]/tbl_Grind[[#This Row],[Total Hours Act]]*tbl_Grind[[#This Row],['# of men Act]],"")</f>
        <v/>
      </c>
      <c r="O171"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71" s="71" t="str">
        <f>IFERROR((tbl_Grind[[#This Row],[Adj. Total Hours]]+tbl_Grind[[#This Row],[Est. Hours]])/(tbl_Grind[[#This Row],[Total Hours Act]]+tbl_Grind[[#This Row],[Act. Hours]]),"")</f>
        <v/>
      </c>
      <c r="S171" s="63"/>
      <c r="T171" s="63"/>
      <c r="U171" s="63"/>
      <c r="V171" s="63"/>
      <c r="W171" s="63"/>
    </row>
    <row r="172" spans="6:23" ht="25" customHeight="1">
      <c r="F172" s="53"/>
      <c r="H172" s="55" t="e">
        <f>tbl_Grind[[#This Row],[Qty Complete]]/tbl_Grind[[#This Row],[Qty Required]]</f>
        <v>#DIV/0!</v>
      </c>
      <c r="K172" s="57" t="str">
        <f>IFERROR(tbl_Grind[[#This Row],[Qty Required]]/tbl_Grind[[#This Row],[PPH]]*tbl_Grind[[#This Row],['# of men]],"")</f>
        <v/>
      </c>
      <c r="L172" s="58" t="e">
        <f>tbl_Grind[[#This Row],[Total hours]]*tbl_Grind[[#This Row],[% Complete]]</f>
        <v>#VALUE!</v>
      </c>
      <c r="M172" s="59" t="str">
        <f>IFERROR(tbl_Grind[[#This Row],[Qty Complete]]/tbl_Grind[[#This Row],[Total Hours Act]]*tbl_Grind[[#This Row],['# of men Act]],"")</f>
        <v/>
      </c>
      <c r="O172"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72" s="71" t="str">
        <f>IFERROR((tbl_Grind[[#This Row],[Adj. Total Hours]]+tbl_Grind[[#This Row],[Est. Hours]])/(tbl_Grind[[#This Row],[Total Hours Act]]+tbl_Grind[[#This Row],[Act. Hours]]),"")</f>
        <v/>
      </c>
      <c r="S172" s="63"/>
      <c r="T172" s="63"/>
      <c r="U172" s="63"/>
      <c r="V172" s="63"/>
      <c r="W172" s="63"/>
    </row>
    <row r="173" spans="6:23" ht="25" customHeight="1">
      <c r="F173" s="53"/>
      <c r="H173" s="55" t="e">
        <f>tbl_Grind[[#This Row],[Qty Complete]]/tbl_Grind[[#This Row],[Qty Required]]</f>
        <v>#DIV/0!</v>
      </c>
      <c r="K173" s="57" t="str">
        <f>IFERROR(tbl_Grind[[#This Row],[Qty Required]]/tbl_Grind[[#This Row],[PPH]]*tbl_Grind[[#This Row],['# of men]],"")</f>
        <v/>
      </c>
      <c r="L173" s="58" t="e">
        <f>tbl_Grind[[#This Row],[Total hours]]*tbl_Grind[[#This Row],[% Complete]]</f>
        <v>#VALUE!</v>
      </c>
      <c r="M173" s="59" t="str">
        <f>IFERROR(tbl_Grind[[#This Row],[Qty Complete]]/tbl_Grind[[#This Row],[Total Hours Act]]*tbl_Grind[[#This Row],['# of men Act]],"")</f>
        <v/>
      </c>
      <c r="O173"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73" s="71" t="str">
        <f>IFERROR((tbl_Grind[[#This Row],[Adj. Total Hours]]+tbl_Grind[[#This Row],[Est. Hours]])/(tbl_Grind[[#This Row],[Total Hours Act]]+tbl_Grind[[#This Row],[Act. Hours]]),"")</f>
        <v/>
      </c>
      <c r="S173" s="63"/>
      <c r="T173" s="63"/>
      <c r="U173" s="63"/>
      <c r="V173" s="63"/>
      <c r="W173" s="63"/>
    </row>
    <row r="174" spans="6:23" ht="25" customHeight="1">
      <c r="F174" s="53"/>
      <c r="H174" s="55" t="e">
        <f>tbl_Grind[[#This Row],[Qty Complete]]/tbl_Grind[[#This Row],[Qty Required]]</f>
        <v>#DIV/0!</v>
      </c>
      <c r="K174" s="57" t="str">
        <f>IFERROR(tbl_Grind[[#This Row],[Qty Required]]/tbl_Grind[[#This Row],[PPH]]*tbl_Grind[[#This Row],['# of men]],"")</f>
        <v/>
      </c>
      <c r="L174" s="58" t="e">
        <f>tbl_Grind[[#This Row],[Total hours]]*tbl_Grind[[#This Row],[% Complete]]</f>
        <v>#VALUE!</v>
      </c>
      <c r="M174" s="59" t="str">
        <f>IFERROR(tbl_Grind[[#This Row],[Qty Complete]]/tbl_Grind[[#This Row],[Total Hours Act]]*tbl_Grind[[#This Row],['# of men Act]],"")</f>
        <v/>
      </c>
      <c r="O174"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74" s="71" t="str">
        <f>IFERROR((tbl_Grind[[#This Row],[Adj. Total Hours]]+tbl_Grind[[#This Row],[Est. Hours]])/(tbl_Grind[[#This Row],[Total Hours Act]]+tbl_Grind[[#This Row],[Act. Hours]]),"")</f>
        <v/>
      </c>
      <c r="S174" s="63"/>
      <c r="T174" s="63"/>
      <c r="U174" s="63"/>
      <c r="V174" s="63"/>
      <c r="W174" s="63"/>
    </row>
    <row r="175" spans="6:23" ht="25" customHeight="1">
      <c r="F175" s="53"/>
      <c r="H175" s="55" t="e">
        <f>tbl_Grind[[#This Row],[Qty Complete]]/tbl_Grind[[#This Row],[Qty Required]]</f>
        <v>#DIV/0!</v>
      </c>
      <c r="K175" s="57" t="str">
        <f>IFERROR(tbl_Grind[[#This Row],[Qty Required]]/tbl_Grind[[#This Row],[PPH]]*tbl_Grind[[#This Row],['# of men]],"")</f>
        <v/>
      </c>
      <c r="L175" s="58" t="e">
        <f>tbl_Grind[[#This Row],[Total hours]]*tbl_Grind[[#This Row],[% Complete]]</f>
        <v>#VALUE!</v>
      </c>
      <c r="M175" s="59" t="str">
        <f>IFERROR(tbl_Grind[[#This Row],[Qty Complete]]/tbl_Grind[[#This Row],[Total Hours Act]]*tbl_Grind[[#This Row],['# of men Act]],"")</f>
        <v/>
      </c>
      <c r="O175"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75" s="71" t="str">
        <f>IFERROR((tbl_Grind[[#This Row],[Adj. Total Hours]]+tbl_Grind[[#This Row],[Est. Hours]])/(tbl_Grind[[#This Row],[Total Hours Act]]+tbl_Grind[[#This Row],[Act. Hours]]),"")</f>
        <v/>
      </c>
      <c r="S175" s="63"/>
      <c r="T175" s="63"/>
      <c r="U175" s="63"/>
      <c r="V175" s="63"/>
      <c r="W175" s="63"/>
    </row>
    <row r="176" spans="6:23" ht="25" customHeight="1">
      <c r="F176" s="53"/>
      <c r="H176" s="55" t="e">
        <f>tbl_Grind[[#This Row],[Qty Complete]]/tbl_Grind[[#This Row],[Qty Required]]</f>
        <v>#DIV/0!</v>
      </c>
      <c r="K176" s="57" t="str">
        <f>IFERROR(tbl_Grind[[#This Row],[Qty Required]]/tbl_Grind[[#This Row],[PPH]]*tbl_Grind[[#This Row],['# of men]],"")</f>
        <v/>
      </c>
      <c r="L176" s="58" t="e">
        <f>tbl_Grind[[#This Row],[Total hours]]*tbl_Grind[[#This Row],[% Complete]]</f>
        <v>#VALUE!</v>
      </c>
      <c r="M176" s="59" t="str">
        <f>IFERROR(tbl_Grind[[#This Row],[Qty Complete]]/tbl_Grind[[#This Row],[Total Hours Act]]*tbl_Grind[[#This Row],['# of men Act]],"")</f>
        <v/>
      </c>
      <c r="O176"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76" s="71" t="str">
        <f>IFERROR((tbl_Grind[[#This Row],[Adj. Total Hours]]+tbl_Grind[[#This Row],[Est. Hours]])/(tbl_Grind[[#This Row],[Total Hours Act]]+tbl_Grind[[#This Row],[Act. Hours]]),"")</f>
        <v/>
      </c>
      <c r="S176" s="63"/>
      <c r="T176" s="63"/>
      <c r="U176" s="63"/>
      <c r="V176" s="63"/>
      <c r="W176" s="63"/>
    </row>
    <row r="177" spans="6:23" ht="25" customHeight="1">
      <c r="F177" s="53"/>
      <c r="H177" s="55" t="e">
        <f>tbl_Grind[[#This Row],[Qty Complete]]/tbl_Grind[[#This Row],[Qty Required]]</f>
        <v>#DIV/0!</v>
      </c>
      <c r="K177" s="57" t="str">
        <f>IFERROR(tbl_Grind[[#This Row],[Qty Required]]/tbl_Grind[[#This Row],[PPH]]*tbl_Grind[[#This Row],['# of men]],"")</f>
        <v/>
      </c>
      <c r="L177" s="58" t="e">
        <f>tbl_Grind[[#This Row],[Total hours]]*tbl_Grind[[#This Row],[% Complete]]</f>
        <v>#VALUE!</v>
      </c>
      <c r="M177" s="59" t="str">
        <f>IFERROR(tbl_Grind[[#This Row],[Qty Complete]]/tbl_Grind[[#This Row],[Total Hours Act]]*tbl_Grind[[#This Row],['# of men Act]],"")</f>
        <v/>
      </c>
      <c r="O177"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77" s="71" t="str">
        <f>IFERROR((tbl_Grind[[#This Row],[Adj. Total Hours]]+tbl_Grind[[#This Row],[Est. Hours]])/(tbl_Grind[[#This Row],[Total Hours Act]]+tbl_Grind[[#This Row],[Act. Hours]]),"")</f>
        <v/>
      </c>
      <c r="S177" s="63"/>
      <c r="T177" s="63"/>
      <c r="U177" s="63"/>
      <c r="V177" s="63"/>
      <c r="W177" s="63"/>
    </row>
    <row r="178" spans="6:23" ht="25" customHeight="1">
      <c r="F178" s="53"/>
      <c r="H178" s="55" t="e">
        <f>tbl_Grind[[#This Row],[Qty Complete]]/tbl_Grind[[#This Row],[Qty Required]]</f>
        <v>#DIV/0!</v>
      </c>
      <c r="K178" s="57" t="str">
        <f>IFERROR(tbl_Grind[[#This Row],[Qty Required]]/tbl_Grind[[#This Row],[PPH]]*tbl_Grind[[#This Row],['# of men]],"")</f>
        <v/>
      </c>
      <c r="L178" s="58" t="e">
        <f>tbl_Grind[[#This Row],[Total hours]]*tbl_Grind[[#This Row],[% Complete]]</f>
        <v>#VALUE!</v>
      </c>
      <c r="M178" s="59" t="str">
        <f>IFERROR(tbl_Grind[[#This Row],[Qty Complete]]/tbl_Grind[[#This Row],[Total Hours Act]]*tbl_Grind[[#This Row],['# of men Act]],"")</f>
        <v/>
      </c>
      <c r="O178"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78" s="71" t="str">
        <f>IFERROR((tbl_Grind[[#This Row],[Adj. Total Hours]]+tbl_Grind[[#This Row],[Est. Hours]])/(tbl_Grind[[#This Row],[Total Hours Act]]+tbl_Grind[[#This Row],[Act. Hours]]),"")</f>
        <v/>
      </c>
      <c r="S178" s="63"/>
      <c r="T178" s="63"/>
      <c r="U178" s="63"/>
      <c r="V178" s="63"/>
      <c r="W178" s="63"/>
    </row>
    <row r="179" spans="6:23" ht="25" customHeight="1">
      <c r="F179" s="53"/>
      <c r="H179" s="55" t="e">
        <f>tbl_Grind[[#This Row],[Qty Complete]]/tbl_Grind[[#This Row],[Qty Required]]</f>
        <v>#DIV/0!</v>
      </c>
      <c r="K179" s="57" t="str">
        <f>IFERROR(tbl_Grind[[#This Row],[Qty Required]]/tbl_Grind[[#This Row],[PPH]]*tbl_Grind[[#This Row],['# of men]],"")</f>
        <v/>
      </c>
      <c r="L179" s="58" t="e">
        <f>tbl_Grind[[#This Row],[Total hours]]*tbl_Grind[[#This Row],[% Complete]]</f>
        <v>#VALUE!</v>
      </c>
      <c r="M179" s="59" t="str">
        <f>IFERROR(tbl_Grind[[#This Row],[Qty Complete]]/tbl_Grind[[#This Row],[Total Hours Act]]*tbl_Grind[[#This Row],['# of men Act]],"")</f>
        <v/>
      </c>
      <c r="O179"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79" s="71" t="str">
        <f>IFERROR((tbl_Grind[[#This Row],[Adj. Total Hours]]+tbl_Grind[[#This Row],[Est. Hours]])/(tbl_Grind[[#This Row],[Total Hours Act]]+tbl_Grind[[#This Row],[Act. Hours]]),"")</f>
        <v/>
      </c>
      <c r="S179" s="63"/>
      <c r="T179" s="63"/>
      <c r="U179" s="63"/>
      <c r="V179" s="63"/>
      <c r="W179" s="63"/>
    </row>
    <row r="180" spans="6:23" ht="25" customHeight="1">
      <c r="F180" s="53"/>
      <c r="H180" s="55" t="e">
        <f>tbl_Grind[[#This Row],[Qty Complete]]/tbl_Grind[[#This Row],[Qty Required]]</f>
        <v>#DIV/0!</v>
      </c>
      <c r="K180" s="57" t="str">
        <f>IFERROR(tbl_Grind[[#This Row],[Qty Required]]/tbl_Grind[[#This Row],[PPH]]*tbl_Grind[[#This Row],['# of men]],"")</f>
        <v/>
      </c>
      <c r="L180" s="58" t="e">
        <f>tbl_Grind[[#This Row],[Total hours]]*tbl_Grind[[#This Row],[% Complete]]</f>
        <v>#VALUE!</v>
      </c>
      <c r="M180" s="59" t="str">
        <f>IFERROR(tbl_Grind[[#This Row],[Qty Complete]]/tbl_Grind[[#This Row],[Total Hours Act]]*tbl_Grind[[#This Row],['# of men Act]],"")</f>
        <v/>
      </c>
      <c r="O180"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80" s="71" t="str">
        <f>IFERROR((tbl_Grind[[#This Row],[Adj. Total Hours]]+tbl_Grind[[#This Row],[Est. Hours]])/(tbl_Grind[[#This Row],[Total Hours Act]]+tbl_Grind[[#This Row],[Act. Hours]]),"")</f>
        <v/>
      </c>
      <c r="S180" s="63"/>
      <c r="T180" s="63"/>
      <c r="U180" s="63"/>
      <c r="V180" s="63"/>
      <c r="W180" s="63"/>
    </row>
    <row r="181" spans="6:23" ht="25" customHeight="1">
      <c r="F181" s="53"/>
      <c r="H181" s="55" t="e">
        <f>tbl_Grind[[#This Row],[Qty Complete]]/tbl_Grind[[#This Row],[Qty Required]]</f>
        <v>#DIV/0!</v>
      </c>
      <c r="K181" s="57" t="str">
        <f>IFERROR(tbl_Grind[[#This Row],[Qty Required]]/tbl_Grind[[#This Row],[PPH]]*tbl_Grind[[#This Row],['# of men]],"")</f>
        <v/>
      </c>
      <c r="L181" s="58" t="e">
        <f>tbl_Grind[[#This Row],[Total hours]]*tbl_Grind[[#This Row],[% Complete]]</f>
        <v>#VALUE!</v>
      </c>
      <c r="M181" s="59" t="str">
        <f>IFERROR(tbl_Grind[[#This Row],[Qty Complete]]/tbl_Grind[[#This Row],[Total Hours Act]]*tbl_Grind[[#This Row],['# of men Act]],"")</f>
        <v/>
      </c>
      <c r="O181"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81" s="71" t="str">
        <f>IFERROR((tbl_Grind[[#This Row],[Adj. Total Hours]]+tbl_Grind[[#This Row],[Est. Hours]])/(tbl_Grind[[#This Row],[Total Hours Act]]+tbl_Grind[[#This Row],[Act. Hours]]),"")</f>
        <v/>
      </c>
      <c r="S181" s="63"/>
      <c r="T181" s="63"/>
      <c r="U181" s="63"/>
      <c r="V181" s="63"/>
      <c r="W181" s="63"/>
    </row>
    <row r="182" spans="6:23" ht="25" customHeight="1">
      <c r="F182" s="53"/>
      <c r="H182" s="55" t="e">
        <f>tbl_Grind[[#This Row],[Qty Complete]]/tbl_Grind[[#This Row],[Qty Required]]</f>
        <v>#DIV/0!</v>
      </c>
      <c r="K182" s="57" t="str">
        <f>IFERROR(tbl_Grind[[#This Row],[Qty Required]]/tbl_Grind[[#This Row],[PPH]]*tbl_Grind[[#This Row],['# of men]],"")</f>
        <v/>
      </c>
      <c r="L182" s="58" t="e">
        <f>tbl_Grind[[#This Row],[Total hours]]*tbl_Grind[[#This Row],[% Complete]]</f>
        <v>#VALUE!</v>
      </c>
      <c r="M182" s="59" t="str">
        <f>IFERROR(tbl_Grind[[#This Row],[Qty Complete]]/tbl_Grind[[#This Row],[Total Hours Act]]*tbl_Grind[[#This Row],['# of men Act]],"")</f>
        <v/>
      </c>
      <c r="O182"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82" s="71" t="str">
        <f>IFERROR((tbl_Grind[[#This Row],[Adj. Total Hours]]+tbl_Grind[[#This Row],[Est. Hours]])/(tbl_Grind[[#This Row],[Total Hours Act]]+tbl_Grind[[#This Row],[Act. Hours]]),"")</f>
        <v/>
      </c>
      <c r="S182" s="63"/>
      <c r="T182" s="63"/>
      <c r="U182" s="63"/>
      <c r="V182" s="63"/>
      <c r="W182" s="63"/>
    </row>
    <row r="183" spans="6:23" ht="25" customHeight="1">
      <c r="F183" s="53"/>
      <c r="H183" s="55" t="e">
        <f>tbl_Grind[[#This Row],[Qty Complete]]/tbl_Grind[[#This Row],[Qty Required]]</f>
        <v>#DIV/0!</v>
      </c>
      <c r="K183" s="57" t="str">
        <f>IFERROR(tbl_Grind[[#This Row],[Qty Required]]/tbl_Grind[[#This Row],[PPH]]*tbl_Grind[[#This Row],['# of men]],"")</f>
        <v/>
      </c>
      <c r="L183" s="58" t="e">
        <f>tbl_Grind[[#This Row],[Total hours]]*tbl_Grind[[#This Row],[% Complete]]</f>
        <v>#VALUE!</v>
      </c>
      <c r="M183" s="59" t="str">
        <f>IFERROR(tbl_Grind[[#This Row],[Qty Complete]]/tbl_Grind[[#This Row],[Total Hours Act]]*tbl_Grind[[#This Row],['# of men Act]],"")</f>
        <v/>
      </c>
      <c r="O183"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83" s="71" t="str">
        <f>IFERROR((tbl_Grind[[#This Row],[Adj. Total Hours]]+tbl_Grind[[#This Row],[Est. Hours]])/(tbl_Grind[[#This Row],[Total Hours Act]]+tbl_Grind[[#This Row],[Act. Hours]]),"")</f>
        <v/>
      </c>
      <c r="S183" s="63"/>
      <c r="T183" s="63"/>
      <c r="U183" s="63"/>
      <c r="V183" s="63"/>
      <c r="W183" s="63"/>
    </row>
    <row r="184" spans="6:23" ht="25" customHeight="1">
      <c r="F184" s="53"/>
      <c r="H184" s="55" t="e">
        <f>tbl_Grind[[#This Row],[Qty Complete]]/tbl_Grind[[#This Row],[Qty Required]]</f>
        <v>#DIV/0!</v>
      </c>
      <c r="K184" s="57" t="str">
        <f>IFERROR(tbl_Grind[[#This Row],[Qty Required]]/tbl_Grind[[#This Row],[PPH]]*tbl_Grind[[#This Row],['# of men]],"")</f>
        <v/>
      </c>
      <c r="L184" s="58" t="e">
        <f>tbl_Grind[[#This Row],[Total hours]]*tbl_Grind[[#This Row],[% Complete]]</f>
        <v>#VALUE!</v>
      </c>
      <c r="M184" s="59" t="str">
        <f>IFERROR(tbl_Grind[[#This Row],[Qty Complete]]/tbl_Grind[[#This Row],[Total Hours Act]]*tbl_Grind[[#This Row],['# of men Act]],"")</f>
        <v/>
      </c>
      <c r="O184"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84" s="71" t="str">
        <f>IFERROR((tbl_Grind[[#This Row],[Adj. Total Hours]]+tbl_Grind[[#This Row],[Est. Hours]])/(tbl_Grind[[#This Row],[Total Hours Act]]+tbl_Grind[[#This Row],[Act. Hours]]),"")</f>
        <v/>
      </c>
      <c r="S184" s="63"/>
      <c r="T184" s="63"/>
      <c r="U184" s="63"/>
      <c r="V184" s="63"/>
      <c r="W184" s="63"/>
    </row>
    <row r="185" spans="6:23" ht="25" customHeight="1">
      <c r="F185" s="53"/>
      <c r="H185" s="55" t="e">
        <f>tbl_Grind[[#This Row],[Qty Complete]]/tbl_Grind[[#This Row],[Qty Required]]</f>
        <v>#DIV/0!</v>
      </c>
      <c r="K185" s="57" t="str">
        <f>IFERROR(tbl_Grind[[#This Row],[Qty Required]]/tbl_Grind[[#This Row],[PPH]]*tbl_Grind[[#This Row],['# of men]],"")</f>
        <v/>
      </c>
      <c r="L185" s="58" t="e">
        <f>tbl_Grind[[#This Row],[Total hours]]*tbl_Grind[[#This Row],[% Complete]]</f>
        <v>#VALUE!</v>
      </c>
      <c r="M185" s="59" t="str">
        <f>IFERROR(tbl_Grind[[#This Row],[Qty Complete]]/tbl_Grind[[#This Row],[Total Hours Act]]*tbl_Grind[[#This Row],['# of men Act]],"")</f>
        <v/>
      </c>
      <c r="O185"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85" s="71" t="str">
        <f>IFERROR((tbl_Grind[[#This Row],[Adj. Total Hours]]+tbl_Grind[[#This Row],[Est. Hours]])/(tbl_Grind[[#This Row],[Total Hours Act]]+tbl_Grind[[#This Row],[Act. Hours]]),"")</f>
        <v/>
      </c>
      <c r="S185" s="63"/>
      <c r="T185" s="63"/>
      <c r="U185" s="63"/>
      <c r="V185" s="63"/>
      <c r="W185" s="63"/>
    </row>
    <row r="186" spans="6:23" ht="25" customHeight="1">
      <c r="F186" s="53"/>
      <c r="H186" s="55" t="e">
        <f>tbl_Grind[[#This Row],[Qty Complete]]/tbl_Grind[[#This Row],[Qty Required]]</f>
        <v>#DIV/0!</v>
      </c>
      <c r="K186" s="57" t="str">
        <f>IFERROR(tbl_Grind[[#This Row],[Qty Required]]/tbl_Grind[[#This Row],[PPH]]*tbl_Grind[[#This Row],['# of men]],"")</f>
        <v/>
      </c>
      <c r="L186" s="58" t="e">
        <f>tbl_Grind[[#This Row],[Total hours]]*tbl_Grind[[#This Row],[% Complete]]</f>
        <v>#VALUE!</v>
      </c>
      <c r="M186" s="59" t="str">
        <f>IFERROR(tbl_Grind[[#This Row],[Qty Complete]]/tbl_Grind[[#This Row],[Total Hours Act]]*tbl_Grind[[#This Row],['# of men Act]],"")</f>
        <v/>
      </c>
      <c r="O186"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86" s="71" t="str">
        <f>IFERROR((tbl_Grind[[#This Row],[Adj. Total Hours]]+tbl_Grind[[#This Row],[Est. Hours]])/(tbl_Grind[[#This Row],[Total Hours Act]]+tbl_Grind[[#This Row],[Act. Hours]]),"")</f>
        <v/>
      </c>
      <c r="S186" s="63"/>
      <c r="T186" s="63"/>
      <c r="U186" s="63"/>
      <c r="V186" s="63"/>
      <c r="W186" s="63"/>
    </row>
    <row r="187" spans="6:23" ht="25" customHeight="1">
      <c r="F187" s="53"/>
      <c r="H187" s="55" t="e">
        <f>tbl_Grind[[#This Row],[Qty Complete]]/tbl_Grind[[#This Row],[Qty Required]]</f>
        <v>#DIV/0!</v>
      </c>
      <c r="K187" s="57" t="str">
        <f>IFERROR(tbl_Grind[[#This Row],[Qty Required]]/tbl_Grind[[#This Row],[PPH]]*tbl_Grind[[#This Row],['# of men]],"")</f>
        <v/>
      </c>
      <c r="L187" s="58" t="e">
        <f>tbl_Grind[[#This Row],[Total hours]]*tbl_Grind[[#This Row],[% Complete]]</f>
        <v>#VALUE!</v>
      </c>
      <c r="M187" s="59" t="str">
        <f>IFERROR(tbl_Grind[[#This Row],[Qty Complete]]/tbl_Grind[[#This Row],[Total Hours Act]]*tbl_Grind[[#This Row],['# of men Act]],"")</f>
        <v/>
      </c>
      <c r="O187"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87" s="71" t="str">
        <f>IFERROR((tbl_Grind[[#This Row],[Adj. Total Hours]]+tbl_Grind[[#This Row],[Est. Hours]])/(tbl_Grind[[#This Row],[Total Hours Act]]+tbl_Grind[[#This Row],[Act. Hours]]),"")</f>
        <v/>
      </c>
      <c r="S187" s="63"/>
      <c r="T187" s="63"/>
      <c r="U187" s="63"/>
      <c r="V187" s="63"/>
      <c r="W187" s="63"/>
    </row>
    <row r="188" spans="6:23" ht="25" customHeight="1">
      <c r="F188" s="53"/>
      <c r="H188" s="55" t="e">
        <f>tbl_Grind[[#This Row],[Qty Complete]]/tbl_Grind[[#This Row],[Qty Required]]</f>
        <v>#DIV/0!</v>
      </c>
      <c r="K188" s="57" t="str">
        <f>IFERROR(tbl_Grind[[#This Row],[Qty Required]]/tbl_Grind[[#This Row],[PPH]]*tbl_Grind[[#This Row],['# of men]],"")</f>
        <v/>
      </c>
      <c r="L188" s="58" t="e">
        <f>tbl_Grind[[#This Row],[Total hours]]*tbl_Grind[[#This Row],[% Complete]]</f>
        <v>#VALUE!</v>
      </c>
      <c r="M188" s="59" t="str">
        <f>IFERROR(tbl_Grind[[#This Row],[Qty Complete]]/tbl_Grind[[#This Row],[Total Hours Act]]*tbl_Grind[[#This Row],['# of men Act]],"")</f>
        <v/>
      </c>
      <c r="O188"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88" s="71" t="str">
        <f>IFERROR((tbl_Grind[[#This Row],[Adj. Total Hours]]+tbl_Grind[[#This Row],[Est. Hours]])/(tbl_Grind[[#This Row],[Total Hours Act]]+tbl_Grind[[#This Row],[Act. Hours]]),"")</f>
        <v/>
      </c>
      <c r="S188" s="63"/>
      <c r="T188" s="63"/>
      <c r="U188" s="63"/>
      <c r="V188" s="63"/>
      <c r="W188" s="63"/>
    </row>
    <row r="189" spans="6:23" ht="25" customHeight="1">
      <c r="F189" s="53"/>
      <c r="H189" s="55" t="e">
        <f>tbl_Grind[[#This Row],[Qty Complete]]/tbl_Grind[[#This Row],[Qty Required]]</f>
        <v>#DIV/0!</v>
      </c>
      <c r="K189" s="57" t="str">
        <f>IFERROR(tbl_Grind[[#This Row],[Qty Required]]/tbl_Grind[[#This Row],[PPH]]*tbl_Grind[[#This Row],['# of men]],"")</f>
        <v/>
      </c>
      <c r="L189" s="58" t="e">
        <f>tbl_Grind[[#This Row],[Total hours]]*tbl_Grind[[#This Row],[% Complete]]</f>
        <v>#VALUE!</v>
      </c>
      <c r="M189" s="59" t="str">
        <f>IFERROR(tbl_Grind[[#This Row],[Qty Complete]]/tbl_Grind[[#This Row],[Total Hours Act]]*tbl_Grind[[#This Row],['# of men Act]],"")</f>
        <v/>
      </c>
      <c r="O189"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89" s="71" t="str">
        <f>IFERROR((tbl_Grind[[#This Row],[Adj. Total Hours]]+tbl_Grind[[#This Row],[Est. Hours]])/(tbl_Grind[[#This Row],[Total Hours Act]]+tbl_Grind[[#This Row],[Act. Hours]]),"")</f>
        <v/>
      </c>
      <c r="S189" s="63"/>
      <c r="T189" s="63"/>
      <c r="U189" s="63"/>
      <c r="V189" s="63"/>
      <c r="W189" s="63"/>
    </row>
    <row r="190" spans="6:23" ht="25" customHeight="1">
      <c r="F190" s="53"/>
      <c r="H190" s="55" t="e">
        <f>tbl_Grind[[#This Row],[Qty Complete]]/tbl_Grind[[#This Row],[Qty Required]]</f>
        <v>#DIV/0!</v>
      </c>
      <c r="K190" s="57" t="str">
        <f>IFERROR(tbl_Grind[[#This Row],[Qty Required]]/tbl_Grind[[#This Row],[PPH]]*tbl_Grind[[#This Row],['# of men]],"")</f>
        <v/>
      </c>
      <c r="L190" s="58" t="e">
        <f>tbl_Grind[[#This Row],[Total hours]]*tbl_Grind[[#This Row],[% Complete]]</f>
        <v>#VALUE!</v>
      </c>
      <c r="M190" s="59" t="str">
        <f>IFERROR(tbl_Grind[[#This Row],[Qty Complete]]/tbl_Grind[[#This Row],[Total Hours Act]]*tbl_Grind[[#This Row],['# of men Act]],"")</f>
        <v/>
      </c>
      <c r="O190"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90" s="71" t="str">
        <f>IFERROR((tbl_Grind[[#This Row],[Adj. Total Hours]]+tbl_Grind[[#This Row],[Est. Hours]])/(tbl_Grind[[#This Row],[Total Hours Act]]+tbl_Grind[[#This Row],[Act. Hours]]),"")</f>
        <v/>
      </c>
      <c r="S190" s="63"/>
      <c r="T190" s="63"/>
      <c r="U190" s="63"/>
      <c r="V190" s="63"/>
      <c r="W190" s="63"/>
    </row>
    <row r="191" spans="6:23" ht="25" customHeight="1">
      <c r="F191" s="53"/>
      <c r="H191" s="55" t="e">
        <f>tbl_Grind[[#This Row],[Qty Complete]]/tbl_Grind[[#This Row],[Qty Required]]</f>
        <v>#DIV/0!</v>
      </c>
      <c r="K191" s="57" t="str">
        <f>IFERROR(tbl_Grind[[#This Row],[Qty Required]]/tbl_Grind[[#This Row],[PPH]]*tbl_Grind[[#This Row],['# of men]],"")</f>
        <v/>
      </c>
      <c r="L191" s="58" t="e">
        <f>tbl_Grind[[#This Row],[Total hours]]*tbl_Grind[[#This Row],[% Complete]]</f>
        <v>#VALUE!</v>
      </c>
      <c r="M191" s="59" t="str">
        <f>IFERROR(tbl_Grind[[#This Row],[Qty Complete]]/tbl_Grind[[#This Row],[Total Hours Act]]*tbl_Grind[[#This Row],['# of men Act]],"")</f>
        <v/>
      </c>
      <c r="O191"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91" s="71" t="str">
        <f>IFERROR((tbl_Grind[[#This Row],[Adj. Total Hours]]+tbl_Grind[[#This Row],[Est. Hours]])/(tbl_Grind[[#This Row],[Total Hours Act]]+tbl_Grind[[#This Row],[Act. Hours]]),"")</f>
        <v/>
      </c>
      <c r="S191" s="63"/>
      <c r="T191" s="63"/>
      <c r="U191" s="63"/>
      <c r="V191" s="63"/>
      <c r="W191" s="63"/>
    </row>
    <row r="192" spans="6:23" ht="25" customHeight="1">
      <c r="F192" s="53"/>
      <c r="H192" s="55" t="e">
        <f>tbl_Grind[[#This Row],[Qty Complete]]/tbl_Grind[[#This Row],[Qty Required]]</f>
        <v>#DIV/0!</v>
      </c>
      <c r="K192" s="57" t="str">
        <f>IFERROR(tbl_Grind[[#This Row],[Qty Required]]/tbl_Grind[[#This Row],[PPH]]*tbl_Grind[[#This Row],['# of men]],"")</f>
        <v/>
      </c>
      <c r="L192" s="58" t="e">
        <f>tbl_Grind[[#This Row],[Total hours]]*tbl_Grind[[#This Row],[% Complete]]</f>
        <v>#VALUE!</v>
      </c>
      <c r="M192" s="59" t="str">
        <f>IFERROR(tbl_Grind[[#This Row],[Qty Complete]]/tbl_Grind[[#This Row],[Total Hours Act]]*tbl_Grind[[#This Row],['# of men Act]],"")</f>
        <v/>
      </c>
      <c r="O192"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92" s="71" t="str">
        <f>IFERROR((tbl_Grind[[#This Row],[Adj. Total Hours]]+tbl_Grind[[#This Row],[Est. Hours]])/(tbl_Grind[[#This Row],[Total Hours Act]]+tbl_Grind[[#This Row],[Act. Hours]]),"")</f>
        <v/>
      </c>
      <c r="S192" s="63"/>
      <c r="T192" s="63"/>
      <c r="U192" s="63"/>
      <c r="V192" s="63"/>
      <c r="W192" s="63"/>
    </row>
    <row r="193" spans="6:23" ht="25" customHeight="1">
      <c r="F193" s="53"/>
      <c r="H193" s="55" t="e">
        <f>tbl_Grind[[#This Row],[Qty Complete]]/tbl_Grind[[#This Row],[Qty Required]]</f>
        <v>#DIV/0!</v>
      </c>
      <c r="K193" s="57" t="str">
        <f>IFERROR(tbl_Grind[[#This Row],[Qty Required]]/tbl_Grind[[#This Row],[PPH]]*tbl_Grind[[#This Row],['# of men]],"")</f>
        <v/>
      </c>
      <c r="L193" s="58" t="e">
        <f>tbl_Grind[[#This Row],[Total hours]]*tbl_Grind[[#This Row],[% Complete]]</f>
        <v>#VALUE!</v>
      </c>
      <c r="M193" s="59" t="str">
        <f>IFERROR(tbl_Grind[[#This Row],[Qty Complete]]/tbl_Grind[[#This Row],[Total Hours Act]]*tbl_Grind[[#This Row],['# of men Act]],"")</f>
        <v/>
      </c>
      <c r="O193"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93" s="71" t="str">
        <f>IFERROR((tbl_Grind[[#This Row],[Adj. Total Hours]]+tbl_Grind[[#This Row],[Est. Hours]])/(tbl_Grind[[#This Row],[Total Hours Act]]+tbl_Grind[[#This Row],[Act. Hours]]),"")</f>
        <v/>
      </c>
      <c r="S193" s="63"/>
      <c r="T193" s="63"/>
      <c r="U193" s="63"/>
      <c r="V193" s="63"/>
      <c r="W193" s="63"/>
    </row>
    <row r="194" spans="6:23" ht="25" customHeight="1">
      <c r="F194" s="53"/>
      <c r="H194" s="55" t="e">
        <f>tbl_Grind[[#This Row],[Qty Complete]]/tbl_Grind[[#This Row],[Qty Required]]</f>
        <v>#DIV/0!</v>
      </c>
      <c r="K194" s="57" t="str">
        <f>IFERROR(tbl_Grind[[#This Row],[Qty Required]]/tbl_Grind[[#This Row],[PPH]]*tbl_Grind[[#This Row],['# of men]],"")</f>
        <v/>
      </c>
      <c r="L194" s="58" t="e">
        <f>tbl_Grind[[#This Row],[Total hours]]*tbl_Grind[[#This Row],[% Complete]]</f>
        <v>#VALUE!</v>
      </c>
      <c r="M194" s="59" t="str">
        <f>IFERROR(tbl_Grind[[#This Row],[Qty Complete]]/tbl_Grind[[#This Row],[Total Hours Act]]*tbl_Grind[[#This Row],['# of men Act]],"")</f>
        <v/>
      </c>
      <c r="O194"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94" s="71" t="str">
        <f>IFERROR((tbl_Grind[[#This Row],[Adj. Total Hours]]+tbl_Grind[[#This Row],[Est. Hours]])/(tbl_Grind[[#This Row],[Total Hours Act]]+tbl_Grind[[#This Row],[Act. Hours]]),"")</f>
        <v/>
      </c>
      <c r="S194" s="63"/>
      <c r="T194" s="63"/>
      <c r="U194" s="63"/>
      <c r="V194" s="63"/>
      <c r="W194" s="63"/>
    </row>
    <row r="195" spans="6:23" ht="25" customHeight="1">
      <c r="F195" s="53"/>
      <c r="H195" s="55" t="e">
        <f>tbl_Grind[[#This Row],[Qty Complete]]/tbl_Grind[[#This Row],[Qty Required]]</f>
        <v>#DIV/0!</v>
      </c>
      <c r="K195" s="57" t="str">
        <f>IFERROR(tbl_Grind[[#This Row],[Qty Required]]/tbl_Grind[[#This Row],[PPH]]*tbl_Grind[[#This Row],['# of men]],"")</f>
        <v/>
      </c>
      <c r="L195" s="58" t="e">
        <f>tbl_Grind[[#This Row],[Total hours]]*tbl_Grind[[#This Row],[% Complete]]</f>
        <v>#VALUE!</v>
      </c>
      <c r="M195" s="59" t="str">
        <f>IFERROR(tbl_Grind[[#This Row],[Qty Complete]]/tbl_Grind[[#This Row],[Total Hours Act]]*tbl_Grind[[#This Row],['# of men Act]],"")</f>
        <v/>
      </c>
      <c r="O195"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95" s="71" t="str">
        <f>IFERROR((tbl_Grind[[#This Row],[Adj. Total Hours]]+tbl_Grind[[#This Row],[Est. Hours]])/(tbl_Grind[[#This Row],[Total Hours Act]]+tbl_Grind[[#This Row],[Act. Hours]]),"")</f>
        <v/>
      </c>
      <c r="S195" s="63"/>
      <c r="T195" s="63"/>
      <c r="U195" s="63"/>
      <c r="V195" s="63"/>
      <c r="W195" s="63"/>
    </row>
    <row r="196" spans="6:23" ht="25" customHeight="1">
      <c r="F196" s="53"/>
      <c r="H196" s="55" t="e">
        <f>tbl_Grind[[#This Row],[Qty Complete]]/tbl_Grind[[#This Row],[Qty Required]]</f>
        <v>#DIV/0!</v>
      </c>
      <c r="K196" s="57" t="str">
        <f>IFERROR(tbl_Grind[[#This Row],[Qty Required]]/tbl_Grind[[#This Row],[PPH]]*tbl_Grind[[#This Row],['# of men]],"")</f>
        <v/>
      </c>
      <c r="L196" s="58" t="e">
        <f>tbl_Grind[[#This Row],[Total hours]]*tbl_Grind[[#This Row],[% Complete]]</f>
        <v>#VALUE!</v>
      </c>
      <c r="M196" s="59" t="str">
        <f>IFERROR(tbl_Grind[[#This Row],[Qty Complete]]/tbl_Grind[[#This Row],[Total Hours Act]]*tbl_Grind[[#This Row],['# of men Act]],"")</f>
        <v/>
      </c>
      <c r="O196"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96" s="71" t="str">
        <f>IFERROR((tbl_Grind[[#This Row],[Adj. Total Hours]]+tbl_Grind[[#This Row],[Est. Hours]])/(tbl_Grind[[#This Row],[Total Hours Act]]+tbl_Grind[[#This Row],[Act. Hours]]),"")</f>
        <v/>
      </c>
      <c r="S196" s="63"/>
      <c r="T196" s="63"/>
      <c r="U196" s="63"/>
      <c r="V196" s="63"/>
      <c r="W196" s="63"/>
    </row>
    <row r="197" spans="6:23" ht="25" customHeight="1">
      <c r="F197" s="53"/>
      <c r="H197" s="55" t="e">
        <f>tbl_Grind[[#This Row],[Qty Complete]]/tbl_Grind[[#This Row],[Qty Required]]</f>
        <v>#DIV/0!</v>
      </c>
      <c r="K197" s="57" t="str">
        <f>IFERROR(tbl_Grind[[#This Row],[Qty Required]]/tbl_Grind[[#This Row],[PPH]]*tbl_Grind[[#This Row],['# of men]],"")</f>
        <v/>
      </c>
      <c r="L197" s="58" t="e">
        <f>tbl_Grind[[#This Row],[Total hours]]*tbl_Grind[[#This Row],[% Complete]]</f>
        <v>#VALUE!</v>
      </c>
      <c r="M197" s="59" t="str">
        <f>IFERROR(tbl_Grind[[#This Row],[Qty Complete]]/tbl_Grind[[#This Row],[Total Hours Act]]*tbl_Grind[[#This Row],['# of men Act]],"")</f>
        <v/>
      </c>
      <c r="O197"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97" s="71" t="str">
        <f>IFERROR((tbl_Grind[[#This Row],[Adj. Total Hours]]+tbl_Grind[[#This Row],[Est. Hours]])/(tbl_Grind[[#This Row],[Total Hours Act]]+tbl_Grind[[#This Row],[Act. Hours]]),"")</f>
        <v/>
      </c>
      <c r="S197" s="63"/>
      <c r="T197" s="63"/>
      <c r="U197" s="63"/>
      <c r="V197" s="63"/>
      <c r="W197" s="63"/>
    </row>
    <row r="198" spans="6:23" ht="25" customHeight="1">
      <c r="F198" s="53"/>
      <c r="H198" s="55" t="e">
        <f>tbl_Grind[[#This Row],[Qty Complete]]/tbl_Grind[[#This Row],[Qty Required]]</f>
        <v>#DIV/0!</v>
      </c>
      <c r="K198" s="57" t="str">
        <f>IFERROR(tbl_Grind[[#This Row],[Qty Required]]/tbl_Grind[[#This Row],[PPH]]*tbl_Grind[[#This Row],['# of men]],"")</f>
        <v/>
      </c>
      <c r="L198" s="58" t="e">
        <f>tbl_Grind[[#This Row],[Total hours]]*tbl_Grind[[#This Row],[% Complete]]</f>
        <v>#VALUE!</v>
      </c>
      <c r="M198" s="59" t="str">
        <f>IFERROR(tbl_Grind[[#This Row],[Qty Complete]]/tbl_Grind[[#This Row],[Total Hours Act]]*tbl_Grind[[#This Row],['# of men Act]],"")</f>
        <v/>
      </c>
      <c r="O198"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98" s="71" t="str">
        <f>IFERROR((tbl_Grind[[#This Row],[Adj. Total Hours]]+tbl_Grind[[#This Row],[Est. Hours]])/(tbl_Grind[[#This Row],[Total Hours Act]]+tbl_Grind[[#This Row],[Act. Hours]]),"")</f>
        <v/>
      </c>
      <c r="S198" s="63"/>
      <c r="T198" s="63"/>
      <c r="U198" s="63"/>
      <c r="V198" s="63"/>
      <c r="W198" s="63"/>
    </row>
    <row r="199" spans="6:23" ht="25" customHeight="1">
      <c r="F199" s="53"/>
      <c r="H199" s="55" t="e">
        <f>tbl_Grind[[#This Row],[Qty Complete]]/tbl_Grind[[#This Row],[Qty Required]]</f>
        <v>#DIV/0!</v>
      </c>
      <c r="K199" s="57" t="str">
        <f>IFERROR(tbl_Grind[[#This Row],[Qty Required]]/tbl_Grind[[#This Row],[PPH]]*tbl_Grind[[#This Row],['# of men]],"")</f>
        <v/>
      </c>
      <c r="L199" s="58" t="e">
        <f>tbl_Grind[[#This Row],[Total hours]]*tbl_Grind[[#This Row],[% Complete]]</f>
        <v>#VALUE!</v>
      </c>
      <c r="M199" s="59" t="str">
        <f>IFERROR(tbl_Grind[[#This Row],[Qty Complete]]/tbl_Grind[[#This Row],[Total Hours Act]]*tbl_Grind[[#This Row],['# of men Act]],"")</f>
        <v/>
      </c>
      <c r="O199"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199" s="71" t="str">
        <f>IFERROR((tbl_Grind[[#This Row],[Adj. Total Hours]]+tbl_Grind[[#This Row],[Est. Hours]])/(tbl_Grind[[#This Row],[Total Hours Act]]+tbl_Grind[[#This Row],[Act. Hours]]),"")</f>
        <v/>
      </c>
      <c r="S199" s="63"/>
      <c r="T199" s="63"/>
      <c r="U199" s="63"/>
      <c r="V199" s="63"/>
      <c r="W199" s="63"/>
    </row>
    <row r="200" spans="6:23" ht="25" customHeight="1">
      <c r="F200" s="53"/>
      <c r="H200" s="55" t="e">
        <f>tbl_Grind[[#This Row],[Qty Complete]]/tbl_Grind[[#This Row],[Qty Required]]</f>
        <v>#DIV/0!</v>
      </c>
      <c r="K200" s="57" t="str">
        <f>IFERROR(tbl_Grind[[#This Row],[Qty Required]]/tbl_Grind[[#This Row],[PPH]]*tbl_Grind[[#This Row],['# of men]],"")</f>
        <v/>
      </c>
      <c r="L200" s="58" t="e">
        <f>tbl_Grind[[#This Row],[Total hours]]*tbl_Grind[[#This Row],[% Complete]]</f>
        <v>#VALUE!</v>
      </c>
      <c r="M200" s="59" t="str">
        <f>IFERROR(tbl_Grind[[#This Row],[Qty Complete]]/tbl_Grind[[#This Row],[Total Hours Act]]*tbl_Grind[[#This Row],['# of men Act]],"")</f>
        <v/>
      </c>
      <c r="O200"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00" s="71" t="str">
        <f>IFERROR((tbl_Grind[[#This Row],[Adj. Total Hours]]+tbl_Grind[[#This Row],[Est. Hours]])/(tbl_Grind[[#This Row],[Total Hours Act]]+tbl_Grind[[#This Row],[Act. Hours]]),"")</f>
        <v/>
      </c>
      <c r="S200" s="63"/>
      <c r="T200" s="63"/>
      <c r="U200" s="63"/>
      <c r="V200" s="63"/>
      <c r="W200" s="63"/>
    </row>
    <row r="201" spans="6:23" ht="25" customHeight="1">
      <c r="F201" s="53"/>
      <c r="H201" s="55" t="e">
        <f>tbl_Grind[[#This Row],[Qty Complete]]/tbl_Grind[[#This Row],[Qty Required]]</f>
        <v>#DIV/0!</v>
      </c>
      <c r="K201" s="57" t="str">
        <f>IFERROR(tbl_Grind[[#This Row],[Qty Required]]/tbl_Grind[[#This Row],[PPH]]*tbl_Grind[[#This Row],['# of men]],"")</f>
        <v/>
      </c>
      <c r="L201" s="58" t="e">
        <f>tbl_Grind[[#This Row],[Total hours]]*tbl_Grind[[#This Row],[% Complete]]</f>
        <v>#VALUE!</v>
      </c>
      <c r="M201" s="59" t="str">
        <f>IFERROR(tbl_Grind[[#This Row],[Qty Complete]]/tbl_Grind[[#This Row],[Total Hours Act]]*tbl_Grind[[#This Row],['# of men Act]],"")</f>
        <v/>
      </c>
      <c r="O201"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01" s="71" t="str">
        <f>IFERROR((tbl_Grind[[#This Row],[Adj. Total Hours]]+tbl_Grind[[#This Row],[Est. Hours]])/(tbl_Grind[[#This Row],[Total Hours Act]]+tbl_Grind[[#This Row],[Act. Hours]]),"")</f>
        <v/>
      </c>
      <c r="S201" s="63"/>
      <c r="T201" s="63"/>
      <c r="U201" s="63"/>
      <c r="V201" s="63"/>
      <c r="W201" s="63"/>
    </row>
    <row r="202" spans="6:23" ht="25" customHeight="1">
      <c r="F202" s="53"/>
      <c r="H202" s="55" t="e">
        <f>tbl_Grind[[#This Row],[Qty Complete]]/tbl_Grind[[#This Row],[Qty Required]]</f>
        <v>#DIV/0!</v>
      </c>
      <c r="K202" s="57" t="str">
        <f>IFERROR(tbl_Grind[[#This Row],[Qty Required]]/tbl_Grind[[#This Row],[PPH]]*tbl_Grind[[#This Row],['# of men]],"")</f>
        <v/>
      </c>
      <c r="L202" s="58" t="e">
        <f>tbl_Grind[[#This Row],[Total hours]]*tbl_Grind[[#This Row],[% Complete]]</f>
        <v>#VALUE!</v>
      </c>
      <c r="M202" s="59" t="str">
        <f>IFERROR(tbl_Grind[[#This Row],[Qty Complete]]/tbl_Grind[[#This Row],[Total Hours Act]]*tbl_Grind[[#This Row],['# of men Act]],"")</f>
        <v/>
      </c>
      <c r="O202"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02" s="71" t="str">
        <f>IFERROR((tbl_Grind[[#This Row],[Adj. Total Hours]]+tbl_Grind[[#This Row],[Est. Hours]])/(tbl_Grind[[#This Row],[Total Hours Act]]+tbl_Grind[[#This Row],[Act. Hours]]),"")</f>
        <v/>
      </c>
      <c r="S202" s="63"/>
      <c r="T202" s="63"/>
      <c r="U202" s="63"/>
      <c r="V202" s="63"/>
      <c r="W202" s="63"/>
    </row>
    <row r="203" spans="6:23" ht="25" customHeight="1">
      <c r="F203" s="53"/>
      <c r="H203" s="55" t="e">
        <f>tbl_Grind[[#This Row],[Qty Complete]]/tbl_Grind[[#This Row],[Qty Required]]</f>
        <v>#DIV/0!</v>
      </c>
      <c r="K203" s="57" t="str">
        <f>IFERROR(tbl_Grind[[#This Row],[Qty Required]]/tbl_Grind[[#This Row],[PPH]]*tbl_Grind[[#This Row],['# of men]],"")</f>
        <v/>
      </c>
      <c r="L203" s="58" t="e">
        <f>tbl_Grind[[#This Row],[Total hours]]*tbl_Grind[[#This Row],[% Complete]]</f>
        <v>#VALUE!</v>
      </c>
      <c r="M203" s="59" t="str">
        <f>IFERROR(tbl_Grind[[#This Row],[Qty Complete]]/tbl_Grind[[#This Row],[Total Hours Act]]*tbl_Grind[[#This Row],['# of men Act]],"")</f>
        <v/>
      </c>
      <c r="O203"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03" s="71" t="str">
        <f>IFERROR((tbl_Grind[[#This Row],[Adj. Total Hours]]+tbl_Grind[[#This Row],[Est. Hours]])/(tbl_Grind[[#This Row],[Total Hours Act]]+tbl_Grind[[#This Row],[Act. Hours]]),"")</f>
        <v/>
      </c>
      <c r="S203" s="63"/>
      <c r="T203" s="63"/>
      <c r="U203" s="63"/>
      <c r="V203" s="63"/>
      <c r="W203" s="63"/>
    </row>
    <row r="204" spans="6:23" ht="25" customHeight="1">
      <c r="F204" s="53"/>
      <c r="H204" s="55" t="e">
        <f>tbl_Grind[[#This Row],[Qty Complete]]/tbl_Grind[[#This Row],[Qty Required]]</f>
        <v>#DIV/0!</v>
      </c>
      <c r="K204" s="57" t="str">
        <f>IFERROR(tbl_Grind[[#This Row],[Qty Required]]/tbl_Grind[[#This Row],[PPH]]*tbl_Grind[[#This Row],['# of men]],"")</f>
        <v/>
      </c>
      <c r="L204" s="58" t="e">
        <f>tbl_Grind[[#This Row],[Total hours]]*tbl_Grind[[#This Row],[% Complete]]</f>
        <v>#VALUE!</v>
      </c>
      <c r="M204" s="59" t="str">
        <f>IFERROR(tbl_Grind[[#This Row],[Qty Complete]]/tbl_Grind[[#This Row],[Total Hours Act]]*tbl_Grind[[#This Row],['# of men Act]],"")</f>
        <v/>
      </c>
      <c r="O204"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04" s="71" t="str">
        <f>IFERROR((tbl_Grind[[#This Row],[Adj. Total Hours]]+tbl_Grind[[#This Row],[Est. Hours]])/(tbl_Grind[[#This Row],[Total Hours Act]]+tbl_Grind[[#This Row],[Act. Hours]]),"")</f>
        <v/>
      </c>
      <c r="S204" s="63"/>
      <c r="T204" s="63"/>
      <c r="U204" s="63"/>
      <c r="V204" s="63"/>
      <c r="W204" s="63"/>
    </row>
    <row r="205" spans="6:23" ht="25" customHeight="1">
      <c r="F205" s="53"/>
      <c r="H205" s="55" t="e">
        <f>tbl_Grind[[#This Row],[Qty Complete]]/tbl_Grind[[#This Row],[Qty Required]]</f>
        <v>#DIV/0!</v>
      </c>
      <c r="K205" s="57" t="str">
        <f>IFERROR(tbl_Grind[[#This Row],[Qty Required]]/tbl_Grind[[#This Row],[PPH]]*tbl_Grind[[#This Row],['# of men]],"")</f>
        <v/>
      </c>
      <c r="L205" s="58" t="e">
        <f>tbl_Grind[[#This Row],[Total hours]]*tbl_Grind[[#This Row],[% Complete]]</f>
        <v>#VALUE!</v>
      </c>
      <c r="M205" s="59" t="str">
        <f>IFERROR(tbl_Grind[[#This Row],[Qty Complete]]/tbl_Grind[[#This Row],[Total Hours Act]]*tbl_Grind[[#This Row],['# of men Act]],"")</f>
        <v/>
      </c>
      <c r="O205"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05" s="71" t="str">
        <f>IFERROR((tbl_Grind[[#This Row],[Adj. Total Hours]]+tbl_Grind[[#This Row],[Est. Hours]])/(tbl_Grind[[#This Row],[Total Hours Act]]+tbl_Grind[[#This Row],[Act. Hours]]),"")</f>
        <v/>
      </c>
      <c r="S205" s="63"/>
      <c r="T205" s="63"/>
      <c r="U205" s="63"/>
      <c r="V205" s="63"/>
      <c r="W205" s="63"/>
    </row>
    <row r="206" spans="6:23" ht="25" customHeight="1">
      <c r="F206" s="53"/>
      <c r="H206" s="55" t="e">
        <f>tbl_Grind[[#This Row],[Qty Complete]]/tbl_Grind[[#This Row],[Qty Required]]</f>
        <v>#DIV/0!</v>
      </c>
      <c r="K206" s="57" t="str">
        <f>IFERROR(tbl_Grind[[#This Row],[Qty Required]]/tbl_Grind[[#This Row],[PPH]]*tbl_Grind[[#This Row],['# of men]],"")</f>
        <v/>
      </c>
      <c r="L206" s="58" t="e">
        <f>tbl_Grind[[#This Row],[Total hours]]*tbl_Grind[[#This Row],[% Complete]]</f>
        <v>#VALUE!</v>
      </c>
      <c r="M206" s="59" t="str">
        <f>IFERROR(tbl_Grind[[#This Row],[Qty Complete]]/tbl_Grind[[#This Row],[Total Hours Act]]*tbl_Grind[[#This Row],['# of men Act]],"")</f>
        <v/>
      </c>
      <c r="O206"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06" s="71" t="str">
        <f>IFERROR((tbl_Grind[[#This Row],[Adj. Total Hours]]+tbl_Grind[[#This Row],[Est. Hours]])/(tbl_Grind[[#This Row],[Total Hours Act]]+tbl_Grind[[#This Row],[Act. Hours]]),"")</f>
        <v/>
      </c>
      <c r="S206" s="63"/>
      <c r="T206" s="63"/>
      <c r="U206" s="63"/>
      <c r="V206" s="63"/>
      <c r="W206" s="63"/>
    </row>
    <row r="207" spans="6:23" ht="25" customHeight="1">
      <c r="F207" s="53"/>
      <c r="H207" s="55" t="e">
        <f>tbl_Grind[[#This Row],[Qty Complete]]/tbl_Grind[[#This Row],[Qty Required]]</f>
        <v>#DIV/0!</v>
      </c>
      <c r="K207" s="57" t="str">
        <f>IFERROR(tbl_Grind[[#This Row],[Qty Required]]/tbl_Grind[[#This Row],[PPH]]*tbl_Grind[[#This Row],['# of men]],"")</f>
        <v/>
      </c>
      <c r="L207" s="58" t="e">
        <f>tbl_Grind[[#This Row],[Total hours]]*tbl_Grind[[#This Row],[% Complete]]</f>
        <v>#VALUE!</v>
      </c>
      <c r="M207" s="59" t="str">
        <f>IFERROR(tbl_Grind[[#This Row],[Qty Complete]]/tbl_Grind[[#This Row],[Total Hours Act]]*tbl_Grind[[#This Row],['# of men Act]],"")</f>
        <v/>
      </c>
      <c r="O207"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07" s="71" t="str">
        <f>IFERROR((tbl_Grind[[#This Row],[Adj. Total Hours]]+tbl_Grind[[#This Row],[Est. Hours]])/(tbl_Grind[[#This Row],[Total Hours Act]]+tbl_Grind[[#This Row],[Act. Hours]]),"")</f>
        <v/>
      </c>
      <c r="S207" s="63"/>
      <c r="T207" s="63"/>
      <c r="U207" s="63"/>
      <c r="V207" s="63"/>
      <c r="W207" s="63"/>
    </row>
    <row r="208" spans="6:23" ht="25" customHeight="1">
      <c r="F208" s="53"/>
      <c r="H208" s="55" t="e">
        <f>tbl_Grind[[#This Row],[Qty Complete]]/tbl_Grind[[#This Row],[Qty Required]]</f>
        <v>#DIV/0!</v>
      </c>
      <c r="K208" s="57" t="str">
        <f>IFERROR(tbl_Grind[[#This Row],[Qty Required]]/tbl_Grind[[#This Row],[PPH]]*tbl_Grind[[#This Row],['# of men]],"")</f>
        <v/>
      </c>
      <c r="L208" s="58" t="e">
        <f>tbl_Grind[[#This Row],[Total hours]]*tbl_Grind[[#This Row],[% Complete]]</f>
        <v>#VALUE!</v>
      </c>
      <c r="M208" s="59" t="str">
        <f>IFERROR(tbl_Grind[[#This Row],[Qty Complete]]/tbl_Grind[[#This Row],[Total Hours Act]]*tbl_Grind[[#This Row],['# of men Act]],"")</f>
        <v/>
      </c>
      <c r="O208"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08" s="71" t="str">
        <f>IFERROR((tbl_Grind[[#This Row],[Adj. Total Hours]]+tbl_Grind[[#This Row],[Est. Hours]])/(tbl_Grind[[#This Row],[Total Hours Act]]+tbl_Grind[[#This Row],[Act. Hours]]),"")</f>
        <v/>
      </c>
      <c r="S208" s="63"/>
      <c r="T208" s="63"/>
      <c r="U208" s="63"/>
      <c r="V208" s="63"/>
      <c r="W208" s="63"/>
    </row>
    <row r="209" spans="6:23" ht="25" customHeight="1">
      <c r="F209" s="53"/>
      <c r="H209" s="55" t="e">
        <f>tbl_Grind[[#This Row],[Qty Complete]]/tbl_Grind[[#This Row],[Qty Required]]</f>
        <v>#DIV/0!</v>
      </c>
      <c r="K209" s="57" t="str">
        <f>IFERROR(tbl_Grind[[#This Row],[Qty Required]]/tbl_Grind[[#This Row],[PPH]]*tbl_Grind[[#This Row],['# of men]],"")</f>
        <v/>
      </c>
      <c r="L209" s="58" t="e">
        <f>tbl_Grind[[#This Row],[Total hours]]*tbl_Grind[[#This Row],[% Complete]]</f>
        <v>#VALUE!</v>
      </c>
      <c r="M209" s="59" t="str">
        <f>IFERROR(tbl_Grind[[#This Row],[Qty Complete]]/tbl_Grind[[#This Row],[Total Hours Act]]*tbl_Grind[[#This Row],['# of men Act]],"")</f>
        <v/>
      </c>
      <c r="O209"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09" s="71" t="str">
        <f>IFERROR((tbl_Grind[[#This Row],[Adj. Total Hours]]+tbl_Grind[[#This Row],[Est. Hours]])/(tbl_Grind[[#This Row],[Total Hours Act]]+tbl_Grind[[#This Row],[Act. Hours]]),"")</f>
        <v/>
      </c>
      <c r="S209" s="63"/>
      <c r="T209" s="63"/>
      <c r="U209" s="63"/>
      <c r="V209" s="63"/>
      <c r="W209" s="63"/>
    </row>
    <row r="210" spans="6:23" ht="25" customHeight="1">
      <c r="F210" s="53"/>
      <c r="H210" s="55" t="e">
        <f>tbl_Grind[[#This Row],[Qty Complete]]/tbl_Grind[[#This Row],[Qty Required]]</f>
        <v>#DIV/0!</v>
      </c>
      <c r="K210" s="57" t="str">
        <f>IFERROR(tbl_Grind[[#This Row],[Qty Required]]/tbl_Grind[[#This Row],[PPH]]*tbl_Grind[[#This Row],['# of men]],"")</f>
        <v/>
      </c>
      <c r="L210" s="58" t="e">
        <f>tbl_Grind[[#This Row],[Total hours]]*tbl_Grind[[#This Row],[% Complete]]</f>
        <v>#VALUE!</v>
      </c>
      <c r="M210" s="59" t="str">
        <f>IFERROR(tbl_Grind[[#This Row],[Qty Complete]]/tbl_Grind[[#This Row],[Total Hours Act]]*tbl_Grind[[#This Row],['# of men Act]],"")</f>
        <v/>
      </c>
      <c r="O210"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10" s="71" t="str">
        <f>IFERROR((tbl_Grind[[#This Row],[Adj. Total Hours]]+tbl_Grind[[#This Row],[Est. Hours]])/(tbl_Grind[[#This Row],[Total Hours Act]]+tbl_Grind[[#This Row],[Act. Hours]]),"")</f>
        <v/>
      </c>
      <c r="S210" s="63"/>
      <c r="T210" s="63"/>
      <c r="U210" s="63"/>
      <c r="V210" s="63"/>
      <c r="W210" s="63"/>
    </row>
    <row r="211" spans="6:23" ht="25" customHeight="1">
      <c r="F211" s="53"/>
      <c r="H211" s="55" t="e">
        <f>tbl_Grind[[#This Row],[Qty Complete]]/tbl_Grind[[#This Row],[Qty Required]]</f>
        <v>#DIV/0!</v>
      </c>
      <c r="K211" s="57" t="str">
        <f>IFERROR(tbl_Grind[[#This Row],[Qty Required]]/tbl_Grind[[#This Row],[PPH]]*tbl_Grind[[#This Row],['# of men]],"")</f>
        <v/>
      </c>
      <c r="L211" s="58" t="e">
        <f>tbl_Grind[[#This Row],[Total hours]]*tbl_Grind[[#This Row],[% Complete]]</f>
        <v>#VALUE!</v>
      </c>
      <c r="M211" s="59" t="str">
        <f>IFERROR(tbl_Grind[[#This Row],[Qty Complete]]/tbl_Grind[[#This Row],[Total Hours Act]]*tbl_Grind[[#This Row],['# of men Act]],"")</f>
        <v/>
      </c>
      <c r="O211"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11" s="71" t="str">
        <f>IFERROR((tbl_Grind[[#This Row],[Adj. Total Hours]]+tbl_Grind[[#This Row],[Est. Hours]])/(tbl_Grind[[#This Row],[Total Hours Act]]+tbl_Grind[[#This Row],[Act. Hours]]),"")</f>
        <v/>
      </c>
      <c r="S211" s="63"/>
      <c r="T211" s="63"/>
      <c r="U211" s="63"/>
      <c r="V211" s="63"/>
      <c r="W211" s="63"/>
    </row>
    <row r="212" spans="6:23" ht="25" customHeight="1">
      <c r="F212" s="53"/>
      <c r="H212" s="55" t="e">
        <f>tbl_Grind[[#This Row],[Qty Complete]]/tbl_Grind[[#This Row],[Qty Required]]</f>
        <v>#DIV/0!</v>
      </c>
      <c r="K212" s="57" t="str">
        <f>IFERROR(tbl_Grind[[#This Row],[Qty Required]]/tbl_Grind[[#This Row],[PPH]]*tbl_Grind[[#This Row],['# of men]],"")</f>
        <v/>
      </c>
      <c r="L212" s="58" t="e">
        <f>tbl_Grind[[#This Row],[Total hours]]*tbl_Grind[[#This Row],[% Complete]]</f>
        <v>#VALUE!</v>
      </c>
      <c r="M212" s="59" t="str">
        <f>IFERROR(tbl_Grind[[#This Row],[Qty Complete]]/tbl_Grind[[#This Row],[Total Hours Act]]*tbl_Grind[[#This Row],['# of men Act]],"")</f>
        <v/>
      </c>
      <c r="O212"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12" s="71" t="str">
        <f>IFERROR((tbl_Grind[[#This Row],[Adj. Total Hours]]+tbl_Grind[[#This Row],[Est. Hours]])/(tbl_Grind[[#This Row],[Total Hours Act]]+tbl_Grind[[#This Row],[Act. Hours]]),"")</f>
        <v/>
      </c>
      <c r="S212" s="63"/>
      <c r="T212" s="63"/>
      <c r="U212" s="63"/>
      <c r="V212" s="63"/>
      <c r="W212" s="63"/>
    </row>
    <row r="213" spans="6:23" ht="25" customHeight="1">
      <c r="F213" s="53"/>
      <c r="H213" s="55" t="e">
        <f>tbl_Grind[[#This Row],[Qty Complete]]/tbl_Grind[[#This Row],[Qty Required]]</f>
        <v>#DIV/0!</v>
      </c>
      <c r="K213" s="57" t="str">
        <f>IFERROR(tbl_Grind[[#This Row],[Qty Required]]/tbl_Grind[[#This Row],[PPH]]*tbl_Grind[[#This Row],['# of men]],"")</f>
        <v/>
      </c>
      <c r="L213" s="58" t="e">
        <f>tbl_Grind[[#This Row],[Total hours]]*tbl_Grind[[#This Row],[% Complete]]</f>
        <v>#VALUE!</v>
      </c>
      <c r="M213" s="59" t="str">
        <f>IFERROR(tbl_Grind[[#This Row],[Qty Complete]]/tbl_Grind[[#This Row],[Total Hours Act]]*tbl_Grind[[#This Row],['# of men Act]],"")</f>
        <v/>
      </c>
      <c r="O213"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13" s="71" t="str">
        <f>IFERROR((tbl_Grind[[#This Row],[Adj. Total Hours]]+tbl_Grind[[#This Row],[Est. Hours]])/(tbl_Grind[[#This Row],[Total Hours Act]]+tbl_Grind[[#This Row],[Act. Hours]]),"")</f>
        <v/>
      </c>
      <c r="S213" s="63"/>
      <c r="T213" s="63"/>
      <c r="U213" s="63"/>
      <c r="V213" s="63"/>
      <c r="W213" s="63"/>
    </row>
    <row r="214" spans="6:23" ht="25" customHeight="1">
      <c r="F214" s="53"/>
      <c r="H214" s="55" t="e">
        <f>tbl_Grind[[#This Row],[Qty Complete]]/tbl_Grind[[#This Row],[Qty Required]]</f>
        <v>#DIV/0!</v>
      </c>
      <c r="K214" s="57" t="str">
        <f>IFERROR(tbl_Grind[[#This Row],[Qty Required]]/tbl_Grind[[#This Row],[PPH]]*tbl_Grind[[#This Row],['# of men]],"")</f>
        <v/>
      </c>
      <c r="L214" s="58" t="e">
        <f>tbl_Grind[[#This Row],[Total hours]]*tbl_Grind[[#This Row],[% Complete]]</f>
        <v>#VALUE!</v>
      </c>
      <c r="M214" s="59" t="str">
        <f>IFERROR(tbl_Grind[[#This Row],[Qty Complete]]/tbl_Grind[[#This Row],[Total Hours Act]]*tbl_Grind[[#This Row],['# of men Act]],"")</f>
        <v/>
      </c>
      <c r="O214"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14" s="71" t="str">
        <f>IFERROR((tbl_Grind[[#This Row],[Adj. Total Hours]]+tbl_Grind[[#This Row],[Est. Hours]])/(tbl_Grind[[#This Row],[Total Hours Act]]+tbl_Grind[[#This Row],[Act. Hours]]),"")</f>
        <v/>
      </c>
      <c r="S214" s="63"/>
      <c r="T214" s="63"/>
      <c r="U214" s="63"/>
      <c r="V214" s="63"/>
      <c r="W214" s="63"/>
    </row>
    <row r="215" spans="6:23" ht="25" customHeight="1">
      <c r="F215" s="53"/>
      <c r="H215" s="55" t="e">
        <f>tbl_Grind[[#This Row],[Qty Complete]]/tbl_Grind[[#This Row],[Qty Required]]</f>
        <v>#DIV/0!</v>
      </c>
      <c r="K215" s="57" t="str">
        <f>IFERROR(tbl_Grind[[#This Row],[Qty Required]]/tbl_Grind[[#This Row],[PPH]]*tbl_Grind[[#This Row],['# of men]],"")</f>
        <v/>
      </c>
      <c r="L215" s="58" t="e">
        <f>tbl_Grind[[#This Row],[Total hours]]*tbl_Grind[[#This Row],[% Complete]]</f>
        <v>#VALUE!</v>
      </c>
      <c r="M215" s="59" t="str">
        <f>IFERROR(tbl_Grind[[#This Row],[Qty Complete]]/tbl_Grind[[#This Row],[Total Hours Act]]*tbl_Grind[[#This Row],['# of men Act]],"")</f>
        <v/>
      </c>
      <c r="O215"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15" s="71" t="str">
        <f>IFERROR((tbl_Grind[[#This Row],[Adj. Total Hours]]+tbl_Grind[[#This Row],[Est. Hours]])/(tbl_Grind[[#This Row],[Total Hours Act]]+tbl_Grind[[#This Row],[Act. Hours]]),"")</f>
        <v/>
      </c>
      <c r="S215" s="63"/>
      <c r="T215" s="63"/>
      <c r="U215" s="63"/>
      <c r="V215" s="63"/>
      <c r="W215" s="63"/>
    </row>
    <row r="216" spans="6:23" ht="25" customHeight="1">
      <c r="F216" s="53"/>
      <c r="H216" s="55" t="e">
        <f>tbl_Grind[[#This Row],[Qty Complete]]/tbl_Grind[[#This Row],[Qty Required]]</f>
        <v>#DIV/0!</v>
      </c>
      <c r="K216" s="57" t="str">
        <f>IFERROR(tbl_Grind[[#This Row],[Qty Required]]/tbl_Grind[[#This Row],[PPH]]*tbl_Grind[[#This Row],['# of men]],"")</f>
        <v/>
      </c>
      <c r="L216" s="58" t="e">
        <f>tbl_Grind[[#This Row],[Total hours]]*tbl_Grind[[#This Row],[% Complete]]</f>
        <v>#VALUE!</v>
      </c>
      <c r="M216" s="59" t="str">
        <f>IFERROR(tbl_Grind[[#This Row],[Qty Complete]]/tbl_Grind[[#This Row],[Total Hours Act]]*tbl_Grind[[#This Row],['# of men Act]],"")</f>
        <v/>
      </c>
      <c r="O216"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16" s="71" t="str">
        <f>IFERROR((tbl_Grind[[#This Row],[Adj. Total Hours]]+tbl_Grind[[#This Row],[Est. Hours]])/(tbl_Grind[[#This Row],[Total Hours Act]]+tbl_Grind[[#This Row],[Act. Hours]]),"")</f>
        <v/>
      </c>
      <c r="S216" s="63"/>
      <c r="T216" s="63"/>
      <c r="U216" s="63"/>
      <c r="V216" s="63"/>
      <c r="W216" s="63"/>
    </row>
    <row r="217" spans="6:23" ht="25" customHeight="1">
      <c r="F217" s="53"/>
      <c r="H217" s="55" t="e">
        <f>tbl_Grind[[#This Row],[Qty Complete]]/tbl_Grind[[#This Row],[Qty Required]]</f>
        <v>#DIV/0!</v>
      </c>
      <c r="K217" s="57" t="str">
        <f>IFERROR(tbl_Grind[[#This Row],[Qty Required]]/tbl_Grind[[#This Row],[PPH]]*tbl_Grind[[#This Row],['# of men]],"")</f>
        <v/>
      </c>
      <c r="L217" s="58" t="e">
        <f>tbl_Grind[[#This Row],[Total hours]]*tbl_Grind[[#This Row],[% Complete]]</f>
        <v>#VALUE!</v>
      </c>
      <c r="M217" s="59" t="str">
        <f>IFERROR(tbl_Grind[[#This Row],[Qty Complete]]/tbl_Grind[[#This Row],[Total Hours Act]]*tbl_Grind[[#This Row],['# of men Act]],"")</f>
        <v/>
      </c>
      <c r="O217"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17" s="71" t="str">
        <f>IFERROR((tbl_Grind[[#This Row],[Adj. Total Hours]]+tbl_Grind[[#This Row],[Est. Hours]])/(tbl_Grind[[#This Row],[Total Hours Act]]+tbl_Grind[[#This Row],[Act. Hours]]),"")</f>
        <v/>
      </c>
      <c r="S217" s="63"/>
      <c r="T217" s="63"/>
      <c r="U217" s="63"/>
      <c r="V217" s="63"/>
      <c r="W217" s="63"/>
    </row>
    <row r="218" spans="6:23" ht="25" customHeight="1">
      <c r="F218" s="53"/>
      <c r="H218" s="55" t="e">
        <f>tbl_Grind[[#This Row],[Qty Complete]]/tbl_Grind[[#This Row],[Qty Required]]</f>
        <v>#DIV/0!</v>
      </c>
      <c r="K218" s="57" t="str">
        <f>IFERROR(tbl_Grind[[#This Row],[Qty Required]]/tbl_Grind[[#This Row],[PPH]]*tbl_Grind[[#This Row],['# of men]],"")</f>
        <v/>
      </c>
      <c r="L218" s="58" t="e">
        <f>tbl_Grind[[#This Row],[Total hours]]*tbl_Grind[[#This Row],[% Complete]]</f>
        <v>#VALUE!</v>
      </c>
      <c r="M218" s="59" t="str">
        <f>IFERROR(tbl_Grind[[#This Row],[Qty Complete]]/tbl_Grind[[#This Row],[Total Hours Act]]*tbl_Grind[[#This Row],['# of men Act]],"")</f>
        <v/>
      </c>
      <c r="O218"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18" s="71" t="str">
        <f>IFERROR((tbl_Grind[[#This Row],[Adj. Total Hours]]+tbl_Grind[[#This Row],[Est. Hours]])/(tbl_Grind[[#This Row],[Total Hours Act]]+tbl_Grind[[#This Row],[Act. Hours]]),"")</f>
        <v/>
      </c>
      <c r="S218" s="63"/>
      <c r="T218" s="63"/>
      <c r="U218" s="63"/>
      <c r="V218" s="63"/>
      <c r="W218" s="63"/>
    </row>
    <row r="219" spans="6:23" ht="25" customHeight="1">
      <c r="F219" s="53"/>
      <c r="H219" s="55" t="e">
        <f>tbl_Grind[[#This Row],[Qty Complete]]/tbl_Grind[[#This Row],[Qty Required]]</f>
        <v>#DIV/0!</v>
      </c>
      <c r="K219" s="57" t="str">
        <f>IFERROR(tbl_Grind[[#This Row],[Qty Required]]/tbl_Grind[[#This Row],[PPH]]*tbl_Grind[[#This Row],['# of men]],"")</f>
        <v/>
      </c>
      <c r="L219" s="58" t="e">
        <f>tbl_Grind[[#This Row],[Total hours]]*tbl_Grind[[#This Row],[% Complete]]</f>
        <v>#VALUE!</v>
      </c>
      <c r="M219" s="59" t="str">
        <f>IFERROR(tbl_Grind[[#This Row],[Qty Complete]]/tbl_Grind[[#This Row],[Total Hours Act]]*tbl_Grind[[#This Row],['# of men Act]],"")</f>
        <v/>
      </c>
      <c r="O219"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19" s="71" t="str">
        <f>IFERROR((tbl_Grind[[#This Row],[Adj. Total Hours]]+tbl_Grind[[#This Row],[Est. Hours]])/(tbl_Grind[[#This Row],[Total Hours Act]]+tbl_Grind[[#This Row],[Act. Hours]]),"")</f>
        <v/>
      </c>
      <c r="S219" s="63"/>
      <c r="T219" s="63"/>
      <c r="U219" s="63"/>
      <c r="V219" s="63"/>
      <c r="W219" s="63"/>
    </row>
    <row r="220" spans="6:23" ht="25" customHeight="1">
      <c r="F220" s="53"/>
      <c r="H220" s="55" t="e">
        <f>tbl_Grind[[#This Row],[Qty Complete]]/tbl_Grind[[#This Row],[Qty Required]]</f>
        <v>#DIV/0!</v>
      </c>
      <c r="K220" s="57" t="str">
        <f>IFERROR(tbl_Grind[[#This Row],[Qty Required]]/tbl_Grind[[#This Row],[PPH]]*tbl_Grind[[#This Row],['# of men]],"")</f>
        <v/>
      </c>
      <c r="L220" s="58" t="e">
        <f>tbl_Grind[[#This Row],[Total hours]]*tbl_Grind[[#This Row],[% Complete]]</f>
        <v>#VALUE!</v>
      </c>
      <c r="M220" s="59" t="str">
        <f>IFERROR(tbl_Grind[[#This Row],[Qty Complete]]/tbl_Grind[[#This Row],[Total Hours Act]]*tbl_Grind[[#This Row],['# of men Act]],"")</f>
        <v/>
      </c>
      <c r="O220"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20" s="71" t="str">
        <f>IFERROR((tbl_Grind[[#This Row],[Adj. Total Hours]]+tbl_Grind[[#This Row],[Est. Hours]])/(tbl_Grind[[#This Row],[Total Hours Act]]+tbl_Grind[[#This Row],[Act. Hours]]),"")</f>
        <v/>
      </c>
      <c r="S220" s="63"/>
      <c r="T220" s="63"/>
      <c r="U220" s="63"/>
      <c r="V220" s="63"/>
      <c r="W220" s="63"/>
    </row>
    <row r="221" spans="6:23" ht="25" customHeight="1">
      <c r="F221" s="53"/>
      <c r="H221" s="55" t="e">
        <f>tbl_Grind[[#This Row],[Qty Complete]]/tbl_Grind[[#This Row],[Qty Required]]</f>
        <v>#DIV/0!</v>
      </c>
      <c r="K221" s="57" t="str">
        <f>IFERROR(tbl_Grind[[#This Row],[Qty Required]]/tbl_Grind[[#This Row],[PPH]]*tbl_Grind[[#This Row],['# of men]],"")</f>
        <v/>
      </c>
      <c r="L221" s="58" t="e">
        <f>tbl_Grind[[#This Row],[Total hours]]*tbl_Grind[[#This Row],[% Complete]]</f>
        <v>#VALUE!</v>
      </c>
      <c r="M221" s="59" t="str">
        <f>IFERROR(tbl_Grind[[#This Row],[Qty Complete]]/tbl_Grind[[#This Row],[Total Hours Act]]*tbl_Grind[[#This Row],['# of men Act]],"")</f>
        <v/>
      </c>
      <c r="O221"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21" s="71" t="str">
        <f>IFERROR((tbl_Grind[[#This Row],[Adj. Total Hours]]+tbl_Grind[[#This Row],[Est. Hours]])/(tbl_Grind[[#This Row],[Total Hours Act]]+tbl_Grind[[#This Row],[Act. Hours]]),"")</f>
        <v/>
      </c>
      <c r="S221" s="63"/>
      <c r="T221" s="63"/>
      <c r="U221" s="63"/>
      <c r="V221" s="63"/>
      <c r="W221" s="63"/>
    </row>
    <row r="222" spans="6:23" ht="25" customHeight="1">
      <c r="F222" s="53"/>
      <c r="H222" s="55" t="e">
        <f>tbl_Grind[[#This Row],[Qty Complete]]/tbl_Grind[[#This Row],[Qty Required]]</f>
        <v>#DIV/0!</v>
      </c>
      <c r="K222" s="57" t="str">
        <f>IFERROR(tbl_Grind[[#This Row],[Qty Required]]/tbl_Grind[[#This Row],[PPH]]*tbl_Grind[[#This Row],['# of men]],"")</f>
        <v/>
      </c>
      <c r="L222" s="58" t="e">
        <f>tbl_Grind[[#This Row],[Total hours]]*tbl_Grind[[#This Row],[% Complete]]</f>
        <v>#VALUE!</v>
      </c>
      <c r="M222" s="59" t="str">
        <f>IFERROR(tbl_Grind[[#This Row],[Qty Complete]]/tbl_Grind[[#This Row],[Total Hours Act]]*tbl_Grind[[#This Row],['# of men Act]],"")</f>
        <v/>
      </c>
      <c r="O222"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22" s="71" t="str">
        <f>IFERROR((tbl_Grind[[#This Row],[Adj. Total Hours]]+tbl_Grind[[#This Row],[Est. Hours]])/(tbl_Grind[[#This Row],[Total Hours Act]]+tbl_Grind[[#This Row],[Act. Hours]]),"")</f>
        <v/>
      </c>
      <c r="S222" s="63"/>
      <c r="T222" s="63"/>
      <c r="U222" s="63"/>
      <c r="V222" s="63"/>
      <c r="W222" s="63"/>
    </row>
    <row r="223" spans="6:23" ht="25" customHeight="1">
      <c r="F223" s="53"/>
      <c r="H223" s="55" t="e">
        <f>tbl_Grind[[#This Row],[Qty Complete]]/tbl_Grind[[#This Row],[Qty Required]]</f>
        <v>#DIV/0!</v>
      </c>
      <c r="K223" s="57" t="str">
        <f>IFERROR(tbl_Grind[[#This Row],[Qty Required]]/tbl_Grind[[#This Row],[PPH]]*tbl_Grind[[#This Row],['# of men]],"")</f>
        <v/>
      </c>
      <c r="L223" s="58" t="e">
        <f>tbl_Grind[[#This Row],[Total hours]]*tbl_Grind[[#This Row],[% Complete]]</f>
        <v>#VALUE!</v>
      </c>
      <c r="M223" s="59" t="str">
        <f>IFERROR(tbl_Grind[[#This Row],[Qty Complete]]/tbl_Grind[[#This Row],[Total Hours Act]]*tbl_Grind[[#This Row],['# of men Act]],"")</f>
        <v/>
      </c>
      <c r="O223"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23" s="71" t="str">
        <f>IFERROR((tbl_Grind[[#This Row],[Adj. Total Hours]]+tbl_Grind[[#This Row],[Est. Hours]])/(tbl_Grind[[#This Row],[Total Hours Act]]+tbl_Grind[[#This Row],[Act. Hours]]),"")</f>
        <v/>
      </c>
      <c r="S223" s="63"/>
      <c r="T223" s="63"/>
      <c r="U223" s="63"/>
      <c r="V223" s="63"/>
      <c r="W223" s="63"/>
    </row>
    <row r="224" spans="6:23" ht="25" customHeight="1">
      <c r="F224" s="53"/>
      <c r="H224" s="55" t="e">
        <f>tbl_Grind[[#This Row],[Qty Complete]]/tbl_Grind[[#This Row],[Qty Required]]</f>
        <v>#DIV/0!</v>
      </c>
      <c r="K224" s="57" t="str">
        <f>IFERROR(tbl_Grind[[#This Row],[Qty Required]]/tbl_Grind[[#This Row],[PPH]]*tbl_Grind[[#This Row],['# of men]],"")</f>
        <v/>
      </c>
      <c r="L224" s="58" t="e">
        <f>tbl_Grind[[#This Row],[Total hours]]*tbl_Grind[[#This Row],[% Complete]]</f>
        <v>#VALUE!</v>
      </c>
      <c r="M224" s="59" t="str">
        <f>IFERROR(tbl_Grind[[#This Row],[Qty Complete]]/tbl_Grind[[#This Row],[Total Hours Act]]*tbl_Grind[[#This Row],['# of men Act]],"")</f>
        <v/>
      </c>
      <c r="O224"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24" s="71" t="str">
        <f>IFERROR((tbl_Grind[[#This Row],[Adj. Total Hours]]+tbl_Grind[[#This Row],[Est. Hours]])/(tbl_Grind[[#This Row],[Total Hours Act]]+tbl_Grind[[#This Row],[Act. Hours]]),"")</f>
        <v/>
      </c>
      <c r="S224" s="63"/>
      <c r="T224" s="63"/>
      <c r="U224" s="63"/>
      <c r="V224" s="63"/>
      <c r="W224" s="63"/>
    </row>
    <row r="225" spans="6:23" ht="25" customHeight="1">
      <c r="F225" s="53"/>
      <c r="H225" s="55" t="e">
        <f>tbl_Grind[[#This Row],[Qty Complete]]/tbl_Grind[[#This Row],[Qty Required]]</f>
        <v>#DIV/0!</v>
      </c>
      <c r="K225" s="57" t="str">
        <f>IFERROR(tbl_Grind[[#This Row],[Qty Required]]/tbl_Grind[[#This Row],[PPH]]*tbl_Grind[[#This Row],['# of men]],"")</f>
        <v/>
      </c>
      <c r="L225" s="58" t="e">
        <f>tbl_Grind[[#This Row],[Total hours]]*tbl_Grind[[#This Row],[% Complete]]</f>
        <v>#VALUE!</v>
      </c>
      <c r="M225" s="59" t="str">
        <f>IFERROR(tbl_Grind[[#This Row],[Qty Complete]]/tbl_Grind[[#This Row],[Total Hours Act]]*tbl_Grind[[#This Row],['# of men Act]],"")</f>
        <v/>
      </c>
      <c r="O225"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25" s="71" t="str">
        <f>IFERROR((tbl_Grind[[#This Row],[Adj. Total Hours]]+tbl_Grind[[#This Row],[Est. Hours]])/(tbl_Grind[[#This Row],[Total Hours Act]]+tbl_Grind[[#This Row],[Act. Hours]]),"")</f>
        <v/>
      </c>
      <c r="S225" s="63"/>
      <c r="T225" s="63"/>
      <c r="U225" s="63"/>
      <c r="V225" s="63"/>
      <c r="W225" s="63"/>
    </row>
    <row r="226" spans="6:23" ht="25" customHeight="1">
      <c r="F226" s="53"/>
      <c r="H226" s="55" t="e">
        <f>tbl_Grind[[#This Row],[Qty Complete]]/tbl_Grind[[#This Row],[Qty Required]]</f>
        <v>#DIV/0!</v>
      </c>
      <c r="K226" s="57" t="str">
        <f>IFERROR(tbl_Grind[[#This Row],[Qty Required]]/tbl_Grind[[#This Row],[PPH]]*tbl_Grind[[#This Row],['# of men]],"")</f>
        <v/>
      </c>
      <c r="L226" s="58" t="e">
        <f>tbl_Grind[[#This Row],[Total hours]]*tbl_Grind[[#This Row],[% Complete]]</f>
        <v>#VALUE!</v>
      </c>
      <c r="M226" s="59" t="str">
        <f>IFERROR(tbl_Grind[[#This Row],[Qty Complete]]/tbl_Grind[[#This Row],[Total Hours Act]]*tbl_Grind[[#This Row],['# of men Act]],"")</f>
        <v/>
      </c>
      <c r="O226"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26" s="71" t="str">
        <f>IFERROR((tbl_Grind[[#This Row],[Adj. Total Hours]]+tbl_Grind[[#This Row],[Est. Hours]])/(tbl_Grind[[#This Row],[Total Hours Act]]+tbl_Grind[[#This Row],[Act. Hours]]),"")</f>
        <v/>
      </c>
      <c r="S226" s="63"/>
      <c r="T226" s="63"/>
      <c r="U226" s="63"/>
      <c r="V226" s="63"/>
      <c r="W226" s="63"/>
    </row>
    <row r="227" spans="6:23" ht="25" customHeight="1">
      <c r="F227" s="53"/>
      <c r="H227" s="55" t="e">
        <f>tbl_Grind[[#This Row],[Qty Complete]]/tbl_Grind[[#This Row],[Qty Required]]</f>
        <v>#DIV/0!</v>
      </c>
      <c r="K227" s="57" t="str">
        <f>IFERROR(tbl_Grind[[#This Row],[Qty Required]]/tbl_Grind[[#This Row],[PPH]]*tbl_Grind[[#This Row],['# of men]],"")</f>
        <v/>
      </c>
      <c r="L227" s="58" t="e">
        <f>tbl_Grind[[#This Row],[Total hours]]*tbl_Grind[[#This Row],[% Complete]]</f>
        <v>#VALUE!</v>
      </c>
      <c r="M227" s="59" t="str">
        <f>IFERROR(tbl_Grind[[#This Row],[Qty Complete]]/tbl_Grind[[#This Row],[Total Hours Act]]*tbl_Grind[[#This Row],['# of men Act]],"")</f>
        <v/>
      </c>
      <c r="O227"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27" s="71" t="str">
        <f>IFERROR((tbl_Grind[[#This Row],[Adj. Total Hours]]+tbl_Grind[[#This Row],[Est. Hours]])/(tbl_Grind[[#This Row],[Total Hours Act]]+tbl_Grind[[#This Row],[Act. Hours]]),"")</f>
        <v/>
      </c>
      <c r="S227" s="63"/>
      <c r="T227" s="63"/>
      <c r="U227" s="63"/>
      <c r="V227" s="63"/>
      <c r="W227" s="63"/>
    </row>
    <row r="228" spans="6:23" ht="25" customHeight="1">
      <c r="F228" s="53"/>
      <c r="H228" s="55" t="e">
        <f>tbl_Grind[[#This Row],[Qty Complete]]/tbl_Grind[[#This Row],[Qty Required]]</f>
        <v>#DIV/0!</v>
      </c>
      <c r="K228" s="57" t="str">
        <f>IFERROR(tbl_Grind[[#This Row],[Qty Required]]/tbl_Grind[[#This Row],[PPH]]*tbl_Grind[[#This Row],['# of men]],"")</f>
        <v/>
      </c>
      <c r="L228" s="58" t="e">
        <f>tbl_Grind[[#This Row],[Total hours]]*tbl_Grind[[#This Row],[% Complete]]</f>
        <v>#VALUE!</v>
      </c>
      <c r="M228" s="59" t="str">
        <f>IFERROR(tbl_Grind[[#This Row],[Qty Complete]]/tbl_Grind[[#This Row],[Total Hours Act]]*tbl_Grind[[#This Row],['# of men Act]],"")</f>
        <v/>
      </c>
      <c r="O228"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28" s="71" t="str">
        <f>IFERROR((tbl_Grind[[#This Row],[Adj. Total Hours]]+tbl_Grind[[#This Row],[Est. Hours]])/(tbl_Grind[[#This Row],[Total Hours Act]]+tbl_Grind[[#This Row],[Act. Hours]]),"")</f>
        <v/>
      </c>
      <c r="S228" s="63"/>
      <c r="T228" s="63"/>
      <c r="U228" s="63"/>
      <c r="V228" s="63"/>
      <c r="W228" s="63"/>
    </row>
    <row r="229" spans="6:23" ht="25" customHeight="1">
      <c r="F229" s="53"/>
      <c r="H229" s="55" t="e">
        <f>tbl_Grind[[#This Row],[Qty Complete]]/tbl_Grind[[#This Row],[Qty Required]]</f>
        <v>#DIV/0!</v>
      </c>
      <c r="K229" s="57" t="str">
        <f>IFERROR(tbl_Grind[[#This Row],[Qty Required]]/tbl_Grind[[#This Row],[PPH]]*tbl_Grind[[#This Row],['# of men]],"")</f>
        <v/>
      </c>
      <c r="L229" s="58" t="e">
        <f>tbl_Grind[[#This Row],[Total hours]]*tbl_Grind[[#This Row],[% Complete]]</f>
        <v>#VALUE!</v>
      </c>
      <c r="M229" s="59" t="str">
        <f>IFERROR(tbl_Grind[[#This Row],[Qty Complete]]/tbl_Grind[[#This Row],[Total Hours Act]]*tbl_Grind[[#This Row],['# of men Act]],"")</f>
        <v/>
      </c>
      <c r="O229"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29" s="71" t="str">
        <f>IFERROR((tbl_Grind[[#This Row],[Adj. Total Hours]]+tbl_Grind[[#This Row],[Est. Hours]])/(tbl_Grind[[#This Row],[Total Hours Act]]+tbl_Grind[[#This Row],[Act. Hours]]),"")</f>
        <v/>
      </c>
      <c r="S229" s="63"/>
      <c r="T229" s="63"/>
      <c r="U229" s="63"/>
      <c r="V229" s="63"/>
      <c r="W229" s="63"/>
    </row>
    <row r="230" spans="6:23" ht="25" customHeight="1">
      <c r="F230" s="53"/>
      <c r="H230" s="55" t="e">
        <f>tbl_Grind[[#This Row],[Qty Complete]]/tbl_Grind[[#This Row],[Qty Required]]</f>
        <v>#DIV/0!</v>
      </c>
      <c r="K230" s="57" t="str">
        <f>IFERROR(tbl_Grind[[#This Row],[Qty Required]]/tbl_Grind[[#This Row],[PPH]]*tbl_Grind[[#This Row],['# of men]],"")</f>
        <v/>
      </c>
      <c r="L230" s="58" t="e">
        <f>tbl_Grind[[#This Row],[Total hours]]*tbl_Grind[[#This Row],[% Complete]]</f>
        <v>#VALUE!</v>
      </c>
      <c r="M230" s="59" t="str">
        <f>IFERROR(tbl_Grind[[#This Row],[Qty Complete]]/tbl_Grind[[#This Row],[Total Hours Act]]*tbl_Grind[[#This Row],['# of men Act]],"")</f>
        <v/>
      </c>
      <c r="O230"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30" s="71" t="str">
        <f>IFERROR((tbl_Grind[[#This Row],[Adj. Total Hours]]+tbl_Grind[[#This Row],[Est. Hours]])/(tbl_Grind[[#This Row],[Total Hours Act]]+tbl_Grind[[#This Row],[Act. Hours]]),"")</f>
        <v/>
      </c>
      <c r="S230" s="63"/>
      <c r="T230" s="63"/>
      <c r="U230" s="63"/>
      <c r="V230" s="63"/>
      <c r="W230" s="63"/>
    </row>
    <row r="231" spans="6:23" ht="25" customHeight="1">
      <c r="F231" s="53"/>
      <c r="H231" s="55" t="e">
        <f>tbl_Grind[[#This Row],[Qty Complete]]/tbl_Grind[[#This Row],[Qty Required]]</f>
        <v>#DIV/0!</v>
      </c>
      <c r="K231" s="57" t="str">
        <f>IFERROR(tbl_Grind[[#This Row],[Qty Required]]/tbl_Grind[[#This Row],[PPH]]*tbl_Grind[[#This Row],['# of men]],"")</f>
        <v/>
      </c>
      <c r="L231" s="58" t="e">
        <f>tbl_Grind[[#This Row],[Total hours]]*tbl_Grind[[#This Row],[% Complete]]</f>
        <v>#VALUE!</v>
      </c>
      <c r="M231" s="59" t="str">
        <f>IFERROR(tbl_Grind[[#This Row],[Qty Complete]]/tbl_Grind[[#This Row],[Total Hours Act]]*tbl_Grind[[#This Row],['# of men Act]],"")</f>
        <v/>
      </c>
      <c r="O231"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31" s="71" t="str">
        <f>IFERROR((tbl_Grind[[#This Row],[Adj. Total Hours]]+tbl_Grind[[#This Row],[Est. Hours]])/(tbl_Grind[[#This Row],[Total Hours Act]]+tbl_Grind[[#This Row],[Act. Hours]]),"")</f>
        <v/>
      </c>
      <c r="S231" s="63"/>
      <c r="T231" s="63"/>
      <c r="U231" s="63"/>
      <c r="V231" s="63"/>
      <c r="W231" s="63"/>
    </row>
    <row r="232" spans="6:23" ht="25" customHeight="1">
      <c r="F232" s="53"/>
      <c r="H232" s="55" t="e">
        <f>tbl_Grind[[#This Row],[Qty Complete]]/tbl_Grind[[#This Row],[Qty Required]]</f>
        <v>#DIV/0!</v>
      </c>
      <c r="K232" s="57" t="str">
        <f>IFERROR(tbl_Grind[[#This Row],[Qty Required]]/tbl_Grind[[#This Row],[PPH]]*tbl_Grind[[#This Row],['# of men]],"")</f>
        <v/>
      </c>
      <c r="L232" s="58" t="e">
        <f>tbl_Grind[[#This Row],[Total hours]]*tbl_Grind[[#This Row],[% Complete]]</f>
        <v>#VALUE!</v>
      </c>
      <c r="M232" s="59" t="str">
        <f>IFERROR(tbl_Grind[[#This Row],[Qty Complete]]/tbl_Grind[[#This Row],[Total Hours Act]]*tbl_Grind[[#This Row],['# of men Act]],"")</f>
        <v/>
      </c>
      <c r="O232"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32" s="71" t="str">
        <f>IFERROR((tbl_Grind[[#This Row],[Adj. Total Hours]]+tbl_Grind[[#This Row],[Est. Hours]])/(tbl_Grind[[#This Row],[Total Hours Act]]+tbl_Grind[[#This Row],[Act. Hours]]),"")</f>
        <v/>
      </c>
      <c r="S232" s="63"/>
      <c r="T232" s="63"/>
      <c r="U232" s="63"/>
      <c r="V232" s="63"/>
      <c r="W232" s="63"/>
    </row>
    <row r="233" spans="6:23" ht="25" customHeight="1">
      <c r="F233" s="53"/>
      <c r="H233" s="55" t="e">
        <f>tbl_Grind[[#This Row],[Qty Complete]]/tbl_Grind[[#This Row],[Qty Required]]</f>
        <v>#DIV/0!</v>
      </c>
      <c r="K233" s="57" t="str">
        <f>IFERROR(tbl_Grind[[#This Row],[Qty Required]]/tbl_Grind[[#This Row],[PPH]]*tbl_Grind[[#This Row],['# of men]],"")</f>
        <v/>
      </c>
      <c r="L233" s="58" t="e">
        <f>tbl_Grind[[#This Row],[Total hours]]*tbl_Grind[[#This Row],[% Complete]]</f>
        <v>#VALUE!</v>
      </c>
      <c r="M233" s="59" t="str">
        <f>IFERROR(tbl_Grind[[#This Row],[Qty Complete]]/tbl_Grind[[#This Row],[Total Hours Act]]*tbl_Grind[[#This Row],['# of men Act]],"")</f>
        <v/>
      </c>
      <c r="O233"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33" s="71" t="str">
        <f>IFERROR((tbl_Grind[[#This Row],[Adj. Total Hours]]+tbl_Grind[[#This Row],[Est. Hours]])/(tbl_Grind[[#This Row],[Total Hours Act]]+tbl_Grind[[#This Row],[Act. Hours]]),"")</f>
        <v/>
      </c>
      <c r="S233" s="63"/>
      <c r="T233" s="63"/>
      <c r="U233" s="63"/>
      <c r="V233" s="63"/>
      <c r="W233" s="63"/>
    </row>
    <row r="234" spans="6:23" ht="25" customHeight="1">
      <c r="F234" s="53"/>
      <c r="H234" s="55" t="e">
        <f>tbl_Grind[[#This Row],[Qty Complete]]/tbl_Grind[[#This Row],[Qty Required]]</f>
        <v>#DIV/0!</v>
      </c>
      <c r="K234" s="57" t="str">
        <f>IFERROR(tbl_Grind[[#This Row],[Qty Required]]/tbl_Grind[[#This Row],[PPH]]*tbl_Grind[[#This Row],['# of men]],"")</f>
        <v/>
      </c>
      <c r="L234" s="58" t="e">
        <f>tbl_Grind[[#This Row],[Total hours]]*tbl_Grind[[#This Row],[% Complete]]</f>
        <v>#VALUE!</v>
      </c>
      <c r="M234" s="59" t="str">
        <f>IFERROR(tbl_Grind[[#This Row],[Qty Complete]]/tbl_Grind[[#This Row],[Total Hours Act]]*tbl_Grind[[#This Row],['# of men Act]],"")</f>
        <v/>
      </c>
      <c r="O234"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34" s="71" t="str">
        <f>IFERROR((tbl_Grind[[#This Row],[Adj. Total Hours]]+tbl_Grind[[#This Row],[Est. Hours]])/(tbl_Grind[[#This Row],[Total Hours Act]]+tbl_Grind[[#This Row],[Act. Hours]]),"")</f>
        <v/>
      </c>
      <c r="S234" s="63"/>
      <c r="T234" s="63"/>
      <c r="U234" s="63"/>
      <c r="V234" s="63"/>
      <c r="W234" s="63"/>
    </row>
    <row r="235" spans="6:23" ht="25" customHeight="1">
      <c r="F235" s="53"/>
      <c r="H235" s="55" t="e">
        <f>tbl_Grind[[#This Row],[Qty Complete]]/tbl_Grind[[#This Row],[Qty Required]]</f>
        <v>#DIV/0!</v>
      </c>
      <c r="K235" s="57" t="str">
        <f>IFERROR(tbl_Grind[[#This Row],[Qty Required]]/tbl_Grind[[#This Row],[PPH]]*tbl_Grind[[#This Row],['# of men]],"")</f>
        <v/>
      </c>
      <c r="L235" s="58" t="e">
        <f>tbl_Grind[[#This Row],[Total hours]]*tbl_Grind[[#This Row],[% Complete]]</f>
        <v>#VALUE!</v>
      </c>
      <c r="M235" s="59" t="str">
        <f>IFERROR(tbl_Grind[[#This Row],[Qty Complete]]/tbl_Grind[[#This Row],[Total Hours Act]]*tbl_Grind[[#This Row],['# of men Act]],"")</f>
        <v/>
      </c>
      <c r="O235"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35" s="71" t="str">
        <f>IFERROR((tbl_Grind[[#This Row],[Adj. Total Hours]]+tbl_Grind[[#This Row],[Est. Hours]])/(tbl_Grind[[#This Row],[Total Hours Act]]+tbl_Grind[[#This Row],[Act. Hours]]),"")</f>
        <v/>
      </c>
      <c r="S235" s="63"/>
      <c r="T235" s="63"/>
      <c r="U235" s="63"/>
      <c r="V235" s="63"/>
      <c r="W235" s="63"/>
    </row>
    <row r="236" spans="6:23" ht="25" customHeight="1">
      <c r="F236" s="53"/>
      <c r="H236" s="55" t="e">
        <f>tbl_Grind[[#This Row],[Qty Complete]]/tbl_Grind[[#This Row],[Qty Required]]</f>
        <v>#DIV/0!</v>
      </c>
      <c r="K236" s="57" t="str">
        <f>IFERROR(tbl_Grind[[#This Row],[Qty Required]]/tbl_Grind[[#This Row],[PPH]]*tbl_Grind[[#This Row],['# of men]],"")</f>
        <v/>
      </c>
      <c r="L236" s="58" t="e">
        <f>tbl_Grind[[#This Row],[Total hours]]*tbl_Grind[[#This Row],[% Complete]]</f>
        <v>#VALUE!</v>
      </c>
      <c r="M236" s="59" t="str">
        <f>IFERROR(tbl_Grind[[#This Row],[Qty Complete]]/tbl_Grind[[#This Row],[Total Hours Act]]*tbl_Grind[[#This Row],['# of men Act]],"")</f>
        <v/>
      </c>
      <c r="O236"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36" s="71" t="str">
        <f>IFERROR((tbl_Grind[[#This Row],[Adj. Total Hours]]+tbl_Grind[[#This Row],[Est. Hours]])/(tbl_Grind[[#This Row],[Total Hours Act]]+tbl_Grind[[#This Row],[Act. Hours]]),"")</f>
        <v/>
      </c>
      <c r="S236" s="63"/>
      <c r="T236" s="63"/>
      <c r="U236" s="63"/>
      <c r="V236" s="63"/>
      <c r="W236" s="63"/>
    </row>
    <row r="237" spans="6:23" ht="25" customHeight="1">
      <c r="F237" s="53"/>
      <c r="H237" s="55" t="e">
        <f>tbl_Grind[[#This Row],[Qty Complete]]/tbl_Grind[[#This Row],[Qty Required]]</f>
        <v>#DIV/0!</v>
      </c>
      <c r="K237" s="57" t="str">
        <f>IFERROR(tbl_Grind[[#This Row],[Qty Required]]/tbl_Grind[[#This Row],[PPH]]*tbl_Grind[[#This Row],['# of men]],"")</f>
        <v/>
      </c>
      <c r="L237" s="58" t="e">
        <f>tbl_Grind[[#This Row],[Total hours]]*tbl_Grind[[#This Row],[% Complete]]</f>
        <v>#VALUE!</v>
      </c>
      <c r="M237" s="59" t="str">
        <f>IFERROR(tbl_Grind[[#This Row],[Qty Complete]]/tbl_Grind[[#This Row],[Total Hours Act]]*tbl_Grind[[#This Row],['# of men Act]],"")</f>
        <v/>
      </c>
      <c r="O237"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37" s="71" t="str">
        <f>IFERROR((tbl_Grind[[#This Row],[Adj. Total Hours]]+tbl_Grind[[#This Row],[Est. Hours]])/(tbl_Grind[[#This Row],[Total Hours Act]]+tbl_Grind[[#This Row],[Act. Hours]]),"")</f>
        <v/>
      </c>
      <c r="S237" s="63"/>
      <c r="T237" s="63"/>
      <c r="U237" s="63"/>
      <c r="V237" s="63"/>
      <c r="W237" s="63"/>
    </row>
    <row r="238" spans="6:23" ht="25" customHeight="1">
      <c r="F238" s="53"/>
      <c r="H238" s="55" t="e">
        <f>tbl_Grind[[#This Row],[Qty Complete]]/tbl_Grind[[#This Row],[Qty Required]]</f>
        <v>#DIV/0!</v>
      </c>
      <c r="K238" s="57" t="str">
        <f>IFERROR(tbl_Grind[[#This Row],[Qty Required]]/tbl_Grind[[#This Row],[PPH]]*tbl_Grind[[#This Row],['# of men]],"")</f>
        <v/>
      </c>
      <c r="L238" s="58" t="e">
        <f>tbl_Grind[[#This Row],[Total hours]]*tbl_Grind[[#This Row],[% Complete]]</f>
        <v>#VALUE!</v>
      </c>
      <c r="M238" s="59" t="str">
        <f>IFERROR(tbl_Grind[[#This Row],[Qty Complete]]/tbl_Grind[[#This Row],[Total Hours Act]]*tbl_Grind[[#This Row],['# of men Act]],"")</f>
        <v/>
      </c>
      <c r="O238"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38" s="71" t="str">
        <f>IFERROR((tbl_Grind[[#This Row],[Adj. Total Hours]]+tbl_Grind[[#This Row],[Est. Hours]])/(tbl_Grind[[#This Row],[Total Hours Act]]+tbl_Grind[[#This Row],[Act. Hours]]),"")</f>
        <v/>
      </c>
      <c r="S238" s="63"/>
      <c r="T238" s="63"/>
      <c r="U238" s="63"/>
      <c r="V238" s="63"/>
      <c r="W238" s="63"/>
    </row>
    <row r="239" spans="6:23" ht="25" customHeight="1">
      <c r="F239" s="53"/>
      <c r="H239" s="55" t="e">
        <f>tbl_Grind[[#This Row],[Qty Complete]]/tbl_Grind[[#This Row],[Qty Required]]</f>
        <v>#DIV/0!</v>
      </c>
      <c r="K239" s="57" t="str">
        <f>IFERROR(tbl_Grind[[#This Row],[Qty Required]]/tbl_Grind[[#This Row],[PPH]]*tbl_Grind[[#This Row],['# of men]],"")</f>
        <v/>
      </c>
      <c r="L239" s="58" t="e">
        <f>tbl_Grind[[#This Row],[Total hours]]*tbl_Grind[[#This Row],[% Complete]]</f>
        <v>#VALUE!</v>
      </c>
      <c r="M239" s="59" t="str">
        <f>IFERROR(tbl_Grind[[#This Row],[Qty Complete]]/tbl_Grind[[#This Row],[Total Hours Act]]*tbl_Grind[[#This Row],['# of men Act]],"")</f>
        <v/>
      </c>
      <c r="O239"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39" s="71" t="str">
        <f>IFERROR((tbl_Grind[[#This Row],[Adj. Total Hours]]+tbl_Grind[[#This Row],[Est. Hours]])/(tbl_Grind[[#This Row],[Total Hours Act]]+tbl_Grind[[#This Row],[Act. Hours]]),"")</f>
        <v/>
      </c>
      <c r="S239" s="63"/>
      <c r="T239" s="63"/>
      <c r="U239" s="63"/>
      <c r="V239" s="63"/>
      <c r="W239" s="63"/>
    </row>
    <row r="240" spans="6:23" ht="25" customHeight="1">
      <c r="F240" s="53"/>
      <c r="H240" s="55" t="e">
        <f>tbl_Grind[[#This Row],[Qty Complete]]/tbl_Grind[[#This Row],[Qty Required]]</f>
        <v>#DIV/0!</v>
      </c>
      <c r="K240" s="57" t="str">
        <f>IFERROR(tbl_Grind[[#This Row],[Qty Required]]/tbl_Grind[[#This Row],[PPH]]*tbl_Grind[[#This Row],['# of men]],"")</f>
        <v/>
      </c>
      <c r="L240" s="58" t="e">
        <f>tbl_Grind[[#This Row],[Total hours]]*tbl_Grind[[#This Row],[% Complete]]</f>
        <v>#VALUE!</v>
      </c>
      <c r="M240" s="59" t="str">
        <f>IFERROR(tbl_Grind[[#This Row],[Qty Complete]]/tbl_Grind[[#This Row],[Total Hours Act]]*tbl_Grind[[#This Row],['# of men Act]],"")</f>
        <v/>
      </c>
      <c r="O240"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40" s="71" t="str">
        <f>IFERROR((tbl_Grind[[#This Row],[Adj. Total Hours]]+tbl_Grind[[#This Row],[Est. Hours]])/(tbl_Grind[[#This Row],[Total Hours Act]]+tbl_Grind[[#This Row],[Act. Hours]]),"")</f>
        <v/>
      </c>
      <c r="S240" s="63"/>
      <c r="T240" s="63"/>
      <c r="U240" s="63"/>
      <c r="V240" s="63"/>
      <c r="W240" s="63"/>
    </row>
    <row r="241" spans="6:23" ht="25" customHeight="1">
      <c r="F241" s="53"/>
      <c r="H241" s="55" t="e">
        <f>tbl_Grind[[#This Row],[Qty Complete]]/tbl_Grind[[#This Row],[Qty Required]]</f>
        <v>#DIV/0!</v>
      </c>
      <c r="K241" s="57" t="str">
        <f>IFERROR(tbl_Grind[[#This Row],[Qty Required]]/tbl_Grind[[#This Row],[PPH]]*tbl_Grind[[#This Row],['# of men]],"")</f>
        <v/>
      </c>
      <c r="L241" s="58" t="e">
        <f>tbl_Grind[[#This Row],[Total hours]]*tbl_Grind[[#This Row],[% Complete]]</f>
        <v>#VALUE!</v>
      </c>
      <c r="M241" s="59" t="str">
        <f>IFERROR(tbl_Grind[[#This Row],[Qty Complete]]/tbl_Grind[[#This Row],[Total Hours Act]]*tbl_Grind[[#This Row],['# of men Act]],"")</f>
        <v/>
      </c>
      <c r="O241"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41" s="71" t="str">
        <f>IFERROR((tbl_Grind[[#This Row],[Adj. Total Hours]]+tbl_Grind[[#This Row],[Est. Hours]])/(tbl_Grind[[#This Row],[Total Hours Act]]+tbl_Grind[[#This Row],[Act. Hours]]),"")</f>
        <v/>
      </c>
      <c r="S241" s="63"/>
      <c r="T241" s="63"/>
      <c r="U241" s="63"/>
      <c r="V241" s="63"/>
      <c r="W241" s="63"/>
    </row>
    <row r="242" spans="6:23" ht="25" customHeight="1">
      <c r="F242" s="53"/>
      <c r="H242" s="55" t="e">
        <f>tbl_Grind[[#This Row],[Qty Complete]]/tbl_Grind[[#This Row],[Qty Required]]</f>
        <v>#DIV/0!</v>
      </c>
      <c r="K242" s="57" t="str">
        <f>IFERROR(tbl_Grind[[#This Row],[Qty Required]]/tbl_Grind[[#This Row],[PPH]]*tbl_Grind[[#This Row],['# of men]],"")</f>
        <v/>
      </c>
      <c r="L242" s="58" t="e">
        <f>tbl_Grind[[#This Row],[Total hours]]*tbl_Grind[[#This Row],[% Complete]]</f>
        <v>#VALUE!</v>
      </c>
      <c r="M242" s="59" t="str">
        <f>IFERROR(tbl_Grind[[#This Row],[Qty Complete]]/tbl_Grind[[#This Row],[Total Hours Act]]*tbl_Grind[[#This Row],['# of men Act]],"")</f>
        <v/>
      </c>
      <c r="O242"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42" s="71" t="str">
        <f>IFERROR((tbl_Grind[[#This Row],[Adj. Total Hours]]+tbl_Grind[[#This Row],[Est. Hours]])/(tbl_Grind[[#This Row],[Total Hours Act]]+tbl_Grind[[#This Row],[Act. Hours]]),"")</f>
        <v/>
      </c>
      <c r="S242" s="63"/>
      <c r="T242" s="63"/>
      <c r="U242" s="63"/>
      <c r="V242" s="63"/>
      <c r="W242" s="63"/>
    </row>
    <row r="243" spans="6:23" ht="25" customHeight="1">
      <c r="F243" s="53"/>
      <c r="H243" s="55" t="e">
        <f>tbl_Grind[[#This Row],[Qty Complete]]/tbl_Grind[[#This Row],[Qty Required]]</f>
        <v>#DIV/0!</v>
      </c>
      <c r="K243" s="57" t="str">
        <f>IFERROR(tbl_Grind[[#This Row],[Qty Required]]/tbl_Grind[[#This Row],[PPH]]*tbl_Grind[[#This Row],['# of men]],"")</f>
        <v/>
      </c>
      <c r="L243" s="58" t="e">
        <f>tbl_Grind[[#This Row],[Total hours]]*tbl_Grind[[#This Row],[% Complete]]</f>
        <v>#VALUE!</v>
      </c>
      <c r="M243" s="59" t="str">
        <f>IFERROR(tbl_Grind[[#This Row],[Qty Complete]]/tbl_Grind[[#This Row],[Total Hours Act]]*tbl_Grind[[#This Row],['# of men Act]],"")</f>
        <v/>
      </c>
      <c r="O243"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43" s="71" t="str">
        <f>IFERROR((tbl_Grind[[#This Row],[Adj. Total Hours]]+tbl_Grind[[#This Row],[Est. Hours]])/(tbl_Grind[[#This Row],[Total Hours Act]]+tbl_Grind[[#This Row],[Act. Hours]]),"")</f>
        <v/>
      </c>
      <c r="S243" s="63"/>
      <c r="T243" s="63"/>
      <c r="U243" s="63"/>
      <c r="V243" s="63"/>
      <c r="W243" s="63"/>
    </row>
    <row r="244" spans="6:23" ht="25" customHeight="1">
      <c r="F244" s="53"/>
      <c r="H244" s="55" t="e">
        <f>tbl_Grind[[#This Row],[Qty Complete]]/tbl_Grind[[#This Row],[Qty Required]]</f>
        <v>#DIV/0!</v>
      </c>
      <c r="K244" s="57" t="str">
        <f>IFERROR(tbl_Grind[[#This Row],[Qty Required]]/tbl_Grind[[#This Row],[PPH]]*tbl_Grind[[#This Row],['# of men]],"")</f>
        <v/>
      </c>
      <c r="L244" s="58" t="e">
        <f>tbl_Grind[[#This Row],[Total hours]]*tbl_Grind[[#This Row],[% Complete]]</f>
        <v>#VALUE!</v>
      </c>
      <c r="M244" s="59" t="str">
        <f>IFERROR(tbl_Grind[[#This Row],[Qty Complete]]/tbl_Grind[[#This Row],[Total Hours Act]]*tbl_Grind[[#This Row],['# of men Act]],"")</f>
        <v/>
      </c>
      <c r="O244"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44" s="71" t="str">
        <f>IFERROR((tbl_Grind[[#This Row],[Adj. Total Hours]]+tbl_Grind[[#This Row],[Est. Hours]])/(tbl_Grind[[#This Row],[Total Hours Act]]+tbl_Grind[[#This Row],[Act. Hours]]),"")</f>
        <v/>
      </c>
      <c r="S244" s="63"/>
      <c r="T244" s="63"/>
      <c r="U244" s="63"/>
      <c r="V244" s="63"/>
      <c r="W244" s="63"/>
    </row>
    <row r="245" spans="6:23" ht="25" customHeight="1">
      <c r="F245" s="53"/>
      <c r="H245" s="55" t="e">
        <f>tbl_Grind[[#This Row],[Qty Complete]]/tbl_Grind[[#This Row],[Qty Required]]</f>
        <v>#DIV/0!</v>
      </c>
      <c r="K245" s="57" t="str">
        <f>IFERROR(tbl_Grind[[#This Row],[Qty Required]]/tbl_Grind[[#This Row],[PPH]]*tbl_Grind[[#This Row],['# of men]],"")</f>
        <v/>
      </c>
      <c r="L245" s="58" t="e">
        <f>tbl_Grind[[#This Row],[Total hours]]*tbl_Grind[[#This Row],[% Complete]]</f>
        <v>#VALUE!</v>
      </c>
      <c r="M245" s="59" t="str">
        <f>IFERROR(tbl_Grind[[#This Row],[Qty Complete]]/tbl_Grind[[#This Row],[Total Hours Act]]*tbl_Grind[[#This Row],['# of men Act]],"")</f>
        <v/>
      </c>
      <c r="O245"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45" s="71" t="str">
        <f>IFERROR((tbl_Grind[[#This Row],[Adj. Total Hours]]+tbl_Grind[[#This Row],[Est. Hours]])/(tbl_Grind[[#This Row],[Total Hours Act]]+tbl_Grind[[#This Row],[Act. Hours]]),"")</f>
        <v/>
      </c>
      <c r="S245" s="63"/>
      <c r="T245" s="63"/>
      <c r="U245" s="63"/>
      <c r="V245" s="63"/>
      <c r="W245" s="63"/>
    </row>
    <row r="246" spans="6:23" ht="25" customHeight="1">
      <c r="F246" s="53"/>
      <c r="H246" s="55" t="e">
        <f>tbl_Grind[[#This Row],[Qty Complete]]/tbl_Grind[[#This Row],[Qty Required]]</f>
        <v>#DIV/0!</v>
      </c>
      <c r="K246" s="57" t="str">
        <f>IFERROR(tbl_Grind[[#This Row],[Qty Required]]/tbl_Grind[[#This Row],[PPH]]*tbl_Grind[[#This Row],['# of men]],"")</f>
        <v/>
      </c>
      <c r="L246" s="58" t="e">
        <f>tbl_Grind[[#This Row],[Total hours]]*tbl_Grind[[#This Row],[% Complete]]</f>
        <v>#VALUE!</v>
      </c>
      <c r="M246" s="59" t="str">
        <f>IFERROR(tbl_Grind[[#This Row],[Qty Complete]]/tbl_Grind[[#This Row],[Total Hours Act]]*tbl_Grind[[#This Row],['# of men Act]],"")</f>
        <v/>
      </c>
      <c r="O246"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46" s="71" t="str">
        <f>IFERROR((tbl_Grind[[#This Row],[Adj. Total Hours]]+tbl_Grind[[#This Row],[Est. Hours]])/(tbl_Grind[[#This Row],[Total Hours Act]]+tbl_Grind[[#This Row],[Act. Hours]]),"")</f>
        <v/>
      </c>
      <c r="S246" s="63"/>
      <c r="T246" s="63"/>
      <c r="U246" s="63"/>
      <c r="V246" s="63"/>
      <c r="W246" s="63"/>
    </row>
    <row r="247" spans="6:23" ht="25" customHeight="1">
      <c r="F247" s="53"/>
      <c r="H247" s="55" t="e">
        <f>tbl_Grind[[#This Row],[Qty Complete]]/tbl_Grind[[#This Row],[Qty Required]]</f>
        <v>#DIV/0!</v>
      </c>
      <c r="K247" s="57" t="str">
        <f>IFERROR(tbl_Grind[[#This Row],[Qty Required]]/tbl_Grind[[#This Row],[PPH]]*tbl_Grind[[#This Row],['# of men]],"")</f>
        <v/>
      </c>
      <c r="L247" s="58" t="e">
        <f>tbl_Grind[[#This Row],[Total hours]]*tbl_Grind[[#This Row],[% Complete]]</f>
        <v>#VALUE!</v>
      </c>
      <c r="M247" s="59" t="str">
        <f>IFERROR(tbl_Grind[[#This Row],[Qty Complete]]/tbl_Grind[[#This Row],[Total Hours Act]]*tbl_Grind[[#This Row],['# of men Act]],"")</f>
        <v/>
      </c>
      <c r="O247"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47" s="71" t="str">
        <f>IFERROR((tbl_Grind[[#This Row],[Adj. Total Hours]]+tbl_Grind[[#This Row],[Est. Hours]])/(tbl_Grind[[#This Row],[Total Hours Act]]+tbl_Grind[[#This Row],[Act. Hours]]),"")</f>
        <v/>
      </c>
      <c r="S247" s="63"/>
      <c r="T247" s="63"/>
      <c r="U247" s="63"/>
      <c r="V247" s="63"/>
      <c r="W247" s="63"/>
    </row>
    <row r="248" spans="6:23" ht="25" customHeight="1">
      <c r="F248" s="53"/>
      <c r="H248" s="55" t="e">
        <f>tbl_Grind[[#This Row],[Qty Complete]]/tbl_Grind[[#This Row],[Qty Required]]</f>
        <v>#DIV/0!</v>
      </c>
      <c r="K248" s="57" t="str">
        <f>IFERROR(tbl_Grind[[#This Row],[Qty Required]]/tbl_Grind[[#This Row],[PPH]]*tbl_Grind[[#This Row],['# of men]],"")</f>
        <v/>
      </c>
      <c r="L248" s="58" t="e">
        <f>tbl_Grind[[#This Row],[Total hours]]*tbl_Grind[[#This Row],[% Complete]]</f>
        <v>#VALUE!</v>
      </c>
      <c r="M248" s="59" t="str">
        <f>IFERROR(tbl_Grind[[#This Row],[Qty Complete]]/tbl_Grind[[#This Row],[Total Hours Act]]*tbl_Grind[[#This Row],['# of men Act]],"")</f>
        <v/>
      </c>
      <c r="O248"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48" s="71" t="str">
        <f>IFERROR((tbl_Grind[[#This Row],[Adj. Total Hours]]+tbl_Grind[[#This Row],[Est. Hours]])/(tbl_Grind[[#This Row],[Total Hours Act]]+tbl_Grind[[#This Row],[Act. Hours]]),"")</f>
        <v/>
      </c>
      <c r="S248" s="63"/>
      <c r="T248" s="63"/>
      <c r="U248" s="63"/>
      <c r="V248" s="63"/>
      <c r="W248" s="63"/>
    </row>
    <row r="249" spans="6:23" ht="25" customHeight="1">
      <c r="F249" s="53"/>
      <c r="H249" s="55" t="e">
        <f>tbl_Grind[[#This Row],[Qty Complete]]/tbl_Grind[[#This Row],[Qty Required]]</f>
        <v>#DIV/0!</v>
      </c>
      <c r="K249" s="57" t="str">
        <f>IFERROR(tbl_Grind[[#This Row],[Qty Required]]/tbl_Grind[[#This Row],[PPH]]*tbl_Grind[[#This Row],['# of men]],"")</f>
        <v/>
      </c>
      <c r="L249" s="58" t="e">
        <f>tbl_Grind[[#This Row],[Total hours]]*tbl_Grind[[#This Row],[% Complete]]</f>
        <v>#VALUE!</v>
      </c>
      <c r="M249" s="59" t="str">
        <f>IFERROR(tbl_Grind[[#This Row],[Qty Complete]]/tbl_Grind[[#This Row],[Total Hours Act]]*tbl_Grind[[#This Row],['# of men Act]],"")</f>
        <v/>
      </c>
      <c r="O249"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49" s="71" t="str">
        <f>IFERROR((tbl_Grind[[#This Row],[Adj. Total Hours]]+tbl_Grind[[#This Row],[Est. Hours]])/(tbl_Grind[[#This Row],[Total Hours Act]]+tbl_Grind[[#This Row],[Act. Hours]]),"")</f>
        <v/>
      </c>
      <c r="S249" s="63"/>
      <c r="T249" s="63"/>
      <c r="U249" s="63"/>
      <c r="V249" s="63"/>
      <c r="W249" s="63"/>
    </row>
    <row r="250" spans="6:23" ht="25" customHeight="1">
      <c r="F250" s="53"/>
      <c r="H250" s="55" t="e">
        <f>tbl_Grind[[#This Row],[Qty Complete]]/tbl_Grind[[#This Row],[Qty Required]]</f>
        <v>#DIV/0!</v>
      </c>
      <c r="K250" s="57" t="str">
        <f>IFERROR(tbl_Grind[[#This Row],[Qty Required]]/tbl_Grind[[#This Row],[PPH]]*tbl_Grind[[#This Row],['# of men]],"")</f>
        <v/>
      </c>
      <c r="L250" s="58" t="e">
        <f>tbl_Grind[[#This Row],[Total hours]]*tbl_Grind[[#This Row],[% Complete]]</f>
        <v>#VALUE!</v>
      </c>
      <c r="M250" s="59" t="str">
        <f>IFERROR(tbl_Grind[[#This Row],[Qty Complete]]/tbl_Grind[[#This Row],[Total Hours Act]]*tbl_Grind[[#This Row],['# of men Act]],"")</f>
        <v/>
      </c>
      <c r="O250" s="60">
        <f>(MOD(tbl_Grind[[#This Row],[End Time]]-tbl_Grind[[#This Row],[Start Time]],1)*24*tbl_Grind[[#This Row],['# of men Act]])-
(
IF(AND(tbl_Grind[[#This Row],[Start Time]]&lt;=Data!$B$2+(Data!$B$2&lt;tbl_Grind[[#This Row],[Start Time]]),tbl_Grind[[#This Row],[Start Time]]+MOD(tbl_Grind[[#This Row],[End Time]]-tbl_Grind[[#This Row],[Start Time]],1)&gt;=Data!$C$2+(Data!$C$2&lt;tbl_Grind[[#This Row],[Start Time]])),0.5*tbl_Grind[[#This Row],['# of men Act]],0)
+
IF(AND(tbl_Grind[[#This Row],[Start Time]]&lt;=Data!$B$3+(Data!$B$3&lt;tbl_Grind[[#This Row],[Start Time]]),tbl_Grind[[#This Row],[Start Time]]+MOD(tbl_Grind[[#This Row],[End Time]]-tbl_Grind[[#This Row],[Start Time]],1)&gt;=Data!$C$3+(Data!$C$3&lt;tbl_Grind[[#This Row],[Start Time]])),0.5*tbl_Grind[[#This Row],['# of men Act]],0)
)</f>
        <v>0</v>
      </c>
      <c r="R250" s="71" t="str">
        <f>IFERROR((tbl_Grind[[#This Row],[Adj. Total Hours]]+tbl_Grind[[#This Row],[Est. Hours]])/(tbl_Grind[[#This Row],[Total Hours Act]]+tbl_Grind[[#This Row],[Act. Hours]]),"")</f>
        <v/>
      </c>
      <c r="S250" s="63"/>
      <c r="T250" s="63"/>
      <c r="U250" s="63"/>
      <c r="V250" s="63"/>
      <c r="W250" s="63"/>
    </row>
  </sheetData>
  <sheetProtection sheet="1" objects="1" scenarios="1"/>
  <protectedRanges>
    <protectedRange sqref="A1:G1048576 I1:J1048576 N1:N1048576 P1:Q1048576 S1:W1048576" name="Range1"/>
  </protectedRanges>
  <mergeCells count="1">
    <mergeCell ref="P1:Q1"/>
  </mergeCells>
  <conditionalFormatting sqref="R3:R3852">
    <cfRule type="expression" dxfId="14" priority="1">
      <formula>AND(R3&gt;0.85,R3&lt;&gt;"")</formula>
    </cfRule>
    <cfRule type="expression" dxfId="13" priority="2">
      <formula>AND(R3&gt;=0.7,R3&lt;=0.85,R3&lt;&gt;"")</formula>
    </cfRule>
    <cfRule type="expression" dxfId="12" priority="3">
      <formula>AND(R3&lt;0.7,R3&lt;&gt;"")</formula>
    </cfRule>
  </conditionalFormatting>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9384D-BE06-454C-BE6D-67DC385A7D01}">
  <dimension ref="A1:X250"/>
  <sheetViews>
    <sheetView workbookViewId="0">
      <pane ySplit="2" topLeftCell="A3" activePane="bottomLeft" state="frozen"/>
      <selection pane="bottomLeft" activeCell="A3" sqref="A3"/>
    </sheetView>
  </sheetViews>
  <sheetFormatPr defaultColWidth="9.1796875" defaultRowHeight="25" customHeight="1"/>
  <cols>
    <col min="1" max="1" width="11.54296875" style="52" customWidth="1"/>
    <col min="2" max="2" width="13.1796875" style="53" customWidth="1"/>
    <col min="3" max="3" width="14.1796875" style="53" customWidth="1"/>
    <col min="4" max="4" width="15.54296875" style="54" bestFit="1" customWidth="1"/>
    <col min="5" max="5" width="14.7265625" style="54" bestFit="1" customWidth="1"/>
    <col min="6" max="6" width="18.26953125" style="54" bestFit="1" customWidth="1"/>
    <col min="7" max="7" width="19" style="53" bestFit="1" customWidth="1"/>
    <col min="8" max="8" width="19" style="53" hidden="1" customWidth="1"/>
    <col min="9" max="9" width="10.1796875" style="56" bestFit="1" customWidth="1"/>
    <col min="10" max="10" width="14" style="53" bestFit="1" customWidth="1"/>
    <col min="11" max="11" width="16.453125" style="66" bestFit="1" customWidth="1"/>
    <col min="12" max="12" width="16.453125" style="47" hidden="1" customWidth="1"/>
    <col min="13" max="13" width="13.453125" style="67" bestFit="1" customWidth="1"/>
    <col min="14" max="14" width="17.26953125" style="53" bestFit="1" customWidth="1"/>
    <col min="15" max="15" width="20.1796875" style="68" bestFit="1" customWidth="1"/>
    <col min="16" max="17" width="15.7265625" style="61" bestFit="1" customWidth="1"/>
    <col min="18" max="18" width="15.1796875" style="73" bestFit="1" customWidth="1"/>
    <col min="19" max="19" width="18" style="47" customWidth="1"/>
    <col min="20" max="20" width="55.26953125" style="94" customWidth="1"/>
    <col min="21" max="24" width="16.81640625" style="53" bestFit="1" customWidth="1"/>
    <col min="25" max="16384" width="9.1796875" style="47"/>
  </cols>
  <sheetData>
    <row r="1" spans="1:24" ht="47.25" customHeight="1">
      <c r="A1" s="8"/>
      <c r="B1" s="7"/>
      <c r="C1" s="7"/>
      <c r="D1" s="9"/>
      <c r="E1" s="9"/>
      <c r="F1" s="9"/>
      <c r="G1" s="7"/>
      <c r="H1" s="7"/>
      <c r="I1" s="13"/>
      <c r="J1" s="40" t="s">
        <v>0</v>
      </c>
      <c r="K1" s="46"/>
      <c r="L1" s="46"/>
      <c r="M1" s="4"/>
      <c r="N1" s="41" t="s">
        <v>1</v>
      </c>
      <c r="O1" s="5"/>
      <c r="P1" s="113" t="s">
        <v>2</v>
      </c>
      <c r="Q1" s="114"/>
      <c r="R1" s="126" t="s">
        <v>3</v>
      </c>
      <c r="S1" s="126"/>
      <c r="T1" s="91"/>
      <c r="U1" s="7"/>
      <c r="V1" s="7"/>
      <c r="W1" s="7"/>
      <c r="X1" s="7"/>
    </row>
    <row r="2" spans="1:24" ht="17">
      <c r="A2" s="10" t="s">
        <v>4</v>
      </c>
      <c r="B2" s="6" t="s">
        <v>5</v>
      </c>
      <c r="C2" s="6" t="s">
        <v>7</v>
      </c>
      <c r="D2" s="11" t="s">
        <v>8</v>
      </c>
      <c r="E2" s="11" t="s">
        <v>9</v>
      </c>
      <c r="F2" s="11" t="s">
        <v>10</v>
      </c>
      <c r="G2" s="6" t="s">
        <v>11</v>
      </c>
      <c r="H2" s="48" t="s">
        <v>12</v>
      </c>
      <c r="I2" s="12" t="s">
        <v>13</v>
      </c>
      <c r="J2" s="6" t="s">
        <v>14</v>
      </c>
      <c r="K2" s="49" t="s">
        <v>15</v>
      </c>
      <c r="L2" s="50" t="s">
        <v>16</v>
      </c>
      <c r="M2" s="2" t="s">
        <v>21</v>
      </c>
      <c r="N2" s="6" t="s">
        <v>22</v>
      </c>
      <c r="O2" s="3" t="s">
        <v>23</v>
      </c>
      <c r="P2" s="25" t="s">
        <v>25</v>
      </c>
      <c r="Q2" s="25" t="s">
        <v>26</v>
      </c>
      <c r="R2" s="51" t="s">
        <v>27</v>
      </c>
      <c r="S2" s="87" t="s">
        <v>28</v>
      </c>
      <c r="T2" s="92" t="s">
        <v>31</v>
      </c>
      <c r="U2" s="6" t="s">
        <v>32</v>
      </c>
      <c r="V2" s="6" t="s">
        <v>33</v>
      </c>
      <c r="W2" s="6" t="s">
        <v>34</v>
      </c>
      <c r="X2" s="6" t="s">
        <v>35</v>
      </c>
    </row>
    <row r="3" spans="1:24" ht="25" customHeight="1">
      <c r="F3" s="53"/>
      <c r="H3" s="55" t="e">
        <f>tbl_RobotWeld[[#This Row],[Qty Complete]]/tbl_RobotWeld[[#This Row],[Qty Required]]</f>
        <v>#DIV/0!</v>
      </c>
      <c r="K3" s="57" t="str">
        <f>IFERROR(tbl_RobotWeld[[#This Row],[Qty Required]]/tbl_RobotWeld[[#This Row],[PPH]]*tbl_RobotWeld[[#This Row],['# of men]],"")</f>
        <v/>
      </c>
      <c r="L3" s="58" t="e">
        <f>tbl_RobotWeld[[#This Row],[Total hours]]*tbl_RobotWeld[[#This Row],[% Complete]]</f>
        <v>#VALUE!</v>
      </c>
      <c r="M3" s="59" t="str">
        <f>IFERROR(tbl_RobotWeld[[#This Row],[Qty Complete]]/tbl_RobotWeld[[#This Row],[Total Hours Act]]*tbl_RobotWeld[[#This Row],['# of men Act]],"")</f>
        <v/>
      </c>
      <c r="O3"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3" s="72" t="str">
        <f>IFERROR((tbl_RobotWeld[[#This Row],[Adj. Total Hours]]+tbl_RobotWeld[[#This Row],[Est. Hours]])/(tbl_RobotWeld[[#This Row],[Total Hours Act]]+tbl_RobotWeld[[#This Row],[Act. Hours]]),"")</f>
        <v/>
      </c>
      <c r="S3" s="88"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3" s="93"/>
      <c r="U3" s="64"/>
      <c r="V3" s="65"/>
      <c r="W3" s="63"/>
      <c r="X3" s="63"/>
    </row>
    <row r="4" spans="1:24" ht="25" customHeight="1">
      <c r="F4" s="53"/>
      <c r="H4" s="55" t="e">
        <f>tbl_RobotWeld[[#This Row],[Qty Complete]]/tbl_RobotWeld[[#This Row],[Qty Required]]</f>
        <v>#DIV/0!</v>
      </c>
      <c r="K4" s="57" t="str">
        <f>IFERROR(tbl_RobotWeld[[#This Row],[Qty Required]]/tbl_RobotWeld[[#This Row],[PPH]]*tbl_RobotWeld[[#This Row],['# of men]],"")</f>
        <v/>
      </c>
      <c r="L4" s="58" t="e">
        <f>tbl_RobotWeld[[#This Row],[Total hours]]*tbl_RobotWeld[[#This Row],[% Complete]]</f>
        <v>#VALUE!</v>
      </c>
      <c r="M4" s="59" t="str">
        <f>IFERROR(tbl_RobotWeld[[#This Row],[Qty Complete]]/tbl_RobotWeld[[#This Row],[Total Hours Act]]*tbl_RobotWeld[[#This Row],['# of men Act]],"")</f>
        <v/>
      </c>
      <c r="O4"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4" s="90" t="str">
        <f>IFERROR((tbl_RobotWeld[[#This Row],[Adj. Total Hours]]+tbl_RobotWeld[[#This Row],[Est. Hours]])/(tbl_RobotWeld[[#This Row],[Total Hours Act]]+tbl_RobotWeld[[#This Row],[Act. Hours]]),"")</f>
        <v/>
      </c>
      <c r="S4"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4" s="93"/>
      <c r="U4" s="63"/>
      <c r="V4" s="63"/>
      <c r="W4" s="63"/>
      <c r="X4" s="63"/>
    </row>
    <row r="5" spans="1:24" ht="25" customHeight="1">
      <c r="F5" s="53"/>
      <c r="H5" s="55" t="e">
        <f>tbl_RobotWeld[[#This Row],[Qty Complete]]/tbl_RobotWeld[[#This Row],[Qty Required]]</f>
        <v>#DIV/0!</v>
      </c>
      <c r="K5" s="57" t="str">
        <f>IFERROR(tbl_RobotWeld[[#This Row],[Qty Required]]/tbl_RobotWeld[[#This Row],[PPH]]*tbl_RobotWeld[[#This Row],['# of men]],"")</f>
        <v/>
      </c>
      <c r="L5" s="58" t="e">
        <f>tbl_RobotWeld[[#This Row],[Total hours]]*tbl_RobotWeld[[#This Row],[% Complete]]</f>
        <v>#VALUE!</v>
      </c>
      <c r="M5" s="59" t="str">
        <f>IFERROR(tbl_RobotWeld[[#This Row],[Qty Complete]]/tbl_RobotWeld[[#This Row],[Total Hours Act]]*tbl_RobotWeld[[#This Row],['# of men Act]],"")</f>
        <v/>
      </c>
      <c r="O5"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5" s="90" t="str">
        <f>IFERROR((tbl_RobotWeld[[#This Row],[Adj. Total Hours]]+tbl_RobotWeld[[#This Row],[Est. Hours]])/(tbl_RobotWeld[[#This Row],[Total Hours Act]]+tbl_RobotWeld[[#This Row],[Act. Hours]]),"")</f>
        <v/>
      </c>
      <c r="S5"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5" s="93"/>
      <c r="U5" s="63"/>
      <c r="V5" s="63"/>
      <c r="W5" s="63"/>
      <c r="X5" s="63"/>
    </row>
    <row r="6" spans="1:24" ht="25" customHeight="1">
      <c r="F6" s="53"/>
      <c r="H6" s="55" t="e">
        <f>tbl_RobotWeld[[#This Row],[Qty Complete]]/tbl_RobotWeld[[#This Row],[Qty Required]]</f>
        <v>#DIV/0!</v>
      </c>
      <c r="K6" s="57" t="str">
        <f>IFERROR(tbl_RobotWeld[[#This Row],[Qty Required]]/tbl_RobotWeld[[#This Row],[PPH]]*tbl_RobotWeld[[#This Row],['# of men]],"")</f>
        <v/>
      </c>
      <c r="L6" s="58" t="e">
        <f>tbl_RobotWeld[[#This Row],[Total hours]]*tbl_RobotWeld[[#This Row],[% Complete]]</f>
        <v>#VALUE!</v>
      </c>
      <c r="M6" s="59" t="str">
        <f>IFERROR(tbl_RobotWeld[[#This Row],[Qty Complete]]/tbl_RobotWeld[[#This Row],[Total Hours Act]]*tbl_RobotWeld[[#This Row],['# of men Act]],"")</f>
        <v/>
      </c>
      <c r="O6"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6" s="90" t="str">
        <f>IFERROR((tbl_RobotWeld[[#This Row],[Adj. Total Hours]]+tbl_RobotWeld[[#This Row],[Est. Hours]])/(tbl_RobotWeld[[#This Row],[Total Hours Act]]+tbl_RobotWeld[[#This Row],[Act. Hours]]),"")</f>
        <v/>
      </c>
      <c r="S6"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6" s="93"/>
      <c r="U6" s="63"/>
      <c r="V6" s="63"/>
      <c r="W6" s="63"/>
      <c r="X6" s="63"/>
    </row>
    <row r="7" spans="1:24" ht="25" customHeight="1">
      <c r="F7" s="53"/>
      <c r="H7" s="55" t="e">
        <f>tbl_RobotWeld[[#This Row],[Qty Complete]]/tbl_RobotWeld[[#This Row],[Qty Required]]</f>
        <v>#DIV/0!</v>
      </c>
      <c r="K7" s="57" t="str">
        <f>IFERROR(tbl_RobotWeld[[#This Row],[Qty Required]]/tbl_RobotWeld[[#This Row],[PPH]]*tbl_RobotWeld[[#This Row],['# of men]],"")</f>
        <v/>
      </c>
      <c r="L7" s="58" t="e">
        <f>tbl_RobotWeld[[#This Row],[Total hours]]*tbl_RobotWeld[[#This Row],[% Complete]]</f>
        <v>#VALUE!</v>
      </c>
      <c r="M7" s="59" t="str">
        <f>IFERROR(tbl_RobotWeld[[#This Row],[Qty Complete]]/tbl_RobotWeld[[#This Row],[Total Hours Act]]*tbl_RobotWeld[[#This Row],['# of men Act]],"")</f>
        <v/>
      </c>
      <c r="O7"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7" s="90" t="str">
        <f>IFERROR((tbl_RobotWeld[[#This Row],[Adj. Total Hours]]+tbl_RobotWeld[[#This Row],[Est. Hours]])/(tbl_RobotWeld[[#This Row],[Total Hours Act]]+tbl_RobotWeld[[#This Row],[Act. Hours]]),"")</f>
        <v/>
      </c>
      <c r="S7"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7" s="93"/>
      <c r="U7" s="63"/>
      <c r="V7" s="63"/>
      <c r="W7" s="63"/>
      <c r="X7" s="63"/>
    </row>
    <row r="8" spans="1:24" ht="25" customHeight="1">
      <c r="F8" s="53"/>
      <c r="H8" s="55" t="e">
        <f>tbl_RobotWeld[[#This Row],[Qty Complete]]/tbl_RobotWeld[[#This Row],[Qty Required]]</f>
        <v>#DIV/0!</v>
      </c>
      <c r="K8" s="57" t="str">
        <f>IFERROR(tbl_RobotWeld[[#This Row],[Qty Required]]/tbl_RobotWeld[[#This Row],[PPH]]*tbl_RobotWeld[[#This Row],['# of men]],"")</f>
        <v/>
      </c>
      <c r="L8" s="58" t="e">
        <f>tbl_RobotWeld[[#This Row],[Total hours]]*tbl_RobotWeld[[#This Row],[% Complete]]</f>
        <v>#VALUE!</v>
      </c>
      <c r="M8" s="59" t="str">
        <f>IFERROR(tbl_RobotWeld[[#This Row],[Qty Complete]]/tbl_RobotWeld[[#This Row],[Total Hours Act]]*tbl_RobotWeld[[#This Row],['# of men Act]],"")</f>
        <v/>
      </c>
      <c r="O8"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8" s="90" t="str">
        <f>IFERROR((tbl_RobotWeld[[#This Row],[Adj. Total Hours]]+tbl_RobotWeld[[#This Row],[Est. Hours]])/(tbl_RobotWeld[[#This Row],[Total Hours Act]]+tbl_RobotWeld[[#This Row],[Act. Hours]]),"")</f>
        <v/>
      </c>
      <c r="S8"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8" s="93"/>
      <c r="U8" s="63"/>
      <c r="V8" s="63"/>
      <c r="W8" s="63"/>
      <c r="X8" s="63"/>
    </row>
    <row r="9" spans="1:24" ht="25" customHeight="1">
      <c r="F9" s="53"/>
      <c r="H9" s="55" t="e">
        <f>tbl_RobotWeld[[#This Row],[Qty Complete]]/tbl_RobotWeld[[#This Row],[Qty Required]]</f>
        <v>#DIV/0!</v>
      </c>
      <c r="K9" s="57" t="str">
        <f>IFERROR(tbl_RobotWeld[[#This Row],[Qty Required]]/tbl_RobotWeld[[#This Row],[PPH]]*tbl_RobotWeld[[#This Row],['# of men]],"")</f>
        <v/>
      </c>
      <c r="L9" s="58" t="e">
        <f>tbl_RobotWeld[[#This Row],[Total hours]]*tbl_RobotWeld[[#This Row],[% Complete]]</f>
        <v>#VALUE!</v>
      </c>
      <c r="M9" s="59" t="str">
        <f>IFERROR(tbl_RobotWeld[[#This Row],[Qty Complete]]/tbl_RobotWeld[[#This Row],[Total Hours Act]]*tbl_RobotWeld[[#This Row],['# of men Act]],"")</f>
        <v/>
      </c>
      <c r="O9"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9" s="90" t="str">
        <f>IFERROR((tbl_RobotWeld[[#This Row],[Adj. Total Hours]]+tbl_RobotWeld[[#This Row],[Est. Hours]])/(tbl_RobotWeld[[#This Row],[Total Hours Act]]+tbl_RobotWeld[[#This Row],[Act. Hours]]),"")</f>
        <v/>
      </c>
      <c r="S9"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9" s="93"/>
      <c r="U9" s="63"/>
      <c r="V9" s="63"/>
      <c r="W9" s="63"/>
      <c r="X9" s="63"/>
    </row>
    <row r="10" spans="1:24" ht="25" customHeight="1">
      <c r="F10" s="53"/>
      <c r="H10" s="55" t="e">
        <f>tbl_RobotWeld[[#This Row],[Qty Complete]]/tbl_RobotWeld[[#This Row],[Qty Required]]</f>
        <v>#DIV/0!</v>
      </c>
      <c r="K10" s="57" t="str">
        <f>IFERROR(tbl_RobotWeld[[#This Row],[Qty Required]]/tbl_RobotWeld[[#This Row],[PPH]]*tbl_RobotWeld[[#This Row],['# of men]],"")</f>
        <v/>
      </c>
      <c r="L10" s="58" t="e">
        <f>tbl_RobotWeld[[#This Row],[Total hours]]*tbl_RobotWeld[[#This Row],[% Complete]]</f>
        <v>#VALUE!</v>
      </c>
      <c r="M10" s="59" t="str">
        <f>IFERROR(tbl_RobotWeld[[#This Row],[Qty Complete]]/tbl_RobotWeld[[#This Row],[Total Hours Act]]*tbl_RobotWeld[[#This Row],['# of men Act]],"")</f>
        <v/>
      </c>
      <c r="O10"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0" s="90" t="str">
        <f>IFERROR((tbl_RobotWeld[[#This Row],[Adj. Total Hours]]+tbl_RobotWeld[[#This Row],[Est. Hours]])/(tbl_RobotWeld[[#This Row],[Total Hours Act]]+tbl_RobotWeld[[#This Row],[Act. Hours]]),"")</f>
        <v/>
      </c>
      <c r="S10"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0" s="93"/>
      <c r="U10" s="63"/>
      <c r="V10" s="63"/>
      <c r="W10" s="63"/>
      <c r="X10" s="63"/>
    </row>
    <row r="11" spans="1:24" ht="25" customHeight="1">
      <c r="F11" s="53"/>
      <c r="H11" s="55" t="e">
        <f>tbl_RobotWeld[[#This Row],[Qty Complete]]/tbl_RobotWeld[[#This Row],[Qty Required]]</f>
        <v>#DIV/0!</v>
      </c>
      <c r="K11" s="57" t="str">
        <f>IFERROR(tbl_RobotWeld[[#This Row],[Qty Required]]/tbl_RobotWeld[[#This Row],[PPH]]*tbl_RobotWeld[[#This Row],['# of men]],"")</f>
        <v/>
      </c>
      <c r="L11" s="58" t="e">
        <f>tbl_RobotWeld[[#This Row],[Total hours]]*tbl_RobotWeld[[#This Row],[% Complete]]</f>
        <v>#VALUE!</v>
      </c>
      <c r="M11" s="59" t="str">
        <f>IFERROR(tbl_RobotWeld[[#This Row],[Qty Complete]]/tbl_RobotWeld[[#This Row],[Total Hours Act]]*tbl_RobotWeld[[#This Row],['# of men Act]],"")</f>
        <v/>
      </c>
      <c r="O11"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1" s="90" t="str">
        <f>IFERROR((tbl_RobotWeld[[#This Row],[Adj. Total Hours]]+tbl_RobotWeld[[#This Row],[Est. Hours]])/(tbl_RobotWeld[[#This Row],[Total Hours Act]]+tbl_RobotWeld[[#This Row],[Act. Hours]]),"")</f>
        <v/>
      </c>
      <c r="S11"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1" s="93"/>
      <c r="U11" s="63"/>
      <c r="V11" s="63"/>
      <c r="W11" s="63"/>
      <c r="X11" s="63"/>
    </row>
    <row r="12" spans="1:24" ht="25" customHeight="1">
      <c r="F12" s="53"/>
      <c r="H12" s="55" t="e">
        <f>tbl_RobotWeld[[#This Row],[Qty Complete]]/tbl_RobotWeld[[#This Row],[Qty Required]]</f>
        <v>#DIV/0!</v>
      </c>
      <c r="K12" s="57" t="str">
        <f>IFERROR(tbl_RobotWeld[[#This Row],[Qty Required]]/tbl_RobotWeld[[#This Row],[PPH]]*tbl_RobotWeld[[#This Row],['# of men]],"")</f>
        <v/>
      </c>
      <c r="L12" s="58" t="e">
        <f>tbl_RobotWeld[[#This Row],[Total hours]]*tbl_RobotWeld[[#This Row],[% Complete]]</f>
        <v>#VALUE!</v>
      </c>
      <c r="M12" s="59" t="str">
        <f>IFERROR(tbl_RobotWeld[[#This Row],[Qty Complete]]/tbl_RobotWeld[[#This Row],[Total Hours Act]]*tbl_RobotWeld[[#This Row],['# of men Act]],"")</f>
        <v/>
      </c>
      <c r="O12"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2" s="90" t="str">
        <f>IFERROR((tbl_RobotWeld[[#This Row],[Adj. Total Hours]]+tbl_RobotWeld[[#This Row],[Est. Hours]])/(tbl_RobotWeld[[#This Row],[Total Hours Act]]+tbl_RobotWeld[[#This Row],[Act. Hours]]),"")</f>
        <v/>
      </c>
      <c r="S12"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2" s="93"/>
      <c r="U12" s="63"/>
      <c r="V12" s="63"/>
      <c r="W12" s="63"/>
      <c r="X12" s="63"/>
    </row>
    <row r="13" spans="1:24" ht="25" customHeight="1">
      <c r="F13" s="53"/>
      <c r="H13" s="55" t="e">
        <f>tbl_RobotWeld[[#This Row],[Qty Complete]]/tbl_RobotWeld[[#This Row],[Qty Required]]</f>
        <v>#DIV/0!</v>
      </c>
      <c r="K13" s="57" t="str">
        <f>IFERROR(tbl_RobotWeld[[#This Row],[Qty Required]]/tbl_RobotWeld[[#This Row],[PPH]]*tbl_RobotWeld[[#This Row],['# of men]],"")</f>
        <v/>
      </c>
      <c r="L13" s="58" t="e">
        <f>tbl_RobotWeld[[#This Row],[Total hours]]*tbl_RobotWeld[[#This Row],[% Complete]]</f>
        <v>#VALUE!</v>
      </c>
      <c r="M13" s="59" t="str">
        <f>IFERROR(tbl_RobotWeld[[#This Row],[Qty Complete]]/tbl_RobotWeld[[#This Row],[Total Hours Act]]*tbl_RobotWeld[[#This Row],['# of men Act]],"")</f>
        <v/>
      </c>
      <c r="O13"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3" s="90" t="str">
        <f>IFERROR((tbl_RobotWeld[[#This Row],[Adj. Total Hours]]+tbl_RobotWeld[[#This Row],[Est. Hours]])/(tbl_RobotWeld[[#This Row],[Total Hours Act]]+tbl_RobotWeld[[#This Row],[Act. Hours]]),"")</f>
        <v/>
      </c>
      <c r="S13"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3" s="93"/>
      <c r="U13" s="63"/>
      <c r="V13" s="63"/>
      <c r="W13" s="63"/>
      <c r="X13" s="63"/>
    </row>
    <row r="14" spans="1:24" ht="25" customHeight="1">
      <c r="F14" s="53"/>
      <c r="H14" s="55" t="e">
        <f>tbl_RobotWeld[[#This Row],[Qty Complete]]/tbl_RobotWeld[[#This Row],[Qty Required]]</f>
        <v>#DIV/0!</v>
      </c>
      <c r="K14" s="57" t="str">
        <f>IFERROR(tbl_RobotWeld[[#This Row],[Qty Required]]/tbl_RobotWeld[[#This Row],[PPH]]*tbl_RobotWeld[[#This Row],['# of men]],"")</f>
        <v/>
      </c>
      <c r="L14" s="58" t="e">
        <f>tbl_RobotWeld[[#This Row],[Total hours]]*tbl_RobotWeld[[#This Row],[% Complete]]</f>
        <v>#VALUE!</v>
      </c>
      <c r="M14" s="59" t="str">
        <f>IFERROR(tbl_RobotWeld[[#This Row],[Qty Complete]]/tbl_RobotWeld[[#This Row],[Total Hours Act]]*tbl_RobotWeld[[#This Row],['# of men Act]],"")</f>
        <v/>
      </c>
      <c r="O14"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4" s="90" t="str">
        <f>IFERROR((tbl_RobotWeld[[#This Row],[Adj. Total Hours]]+tbl_RobotWeld[[#This Row],[Est. Hours]])/(tbl_RobotWeld[[#This Row],[Total Hours Act]]+tbl_RobotWeld[[#This Row],[Act. Hours]]),"")</f>
        <v/>
      </c>
      <c r="S14"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4" s="93"/>
      <c r="U14" s="63"/>
      <c r="V14" s="63"/>
      <c r="W14" s="63"/>
      <c r="X14" s="63"/>
    </row>
    <row r="15" spans="1:24" ht="25" customHeight="1">
      <c r="F15" s="53"/>
      <c r="H15" s="55" t="e">
        <f>tbl_RobotWeld[[#This Row],[Qty Complete]]/tbl_RobotWeld[[#This Row],[Qty Required]]</f>
        <v>#DIV/0!</v>
      </c>
      <c r="K15" s="57" t="str">
        <f>IFERROR(tbl_RobotWeld[[#This Row],[Qty Required]]/tbl_RobotWeld[[#This Row],[PPH]]*tbl_RobotWeld[[#This Row],['# of men]],"")</f>
        <v/>
      </c>
      <c r="L15" s="58" t="e">
        <f>tbl_RobotWeld[[#This Row],[Total hours]]*tbl_RobotWeld[[#This Row],[% Complete]]</f>
        <v>#VALUE!</v>
      </c>
      <c r="M15" s="59" t="str">
        <f>IFERROR(tbl_RobotWeld[[#This Row],[Qty Complete]]/tbl_RobotWeld[[#This Row],[Total Hours Act]]*tbl_RobotWeld[[#This Row],['# of men Act]],"")</f>
        <v/>
      </c>
      <c r="O15"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5" s="90" t="str">
        <f>IFERROR((tbl_RobotWeld[[#This Row],[Adj. Total Hours]]+tbl_RobotWeld[[#This Row],[Est. Hours]])/(tbl_RobotWeld[[#This Row],[Total Hours Act]]+tbl_RobotWeld[[#This Row],[Act. Hours]]),"")</f>
        <v/>
      </c>
      <c r="S15"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5" s="93"/>
      <c r="U15" s="63"/>
      <c r="V15" s="63"/>
      <c r="W15" s="63"/>
      <c r="X15" s="63"/>
    </row>
    <row r="16" spans="1:24" ht="25" customHeight="1">
      <c r="F16" s="53"/>
      <c r="H16" s="55" t="e">
        <f>tbl_RobotWeld[[#This Row],[Qty Complete]]/tbl_RobotWeld[[#This Row],[Qty Required]]</f>
        <v>#DIV/0!</v>
      </c>
      <c r="K16" s="57" t="str">
        <f>IFERROR(tbl_RobotWeld[[#This Row],[Qty Required]]/tbl_RobotWeld[[#This Row],[PPH]]*tbl_RobotWeld[[#This Row],['# of men]],"")</f>
        <v/>
      </c>
      <c r="L16" s="58" t="e">
        <f>tbl_RobotWeld[[#This Row],[Total hours]]*tbl_RobotWeld[[#This Row],[% Complete]]</f>
        <v>#VALUE!</v>
      </c>
      <c r="M16" s="59" t="str">
        <f>IFERROR(tbl_RobotWeld[[#This Row],[Qty Complete]]/tbl_RobotWeld[[#This Row],[Total Hours Act]]*tbl_RobotWeld[[#This Row],['# of men Act]],"")</f>
        <v/>
      </c>
      <c r="O16"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6" s="90" t="str">
        <f>IFERROR((tbl_RobotWeld[[#This Row],[Adj. Total Hours]]+tbl_RobotWeld[[#This Row],[Est. Hours]])/(tbl_RobotWeld[[#This Row],[Total Hours Act]]+tbl_RobotWeld[[#This Row],[Act. Hours]]),"")</f>
        <v/>
      </c>
      <c r="S16"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6" s="93"/>
      <c r="U16" s="63"/>
      <c r="V16" s="63"/>
      <c r="W16" s="63"/>
      <c r="X16" s="63"/>
    </row>
    <row r="17" spans="6:24" ht="25" customHeight="1">
      <c r="F17" s="53"/>
      <c r="H17" s="55" t="e">
        <f>tbl_RobotWeld[[#This Row],[Qty Complete]]/tbl_RobotWeld[[#This Row],[Qty Required]]</f>
        <v>#DIV/0!</v>
      </c>
      <c r="K17" s="57" t="str">
        <f>IFERROR(tbl_RobotWeld[[#This Row],[Qty Required]]/tbl_RobotWeld[[#This Row],[PPH]]*tbl_RobotWeld[[#This Row],['# of men]],"")</f>
        <v/>
      </c>
      <c r="L17" s="58" t="e">
        <f>tbl_RobotWeld[[#This Row],[Total hours]]*tbl_RobotWeld[[#This Row],[% Complete]]</f>
        <v>#VALUE!</v>
      </c>
      <c r="M17" s="59" t="str">
        <f>IFERROR(tbl_RobotWeld[[#This Row],[Qty Complete]]/tbl_RobotWeld[[#This Row],[Total Hours Act]]*tbl_RobotWeld[[#This Row],['# of men Act]],"")</f>
        <v/>
      </c>
      <c r="O17"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7" s="90" t="str">
        <f>IFERROR((tbl_RobotWeld[[#This Row],[Adj. Total Hours]]+tbl_RobotWeld[[#This Row],[Est. Hours]])/(tbl_RobotWeld[[#This Row],[Total Hours Act]]+tbl_RobotWeld[[#This Row],[Act. Hours]]),"")</f>
        <v/>
      </c>
      <c r="S17"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7" s="93"/>
      <c r="U17" s="63"/>
      <c r="V17" s="63"/>
      <c r="W17" s="63"/>
      <c r="X17" s="63"/>
    </row>
    <row r="18" spans="6:24" ht="25" customHeight="1">
      <c r="F18" s="53"/>
      <c r="H18" s="55" t="e">
        <f>tbl_RobotWeld[[#This Row],[Qty Complete]]/tbl_RobotWeld[[#This Row],[Qty Required]]</f>
        <v>#DIV/0!</v>
      </c>
      <c r="K18" s="57" t="str">
        <f>IFERROR(tbl_RobotWeld[[#This Row],[Qty Required]]/tbl_RobotWeld[[#This Row],[PPH]]*tbl_RobotWeld[[#This Row],['# of men]],"")</f>
        <v/>
      </c>
      <c r="L18" s="58" t="e">
        <f>tbl_RobotWeld[[#This Row],[Total hours]]*tbl_RobotWeld[[#This Row],[% Complete]]</f>
        <v>#VALUE!</v>
      </c>
      <c r="M18" s="59" t="str">
        <f>IFERROR(tbl_RobotWeld[[#This Row],[Qty Complete]]/tbl_RobotWeld[[#This Row],[Total Hours Act]]*tbl_RobotWeld[[#This Row],['# of men Act]],"")</f>
        <v/>
      </c>
      <c r="O18"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8" s="90" t="str">
        <f>IFERROR((tbl_RobotWeld[[#This Row],[Adj. Total Hours]]+tbl_RobotWeld[[#This Row],[Est. Hours]])/(tbl_RobotWeld[[#This Row],[Total Hours Act]]+tbl_RobotWeld[[#This Row],[Act. Hours]]),"")</f>
        <v/>
      </c>
      <c r="S18"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8" s="93"/>
      <c r="U18" s="63"/>
      <c r="V18" s="63"/>
      <c r="W18" s="63"/>
      <c r="X18" s="63"/>
    </row>
    <row r="19" spans="6:24" ht="25" customHeight="1">
      <c r="F19" s="53"/>
      <c r="H19" s="55" t="e">
        <f>tbl_RobotWeld[[#This Row],[Qty Complete]]/tbl_RobotWeld[[#This Row],[Qty Required]]</f>
        <v>#DIV/0!</v>
      </c>
      <c r="K19" s="57" t="str">
        <f>IFERROR(tbl_RobotWeld[[#This Row],[Qty Required]]/tbl_RobotWeld[[#This Row],[PPH]]*tbl_RobotWeld[[#This Row],['# of men]],"")</f>
        <v/>
      </c>
      <c r="L19" s="58" t="e">
        <f>tbl_RobotWeld[[#This Row],[Total hours]]*tbl_RobotWeld[[#This Row],[% Complete]]</f>
        <v>#VALUE!</v>
      </c>
      <c r="M19" s="59" t="str">
        <f>IFERROR(tbl_RobotWeld[[#This Row],[Qty Complete]]/tbl_RobotWeld[[#This Row],[Total Hours Act]]*tbl_RobotWeld[[#This Row],['# of men Act]],"")</f>
        <v/>
      </c>
      <c r="O19"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9" s="90" t="str">
        <f>IFERROR((tbl_RobotWeld[[#This Row],[Adj. Total Hours]]+tbl_RobotWeld[[#This Row],[Est. Hours]])/(tbl_RobotWeld[[#This Row],[Total Hours Act]]+tbl_RobotWeld[[#This Row],[Act. Hours]]),"")</f>
        <v/>
      </c>
      <c r="S19"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9" s="93"/>
      <c r="U19" s="63"/>
      <c r="V19" s="63"/>
      <c r="W19" s="63"/>
      <c r="X19" s="63"/>
    </row>
    <row r="20" spans="6:24" ht="25" customHeight="1">
      <c r="F20" s="53"/>
      <c r="H20" s="55" t="e">
        <f>tbl_RobotWeld[[#This Row],[Qty Complete]]/tbl_RobotWeld[[#This Row],[Qty Required]]</f>
        <v>#DIV/0!</v>
      </c>
      <c r="K20" s="57" t="str">
        <f>IFERROR(tbl_RobotWeld[[#This Row],[Qty Required]]/tbl_RobotWeld[[#This Row],[PPH]]*tbl_RobotWeld[[#This Row],['# of men]],"")</f>
        <v/>
      </c>
      <c r="L20" s="58" t="e">
        <f>tbl_RobotWeld[[#This Row],[Total hours]]*tbl_RobotWeld[[#This Row],[% Complete]]</f>
        <v>#VALUE!</v>
      </c>
      <c r="M20" s="59" t="str">
        <f>IFERROR(tbl_RobotWeld[[#This Row],[Qty Complete]]/tbl_RobotWeld[[#This Row],[Total Hours Act]]*tbl_RobotWeld[[#This Row],['# of men Act]],"")</f>
        <v/>
      </c>
      <c r="O20"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0" s="90" t="str">
        <f>IFERROR((tbl_RobotWeld[[#This Row],[Adj. Total Hours]]+tbl_RobotWeld[[#This Row],[Est. Hours]])/(tbl_RobotWeld[[#This Row],[Total Hours Act]]+tbl_RobotWeld[[#This Row],[Act. Hours]]),"")</f>
        <v/>
      </c>
      <c r="S20"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0" s="93"/>
      <c r="U20" s="63"/>
      <c r="V20" s="63"/>
      <c r="W20" s="63"/>
      <c r="X20" s="63"/>
    </row>
    <row r="21" spans="6:24" ht="25" customHeight="1">
      <c r="F21" s="53"/>
      <c r="H21" s="55" t="e">
        <f>tbl_RobotWeld[[#This Row],[Qty Complete]]/tbl_RobotWeld[[#This Row],[Qty Required]]</f>
        <v>#DIV/0!</v>
      </c>
      <c r="K21" s="57" t="str">
        <f>IFERROR(tbl_RobotWeld[[#This Row],[Qty Required]]/tbl_RobotWeld[[#This Row],[PPH]]*tbl_RobotWeld[[#This Row],['# of men]],"")</f>
        <v/>
      </c>
      <c r="L21" s="58" t="e">
        <f>tbl_RobotWeld[[#This Row],[Total hours]]*tbl_RobotWeld[[#This Row],[% Complete]]</f>
        <v>#VALUE!</v>
      </c>
      <c r="M21" s="59" t="str">
        <f>IFERROR(tbl_RobotWeld[[#This Row],[Qty Complete]]/tbl_RobotWeld[[#This Row],[Total Hours Act]]*tbl_RobotWeld[[#This Row],['# of men Act]],"")</f>
        <v/>
      </c>
      <c r="O21"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1" s="90" t="str">
        <f>IFERROR((tbl_RobotWeld[[#This Row],[Adj. Total Hours]]+tbl_RobotWeld[[#This Row],[Est. Hours]])/(tbl_RobotWeld[[#This Row],[Total Hours Act]]+tbl_RobotWeld[[#This Row],[Act. Hours]]),"")</f>
        <v/>
      </c>
      <c r="S21"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1" s="93"/>
      <c r="U21" s="63"/>
      <c r="V21" s="63"/>
      <c r="W21" s="63"/>
      <c r="X21" s="63"/>
    </row>
    <row r="22" spans="6:24" ht="25" customHeight="1">
      <c r="F22" s="53"/>
      <c r="H22" s="55" t="e">
        <f>tbl_RobotWeld[[#This Row],[Qty Complete]]/tbl_RobotWeld[[#This Row],[Qty Required]]</f>
        <v>#DIV/0!</v>
      </c>
      <c r="K22" s="57" t="str">
        <f>IFERROR(tbl_RobotWeld[[#This Row],[Qty Required]]/tbl_RobotWeld[[#This Row],[PPH]]*tbl_RobotWeld[[#This Row],['# of men]],"")</f>
        <v/>
      </c>
      <c r="L22" s="58" t="e">
        <f>tbl_RobotWeld[[#This Row],[Total hours]]*tbl_RobotWeld[[#This Row],[% Complete]]</f>
        <v>#VALUE!</v>
      </c>
      <c r="M22" s="59" t="str">
        <f>IFERROR(tbl_RobotWeld[[#This Row],[Qty Complete]]/tbl_RobotWeld[[#This Row],[Total Hours Act]]*tbl_RobotWeld[[#This Row],['# of men Act]],"")</f>
        <v/>
      </c>
      <c r="O22"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2" s="90" t="str">
        <f>IFERROR((tbl_RobotWeld[[#This Row],[Adj. Total Hours]]+tbl_RobotWeld[[#This Row],[Est. Hours]])/(tbl_RobotWeld[[#This Row],[Total Hours Act]]+tbl_RobotWeld[[#This Row],[Act. Hours]]),"")</f>
        <v/>
      </c>
      <c r="S22"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2" s="93"/>
      <c r="U22" s="63"/>
      <c r="V22" s="63"/>
      <c r="W22" s="63"/>
      <c r="X22" s="63"/>
    </row>
    <row r="23" spans="6:24" ht="25" customHeight="1">
      <c r="F23" s="53"/>
      <c r="H23" s="55" t="e">
        <f>tbl_RobotWeld[[#This Row],[Qty Complete]]/tbl_RobotWeld[[#This Row],[Qty Required]]</f>
        <v>#DIV/0!</v>
      </c>
      <c r="K23" s="57" t="str">
        <f>IFERROR(tbl_RobotWeld[[#This Row],[Qty Required]]/tbl_RobotWeld[[#This Row],[PPH]]*tbl_RobotWeld[[#This Row],['# of men]],"")</f>
        <v/>
      </c>
      <c r="L23" s="58" t="e">
        <f>tbl_RobotWeld[[#This Row],[Total hours]]*tbl_RobotWeld[[#This Row],[% Complete]]</f>
        <v>#VALUE!</v>
      </c>
      <c r="M23" s="59" t="str">
        <f>IFERROR(tbl_RobotWeld[[#This Row],[Qty Complete]]/tbl_RobotWeld[[#This Row],[Total Hours Act]]*tbl_RobotWeld[[#This Row],['# of men Act]],"")</f>
        <v/>
      </c>
      <c r="O23"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3" s="90" t="str">
        <f>IFERROR((tbl_RobotWeld[[#This Row],[Adj. Total Hours]]+tbl_RobotWeld[[#This Row],[Est. Hours]])/(tbl_RobotWeld[[#This Row],[Total Hours Act]]+tbl_RobotWeld[[#This Row],[Act. Hours]]),"")</f>
        <v/>
      </c>
      <c r="S23"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3" s="93"/>
      <c r="U23" s="63"/>
      <c r="V23" s="63"/>
      <c r="W23" s="63"/>
      <c r="X23" s="63"/>
    </row>
    <row r="24" spans="6:24" ht="25" customHeight="1">
      <c r="F24" s="53"/>
      <c r="H24" s="55" t="e">
        <f>tbl_RobotWeld[[#This Row],[Qty Complete]]/tbl_RobotWeld[[#This Row],[Qty Required]]</f>
        <v>#DIV/0!</v>
      </c>
      <c r="K24" s="57" t="str">
        <f>IFERROR(tbl_RobotWeld[[#This Row],[Qty Required]]/tbl_RobotWeld[[#This Row],[PPH]]*tbl_RobotWeld[[#This Row],['# of men]],"")</f>
        <v/>
      </c>
      <c r="L24" s="58" t="e">
        <f>tbl_RobotWeld[[#This Row],[Total hours]]*tbl_RobotWeld[[#This Row],[% Complete]]</f>
        <v>#VALUE!</v>
      </c>
      <c r="M24" s="59" t="str">
        <f>IFERROR(tbl_RobotWeld[[#This Row],[Qty Complete]]/tbl_RobotWeld[[#This Row],[Total Hours Act]]*tbl_RobotWeld[[#This Row],['# of men Act]],"")</f>
        <v/>
      </c>
      <c r="O24"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4" s="90" t="str">
        <f>IFERROR((tbl_RobotWeld[[#This Row],[Adj. Total Hours]]+tbl_RobotWeld[[#This Row],[Est. Hours]])/(tbl_RobotWeld[[#This Row],[Total Hours Act]]+tbl_RobotWeld[[#This Row],[Act. Hours]]),"")</f>
        <v/>
      </c>
      <c r="S24"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4" s="93"/>
      <c r="U24" s="63"/>
      <c r="V24" s="63"/>
      <c r="W24" s="63"/>
      <c r="X24" s="63"/>
    </row>
    <row r="25" spans="6:24" ht="25" customHeight="1">
      <c r="F25" s="53"/>
      <c r="H25" s="55" t="e">
        <f>tbl_RobotWeld[[#This Row],[Qty Complete]]/tbl_RobotWeld[[#This Row],[Qty Required]]</f>
        <v>#DIV/0!</v>
      </c>
      <c r="K25" s="57" t="str">
        <f>IFERROR(tbl_RobotWeld[[#This Row],[Qty Required]]/tbl_RobotWeld[[#This Row],[PPH]]*tbl_RobotWeld[[#This Row],['# of men]],"")</f>
        <v/>
      </c>
      <c r="L25" s="58" t="e">
        <f>tbl_RobotWeld[[#This Row],[Total hours]]*tbl_RobotWeld[[#This Row],[% Complete]]</f>
        <v>#VALUE!</v>
      </c>
      <c r="M25" s="59" t="str">
        <f>IFERROR(tbl_RobotWeld[[#This Row],[Qty Complete]]/tbl_RobotWeld[[#This Row],[Total Hours Act]]*tbl_RobotWeld[[#This Row],['# of men Act]],"")</f>
        <v/>
      </c>
      <c r="O25"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5" s="90" t="str">
        <f>IFERROR((tbl_RobotWeld[[#This Row],[Adj. Total Hours]]+tbl_RobotWeld[[#This Row],[Est. Hours]])/(tbl_RobotWeld[[#This Row],[Total Hours Act]]+tbl_RobotWeld[[#This Row],[Act. Hours]]),"")</f>
        <v/>
      </c>
      <c r="S25"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5" s="93"/>
      <c r="U25" s="63"/>
      <c r="V25" s="63"/>
      <c r="W25" s="63"/>
      <c r="X25" s="63"/>
    </row>
    <row r="26" spans="6:24" ht="25" customHeight="1">
      <c r="F26" s="53"/>
      <c r="H26" s="55" t="e">
        <f>tbl_RobotWeld[[#This Row],[Qty Complete]]/tbl_RobotWeld[[#This Row],[Qty Required]]</f>
        <v>#DIV/0!</v>
      </c>
      <c r="K26" s="57" t="str">
        <f>IFERROR(tbl_RobotWeld[[#This Row],[Qty Required]]/tbl_RobotWeld[[#This Row],[PPH]]*tbl_RobotWeld[[#This Row],['# of men]],"")</f>
        <v/>
      </c>
      <c r="L26" s="58" t="e">
        <f>tbl_RobotWeld[[#This Row],[Total hours]]*tbl_RobotWeld[[#This Row],[% Complete]]</f>
        <v>#VALUE!</v>
      </c>
      <c r="M26" s="59" t="str">
        <f>IFERROR(tbl_RobotWeld[[#This Row],[Qty Complete]]/tbl_RobotWeld[[#This Row],[Total Hours Act]]*tbl_RobotWeld[[#This Row],['# of men Act]],"")</f>
        <v/>
      </c>
      <c r="O26"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6" s="90" t="str">
        <f>IFERROR((tbl_RobotWeld[[#This Row],[Adj. Total Hours]]+tbl_RobotWeld[[#This Row],[Est. Hours]])/(tbl_RobotWeld[[#This Row],[Total Hours Act]]+tbl_RobotWeld[[#This Row],[Act. Hours]]),"")</f>
        <v/>
      </c>
      <c r="S26"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6" s="93"/>
      <c r="U26" s="63"/>
      <c r="V26" s="63"/>
      <c r="W26" s="63"/>
      <c r="X26" s="63"/>
    </row>
    <row r="27" spans="6:24" ht="25" customHeight="1">
      <c r="F27" s="53"/>
      <c r="H27" s="55" t="e">
        <f>tbl_RobotWeld[[#This Row],[Qty Complete]]/tbl_RobotWeld[[#This Row],[Qty Required]]</f>
        <v>#DIV/0!</v>
      </c>
      <c r="K27" s="57" t="str">
        <f>IFERROR(tbl_RobotWeld[[#This Row],[Qty Required]]/tbl_RobotWeld[[#This Row],[PPH]]*tbl_RobotWeld[[#This Row],['# of men]],"")</f>
        <v/>
      </c>
      <c r="L27" s="58" t="e">
        <f>tbl_RobotWeld[[#This Row],[Total hours]]*tbl_RobotWeld[[#This Row],[% Complete]]</f>
        <v>#VALUE!</v>
      </c>
      <c r="M27" s="59" t="str">
        <f>IFERROR(tbl_RobotWeld[[#This Row],[Qty Complete]]/tbl_RobotWeld[[#This Row],[Total Hours Act]]*tbl_RobotWeld[[#This Row],['# of men Act]],"")</f>
        <v/>
      </c>
      <c r="O27"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7" s="90" t="str">
        <f>IFERROR((tbl_RobotWeld[[#This Row],[Adj. Total Hours]]+tbl_RobotWeld[[#This Row],[Est. Hours]])/(tbl_RobotWeld[[#This Row],[Total Hours Act]]+tbl_RobotWeld[[#This Row],[Act. Hours]]),"")</f>
        <v/>
      </c>
      <c r="S27"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7" s="93"/>
      <c r="U27" s="63"/>
      <c r="V27" s="63"/>
      <c r="W27" s="63"/>
      <c r="X27" s="63"/>
    </row>
    <row r="28" spans="6:24" ht="25" customHeight="1">
      <c r="F28" s="53"/>
      <c r="H28" s="55" t="e">
        <f>tbl_RobotWeld[[#This Row],[Qty Complete]]/tbl_RobotWeld[[#This Row],[Qty Required]]</f>
        <v>#DIV/0!</v>
      </c>
      <c r="K28" s="57" t="str">
        <f>IFERROR(tbl_RobotWeld[[#This Row],[Qty Required]]/tbl_RobotWeld[[#This Row],[PPH]]*tbl_RobotWeld[[#This Row],['# of men]],"")</f>
        <v/>
      </c>
      <c r="L28" s="58" t="e">
        <f>tbl_RobotWeld[[#This Row],[Total hours]]*tbl_RobotWeld[[#This Row],[% Complete]]</f>
        <v>#VALUE!</v>
      </c>
      <c r="M28" s="59" t="str">
        <f>IFERROR(tbl_RobotWeld[[#This Row],[Qty Complete]]/tbl_RobotWeld[[#This Row],[Total Hours Act]]*tbl_RobotWeld[[#This Row],['# of men Act]],"")</f>
        <v/>
      </c>
      <c r="O28"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8" s="90" t="str">
        <f>IFERROR((tbl_RobotWeld[[#This Row],[Adj. Total Hours]]+tbl_RobotWeld[[#This Row],[Est. Hours]])/(tbl_RobotWeld[[#This Row],[Total Hours Act]]+tbl_RobotWeld[[#This Row],[Act. Hours]]),"")</f>
        <v/>
      </c>
      <c r="S28"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8" s="93"/>
      <c r="U28" s="63"/>
      <c r="V28" s="63"/>
      <c r="W28" s="63"/>
      <c r="X28" s="63"/>
    </row>
    <row r="29" spans="6:24" ht="25" customHeight="1">
      <c r="F29" s="53"/>
      <c r="H29" s="55" t="e">
        <f>tbl_RobotWeld[[#This Row],[Qty Complete]]/tbl_RobotWeld[[#This Row],[Qty Required]]</f>
        <v>#DIV/0!</v>
      </c>
      <c r="K29" s="57" t="str">
        <f>IFERROR(tbl_RobotWeld[[#This Row],[Qty Required]]/tbl_RobotWeld[[#This Row],[PPH]]*tbl_RobotWeld[[#This Row],['# of men]],"")</f>
        <v/>
      </c>
      <c r="L29" s="58" t="e">
        <f>tbl_RobotWeld[[#This Row],[Total hours]]*tbl_RobotWeld[[#This Row],[% Complete]]</f>
        <v>#VALUE!</v>
      </c>
      <c r="M29" s="59" t="str">
        <f>IFERROR(tbl_RobotWeld[[#This Row],[Qty Complete]]/tbl_RobotWeld[[#This Row],[Total Hours Act]]*tbl_RobotWeld[[#This Row],['# of men Act]],"")</f>
        <v/>
      </c>
      <c r="O29"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9" s="90" t="str">
        <f>IFERROR((tbl_RobotWeld[[#This Row],[Adj. Total Hours]]+tbl_RobotWeld[[#This Row],[Est. Hours]])/(tbl_RobotWeld[[#This Row],[Total Hours Act]]+tbl_RobotWeld[[#This Row],[Act. Hours]]),"")</f>
        <v/>
      </c>
      <c r="S29"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9" s="93"/>
      <c r="U29" s="63"/>
      <c r="V29" s="63"/>
      <c r="W29" s="63"/>
      <c r="X29" s="63"/>
    </row>
    <row r="30" spans="6:24" ht="25" customHeight="1">
      <c r="F30" s="53"/>
      <c r="H30" s="55" t="e">
        <f>tbl_RobotWeld[[#This Row],[Qty Complete]]/tbl_RobotWeld[[#This Row],[Qty Required]]</f>
        <v>#DIV/0!</v>
      </c>
      <c r="K30" s="57" t="str">
        <f>IFERROR(tbl_RobotWeld[[#This Row],[Qty Required]]/tbl_RobotWeld[[#This Row],[PPH]]*tbl_RobotWeld[[#This Row],['# of men]],"")</f>
        <v/>
      </c>
      <c r="L30" s="58" t="e">
        <f>tbl_RobotWeld[[#This Row],[Total hours]]*tbl_RobotWeld[[#This Row],[% Complete]]</f>
        <v>#VALUE!</v>
      </c>
      <c r="M30" s="59" t="str">
        <f>IFERROR(tbl_RobotWeld[[#This Row],[Qty Complete]]/tbl_RobotWeld[[#This Row],[Total Hours Act]]*tbl_RobotWeld[[#This Row],['# of men Act]],"")</f>
        <v/>
      </c>
      <c r="O30"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30" s="90" t="str">
        <f>IFERROR((tbl_RobotWeld[[#This Row],[Adj. Total Hours]]+tbl_RobotWeld[[#This Row],[Est. Hours]])/(tbl_RobotWeld[[#This Row],[Total Hours Act]]+tbl_RobotWeld[[#This Row],[Act. Hours]]),"")</f>
        <v/>
      </c>
      <c r="S30"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30" s="93"/>
      <c r="U30" s="63"/>
      <c r="V30" s="63"/>
      <c r="W30" s="63"/>
      <c r="X30" s="63"/>
    </row>
    <row r="31" spans="6:24" ht="25" customHeight="1">
      <c r="F31" s="53"/>
      <c r="H31" s="55" t="e">
        <f>tbl_RobotWeld[[#This Row],[Qty Complete]]/tbl_RobotWeld[[#This Row],[Qty Required]]</f>
        <v>#DIV/0!</v>
      </c>
      <c r="K31" s="57" t="str">
        <f>IFERROR(tbl_RobotWeld[[#This Row],[Qty Required]]/tbl_RobotWeld[[#This Row],[PPH]]*tbl_RobotWeld[[#This Row],['# of men]],"")</f>
        <v/>
      </c>
      <c r="L31" s="58" t="e">
        <f>tbl_RobotWeld[[#This Row],[Total hours]]*tbl_RobotWeld[[#This Row],[% Complete]]</f>
        <v>#VALUE!</v>
      </c>
      <c r="M31" s="59" t="str">
        <f>IFERROR(tbl_RobotWeld[[#This Row],[Qty Complete]]/tbl_RobotWeld[[#This Row],[Total Hours Act]]*tbl_RobotWeld[[#This Row],['# of men Act]],"")</f>
        <v/>
      </c>
      <c r="O31"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31" s="90" t="str">
        <f>IFERROR((tbl_RobotWeld[[#This Row],[Adj. Total Hours]]+tbl_RobotWeld[[#This Row],[Est. Hours]])/(tbl_RobotWeld[[#This Row],[Total Hours Act]]+tbl_RobotWeld[[#This Row],[Act. Hours]]),"")</f>
        <v/>
      </c>
      <c r="S31"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31" s="93"/>
      <c r="U31" s="63"/>
      <c r="V31" s="63"/>
      <c r="W31" s="63"/>
      <c r="X31" s="63"/>
    </row>
    <row r="32" spans="6:24" ht="25" customHeight="1">
      <c r="F32" s="53"/>
      <c r="H32" s="55" t="e">
        <f>tbl_RobotWeld[[#This Row],[Qty Complete]]/tbl_RobotWeld[[#This Row],[Qty Required]]</f>
        <v>#DIV/0!</v>
      </c>
      <c r="K32" s="57" t="str">
        <f>IFERROR(tbl_RobotWeld[[#This Row],[Qty Required]]/tbl_RobotWeld[[#This Row],[PPH]]*tbl_RobotWeld[[#This Row],['# of men]],"")</f>
        <v/>
      </c>
      <c r="L32" s="58" t="e">
        <f>tbl_RobotWeld[[#This Row],[Total hours]]*tbl_RobotWeld[[#This Row],[% Complete]]</f>
        <v>#VALUE!</v>
      </c>
      <c r="M32" s="59" t="str">
        <f>IFERROR(tbl_RobotWeld[[#This Row],[Qty Complete]]/tbl_RobotWeld[[#This Row],[Total Hours Act]]*tbl_RobotWeld[[#This Row],['# of men Act]],"")</f>
        <v/>
      </c>
      <c r="O32"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32" s="90" t="str">
        <f>IFERROR((tbl_RobotWeld[[#This Row],[Adj. Total Hours]]+tbl_RobotWeld[[#This Row],[Est. Hours]])/(tbl_RobotWeld[[#This Row],[Total Hours Act]]+tbl_RobotWeld[[#This Row],[Act. Hours]]),"")</f>
        <v/>
      </c>
      <c r="S32"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32" s="93"/>
      <c r="U32" s="63"/>
      <c r="V32" s="63"/>
      <c r="W32" s="63"/>
      <c r="X32" s="63"/>
    </row>
    <row r="33" spans="6:24" ht="25" customHeight="1">
      <c r="F33" s="53"/>
      <c r="H33" s="55" t="e">
        <f>tbl_RobotWeld[[#This Row],[Qty Complete]]/tbl_RobotWeld[[#This Row],[Qty Required]]</f>
        <v>#DIV/0!</v>
      </c>
      <c r="K33" s="57" t="str">
        <f>IFERROR(tbl_RobotWeld[[#This Row],[Qty Required]]/tbl_RobotWeld[[#This Row],[PPH]]*tbl_RobotWeld[[#This Row],['# of men]],"")</f>
        <v/>
      </c>
      <c r="L33" s="58" t="e">
        <f>tbl_RobotWeld[[#This Row],[Total hours]]*tbl_RobotWeld[[#This Row],[% Complete]]</f>
        <v>#VALUE!</v>
      </c>
      <c r="M33" s="59" t="str">
        <f>IFERROR(tbl_RobotWeld[[#This Row],[Qty Complete]]/tbl_RobotWeld[[#This Row],[Total Hours Act]]*tbl_RobotWeld[[#This Row],['# of men Act]],"")</f>
        <v/>
      </c>
      <c r="O33"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33" s="90" t="str">
        <f>IFERROR((tbl_RobotWeld[[#This Row],[Adj. Total Hours]]+tbl_RobotWeld[[#This Row],[Est. Hours]])/(tbl_RobotWeld[[#This Row],[Total Hours Act]]+tbl_RobotWeld[[#This Row],[Act. Hours]]),"")</f>
        <v/>
      </c>
      <c r="S33"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33" s="93"/>
      <c r="U33" s="63"/>
      <c r="V33" s="63"/>
      <c r="W33" s="63"/>
      <c r="X33" s="63"/>
    </row>
    <row r="34" spans="6:24" ht="25" customHeight="1">
      <c r="F34" s="53"/>
      <c r="H34" s="55" t="e">
        <f>tbl_RobotWeld[[#This Row],[Qty Complete]]/tbl_RobotWeld[[#This Row],[Qty Required]]</f>
        <v>#DIV/0!</v>
      </c>
      <c r="K34" s="57" t="str">
        <f>IFERROR(tbl_RobotWeld[[#This Row],[Qty Required]]/tbl_RobotWeld[[#This Row],[PPH]]*tbl_RobotWeld[[#This Row],['# of men]],"")</f>
        <v/>
      </c>
      <c r="L34" s="58" t="e">
        <f>tbl_RobotWeld[[#This Row],[Total hours]]*tbl_RobotWeld[[#This Row],[% Complete]]</f>
        <v>#VALUE!</v>
      </c>
      <c r="M34" s="59" t="str">
        <f>IFERROR(tbl_RobotWeld[[#This Row],[Qty Complete]]/tbl_RobotWeld[[#This Row],[Total Hours Act]]*tbl_RobotWeld[[#This Row],['# of men Act]],"")</f>
        <v/>
      </c>
      <c r="O34"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34" s="90" t="str">
        <f>IFERROR((tbl_RobotWeld[[#This Row],[Adj. Total Hours]]+tbl_RobotWeld[[#This Row],[Est. Hours]])/(tbl_RobotWeld[[#This Row],[Total Hours Act]]+tbl_RobotWeld[[#This Row],[Act. Hours]]),"")</f>
        <v/>
      </c>
      <c r="S34"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34" s="93"/>
      <c r="U34" s="63"/>
      <c r="V34" s="63"/>
      <c r="W34" s="63"/>
      <c r="X34" s="63"/>
    </row>
    <row r="35" spans="6:24" ht="25" customHeight="1">
      <c r="F35" s="53"/>
      <c r="H35" s="55" t="e">
        <f>tbl_RobotWeld[[#This Row],[Qty Complete]]/tbl_RobotWeld[[#This Row],[Qty Required]]</f>
        <v>#DIV/0!</v>
      </c>
      <c r="K35" s="57" t="str">
        <f>IFERROR(tbl_RobotWeld[[#This Row],[Qty Required]]/tbl_RobotWeld[[#This Row],[PPH]]*tbl_RobotWeld[[#This Row],['# of men]],"")</f>
        <v/>
      </c>
      <c r="L35" s="58" t="e">
        <f>tbl_RobotWeld[[#This Row],[Total hours]]*tbl_RobotWeld[[#This Row],[% Complete]]</f>
        <v>#VALUE!</v>
      </c>
      <c r="M35" s="59" t="str">
        <f>IFERROR(tbl_RobotWeld[[#This Row],[Qty Complete]]/tbl_RobotWeld[[#This Row],[Total Hours Act]]*tbl_RobotWeld[[#This Row],['# of men Act]],"")</f>
        <v/>
      </c>
      <c r="O35"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35" s="90" t="str">
        <f>IFERROR((tbl_RobotWeld[[#This Row],[Adj. Total Hours]]+tbl_RobotWeld[[#This Row],[Est. Hours]])/(tbl_RobotWeld[[#This Row],[Total Hours Act]]+tbl_RobotWeld[[#This Row],[Act. Hours]]),"")</f>
        <v/>
      </c>
      <c r="S35"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35" s="93"/>
      <c r="U35" s="63"/>
      <c r="V35" s="63"/>
      <c r="W35" s="63"/>
      <c r="X35" s="63"/>
    </row>
    <row r="36" spans="6:24" ht="25" customHeight="1">
      <c r="F36" s="53"/>
      <c r="H36" s="55" t="e">
        <f>tbl_RobotWeld[[#This Row],[Qty Complete]]/tbl_RobotWeld[[#This Row],[Qty Required]]</f>
        <v>#DIV/0!</v>
      </c>
      <c r="K36" s="57" t="str">
        <f>IFERROR(tbl_RobotWeld[[#This Row],[Qty Required]]/tbl_RobotWeld[[#This Row],[PPH]]*tbl_RobotWeld[[#This Row],['# of men]],"")</f>
        <v/>
      </c>
      <c r="L36" s="58" t="e">
        <f>tbl_RobotWeld[[#This Row],[Total hours]]*tbl_RobotWeld[[#This Row],[% Complete]]</f>
        <v>#VALUE!</v>
      </c>
      <c r="M36" s="59" t="str">
        <f>IFERROR(tbl_RobotWeld[[#This Row],[Qty Complete]]/tbl_RobotWeld[[#This Row],[Total Hours Act]]*tbl_RobotWeld[[#This Row],['# of men Act]],"")</f>
        <v/>
      </c>
      <c r="O36"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36" s="90" t="str">
        <f>IFERROR((tbl_RobotWeld[[#This Row],[Adj. Total Hours]]+tbl_RobotWeld[[#This Row],[Est. Hours]])/(tbl_RobotWeld[[#This Row],[Total Hours Act]]+tbl_RobotWeld[[#This Row],[Act. Hours]]),"")</f>
        <v/>
      </c>
      <c r="S36"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36" s="93"/>
      <c r="U36" s="63"/>
      <c r="V36" s="63"/>
      <c r="W36" s="63"/>
      <c r="X36" s="63"/>
    </row>
    <row r="37" spans="6:24" ht="25" customHeight="1">
      <c r="F37" s="53"/>
      <c r="H37" s="55" t="e">
        <f>tbl_RobotWeld[[#This Row],[Qty Complete]]/tbl_RobotWeld[[#This Row],[Qty Required]]</f>
        <v>#DIV/0!</v>
      </c>
      <c r="K37" s="57" t="str">
        <f>IFERROR(tbl_RobotWeld[[#This Row],[Qty Required]]/tbl_RobotWeld[[#This Row],[PPH]]*tbl_RobotWeld[[#This Row],['# of men]],"")</f>
        <v/>
      </c>
      <c r="L37" s="58" t="e">
        <f>tbl_RobotWeld[[#This Row],[Total hours]]*tbl_RobotWeld[[#This Row],[% Complete]]</f>
        <v>#VALUE!</v>
      </c>
      <c r="M37" s="59" t="str">
        <f>IFERROR(tbl_RobotWeld[[#This Row],[Qty Complete]]/tbl_RobotWeld[[#This Row],[Total Hours Act]]*tbl_RobotWeld[[#This Row],['# of men Act]],"")</f>
        <v/>
      </c>
      <c r="O37"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37" s="90" t="str">
        <f>IFERROR((tbl_RobotWeld[[#This Row],[Adj. Total Hours]]+tbl_RobotWeld[[#This Row],[Est. Hours]])/(tbl_RobotWeld[[#This Row],[Total Hours Act]]+tbl_RobotWeld[[#This Row],[Act. Hours]]),"")</f>
        <v/>
      </c>
      <c r="S37"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37" s="93"/>
      <c r="U37" s="63"/>
      <c r="V37" s="63"/>
      <c r="W37" s="63"/>
      <c r="X37" s="63"/>
    </row>
    <row r="38" spans="6:24" ht="25" customHeight="1">
      <c r="F38" s="53"/>
      <c r="H38" s="55" t="e">
        <f>tbl_RobotWeld[[#This Row],[Qty Complete]]/tbl_RobotWeld[[#This Row],[Qty Required]]</f>
        <v>#DIV/0!</v>
      </c>
      <c r="K38" s="57" t="str">
        <f>IFERROR(tbl_RobotWeld[[#This Row],[Qty Required]]/tbl_RobotWeld[[#This Row],[PPH]]*tbl_RobotWeld[[#This Row],['# of men]],"")</f>
        <v/>
      </c>
      <c r="L38" s="58" t="e">
        <f>tbl_RobotWeld[[#This Row],[Total hours]]*tbl_RobotWeld[[#This Row],[% Complete]]</f>
        <v>#VALUE!</v>
      </c>
      <c r="M38" s="59" t="str">
        <f>IFERROR(tbl_RobotWeld[[#This Row],[Qty Complete]]/tbl_RobotWeld[[#This Row],[Total Hours Act]]*tbl_RobotWeld[[#This Row],['# of men Act]],"")</f>
        <v/>
      </c>
      <c r="O38"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38" s="90" t="str">
        <f>IFERROR((tbl_RobotWeld[[#This Row],[Adj. Total Hours]]+tbl_RobotWeld[[#This Row],[Est. Hours]])/(tbl_RobotWeld[[#This Row],[Total Hours Act]]+tbl_RobotWeld[[#This Row],[Act. Hours]]),"")</f>
        <v/>
      </c>
      <c r="S38"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38" s="93"/>
      <c r="U38" s="63"/>
      <c r="V38" s="63"/>
      <c r="W38" s="63"/>
      <c r="X38" s="63"/>
    </row>
    <row r="39" spans="6:24" ht="25" customHeight="1">
      <c r="F39" s="53"/>
      <c r="H39" s="55" t="e">
        <f>tbl_RobotWeld[[#This Row],[Qty Complete]]/tbl_RobotWeld[[#This Row],[Qty Required]]</f>
        <v>#DIV/0!</v>
      </c>
      <c r="K39" s="57" t="str">
        <f>IFERROR(tbl_RobotWeld[[#This Row],[Qty Required]]/tbl_RobotWeld[[#This Row],[PPH]]*tbl_RobotWeld[[#This Row],['# of men]],"")</f>
        <v/>
      </c>
      <c r="L39" s="58" t="e">
        <f>tbl_RobotWeld[[#This Row],[Total hours]]*tbl_RobotWeld[[#This Row],[% Complete]]</f>
        <v>#VALUE!</v>
      </c>
      <c r="M39" s="59" t="str">
        <f>IFERROR(tbl_RobotWeld[[#This Row],[Qty Complete]]/tbl_RobotWeld[[#This Row],[Total Hours Act]]*tbl_RobotWeld[[#This Row],['# of men Act]],"")</f>
        <v/>
      </c>
      <c r="O39"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39" s="90" t="str">
        <f>IFERROR((tbl_RobotWeld[[#This Row],[Adj. Total Hours]]+tbl_RobotWeld[[#This Row],[Est. Hours]])/(tbl_RobotWeld[[#This Row],[Total Hours Act]]+tbl_RobotWeld[[#This Row],[Act. Hours]]),"")</f>
        <v/>
      </c>
      <c r="S39"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39" s="93"/>
      <c r="U39" s="63"/>
      <c r="V39" s="63"/>
      <c r="W39" s="63"/>
      <c r="X39" s="63"/>
    </row>
    <row r="40" spans="6:24" ht="25" customHeight="1">
      <c r="F40" s="53"/>
      <c r="H40" s="55" t="e">
        <f>tbl_RobotWeld[[#This Row],[Qty Complete]]/tbl_RobotWeld[[#This Row],[Qty Required]]</f>
        <v>#DIV/0!</v>
      </c>
      <c r="K40" s="57" t="str">
        <f>IFERROR(tbl_RobotWeld[[#This Row],[Qty Required]]/tbl_RobotWeld[[#This Row],[PPH]]*tbl_RobotWeld[[#This Row],['# of men]],"")</f>
        <v/>
      </c>
      <c r="L40" s="58" t="e">
        <f>tbl_RobotWeld[[#This Row],[Total hours]]*tbl_RobotWeld[[#This Row],[% Complete]]</f>
        <v>#VALUE!</v>
      </c>
      <c r="M40" s="59" t="str">
        <f>IFERROR(tbl_RobotWeld[[#This Row],[Qty Complete]]/tbl_RobotWeld[[#This Row],[Total Hours Act]]*tbl_RobotWeld[[#This Row],['# of men Act]],"")</f>
        <v/>
      </c>
      <c r="O40"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40" s="90" t="str">
        <f>IFERROR((tbl_RobotWeld[[#This Row],[Adj. Total Hours]]+tbl_RobotWeld[[#This Row],[Est. Hours]])/(tbl_RobotWeld[[#This Row],[Total Hours Act]]+tbl_RobotWeld[[#This Row],[Act. Hours]]),"")</f>
        <v/>
      </c>
      <c r="S40"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40" s="93"/>
      <c r="U40" s="63"/>
      <c r="V40" s="63"/>
      <c r="W40" s="63"/>
      <c r="X40" s="63"/>
    </row>
    <row r="41" spans="6:24" ht="25" customHeight="1">
      <c r="F41" s="53"/>
      <c r="H41" s="55" t="e">
        <f>tbl_RobotWeld[[#This Row],[Qty Complete]]/tbl_RobotWeld[[#This Row],[Qty Required]]</f>
        <v>#DIV/0!</v>
      </c>
      <c r="K41" s="57" t="str">
        <f>IFERROR(tbl_RobotWeld[[#This Row],[Qty Required]]/tbl_RobotWeld[[#This Row],[PPH]]*tbl_RobotWeld[[#This Row],['# of men]],"")</f>
        <v/>
      </c>
      <c r="L41" s="58" t="e">
        <f>tbl_RobotWeld[[#This Row],[Total hours]]*tbl_RobotWeld[[#This Row],[% Complete]]</f>
        <v>#VALUE!</v>
      </c>
      <c r="M41" s="59" t="str">
        <f>IFERROR(tbl_RobotWeld[[#This Row],[Qty Complete]]/tbl_RobotWeld[[#This Row],[Total Hours Act]]*tbl_RobotWeld[[#This Row],['# of men Act]],"")</f>
        <v/>
      </c>
      <c r="O41"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41" s="90" t="str">
        <f>IFERROR((tbl_RobotWeld[[#This Row],[Adj. Total Hours]]+tbl_RobotWeld[[#This Row],[Est. Hours]])/(tbl_RobotWeld[[#This Row],[Total Hours Act]]+tbl_RobotWeld[[#This Row],[Act. Hours]]),"")</f>
        <v/>
      </c>
      <c r="S41"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41" s="93"/>
      <c r="U41" s="63"/>
      <c r="V41" s="63"/>
      <c r="W41" s="63"/>
      <c r="X41" s="63"/>
    </row>
    <row r="42" spans="6:24" ht="25" customHeight="1">
      <c r="F42" s="53"/>
      <c r="H42" s="55" t="e">
        <f>tbl_RobotWeld[[#This Row],[Qty Complete]]/tbl_RobotWeld[[#This Row],[Qty Required]]</f>
        <v>#DIV/0!</v>
      </c>
      <c r="K42" s="57" t="str">
        <f>IFERROR(tbl_RobotWeld[[#This Row],[Qty Required]]/tbl_RobotWeld[[#This Row],[PPH]]*tbl_RobotWeld[[#This Row],['# of men]],"")</f>
        <v/>
      </c>
      <c r="L42" s="58" t="e">
        <f>tbl_RobotWeld[[#This Row],[Total hours]]*tbl_RobotWeld[[#This Row],[% Complete]]</f>
        <v>#VALUE!</v>
      </c>
      <c r="M42" s="59" t="str">
        <f>IFERROR(tbl_RobotWeld[[#This Row],[Qty Complete]]/tbl_RobotWeld[[#This Row],[Total Hours Act]]*tbl_RobotWeld[[#This Row],['# of men Act]],"")</f>
        <v/>
      </c>
      <c r="O42"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42" s="90" t="str">
        <f>IFERROR((tbl_RobotWeld[[#This Row],[Adj. Total Hours]]+tbl_RobotWeld[[#This Row],[Est. Hours]])/(tbl_RobotWeld[[#This Row],[Total Hours Act]]+tbl_RobotWeld[[#This Row],[Act. Hours]]),"")</f>
        <v/>
      </c>
      <c r="S42"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42" s="93"/>
      <c r="U42" s="63"/>
      <c r="V42" s="63"/>
      <c r="W42" s="63"/>
      <c r="X42" s="63"/>
    </row>
    <row r="43" spans="6:24" ht="25" customHeight="1">
      <c r="F43" s="53"/>
      <c r="H43" s="55" t="e">
        <f>tbl_RobotWeld[[#This Row],[Qty Complete]]/tbl_RobotWeld[[#This Row],[Qty Required]]</f>
        <v>#DIV/0!</v>
      </c>
      <c r="K43" s="57" t="str">
        <f>IFERROR(tbl_RobotWeld[[#This Row],[Qty Required]]/tbl_RobotWeld[[#This Row],[PPH]]*tbl_RobotWeld[[#This Row],['# of men]],"")</f>
        <v/>
      </c>
      <c r="L43" s="58" t="e">
        <f>tbl_RobotWeld[[#This Row],[Total hours]]*tbl_RobotWeld[[#This Row],[% Complete]]</f>
        <v>#VALUE!</v>
      </c>
      <c r="M43" s="59" t="str">
        <f>IFERROR(tbl_RobotWeld[[#This Row],[Qty Complete]]/tbl_RobotWeld[[#This Row],[Total Hours Act]]*tbl_RobotWeld[[#This Row],['# of men Act]],"")</f>
        <v/>
      </c>
      <c r="O43"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43" s="90" t="str">
        <f>IFERROR((tbl_RobotWeld[[#This Row],[Adj. Total Hours]]+tbl_RobotWeld[[#This Row],[Est. Hours]])/(tbl_RobotWeld[[#This Row],[Total Hours Act]]+tbl_RobotWeld[[#This Row],[Act. Hours]]),"")</f>
        <v/>
      </c>
      <c r="S43"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43" s="93"/>
      <c r="U43" s="63"/>
      <c r="V43" s="63"/>
      <c r="W43" s="63"/>
      <c r="X43" s="63"/>
    </row>
    <row r="44" spans="6:24" ht="25" customHeight="1">
      <c r="F44" s="53"/>
      <c r="H44" s="55" t="e">
        <f>tbl_RobotWeld[[#This Row],[Qty Complete]]/tbl_RobotWeld[[#This Row],[Qty Required]]</f>
        <v>#DIV/0!</v>
      </c>
      <c r="K44" s="57" t="str">
        <f>IFERROR(tbl_RobotWeld[[#This Row],[Qty Required]]/tbl_RobotWeld[[#This Row],[PPH]]*tbl_RobotWeld[[#This Row],['# of men]],"")</f>
        <v/>
      </c>
      <c r="L44" s="58" t="e">
        <f>tbl_RobotWeld[[#This Row],[Total hours]]*tbl_RobotWeld[[#This Row],[% Complete]]</f>
        <v>#VALUE!</v>
      </c>
      <c r="M44" s="59" t="str">
        <f>IFERROR(tbl_RobotWeld[[#This Row],[Qty Complete]]/tbl_RobotWeld[[#This Row],[Total Hours Act]]*tbl_RobotWeld[[#This Row],['# of men Act]],"")</f>
        <v/>
      </c>
      <c r="O44"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44" s="90" t="str">
        <f>IFERROR((tbl_RobotWeld[[#This Row],[Adj. Total Hours]]+tbl_RobotWeld[[#This Row],[Est. Hours]])/(tbl_RobotWeld[[#This Row],[Total Hours Act]]+tbl_RobotWeld[[#This Row],[Act. Hours]]),"")</f>
        <v/>
      </c>
      <c r="S44"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44" s="93"/>
      <c r="U44" s="63"/>
      <c r="V44" s="63"/>
      <c r="W44" s="63"/>
      <c r="X44" s="63"/>
    </row>
    <row r="45" spans="6:24" ht="25" customHeight="1">
      <c r="F45" s="53"/>
      <c r="H45" s="55" t="e">
        <f>tbl_RobotWeld[[#This Row],[Qty Complete]]/tbl_RobotWeld[[#This Row],[Qty Required]]</f>
        <v>#DIV/0!</v>
      </c>
      <c r="K45" s="57" t="str">
        <f>IFERROR(tbl_RobotWeld[[#This Row],[Qty Required]]/tbl_RobotWeld[[#This Row],[PPH]]*tbl_RobotWeld[[#This Row],['# of men]],"")</f>
        <v/>
      </c>
      <c r="L45" s="58" t="e">
        <f>tbl_RobotWeld[[#This Row],[Total hours]]*tbl_RobotWeld[[#This Row],[% Complete]]</f>
        <v>#VALUE!</v>
      </c>
      <c r="M45" s="59" t="str">
        <f>IFERROR(tbl_RobotWeld[[#This Row],[Qty Complete]]/tbl_RobotWeld[[#This Row],[Total Hours Act]]*tbl_RobotWeld[[#This Row],['# of men Act]],"")</f>
        <v/>
      </c>
      <c r="O45"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45" s="90" t="str">
        <f>IFERROR((tbl_RobotWeld[[#This Row],[Adj. Total Hours]]+tbl_RobotWeld[[#This Row],[Est. Hours]])/(tbl_RobotWeld[[#This Row],[Total Hours Act]]+tbl_RobotWeld[[#This Row],[Act. Hours]]),"")</f>
        <v/>
      </c>
      <c r="S45"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45" s="93"/>
      <c r="U45" s="63"/>
      <c r="V45" s="63"/>
      <c r="W45" s="63"/>
      <c r="X45" s="63"/>
    </row>
    <row r="46" spans="6:24" ht="25" customHeight="1">
      <c r="F46" s="53"/>
      <c r="H46" s="55" t="e">
        <f>tbl_RobotWeld[[#This Row],[Qty Complete]]/tbl_RobotWeld[[#This Row],[Qty Required]]</f>
        <v>#DIV/0!</v>
      </c>
      <c r="K46" s="57" t="str">
        <f>IFERROR(tbl_RobotWeld[[#This Row],[Qty Required]]/tbl_RobotWeld[[#This Row],[PPH]]*tbl_RobotWeld[[#This Row],['# of men]],"")</f>
        <v/>
      </c>
      <c r="L46" s="58" t="e">
        <f>tbl_RobotWeld[[#This Row],[Total hours]]*tbl_RobotWeld[[#This Row],[% Complete]]</f>
        <v>#VALUE!</v>
      </c>
      <c r="M46" s="59" t="str">
        <f>IFERROR(tbl_RobotWeld[[#This Row],[Qty Complete]]/tbl_RobotWeld[[#This Row],[Total Hours Act]]*tbl_RobotWeld[[#This Row],['# of men Act]],"")</f>
        <v/>
      </c>
      <c r="O46"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46" s="90" t="str">
        <f>IFERROR((tbl_RobotWeld[[#This Row],[Adj. Total Hours]]+tbl_RobotWeld[[#This Row],[Est. Hours]])/(tbl_RobotWeld[[#This Row],[Total Hours Act]]+tbl_RobotWeld[[#This Row],[Act. Hours]]),"")</f>
        <v/>
      </c>
      <c r="S46"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46" s="93"/>
      <c r="U46" s="63"/>
      <c r="V46" s="63"/>
      <c r="W46" s="63"/>
      <c r="X46" s="63"/>
    </row>
    <row r="47" spans="6:24" ht="25" customHeight="1">
      <c r="F47" s="53"/>
      <c r="H47" s="55" t="e">
        <f>tbl_RobotWeld[[#This Row],[Qty Complete]]/tbl_RobotWeld[[#This Row],[Qty Required]]</f>
        <v>#DIV/0!</v>
      </c>
      <c r="K47" s="57" t="str">
        <f>IFERROR(tbl_RobotWeld[[#This Row],[Qty Required]]/tbl_RobotWeld[[#This Row],[PPH]]*tbl_RobotWeld[[#This Row],['# of men]],"")</f>
        <v/>
      </c>
      <c r="L47" s="58" t="e">
        <f>tbl_RobotWeld[[#This Row],[Total hours]]*tbl_RobotWeld[[#This Row],[% Complete]]</f>
        <v>#VALUE!</v>
      </c>
      <c r="M47" s="59" t="str">
        <f>IFERROR(tbl_RobotWeld[[#This Row],[Qty Complete]]/tbl_RobotWeld[[#This Row],[Total Hours Act]]*tbl_RobotWeld[[#This Row],['# of men Act]],"")</f>
        <v/>
      </c>
      <c r="O47"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47" s="90" t="str">
        <f>IFERROR((tbl_RobotWeld[[#This Row],[Adj. Total Hours]]+tbl_RobotWeld[[#This Row],[Est. Hours]])/(tbl_RobotWeld[[#This Row],[Total Hours Act]]+tbl_RobotWeld[[#This Row],[Act. Hours]]),"")</f>
        <v/>
      </c>
      <c r="S47"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47" s="93"/>
      <c r="U47" s="63"/>
      <c r="V47" s="63"/>
      <c r="W47" s="63"/>
      <c r="X47" s="63"/>
    </row>
    <row r="48" spans="6:24" ht="25" customHeight="1">
      <c r="F48" s="53"/>
      <c r="H48" s="55" t="e">
        <f>tbl_RobotWeld[[#This Row],[Qty Complete]]/tbl_RobotWeld[[#This Row],[Qty Required]]</f>
        <v>#DIV/0!</v>
      </c>
      <c r="K48" s="57" t="str">
        <f>IFERROR(tbl_RobotWeld[[#This Row],[Qty Required]]/tbl_RobotWeld[[#This Row],[PPH]]*tbl_RobotWeld[[#This Row],['# of men]],"")</f>
        <v/>
      </c>
      <c r="L48" s="58" t="e">
        <f>tbl_RobotWeld[[#This Row],[Total hours]]*tbl_RobotWeld[[#This Row],[% Complete]]</f>
        <v>#VALUE!</v>
      </c>
      <c r="M48" s="59" t="str">
        <f>IFERROR(tbl_RobotWeld[[#This Row],[Qty Complete]]/tbl_RobotWeld[[#This Row],[Total Hours Act]]*tbl_RobotWeld[[#This Row],['# of men Act]],"")</f>
        <v/>
      </c>
      <c r="O48"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48" s="90" t="str">
        <f>IFERROR((tbl_RobotWeld[[#This Row],[Adj. Total Hours]]+tbl_RobotWeld[[#This Row],[Est. Hours]])/(tbl_RobotWeld[[#This Row],[Total Hours Act]]+tbl_RobotWeld[[#This Row],[Act. Hours]]),"")</f>
        <v/>
      </c>
      <c r="S48"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48" s="93"/>
      <c r="U48" s="63"/>
      <c r="V48" s="63"/>
      <c r="W48" s="63"/>
      <c r="X48" s="63"/>
    </row>
    <row r="49" spans="6:24" ht="25" customHeight="1">
      <c r="F49" s="53"/>
      <c r="H49" s="55" t="e">
        <f>tbl_RobotWeld[[#This Row],[Qty Complete]]/tbl_RobotWeld[[#This Row],[Qty Required]]</f>
        <v>#DIV/0!</v>
      </c>
      <c r="K49" s="57" t="str">
        <f>IFERROR(tbl_RobotWeld[[#This Row],[Qty Required]]/tbl_RobotWeld[[#This Row],[PPH]]*tbl_RobotWeld[[#This Row],['# of men]],"")</f>
        <v/>
      </c>
      <c r="L49" s="58" t="e">
        <f>tbl_RobotWeld[[#This Row],[Total hours]]*tbl_RobotWeld[[#This Row],[% Complete]]</f>
        <v>#VALUE!</v>
      </c>
      <c r="M49" s="59" t="str">
        <f>IFERROR(tbl_RobotWeld[[#This Row],[Qty Complete]]/tbl_RobotWeld[[#This Row],[Total Hours Act]]*tbl_RobotWeld[[#This Row],['# of men Act]],"")</f>
        <v/>
      </c>
      <c r="O49"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49" s="90" t="str">
        <f>IFERROR((tbl_RobotWeld[[#This Row],[Adj. Total Hours]]+tbl_RobotWeld[[#This Row],[Est. Hours]])/(tbl_RobotWeld[[#This Row],[Total Hours Act]]+tbl_RobotWeld[[#This Row],[Act. Hours]]),"")</f>
        <v/>
      </c>
      <c r="S49"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49" s="93"/>
      <c r="U49" s="63"/>
      <c r="V49" s="63"/>
      <c r="W49" s="63"/>
      <c r="X49" s="63"/>
    </row>
    <row r="50" spans="6:24" ht="25" customHeight="1">
      <c r="F50" s="53"/>
      <c r="H50" s="55" t="e">
        <f>tbl_RobotWeld[[#This Row],[Qty Complete]]/tbl_RobotWeld[[#This Row],[Qty Required]]</f>
        <v>#DIV/0!</v>
      </c>
      <c r="K50" s="57" t="str">
        <f>IFERROR(tbl_RobotWeld[[#This Row],[Qty Required]]/tbl_RobotWeld[[#This Row],[PPH]]*tbl_RobotWeld[[#This Row],['# of men]],"")</f>
        <v/>
      </c>
      <c r="L50" s="58" t="e">
        <f>tbl_RobotWeld[[#This Row],[Total hours]]*tbl_RobotWeld[[#This Row],[% Complete]]</f>
        <v>#VALUE!</v>
      </c>
      <c r="M50" s="59" t="str">
        <f>IFERROR(tbl_RobotWeld[[#This Row],[Qty Complete]]/tbl_RobotWeld[[#This Row],[Total Hours Act]]*tbl_RobotWeld[[#This Row],['# of men Act]],"")</f>
        <v/>
      </c>
      <c r="O50"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50" s="90" t="str">
        <f>IFERROR((tbl_RobotWeld[[#This Row],[Adj. Total Hours]]+tbl_RobotWeld[[#This Row],[Est. Hours]])/(tbl_RobotWeld[[#This Row],[Total Hours Act]]+tbl_RobotWeld[[#This Row],[Act. Hours]]),"")</f>
        <v/>
      </c>
      <c r="S50"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50" s="93"/>
      <c r="U50" s="63"/>
      <c r="V50" s="63"/>
      <c r="W50" s="63"/>
      <c r="X50" s="63"/>
    </row>
    <row r="51" spans="6:24" ht="25" customHeight="1">
      <c r="F51" s="53"/>
      <c r="H51" s="55" t="e">
        <f>tbl_RobotWeld[[#This Row],[Qty Complete]]/tbl_RobotWeld[[#This Row],[Qty Required]]</f>
        <v>#DIV/0!</v>
      </c>
      <c r="K51" s="57" t="str">
        <f>IFERROR(tbl_RobotWeld[[#This Row],[Qty Required]]/tbl_RobotWeld[[#This Row],[PPH]]*tbl_RobotWeld[[#This Row],['# of men]],"")</f>
        <v/>
      </c>
      <c r="L51" s="58" t="e">
        <f>tbl_RobotWeld[[#This Row],[Total hours]]*tbl_RobotWeld[[#This Row],[% Complete]]</f>
        <v>#VALUE!</v>
      </c>
      <c r="M51" s="59" t="str">
        <f>IFERROR(tbl_RobotWeld[[#This Row],[Qty Complete]]/tbl_RobotWeld[[#This Row],[Total Hours Act]]*tbl_RobotWeld[[#This Row],['# of men Act]],"")</f>
        <v/>
      </c>
      <c r="O51"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51" s="90" t="str">
        <f>IFERROR((tbl_RobotWeld[[#This Row],[Adj. Total Hours]]+tbl_RobotWeld[[#This Row],[Est. Hours]])/(tbl_RobotWeld[[#This Row],[Total Hours Act]]+tbl_RobotWeld[[#This Row],[Act. Hours]]),"")</f>
        <v/>
      </c>
      <c r="S51"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51" s="93"/>
      <c r="U51" s="63"/>
      <c r="V51" s="63"/>
      <c r="W51" s="63"/>
      <c r="X51" s="63"/>
    </row>
    <row r="52" spans="6:24" ht="25" customHeight="1">
      <c r="F52" s="53"/>
      <c r="H52" s="55" t="e">
        <f>tbl_RobotWeld[[#This Row],[Qty Complete]]/tbl_RobotWeld[[#This Row],[Qty Required]]</f>
        <v>#DIV/0!</v>
      </c>
      <c r="K52" s="57" t="str">
        <f>IFERROR(tbl_RobotWeld[[#This Row],[Qty Required]]/tbl_RobotWeld[[#This Row],[PPH]]*tbl_RobotWeld[[#This Row],['# of men]],"")</f>
        <v/>
      </c>
      <c r="L52" s="58" t="e">
        <f>tbl_RobotWeld[[#This Row],[Total hours]]*tbl_RobotWeld[[#This Row],[% Complete]]</f>
        <v>#VALUE!</v>
      </c>
      <c r="M52" s="59" t="str">
        <f>IFERROR(tbl_RobotWeld[[#This Row],[Qty Complete]]/tbl_RobotWeld[[#This Row],[Total Hours Act]]*tbl_RobotWeld[[#This Row],['# of men Act]],"")</f>
        <v/>
      </c>
      <c r="O52"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52" s="90" t="str">
        <f>IFERROR((tbl_RobotWeld[[#This Row],[Adj. Total Hours]]+tbl_RobotWeld[[#This Row],[Est. Hours]])/(tbl_RobotWeld[[#This Row],[Total Hours Act]]+tbl_RobotWeld[[#This Row],[Act. Hours]]),"")</f>
        <v/>
      </c>
      <c r="S52"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52" s="93"/>
      <c r="U52" s="63"/>
      <c r="V52" s="63"/>
      <c r="W52" s="63"/>
      <c r="X52" s="63"/>
    </row>
    <row r="53" spans="6:24" ht="25" customHeight="1">
      <c r="F53" s="53"/>
      <c r="H53" s="55" t="e">
        <f>tbl_RobotWeld[[#This Row],[Qty Complete]]/tbl_RobotWeld[[#This Row],[Qty Required]]</f>
        <v>#DIV/0!</v>
      </c>
      <c r="K53" s="57" t="str">
        <f>IFERROR(tbl_RobotWeld[[#This Row],[Qty Required]]/tbl_RobotWeld[[#This Row],[PPH]]*tbl_RobotWeld[[#This Row],['# of men]],"")</f>
        <v/>
      </c>
      <c r="L53" s="58" t="e">
        <f>tbl_RobotWeld[[#This Row],[Total hours]]*tbl_RobotWeld[[#This Row],[% Complete]]</f>
        <v>#VALUE!</v>
      </c>
      <c r="M53" s="59" t="str">
        <f>IFERROR(tbl_RobotWeld[[#This Row],[Qty Complete]]/tbl_RobotWeld[[#This Row],[Total Hours Act]]*tbl_RobotWeld[[#This Row],['# of men Act]],"")</f>
        <v/>
      </c>
      <c r="O53"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53" s="90" t="str">
        <f>IFERROR((tbl_RobotWeld[[#This Row],[Adj. Total Hours]]+tbl_RobotWeld[[#This Row],[Est. Hours]])/(tbl_RobotWeld[[#This Row],[Total Hours Act]]+tbl_RobotWeld[[#This Row],[Act. Hours]]),"")</f>
        <v/>
      </c>
      <c r="S53"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53" s="93"/>
      <c r="U53" s="63"/>
      <c r="V53" s="63"/>
      <c r="W53" s="63"/>
      <c r="X53" s="63"/>
    </row>
    <row r="54" spans="6:24" ht="25" customHeight="1">
      <c r="F54" s="53"/>
      <c r="H54" s="55" t="e">
        <f>tbl_RobotWeld[[#This Row],[Qty Complete]]/tbl_RobotWeld[[#This Row],[Qty Required]]</f>
        <v>#DIV/0!</v>
      </c>
      <c r="K54" s="57" t="str">
        <f>IFERROR(tbl_RobotWeld[[#This Row],[Qty Required]]/tbl_RobotWeld[[#This Row],[PPH]]*tbl_RobotWeld[[#This Row],['# of men]],"")</f>
        <v/>
      </c>
      <c r="L54" s="58" t="e">
        <f>tbl_RobotWeld[[#This Row],[Total hours]]*tbl_RobotWeld[[#This Row],[% Complete]]</f>
        <v>#VALUE!</v>
      </c>
      <c r="M54" s="59" t="str">
        <f>IFERROR(tbl_RobotWeld[[#This Row],[Qty Complete]]/tbl_RobotWeld[[#This Row],[Total Hours Act]]*tbl_RobotWeld[[#This Row],['# of men Act]],"")</f>
        <v/>
      </c>
      <c r="O54"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54" s="90" t="str">
        <f>IFERROR((tbl_RobotWeld[[#This Row],[Adj. Total Hours]]+tbl_RobotWeld[[#This Row],[Est. Hours]])/(tbl_RobotWeld[[#This Row],[Total Hours Act]]+tbl_RobotWeld[[#This Row],[Act. Hours]]),"")</f>
        <v/>
      </c>
      <c r="S54"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54" s="93"/>
      <c r="U54" s="63"/>
      <c r="V54" s="63"/>
      <c r="W54" s="63"/>
      <c r="X54" s="63"/>
    </row>
    <row r="55" spans="6:24" ht="25" customHeight="1">
      <c r="F55" s="53"/>
      <c r="H55" s="55" t="e">
        <f>tbl_RobotWeld[[#This Row],[Qty Complete]]/tbl_RobotWeld[[#This Row],[Qty Required]]</f>
        <v>#DIV/0!</v>
      </c>
      <c r="K55" s="57" t="str">
        <f>IFERROR(tbl_RobotWeld[[#This Row],[Qty Required]]/tbl_RobotWeld[[#This Row],[PPH]]*tbl_RobotWeld[[#This Row],['# of men]],"")</f>
        <v/>
      </c>
      <c r="L55" s="58" t="e">
        <f>tbl_RobotWeld[[#This Row],[Total hours]]*tbl_RobotWeld[[#This Row],[% Complete]]</f>
        <v>#VALUE!</v>
      </c>
      <c r="M55" s="59" t="str">
        <f>IFERROR(tbl_RobotWeld[[#This Row],[Qty Complete]]/tbl_RobotWeld[[#This Row],[Total Hours Act]]*tbl_RobotWeld[[#This Row],['# of men Act]],"")</f>
        <v/>
      </c>
      <c r="O55"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55" s="90" t="str">
        <f>IFERROR((tbl_RobotWeld[[#This Row],[Adj. Total Hours]]+tbl_RobotWeld[[#This Row],[Est. Hours]])/(tbl_RobotWeld[[#This Row],[Total Hours Act]]+tbl_RobotWeld[[#This Row],[Act. Hours]]),"")</f>
        <v/>
      </c>
      <c r="S55"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55" s="93"/>
      <c r="U55" s="63"/>
      <c r="V55" s="63"/>
      <c r="W55" s="63"/>
      <c r="X55" s="63"/>
    </row>
    <row r="56" spans="6:24" ht="25" customHeight="1">
      <c r="F56" s="53"/>
      <c r="H56" s="55" t="e">
        <f>tbl_RobotWeld[[#This Row],[Qty Complete]]/tbl_RobotWeld[[#This Row],[Qty Required]]</f>
        <v>#DIV/0!</v>
      </c>
      <c r="K56" s="57" t="str">
        <f>IFERROR(tbl_RobotWeld[[#This Row],[Qty Required]]/tbl_RobotWeld[[#This Row],[PPH]]*tbl_RobotWeld[[#This Row],['# of men]],"")</f>
        <v/>
      </c>
      <c r="L56" s="58" t="e">
        <f>tbl_RobotWeld[[#This Row],[Total hours]]*tbl_RobotWeld[[#This Row],[% Complete]]</f>
        <v>#VALUE!</v>
      </c>
      <c r="M56" s="59" t="str">
        <f>IFERROR(tbl_RobotWeld[[#This Row],[Qty Complete]]/tbl_RobotWeld[[#This Row],[Total Hours Act]]*tbl_RobotWeld[[#This Row],['# of men Act]],"")</f>
        <v/>
      </c>
      <c r="O56"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56" s="90" t="str">
        <f>IFERROR((tbl_RobotWeld[[#This Row],[Adj. Total Hours]]+tbl_RobotWeld[[#This Row],[Est. Hours]])/(tbl_RobotWeld[[#This Row],[Total Hours Act]]+tbl_RobotWeld[[#This Row],[Act. Hours]]),"")</f>
        <v/>
      </c>
      <c r="S56"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56" s="93"/>
      <c r="U56" s="63"/>
      <c r="V56" s="63"/>
      <c r="W56" s="63"/>
      <c r="X56" s="63"/>
    </row>
    <row r="57" spans="6:24" ht="25" customHeight="1">
      <c r="F57" s="53"/>
      <c r="H57" s="55" t="e">
        <f>tbl_RobotWeld[[#This Row],[Qty Complete]]/tbl_RobotWeld[[#This Row],[Qty Required]]</f>
        <v>#DIV/0!</v>
      </c>
      <c r="K57" s="57" t="str">
        <f>IFERROR(tbl_RobotWeld[[#This Row],[Qty Required]]/tbl_RobotWeld[[#This Row],[PPH]]*tbl_RobotWeld[[#This Row],['# of men]],"")</f>
        <v/>
      </c>
      <c r="L57" s="58" t="e">
        <f>tbl_RobotWeld[[#This Row],[Total hours]]*tbl_RobotWeld[[#This Row],[% Complete]]</f>
        <v>#VALUE!</v>
      </c>
      <c r="M57" s="59" t="str">
        <f>IFERROR(tbl_RobotWeld[[#This Row],[Qty Complete]]/tbl_RobotWeld[[#This Row],[Total Hours Act]]*tbl_RobotWeld[[#This Row],['# of men Act]],"")</f>
        <v/>
      </c>
      <c r="O57"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57" s="90" t="str">
        <f>IFERROR((tbl_RobotWeld[[#This Row],[Adj. Total Hours]]+tbl_RobotWeld[[#This Row],[Est. Hours]])/(tbl_RobotWeld[[#This Row],[Total Hours Act]]+tbl_RobotWeld[[#This Row],[Act. Hours]]),"")</f>
        <v/>
      </c>
      <c r="S57"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57" s="93"/>
      <c r="U57" s="63"/>
      <c r="V57" s="63"/>
      <c r="W57" s="63"/>
      <c r="X57" s="63"/>
    </row>
    <row r="58" spans="6:24" ht="25" customHeight="1">
      <c r="F58" s="53"/>
      <c r="H58" s="55" t="e">
        <f>tbl_RobotWeld[[#This Row],[Qty Complete]]/tbl_RobotWeld[[#This Row],[Qty Required]]</f>
        <v>#DIV/0!</v>
      </c>
      <c r="K58" s="57" t="str">
        <f>IFERROR(tbl_RobotWeld[[#This Row],[Qty Required]]/tbl_RobotWeld[[#This Row],[PPH]]*tbl_RobotWeld[[#This Row],['# of men]],"")</f>
        <v/>
      </c>
      <c r="L58" s="58" t="e">
        <f>tbl_RobotWeld[[#This Row],[Total hours]]*tbl_RobotWeld[[#This Row],[% Complete]]</f>
        <v>#VALUE!</v>
      </c>
      <c r="M58" s="59" t="str">
        <f>IFERROR(tbl_RobotWeld[[#This Row],[Qty Complete]]/tbl_RobotWeld[[#This Row],[Total Hours Act]]*tbl_RobotWeld[[#This Row],['# of men Act]],"")</f>
        <v/>
      </c>
      <c r="O58"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58" s="90" t="str">
        <f>IFERROR((tbl_RobotWeld[[#This Row],[Adj. Total Hours]]+tbl_RobotWeld[[#This Row],[Est. Hours]])/(tbl_RobotWeld[[#This Row],[Total Hours Act]]+tbl_RobotWeld[[#This Row],[Act. Hours]]),"")</f>
        <v/>
      </c>
      <c r="S58"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58" s="93"/>
      <c r="U58" s="63"/>
      <c r="V58" s="63"/>
      <c r="W58" s="63"/>
      <c r="X58" s="63"/>
    </row>
    <row r="59" spans="6:24" ht="25" customHeight="1">
      <c r="F59" s="53"/>
      <c r="H59" s="55" t="e">
        <f>tbl_RobotWeld[[#This Row],[Qty Complete]]/tbl_RobotWeld[[#This Row],[Qty Required]]</f>
        <v>#DIV/0!</v>
      </c>
      <c r="K59" s="57" t="str">
        <f>IFERROR(tbl_RobotWeld[[#This Row],[Qty Required]]/tbl_RobotWeld[[#This Row],[PPH]]*tbl_RobotWeld[[#This Row],['# of men]],"")</f>
        <v/>
      </c>
      <c r="L59" s="58" t="e">
        <f>tbl_RobotWeld[[#This Row],[Total hours]]*tbl_RobotWeld[[#This Row],[% Complete]]</f>
        <v>#VALUE!</v>
      </c>
      <c r="M59" s="59" t="str">
        <f>IFERROR(tbl_RobotWeld[[#This Row],[Qty Complete]]/tbl_RobotWeld[[#This Row],[Total Hours Act]]*tbl_RobotWeld[[#This Row],['# of men Act]],"")</f>
        <v/>
      </c>
      <c r="O59"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59" s="90" t="str">
        <f>IFERROR((tbl_RobotWeld[[#This Row],[Adj. Total Hours]]+tbl_RobotWeld[[#This Row],[Est. Hours]])/(tbl_RobotWeld[[#This Row],[Total Hours Act]]+tbl_RobotWeld[[#This Row],[Act. Hours]]),"")</f>
        <v/>
      </c>
      <c r="S59"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59" s="93"/>
      <c r="U59" s="63"/>
      <c r="V59" s="63"/>
      <c r="W59" s="63"/>
      <c r="X59" s="63"/>
    </row>
    <row r="60" spans="6:24" ht="25" customHeight="1">
      <c r="F60" s="53"/>
      <c r="H60" s="55" t="e">
        <f>tbl_RobotWeld[[#This Row],[Qty Complete]]/tbl_RobotWeld[[#This Row],[Qty Required]]</f>
        <v>#DIV/0!</v>
      </c>
      <c r="K60" s="57" t="str">
        <f>IFERROR(tbl_RobotWeld[[#This Row],[Qty Required]]/tbl_RobotWeld[[#This Row],[PPH]]*tbl_RobotWeld[[#This Row],['# of men]],"")</f>
        <v/>
      </c>
      <c r="L60" s="58" t="e">
        <f>tbl_RobotWeld[[#This Row],[Total hours]]*tbl_RobotWeld[[#This Row],[% Complete]]</f>
        <v>#VALUE!</v>
      </c>
      <c r="M60" s="59" t="str">
        <f>IFERROR(tbl_RobotWeld[[#This Row],[Qty Complete]]/tbl_RobotWeld[[#This Row],[Total Hours Act]]*tbl_RobotWeld[[#This Row],['# of men Act]],"")</f>
        <v/>
      </c>
      <c r="O60"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60" s="90" t="str">
        <f>IFERROR((tbl_RobotWeld[[#This Row],[Adj. Total Hours]]+tbl_RobotWeld[[#This Row],[Est. Hours]])/(tbl_RobotWeld[[#This Row],[Total Hours Act]]+tbl_RobotWeld[[#This Row],[Act. Hours]]),"")</f>
        <v/>
      </c>
      <c r="S60"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60" s="93"/>
      <c r="U60" s="63"/>
      <c r="V60" s="63"/>
      <c r="W60" s="63"/>
      <c r="X60" s="63"/>
    </row>
    <row r="61" spans="6:24" ht="25" customHeight="1">
      <c r="F61" s="53"/>
      <c r="H61" s="55" t="e">
        <f>tbl_RobotWeld[[#This Row],[Qty Complete]]/tbl_RobotWeld[[#This Row],[Qty Required]]</f>
        <v>#DIV/0!</v>
      </c>
      <c r="K61" s="57" t="str">
        <f>IFERROR(tbl_RobotWeld[[#This Row],[Qty Required]]/tbl_RobotWeld[[#This Row],[PPH]]*tbl_RobotWeld[[#This Row],['# of men]],"")</f>
        <v/>
      </c>
      <c r="L61" s="58" t="e">
        <f>tbl_RobotWeld[[#This Row],[Total hours]]*tbl_RobotWeld[[#This Row],[% Complete]]</f>
        <v>#VALUE!</v>
      </c>
      <c r="M61" s="59" t="str">
        <f>IFERROR(tbl_RobotWeld[[#This Row],[Qty Complete]]/tbl_RobotWeld[[#This Row],[Total Hours Act]]*tbl_RobotWeld[[#This Row],['# of men Act]],"")</f>
        <v/>
      </c>
      <c r="O61"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61" s="90" t="str">
        <f>IFERROR((tbl_RobotWeld[[#This Row],[Adj. Total Hours]]+tbl_RobotWeld[[#This Row],[Est. Hours]])/(tbl_RobotWeld[[#This Row],[Total Hours Act]]+tbl_RobotWeld[[#This Row],[Act. Hours]]),"")</f>
        <v/>
      </c>
      <c r="S61"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61" s="93"/>
      <c r="U61" s="63"/>
      <c r="V61" s="63"/>
      <c r="W61" s="63"/>
      <c r="X61" s="63"/>
    </row>
    <row r="62" spans="6:24" ht="25" customHeight="1">
      <c r="F62" s="53"/>
      <c r="H62" s="55" t="e">
        <f>tbl_RobotWeld[[#This Row],[Qty Complete]]/tbl_RobotWeld[[#This Row],[Qty Required]]</f>
        <v>#DIV/0!</v>
      </c>
      <c r="K62" s="57" t="str">
        <f>IFERROR(tbl_RobotWeld[[#This Row],[Qty Required]]/tbl_RobotWeld[[#This Row],[PPH]]*tbl_RobotWeld[[#This Row],['# of men]],"")</f>
        <v/>
      </c>
      <c r="L62" s="58" t="e">
        <f>tbl_RobotWeld[[#This Row],[Total hours]]*tbl_RobotWeld[[#This Row],[% Complete]]</f>
        <v>#VALUE!</v>
      </c>
      <c r="M62" s="59" t="str">
        <f>IFERROR(tbl_RobotWeld[[#This Row],[Qty Complete]]/tbl_RobotWeld[[#This Row],[Total Hours Act]]*tbl_RobotWeld[[#This Row],['# of men Act]],"")</f>
        <v/>
      </c>
      <c r="O62"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62" s="90" t="str">
        <f>IFERROR((tbl_RobotWeld[[#This Row],[Adj. Total Hours]]+tbl_RobotWeld[[#This Row],[Est. Hours]])/(tbl_RobotWeld[[#This Row],[Total Hours Act]]+tbl_RobotWeld[[#This Row],[Act. Hours]]),"")</f>
        <v/>
      </c>
      <c r="S62"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62" s="93"/>
      <c r="U62" s="63"/>
      <c r="V62" s="63"/>
      <c r="W62" s="63"/>
      <c r="X62" s="63"/>
    </row>
    <row r="63" spans="6:24" ht="25" customHeight="1">
      <c r="F63" s="53"/>
      <c r="H63" s="55" t="e">
        <f>tbl_RobotWeld[[#This Row],[Qty Complete]]/tbl_RobotWeld[[#This Row],[Qty Required]]</f>
        <v>#DIV/0!</v>
      </c>
      <c r="K63" s="57" t="str">
        <f>IFERROR(tbl_RobotWeld[[#This Row],[Qty Required]]/tbl_RobotWeld[[#This Row],[PPH]]*tbl_RobotWeld[[#This Row],['# of men]],"")</f>
        <v/>
      </c>
      <c r="L63" s="58" t="e">
        <f>tbl_RobotWeld[[#This Row],[Total hours]]*tbl_RobotWeld[[#This Row],[% Complete]]</f>
        <v>#VALUE!</v>
      </c>
      <c r="M63" s="59" t="str">
        <f>IFERROR(tbl_RobotWeld[[#This Row],[Qty Complete]]/tbl_RobotWeld[[#This Row],[Total Hours Act]]*tbl_RobotWeld[[#This Row],['# of men Act]],"")</f>
        <v/>
      </c>
      <c r="O63"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63" s="90" t="str">
        <f>IFERROR((tbl_RobotWeld[[#This Row],[Adj. Total Hours]]+tbl_RobotWeld[[#This Row],[Est. Hours]])/(tbl_RobotWeld[[#This Row],[Total Hours Act]]+tbl_RobotWeld[[#This Row],[Act. Hours]]),"")</f>
        <v/>
      </c>
      <c r="S63"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63" s="93"/>
      <c r="U63" s="63"/>
      <c r="V63" s="63"/>
      <c r="W63" s="63"/>
      <c r="X63" s="63"/>
    </row>
    <row r="64" spans="6:24" ht="25" customHeight="1">
      <c r="F64" s="53"/>
      <c r="H64" s="55" t="e">
        <f>tbl_RobotWeld[[#This Row],[Qty Complete]]/tbl_RobotWeld[[#This Row],[Qty Required]]</f>
        <v>#DIV/0!</v>
      </c>
      <c r="K64" s="57" t="str">
        <f>IFERROR(tbl_RobotWeld[[#This Row],[Qty Required]]/tbl_RobotWeld[[#This Row],[PPH]]*tbl_RobotWeld[[#This Row],['# of men]],"")</f>
        <v/>
      </c>
      <c r="L64" s="58" t="e">
        <f>tbl_RobotWeld[[#This Row],[Total hours]]*tbl_RobotWeld[[#This Row],[% Complete]]</f>
        <v>#VALUE!</v>
      </c>
      <c r="M64" s="59" t="str">
        <f>IFERROR(tbl_RobotWeld[[#This Row],[Qty Complete]]/tbl_RobotWeld[[#This Row],[Total Hours Act]]*tbl_RobotWeld[[#This Row],['# of men Act]],"")</f>
        <v/>
      </c>
      <c r="O64"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64" s="90" t="str">
        <f>IFERROR((tbl_RobotWeld[[#This Row],[Adj. Total Hours]]+tbl_RobotWeld[[#This Row],[Est. Hours]])/(tbl_RobotWeld[[#This Row],[Total Hours Act]]+tbl_RobotWeld[[#This Row],[Act. Hours]]),"")</f>
        <v/>
      </c>
      <c r="S64"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64" s="93"/>
      <c r="U64" s="63"/>
      <c r="V64" s="63"/>
      <c r="W64" s="63"/>
      <c r="X64" s="63"/>
    </row>
    <row r="65" spans="6:24" ht="25" customHeight="1">
      <c r="F65" s="53"/>
      <c r="H65" s="55" t="e">
        <f>tbl_RobotWeld[[#This Row],[Qty Complete]]/tbl_RobotWeld[[#This Row],[Qty Required]]</f>
        <v>#DIV/0!</v>
      </c>
      <c r="K65" s="57" t="str">
        <f>IFERROR(tbl_RobotWeld[[#This Row],[Qty Required]]/tbl_RobotWeld[[#This Row],[PPH]]*tbl_RobotWeld[[#This Row],['# of men]],"")</f>
        <v/>
      </c>
      <c r="L65" s="58" t="e">
        <f>tbl_RobotWeld[[#This Row],[Total hours]]*tbl_RobotWeld[[#This Row],[% Complete]]</f>
        <v>#VALUE!</v>
      </c>
      <c r="M65" s="59" t="str">
        <f>IFERROR(tbl_RobotWeld[[#This Row],[Qty Complete]]/tbl_RobotWeld[[#This Row],[Total Hours Act]]*tbl_RobotWeld[[#This Row],['# of men Act]],"")</f>
        <v/>
      </c>
      <c r="O65"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65" s="90" t="str">
        <f>IFERROR((tbl_RobotWeld[[#This Row],[Adj. Total Hours]]+tbl_RobotWeld[[#This Row],[Est. Hours]])/(tbl_RobotWeld[[#This Row],[Total Hours Act]]+tbl_RobotWeld[[#This Row],[Act. Hours]]),"")</f>
        <v/>
      </c>
      <c r="S65"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65" s="93"/>
      <c r="U65" s="63"/>
      <c r="V65" s="63"/>
      <c r="W65" s="63"/>
      <c r="X65" s="63"/>
    </row>
    <row r="66" spans="6:24" ht="25" customHeight="1">
      <c r="F66" s="53"/>
      <c r="H66" s="55" t="e">
        <f>tbl_RobotWeld[[#This Row],[Qty Complete]]/tbl_RobotWeld[[#This Row],[Qty Required]]</f>
        <v>#DIV/0!</v>
      </c>
      <c r="K66" s="57" t="str">
        <f>IFERROR(tbl_RobotWeld[[#This Row],[Qty Required]]/tbl_RobotWeld[[#This Row],[PPH]]*tbl_RobotWeld[[#This Row],['# of men]],"")</f>
        <v/>
      </c>
      <c r="L66" s="58" t="e">
        <f>tbl_RobotWeld[[#This Row],[Total hours]]*tbl_RobotWeld[[#This Row],[% Complete]]</f>
        <v>#VALUE!</v>
      </c>
      <c r="M66" s="59" t="str">
        <f>IFERROR(tbl_RobotWeld[[#This Row],[Qty Complete]]/tbl_RobotWeld[[#This Row],[Total Hours Act]]*tbl_RobotWeld[[#This Row],['# of men Act]],"")</f>
        <v/>
      </c>
      <c r="O66"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66" s="90" t="str">
        <f>IFERROR((tbl_RobotWeld[[#This Row],[Adj. Total Hours]]+tbl_RobotWeld[[#This Row],[Est. Hours]])/(tbl_RobotWeld[[#This Row],[Total Hours Act]]+tbl_RobotWeld[[#This Row],[Act. Hours]]),"")</f>
        <v/>
      </c>
      <c r="S66"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66" s="93"/>
      <c r="U66" s="63"/>
      <c r="V66" s="63"/>
      <c r="W66" s="63"/>
      <c r="X66" s="63"/>
    </row>
    <row r="67" spans="6:24" ht="25" customHeight="1">
      <c r="F67" s="53"/>
      <c r="H67" s="55" t="e">
        <f>tbl_RobotWeld[[#This Row],[Qty Complete]]/tbl_RobotWeld[[#This Row],[Qty Required]]</f>
        <v>#DIV/0!</v>
      </c>
      <c r="K67" s="57" t="str">
        <f>IFERROR(tbl_RobotWeld[[#This Row],[Qty Required]]/tbl_RobotWeld[[#This Row],[PPH]]*tbl_RobotWeld[[#This Row],['# of men]],"")</f>
        <v/>
      </c>
      <c r="L67" s="58" t="e">
        <f>tbl_RobotWeld[[#This Row],[Total hours]]*tbl_RobotWeld[[#This Row],[% Complete]]</f>
        <v>#VALUE!</v>
      </c>
      <c r="M67" s="59" t="str">
        <f>IFERROR(tbl_RobotWeld[[#This Row],[Qty Complete]]/tbl_RobotWeld[[#This Row],[Total Hours Act]]*tbl_RobotWeld[[#This Row],['# of men Act]],"")</f>
        <v/>
      </c>
      <c r="O67"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67" s="90" t="str">
        <f>IFERROR((tbl_RobotWeld[[#This Row],[Adj. Total Hours]]+tbl_RobotWeld[[#This Row],[Est. Hours]])/(tbl_RobotWeld[[#This Row],[Total Hours Act]]+tbl_RobotWeld[[#This Row],[Act. Hours]]),"")</f>
        <v/>
      </c>
      <c r="S67"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67" s="93"/>
      <c r="U67" s="63"/>
      <c r="V67" s="63"/>
      <c r="W67" s="63"/>
      <c r="X67" s="63"/>
    </row>
    <row r="68" spans="6:24" ht="25" customHeight="1">
      <c r="F68" s="53"/>
      <c r="H68" s="55" t="e">
        <f>tbl_RobotWeld[[#This Row],[Qty Complete]]/tbl_RobotWeld[[#This Row],[Qty Required]]</f>
        <v>#DIV/0!</v>
      </c>
      <c r="K68" s="57" t="str">
        <f>IFERROR(tbl_RobotWeld[[#This Row],[Qty Required]]/tbl_RobotWeld[[#This Row],[PPH]]*tbl_RobotWeld[[#This Row],['# of men]],"")</f>
        <v/>
      </c>
      <c r="L68" s="58" t="e">
        <f>tbl_RobotWeld[[#This Row],[Total hours]]*tbl_RobotWeld[[#This Row],[% Complete]]</f>
        <v>#VALUE!</v>
      </c>
      <c r="M68" s="59" t="str">
        <f>IFERROR(tbl_RobotWeld[[#This Row],[Qty Complete]]/tbl_RobotWeld[[#This Row],[Total Hours Act]]*tbl_RobotWeld[[#This Row],['# of men Act]],"")</f>
        <v/>
      </c>
      <c r="O68"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68" s="90" t="str">
        <f>IFERROR((tbl_RobotWeld[[#This Row],[Adj. Total Hours]]+tbl_RobotWeld[[#This Row],[Est. Hours]])/(tbl_RobotWeld[[#This Row],[Total Hours Act]]+tbl_RobotWeld[[#This Row],[Act. Hours]]),"")</f>
        <v/>
      </c>
      <c r="S68"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68" s="93"/>
      <c r="U68" s="63"/>
      <c r="V68" s="63"/>
      <c r="W68" s="63"/>
      <c r="X68" s="63"/>
    </row>
    <row r="69" spans="6:24" ht="25" customHeight="1">
      <c r="F69" s="53"/>
      <c r="H69" s="55" t="e">
        <f>tbl_RobotWeld[[#This Row],[Qty Complete]]/tbl_RobotWeld[[#This Row],[Qty Required]]</f>
        <v>#DIV/0!</v>
      </c>
      <c r="K69" s="57" t="str">
        <f>IFERROR(tbl_RobotWeld[[#This Row],[Qty Required]]/tbl_RobotWeld[[#This Row],[PPH]]*tbl_RobotWeld[[#This Row],['# of men]],"")</f>
        <v/>
      </c>
      <c r="L69" s="58" t="e">
        <f>tbl_RobotWeld[[#This Row],[Total hours]]*tbl_RobotWeld[[#This Row],[% Complete]]</f>
        <v>#VALUE!</v>
      </c>
      <c r="M69" s="59" t="str">
        <f>IFERROR(tbl_RobotWeld[[#This Row],[Qty Complete]]/tbl_RobotWeld[[#This Row],[Total Hours Act]]*tbl_RobotWeld[[#This Row],['# of men Act]],"")</f>
        <v/>
      </c>
      <c r="O69"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69" s="90" t="str">
        <f>IFERROR((tbl_RobotWeld[[#This Row],[Adj. Total Hours]]+tbl_RobotWeld[[#This Row],[Est. Hours]])/(tbl_RobotWeld[[#This Row],[Total Hours Act]]+tbl_RobotWeld[[#This Row],[Act. Hours]]),"")</f>
        <v/>
      </c>
      <c r="S69"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69" s="93"/>
      <c r="U69" s="63"/>
      <c r="V69" s="63"/>
      <c r="W69" s="63"/>
      <c r="X69" s="63"/>
    </row>
    <row r="70" spans="6:24" ht="25" customHeight="1">
      <c r="F70" s="53"/>
      <c r="H70" s="55" t="e">
        <f>tbl_RobotWeld[[#This Row],[Qty Complete]]/tbl_RobotWeld[[#This Row],[Qty Required]]</f>
        <v>#DIV/0!</v>
      </c>
      <c r="K70" s="57" t="str">
        <f>IFERROR(tbl_RobotWeld[[#This Row],[Qty Required]]/tbl_RobotWeld[[#This Row],[PPH]]*tbl_RobotWeld[[#This Row],['# of men]],"")</f>
        <v/>
      </c>
      <c r="L70" s="58" t="e">
        <f>tbl_RobotWeld[[#This Row],[Total hours]]*tbl_RobotWeld[[#This Row],[% Complete]]</f>
        <v>#VALUE!</v>
      </c>
      <c r="M70" s="59" t="str">
        <f>IFERROR(tbl_RobotWeld[[#This Row],[Qty Complete]]/tbl_RobotWeld[[#This Row],[Total Hours Act]]*tbl_RobotWeld[[#This Row],['# of men Act]],"")</f>
        <v/>
      </c>
      <c r="O70"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70" s="90" t="str">
        <f>IFERROR((tbl_RobotWeld[[#This Row],[Adj. Total Hours]]+tbl_RobotWeld[[#This Row],[Est. Hours]])/(tbl_RobotWeld[[#This Row],[Total Hours Act]]+tbl_RobotWeld[[#This Row],[Act. Hours]]),"")</f>
        <v/>
      </c>
      <c r="S70"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70" s="93"/>
      <c r="U70" s="63"/>
      <c r="V70" s="63"/>
      <c r="W70" s="63"/>
      <c r="X70" s="63"/>
    </row>
    <row r="71" spans="6:24" ht="25" customHeight="1">
      <c r="F71" s="53"/>
      <c r="H71" s="55" t="e">
        <f>tbl_RobotWeld[[#This Row],[Qty Complete]]/tbl_RobotWeld[[#This Row],[Qty Required]]</f>
        <v>#DIV/0!</v>
      </c>
      <c r="K71" s="57" t="str">
        <f>IFERROR(tbl_RobotWeld[[#This Row],[Qty Required]]/tbl_RobotWeld[[#This Row],[PPH]]*tbl_RobotWeld[[#This Row],['# of men]],"")</f>
        <v/>
      </c>
      <c r="L71" s="58" t="e">
        <f>tbl_RobotWeld[[#This Row],[Total hours]]*tbl_RobotWeld[[#This Row],[% Complete]]</f>
        <v>#VALUE!</v>
      </c>
      <c r="M71" s="59" t="str">
        <f>IFERROR(tbl_RobotWeld[[#This Row],[Qty Complete]]/tbl_RobotWeld[[#This Row],[Total Hours Act]]*tbl_RobotWeld[[#This Row],['# of men Act]],"")</f>
        <v/>
      </c>
      <c r="O71"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71" s="90" t="str">
        <f>IFERROR((tbl_RobotWeld[[#This Row],[Adj. Total Hours]]+tbl_RobotWeld[[#This Row],[Est. Hours]])/(tbl_RobotWeld[[#This Row],[Total Hours Act]]+tbl_RobotWeld[[#This Row],[Act. Hours]]),"")</f>
        <v/>
      </c>
      <c r="S71"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71" s="93"/>
      <c r="U71" s="63"/>
      <c r="V71" s="63"/>
      <c r="W71" s="63"/>
      <c r="X71" s="63"/>
    </row>
    <row r="72" spans="6:24" ht="25" customHeight="1">
      <c r="F72" s="53"/>
      <c r="H72" s="55" t="e">
        <f>tbl_RobotWeld[[#This Row],[Qty Complete]]/tbl_RobotWeld[[#This Row],[Qty Required]]</f>
        <v>#DIV/0!</v>
      </c>
      <c r="K72" s="57" t="str">
        <f>IFERROR(tbl_RobotWeld[[#This Row],[Qty Required]]/tbl_RobotWeld[[#This Row],[PPH]]*tbl_RobotWeld[[#This Row],['# of men]],"")</f>
        <v/>
      </c>
      <c r="L72" s="58" t="e">
        <f>tbl_RobotWeld[[#This Row],[Total hours]]*tbl_RobotWeld[[#This Row],[% Complete]]</f>
        <v>#VALUE!</v>
      </c>
      <c r="M72" s="59" t="str">
        <f>IFERROR(tbl_RobotWeld[[#This Row],[Qty Complete]]/tbl_RobotWeld[[#This Row],[Total Hours Act]]*tbl_RobotWeld[[#This Row],['# of men Act]],"")</f>
        <v/>
      </c>
      <c r="O72"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72" s="90" t="str">
        <f>IFERROR((tbl_RobotWeld[[#This Row],[Adj. Total Hours]]+tbl_RobotWeld[[#This Row],[Est. Hours]])/(tbl_RobotWeld[[#This Row],[Total Hours Act]]+tbl_RobotWeld[[#This Row],[Act. Hours]]),"")</f>
        <v/>
      </c>
      <c r="S72"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72" s="93"/>
      <c r="U72" s="63"/>
      <c r="V72" s="63"/>
      <c r="W72" s="63"/>
      <c r="X72" s="63"/>
    </row>
    <row r="73" spans="6:24" ht="25" customHeight="1">
      <c r="F73" s="53"/>
      <c r="H73" s="55" t="e">
        <f>tbl_RobotWeld[[#This Row],[Qty Complete]]/tbl_RobotWeld[[#This Row],[Qty Required]]</f>
        <v>#DIV/0!</v>
      </c>
      <c r="K73" s="57" t="str">
        <f>IFERROR(tbl_RobotWeld[[#This Row],[Qty Required]]/tbl_RobotWeld[[#This Row],[PPH]]*tbl_RobotWeld[[#This Row],['# of men]],"")</f>
        <v/>
      </c>
      <c r="L73" s="58" t="e">
        <f>tbl_RobotWeld[[#This Row],[Total hours]]*tbl_RobotWeld[[#This Row],[% Complete]]</f>
        <v>#VALUE!</v>
      </c>
      <c r="M73" s="59" t="str">
        <f>IFERROR(tbl_RobotWeld[[#This Row],[Qty Complete]]/tbl_RobotWeld[[#This Row],[Total Hours Act]]*tbl_RobotWeld[[#This Row],['# of men Act]],"")</f>
        <v/>
      </c>
      <c r="O73"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73" s="90" t="str">
        <f>IFERROR((tbl_RobotWeld[[#This Row],[Adj. Total Hours]]+tbl_RobotWeld[[#This Row],[Est. Hours]])/(tbl_RobotWeld[[#This Row],[Total Hours Act]]+tbl_RobotWeld[[#This Row],[Act. Hours]]),"")</f>
        <v/>
      </c>
      <c r="S73"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73" s="93"/>
      <c r="U73" s="63"/>
      <c r="V73" s="63"/>
      <c r="W73" s="63"/>
      <c r="X73" s="63"/>
    </row>
    <row r="74" spans="6:24" ht="25" customHeight="1">
      <c r="F74" s="53"/>
      <c r="H74" s="55" t="e">
        <f>tbl_RobotWeld[[#This Row],[Qty Complete]]/tbl_RobotWeld[[#This Row],[Qty Required]]</f>
        <v>#DIV/0!</v>
      </c>
      <c r="K74" s="57" t="str">
        <f>IFERROR(tbl_RobotWeld[[#This Row],[Qty Required]]/tbl_RobotWeld[[#This Row],[PPH]]*tbl_RobotWeld[[#This Row],['# of men]],"")</f>
        <v/>
      </c>
      <c r="L74" s="58" t="e">
        <f>tbl_RobotWeld[[#This Row],[Total hours]]*tbl_RobotWeld[[#This Row],[% Complete]]</f>
        <v>#VALUE!</v>
      </c>
      <c r="M74" s="59" t="str">
        <f>IFERROR(tbl_RobotWeld[[#This Row],[Qty Complete]]/tbl_RobotWeld[[#This Row],[Total Hours Act]]*tbl_RobotWeld[[#This Row],['# of men Act]],"")</f>
        <v/>
      </c>
      <c r="O74"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74" s="90" t="str">
        <f>IFERROR((tbl_RobotWeld[[#This Row],[Adj. Total Hours]]+tbl_RobotWeld[[#This Row],[Est. Hours]])/(tbl_RobotWeld[[#This Row],[Total Hours Act]]+tbl_RobotWeld[[#This Row],[Act. Hours]]),"")</f>
        <v/>
      </c>
      <c r="S74"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74" s="93"/>
      <c r="U74" s="63"/>
      <c r="V74" s="63"/>
      <c r="W74" s="63"/>
      <c r="X74" s="63"/>
    </row>
    <row r="75" spans="6:24" ht="25" customHeight="1">
      <c r="F75" s="53"/>
      <c r="H75" s="55" t="e">
        <f>tbl_RobotWeld[[#This Row],[Qty Complete]]/tbl_RobotWeld[[#This Row],[Qty Required]]</f>
        <v>#DIV/0!</v>
      </c>
      <c r="K75" s="57" t="str">
        <f>IFERROR(tbl_RobotWeld[[#This Row],[Qty Required]]/tbl_RobotWeld[[#This Row],[PPH]]*tbl_RobotWeld[[#This Row],['# of men]],"")</f>
        <v/>
      </c>
      <c r="L75" s="58" t="e">
        <f>tbl_RobotWeld[[#This Row],[Total hours]]*tbl_RobotWeld[[#This Row],[% Complete]]</f>
        <v>#VALUE!</v>
      </c>
      <c r="M75" s="59" t="str">
        <f>IFERROR(tbl_RobotWeld[[#This Row],[Qty Complete]]/tbl_RobotWeld[[#This Row],[Total Hours Act]]*tbl_RobotWeld[[#This Row],['# of men Act]],"")</f>
        <v/>
      </c>
      <c r="O75"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75" s="90" t="str">
        <f>IFERROR((tbl_RobotWeld[[#This Row],[Adj. Total Hours]]+tbl_RobotWeld[[#This Row],[Est. Hours]])/(tbl_RobotWeld[[#This Row],[Total Hours Act]]+tbl_RobotWeld[[#This Row],[Act. Hours]]),"")</f>
        <v/>
      </c>
      <c r="S75"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75" s="93"/>
      <c r="U75" s="63"/>
      <c r="V75" s="63"/>
      <c r="W75" s="63"/>
      <c r="X75" s="63"/>
    </row>
    <row r="76" spans="6:24" ht="25" customHeight="1">
      <c r="F76" s="53"/>
      <c r="H76" s="55" t="e">
        <f>tbl_RobotWeld[[#This Row],[Qty Complete]]/tbl_RobotWeld[[#This Row],[Qty Required]]</f>
        <v>#DIV/0!</v>
      </c>
      <c r="K76" s="57" t="str">
        <f>IFERROR(tbl_RobotWeld[[#This Row],[Qty Required]]/tbl_RobotWeld[[#This Row],[PPH]]*tbl_RobotWeld[[#This Row],['# of men]],"")</f>
        <v/>
      </c>
      <c r="L76" s="58" t="e">
        <f>tbl_RobotWeld[[#This Row],[Total hours]]*tbl_RobotWeld[[#This Row],[% Complete]]</f>
        <v>#VALUE!</v>
      </c>
      <c r="M76" s="59" t="str">
        <f>IFERROR(tbl_RobotWeld[[#This Row],[Qty Complete]]/tbl_RobotWeld[[#This Row],[Total Hours Act]]*tbl_RobotWeld[[#This Row],['# of men Act]],"")</f>
        <v/>
      </c>
      <c r="O76"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76" s="90" t="str">
        <f>IFERROR((tbl_RobotWeld[[#This Row],[Adj. Total Hours]]+tbl_RobotWeld[[#This Row],[Est. Hours]])/(tbl_RobotWeld[[#This Row],[Total Hours Act]]+tbl_RobotWeld[[#This Row],[Act. Hours]]),"")</f>
        <v/>
      </c>
      <c r="S76"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76" s="93"/>
      <c r="U76" s="63"/>
      <c r="V76" s="63"/>
      <c r="W76" s="63"/>
      <c r="X76" s="63"/>
    </row>
    <row r="77" spans="6:24" ht="25" customHeight="1">
      <c r="F77" s="53"/>
      <c r="H77" s="55" t="e">
        <f>tbl_RobotWeld[[#This Row],[Qty Complete]]/tbl_RobotWeld[[#This Row],[Qty Required]]</f>
        <v>#DIV/0!</v>
      </c>
      <c r="K77" s="57" t="str">
        <f>IFERROR(tbl_RobotWeld[[#This Row],[Qty Required]]/tbl_RobotWeld[[#This Row],[PPH]]*tbl_RobotWeld[[#This Row],['# of men]],"")</f>
        <v/>
      </c>
      <c r="L77" s="58" t="e">
        <f>tbl_RobotWeld[[#This Row],[Total hours]]*tbl_RobotWeld[[#This Row],[% Complete]]</f>
        <v>#VALUE!</v>
      </c>
      <c r="M77" s="59" t="str">
        <f>IFERROR(tbl_RobotWeld[[#This Row],[Qty Complete]]/tbl_RobotWeld[[#This Row],[Total Hours Act]]*tbl_RobotWeld[[#This Row],['# of men Act]],"")</f>
        <v/>
      </c>
      <c r="O77"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77" s="90" t="str">
        <f>IFERROR((tbl_RobotWeld[[#This Row],[Adj. Total Hours]]+tbl_RobotWeld[[#This Row],[Est. Hours]])/(tbl_RobotWeld[[#This Row],[Total Hours Act]]+tbl_RobotWeld[[#This Row],[Act. Hours]]),"")</f>
        <v/>
      </c>
      <c r="S77"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77" s="93"/>
      <c r="U77" s="63"/>
      <c r="V77" s="63"/>
      <c r="W77" s="63"/>
      <c r="X77" s="63"/>
    </row>
    <row r="78" spans="6:24" ht="25" customHeight="1">
      <c r="F78" s="53"/>
      <c r="H78" s="55" t="e">
        <f>tbl_RobotWeld[[#This Row],[Qty Complete]]/tbl_RobotWeld[[#This Row],[Qty Required]]</f>
        <v>#DIV/0!</v>
      </c>
      <c r="K78" s="57" t="str">
        <f>IFERROR(tbl_RobotWeld[[#This Row],[Qty Required]]/tbl_RobotWeld[[#This Row],[PPH]]*tbl_RobotWeld[[#This Row],['# of men]],"")</f>
        <v/>
      </c>
      <c r="L78" s="58" t="e">
        <f>tbl_RobotWeld[[#This Row],[Total hours]]*tbl_RobotWeld[[#This Row],[% Complete]]</f>
        <v>#VALUE!</v>
      </c>
      <c r="M78" s="59" t="str">
        <f>IFERROR(tbl_RobotWeld[[#This Row],[Qty Complete]]/tbl_RobotWeld[[#This Row],[Total Hours Act]]*tbl_RobotWeld[[#This Row],['# of men Act]],"")</f>
        <v/>
      </c>
      <c r="O78"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78" s="90" t="str">
        <f>IFERROR((tbl_RobotWeld[[#This Row],[Adj. Total Hours]]+tbl_RobotWeld[[#This Row],[Est. Hours]])/(tbl_RobotWeld[[#This Row],[Total Hours Act]]+tbl_RobotWeld[[#This Row],[Act. Hours]]),"")</f>
        <v/>
      </c>
      <c r="S78"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78" s="93"/>
      <c r="U78" s="63"/>
      <c r="V78" s="63"/>
      <c r="W78" s="63"/>
      <c r="X78" s="63"/>
    </row>
    <row r="79" spans="6:24" ht="25" customHeight="1">
      <c r="F79" s="53"/>
      <c r="H79" s="55" t="e">
        <f>tbl_RobotWeld[[#This Row],[Qty Complete]]/tbl_RobotWeld[[#This Row],[Qty Required]]</f>
        <v>#DIV/0!</v>
      </c>
      <c r="K79" s="57" t="str">
        <f>IFERROR(tbl_RobotWeld[[#This Row],[Qty Required]]/tbl_RobotWeld[[#This Row],[PPH]]*tbl_RobotWeld[[#This Row],['# of men]],"")</f>
        <v/>
      </c>
      <c r="L79" s="58" t="e">
        <f>tbl_RobotWeld[[#This Row],[Total hours]]*tbl_RobotWeld[[#This Row],[% Complete]]</f>
        <v>#VALUE!</v>
      </c>
      <c r="M79" s="59" t="str">
        <f>IFERROR(tbl_RobotWeld[[#This Row],[Qty Complete]]/tbl_RobotWeld[[#This Row],[Total Hours Act]]*tbl_RobotWeld[[#This Row],['# of men Act]],"")</f>
        <v/>
      </c>
      <c r="O79"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79" s="90" t="str">
        <f>IFERROR((tbl_RobotWeld[[#This Row],[Adj. Total Hours]]+tbl_RobotWeld[[#This Row],[Est. Hours]])/(tbl_RobotWeld[[#This Row],[Total Hours Act]]+tbl_RobotWeld[[#This Row],[Act. Hours]]),"")</f>
        <v/>
      </c>
      <c r="S79"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79" s="93"/>
      <c r="U79" s="63"/>
      <c r="V79" s="63"/>
      <c r="W79" s="63"/>
      <c r="X79" s="63"/>
    </row>
    <row r="80" spans="6:24" ht="25" customHeight="1">
      <c r="F80" s="53"/>
      <c r="H80" s="55" t="e">
        <f>tbl_RobotWeld[[#This Row],[Qty Complete]]/tbl_RobotWeld[[#This Row],[Qty Required]]</f>
        <v>#DIV/0!</v>
      </c>
      <c r="K80" s="57" t="str">
        <f>IFERROR(tbl_RobotWeld[[#This Row],[Qty Required]]/tbl_RobotWeld[[#This Row],[PPH]]*tbl_RobotWeld[[#This Row],['# of men]],"")</f>
        <v/>
      </c>
      <c r="L80" s="58" t="e">
        <f>tbl_RobotWeld[[#This Row],[Total hours]]*tbl_RobotWeld[[#This Row],[% Complete]]</f>
        <v>#VALUE!</v>
      </c>
      <c r="M80" s="59" t="str">
        <f>IFERROR(tbl_RobotWeld[[#This Row],[Qty Complete]]/tbl_RobotWeld[[#This Row],[Total Hours Act]]*tbl_RobotWeld[[#This Row],['# of men Act]],"")</f>
        <v/>
      </c>
      <c r="O80"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80" s="90" t="str">
        <f>IFERROR((tbl_RobotWeld[[#This Row],[Adj. Total Hours]]+tbl_RobotWeld[[#This Row],[Est. Hours]])/(tbl_RobotWeld[[#This Row],[Total Hours Act]]+tbl_RobotWeld[[#This Row],[Act. Hours]]),"")</f>
        <v/>
      </c>
      <c r="S80"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80" s="93"/>
      <c r="U80" s="63"/>
      <c r="V80" s="63"/>
      <c r="W80" s="63"/>
      <c r="X80" s="63"/>
    </row>
    <row r="81" spans="6:24" ht="25" customHeight="1">
      <c r="F81" s="53"/>
      <c r="H81" s="55" t="e">
        <f>tbl_RobotWeld[[#This Row],[Qty Complete]]/tbl_RobotWeld[[#This Row],[Qty Required]]</f>
        <v>#DIV/0!</v>
      </c>
      <c r="K81" s="57" t="str">
        <f>IFERROR(tbl_RobotWeld[[#This Row],[Qty Required]]/tbl_RobotWeld[[#This Row],[PPH]]*tbl_RobotWeld[[#This Row],['# of men]],"")</f>
        <v/>
      </c>
      <c r="L81" s="58" t="e">
        <f>tbl_RobotWeld[[#This Row],[Total hours]]*tbl_RobotWeld[[#This Row],[% Complete]]</f>
        <v>#VALUE!</v>
      </c>
      <c r="M81" s="59" t="str">
        <f>IFERROR(tbl_RobotWeld[[#This Row],[Qty Complete]]/tbl_RobotWeld[[#This Row],[Total Hours Act]]*tbl_RobotWeld[[#This Row],['# of men Act]],"")</f>
        <v/>
      </c>
      <c r="O81"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81" s="90" t="str">
        <f>IFERROR((tbl_RobotWeld[[#This Row],[Adj. Total Hours]]+tbl_RobotWeld[[#This Row],[Est. Hours]])/(tbl_RobotWeld[[#This Row],[Total Hours Act]]+tbl_RobotWeld[[#This Row],[Act. Hours]]),"")</f>
        <v/>
      </c>
      <c r="S81"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81" s="93"/>
      <c r="U81" s="63"/>
      <c r="V81" s="63"/>
      <c r="W81" s="63"/>
      <c r="X81" s="63"/>
    </row>
    <row r="82" spans="6:24" ht="25" customHeight="1">
      <c r="F82" s="53"/>
      <c r="H82" s="55" t="e">
        <f>tbl_RobotWeld[[#This Row],[Qty Complete]]/tbl_RobotWeld[[#This Row],[Qty Required]]</f>
        <v>#DIV/0!</v>
      </c>
      <c r="K82" s="57" t="str">
        <f>IFERROR(tbl_RobotWeld[[#This Row],[Qty Required]]/tbl_RobotWeld[[#This Row],[PPH]]*tbl_RobotWeld[[#This Row],['# of men]],"")</f>
        <v/>
      </c>
      <c r="L82" s="58" t="e">
        <f>tbl_RobotWeld[[#This Row],[Total hours]]*tbl_RobotWeld[[#This Row],[% Complete]]</f>
        <v>#VALUE!</v>
      </c>
      <c r="M82" s="59" t="str">
        <f>IFERROR(tbl_RobotWeld[[#This Row],[Qty Complete]]/tbl_RobotWeld[[#This Row],[Total Hours Act]]*tbl_RobotWeld[[#This Row],['# of men Act]],"")</f>
        <v/>
      </c>
      <c r="O82"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82" s="90" t="str">
        <f>IFERROR((tbl_RobotWeld[[#This Row],[Adj. Total Hours]]+tbl_RobotWeld[[#This Row],[Est. Hours]])/(tbl_RobotWeld[[#This Row],[Total Hours Act]]+tbl_RobotWeld[[#This Row],[Act. Hours]]),"")</f>
        <v/>
      </c>
      <c r="S82"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82" s="93"/>
      <c r="U82" s="63"/>
      <c r="V82" s="63"/>
      <c r="W82" s="63"/>
      <c r="X82" s="63"/>
    </row>
    <row r="83" spans="6:24" ht="25" customHeight="1">
      <c r="F83" s="53"/>
      <c r="H83" s="55" t="e">
        <f>tbl_RobotWeld[[#This Row],[Qty Complete]]/tbl_RobotWeld[[#This Row],[Qty Required]]</f>
        <v>#DIV/0!</v>
      </c>
      <c r="K83" s="57" t="str">
        <f>IFERROR(tbl_RobotWeld[[#This Row],[Qty Required]]/tbl_RobotWeld[[#This Row],[PPH]]*tbl_RobotWeld[[#This Row],['# of men]],"")</f>
        <v/>
      </c>
      <c r="L83" s="58" t="e">
        <f>tbl_RobotWeld[[#This Row],[Total hours]]*tbl_RobotWeld[[#This Row],[% Complete]]</f>
        <v>#VALUE!</v>
      </c>
      <c r="M83" s="59" t="str">
        <f>IFERROR(tbl_RobotWeld[[#This Row],[Qty Complete]]/tbl_RobotWeld[[#This Row],[Total Hours Act]]*tbl_RobotWeld[[#This Row],['# of men Act]],"")</f>
        <v/>
      </c>
      <c r="O83"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83" s="90" t="str">
        <f>IFERROR((tbl_RobotWeld[[#This Row],[Adj. Total Hours]]+tbl_RobotWeld[[#This Row],[Est. Hours]])/(tbl_RobotWeld[[#This Row],[Total Hours Act]]+tbl_RobotWeld[[#This Row],[Act. Hours]]),"")</f>
        <v/>
      </c>
      <c r="S83"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83" s="93"/>
      <c r="U83" s="63"/>
      <c r="V83" s="63"/>
      <c r="W83" s="63"/>
      <c r="X83" s="63"/>
    </row>
    <row r="84" spans="6:24" ht="25" customHeight="1">
      <c r="F84" s="53"/>
      <c r="H84" s="55" t="e">
        <f>tbl_RobotWeld[[#This Row],[Qty Complete]]/tbl_RobotWeld[[#This Row],[Qty Required]]</f>
        <v>#DIV/0!</v>
      </c>
      <c r="K84" s="57" t="str">
        <f>IFERROR(tbl_RobotWeld[[#This Row],[Qty Required]]/tbl_RobotWeld[[#This Row],[PPH]]*tbl_RobotWeld[[#This Row],['# of men]],"")</f>
        <v/>
      </c>
      <c r="L84" s="58" t="e">
        <f>tbl_RobotWeld[[#This Row],[Total hours]]*tbl_RobotWeld[[#This Row],[% Complete]]</f>
        <v>#VALUE!</v>
      </c>
      <c r="M84" s="59" t="str">
        <f>IFERROR(tbl_RobotWeld[[#This Row],[Qty Complete]]/tbl_RobotWeld[[#This Row],[Total Hours Act]]*tbl_RobotWeld[[#This Row],['# of men Act]],"")</f>
        <v/>
      </c>
      <c r="O84"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84" s="90" t="str">
        <f>IFERROR((tbl_RobotWeld[[#This Row],[Adj. Total Hours]]+tbl_RobotWeld[[#This Row],[Est. Hours]])/(tbl_RobotWeld[[#This Row],[Total Hours Act]]+tbl_RobotWeld[[#This Row],[Act. Hours]]),"")</f>
        <v/>
      </c>
      <c r="S84"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84" s="93"/>
      <c r="U84" s="63"/>
      <c r="V84" s="63"/>
      <c r="W84" s="63"/>
      <c r="X84" s="63"/>
    </row>
    <row r="85" spans="6:24" ht="25" customHeight="1">
      <c r="F85" s="53"/>
      <c r="H85" s="55" t="e">
        <f>tbl_RobotWeld[[#This Row],[Qty Complete]]/tbl_RobotWeld[[#This Row],[Qty Required]]</f>
        <v>#DIV/0!</v>
      </c>
      <c r="K85" s="57" t="str">
        <f>IFERROR(tbl_RobotWeld[[#This Row],[Qty Required]]/tbl_RobotWeld[[#This Row],[PPH]]*tbl_RobotWeld[[#This Row],['# of men]],"")</f>
        <v/>
      </c>
      <c r="L85" s="58" t="e">
        <f>tbl_RobotWeld[[#This Row],[Total hours]]*tbl_RobotWeld[[#This Row],[% Complete]]</f>
        <v>#VALUE!</v>
      </c>
      <c r="M85" s="59" t="str">
        <f>IFERROR(tbl_RobotWeld[[#This Row],[Qty Complete]]/tbl_RobotWeld[[#This Row],[Total Hours Act]]*tbl_RobotWeld[[#This Row],['# of men Act]],"")</f>
        <v/>
      </c>
      <c r="O85"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85" s="90" t="str">
        <f>IFERROR((tbl_RobotWeld[[#This Row],[Adj. Total Hours]]+tbl_RobotWeld[[#This Row],[Est. Hours]])/(tbl_RobotWeld[[#This Row],[Total Hours Act]]+tbl_RobotWeld[[#This Row],[Act. Hours]]),"")</f>
        <v/>
      </c>
      <c r="S85"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85" s="93"/>
      <c r="U85" s="63"/>
      <c r="V85" s="63"/>
      <c r="W85" s="63"/>
      <c r="X85" s="63"/>
    </row>
    <row r="86" spans="6:24" ht="25" customHeight="1">
      <c r="F86" s="53"/>
      <c r="H86" s="55" t="e">
        <f>tbl_RobotWeld[[#This Row],[Qty Complete]]/tbl_RobotWeld[[#This Row],[Qty Required]]</f>
        <v>#DIV/0!</v>
      </c>
      <c r="K86" s="57" t="str">
        <f>IFERROR(tbl_RobotWeld[[#This Row],[Qty Required]]/tbl_RobotWeld[[#This Row],[PPH]]*tbl_RobotWeld[[#This Row],['# of men]],"")</f>
        <v/>
      </c>
      <c r="L86" s="58" t="e">
        <f>tbl_RobotWeld[[#This Row],[Total hours]]*tbl_RobotWeld[[#This Row],[% Complete]]</f>
        <v>#VALUE!</v>
      </c>
      <c r="M86" s="59" t="str">
        <f>IFERROR(tbl_RobotWeld[[#This Row],[Qty Complete]]/tbl_RobotWeld[[#This Row],[Total Hours Act]]*tbl_RobotWeld[[#This Row],['# of men Act]],"")</f>
        <v/>
      </c>
      <c r="O86"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86" s="90" t="str">
        <f>IFERROR((tbl_RobotWeld[[#This Row],[Adj. Total Hours]]+tbl_RobotWeld[[#This Row],[Est. Hours]])/(tbl_RobotWeld[[#This Row],[Total Hours Act]]+tbl_RobotWeld[[#This Row],[Act. Hours]]),"")</f>
        <v/>
      </c>
      <c r="S86"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86" s="93"/>
      <c r="U86" s="63"/>
      <c r="V86" s="63"/>
      <c r="W86" s="63"/>
      <c r="X86" s="63"/>
    </row>
    <row r="87" spans="6:24" ht="25" customHeight="1">
      <c r="F87" s="53"/>
      <c r="H87" s="55" t="e">
        <f>tbl_RobotWeld[[#This Row],[Qty Complete]]/tbl_RobotWeld[[#This Row],[Qty Required]]</f>
        <v>#DIV/0!</v>
      </c>
      <c r="K87" s="57" t="str">
        <f>IFERROR(tbl_RobotWeld[[#This Row],[Qty Required]]/tbl_RobotWeld[[#This Row],[PPH]]*tbl_RobotWeld[[#This Row],['# of men]],"")</f>
        <v/>
      </c>
      <c r="L87" s="58" t="e">
        <f>tbl_RobotWeld[[#This Row],[Total hours]]*tbl_RobotWeld[[#This Row],[% Complete]]</f>
        <v>#VALUE!</v>
      </c>
      <c r="M87" s="59" t="str">
        <f>IFERROR(tbl_RobotWeld[[#This Row],[Qty Complete]]/tbl_RobotWeld[[#This Row],[Total Hours Act]]*tbl_RobotWeld[[#This Row],['# of men Act]],"")</f>
        <v/>
      </c>
      <c r="O87"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87" s="90" t="str">
        <f>IFERROR((tbl_RobotWeld[[#This Row],[Adj. Total Hours]]+tbl_RobotWeld[[#This Row],[Est. Hours]])/(tbl_RobotWeld[[#This Row],[Total Hours Act]]+tbl_RobotWeld[[#This Row],[Act. Hours]]),"")</f>
        <v/>
      </c>
      <c r="S87"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87" s="93"/>
      <c r="U87" s="63"/>
      <c r="V87" s="63"/>
      <c r="W87" s="63"/>
      <c r="X87" s="63"/>
    </row>
    <row r="88" spans="6:24" ht="25" customHeight="1">
      <c r="F88" s="53"/>
      <c r="H88" s="55" t="e">
        <f>tbl_RobotWeld[[#This Row],[Qty Complete]]/tbl_RobotWeld[[#This Row],[Qty Required]]</f>
        <v>#DIV/0!</v>
      </c>
      <c r="K88" s="57" t="str">
        <f>IFERROR(tbl_RobotWeld[[#This Row],[Qty Required]]/tbl_RobotWeld[[#This Row],[PPH]]*tbl_RobotWeld[[#This Row],['# of men]],"")</f>
        <v/>
      </c>
      <c r="L88" s="58" t="e">
        <f>tbl_RobotWeld[[#This Row],[Total hours]]*tbl_RobotWeld[[#This Row],[% Complete]]</f>
        <v>#VALUE!</v>
      </c>
      <c r="M88" s="59" t="str">
        <f>IFERROR(tbl_RobotWeld[[#This Row],[Qty Complete]]/tbl_RobotWeld[[#This Row],[Total Hours Act]]*tbl_RobotWeld[[#This Row],['# of men Act]],"")</f>
        <v/>
      </c>
      <c r="O88"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88" s="90" t="str">
        <f>IFERROR((tbl_RobotWeld[[#This Row],[Adj. Total Hours]]+tbl_RobotWeld[[#This Row],[Est. Hours]])/(tbl_RobotWeld[[#This Row],[Total Hours Act]]+tbl_RobotWeld[[#This Row],[Act. Hours]]),"")</f>
        <v/>
      </c>
      <c r="S88"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88" s="93"/>
      <c r="U88" s="63"/>
      <c r="V88" s="63"/>
      <c r="W88" s="63"/>
      <c r="X88" s="63"/>
    </row>
    <row r="89" spans="6:24" ht="25" customHeight="1">
      <c r="F89" s="53"/>
      <c r="H89" s="55" t="e">
        <f>tbl_RobotWeld[[#This Row],[Qty Complete]]/tbl_RobotWeld[[#This Row],[Qty Required]]</f>
        <v>#DIV/0!</v>
      </c>
      <c r="K89" s="57" t="str">
        <f>IFERROR(tbl_RobotWeld[[#This Row],[Qty Required]]/tbl_RobotWeld[[#This Row],[PPH]]*tbl_RobotWeld[[#This Row],['# of men]],"")</f>
        <v/>
      </c>
      <c r="L89" s="58" t="e">
        <f>tbl_RobotWeld[[#This Row],[Total hours]]*tbl_RobotWeld[[#This Row],[% Complete]]</f>
        <v>#VALUE!</v>
      </c>
      <c r="M89" s="59" t="str">
        <f>IFERROR(tbl_RobotWeld[[#This Row],[Qty Complete]]/tbl_RobotWeld[[#This Row],[Total Hours Act]]*tbl_RobotWeld[[#This Row],['# of men Act]],"")</f>
        <v/>
      </c>
      <c r="O89"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89" s="90" t="str">
        <f>IFERROR((tbl_RobotWeld[[#This Row],[Adj. Total Hours]]+tbl_RobotWeld[[#This Row],[Est. Hours]])/(tbl_RobotWeld[[#This Row],[Total Hours Act]]+tbl_RobotWeld[[#This Row],[Act. Hours]]),"")</f>
        <v/>
      </c>
      <c r="S89"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89" s="93"/>
      <c r="U89" s="63"/>
      <c r="V89" s="63"/>
      <c r="W89" s="63"/>
      <c r="X89" s="63"/>
    </row>
    <row r="90" spans="6:24" ht="25" customHeight="1">
      <c r="F90" s="53"/>
      <c r="H90" s="55" t="e">
        <f>tbl_RobotWeld[[#This Row],[Qty Complete]]/tbl_RobotWeld[[#This Row],[Qty Required]]</f>
        <v>#DIV/0!</v>
      </c>
      <c r="K90" s="57" t="str">
        <f>IFERROR(tbl_RobotWeld[[#This Row],[Qty Required]]/tbl_RobotWeld[[#This Row],[PPH]]*tbl_RobotWeld[[#This Row],['# of men]],"")</f>
        <v/>
      </c>
      <c r="L90" s="58" t="e">
        <f>tbl_RobotWeld[[#This Row],[Total hours]]*tbl_RobotWeld[[#This Row],[% Complete]]</f>
        <v>#VALUE!</v>
      </c>
      <c r="M90" s="59" t="str">
        <f>IFERROR(tbl_RobotWeld[[#This Row],[Qty Complete]]/tbl_RobotWeld[[#This Row],[Total Hours Act]]*tbl_RobotWeld[[#This Row],['# of men Act]],"")</f>
        <v/>
      </c>
      <c r="O90"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90" s="90" t="str">
        <f>IFERROR((tbl_RobotWeld[[#This Row],[Adj. Total Hours]]+tbl_RobotWeld[[#This Row],[Est. Hours]])/(tbl_RobotWeld[[#This Row],[Total Hours Act]]+tbl_RobotWeld[[#This Row],[Act. Hours]]),"")</f>
        <v/>
      </c>
      <c r="S90"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90" s="93"/>
      <c r="U90" s="63"/>
      <c r="V90" s="63"/>
      <c r="W90" s="63"/>
      <c r="X90" s="63"/>
    </row>
    <row r="91" spans="6:24" ht="25" customHeight="1">
      <c r="F91" s="53"/>
      <c r="H91" s="55" t="e">
        <f>tbl_RobotWeld[[#This Row],[Qty Complete]]/tbl_RobotWeld[[#This Row],[Qty Required]]</f>
        <v>#DIV/0!</v>
      </c>
      <c r="K91" s="57" t="str">
        <f>IFERROR(tbl_RobotWeld[[#This Row],[Qty Required]]/tbl_RobotWeld[[#This Row],[PPH]]*tbl_RobotWeld[[#This Row],['# of men]],"")</f>
        <v/>
      </c>
      <c r="L91" s="58" t="e">
        <f>tbl_RobotWeld[[#This Row],[Total hours]]*tbl_RobotWeld[[#This Row],[% Complete]]</f>
        <v>#VALUE!</v>
      </c>
      <c r="M91" s="59" t="str">
        <f>IFERROR(tbl_RobotWeld[[#This Row],[Qty Complete]]/tbl_RobotWeld[[#This Row],[Total Hours Act]]*tbl_RobotWeld[[#This Row],['# of men Act]],"")</f>
        <v/>
      </c>
      <c r="O91"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91" s="90" t="str">
        <f>IFERROR((tbl_RobotWeld[[#This Row],[Adj. Total Hours]]+tbl_RobotWeld[[#This Row],[Est. Hours]])/(tbl_RobotWeld[[#This Row],[Total Hours Act]]+tbl_RobotWeld[[#This Row],[Act. Hours]]),"")</f>
        <v/>
      </c>
      <c r="S91"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91" s="93"/>
      <c r="U91" s="63"/>
      <c r="V91" s="63"/>
      <c r="W91" s="63"/>
      <c r="X91" s="63"/>
    </row>
    <row r="92" spans="6:24" ht="25" customHeight="1">
      <c r="F92" s="53"/>
      <c r="H92" s="55" t="e">
        <f>tbl_RobotWeld[[#This Row],[Qty Complete]]/tbl_RobotWeld[[#This Row],[Qty Required]]</f>
        <v>#DIV/0!</v>
      </c>
      <c r="K92" s="57" t="str">
        <f>IFERROR(tbl_RobotWeld[[#This Row],[Qty Required]]/tbl_RobotWeld[[#This Row],[PPH]]*tbl_RobotWeld[[#This Row],['# of men]],"")</f>
        <v/>
      </c>
      <c r="L92" s="58" t="e">
        <f>tbl_RobotWeld[[#This Row],[Total hours]]*tbl_RobotWeld[[#This Row],[% Complete]]</f>
        <v>#VALUE!</v>
      </c>
      <c r="M92" s="59" t="str">
        <f>IFERROR(tbl_RobotWeld[[#This Row],[Qty Complete]]/tbl_RobotWeld[[#This Row],[Total Hours Act]]*tbl_RobotWeld[[#This Row],['# of men Act]],"")</f>
        <v/>
      </c>
      <c r="O92"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92" s="90" t="str">
        <f>IFERROR((tbl_RobotWeld[[#This Row],[Adj. Total Hours]]+tbl_RobotWeld[[#This Row],[Est. Hours]])/(tbl_RobotWeld[[#This Row],[Total Hours Act]]+tbl_RobotWeld[[#This Row],[Act. Hours]]),"")</f>
        <v/>
      </c>
      <c r="S92"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92" s="93"/>
      <c r="U92" s="63"/>
      <c r="V92" s="63"/>
      <c r="W92" s="63"/>
      <c r="X92" s="63"/>
    </row>
    <row r="93" spans="6:24" ht="25" customHeight="1">
      <c r="F93" s="53"/>
      <c r="H93" s="55" t="e">
        <f>tbl_RobotWeld[[#This Row],[Qty Complete]]/tbl_RobotWeld[[#This Row],[Qty Required]]</f>
        <v>#DIV/0!</v>
      </c>
      <c r="K93" s="57" t="str">
        <f>IFERROR(tbl_RobotWeld[[#This Row],[Qty Required]]/tbl_RobotWeld[[#This Row],[PPH]]*tbl_RobotWeld[[#This Row],['# of men]],"")</f>
        <v/>
      </c>
      <c r="L93" s="58" t="e">
        <f>tbl_RobotWeld[[#This Row],[Total hours]]*tbl_RobotWeld[[#This Row],[% Complete]]</f>
        <v>#VALUE!</v>
      </c>
      <c r="M93" s="59" t="str">
        <f>IFERROR(tbl_RobotWeld[[#This Row],[Qty Complete]]/tbl_RobotWeld[[#This Row],[Total Hours Act]]*tbl_RobotWeld[[#This Row],['# of men Act]],"")</f>
        <v/>
      </c>
      <c r="O93"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93" s="90" t="str">
        <f>IFERROR((tbl_RobotWeld[[#This Row],[Adj. Total Hours]]+tbl_RobotWeld[[#This Row],[Est. Hours]])/(tbl_RobotWeld[[#This Row],[Total Hours Act]]+tbl_RobotWeld[[#This Row],[Act. Hours]]),"")</f>
        <v/>
      </c>
      <c r="S93"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93" s="93"/>
      <c r="U93" s="63"/>
      <c r="V93" s="63"/>
      <c r="W93" s="63"/>
      <c r="X93" s="63"/>
    </row>
    <row r="94" spans="6:24" ht="25" customHeight="1">
      <c r="F94" s="53"/>
      <c r="H94" s="55" t="e">
        <f>tbl_RobotWeld[[#This Row],[Qty Complete]]/tbl_RobotWeld[[#This Row],[Qty Required]]</f>
        <v>#DIV/0!</v>
      </c>
      <c r="K94" s="57" t="str">
        <f>IFERROR(tbl_RobotWeld[[#This Row],[Qty Required]]/tbl_RobotWeld[[#This Row],[PPH]]*tbl_RobotWeld[[#This Row],['# of men]],"")</f>
        <v/>
      </c>
      <c r="L94" s="58" t="e">
        <f>tbl_RobotWeld[[#This Row],[Total hours]]*tbl_RobotWeld[[#This Row],[% Complete]]</f>
        <v>#VALUE!</v>
      </c>
      <c r="M94" s="59" t="str">
        <f>IFERROR(tbl_RobotWeld[[#This Row],[Qty Complete]]/tbl_RobotWeld[[#This Row],[Total Hours Act]]*tbl_RobotWeld[[#This Row],['# of men Act]],"")</f>
        <v/>
      </c>
      <c r="O94"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94" s="90" t="str">
        <f>IFERROR((tbl_RobotWeld[[#This Row],[Adj. Total Hours]]+tbl_RobotWeld[[#This Row],[Est. Hours]])/(tbl_RobotWeld[[#This Row],[Total Hours Act]]+tbl_RobotWeld[[#This Row],[Act. Hours]]),"")</f>
        <v/>
      </c>
      <c r="S94"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94" s="93"/>
      <c r="U94" s="63"/>
      <c r="V94" s="63"/>
      <c r="W94" s="63"/>
      <c r="X94" s="63"/>
    </row>
    <row r="95" spans="6:24" ht="25" customHeight="1">
      <c r="F95" s="53"/>
      <c r="H95" s="55" t="e">
        <f>tbl_RobotWeld[[#This Row],[Qty Complete]]/tbl_RobotWeld[[#This Row],[Qty Required]]</f>
        <v>#DIV/0!</v>
      </c>
      <c r="K95" s="57" t="str">
        <f>IFERROR(tbl_RobotWeld[[#This Row],[Qty Required]]/tbl_RobotWeld[[#This Row],[PPH]]*tbl_RobotWeld[[#This Row],['# of men]],"")</f>
        <v/>
      </c>
      <c r="L95" s="58" t="e">
        <f>tbl_RobotWeld[[#This Row],[Total hours]]*tbl_RobotWeld[[#This Row],[% Complete]]</f>
        <v>#VALUE!</v>
      </c>
      <c r="M95" s="59" t="str">
        <f>IFERROR(tbl_RobotWeld[[#This Row],[Qty Complete]]/tbl_RobotWeld[[#This Row],[Total Hours Act]]*tbl_RobotWeld[[#This Row],['# of men Act]],"")</f>
        <v/>
      </c>
      <c r="O95"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95" s="90" t="str">
        <f>IFERROR((tbl_RobotWeld[[#This Row],[Adj. Total Hours]]+tbl_RobotWeld[[#This Row],[Est. Hours]])/(tbl_RobotWeld[[#This Row],[Total Hours Act]]+tbl_RobotWeld[[#This Row],[Act. Hours]]),"")</f>
        <v/>
      </c>
      <c r="S95"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95" s="93"/>
      <c r="U95" s="63"/>
      <c r="V95" s="63"/>
      <c r="W95" s="63"/>
      <c r="X95" s="63"/>
    </row>
    <row r="96" spans="6:24" ht="25" customHeight="1">
      <c r="F96" s="53"/>
      <c r="H96" s="55" t="e">
        <f>tbl_RobotWeld[[#This Row],[Qty Complete]]/tbl_RobotWeld[[#This Row],[Qty Required]]</f>
        <v>#DIV/0!</v>
      </c>
      <c r="K96" s="57" t="str">
        <f>IFERROR(tbl_RobotWeld[[#This Row],[Qty Required]]/tbl_RobotWeld[[#This Row],[PPH]]*tbl_RobotWeld[[#This Row],['# of men]],"")</f>
        <v/>
      </c>
      <c r="L96" s="58" t="e">
        <f>tbl_RobotWeld[[#This Row],[Total hours]]*tbl_RobotWeld[[#This Row],[% Complete]]</f>
        <v>#VALUE!</v>
      </c>
      <c r="M96" s="59" t="str">
        <f>IFERROR(tbl_RobotWeld[[#This Row],[Qty Complete]]/tbl_RobotWeld[[#This Row],[Total Hours Act]]*tbl_RobotWeld[[#This Row],['# of men Act]],"")</f>
        <v/>
      </c>
      <c r="O96"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96" s="90" t="str">
        <f>IFERROR((tbl_RobotWeld[[#This Row],[Adj. Total Hours]]+tbl_RobotWeld[[#This Row],[Est. Hours]])/(tbl_RobotWeld[[#This Row],[Total Hours Act]]+tbl_RobotWeld[[#This Row],[Act. Hours]]),"")</f>
        <v/>
      </c>
      <c r="S96"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96" s="93"/>
      <c r="U96" s="63"/>
      <c r="V96" s="63"/>
      <c r="W96" s="63"/>
      <c r="X96" s="63"/>
    </row>
    <row r="97" spans="6:24" ht="25" customHeight="1">
      <c r="F97" s="53"/>
      <c r="H97" s="55" t="e">
        <f>tbl_RobotWeld[[#This Row],[Qty Complete]]/tbl_RobotWeld[[#This Row],[Qty Required]]</f>
        <v>#DIV/0!</v>
      </c>
      <c r="K97" s="57" t="str">
        <f>IFERROR(tbl_RobotWeld[[#This Row],[Qty Required]]/tbl_RobotWeld[[#This Row],[PPH]]*tbl_RobotWeld[[#This Row],['# of men]],"")</f>
        <v/>
      </c>
      <c r="L97" s="58" t="e">
        <f>tbl_RobotWeld[[#This Row],[Total hours]]*tbl_RobotWeld[[#This Row],[% Complete]]</f>
        <v>#VALUE!</v>
      </c>
      <c r="M97" s="59" t="str">
        <f>IFERROR(tbl_RobotWeld[[#This Row],[Qty Complete]]/tbl_RobotWeld[[#This Row],[Total Hours Act]]*tbl_RobotWeld[[#This Row],['# of men Act]],"")</f>
        <v/>
      </c>
      <c r="O97"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97" s="90" t="str">
        <f>IFERROR((tbl_RobotWeld[[#This Row],[Adj. Total Hours]]+tbl_RobotWeld[[#This Row],[Est. Hours]])/(tbl_RobotWeld[[#This Row],[Total Hours Act]]+tbl_RobotWeld[[#This Row],[Act. Hours]]),"")</f>
        <v/>
      </c>
      <c r="S97"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97" s="93"/>
      <c r="U97" s="63"/>
      <c r="V97" s="63"/>
      <c r="W97" s="63"/>
      <c r="X97" s="63"/>
    </row>
    <row r="98" spans="6:24" ht="25" customHeight="1">
      <c r="F98" s="53"/>
      <c r="H98" s="55" t="e">
        <f>tbl_RobotWeld[[#This Row],[Qty Complete]]/tbl_RobotWeld[[#This Row],[Qty Required]]</f>
        <v>#DIV/0!</v>
      </c>
      <c r="K98" s="57" t="str">
        <f>IFERROR(tbl_RobotWeld[[#This Row],[Qty Required]]/tbl_RobotWeld[[#This Row],[PPH]]*tbl_RobotWeld[[#This Row],['# of men]],"")</f>
        <v/>
      </c>
      <c r="L98" s="58" t="e">
        <f>tbl_RobotWeld[[#This Row],[Total hours]]*tbl_RobotWeld[[#This Row],[% Complete]]</f>
        <v>#VALUE!</v>
      </c>
      <c r="M98" s="59" t="str">
        <f>IFERROR(tbl_RobotWeld[[#This Row],[Qty Complete]]/tbl_RobotWeld[[#This Row],[Total Hours Act]]*tbl_RobotWeld[[#This Row],['# of men Act]],"")</f>
        <v/>
      </c>
      <c r="O98"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98" s="90" t="str">
        <f>IFERROR((tbl_RobotWeld[[#This Row],[Adj. Total Hours]]+tbl_RobotWeld[[#This Row],[Est. Hours]])/(tbl_RobotWeld[[#This Row],[Total Hours Act]]+tbl_RobotWeld[[#This Row],[Act. Hours]]),"")</f>
        <v/>
      </c>
      <c r="S98"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98" s="93"/>
      <c r="U98" s="63"/>
      <c r="V98" s="63"/>
      <c r="W98" s="63"/>
      <c r="X98" s="63"/>
    </row>
    <row r="99" spans="6:24" ht="25" customHeight="1">
      <c r="F99" s="53"/>
      <c r="H99" s="55" t="e">
        <f>tbl_RobotWeld[[#This Row],[Qty Complete]]/tbl_RobotWeld[[#This Row],[Qty Required]]</f>
        <v>#DIV/0!</v>
      </c>
      <c r="K99" s="57" t="str">
        <f>IFERROR(tbl_RobotWeld[[#This Row],[Qty Required]]/tbl_RobotWeld[[#This Row],[PPH]]*tbl_RobotWeld[[#This Row],['# of men]],"")</f>
        <v/>
      </c>
      <c r="L99" s="58" t="e">
        <f>tbl_RobotWeld[[#This Row],[Total hours]]*tbl_RobotWeld[[#This Row],[% Complete]]</f>
        <v>#VALUE!</v>
      </c>
      <c r="M99" s="59" t="str">
        <f>IFERROR(tbl_RobotWeld[[#This Row],[Qty Complete]]/tbl_RobotWeld[[#This Row],[Total Hours Act]]*tbl_RobotWeld[[#This Row],['# of men Act]],"")</f>
        <v/>
      </c>
      <c r="O99"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99" s="90" t="str">
        <f>IFERROR((tbl_RobotWeld[[#This Row],[Adj. Total Hours]]+tbl_RobotWeld[[#This Row],[Est. Hours]])/(tbl_RobotWeld[[#This Row],[Total Hours Act]]+tbl_RobotWeld[[#This Row],[Act. Hours]]),"")</f>
        <v/>
      </c>
      <c r="S99"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99" s="93"/>
      <c r="U99" s="63"/>
      <c r="V99" s="63"/>
      <c r="W99" s="63"/>
      <c r="X99" s="63"/>
    </row>
    <row r="100" spans="6:24" ht="25" customHeight="1">
      <c r="F100" s="53"/>
      <c r="H100" s="55" t="e">
        <f>tbl_RobotWeld[[#This Row],[Qty Complete]]/tbl_RobotWeld[[#This Row],[Qty Required]]</f>
        <v>#DIV/0!</v>
      </c>
      <c r="K100" s="57" t="str">
        <f>IFERROR(tbl_RobotWeld[[#This Row],[Qty Required]]/tbl_RobotWeld[[#This Row],[PPH]]*tbl_RobotWeld[[#This Row],['# of men]],"")</f>
        <v/>
      </c>
      <c r="L100" s="58" t="e">
        <f>tbl_RobotWeld[[#This Row],[Total hours]]*tbl_RobotWeld[[#This Row],[% Complete]]</f>
        <v>#VALUE!</v>
      </c>
      <c r="M100" s="59" t="str">
        <f>IFERROR(tbl_RobotWeld[[#This Row],[Qty Complete]]/tbl_RobotWeld[[#This Row],[Total Hours Act]]*tbl_RobotWeld[[#This Row],['# of men Act]],"")</f>
        <v/>
      </c>
      <c r="O100"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00" s="90" t="str">
        <f>IFERROR((tbl_RobotWeld[[#This Row],[Adj. Total Hours]]+tbl_RobotWeld[[#This Row],[Est. Hours]])/(tbl_RobotWeld[[#This Row],[Total Hours Act]]+tbl_RobotWeld[[#This Row],[Act. Hours]]),"")</f>
        <v/>
      </c>
      <c r="S100"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00" s="93"/>
      <c r="U100" s="63"/>
      <c r="V100" s="63"/>
      <c r="W100" s="63"/>
      <c r="X100" s="63"/>
    </row>
    <row r="101" spans="6:24" ht="25" customHeight="1">
      <c r="F101" s="53"/>
      <c r="H101" s="55" t="e">
        <f>tbl_RobotWeld[[#This Row],[Qty Complete]]/tbl_RobotWeld[[#This Row],[Qty Required]]</f>
        <v>#DIV/0!</v>
      </c>
      <c r="K101" s="57" t="str">
        <f>IFERROR(tbl_RobotWeld[[#This Row],[Qty Required]]/tbl_RobotWeld[[#This Row],[PPH]]*tbl_RobotWeld[[#This Row],['# of men]],"")</f>
        <v/>
      </c>
      <c r="L101" s="58" t="e">
        <f>tbl_RobotWeld[[#This Row],[Total hours]]*tbl_RobotWeld[[#This Row],[% Complete]]</f>
        <v>#VALUE!</v>
      </c>
      <c r="M101" s="59" t="str">
        <f>IFERROR(tbl_RobotWeld[[#This Row],[Qty Complete]]/tbl_RobotWeld[[#This Row],[Total Hours Act]]*tbl_RobotWeld[[#This Row],['# of men Act]],"")</f>
        <v/>
      </c>
      <c r="O101"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01" s="90" t="str">
        <f>IFERROR((tbl_RobotWeld[[#This Row],[Adj. Total Hours]]+tbl_RobotWeld[[#This Row],[Est. Hours]])/(tbl_RobotWeld[[#This Row],[Total Hours Act]]+tbl_RobotWeld[[#This Row],[Act. Hours]]),"")</f>
        <v/>
      </c>
      <c r="S101"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01" s="93"/>
      <c r="U101" s="63"/>
      <c r="V101" s="63"/>
      <c r="W101" s="63"/>
      <c r="X101" s="63"/>
    </row>
    <row r="102" spans="6:24" ht="25" customHeight="1">
      <c r="F102" s="53"/>
      <c r="H102" s="55" t="e">
        <f>tbl_RobotWeld[[#This Row],[Qty Complete]]/tbl_RobotWeld[[#This Row],[Qty Required]]</f>
        <v>#DIV/0!</v>
      </c>
      <c r="K102" s="57" t="str">
        <f>IFERROR(tbl_RobotWeld[[#This Row],[Qty Required]]/tbl_RobotWeld[[#This Row],[PPH]]*tbl_RobotWeld[[#This Row],['# of men]],"")</f>
        <v/>
      </c>
      <c r="L102" s="58" t="e">
        <f>tbl_RobotWeld[[#This Row],[Total hours]]*tbl_RobotWeld[[#This Row],[% Complete]]</f>
        <v>#VALUE!</v>
      </c>
      <c r="M102" s="59" t="str">
        <f>IFERROR(tbl_RobotWeld[[#This Row],[Qty Complete]]/tbl_RobotWeld[[#This Row],[Total Hours Act]]*tbl_RobotWeld[[#This Row],['# of men Act]],"")</f>
        <v/>
      </c>
      <c r="O102"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02" s="90" t="str">
        <f>IFERROR((tbl_RobotWeld[[#This Row],[Adj. Total Hours]]+tbl_RobotWeld[[#This Row],[Est. Hours]])/(tbl_RobotWeld[[#This Row],[Total Hours Act]]+tbl_RobotWeld[[#This Row],[Act. Hours]]),"")</f>
        <v/>
      </c>
      <c r="S102"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02" s="93"/>
      <c r="U102" s="63"/>
      <c r="V102" s="63"/>
      <c r="W102" s="63"/>
      <c r="X102" s="63"/>
    </row>
    <row r="103" spans="6:24" ht="25" customHeight="1">
      <c r="F103" s="53"/>
      <c r="H103" s="55" t="e">
        <f>tbl_RobotWeld[[#This Row],[Qty Complete]]/tbl_RobotWeld[[#This Row],[Qty Required]]</f>
        <v>#DIV/0!</v>
      </c>
      <c r="K103" s="57" t="str">
        <f>IFERROR(tbl_RobotWeld[[#This Row],[Qty Required]]/tbl_RobotWeld[[#This Row],[PPH]]*tbl_RobotWeld[[#This Row],['# of men]],"")</f>
        <v/>
      </c>
      <c r="L103" s="58" t="e">
        <f>tbl_RobotWeld[[#This Row],[Total hours]]*tbl_RobotWeld[[#This Row],[% Complete]]</f>
        <v>#VALUE!</v>
      </c>
      <c r="M103" s="59" t="str">
        <f>IFERROR(tbl_RobotWeld[[#This Row],[Qty Complete]]/tbl_RobotWeld[[#This Row],[Total Hours Act]]*tbl_RobotWeld[[#This Row],['# of men Act]],"")</f>
        <v/>
      </c>
      <c r="O103"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03" s="90" t="str">
        <f>IFERROR((tbl_RobotWeld[[#This Row],[Adj. Total Hours]]+tbl_RobotWeld[[#This Row],[Est. Hours]])/(tbl_RobotWeld[[#This Row],[Total Hours Act]]+tbl_RobotWeld[[#This Row],[Act. Hours]]),"")</f>
        <v/>
      </c>
      <c r="S103"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03" s="93"/>
      <c r="U103" s="63"/>
      <c r="V103" s="63"/>
      <c r="W103" s="63"/>
      <c r="X103" s="63"/>
    </row>
    <row r="104" spans="6:24" ht="25" customHeight="1">
      <c r="F104" s="53"/>
      <c r="H104" s="55" t="e">
        <f>tbl_RobotWeld[[#This Row],[Qty Complete]]/tbl_RobotWeld[[#This Row],[Qty Required]]</f>
        <v>#DIV/0!</v>
      </c>
      <c r="K104" s="57" t="str">
        <f>IFERROR(tbl_RobotWeld[[#This Row],[Qty Required]]/tbl_RobotWeld[[#This Row],[PPH]]*tbl_RobotWeld[[#This Row],['# of men]],"")</f>
        <v/>
      </c>
      <c r="L104" s="58" t="e">
        <f>tbl_RobotWeld[[#This Row],[Total hours]]*tbl_RobotWeld[[#This Row],[% Complete]]</f>
        <v>#VALUE!</v>
      </c>
      <c r="M104" s="59" t="str">
        <f>IFERROR(tbl_RobotWeld[[#This Row],[Qty Complete]]/tbl_RobotWeld[[#This Row],[Total Hours Act]]*tbl_RobotWeld[[#This Row],['# of men Act]],"")</f>
        <v/>
      </c>
      <c r="O104"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04" s="90" t="str">
        <f>IFERROR((tbl_RobotWeld[[#This Row],[Adj. Total Hours]]+tbl_RobotWeld[[#This Row],[Est. Hours]])/(tbl_RobotWeld[[#This Row],[Total Hours Act]]+tbl_RobotWeld[[#This Row],[Act. Hours]]),"")</f>
        <v/>
      </c>
      <c r="S104"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04" s="93"/>
      <c r="U104" s="63"/>
      <c r="V104" s="63"/>
      <c r="W104" s="63"/>
      <c r="X104" s="63"/>
    </row>
    <row r="105" spans="6:24" ht="25" customHeight="1">
      <c r="F105" s="53"/>
      <c r="H105" s="55" t="e">
        <f>tbl_RobotWeld[[#This Row],[Qty Complete]]/tbl_RobotWeld[[#This Row],[Qty Required]]</f>
        <v>#DIV/0!</v>
      </c>
      <c r="K105" s="57" t="str">
        <f>IFERROR(tbl_RobotWeld[[#This Row],[Qty Required]]/tbl_RobotWeld[[#This Row],[PPH]]*tbl_RobotWeld[[#This Row],['# of men]],"")</f>
        <v/>
      </c>
      <c r="L105" s="58" t="e">
        <f>tbl_RobotWeld[[#This Row],[Total hours]]*tbl_RobotWeld[[#This Row],[% Complete]]</f>
        <v>#VALUE!</v>
      </c>
      <c r="M105" s="59" t="str">
        <f>IFERROR(tbl_RobotWeld[[#This Row],[Qty Complete]]/tbl_RobotWeld[[#This Row],[Total Hours Act]]*tbl_RobotWeld[[#This Row],['# of men Act]],"")</f>
        <v/>
      </c>
      <c r="O105"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05" s="90" t="str">
        <f>IFERROR((tbl_RobotWeld[[#This Row],[Adj. Total Hours]]+tbl_RobotWeld[[#This Row],[Est. Hours]])/(tbl_RobotWeld[[#This Row],[Total Hours Act]]+tbl_RobotWeld[[#This Row],[Act. Hours]]),"")</f>
        <v/>
      </c>
      <c r="S105"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05" s="93"/>
      <c r="U105" s="63"/>
      <c r="V105" s="63"/>
      <c r="W105" s="63"/>
      <c r="X105" s="63"/>
    </row>
    <row r="106" spans="6:24" ht="25" customHeight="1">
      <c r="F106" s="53"/>
      <c r="H106" s="55" t="e">
        <f>tbl_RobotWeld[[#This Row],[Qty Complete]]/tbl_RobotWeld[[#This Row],[Qty Required]]</f>
        <v>#DIV/0!</v>
      </c>
      <c r="K106" s="57" t="str">
        <f>IFERROR(tbl_RobotWeld[[#This Row],[Qty Required]]/tbl_RobotWeld[[#This Row],[PPH]]*tbl_RobotWeld[[#This Row],['# of men]],"")</f>
        <v/>
      </c>
      <c r="L106" s="58" t="e">
        <f>tbl_RobotWeld[[#This Row],[Total hours]]*tbl_RobotWeld[[#This Row],[% Complete]]</f>
        <v>#VALUE!</v>
      </c>
      <c r="M106" s="59" t="str">
        <f>IFERROR(tbl_RobotWeld[[#This Row],[Qty Complete]]/tbl_RobotWeld[[#This Row],[Total Hours Act]]*tbl_RobotWeld[[#This Row],['# of men Act]],"")</f>
        <v/>
      </c>
      <c r="O106"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06" s="90" t="str">
        <f>IFERROR((tbl_RobotWeld[[#This Row],[Adj. Total Hours]]+tbl_RobotWeld[[#This Row],[Est. Hours]])/(tbl_RobotWeld[[#This Row],[Total Hours Act]]+tbl_RobotWeld[[#This Row],[Act. Hours]]),"")</f>
        <v/>
      </c>
      <c r="S106"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06" s="93"/>
      <c r="U106" s="63"/>
      <c r="V106" s="63"/>
      <c r="W106" s="63"/>
      <c r="X106" s="63"/>
    </row>
    <row r="107" spans="6:24" ht="25" customHeight="1">
      <c r="F107" s="53"/>
      <c r="H107" s="55" t="e">
        <f>tbl_RobotWeld[[#This Row],[Qty Complete]]/tbl_RobotWeld[[#This Row],[Qty Required]]</f>
        <v>#DIV/0!</v>
      </c>
      <c r="K107" s="57" t="str">
        <f>IFERROR(tbl_RobotWeld[[#This Row],[Qty Required]]/tbl_RobotWeld[[#This Row],[PPH]]*tbl_RobotWeld[[#This Row],['# of men]],"")</f>
        <v/>
      </c>
      <c r="L107" s="58" t="e">
        <f>tbl_RobotWeld[[#This Row],[Total hours]]*tbl_RobotWeld[[#This Row],[% Complete]]</f>
        <v>#VALUE!</v>
      </c>
      <c r="M107" s="59" t="str">
        <f>IFERROR(tbl_RobotWeld[[#This Row],[Qty Complete]]/tbl_RobotWeld[[#This Row],[Total Hours Act]]*tbl_RobotWeld[[#This Row],['# of men Act]],"")</f>
        <v/>
      </c>
      <c r="O107"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07" s="90" t="str">
        <f>IFERROR((tbl_RobotWeld[[#This Row],[Adj. Total Hours]]+tbl_RobotWeld[[#This Row],[Est. Hours]])/(tbl_RobotWeld[[#This Row],[Total Hours Act]]+tbl_RobotWeld[[#This Row],[Act. Hours]]),"")</f>
        <v/>
      </c>
      <c r="S107"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07" s="93"/>
      <c r="U107" s="63"/>
      <c r="V107" s="63"/>
      <c r="W107" s="63"/>
      <c r="X107" s="63"/>
    </row>
    <row r="108" spans="6:24" ht="25" customHeight="1">
      <c r="F108" s="53"/>
      <c r="H108" s="55" t="e">
        <f>tbl_RobotWeld[[#This Row],[Qty Complete]]/tbl_RobotWeld[[#This Row],[Qty Required]]</f>
        <v>#DIV/0!</v>
      </c>
      <c r="K108" s="57" t="str">
        <f>IFERROR(tbl_RobotWeld[[#This Row],[Qty Required]]/tbl_RobotWeld[[#This Row],[PPH]]*tbl_RobotWeld[[#This Row],['# of men]],"")</f>
        <v/>
      </c>
      <c r="L108" s="58" t="e">
        <f>tbl_RobotWeld[[#This Row],[Total hours]]*tbl_RobotWeld[[#This Row],[% Complete]]</f>
        <v>#VALUE!</v>
      </c>
      <c r="M108" s="59" t="str">
        <f>IFERROR(tbl_RobotWeld[[#This Row],[Qty Complete]]/tbl_RobotWeld[[#This Row],[Total Hours Act]]*tbl_RobotWeld[[#This Row],['# of men Act]],"")</f>
        <v/>
      </c>
      <c r="O108"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08" s="90" t="str">
        <f>IFERROR((tbl_RobotWeld[[#This Row],[Adj. Total Hours]]+tbl_RobotWeld[[#This Row],[Est. Hours]])/(tbl_RobotWeld[[#This Row],[Total Hours Act]]+tbl_RobotWeld[[#This Row],[Act. Hours]]),"")</f>
        <v/>
      </c>
      <c r="S108"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08" s="93"/>
      <c r="U108" s="63"/>
      <c r="V108" s="63"/>
      <c r="W108" s="63"/>
      <c r="X108" s="63"/>
    </row>
    <row r="109" spans="6:24" ht="25" customHeight="1">
      <c r="F109" s="53"/>
      <c r="H109" s="55" t="e">
        <f>tbl_RobotWeld[[#This Row],[Qty Complete]]/tbl_RobotWeld[[#This Row],[Qty Required]]</f>
        <v>#DIV/0!</v>
      </c>
      <c r="K109" s="57" t="str">
        <f>IFERROR(tbl_RobotWeld[[#This Row],[Qty Required]]/tbl_RobotWeld[[#This Row],[PPH]]*tbl_RobotWeld[[#This Row],['# of men]],"")</f>
        <v/>
      </c>
      <c r="L109" s="58" t="e">
        <f>tbl_RobotWeld[[#This Row],[Total hours]]*tbl_RobotWeld[[#This Row],[% Complete]]</f>
        <v>#VALUE!</v>
      </c>
      <c r="M109" s="59" t="str">
        <f>IFERROR(tbl_RobotWeld[[#This Row],[Qty Complete]]/tbl_RobotWeld[[#This Row],[Total Hours Act]]*tbl_RobotWeld[[#This Row],['# of men Act]],"")</f>
        <v/>
      </c>
      <c r="O109"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09" s="90" t="str">
        <f>IFERROR((tbl_RobotWeld[[#This Row],[Adj. Total Hours]]+tbl_RobotWeld[[#This Row],[Est. Hours]])/(tbl_RobotWeld[[#This Row],[Total Hours Act]]+tbl_RobotWeld[[#This Row],[Act. Hours]]),"")</f>
        <v/>
      </c>
      <c r="S109"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09" s="93"/>
      <c r="U109" s="63"/>
      <c r="V109" s="63"/>
      <c r="W109" s="63"/>
      <c r="X109" s="63"/>
    </row>
    <row r="110" spans="6:24" ht="25" customHeight="1">
      <c r="F110" s="53"/>
      <c r="H110" s="55" t="e">
        <f>tbl_RobotWeld[[#This Row],[Qty Complete]]/tbl_RobotWeld[[#This Row],[Qty Required]]</f>
        <v>#DIV/0!</v>
      </c>
      <c r="K110" s="57" t="str">
        <f>IFERROR(tbl_RobotWeld[[#This Row],[Qty Required]]/tbl_RobotWeld[[#This Row],[PPH]]*tbl_RobotWeld[[#This Row],['# of men]],"")</f>
        <v/>
      </c>
      <c r="L110" s="58" t="e">
        <f>tbl_RobotWeld[[#This Row],[Total hours]]*tbl_RobotWeld[[#This Row],[% Complete]]</f>
        <v>#VALUE!</v>
      </c>
      <c r="M110" s="59" t="str">
        <f>IFERROR(tbl_RobotWeld[[#This Row],[Qty Complete]]/tbl_RobotWeld[[#This Row],[Total Hours Act]]*tbl_RobotWeld[[#This Row],['# of men Act]],"")</f>
        <v/>
      </c>
      <c r="O110"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10" s="90" t="str">
        <f>IFERROR((tbl_RobotWeld[[#This Row],[Adj. Total Hours]]+tbl_RobotWeld[[#This Row],[Est. Hours]])/(tbl_RobotWeld[[#This Row],[Total Hours Act]]+tbl_RobotWeld[[#This Row],[Act. Hours]]),"")</f>
        <v/>
      </c>
      <c r="S110"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10" s="93"/>
      <c r="U110" s="63"/>
      <c r="V110" s="63"/>
      <c r="W110" s="63"/>
      <c r="X110" s="63"/>
    </row>
    <row r="111" spans="6:24" ht="25" customHeight="1">
      <c r="F111" s="53"/>
      <c r="H111" s="55" t="e">
        <f>tbl_RobotWeld[[#This Row],[Qty Complete]]/tbl_RobotWeld[[#This Row],[Qty Required]]</f>
        <v>#DIV/0!</v>
      </c>
      <c r="K111" s="57" t="str">
        <f>IFERROR(tbl_RobotWeld[[#This Row],[Qty Required]]/tbl_RobotWeld[[#This Row],[PPH]]*tbl_RobotWeld[[#This Row],['# of men]],"")</f>
        <v/>
      </c>
      <c r="L111" s="58" t="e">
        <f>tbl_RobotWeld[[#This Row],[Total hours]]*tbl_RobotWeld[[#This Row],[% Complete]]</f>
        <v>#VALUE!</v>
      </c>
      <c r="M111" s="59" t="str">
        <f>IFERROR(tbl_RobotWeld[[#This Row],[Qty Complete]]/tbl_RobotWeld[[#This Row],[Total Hours Act]]*tbl_RobotWeld[[#This Row],['# of men Act]],"")</f>
        <v/>
      </c>
      <c r="O111"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11" s="90" t="str">
        <f>IFERROR((tbl_RobotWeld[[#This Row],[Adj. Total Hours]]+tbl_RobotWeld[[#This Row],[Est. Hours]])/(tbl_RobotWeld[[#This Row],[Total Hours Act]]+tbl_RobotWeld[[#This Row],[Act. Hours]]),"")</f>
        <v/>
      </c>
      <c r="S111"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11" s="93"/>
      <c r="U111" s="63"/>
      <c r="V111" s="63"/>
      <c r="W111" s="63"/>
      <c r="X111" s="63"/>
    </row>
    <row r="112" spans="6:24" ht="25" customHeight="1">
      <c r="F112" s="53"/>
      <c r="H112" s="55" t="e">
        <f>tbl_RobotWeld[[#This Row],[Qty Complete]]/tbl_RobotWeld[[#This Row],[Qty Required]]</f>
        <v>#DIV/0!</v>
      </c>
      <c r="K112" s="57" t="str">
        <f>IFERROR(tbl_RobotWeld[[#This Row],[Qty Required]]/tbl_RobotWeld[[#This Row],[PPH]]*tbl_RobotWeld[[#This Row],['# of men]],"")</f>
        <v/>
      </c>
      <c r="L112" s="58" t="e">
        <f>tbl_RobotWeld[[#This Row],[Total hours]]*tbl_RobotWeld[[#This Row],[% Complete]]</f>
        <v>#VALUE!</v>
      </c>
      <c r="M112" s="59" t="str">
        <f>IFERROR(tbl_RobotWeld[[#This Row],[Qty Complete]]/tbl_RobotWeld[[#This Row],[Total Hours Act]]*tbl_RobotWeld[[#This Row],['# of men Act]],"")</f>
        <v/>
      </c>
      <c r="O112"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12" s="90" t="str">
        <f>IFERROR((tbl_RobotWeld[[#This Row],[Adj. Total Hours]]+tbl_RobotWeld[[#This Row],[Est. Hours]])/(tbl_RobotWeld[[#This Row],[Total Hours Act]]+tbl_RobotWeld[[#This Row],[Act. Hours]]),"")</f>
        <v/>
      </c>
      <c r="S112"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12" s="93"/>
      <c r="U112" s="63"/>
      <c r="V112" s="63"/>
      <c r="W112" s="63"/>
      <c r="X112" s="63"/>
    </row>
    <row r="113" spans="6:24" ht="25" customHeight="1">
      <c r="F113" s="53"/>
      <c r="H113" s="55" t="e">
        <f>tbl_RobotWeld[[#This Row],[Qty Complete]]/tbl_RobotWeld[[#This Row],[Qty Required]]</f>
        <v>#DIV/0!</v>
      </c>
      <c r="K113" s="57" t="str">
        <f>IFERROR(tbl_RobotWeld[[#This Row],[Qty Required]]/tbl_RobotWeld[[#This Row],[PPH]]*tbl_RobotWeld[[#This Row],['# of men]],"")</f>
        <v/>
      </c>
      <c r="L113" s="58" t="e">
        <f>tbl_RobotWeld[[#This Row],[Total hours]]*tbl_RobotWeld[[#This Row],[% Complete]]</f>
        <v>#VALUE!</v>
      </c>
      <c r="M113" s="59" t="str">
        <f>IFERROR(tbl_RobotWeld[[#This Row],[Qty Complete]]/tbl_RobotWeld[[#This Row],[Total Hours Act]]*tbl_RobotWeld[[#This Row],['# of men Act]],"")</f>
        <v/>
      </c>
      <c r="O113"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13" s="90" t="str">
        <f>IFERROR((tbl_RobotWeld[[#This Row],[Adj. Total Hours]]+tbl_RobotWeld[[#This Row],[Est. Hours]])/(tbl_RobotWeld[[#This Row],[Total Hours Act]]+tbl_RobotWeld[[#This Row],[Act. Hours]]),"")</f>
        <v/>
      </c>
      <c r="S113"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13" s="93"/>
      <c r="U113" s="63"/>
      <c r="V113" s="63"/>
      <c r="W113" s="63"/>
      <c r="X113" s="63"/>
    </row>
    <row r="114" spans="6:24" ht="25" customHeight="1">
      <c r="F114" s="53"/>
      <c r="H114" s="55" t="e">
        <f>tbl_RobotWeld[[#This Row],[Qty Complete]]/tbl_RobotWeld[[#This Row],[Qty Required]]</f>
        <v>#DIV/0!</v>
      </c>
      <c r="K114" s="57" t="str">
        <f>IFERROR(tbl_RobotWeld[[#This Row],[Qty Required]]/tbl_RobotWeld[[#This Row],[PPH]]*tbl_RobotWeld[[#This Row],['# of men]],"")</f>
        <v/>
      </c>
      <c r="L114" s="58" t="e">
        <f>tbl_RobotWeld[[#This Row],[Total hours]]*tbl_RobotWeld[[#This Row],[% Complete]]</f>
        <v>#VALUE!</v>
      </c>
      <c r="M114" s="59" t="str">
        <f>IFERROR(tbl_RobotWeld[[#This Row],[Qty Complete]]/tbl_RobotWeld[[#This Row],[Total Hours Act]]*tbl_RobotWeld[[#This Row],['# of men Act]],"")</f>
        <v/>
      </c>
      <c r="O114"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14" s="90" t="str">
        <f>IFERROR((tbl_RobotWeld[[#This Row],[Adj. Total Hours]]+tbl_RobotWeld[[#This Row],[Est. Hours]])/(tbl_RobotWeld[[#This Row],[Total Hours Act]]+tbl_RobotWeld[[#This Row],[Act. Hours]]),"")</f>
        <v/>
      </c>
      <c r="S114"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14" s="93"/>
      <c r="U114" s="63"/>
      <c r="V114" s="63"/>
      <c r="W114" s="63"/>
      <c r="X114" s="63"/>
    </row>
    <row r="115" spans="6:24" ht="25" customHeight="1">
      <c r="F115" s="53"/>
      <c r="H115" s="55" t="e">
        <f>tbl_RobotWeld[[#This Row],[Qty Complete]]/tbl_RobotWeld[[#This Row],[Qty Required]]</f>
        <v>#DIV/0!</v>
      </c>
      <c r="K115" s="57" t="str">
        <f>IFERROR(tbl_RobotWeld[[#This Row],[Qty Required]]/tbl_RobotWeld[[#This Row],[PPH]]*tbl_RobotWeld[[#This Row],['# of men]],"")</f>
        <v/>
      </c>
      <c r="L115" s="58" t="e">
        <f>tbl_RobotWeld[[#This Row],[Total hours]]*tbl_RobotWeld[[#This Row],[% Complete]]</f>
        <v>#VALUE!</v>
      </c>
      <c r="M115" s="59" t="str">
        <f>IFERROR(tbl_RobotWeld[[#This Row],[Qty Complete]]/tbl_RobotWeld[[#This Row],[Total Hours Act]]*tbl_RobotWeld[[#This Row],['# of men Act]],"")</f>
        <v/>
      </c>
      <c r="O115"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15" s="90" t="str">
        <f>IFERROR((tbl_RobotWeld[[#This Row],[Adj. Total Hours]]+tbl_RobotWeld[[#This Row],[Est. Hours]])/(tbl_RobotWeld[[#This Row],[Total Hours Act]]+tbl_RobotWeld[[#This Row],[Act. Hours]]),"")</f>
        <v/>
      </c>
      <c r="S115"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15" s="93"/>
      <c r="U115" s="63"/>
      <c r="V115" s="63"/>
      <c r="W115" s="63"/>
      <c r="X115" s="63"/>
    </row>
    <row r="116" spans="6:24" ht="25" customHeight="1">
      <c r="F116" s="53"/>
      <c r="H116" s="55" t="e">
        <f>tbl_RobotWeld[[#This Row],[Qty Complete]]/tbl_RobotWeld[[#This Row],[Qty Required]]</f>
        <v>#DIV/0!</v>
      </c>
      <c r="K116" s="57" t="str">
        <f>IFERROR(tbl_RobotWeld[[#This Row],[Qty Required]]/tbl_RobotWeld[[#This Row],[PPH]]*tbl_RobotWeld[[#This Row],['# of men]],"")</f>
        <v/>
      </c>
      <c r="L116" s="58" t="e">
        <f>tbl_RobotWeld[[#This Row],[Total hours]]*tbl_RobotWeld[[#This Row],[% Complete]]</f>
        <v>#VALUE!</v>
      </c>
      <c r="M116" s="59" t="str">
        <f>IFERROR(tbl_RobotWeld[[#This Row],[Qty Complete]]/tbl_RobotWeld[[#This Row],[Total Hours Act]]*tbl_RobotWeld[[#This Row],['# of men Act]],"")</f>
        <v/>
      </c>
      <c r="O116"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16" s="90" t="str">
        <f>IFERROR((tbl_RobotWeld[[#This Row],[Adj. Total Hours]]+tbl_RobotWeld[[#This Row],[Est. Hours]])/(tbl_RobotWeld[[#This Row],[Total Hours Act]]+tbl_RobotWeld[[#This Row],[Act. Hours]]),"")</f>
        <v/>
      </c>
      <c r="S116"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16" s="93"/>
      <c r="U116" s="63"/>
      <c r="V116" s="63"/>
      <c r="W116" s="63"/>
      <c r="X116" s="63"/>
    </row>
    <row r="117" spans="6:24" ht="25" customHeight="1">
      <c r="F117" s="53"/>
      <c r="H117" s="55" t="e">
        <f>tbl_RobotWeld[[#This Row],[Qty Complete]]/tbl_RobotWeld[[#This Row],[Qty Required]]</f>
        <v>#DIV/0!</v>
      </c>
      <c r="K117" s="57" t="str">
        <f>IFERROR(tbl_RobotWeld[[#This Row],[Qty Required]]/tbl_RobotWeld[[#This Row],[PPH]]*tbl_RobotWeld[[#This Row],['# of men]],"")</f>
        <v/>
      </c>
      <c r="L117" s="58" t="e">
        <f>tbl_RobotWeld[[#This Row],[Total hours]]*tbl_RobotWeld[[#This Row],[% Complete]]</f>
        <v>#VALUE!</v>
      </c>
      <c r="M117" s="59" t="str">
        <f>IFERROR(tbl_RobotWeld[[#This Row],[Qty Complete]]/tbl_RobotWeld[[#This Row],[Total Hours Act]]*tbl_RobotWeld[[#This Row],['# of men Act]],"")</f>
        <v/>
      </c>
      <c r="O117"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17" s="90" t="str">
        <f>IFERROR((tbl_RobotWeld[[#This Row],[Adj. Total Hours]]+tbl_RobotWeld[[#This Row],[Est. Hours]])/(tbl_RobotWeld[[#This Row],[Total Hours Act]]+tbl_RobotWeld[[#This Row],[Act. Hours]]),"")</f>
        <v/>
      </c>
      <c r="S117"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17" s="93"/>
      <c r="U117" s="63"/>
      <c r="V117" s="63"/>
      <c r="W117" s="63"/>
      <c r="X117" s="63"/>
    </row>
    <row r="118" spans="6:24" ht="25" customHeight="1">
      <c r="F118" s="53"/>
      <c r="H118" s="55" t="e">
        <f>tbl_RobotWeld[[#This Row],[Qty Complete]]/tbl_RobotWeld[[#This Row],[Qty Required]]</f>
        <v>#DIV/0!</v>
      </c>
      <c r="K118" s="57" t="str">
        <f>IFERROR(tbl_RobotWeld[[#This Row],[Qty Required]]/tbl_RobotWeld[[#This Row],[PPH]]*tbl_RobotWeld[[#This Row],['# of men]],"")</f>
        <v/>
      </c>
      <c r="L118" s="58" t="e">
        <f>tbl_RobotWeld[[#This Row],[Total hours]]*tbl_RobotWeld[[#This Row],[% Complete]]</f>
        <v>#VALUE!</v>
      </c>
      <c r="M118" s="59" t="str">
        <f>IFERROR(tbl_RobotWeld[[#This Row],[Qty Complete]]/tbl_RobotWeld[[#This Row],[Total Hours Act]]*tbl_RobotWeld[[#This Row],['# of men Act]],"")</f>
        <v/>
      </c>
      <c r="O118"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18" s="90" t="str">
        <f>IFERROR((tbl_RobotWeld[[#This Row],[Adj. Total Hours]]+tbl_RobotWeld[[#This Row],[Est. Hours]])/(tbl_RobotWeld[[#This Row],[Total Hours Act]]+tbl_RobotWeld[[#This Row],[Act. Hours]]),"")</f>
        <v/>
      </c>
      <c r="S118"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18" s="93"/>
      <c r="U118" s="63"/>
      <c r="V118" s="63"/>
      <c r="W118" s="63"/>
      <c r="X118" s="63"/>
    </row>
    <row r="119" spans="6:24" ht="25" customHeight="1">
      <c r="F119" s="53"/>
      <c r="H119" s="55" t="e">
        <f>tbl_RobotWeld[[#This Row],[Qty Complete]]/tbl_RobotWeld[[#This Row],[Qty Required]]</f>
        <v>#DIV/0!</v>
      </c>
      <c r="K119" s="57" t="str">
        <f>IFERROR(tbl_RobotWeld[[#This Row],[Qty Required]]/tbl_RobotWeld[[#This Row],[PPH]]*tbl_RobotWeld[[#This Row],['# of men]],"")</f>
        <v/>
      </c>
      <c r="L119" s="58" t="e">
        <f>tbl_RobotWeld[[#This Row],[Total hours]]*tbl_RobotWeld[[#This Row],[% Complete]]</f>
        <v>#VALUE!</v>
      </c>
      <c r="M119" s="59" t="str">
        <f>IFERROR(tbl_RobotWeld[[#This Row],[Qty Complete]]/tbl_RobotWeld[[#This Row],[Total Hours Act]]*tbl_RobotWeld[[#This Row],['# of men Act]],"")</f>
        <v/>
      </c>
      <c r="O119"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19" s="90" t="str">
        <f>IFERROR((tbl_RobotWeld[[#This Row],[Adj. Total Hours]]+tbl_RobotWeld[[#This Row],[Est. Hours]])/(tbl_RobotWeld[[#This Row],[Total Hours Act]]+tbl_RobotWeld[[#This Row],[Act. Hours]]),"")</f>
        <v/>
      </c>
      <c r="S119"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19" s="93"/>
      <c r="U119" s="63"/>
      <c r="V119" s="63"/>
      <c r="W119" s="63"/>
      <c r="X119" s="63"/>
    </row>
    <row r="120" spans="6:24" ht="25" customHeight="1">
      <c r="F120" s="53"/>
      <c r="H120" s="55" t="e">
        <f>tbl_RobotWeld[[#This Row],[Qty Complete]]/tbl_RobotWeld[[#This Row],[Qty Required]]</f>
        <v>#DIV/0!</v>
      </c>
      <c r="K120" s="57" t="str">
        <f>IFERROR(tbl_RobotWeld[[#This Row],[Qty Required]]/tbl_RobotWeld[[#This Row],[PPH]]*tbl_RobotWeld[[#This Row],['# of men]],"")</f>
        <v/>
      </c>
      <c r="L120" s="58" t="e">
        <f>tbl_RobotWeld[[#This Row],[Total hours]]*tbl_RobotWeld[[#This Row],[% Complete]]</f>
        <v>#VALUE!</v>
      </c>
      <c r="M120" s="59" t="str">
        <f>IFERROR(tbl_RobotWeld[[#This Row],[Qty Complete]]/tbl_RobotWeld[[#This Row],[Total Hours Act]]*tbl_RobotWeld[[#This Row],['# of men Act]],"")</f>
        <v/>
      </c>
      <c r="O120"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20" s="90" t="str">
        <f>IFERROR((tbl_RobotWeld[[#This Row],[Adj. Total Hours]]+tbl_RobotWeld[[#This Row],[Est. Hours]])/(tbl_RobotWeld[[#This Row],[Total Hours Act]]+tbl_RobotWeld[[#This Row],[Act. Hours]]),"")</f>
        <v/>
      </c>
      <c r="S120"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20" s="93"/>
      <c r="U120" s="63"/>
      <c r="V120" s="63"/>
      <c r="W120" s="63"/>
      <c r="X120" s="63"/>
    </row>
    <row r="121" spans="6:24" ht="25" customHeight="1">
      <c r="F121" s="53"/>
      <c r="H121" s="55" t="e">
        <f>tbl_RobotWeld[[#This Row],[Qty Complete]]/tbl_RobotWeld[[#This Row],[Qty Required]]</f>
        <v>#DIV/0!</v>
      </c>
      <c r="K121" s="57" t="str">
        <f>IFERROR(tbl_RobotWeld[[#This Row],[Qty Required]]/tbl_RobotWeld[[#This Row],[PPH]]*tbl_RobotWeld[[#This Row],['# of men]],"")</f>
        <v/>
      </c>
      <c r="L121" s="58" t="e">
        <f>tbl_RobotWeld[[#This Row],[Total hours]]*tbl_RobotWeld[[#This Row],[% Complete]]</f>
        <v>#VALUE!</v>
      </c>
      <c r="M121" s="59" t="str">
        <f>IFERROR(tbl_RobotWeld[[#This Row],[Qty Complete]]/tbl_RobotWeld[[#This Row],[Total Hours Act]]*tbl_RobotWeld[[#This Row],['# of men Act]],"")</f>
        <v/>
      </c>
      <c r="O121"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21" s="90" t="str">
        <f>IFERROR((tbl_RobotWeld[[#This Row],[Adj. Total Hours]]+tbl_RobotWeld[[#This Row],[Est. Hours]])/(tbl_RobotWeld[[#This Row],[Total Hours Act]]+tbl_RobotWeld[[#This Row],[Act. Hours]]),"")</f>
        <v/>
      </c>
      <c r="S121"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21" s="93"/>
      <c r="U121" s="63"/>
      <c r="V121" s="63"/>
      <c r="W121" s="63"/>
      <c r="X121" s="63"/>
    </row>
    <row r="122" spans="6:24" ht="25" customHeight="1">
      <c r="F122" s="53"/>
      <c r="H122" s="55" t="e">
        <f>tbl_RobotWeld[[#This Row],[Qty Complete]]/tbl_RobotWeld[[#This Row],[Qty Required]]</f>
        <v>#DIV/0!</v>
      </c>
      <c r="K122" s="57" t="str">
        <f>IFERROR(tbl_RobotWeld[[#This Row],[Qty Required]]/tbl_RobotWeld[[#This Row],[PPH]]*tbl_RobotWeld[[#This Row],['# of men]],"")</f>
        <v/>
      </c>
      <c r="L122" s="58" t="e">
        <f>tbl_RobotWeld[[#This Row],[Total hours]]*tbl_RobotWeld[[#This Row],[% Complete]]</f>
        <v>#VALUE!</v>
      </c>
      <c r="M122" s="59" t="str">
        <f>IFERROR(tbl_RobotWeld[[#This Row],[Qty Complete]]/tbl_RobotWeld[[#This Row],[Total Hours Act]]*tbl_RobotWeld[[#This Row],['# of men Act]],"")</f>
        <v/>
      </c>
      <c r="O122"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22" s="90" t="str">
        <f>IFERROR((tbl_RobotWeld[[#This Row],[Adj. Total Hours]]+tbl_RobotWeld[[#This Row],[Est. Hours]])/(tbl_RobotWeld[[#This Row],[Total Hours Act]]+tbl_RobotWeld[[#This Row],[Act. Hours]]),"")</f>
        <v/>
      </c>
      <c r="S122"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22" s="93"/>
      <c r="U122" s="63"/>
      <c r="V122" s="63"/>
      <c r="W122" s="63"/>
      <c r="X122" s="63"/>
    </row>
    <row r="123" spans="6:24" ht="25" customHeight="1">
      <c r="F123" s="53"/>
      <c r="H123" s="55" t="e">
        <f>tbl_RobotWeld[[#This Row],[Qty Complete]]/tbl_RobotWeld[[#This Row],[Qty Required]]</f>
        <v>#DIV/0!</v>
      </c>
      <c r="K123" s="57" t="str">
        <f>IFERROR(tbl_RobotWeld[[#This Row],[Qty Required]]/tbl_RobotWeld[[#This Row],[PPH]]*tbl_RobotWeld[[#This Row],['# of men]],"")</f>
        <v/>
      </c>
      <c r="L123" s="58" t="e">
        <f>tbl_RobotWeld[[#This Row],[Total hours]]*tbl_RobotWeld[[#This Row],[% Complete]]</f>
        <v>#VALUE!</v>
      </c>
      <c r="M123" s="59" t="str">
        <f>IFERROR(tbl_RobotWeld[[#This Row],[Qty Complete]]/tbl_RobotWeld[[#This Row],[Total Hours Act]]*tbl_RobotWeld[[#This Row],['# of men Act]],"")</f>
        <v/>
      </c>
      <c r="O123"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23" s="90" t="str">
        <f>IFERROR((tbl_RobotWeld[[#This Row],[Adj. Total Hours]]+tbl_RobotWeld[[#This Row],[Est. Hours]])/(tbl_RobotWeld[[#This Row],[Total Hours Act]]+tbl_RobotWeld[[#This Row],[Act. Hours]]),"")</f>
        <v/>
      </c>
      <c r="S123"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23" s="93"/>
      <c r="U123" s="63"/>
      <c r="V123" s="63"/>
      <c r="W123" s="63"/>
      <c r="X123" s="63"/>
    </row>
    <row r="124" spans="6:24" ht="25" customHeight="1">
      <c r="F124" s="53"/>
      <c r="H124" s="55" t="e">
        <f>tbl_RobotWeld[[#This Row],[Qty Complete]]/tbl_RobotWeld[[#This Row],[Qty Required]]</f>
        <v>#DIV/0!</v>
      </c>
      <c r="K124" s="57" t="str">
        <f>IFERROR(tbl_RobotWeld[[#This Row],[Qty Required]]/tbl_RobotWeld[[#This Row],[PPH]]*tbl_RobotWeld[[#This Row],['# of men]],"")</f>
        <v/>
      </c>
      <c r="L124" s="58" t="e">
        <f>tbl_RobotWeld[[#This Row],[Total hours]]*tbl_RobotWeld[[#This Row],[% Complete]]</f>
        <v>#VALUE!</v>
      </c>
      <c r="M124" s="59" t="str">
        <f>IFERROR(tbl_RobotWeld[[#This Row],[Qty Complete]]/tbl_RobotWeld[[#This Row],[Total Hours Act]]*tbl_RobotWeld[[#This Row],['# of men Act]],"")</f>
        <v/>
      </c>
      <c r="O124"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24" s="90" t="str">
        <f>IFERROR((tbl_RobotWeld[[#This Row],[Adj. Total Hours]]+tbl_RobotWeld[[#This Row],[Est. Hours]])/(tbl_RobotWeld[[#This Row],[Total Hours Act]]+tbl_RobotWeld[[#This Row],[Act. Hours]]),"")</f>
        <v/>
      </c>
      <c r="S124"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24" s="93"/>
      <c r="U124" s="63"/>
      <c r="V124" s="63"/>
      <c r="W124" s="63"/>
      <c r="X124" s="63"/>
    </row>
    <row r="125" spans="6:24" ht="25" customHeight="1">
      <c r="F125" s="53"/>
      <c r="H125" s="55" t="e">
        <f>tbl_RobotWeld[[#This Row],[Qty Complete]]/tbl_RobotWeld[[#This Row],[Qty Required]]</f>
        <v>#DIV/0!</v>
      </c>
      <c r="K125" s="57" t="str">
        <f>IFERROR(tbl_RobotWeld[[#This Row],[Qty Required]]/tbl_RobotWeld[[#This Row],[PPH]]*tbl_RobotWeld[[#This Row],['# of men]],"")</f>
        <v/>
      </c>
      <c r="L125" s="58" t="e">
        <f>tbl_RobotWeld[[#This Row],[Total hours]]*tbl_RobotWeld[[#This Row],[% Complete]]</f>
        <v>#VALUE!</v>
      </c>
      <c r="M125" s="59" t="str">
        <f>IFERROR(tbl_RobotWeld[[#This Row],[Qty Complete]]/tbl_RobotWeld[[#This Row],[Total Hours Act]]*tbl_RobotWeld[[#This Row],['# of men Act]],"")</f>
        <v/>
      </c>
      <c r="O125"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25" s="90" t="str">
        <f>IFERROR((tbl_RobotWeld[[#This Row],[Adj. Total Hours]]+tbl_RobotWeld[[#This Row],[Est. Hours]])/(tbl_RobotWeld[[#This Row],[Total Hours Act]]+tbl_RobotWeld[[#This Row],[Act. Hours]]),"")</f>
        <v/>
      </c>
      <c r="S125"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25" s="93"/>
      <c r="U125" s="63"/>
      <c r="V125" s="63"/>
      <c r="W125" s="63"/>
      <c r="X125" s="63"/>
    </row>
    <row r="126" spans="6:24" ht="25" customHeight="1">
      <c r="F126" s="53"/>
      <c r="H126" s="55" t="e">
        <f>tbl_RobotWeld[[#This Row],[Qty Complete]]/tbl_RobotWeld[[#This Row],[Qty Required]]</f>
        <v>#DIV/0!</v>
      </c>
      <c r="K126" s="57" t="str">
        <f>IFERROR(tbl_RobotWeld[[#This Row],[Qty Required]]/tbl_RobotWeld[[#This Row],[PPH]]*tbl_RobotWeld[[#This Row],['# of men]],"")</f>
        <v/>
      </c>
      <c r="L126" s="58" t="e">
        <f>tbl_RobotWeld[[#This Row],[Total hours]]*tbl_RobotWeld[[#This Row],[% Complete]]</f>
        <v>#VALUE!</v>
      </c>
      <c r="M126" s="59" t="str">
        <f>IFERROR(tbl_RobotWeld[[#This Row],[Qty Complete]]/tbl_RobotWeld[[#This Row],[Total Hours Act]]*tbl_RobotWeld[[#This Row],['# of men Act]],"")</f>
        <v/>
      </c>
      <c r="O126"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26" s="90" t="str">
        <f>IFERROR((tbl_RobotWeld[[#This Row],[Adj. Total Hours]]+tbl_RobotWeld[[#This Row],[Est. Hours]])/(tbl_RobotWeld[[#This Row],[Total Hours Act]]+tbl_RobotWeld[[#This Row],[Act. Hours]]),"")</f>
        <v/>
      </c>
      <c r="S126"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26" s="93"/>
      <c r="U126" s="63"/>
      <c r="V126" s="63"/>
      <c r="W126" s="63"/>
      <c r="X126" s="63"/>
    </row>
    <row r="127" spans="6:24" ht="25" customHeight="1">
      <c r="F127" s="53"/>
      <c r="H127" s="55" t="e">
        <f>tbl_RobotWeld[[#This Row],[Qty Complete]]/tbl_RobotWeld[[#This Row],[Qty Required]]</f>
        <v>#DIV/0!</v>
      </c>
      <c r="K127" s="57" t="str">
        <f>IFERROR(tbl_RobotWeld[[#This Row],[Qty Required]]/tbl_RobotWeld[[#This Row],[PPH]]*tbl_RobotWeld[[#This Row],['# of men]],"")</f>
        <v/>
      </c>
      <c r="L127" s="58" t="e">
        <f>tbl_RobotWeld[[#This Row],[Total hours]]*tbl_RobotWeld[[#This Row],[% Complete]]</f>
        <v>#VALUE!</v>
      </c>
      <c r="M127" s="59" t="str">
        <f>IFERROR(tbl_RobotWeld[[#This Row],[Qty Complete]]/tbl_RobotWeld[[#This Row],[Total Hours Act]]*tbl_RobotWeld[[#This Row],['# of men Act]],"")</f>
        <v/>
      </c>
      <c r="O127"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27" s="90" t="str">
        <f>IFERROR((tbl_RobotWeld[[#This Row],[Adj. Total Hours]]+tbl_RobotWeld[[#This Row],[Est. Hours]])/(tbl_RobotWeld[[#This Row],[Total Hours Act]]+tbl_RobotWeld[[#This Row],[Act. Hours]]),"")</f>
        <v/>
      </c>
      <c r="S127"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27" s="93"/>
      <c r="U127" s="63"/>
      <c r="V127" s="63"/>
      <c r="W127" s="63"/>
      <c r="X127" s="63"/>
    </row>
    <row r="128" spans="6:24" ht="25" customHeight="1">
      <c r="F128" s="53"/>
      <c r="H128" s="55" t="e">
        <f>tbl_RobotWeld[[#This Row],[Qty Complete]]/tbl_RobotWeld[[#This Row],[Qty Required]]</f>
        <v>#DIV/0!</v>
      </c>
      <c r="K128" s="57" t="str">
        <f>IFERROR(tbl_RobotWeld[[#This Row],[Qty Required]]/tbl_RobotWeld[[#This Row],[PPH]]*tbl_RobotWeld[[#This Row],['# of men]],"")</f>
        <v/>
      </c>
      <c r="L128" s="58" t="e">
        <f>tbl_RobotWeld[[#This Row],[Total hours]]*tbl_RobotWeld[[#This Row],[% Complete]]</f>
        <v>#VALUE!</v>
      </c>
      <c r="M128" s="59" t="str">
        <f>IFERROR(tbl_RobotWeld[[#This Row],[Qty Complete]]/tbl_RobotWeld[[#This Row],[Total Hours Act]]*tbl_RobotWeld[[#This Row],['# of men Act]],"")</f>
        <v/>
      </c>
      <c r="O128"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28" s="90" t="str">
        <f>IFERROR((tbl_RobotWeld[[#This Row],[Adj. Total Hours]]+tbl_RobotWeld[[#This Row],[Est. Hours]])/(tbl_RobotWeld[[#This Row],[Total Hours Act]]+tbl_RobotWeld[[#This Row],[Act. Hours]]),"")</f>
        <v/>
      </c>
      <c r="S128"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28" s="93"/>
      <c r="U128" s="63"/>
      <c r="V128" s="63"/>
      <c r="W128" s="63"/>
      <c r="X128" s="63"/>
    </row>
    <row r="129" spans="6:24" ht="25" customHeight="1">
      <c r="F129" s="53"/>
      <c r="H129" s="55" t="e">
        <f>tbl_RobotWeld[[#This Row],[Qty Complete]]/tbl_RobotWeld[[#This Row],[Qty Required]]</f>
        <v>#DIV/0!</v>
      </c>
      <c r="K129" s="57" t="str">
        <f>IFERROR(tbl_RobotWeld[[#This Row],[Qty Required]]/tbl_RobotWeld[[#This Row],[PPH]]*tbl_RobotWeld[[#This Row],['# of men]],"")</f>
        <v/>
      </c>
      <c r="L129" s="58" t="e">
        <f>tbl_RobotWeld[[#This Row],[Total hours]]*tbl_RobotWeld[[#This Row],[% Complete]]</f>
        <v>#VALUE!</v>
      </c>
      <c r="M129" s="59" t="str">
        <f>IFERROR(tbl_RobotWeld[[#This Row],[Qty Complete]]/tbl_RobotWeld[[#This Row],[Total Hours Act]]*tbl_RobotWeld[[#This Row],['# of men Act]],"")</f>
        <v/>
      </c>
      <c r="O129"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29" s="90" t="str">
        <f>IFERROR((tbl_RobotWeld[[#This Row],[Adj. Total Hours]]+tbl_RobotWeld[[#This Row],[Est. Hours]])/(tbl_RobotWeld[[#This Row],[Total Hours Act]]+tbl_RobotWeld[[#This Row],[Act. Hours]]),"")</f>
        <v/>
      </c>
      <c r="S129"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29" s="93"/>
      <c r="U129" s="63"/>
      <c r="V129" s="63"/>
      <c r="W129" s="63"/>
      <c r="X129" s="63"/>
    </row>
    <row r="130" spans="6:24" ht="25" customHeight="1">
      <c r="F130" s="53"/>
      <c r="H130" s="55" t="e">
        <f>tbl_RobotWeld[[#This Row],[Qty Complete]]/tbl_RobotWeld[[#This Row],[Qty Required]]</f>
        <v>#DIV/0!</v>
      </c>
      <c r="K130" s="57" t="str">
        <f>IFERROR(tbl_RobotWeld[[#This Row],[Qty Required]]/tbl_RobotWeld[[#This Row],[PPH]]*tbl_RobotWeld[[#This Row],['# of men]],"")</f>
        <v/>
      </c>
      <c r="L130" s="58" t="e">
        <f>tbl_RobotWeld[[#This Row],[Total hours]]*tbl_RobotWeld[[#This Row],[% Complete]]</f>
        <v>#VALUE!</v>
      </c>
      <c r="M130" s="59" t="str">
        <f>IFERROR(tbl_RobotWeld[[#This Row],[Qty Complete]]/tbl_RobotWeld[[#This Row],[Total Hours Act]]*tbl_RobotWeld[[#This Row],['# of men Act]],"")</f>
        <v/>
      </c>
      <c r="O130"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30" s="90" t="str">
        <f>IFERROR((tbl_RobotWeld[[#This Row],[Adj. Total Hours]]+tbl_RobotWeld[[#This Row],[Est. Hours]])/(tbl_RobotWeld[[#This Row],[Total Hours Act]]+tbl_RobotWeld[[#This Row],[Act. Hours]]),"")</f>
        <v/>
      </c>
      <c r="S130"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30" s="93"/>
      <c r="U130" s="63"/>
      <c r="V130" s="63"/>
      <c r="W130" s="63"/>
      <c r="X130" s="63"/>
    </row>
    <row r="131" spans="6:24" ht="25" customHeight="1">
      <c r="F131" s="53"/>
      <c r="H131" s="55" t="e">
        <f>tbl_RobotWeld[[#This Row],[Qty Complete]]/tbl_RobotWeld[[#This Row],[Qty Required]]</f>
        <v>#DIV/0!</v>
      </c>
      <c r="K131" s="57" t="str">
        <f>IFERROR(tbl_RobotWeld[[#This Row],[Qty Required]]/tbl_RobotWeld[[#This Row],[PPH]]*tbl_RobotWeld[[#This Row],['# of men]],"")</f>
        <v/>
      </c>
      <c r="L131" s="58" t="e">
        <f>tbl_RobotWeld[[#This Row],[Total hours]]*tbl_RobotWeld[[#This Row],[% Complete]]</f>
        <v>#VALUE!</v>
      </c>
      <c r="M131" s="59" t="str">
        <f>IFERROR(tbl_RobotWeld[[#This Row],[Qty Complete]]/tbl_RobotWeld[[#This Row],[Total Hours Act]]*tbl_RobotWeld[[#This Row],['# of men Act]],"")</f>
        <v/>
      </c>
      <c r="O131"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31" s="90" t="str">
        <f>IFERROR((tbl_RobotWeld[[#This Row],[Adj. Total Hours]]+tbl_RobotWeld[[#This Row],[Est. Hours]])/(tbl_RobotWeld[[#This Row],[Total Hours Act]]+tbl_RobotWeld[[#This Row],[Act. Hours]]),"")</f>
        <v/>
      </c>
      <c r="S131"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31" s="93"/>
      <c r="U131" s="63"/>
      <c r="V131" s="63"/>
      <c r="W131" s="63"/>
      <c r="X131" s="63"/>
    </row>
    <row r="132" spans="6:24" ht="25" customHeight="1">
      <c r="F132" s="53"/>
      <c r="H132" s="55" t="e">
        <f>tbl_RobotWeld[[#This Row],[Qty Complete]]/tbl_RobotWeld[[#This Row],[Qty Required]]</f>
        <v>#DIV/0!</v>
      </c>
      <c r="K132" s="57" t="str">
        <f>IFERROR(tbl_RobotWeld[[#This Row],[Qty Required]]/tbl_RobotWeld[[#This Row],[PPH]]*tbl_RobotWeld[[#This Row],['# of men]],"")</f>
        <v/>
      </c>
      <c r="L132" s="58" t="e">
        <f>tbl_RobotWeld[[#This Row],[Total hours]]*tbl_RobotWeld[[#This Row],[% Complete]]</f>
        <v>#VALUE!</v>
      </c>
      <c r="M132" s="59" t="str">
        <f>IFERROR(tbl_RobotWeld[[#This Row],[Qty Complete]]/tbl_RobotWeld[[#This Row],[Total Hours Act]]*tbl_RobotWeld[[#This Row],['# of men Act]],"")</f>
        <v/>
      </c>
      <c r="O132"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32" s="90" t="str">
        <f>IFERROR((tbl_RobotWeld[[#This Row],[Adj. Total Hours]]+tbl_RobotWeld[[#This Row],[Est. Hours]])/(tbl_RobotWeld[[#This Row],[Total Hours Act]]+tbl_RobotWeld[[#This Row],[Act. Hours]]),"")</f>
        <v/>
      </c>
      <c r="S132"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32" s="93"/>
      <c r="U132" s="63"/>
      <c r="V132" s="63"/>
      <c r="W132" s="63"/>
      <c r="X132" s="63"/>
    </row>
    <row r="133" spans="6:24" ht="25" customHeight="1">
      <c r="F133" s="53"/>
      <c r="H133" s="55" t="e">
        <f>tbl_RobotWeld[[#This Row],[Qty Complete]]/tbl_RobotWeld[[#This Row],[Qty Required]]</f>
        <v>#DIV/0!</v>
      </c>
      <c r="K133" s="57" t="str">
        <f>IFERROR(tbl_RobotWeld[[#This Row],[Qty Required]]/tbl_RobotWeld[[#This Row],[PPH]]*tbl_RobotWeld[[#This Row],['# of men]],"")</f>
        <v/>
      </c>
      <c r="L133" s="58" t="e">
        <f>tbl_RobotWeld[[#This Row],[Total hours]]*tbl_RobotWeld[[#This Row],[% Complete]]</f>
        <v>#VALUE!</v>
      </c>
      <c r="M133" s="59" t="str">
        <f>IFERROR(tbl_RobotWeld[[#This Row],[Qty Complete]]/tbl_RobotWeld[[#This Row],[Total Hours Act]]*tbl_RobotWeld[[#This Row],['# of men Act]],"")</f>
        <v/>
      </c>
      <c r="O133"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33" s="90" t="str">
        <f>IFERROR((tbl_RobotWeld[[#This Row],[Adj. Total Hours]]+tbl_RobotWeld[[#This Row],[Est. Hours]])/(tbl_RobotWeld[[#This Row],[Total Hours Act]]+tbl_RobotWeld[[#This Row],[Act. Hours]]),"")</f>
        <v/>
      </c>
      <c r="S133"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33" s="93"/>
      <c r="U133" s="63"/>
      <c r="V133" s="63"/>
      <c r="W133" s="63"/>
      <c r="X133" s="63"/>
    </row>
    <row r="134" spans="6:24" ht="25" customHeight="1">
      <c r="F134" s="53"/>
      <c r="H134" s="55" t="e">
        <f>tbl_RobotWeld[[#This Row],[Qty Complete]]/tbl_RobotWeld[[#This Row],[Qty Required]]</f>
        <v>#DIV/0!</v>
      </c>
      <c r="K134" s="57" t="str">
        <f>IFERROR(tbl_RobotWeld[[#This Row],[Qty Required]]/tbl_RobotWeld[[#This Row],[PPH]]*tbl_RobotWeld[[#This Row],['# of men]],"")</f>
        <v/>
      </c>
      <c r="L134" s="58" t="e">
        <f>tbl_RobotWeld[[#This Row],[Total hours]]*tbl_RobotWeld[[#This Row],[% Complete]]</f>
        <v>#VALUE!</v>
      </c>
      <c r="M134" s="59" t="str">
        <f>IFERROR(tbl_RobotWeld[[#This Row],[Qty Complete]]/tbl_RobotWeld[[#This Row],[Total Hours Act]]*tbl_RobotWeld[[#This Row],['# of men Act]],"")</f>
        <v/>
      </c>
      <c r="O134"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34" s="90" t="str">
        <f>IFERROR((tbl_RobotWeld[[#This Row],[Adj. Total Hours]]+tbl_RobotWeld[[#This Row],[Est. Hours]])/(tbl_RobotWeld[[#This Row],[Total Hours Act]]+tbl_RobotWeld[[#This Row],[Act. Hours]]),"")</f>
        <v/>
      </c>
      <c r="S134"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34" s="93"/>
      <c r="U134" s="63"/>
      <c r="V134" s="63"/>
      <c r="W134" s="63"/>
      <c r="X134" s="63"/>
    </row>
    <row r="135" spans="6:24" ht="25" customHeight="1">
      <c r="F135" s="53"/>
      <c r="H135" s="55" t="e">
        <f>tbl_RobotWeld[[#This Row],[Qty Complete]]/tbl_RobotWeld[[#This Row],[Qty Required]]</f>
        <v>#DIV/0!</v>
      </c>
      <c r="K135" s="57" t="str">
        <f>IFERROR(tbl_RobotWeld[[#This Row],[Qty Required]]/tbl_RobotWeld[[#This Row],[PPH]]*tbl_RobotWeld[[#This Row],['# of men]],"")</f>
        <v/>
      </c>
      <c r="L135" s="58" t="e">
        <f>tbl_RobotWeld[[#This Row],[Total hours]]*tbl_RobotWeld[[#This Row],[% Complete]]</f>
        <v>#VALUE!</v>
      </c>
      <c r="M135" s="59" t="str">
        <f>IFERROR(tbl_RobotWeld[[#This Row],[Qty Complete]]/tbl_RobotWeld[[#This Row],[Total Hours Act]]*tbl_RobotWeld[[#This Row],['# of men Act]],"")</f>
        <v/>
      </c>
      <c r="O135"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35" s="90" t="str">
        <f>IFERROR((tbl_RobotWeld[[#This Row],[Adj. Total Hours]]+tbl_RobotWeld[[#This Row],[Est. Hours]])/(tbl_RobotWeld[[#This Row],[Total Hours Act]]+tbl_RobotWeld[[#This Row],[Act. Hours]]),"")</f>
        <v/>
      </c>
      <c r="S135"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35" s="93"/>
      <c r="U135" s="63"/>
      <c r="V135" s="63"/>
      <c r="W135" s="63"/>
      <c r="X135" s="63"/>
    </row>
    <row r="136" spans="6:24" ht="25" customHeight="1">
      <c r="F136" s="53"/>
      <c r="H136" s="55" t="e">
        <f>tbl_RobotWeld[[#This Row],[Qty Complete]]/tbl_RobotWeld[[#This Row],[Qty Required]]</f>
        <v>#DIV/0!</v>
      </c>
      <c r="K136" s="57" t="str">
        <f>IFERROR(tbl_RobotWeld[[#This Row],[Qty Required]]/tbl_RobotWeld[[#This Row],[PPH]]*tbl_RobotWeld[[#This Row],['# of men]],"")</f>
        <v/>
      </c>
      <c r="L136" s="58" t="e">
        <f>tbl_RobotWeld[[#This Row],[Total hours]]*tbl_RobotWeld[[#This Row],[% Complete]]</f>
        <v>#VALUE!</v>
      </c>
      <c r="M136" s="59" t="str">
        <f>IFERROR(tbl_RobotWeld[[#This Row],[Qty Complete]]/tbl_RobotWeld[[#This Row],[Total Hours Act]]*tbl_RobotWeld[[#This Row],['# of men Act]],"")</f>
        <v/>
      </c>
      <c r="O136"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36" s="90" t="str">
        <f>IFERROR((tbl_RobotWeld[[#This Row],[Adj. Total Hours]]+tbl_RobotWeld[[#This Row],[Est. Hours]])/(tbl_RobotWeld[[#This Row],[Total Hours Act]]+tbl_RobotWeld[[#This Row],[Act. Hours]]),"")</f>
        <v/>
      </c>
      <c r="S136"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36" s="93"/>
      <c r="U136" s="63"/>
      <c r="V136" s="63"/>
      <c r="W136" s="63"/>
      <c r="X136" s="63"/>
    </row>
    <row r="137" spans="6:24" ht="25" customHeight="1">
      <c r="F137" s="53"/>
      <c r="H137" s="55" t="e">
        <f>tbl_RobotWeld[[#This Row],[Qty Complete]]/tbl_RobotWeld[[#This Row],[Qty Required]]</f>
        <v>#DIV/0!</v>
      </c>
      <c r="K137" s="57" t="str">
        <f>IFERROR(tbl_RobotWeld[[#This Row],[Qty Required]]/tbl_RobotWeld[[#This Row],[PPH]]*tbl_RobotWeld[[#This Row],['# of men]],"")</f>
        <v/>
      </c>
      <c r="L137" s="58" t="e">
        <f>tbl_RobotWeld[[#This Row],[Total hours]]*tbl_RobotWeld[[#This Row],[% Complete]]</f>
        <v>#VALUE!</v>
      </c>
      <c r="M137" s="59" t="str">
        <f>IFERROR(tbl_RobotWeld[[#This Row],[Qty Complete]]/tbl_RobotWeld[[#This Row],[Total Hours Act]]*tbl_RobotWeld[[#This Row],['# of men Act]],"")</f>
        <v/>
      </c>
      <c r="O137"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37" s="90" t="str">
        <f>IFERROR((tbl_RobotWeld[[#This Row],[Adj. Total Hours]]+tbl_RobotWeld[[#This Row],[Est. Hours]])/(tbl_RobotWeld[[#This Row],[Total Hours Act]]+tbl_RobotWeld[[#This Row],[Act. Hours]]),"")</f>
        <v/>
      </c>
      <c r="S137"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37" s="93"/>
      <c r="U137" s="63"/>
      <c r="V137" s="63"/>
      <c r="W137" s="63"/>
      <c r="X137" s="63"/>
    </row>
    <row r="138" spans="6:24" ht="25" customHeight="1">
      <c r="F138" s="53"/>
      <c r="H138" s="55" t="e">
        <f>tbl_RobotWeld[[#This Row],[Qty Complete]]/tbl_RobotWeld[[#This Row],[Qty Required]]</f>
        <v>#DIV/0!</v>
      </c>
      <c r="K138" s="57" t="str">
        <f>IFERROR(tbl_RobotWeld[[#This Row],[Qty Required]]/tbl_RobotWeld[[#This Row],[PPH]]*tbl_RobotWeld[[#This Row],['# of men]],"")</f>
        <v/>
      </c>
      <c r="L138" s="58" t="e">
        <f>tbl_RobotWeld[[#This Row],[Total hours]]*tbl_RobotWeld[[#This Row],[% Complete]]</f>
        <v>#VALUE!</v>
      </c>
      <c r="M138" s="59" t="str">
        <f>IFERROR(tbl_RobotWeld[[#This Row],[Qty Complete]]/tbl_RobotWeld[[#This Row],[Total Hours Act]]*tbl_RobotWeld[[#This Row],['# of men Act]],"")</f>
        <v/>
      </c>
      <c r="O138"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38" s="90" t="str">
        <f>IFERROR((tbl_RobotWeld[[#This Row],[Adj. Total Hours]]+tbl_RobotWeld[[#This Row],[Est. Hours]])/(tbl_RobotWeld[[#This Row],[Total Hours Act]]+tbl_RobotWeld[[#This Row],[Act. Hours]]),"")</f>
        <v/>
      </c>
      <c r="S138"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38" s="93"/>
      <c r="U138" s="63"/>
      <c r="V138" s="63"/>
      <c r="W138" s="63"/>
      <c r="X138" s="63"/>
    </row>
    <row r="139" spans="6:24" ht="25" customHeight="1">
      <c r="F139" s="53"/>
      <c r="H139" s="55" t="e">
        <f>tbl_RobotWeld[[#This Row],[Qty Complete]]/tbl_RobotWeld[[#This Row],[Qty Required]]</f>
        <v>#DIV/0!</v>
      </c>
      <c r="K139" s="57" t="str">
        <f>IFERROR(tbl_RobotWeld[[#This Row],[Qty Required]]/tbl_RobotWeld[[#This Row],[PPH]]*tbl_RobotWeld[[#This Row],['# of men]],"")</f>
        <v/>
      </c>
      <c r="L139" s="58" t="e">
        <f>tbl_RobotWeld[[#This Row],[Total hours]]*tbl_RobotWeld[[#This Row],[% Complete]]</f>
        <v>#VALUE!</v>
      </c>
      <c r="M139" s="59" t="str">
        <f>IFERROR(tbl_RobotWeld[[#This Row],[Qty Complete]]/tbl_RobotWeld[[#This Row],[Total Hours Act]]*tbl_RobotWeld[[#This Row],['# of men Act]],"")</f>
        <v/>
      </c>
      <c r="O139"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39" s="90" t="str">
        <f>IFERROR((tbl_RobotWeld[[#This Row],[Adj. Total Hours]]+tbl_RobotWeld[[#This Row],[Est. Hours]])/(tbl_RobotWeld[[#This Row],[Total Hours Act]]+tbl_RobotWeld[[#This Row],[Act. Hours]]),"")</f>
        <v/>
      </c>
      <c r="S139"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39" s="93"/>
      <c r="U139" s="63"/>
      <c r="V139" s="63"/>
      <c r="W139" s="63"/>
      <c r="X139" s="63"/>
    </row>
    <row r="140" spans="6:24" ht="25" customHeight="1">
      <c r="F140" s="53"/>
      <c r="H140" s="55" t="e">
        <f>tbl_RobotWeld[[#This Row],[Qty Complete]]/tbl_RobotWeld[[#This Row],[Qty Required]]</f>
        <v>#DIV/0!</v>
      </c>
      <c r="K140" s="57" t="str">
        <f>IFERROR(tbl_RobotWeld[[#This Row],[Qty Required]]/tbl_RobotWeld[[#This Row],[PPH]]*tbl_RobotWeld[[#This Row],['# of men]],"")</f>
        <v/>
      </c>
      <c r="L140" s="58" t="e">
        <f>tbl_RobotWeld[[#This Row],[Total hours]]*tbl_RobotWeld[[#This Row],[% Complete]]</f>
        <v>#VALUE!</v>
      </c>
      <c r="M140" s="59" t="str">
        <f>IFERROR(tbl_RobotWeld[[#This Row],[Qty Complete]]/tbl_RobotWeld[[#This Row],[Total Hours Act]]*tbl_RobotWeld[[#This Row],['# of men Act]],"")</f>
        <v/>
      </c>
      <c r="O140"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40" s="90" t="str">
        <f>IFERROR((tbl_RobotWeld[[#This Row],[Adj. Total Hours]]+tbl_RobotWeld[[#This Row],[Est. Hours]])/(tbl_RobotWeld[[#This Row],[Total Hours Act]]+tbl_RobotWeld[[#This Row],[Act. Hours]]),"")</f>
        <v/>
      </c>
      <c r="S140"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40" s="93"/>
      <c r="U140" s="63"/>
      <c r="V140" s="63"/>
      <c r="W140" s="63"/>
      <c r="X140" s="63"/>
    </row>
    <row r="141" spans="6:24" ht="25" customHeight="1">
      <c r="F141" s="53"/>
      <c r="H141" s="55" t="e">
        <f>tbl_RobotWeld[[#This Row],[Qty Complete]]/tbl_RobotWeld[[#This Row],[Qty Required]]</f>
        <v>#DIV/0!</v>
      </c>
      <c r="K141" s="57" t="str">
        <f>IFERROR(tbl_RobotWeld[[#This Row],[Qty Required]]/tbl_RobotWeld[[#This Row],[PPH]]*tbl_RobotWeld[[#This Row],['# of men]],"")</f>
        <v/>
      </c>
      <c r="L141" s="58" t="e">
        <f>tbl_RobotWeld[[#This Row],[Total hours]]*tbl_RobotWeld[[#This Row],[% Complete]]</f>
        <v>#VALUE!</v>
      </c>
      <c r="M141" s="59" t="str">
        <f>IFERROR(tbl_RobotWeld[[#This Row],[Qty Complete]]/tbl_RobotWeld[[#This Row],[Total Hours Act]]*tbl_RobotWeld[[#This Row],['# of men Act]],"")</f>
        <v/>
      </c>
      <c r="O141"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41" s="90" t="str">
        <f>IFERROR((tbl_RobotWeld[[#This Row],[Adj. Total Hours]]+tbl_RobotWeld[[#This Row],[Est. Hours]])/(tbl_RobotWeld[[#This Row],[Total Hours Act]]+tbl_RobotWeld[[#This Row],[Act. Hours]]),"")</f>
        <v/>
      </c>
      <c r="S141"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41" s="93"/>
      <c r="U141" s="63"/>
      <c r="V141" s="63"/>
      <c r="W141" s="63"/>
      <c r="X141" s="63"/>
    </row>
    <row r="142" spans="6:24" ht="25" customHeight="1">
      <c r="F142" s="53"/>
      <c r="H142" s="55" t="e">
        <f>tbl_RobotWeld[[#This Row],[Qty Complete]]/tbl_RobotWeld[[#This Row],[Qty Required]]</f>
        <v>#DIV/0!</v>
      </c>
      <c r="K142" s="57" t="str">
        <f>IFERROR(tbl_RobotWeld[[#This Row],[Qty Required]]/tbl_RobotWeld[[#This Row],[PPH]]*tbl_RobotWeld[[#This Row],['# of men]],"")</f>
        <v/>
      </c>
      <c r="L142" s="58" t="e">
        <f>tbl_RobotWeld[[#This Row],[Total hours]]*tbl_RobotWeld[[#This Row],[% Complete]]</f>
        <v>#VALUE!</v>
      </c>
      <c r="M142" s="59" t="str">
        <f>IFERROR(tbl_RobotWeld[[#This Row],[Qty Complete]]/tbl_RobotWeld[[#This Row],[Total Hours Act]]*tbl_RobotWeld[[#This Row],['# of men Act]],"")</f>
        <v/>
      </c>
      <c r="O142"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42" s="90" t="str">
        <f>IFERROR((tbl_RobotWeld[[#This Row],[Adj. Total Hours]]+tbl_RobotWeld[[#This Row],[Est. Hours]])/(tbl_RobotWeld[[#This Row],[Total Hours Act]]+tbl_RobotWeld[[#This Row],[Act. Hours]]),"")</f>
        <v/>
      </c>
      <c r="S142"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42" s="93"/>
      <c r="U142" s="63"/>
      <c r="V142" s="63"/>
      <c r="W142" s="63"/>
      <c r="X142" s="63"/>
    </row>
    <row r="143" spans="6:24" ht="25" customHeight="1">
      <c r="F143" s="53"/>
      <c r="H143" s="55" t="e">
        <f>tbl_RobotWeld[[#This Row],[Qty Complete]]/tbl_RobotWeld[[#This Row],[Qty Required]]</f>
        <v>#DIV/0!</v>
      </c>
      <c r="K143" s="57" t="str">
        <f>IFERROR(tbl_RobotWeld[[#This Row],[Qty Required]]/tbl_RobotWeld[[#This Row],[PPH]]*tbl_RobotWeld[[#This Row],['# of men]],"")</f>
        <v/>
      </c>
      <c r="L143" s="58" t="e">
        <f>tbl_RobotWeld[[#This Row],[Total hours]]*tbl_RobotWeld[[#This Row],[% Complete]]</f>
        <v>#VALUE!</v>
      </c>
      <c r="M143" s="59" t="str">
        <f>IFERROR(tbl_RobotWeld[[#This Row],[Qty Complete]]/tbl_RobotWeld[[#This Row],[Total Hours Act]]*tbl_RobotWeld[[#This Row],['# of men Act]],"")</f>
        <v/>
      </c>
      <c r="O143"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43" s="90" t="str">
        <f>IFERROR((tbl_RobotWeld[[#This Row],[Adj. Total Hours]]+tbl_RobotWeld[[#This Row],[Est. Hours]])/(tbl_RobotWeld[[#This Row],[Total Hours Act]]+tbl_RobotWeld[[#This Row],[Act. Hours]]),"")</f>
        <v/>
      </c>
      <c r="S143"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43" s="93"/>
      <c r="U143" s="63"/>
      <c r="V143" s="63"/>
      <c r="W143" s="63"/>
      <c r="X143" s="63"/>
    </row>
    <row r="144" spans="6:24" ht="25" customHeight="1">
      <c r="F144" s="53"/>
      <c r="H144" s="55" t="e">
        <f>tbl_RobotWeld[[#This Row],[Qty Complete]]/tbl_RobotWeld[[#This Row],[Qty Required]]</f>
        <v>#DIV/0!</v>
      </c>
      <c r="K144" s="57" t="str">
        <f>IFERROR(tbl_RobotWeld[[#This Row],[Qty Required]]/tbl_RobotWeld[[#This Row],[PPH]]*tbl_RobotWeld[[#This Row],['# of men]],"")</f>
        <v/>
      </c>
      <c r="L144" s="58" t="e">
        <f>tbl_RobotWeld[[#This Row],[Total hours]]*tbl_RobotWeld[[#This Row],[% Complete]]</f>
        <v>#VALUE!</v>
      </c>
      <c r="M144" s="59" t="str">
        <f>IFERROR(tbl_RobotWeld[[#This Row],[Qty Complete]]/tbl_RobotWeld[[#This Row],[Total Hours Act]]*tbl_RobotWeld[[#This Row],['# of men Act]],"")</f>
        <v/>
      </c>
      <c r="O144"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44" s="90" t="str">
        <f>IFERROR((tbl_RobotWeld[[#This Row],[Adj. Total Hours]]+tbl_RobotWeld[[#This Row],[Est. Hours]])/(tbl_RobotWeld[[#This Row],[Total Hours Act]]+tbl_RobotWeld[[#This Row],[Act. Hours]]),"")</f>
        <v/>
      </c>
      <c r="S144"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44" s="93"/>
      <c r="U144" s="63"/>
      <c r="V144" s="63"/>
      <c r="W144" s="63"/>
      <c r="X144" s="63"/>
    </row>
    <row r="145" spans="6:24" ht="25" customHeight="1">
      <c r="F145" s="53"/>
      <c r="H145" s="55" t="e">
        <f>tbl_RobotWeld[[#This Row],[Qty Complete]]/tbl_RobotWeld[[#This Row],[Qty Required]]</f>
        <v>#DIV/0!</v>
      </c>
      <c r="K145" s="57" t="str">
        <f>IFERROR(tbl_RobotWeld[[#This Row],[Qty Required]]/tbl_RobotWeld[[#This Row],[PPH]]*tbl_RobotWeld[[#This Row],['# of men]],"")</f>
        <v/>
      </c>
      <c r="L145" s="58" t="e">
        <f>tbl_RobotWeld[[#This Row],[Total hours]]*tbl_RobotWeld[[#This Row],[% Complete]]</f>
        <v>#VALUE!</v>
      </c>
      <c r="M145" s="59" t="str">
        <f>IFERROR(tbl_RobotWeld[[#This Row],[Qty Complete]]/tbl_RobotWeld[[#This Row],[Total Hours Act]]*tbl_RobotWeld[[#This Row],['# of men Act]],"")</f>
        <v/>
      </c>
      <c r="O145"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45" s="90" t="str">
        <f>IFERROR((tbl_RobotWeld[[#This Row],[Adj. Total Hours]]+tbl_RobotWeld[[#This Row],[Est. Hours]])/(tbl_RobotWeld[[#This Row],[Total Hours Act]]+tbl_RobotWeld[[#This Row],[Act. Hours]]),"")</f>
        <v/>
      </c>
      <c r="S145"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45" s="93"/>
      <c r="U145" s="63"/>
      <c r="V145" s="63"/>
      <c r="W145" s="63"/>
      <c r="X145" s="63"/>
    </row>
    <row r="146" spans="6:24" ht="25" customHeight="1">
      <c r="F146" s="53"/>
      <c r="H146" s="55" t="e">
        <f>tbl_RobotWeld[[#This Row],[Qty Complete]]/tbl_RobotWeld[[#This Row],[Qty Required]]</f>
        <v>#DIV/0!</v>
      </c>
      <c r="K146" s="57" t="str">
        <f>IFERROR(tbl_RobotWeld[[#This Row],[Qty Required]]/tbl_RobotWeld[[#This Row],[PPH]]*tbl_RobotWeld[[#This Row],['# of men]],"")</f>
        <v/>
      </c>
      <c r="L146" s="58" t="e">
        <f>tbl_RobotWeld[[#This Row],[Total hours]]*tbl_RobotWeld[[#This Row],[% Complete]]</f>
        <v>#VALUE!</v>
      </c>
      <c r="M146" s="59" t="str">
        <f>IFERROR(tbl_RobotWeld[[#This Row],[Qty Complete]]/tbl_RobotWeld[[#This Row],[Total Hours Act]]*tbl_RobotWeld[[#This Row],['# of men Act]],"")</f>
        <v/>
      </c>
      <c r="O146"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46" s="90" t="str">
        <f>IFERROR((tbl_RobotWeld[[#This Row],[Adj. Total Hours]]+tbl_RobotWeld[[#This Row],[Est. Hours]])/(tbl_RobotWeld[[#This Row],[Total Hours Act]]+tbl_RobotWeld[[#This Row],[Act. Hours]]),"")</f>
        <v/>
      </c>
      <c r="S146"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46" s="93"/>
      <c r="U146" s="63"/>
      <c r="V146" s="63"/>
      <c r="W146" s="63"/>
      <c r="X146" s="63"/>
    </row>
    <row r="147" spans="6:24" ht="25" customHeight="1">
      <c r="F147" s="53"/>
      <c r="H147" s="55" t="e">
        <f>tbl_RobotWeld[[#This Row],[Qty Complete]]/tbl_RobotWeld[[#This Row],[Qty Required]]</f>
        <v>#DIV/0!</v>
      </c>
      <c r="K147" s="57" t="str">
        <f>IFERROR(tbl_RobotWeld[[#This Row],[Qty Required]]/tbl_RobotWeld[[#This Row],[PPH]]*tbl_RobotWeld[[#This Row],['# of men]],"")</f>
        <v/>
      </c>
      <c r="L147" s="58" t="e">
        <f>tbl_RobotWeld[[#This Row],[Total hours]]*tbl_RobotWeld[[#This Row],[% Complete]]</f>
        <v>#VALUE!</v>
      </c>
      <c r="M147" s="59" t="str">
        <f>IFERROR(tbl_RobotWeld[[#This Row],[Qty Complete]]/tbl_RobotWeld[[#This Row],[Total Hours Act]]*tbl_RobotWeld[[#This Row],['# of men Act]],"")</f>
        <v/>
      </c>
      <c r="O147"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47" s="90" t="str">
        <f>IFERROR((tbl_RobotWeld[[#This Row],[Adj. Total Hours]]+tbl_RobotWeld[[#This Row],[Est. Hours]])/(tbl_RobotWeld[[#This Row],[Total Hours Act]]+tbl_RobotWeld[[#This Row],[Act. Hours]]),"")</f>
        <v/>
      </c>
      <c r="S147"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47" s="93"/>
      <c r="U147" s="63"/>
      <c r="V147" s="63"/>
      <c r="W147" s="63"/>
      <c r="X147" s="63"/>
    </row>
    <row r="148" spans="6:24" ht="25" customHeight="1">
      <c r="F148" s="53"/>
      <c r="H148" s="55" t="e">
        <f>tbl_RobotWeld[[#This Row],[Qty Complete]]/tbl_RobotWeld[[#This Row],[Qty Required]]</f>
        <v>#DIV/0!</v>
      </c>
      <c r="K148" s="57" t="str">
        <f>IFERROR(tbl_RobotWeld[[#This Row],[Qty Required]]/tbl_RobotWeld[[#This Row],[PPH]]*tbl_RobotWeld[[#This Row],['# of men]],"")</f>
        <v/>
      </c>
      <c r="L148" s="58" t="e">
        <f>tbl_RobotWeld[[#This Row],[Total hours]]*tbl_RobotWeld[[#This Row],[% Complete]]</f>
        <v>#VALUE!</v>
      </c>
      <c r="M148" s="59" t="str">
        <f>IFERROR(tbl_RobotWeld[[#This Row],[Qty Complete]]/tbl_RobotWeld[[#This Row],[Total Hours Act]]*tbl_RobotWeld[[#This Row],['# of men Act]],"")</f>
        <v/>
      </c>
      <c r="O148"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48" s="90" t="str">
        <f>IFERROR((tbl_RobotWeld[[#This Row],[Adj. Total Hours]]+tbl_RobotWeld[[#This Row],[Est. Hours]])/(tbl_RobotWeld[[#This Row],[Total Hours Act]]+tbl_RobotWeld[[#This Row],[Act. Hours]]),"")</f>
        <v/>
      </c>
      <c r="S148"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48" s="93"/>
      <c r="U148" s="63"/>
      <c r="V148" s="63"/>
      <c r="W148" s="63"/>
      <c r="X148" s="63"/>
    </row>
    <row r="149" spans="6:24" ht="25" customHeight="1">
      <c r="F149" s="53"/>
      <c r="H149" s="55" t="e">
        <f>tbl_RobotWeld[[#This Row],[Qty Complete]]/tbl_RobotWeld[[#This Row],[Qty Required]]</f>
        <v>#DIV/0!</v>
      </c>
      <c r="K149" s="57" t="str">
        <f>IFERROR(tbl_RobotWeld[[#This Row],[Qty Required]]/tbl_RobotWeld[[#This Row],[PPH]]*tbl_RobotWeld[[#This Row],['# of men]],"")</f>
        <v/>
      </c>
      <c r="L149" s="58" t="e">
        <f>tbl_RobotWeld[[#This Row],[Total hours]]*tbl_RobotWeld[[#This Row],[% Complete]]</f>
        <v>#VALUE!</v>
      </c>
      <c r="M149" s="59" t="str">
        <f>IFERROR(tbl_RobotWeld[[#This Row],[Qty Complete]]/tbl_RobotWeld[[#This Row],[Total Hours Act]]*tbl_RobotWeld[[#This Row],['# of men Act]],"")</f>
        <v/>
      </c>
      <c r="O149"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49" s="90" t="str">
        <f>IFERROR((tbl_RobotWeld[[#This Row],[Adj. Total Hours]]+tbl_RobotWeld[[#This Row],[Est. Hours]])/(tbl_RobotWeld[[#This Row],[Total Hours Act]]+tbl_RobotWeld[[#This Row],[Act. Hours]]),"")</f>
        <v/>
      </c>
      <c r="S149"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49" s="93"/>
      <c r="U149" s="63"/>
      <c r="V149" s="63"/>
      <c r="W149" s="63"/>
      <c r="X149" s="63"/>
    </row>
    <row r="150" spans="6:24" ht="25" customHeight="1">
      <c r="F150" s="53"/>
      <c r="H150" s="55" t="e">
        <f>tbl_RobotWeld[[#This Row],[Qty Complete]]/tbl_RobotWeld[[#This Row],[Qty Required]]</f>
        <v>#DIV/0!</v>
      </c>
      <c r="K150" s="57" t="str">
        <f>IFERROR(tbl_RobotWeld[[#This Row],[Qty Required]]/tbl_RobotWeld[[#This Row],[PPH]]*tbl_RobotWeld[[#This Row],['# of men]],"")</f>
        <v/>
      </c>
      <c r="L150" s="58" t="e">
        <f>tbl_RobotWeld[[#This Row],[Total hours]]*tbl_RobotWeld[[#This Row],[% Complete]]</f>
        <v>#VALUE!</v>
      </c>
      <c r="M150" s="59" t="str">
        <f>IFERROR(tbl_RobotWeld[[#This Row],[Qty Complete]]/tbl_RobotWeld[[#This Row],[Total Hours Act]]*tbl_RobotWeld[[#This Row],['# of men Act]],"")</f>
        <v/>
      </c>
      <c r="O150"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50" s="90" t="str">
        <f>IFERROR((tbl_RobotWeld[[#This Row],[Adj. Total Hours]]+tbl_RobotWeld[[#This Row],[Est. Hours]])/(tbl_RobotWeld[[#This Row],[Total Hours Act]]+tbl_RobotWeld[[#This Row],[Act. Hours]]),"")</f>
        <v/>
      </c>
      <c r="S150"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50" s="93"/>
      <c r="U150" s="63"/>
      <c r="V150" s="63"/>
      <c r="W150" s="63"/>
      <c r="X150" s="63"/>
    </row>
    <row r="151" spans="6:24" ht="25" customHeight="1">
      <c r="F151" s="53"/>
      <c r="H151" s="55" t="e">
        <f>tbl_RobotWeld[[#This Row],[Qty Complete]]/tbl_RobotWeld[[#This Row],[Qty Required]]</f>
        <v>#DIV/0!</v>
      </c>
      <c r="K151" s="57" t="str">
        <f>IFERROR(tbl_RobotWeld[[#This Row],[Qty Required]]/tbl_RobotWeld[[#This Row],[PPH]]*tbl_RobotWeld[[#This Row],['# of men]],"")</f>
        <v/>
      </c>
      <c r="L151" s="58" t="e">
        <f>tbl_RobotWeld[[#This Row],[Total hours]]*tbl_RobotWeld[[#This Row],[% Complete]]</f>
        <v>#VALUE!</v>
      </c>
      <c r="M151" s="59" t="str">
        <f>IFERROR(tbl_RobotWeld[[#This Row],[Qty Complete]]/tbl_RobotWeld[[#This Row],[Total Hours Act]]*tbl_RobotWeld[[#This Row],['# of men Act]],"")</f>
        <v/>
      </c>
      <c r="O151"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51" s="90" t="str">
        <f>IFERROR((tbl_RobotWeld[[#This Row],[Adj. Total Hours]]+tbl_RobotWeld[[#This Row],[Est. Hours]])/(tbl_RobotWeld[[#This Row],[Total Hours Act]]+tbl_RobotWeld[[#This Row],[Act. Hours]]),"")</f>
        <v/>
      </c>
      <c r="S151"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51" s="93"/>
      <c r="U151" s="63"/>
      <c r="V151" s="63"/>
      <c r="W151" s="63"/>
      <c r="X151" s="63"/>
    </row>
    <row r="152" spans="6:24" ht="25" customHeight="1">
      <c r="F152" s="53"/>
      <c r="H152" s="55" t="e">
        <f>tbl_RobotWeld[[#This Row],[Qty Complete]]/tbl_RobotWeld[[#This Row],[Qty Required]]</f>
        <v>#DIV/0!</v>
      </c>
      <c r="K152" s="57" t="str">
        <f>IFERROR(tbl_RobotWeld[[#This Row],[Qty Required]]/tbl_RobotWeld[[#This Row],[PPH]]*tbl_RobotWeld[[#This Row],['# of men]],"")</f>
        <v/>
      </c>
      <c r="L152" s="58" t="e">
        <f>tbl_RobotWeld[[#This Row],[Total hours]]*tbl_RobotWeld[[#This Row],[% Complete]]</f>
        <v>#VALUE!</v>
      </c>
      <c r="M152" s="59" t="str">
        <f>IFERROR(tbl_RobotWeld[[#This Row],[Qty Complete]]/tbl_RobotWeld[[#This Row],[Total Hours Act]]*tbl_RobotWeld[[#This Row],['# of men Act]],"")</f>
        <v/>
      </c>
      <c r="O152"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52" s="90" t="str">
        <f>IFERROR((tbl_RobotWeld[[#This Row],[Adj. Total Hours]]+tbl_RobotWeld[[#This Row],[Est. Hours]])/(tbl_RobotWeld[[#This Row],[Total Hours Act]]+tbl_RobotWeld[[#This Row],[Act. Hours]]),"")</f>
        <v/>
      </c>
      <c r="S152"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52" s="93"/>
      <c r="U152" s="63"/>
      <c r="V152" s="63"/>
      <c r="W152" s="63"/>
      <c r="X152" s="63"/>
    </row>
    <row r="153" spans="6:24" ht="25" customHeight="1">
      <c r="F153" s="53"/>
      <c r="H153" s="55" t="e">
        <f>tbl_RobotWeld[[#This Row],[Qty Complete]]/tbl_RobotWeld[[#This Row],[Qty Required]]</f>
        <v>#DIV/0!</v>
      </c>
      <c r="K153" s="57" t="str">
        <f>IFERROR(tbl_RobotWeld[[#This Row],[Qty Required]]/tbl_RobotWeld[[#This Row],[PPH]]*tbl_RobotWeld[[#This Row],['# of men]],"")</f>
        <v/>
      </c>
      <c r="L153" s="58" t="e">
        <f>tbl_RobotWeld[[#This Row],[Total hours]]*tbl_RobotWeld[[#This Row],[% Complete]]</f>
        <v>#VALUE!</v>
      </c>
      <c r="M153" s="59" t="str">
        <f>IFERROR(tbl_RobotWeld[[#This Row],[Qty Complete]]/tbl_RobotWeld[[#This Row],[Total Hours Act]]*tbl_RobotWeld[[#This Row],['# of men Act]],"")</f>
        <v/>
      </c>
      <c r="O153"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53" s="90" t="str">
        <f>IFERROR((tbl_RobotWeld[[#This Row],[Adj. Total Hours]]+tbl_RobotWeld[[#This Row],[Est. Hours]])/(tbl_RobotWeld[[#This Row],[Total Hours Act]]+tbl_RobotWeld[[#This Row],[Act. Hours]]),"")</f>
        <v/>
      </c>
      <c r="S153"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53" s="93"/>
      <c r="U153" s="63"/>
      <c r="V153" s="63"/>
      <c r="W153" s="63"/>
      <c r="X153" s="63"/>
    </row>
    <row r="154" spans="6:24" ht="25" customHeight="1">
      <c r="F154" s="53"/>
      <c r="H154" s="55" t="e">
        <f>tbl_RobotWeld[[#This Row],[Qty Complete]]/tbl_RobotWeld[[#This Row],[Qty Required]]</f>
        <v>#DIV/0!</v>
      </c>
      <c r="K154" s="57" t="str">
        <f>IFERROR(tbl_RobotWeld[[#This Row],[Qty Required]]/tbl_RobotWeld[[#This Row],[PPH]]*tbl_RobotWeld[[#This Row],['# of men]],"")</f>
        <v/>
      </c>
      <c r="L154" s="58" t="e">
        <f>tbl_RobotWeld[[#This Row],[Total hours]]*tbl_RobotWeld[[#This Row],[% Complete]]</f>
        <v>#VALUE!</v>
      </c>
      <c r="M154" s="59" t="str">
        <f>IFERROR(tbl_RobotWeld[[#This Row],[Qty Complete]]/tbl_RobotWeld[[#This Row],[Total Hours Act]]*tbl_RobotWeld[[#This Row],['# of men Act]],"")</f>
        <v/>
      </c>
      <c r="O154"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54" s="90" t="str">
        <f>IFERROR((tbl_RobotWeld[[#This Row],[Adj. Total Hours]]+tbl_RobotWeld[[#This Row],[Est. Hours]])/(tbl_RobotWeld[[#This Row],[Total Hours Act]]+tbl_RobotWeld[[#This Row],[Act. Hours]]),"")</f>
        <v/>
      </c>
      <c r="S154"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54" s="93"/>
      <c r="U154" s="63"/>
      <c r="V154" s="63"/>
      <c r="W154" s="63"/>
      <c r="X154" s="63"/>
    </row>
    <row r="155" spans="6:24" ht="25" customHeight="1">
      <c r="F155" s="53"/>
      <c r="H155" s="55" t="e">
        <f>tbl_RobotWeld[[#This Row],[Qty Complete]]/tbl_RobotWeld[[#This Row],[Qty Required]]</f>
        <v>#DIV/0!</v>
      </c>
      <c r="K155" s="57" t="str">
        <f>IFERROR(tbl_RobotWeld[[#This Row],[Qty Required]]/tbl_RobotWeld[[#This Row],[PPH]]*tbl_RobotWeld[[#This Row],['# of men]],"")</f>
        <v/>
      </c>
      <c r="L155" s="58" t="e">
        <f>tbl_RobotWeld[[#This Row],[Total hours]]*tbl_RobotWeld[[#This Row],[% Complete]]</f>
        <v>#VALUE!</v>
      </c>
      <c r="M155" s="59" t="str">
        <f>IFERROR(tbl_RobotWeld[[#This Row],[Qty Complete]]/tbl_RobotWeld[[#This Row],[Total Hours Act]]*tbl_RobotWeld[[#This Row],['# of men Act]],"")</f>
        <v/>
      </c>
      <c r="O155"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55" s="90" t="str">
        <f>IFERROR((tbl_RobotWeld[[#This Row],[Adj. Total Hours]]+tbl_RobotWeld[[#This Row],[Est. Hours]])/(tbl_RobotWeld[[#This Row],[Total Hours Act]]+tbl_RobotWeld[[#This Row],[Act. Hours]]),"")</f>
        <v/>
      </c>
      <c r="S155"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55" s="93"/>
      <c r="U155" s="63"/>
      <c r="V155" s="63"/>
      <c r="W155" s="63"/>
      <c r="X155" s="63"/>
    </row>
    <row r="156" spans="6:24" ht="25" customHeight="1">
      <c r="F156" s="53"/>
      <c r="H156" s="55" t="e">
        <f>tbl_RobotWeld[[#This Row],[Qty Complete]]/tbl_RobotWeld[[#This Row],[Qty Required]]</f>
        <v>#DIV/0!</v>
      </c>
      <c r="K156" s="57" t="str">
        <f>IFERROR(tbl_RobotWeld[[#This Row],[Qty Required]]/tbl_RobotWeld[[#This Row],[PPH]]*tbl_RobotWeld[[#This Row],['# of men]],"")</f>
        <v/>
      </c>
      <c r="L156" s="58" t="e">
        <f>tbl_RobotWeld[[#This Row],[Total hours]]*tbl_RobotWeld[[#This Row],[% Complete]]</f>
        <v>#VALUE!</v>
      </c>
      <c r="M156" s="59" t="str">
        <f>IFERROR(tbl_RobotWeld[[#This Row],[Qty Complete]]/tbl_RobotWeld[[#This Row],[Total Hours Act]]*tbl_RobotWeld[[#This Row],['# of men Act]],"")</f>
        <v/>
      </c>
      <c r="O156"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56" s="90" t="str">
        <f>IFERROR((tbl_RobotWeld[[#This Row],[Adj. Total Hours]]+tbl_RobotWeld[[#This Row],[Est. Hours]])/(tbl_RobotWeld[[#This Row],[Total Hours Act]]+tbl_RobotWeld[[#This Row],[Act. Hours]]),"")</f>
        <v/>
      </c>
      <c r="S156"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56" s="93"/>
      <c r="U156" s="63"/>
      <c r="V156" s="63"/>
      <c r="W156" s="63"/>
      <c r="X156" s="63"/>
    </row>
    <row r="157" spans="6:24" ht="25" customHeight="1">
      <c r="F157" s="53"/>
      <c r="H157" s="55" t="e">
        <f>tbl_RobotWeld[[#This Row],[Qty Complete]]/tbl_RobotWeld[[#This Row],[Qty Required]]</f>
        <v>#DIV/0!</v>
      </c>
      <c r="K157" s="57" t="str">
        <f>IFERROR(tbl_RobotWeld[[#This Row],[Qty Required]]/tbl_RobotWeld[[#This Row],[PPH]]*tbl_RobotWeld[[#This Row],['# of men]],"")</f>
        <v/>
      </c>
      <c r="L157" s="58" t="e">
        <f>tbl_RobotWeld[[#This Row],[Total hours]]*tbl_RobotWeld[[#This Row],[% Complete]]</f>
        <v>#VALUE!</v>
      </c>
      <c r="M157" s="59" t="str">
        <f>IFERROR(tbl_RobotWeld[[#This Row],[Qty Complete]]/tbl_RobotWeld[[#This Row],[Total Hours Act]]*tbl_RobotWeld[[#This Row],['# of men Act]],"")</f>
        <v/>
      </c>
      <c r="O157"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57" s="90" t="str">
        <f>IFERROR((tbl_RobotWeld[[#This Row],[Adj. Total Hours]]+tbl_RobotWeld[[#This Row],[Est. Hours]])/(tbl_RobotWeld[[#This Row],[Total Hours Act]]+tbl_RobotWeld[[#This Row],[Act. Hours]]),"")</f>
        <v/>
      </c>
      <c r="S157"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57" s="93"/>
      <c r="U157" s="63"/>
      <c r="V157" s="63"/>
      <c r="W157" s="63"/>
      <c r="X157" s="63"/>
    </row>
    <row r="158" spans="6:24" ht="25" customHeight="1">
      <c r="F158" s="53"/>
      <c r="H158" s="55" t="e">
        <f>tbl_RobotWeld[[#This Row],[Qty Complete]]/tbl_RobotWeld[[#This Row],[Qty Required]]</f>
        <v>#DIV/0!</v>
      </c>
      <c r="K158" s="57" t="str">
        <f>IFERROR(tbl_RobotWeld[[#This Row],[Qty Required]]/tbl_RobotWeld[[#This Row],[PPH]]*tbl_RobotWeld[[#This Row],['# of men]],"")</f>
        <v/>
      </c>
      <c r="L158" s="58" t="e">
        <f>tbl_RobotWeld[[#This Row],[Total hours]]*tbl_RobotWeld[[#This Row],[% Complete]]</f>
        <v>#VALUE!</v>
      </c>
      <c r="M158" s="59" t="str">
        <f>IFERROR(tbl_RobotWeld[[#This Row],[Qty Complete]]/tbl_RobotWeld[[#This Row],[Total Hours Act]]*tbl_RobotWeld[[#This Row],['# of men Act]],"")</f>
        <v/>
      </c>
      <c r="O158"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58" s="90" t="str">
        <f>IFERROR((tbl_RobotWeld[[#This Row],[Adj. Total Hours]]+tbl_RobotWeld[[#This Row],[Est. Hours]])/(tbl_RobotWeld[[#This Row],[Total Hours Act]]+tbl_RobotWeld[[#This Row],[Act. Hours]]),"")</f>
        <v/>
      </c>
      <c r="S158"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58" s="93"/>
      <c r="U158" s="63"/>
      <c r="V158" s="63"/>
      <c r="W158" s="63"/>
      <c r="X158" s="63"/>
    </row>
    <row r="159" spans="6:24" ht="25" customHeight="1">
      <c r="F159" s="53"/>
      <c r="H159" s="55" t="e">
        <f>tbl_RobotWeld[[#This Row],[Qty Complete]]/tbl_RobotWeld[[#This Row],[Qty Required]]</f>
        <v>#DIV/0!</v>
      </c>
      <c r="K159" s="57" t="str">
        <f>IFERROR(tbl_RobotWeld[[#This Row],[Qty Required]]/tbl_RobotWeld[[#This Row],[PPH]]*tbl_RobotWeld[[#This Row],['# of men]],"")</f>
        <v/>
      </c>
      <c r="L159" s="58" t="e">
        <f>tbl_RobotWeld[[#This Row],[Total hours]]*tbl_RobotWeld[[#This Row],[% Complete]]</f>
        <v>#VALUE!</v>
      </c>
      <c r="M159" s="59" t="str">
        <f>IFERROR(tbl_RobotWeld[[#This Row],[Qty Complete]]/tbl_RobotWeld[[#This Row],[Total Hours Act]]*tbl_RobotWeld[[#This Row],['# of men Act]],"")</f>
        <v/>
      </c>
      <c r="O159"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59" s="90" t="str">
        <f>IFERROR((tbl_RobotWeld[[#This Row],[Adj. Total Hours]]+tbl_RobotWeld[[#This Row],[Est. Hours]])/(tbl_RobotWeld[[#This Row],[Total Hours Act]]+tbl_RobotWeld[[#This Row],[Act. Hours]]),"")</f>
        <v/>
      </c>
      <c r="S159"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59" s="93"/>
      <c r="U159" s="63"/>
      <c r="V159" s="63"/>
      <c r="W159" s="63"/>
      <c r="X159" s="63"/>
    </row>
    <row r="160" spans="6:24" ht="25" customHeight="1">
      <c r="F160" s="53"/>
      <c r="H160" s="55" t="e">
        <f>tbl_RobotWeld[[#This Row],[Qty Complete]]/tbl_RobotWeld[[#This Row],[Qty Required]]</f>
        <v>#DIV/0!</v>
      </c>
      <c r="K160" s="57" t="str">
        <f>IFERROR(tbl_RobotWeld[[#This Row],[Qty Required]]/tbl_RobotWeld[[#This Row],[PPH]]*tbl_RobotWeld[[#This Row],['# of men]],"")</f>
        <v/>
      </c>
      <c r="L160" s="58" t="e">
        <f>tbl_RobotWeld[[#This Row],[Total hours]]*tbl_RobotWeld[[#This Row],[% Complete]]</f>
        <v>#VALUE!</v>
      </c>
      <c r="M160" s="59" t="str">
        <f>IFERROR(tbl_RobotWeld[[#This Row],[Qty Complete]]/tbl_RobotWeld[[#This Row],[Total Hours Act]]*tbl_RobotWeld[[#This Row],['# of men Act]],"")</f>
        <v/>
      </c>
      <c r="O160"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60" s="90" t="str">
        <f>IFERROR((tbl_RobotWeld[[#This Row],[Adj. Total Hours]]+tbl_RobotWeld[[#This Row],[Est. Hours]])/(tbl_RobotWeld[[#This Row],[Total Hours Act]]+tbl_RobotWeld[[#This Row],[Act. Hours]]),"")</f>
        <v/>
      </c>
      <c r="S160"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60" s="93"/>
      <c r="U160" s="63"/>
      <c r="V160" s="63"/>
      <c r="W160" s="63"/>
      <c r="X160" s="63"/>
    </row>
    <row r="161" spans="6:24" ht="25" customHeight="1">
      <c r="F161" s="53"/>
      <c r="H161" s="55" t="e">
        <f>tbl_RobotWeld[[#This Row],[Qty Complete]]/tbl_RobotWeld[[#This Row],[Qty Required]]</f>
        <v>#DIV/0!</v>
      </c>
      <c r="K161" s="57" t="str">
        <f>IFERROR(tbl_RobotWeld[[#This Row],[Qty Required]]/tbl_RobotWeld[[#This Row],[PPH]]*tbl_RobotWeld[[#This Row],['# of men]],"")</f>
        <v/>
      </c>
      <c r="L161" s="58" t="e">
        <f>tbl_RobotWeld[[#This Row],[Total hours]]*tbl_RobotWeld[[#This Row],[% Complete]]</f>
        <v>#VALUE!</v>
      </c>
      <c r="M161" s="59" t="str">
        <f>IFERROR(tbl_RobotWeld[[#This Row],[Qty Complete]]/tbl_RobotWeld[[#This Row],[Total Hours Act]]*tbl_RobotWeld[[#This Row],['# of men Act]],"")</f>
        <v/>
      </c>
      <c r="O161"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61" s="90" t="str">
        <f>IFERROR((tbl_RobotWeld[[#This Row],[Adj. Total Hours]]+tbl_RobotWeld[[#This Row],[Est. Hours]])/(tbl_RobotWeld[[#This Row],[Total Hours Act]]+tbl_RobotWeld[[#This Row],[Act. Hours]]),"")</f>
        <v/>
      </c>
      <c r="S161"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61" s="93"/>
      <c r="U161" s="63"/>
      <c r="V161" s="63"/>
      <c r="W161" s="63"/>
      <c r="X161" s="63"/>
    </row>
    <row r="162" spans="6:24" ht="25" customHeight="1">
      <c r="F162" s="53"/>
      <c r="H162" s="55" t="e">
        <f>tbl_RobotWeld[[#This Row],[Qty Complete]]/tbl_RobotWeld[[#This Row],[Qty Required]]</f>
        <v>#DIV/0!</v>
      </c>
      <c r="K162" s="57" t="str">
        <f>IFERROR(tbl_RobotWeld[[#This Row],[Qty Required]]/tbl_RobotWeld[[#This Row],[PPH]]*tbl_RobotWeld[[#This Row],['# of men]],"")</f>
        <v/>
      </c>
      <c r="L162" s="58" t="e">
        <f>tbl_RobotWeld[[#This Row],[Total hours]]*tbl_RobotWeld[[#This Row],[% Complete]]</f>
        <v>#VALUE!</v>
      </c>
      <c r="M162" s="59" t="str">
        <f>IFERROR(tbl_RobotWeld[[#This Row],[Qty Complete]]/tbl_RobotWeld[[#This Row],[Total Hours Act]]*tbl_RobotWeld[[#This Row],['# of men Act]],"")</f>
        <v/>
      </c>
      <c r="O162"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62" s="90" t="str">
        <f>IFERROR((tbl_RobotWeld[[#This Row],[Adj. Total Hours]]+tbl_RobotWeld[[#This Row],[Est. Hours]])/(tbl_RobotWeld[[#This Row],[Total Hours Act]]+tbl_RobotWeld[[#This Row],[Act. Hours]]),"")</f>
        <v/>
      </c>
      <c r="S162"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62" s="93"/>
      <c r="U162" s="63"/>
      <c r="V162" s="63"/>
      <c r="W162" s="63"/>
      <c r="X162" s="63"/>
    </row>
    <row r="163" spans="6:24" ht="25" customHeight="1">
      <c r="F163" s="53"/>
      <c r="H163" s="55" t="e">
        <f>tbl_RobotWeld[[#This Row],[Qty Complete]]/tbl_RobotWeld[[#This Row],[Qty Required]]</f>
        <v>#DIV/0!</v>
      </c>
      <c r="K163" s="57" t="str">
        <f>IFERROR(tbl_RobotWeld[[#This Row],[Qty Required]]/tbl_RobotWeld[[#This Row],[PPH]]*tbl_RobotWeld[[#This Row],['# of men]],"")</f>
        <v/>
      </c>
      <c r="L163" s="58" t="e">
        <f>tbl_RobotWeld[[#This Row],[Total hours]]*tbl_RobotWeld[[#This Row],[% Complete]]</f>
        <v>#VALUE!</v>
      </c>
      <c r="M163" s="59" t="str">
        <f>IFERROR(tbl_RobotWeld[[#This Row],[Qty Complete]]/tbl_RobotWeld[[#This Row],[Total Hours Act]]*tbl_RobotWeld[[#This Row],['# of men Act]],"")</f>
        <v/>
      </c>
      <c r="O163"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63" s="90" t="str">
        <f>IFERROR((tbl_RobotWeld[[#This Row],[Adj. Total Hours]]+tbl_RobotWeld[[#This Row],[Est. Hours]])/(tbl_RobotWeld[[#This Row],[Total Hours Act]]+tbl_RobotWeld[[#This Row],[Act. Hours]]),"")</f>
        <v/>
      </c>
      <c r="S163"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63" s="93"/>
      <c r="U163" s="63"/>
      <c r="V163" s="63"/>
      <c r="W163" s="63"/>
      <c r="X163" s="63"/>
    </row>
    <row r="164" spans="6:24" ht="25" customHeight="1">
      <c r="F164" s="53"/>
      <c r="H164" s="55" t="e">
        <f>tbl_RobotWeld[[#This Row],[Qty Complete]]/tbl_RobotWeld[[#This Row],[Qty Required]]</f>
        <v>#DIV/0!</v>
      </c>
      <c r="K164" s="57" t="str">
        <f>IFERROR(tbl_RobotWeld[[#This Row],[Qty Required]]/tbl_RobotWeld[[#This Row],[PPH]]*tbl_RobotWeld[[#This Row],['# of men]],"")</f>
        <v/>
      </c>
      <c r="L164" s="58" t="e">
        <f>tbl_RobotWeld[[#This Row],[Total hours]]*tbl_RobotWeld[[#This Row],[% Complete]]</f>
        <v>#VALUE!</v>
      </c>
      <c r="M164" s="59" t="str">
        <f>IFERROR(tbl_RobotWeld[[#This Row],[Qty Complete]]/tbl_RobotWeld[[#This Row],[Total Hours Act]]*tbl_RobotWeld[[#This Row],['# of men Act]],"")</f>
        <v/>
      </c>
      <c r="O164"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64" s="90" t="str">
        <f>IFERROR((tbl_RobotWeld[[#This Row],[Adj. Total Hours]]+tbl_RobotWeld[[#This Row],[Est. Hours]])/(tbl_RobotWeld[[#This Row],[Total Hours Act]]+tbl_RobotWeld[[#This Row],[Act. Hours]]),"")</f>
        <v/>
      </c>
      <c r="S164"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64" s="93"/>
      <c r="U164" s="63"/>
      <c r="V164" s="63"/>
      <c r="W164" s="63"/>
      <c r="X164" s="63"/>
    </row>
    <row r="165" spans="6:24" ht="25" customHeight="1">
      <c r="F165" s="53"/>
      <c r="H165" s="55" t="e">
        <f>tbl_RobotWeld[[#This Row],[Qty Complete]]/tbl_RobotWeld[[#This Row],[Qty Required]]</f>
        <v>#DIV/0!</v>
      </c>
      <c r="K165" s="57" t="str">
        <f>IFERROR(tbl_RobotWeld[[#This Row],[Qty Required]]/tbl_RobotWeld[[#This Row],[PPH]]*tbl_RobotWeld[[#This Row],['# of men]],"")</f>
        <v/>
      </c>
      <c r="L165" s="58" t="e">
        <f>tbl_RobotWeld[[#This Row],[Total hours]]*tbl_RobotWeld[[#This Row],[% Complete]]</f>
        <v>#VALUE!</v>
      </c>
      <c r="M165" s="59" t="str">
        <f>IFERROR(tbl_RobotWeld[[#This Row],[Qty Complete]]/tbl_RobotWeld[[#This Row],[Total Hours Act]]*tbl_RobotWeld[[#This Row],['# of men Act]],"")</f>
        <v/>
      </c>
      <c r="O165"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65" s="90" t="str">
        <f>IFERROR((tbl_RobotWeld[[#This Row],[Adj. Total Hours]]+tbl_RobotWeld[[#This Row],[Est. Hours]])/(tbl_RobotWeld[[#This Row],[Total Hours Act]]+tbl_RobotWeld[[#This Row],[Act. Hours]]),"")</f>
        <v/>
      </c>
      <c r="S165"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65" s="93"/>
      <c r="U165" s="63"/>
      <c r="V165" s="63"/>
      <c r="W165" s="63"/>
      <c r="X165" s="63"/>
    </row>
    <row r="166" spans="6:24" ht="25" customHeight="1">
      <c r="F166" s="53"/>
      <c r="H166" s="55" t="e">
        <f>tbl_RobotWeld[[#This Row],[Qty Complete]]/tbl_RobotWeld[[#This Row],[Qty Required]]</f>
        <v>#DIV/0!</v>
      </c>
      <c r="K166" s="57" t="str">
        <f>IFERROR(tbl_RobotWeld[[#This Row],[Qty Required]]/tbl_RobotWeld[[#This Row],[PPH]]*tbl_RobotWeld[[#This Row],['# of men]],"")</f>
        <v/>
      </c>
      <c r="L166" s="58" t="e">
        <f>tbl_RobotWeld[[#This Row],[Total hours]]*tbl_RobotWeld[[#This Row],[% Complete]]</f>
        <v>#VALUE!</v>
      </c>
      <c r="M166" s="59" t="str">
        <f>IFERROR(tbl_RobotWeld[[#This Row],[Qty Complete]]/tbl_RobotWeld[[#This Row],[Total Hours Act]]*tbl_RobotWeld[[#This Row],['# of men Act]],"")</f>
        <v/>
      </c>
      <c r="O166"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66" s="90" t="str">
        <f>IFERROR((tbl_RobotWeld[[#This Row],[Adj. Total Hours]]+tbl_RobotWeld[[#This Row],[Est. Hours]])/(tbl_RobotWeld[[#This Row],[Total Hours Act]]+tbl_RobotWeld[[#This Row],[Act. Hours]]),"")</f>
        <v/>
      </c>
      <c r="S166"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66" s="93"/>
      <c r="U166" s="63"/>
      <c r="V166" s="63"/>
      <c r="W166" s="63"/>
      <c r="X166" s="63"/>
    </row>
    <row r="167" spans="6:24" ht="25" customHeight="1">
      <c r="F167" s="53"/>
      <c r="H167" s="55" t="e">
        <f>tbl_RobotWeld[[#This Row],[Qty Complete]]/tbl_RobotWeld[[#This Row],[Qty Required]]</f>
        <v>#DIV/0!</v>
      </c>
      <c r="K167" s="57" t="str">
        <f>IFERROR(tbl_RobotWeld[[#This Row],[Qty Required]]/tbl_RobotWeld[[#This Row],[PPH]]*tbl_RobotWeld[[#This Row],['# of men]],"")</f>
        <v/>
      </c>
      <c r="L167" s="58" t="e">
        <f>tbl_RobotWeld[[#This Row],[Total hours]]*tbl_RobotWeld[[#This Row],[% Complete]]</f>
        <v>#VALUE!</v>
      </c>
      <c r="M167" s="59" t="str">
        <f>IFERROR(tbl_RobotWeld[[#This Row],[Qty Complete]]/tbl_RobotWeld[[#This Row],[Total Hours Act]]*tbl_RobotWeld[[#This Row],['# of men Act]],"")</f>
        <v/>
      </c>
      <c r="O167"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67" s="90" t="str">
        <f>IFERROR((tbl_RobotWeld[[#This Row],[Adj. Total Hours]]+tbl_RobotWeld[[#This Row],[Est. Hours]])/(tbl_RobotWeld[[#This Row],[Total Hours Act]]+tbl_RobotWeld[[#This Row],[Act. Hours]]),"")</f>
        <v/>
      </c>
      <c r="S167"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67" s="93"/>
      <c r="U167" s="63"/>
      <c r="V167" s="63"/>
      <c r="W167" s="63"/>
      <c r="X167" s="63"/>
    </row>
    <row r="168" spans="6:24" ht="25" customHeight="1">
      <c r="F168" s="53"/>
      <c r="H168" s="55" t="e">
        <f>tbl_RobotWeld[[#This Row],[Qty Complete]]/tbl_RobotWeld[[#This Row],[Qty Required]]</f>
        <v>#DIV/0!</v>
      </c>
      <c r="K168" s="57" t="str">
        <f>IFERROR(tbl_RobotWeld[[#This Row],[Qty Required]]/tbl_RobotWeld[[#This Row],[PPH]]*tbl_RobotWeld[[#This Row],['# of men]],"")</f>
        <v/>
      </c>
      <c r="L168" s="58" t="e">
        <f>tbl_RobotWeld[[#This Row],[Total hours]]*tbl_RobotWeld[[#This Row],[% Complete]]</f>
        <v>#VALUE!</v>
      </c>
      <c r="M168" s="59" t="str">
        <f>IFERROR(tbl_RobotWeld[[#This Row],[Qty Complete]]/tbl_RobotWeld[[#This Row],[Total Hours Act]]*tbl_RobotWeld[[#This Row],['# of men Act]],"")</f>
        <v/>
      </c>
      <c r="O168"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68" s="90" t="str">
        <f>IFERROR((tbl_RobotWeld[[#This Row],[Adj. Total Hours]]+tbl_RobotWeld[[#This Row],[Est. Hours]])/(tbl_RobotWeld[[#This Row],[Total Hours Act]]+tbl_RobotWeld[[#This Row],[Act. Hours]]),"")</f>
        <v/>
      </c>
      <c r="S168"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68" s="93"/>
      <c r="U168" s="63"/>
      <c r="V168" s="63"/>
      <c r="W168" s="63"/>
      <c r="X168" s="63"/>
    </row>
    <row r="169" spans="6:24" ht="25" customHeight="1">
      <c r="F169" s="53"/>
      <c r="H169" s="55" t="e">
        <f>tbl_RobotWeld[[#This Row],[Qty Complete]]/tbl_RobotWeld[[#This Row],[Qty Required]]</f>
        <v>#DIV/0!</v>
      </c>
      <c r="K169" s="57" t="str">
        <f>IFERROR(tbl_RobotWeld[[#This Row],[Qty Required]]/tbl_RobotWeld[[#This Row],[PPH]]*tbl_RobotWeld[[#This Row],['# of men]],"")</f>
        <v/>
      </c>
      <c r="L169" s="58" t="e">
        <f>tbl_RobotWeld[[#This Row],[Total hours]]*tbl_RobotWeld[[#This Row],[% Complete]]</f>
        <v>#VALUE!</v>
      </c>
      <c r="M169" s="59" t="str">
        <f>IFERROR(tbl_RobotWeld[[#This Row],[Qty Complete]]/tbl_RobotWeld[[#This Row],[Total Hours Act]]*tbl_RobotWeld[[#This Row],['# of men Act]],"")</f>
        <v/>
      </c>
      <c r="O169"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69" s="90" t="str">
        <f>IFERROR((tbl_RobotWeld[[#This Row],[Adj. Total Hours]]+tbl_RobotWeld[[#This Row],[Est. Hours]])/(tbl_RobotWeld[[#This Row],[Total Hours Act]]+tbl_RobotWeld[[#This Row],[Act. Hours]]),"")</f>
        <v/>
      </c>
      <c r="S169"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69" s="93"/>
      <c r="U169" s="63"/>
      <c r="V169" s="63"/>
      <c r="W169" s="63"/>
      <c r="X169" s="63"/>
    </row>
    <row r="170" spans="6:24" ht="25" customHeight="1">
      <c r="F170" s="53"/>
      <c r="H170" s="55" t="e">
        <f>tbl_RobotWeld[[#This Row],[Qty Complete]]/tbl_RobotWeld[[#This Row],[Qty Required]]</f>
        <v>#DIV/0!</v>
      </c>
      <c r="K170" s="57" t="str">
        <f>IFERROR(tbl_RobotWeld[[#This Row],[Qty Required]]/tbl_RobotWeld[[#This Row],[PPH]]*tbl_RobotWeld[[#This Row],['# of men]],"")</f>
        <v/>
      </c>
      <c r="L170" s="58" t="e">
        <f>tbl_RobotWeld[[#This Row],[Total hours]]*tbl_RobotWeld[[#This Row],[% Complete]]</f>
        <v>#VALUE!</v>
      </c>
      <c r="M170" s="59" t="str">
        <f>IFERROR(tbl_RobotWeld[[#This Row],[Qty Complete]]/tbl_RobotWeld[[#This Row],[Total Hours Act]]*tbl_RobotWeld[[#This Row],['# of men Act]],"")</f>
        <v/>
      </c>
      <c r="O170"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70" s="90" t="str">
        <f>IFERROR((tbl_RobotWeld[[#This Row],[Adj. Total Hours]]+tbl_RobotWeld[[#This Row],[Est. Hours]])/(tbl_RobotWeld[[#This Row],[Total Hours Act]]+tbl_RobotWeld[[#This Row],[Act. Hours]]),"")</f>
        <v/>
      </c>
      <c r="S170"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70" s="93"/>
      <c r="U170" s="63"/>
      <c r="V170" s="63"/>
      <c r="W170" s="63"/>
      <c r="X170" s="63"/>
    </row>
    <row r="171" spans="6:24" ht="25" customHeight="1">
      <c r="F171" s="53"/>
      <c r="H171" s="55" t="e">
        <f>tbl_RobotWeld[[#This Row],[Qty Complete]]/tbl_RobotWeld[[#This Row],[Qty Required]]</f>
        <v>#DIV/0!</v>
      </c>
      <c r="K171" s="57" t="str">
        <f>IFERROR(tbl_RobotWeld[[#This Row],[Qty Required]]/tbl_RobotWeld[[#This Row],[PPH]]*tbl_RobotWeld[[#This Row],['# of men]],"")</f>
        <v/>
      </c>
      <c r="L171" s="58" t="e">
        <f>tbl_RobotWeld[[#This Row],[Total hours]]*tbl_RobotWeld[[#This Row],[% Complete]]</f>
        <v>#VALUE!</v>
      </c>
      <c r="M171" s="59" t="str">
        <f>IFERROR(tbl_RobotWeld[[#This Row],[Qty Complete]]/tbl_RobotWeld[[#This Row],[Total Hours Act]]*tbl_RobotWeld[[#This Row],['# of men Act]],"")</f>
        <v/>
      </c>
      <c r="O171"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71" s="90" t="str">
        <f>IFERROR((tbl_RobotWeld[[#This Row],[Adj. Total Hours]]+tbl_RobotWeld[[#This Row],[Est. Hours]])/(tbl_RobotWeld[[#This Row],[Total Hours Act]]+tbl_RobotWeld[[#This Row],[Act. Hours]]),"")</f>
        <v/>
      </c>
      <c r="S171"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71" s="93"/>
      <c r="U171" s="63"/>
      <c r="V171" s="63"/>
      <c r="W171" s="63"/>
      <c r="X171" s="63"/>
    </row>
    <row r="172" spans="6:24" ht="25" customHeight="1">
      <c r="F172" s="53"/>
      <c r="H172" s="55" t="e">
        <f>tbl_RobotWeld[[#This Row],[Qty Complete]]/tbl_RobotWeld[[#This Row],[Qty Required]]</f>
        <v>#DIV/0!</v>
      </c>
      <c r="K172" s="57" t="str">
        <f>IFERROR(tbl_RobotWeld[[#This Row],[Qty Required]]/tbl_RobotWeld[[#This Row],[PPH]]*tbl_RobotWeld[[#This Row],['# of men]],"")</f>
        <v/>
      </c>
      <c r="L172" s="58" t="e">
        <f>tbl_RobotWeld[[#This Row],[Total hours]]*tbl_RobotWeld[[#This Row],[% Complete]]</f>
        <v>#VALUE!</v>
      </c>
      <c r="M172" s="59" t="str">
        <f>IFERROR(tbl_RobotWeld[[#This Row],[Qty Complete]]/tbl_RobotWeld[[#This Row],[Total Hours Act]]*tbl_RobotWeld[[#This Row],['# of men Act]],"")</f>
        <v/>
      </c>
      <c r="O172"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72" s="90" t="str">
        <f>IFERROR((tbl_RobotWeld[[#This Row],[Adj. Total Hours]]+tbl_RobotWeld[[#This Row],[Est. Hours]])/(tbl_RobotWeld[[#This Row],[Total Hours Act]]+tbl_RobotWeld[[#This Row],[Act. Hours]]),"")</f>
        <v/>
      </c>
      <c r="S172"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72" s="93"/>
      <c r="U172" s="63"/>
      <c r="V172" s="63"/>
      <c r="W172" s="63"/>
      <c r="X172" s="63"/>
    </row>
    <row r="173" spans="6:24" ht="25" customHeight="1">
      <c r="F173" s="53"/>
      <c r="H173" s="55" t="e">
        <f>tbl_RobotWeld[[#This Row],[Qty Complete]]/tbl_RobotWeld[[#This Row],[Qty Required]]</f>
        <v>#DIV/0!</v>
      </c>
      <c r="K173" s="57" t="str">
        <f>IFERROR(tbl_RobotWeld[[#This Row],[Qty Required]]/tbl_RobotWeld[[#This Row],[PPH]]*tbl_RobotWeld[[#This Row],['# of men]],"")</f>
        <v/>
      </c>
      <c r="L173" s="58" t="e">
        <f>tbl_RobotWeld[[#This Row],[Total hours]]*tbl_RobotWeld[[#This Row],[% Complete]]</f>
        <v>#VALUE!</v>
      </c>
      <c r="M173" s="59" t="str">
        <f>IFERROR(tbl_RobotWeld[[#This Row],[Qty Complete]]/tbl_RobotWeld[[#This Row],[Total Hours Act]]*tbl_RobotWeld[[#This Row],['# of men Act]],"")</f>
        <v/>
      </c>
      <c r="O173"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73" s="90" t="str">
        <f>IFERROR((tbl_RobotWeld[[#This Row],[Adj. Total Hours]]+tbl_RobotWeld[[#This Row],[Est. Hours]])/(tbl_RobotWeld[[#This Row],[Total Hours Act]]+tbl_RobotWeld[[#This Row],[Act. Hours]]),"")</f>
        <v/>
      </c>
      <c r="S173"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73" s="93"/>
      <c r="U173" s="63"/>
      <c r="V173" s="63"/>
      <c r="W173" s="63"/>
      <c r="X173" s="63"/>
    </row>
    <row r="174" spans="6:24" ht="25" customHeight="1">
      <c r="F174" s="53"/>
      <c r="H174" s="55" t="e">
        <f>tbl_RobotWeld[[#This Row],[Qty Complete]]/tbl_RobotWeld[[#This Row],[Qty Required]]</f>
        <v>#DIV/0!</v>
      </c>
      <c r="K174" s="57" t="str">
        <f>IFERROR(tbl_RobotWeld[[#This Row],[Qty Required]]/tbl_RobotWeld[[#This Row],[PPH]]*tbl_RobotWeld[[#This Row],['# of men]],"")</f>
        <v/>
      </c>
      <c r="L174" s="58" t="e">
        <f>tbl_RobotWeld[[#This Row],[Total hours]]*tbl_RobotWeld[[#This Row],[% Complete]]</f>
        <v>#VALUE!</v>
      </c>
      <c r="M174" s="59" t="str">
        <f>IFERROR(tbl_RobotWeld[[#This Row],[Qty Complete]]/tbl_RobotWeld[[#This Row],[Total Hours Act]]*tbl_RobotWeld[[#This Row],['# of men Act]],"")</f>
        <v/>
      </c>
      <c r="O174"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74" s="90" t="str">
        <f>IFERROR((tbl_RobotWeld[[#This Row],[Adj. Total Hours]]+tbl_RobotWeld[[#This Row],[Est. Hours]])/(tbl_RobotWeld[[#This Row],[Total Hours Act]]+tbl_RobotWeld[[#This Row],[Act. Hours]]),"")</f>
        <v/>
      </c>
      <c r="S174"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74" s="93"/>
      <c r="U174" s="63"/>
      <c r="V174" s="63"/>
      <c r="W174" s="63"/>
      <c r="X174" s="63"/>
    </row>
    <row r="175" spans="6:24" ht="25" customHeight="1">
      <c r="F175" s="53"/>
      <c r="H175" s="55" t="e">
        <f>tbl_RobotWeld[[#This Row],[Qty Complete]]/tbl_RobotWeld[[#This Row],[Qty Required]]</f>
        <v>#DIV/0!</v>
      </c>
      <c r="K175" s="57" t="str">
        <f>IFERROR(tbl_RobotWeld[[#This Row],[Qty Required]]/tbl_RobotWeld[[#This Row],[PPH]]*tbl_RobotWeld[[#This Row],['# of men]],"")</f>
        <v/>
      </c>
      <c r="L175" s="58" t="e">
        <f>tbl_RobotWeld[[#This Row],[Total hours]]*tbl_RobotWeld[[#This Row],[% Complete]]</f>
        <v>#VALUE!</v>
      </c>
      <c r="M175" s="59" t="str">
        <f>IFERROR(tbl_RobotWeld[[#This Row],[Qty Complete]]/tbl_RobotWeld[[#This Row],[Total Hours Act]]*tbl_RobotWeld[[#This Row],['# of men Act]],"")</f>
        <v/>
      </c>
      <c r="O175"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75" s="90" t="str">
        <f>IFERROR((tbl_RobotWeld[[#This Row],[Adj. Total Hours]]+tbl_RobotWeld[[#This Row],[Est. Hours]])/(tbl_RobotWeld[[#This Row],[Total Hours Act]]+tbl_RobotWeld[[#This Row],[Act. Hours]]),"")</f>
        <v/>
      </c>
      <c r="S175"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75" s="93"/>
      <c r="U175" s="63"/>
      <c r="V175" s="63"/>
      <c r="W175" s="63"/>
      <c r="X175" s="63"/>
    </row>
    <row r="176" spans="6:24" ht="25" customHeight="1">
      <c r="F176" s="53"/>
      <c r="H176" s="55" t="e">
        <f>tbl_RobotWeld[[#This Row],[Qty Complete]]/tbl_RobotWeld[[#This Row],[Qty Required]]</f>
        <v>#DIV/0!</v>
      </c>
      <c r="K176" s="57" t="str">
        <f>IFERROR(tbl_RobotWeld[[#This Row],[Qty Required]]/tbl_RobotWeld[[#This Row],[PPH]]*tbl_RobotWeld[[#This Row],['# of men]],"")</f>
        <v/>
      </c>
      <c r="L176" s="58" t="e">
        <f>tbl_RobotWeld[[#This Row],[Total hours]]*tbl_RobotWeld[[#This Row],[% Complete]]</f>
        <v>#VALUE!</v>
      </c>
      <c r="M176" s="59" t="str">
        <f>IFERROR(tbl_RobotWeld[[#This Row],[Qty Complete]]/tbl_RobotWeld[[#This Row],[Total Hours Act]]*tbl_RobotWeld[[#This Row],['# of men Act]],"")</f>
        <v/>
      </c>
      <c r="O176"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76" s="90" t="str">
        <f>IFERROR((tbl_RobotWeld[[#This Row],[Adj. Total Hours]]+tbl_RobotWeld[[#This Row],[Est. Hours]])/(tbl_RobotWeld[[#This Row],[Total Hours Act]]+tbl_RobotWeld[[#This Row],[Act. Hours]]),"")</f>
        <v/>
      </c>
      <c r="S176"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76" s="93"/>
      <c r="U176" s="63"/>
      <c r="V176" s="63"/>
      <c r="W176" s="63"/>
      <c r="X176" s="63"/>
    </row>
    <row r="177" spans="6:24" ht="25" customHeight="1">
      <c r="F177" s="53"/>
      <c r="H177" s="55" t="e">
        <f>tbl_RobotWeld[[#This Row],[Qty Complete]]/tbl_RobotWeld[[#This Row],[Qty Required]]</f>
        <v>#DIV/0!</v>
      </c>
      <c r="K177" s="57" t="str">
        <f>IFERROR(tbl_RobotWeld[[#This Row],[Qty Required]]/tbl_RobotWeld[[#This Row],[PPH]]*tbl_RobotWeld[[#This Row],['# of men]],"")</f>
        <v/>
      </c>
      <c r="L177" s="58" t="e">
        <f>tbl_RobotWeld[[#This Row],[Total hours]]*tbl_RobotWeld[[#This Row],[% Complete]]</f>
        <v>#VALUE!</v>
      </c>
      <c r="M177" s="59" t="str">
        <f>IFERROR(tbl_RobotWeld[[#This Row],[Qty Complete]]/tbl_RobotWeld[[#This Row],[Total Hours Act]]*tbl_RobotWeld[[#This Row],['# of men Act]],"")</f>
        <v/>
      </c>
      <c r="O177"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77" s="90" t="str">
        <f>IFERROR((tbl_RobotWeld[[#This Row],[Adj. Total Hours]]+tbl_RobotWeld[[#This Row],[Est. Hours]])/(tbl_RobotWeld[[#This Row],[Total Hours Act]]+tbl_RobotWeld[[#This Row],[Act. Hours]]),"")</f>
        <v/>
      </c>
      <c r="S177"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77" s="93"/>
      <c r="U177" s="63"/>
      <c r="V177" s="63"/>
      <c r="W177" s="63"/>
      <c r="X177" s="63"/>
    </row>
    <row r="178" spans="6:24" ht="25" customHeight="1">
      <c r="F178" s="53"/>
      <c r="H178" s="55" t="e">
        <f>tbl_RobotWeld[[#This Row],[Qty Complete]]/tbl_RobotWeld[[#This Row],[Qty Required]]</f>
        <v>#DIV/0!</v>
      </c>
      <c r="K178" s="57" t="str">
        <f>IFERROR(tbl_RobotWeld[[#This Row],[Qty Required]]/tbl_RobotWeld[[#This Row],[PPH]]*tbl_RobotWeld[[#This Row],['# of men]],"")</f>
        <v/>
      </c>
      <c r="L178" s="58" t="e">
        <f>tbl_RobotWeld[[#This Row],[Total hours]]*tbl_RobotWeld[[#This Row],[% Complete]]</f>
        <v>#VALUE!</v>
      </c>
      <c r="M178" s="59" t="str">
        <f>IFERROR(tbl_RobotWeld[[#This Row],[Qty Complete]]/tbl_RobotWeld[[#This Row],[Total Hours Act]]*tbl_RobotWeld[[#This Row],['# of men Act]],"")</f>
        <v/>
      </c>
      <c r="O178"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78" s="90" t="str">
        <f>IFERROR((tbl_RobotWeld[[#This Row],[Adj. Total Hours]]+tbl_RobotWeld[[#This Row],[Est. Hours]])/(tbl_RobotWeld[[#This Row],[Total Hours Act]]+tbl_RobotWeld[[#This Row],[Act. Hours]]),"")</f>
        <v/>
      </c>
      <c r="S178"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78" s="93"/>
      <c r="U178" s="63"/>
      <c r="V178" s="63"/>
      <c r="W178" s="63"/>
      <c r="X178" s="63"/>
    </row>
    <row r="179" spans="6:24" ht="25" customHeight="1">
      <c r="F179" s="53"/>
      <c r="H179" s="55" t="e">
        <f>tbl_RobotWeld[[#This Row],[Qty Complete]]/tbl_RobotWeld[[#This Row],[Qty Required]]</f>
        <v>#DIV/0!</v>
      </c>
      <c r="K179" s="57" t="str">
        <f>IFERROR(tbl_RobotWeld[[#This Row],[Qty Required]]/tbl_RobotWeld[[#This Row],[PPH]]*tbl_RobotWeld[[#This Row],['# of men]],"")</f>
        <v/>
      </c>
      <c r="L179" s="58" t="e">
        <f>tbl_RobotWeld[[#This Row],[Total hours]]*tbl_RobotWeld[[#This Row],[% Complete]]</f>
        <v>#VALUE!</v>
      </c>
      <c r="M179" s="59" t="str">
        <f>IFERROR(tbl_RobotWeld[[#This Row],[Qty Complete]]/tbl_RobotWeld[[#This Row],[Total Hours Act]]*tbl_RobotWeld[[#This Row],['# of men Act]],"")</f>
        <v/>
      </c>
      <c r="O179"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79" s="90" t="str">
        <f>IFERROR((tbl_RobotWeld[[#This Row],[Adj. Total Hours]]+tbl_RobotWeld[[#This Row],[Est. Hours]])/(tbl_RobotWeld[[#This Row],[Total Hours Act]]+tbl_RobotWeld[[#This Row],[Act. Hours]]),"")</f>
        <v/>
      </c>
      <c r="S179"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79" s="93"/>
      <c r="U179" s="63"/>
      <c r="V179" s="63"/>
      <c r="W179" s="63"/>
      <c r="X179" s="63"/>
    </row>
    <row r="180" spans="6:24" ht="25" customHeight="1">
      <c r="F180" s="53"/>
      <c r="H180" s="55" t="e">
        <f>tbl_RobotWeld[[#This Row],[Qty Complete]]/tbl_RobotWeld[[#This Row],[Qty Required]]</f>
        <v>#DIV/0!</v>
      </c>
      <c r="K180" s="57" t="str">
        <f>IFERROR(tbl_RobotWeld[[#This Row],[Qty Required]]/tbl_RobotWeld[[#This Row],[PPH]]*tbl_RobotWeld[[#This Row],['# of men]],"")</f>
        <v/>
      </c>
      <c r="L180" s="58" t="e">
        <f>tbl_RobotWeld[[#This Row],[Total hours]]*tbl_RobotWeld[[#This Row],[% Complete]]</f>
        <v>#VALUE!</v>
      </c>
      <c r="M180" s="59" t="str">
        <f>IFERROR(tbl_RobotWeld[[#This Row],[Qty Complete]]/tbl_RobotWeld[[#This Row],[Total Hours Act]]*tbl_RobotWeld[[#This Row],['# of men Act]],"")</f>
        <v/>
      </c>
      <c r="O180"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80" s="90" t="str">
        <f>IFERROR((tbl_RobotWeld[[#This Row],[Adj. Total Hours]]+tbl_RobotWeld[[#This Row],[Est. Hours]])/(tbl_RobotWeld[[#This Row],[Total Hours Act]]+tbl_RobotWeld[[#This Row],[Act. Hours]]),"")</f>
        <v/>
      </c>
      <c r="S180"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80" s="93"/>
      <c r="U180" s="63"/>
      <c r="V180" s="63"/>
      <c r="W180" s="63"/>
      <c r="X180" s="63"/>
    </row>
    <row r="181" spans="6:24" ht="25" customHeight="1">
      <c r="F181" s="53"/>
      <c r="H181" s="55" t="e">
        <f>tbl_RobotWeld[[#This Row],[Qty Complete]]/tbl_RobotWeld[[#This Row],[Qty Required]]</f>
        <v>#DIV/0!</v>
      </c>
      <c r="K181" s="57" t="str">
        <f>IFERROR(tbl_RobotWeld[[#This Row],[Qty Required]]/tbl_RobotWeld[[#This Row],[PPH]]*tbl_RobotWeld[[#This Row],['# of men]],"")</f>
        <v/>
      </c>
      <c r="L181" s="58" t="e">
        <f>tbl_RobotWeld[[#This Row],[Total hours]]*tbl_RobotWeld[[#This Row],[% Complete]]</f>
        <v>#VALUE!</v>
      </c>
      <c r="M181" s="59" t="str">
        <f>IFERROR(tbl_RobotWeld[[#This Row],[Qty Complete]]/tbl_RobotWeld[[#This Row],[Total Hours Act]]*tbl_RobotWeld[[#This Row],['# of men Act]],"")</f>
        <v/>
      </c>
      <c r="O181"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81" s="90" t="str">
        <f>IFERROR((tbl_RobotWeld[[#This Row],[Adj. Total Hours]]+tbl_RobotWeld[[#This Row],[Est. Hours]])/(tbl_RobotWeld[[#This Row],[Total Hours Act]]+tbl_RobotWeld[[#This Row],[Act. Hours]]),"")</f>
        <v/>
      </c>
      <c r="S181"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81" s="93"/>
      <c r="U181" s="63"/>
      <c r="V181" s="63"/>
      <c r="W181" s="63"/>
      <c r="X181" s="63"/>
    </row>
    <row r="182" spans="6:24" ht="25" customHeight="1">
      <c r="F182" s="53"/>
      <c r="H182" s="55" t="e">
        <f>tbl_RobotWeld[[#This Row],[Qty Complete]]/tbl_RobotWeld[[#This Row],[Qty Required]]</f>
        <v>#DIV/0!</v>
      </c>
      <c r="K182" s="57" t="str">
        <f>IFERROR(tbl_RobotWeld[[#This Row],[Qty Required]]/tbl_RobotWeld[[#This Row],[PPH]]*tbl_RobotWeld[[#This Row],['# of men]],"")</f>
        <v/>
      </c>
      <c r="L182" s="58" t="e">
        <f>tbl_RobotWeld[[#This Row],[Total hours]]*tbl_RobotWeld[[#This Row],[% Complete]]</f>
        <v>#VALUE!</v>
      </c>
      <c r="M182" s="59" t="str">
        <f>IFERROR(tbl_RobotWeld[[#This Row],[Qty Complete]]/tbl_RobotWeld[[#This Row],[Total Hours Act]]*tbl_RobotWeld[[#This Row],['# of men Act]],"")</f>
        <v/>
      </c>
      <c r="O182"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82" s="90" t="str">
        <f>IFERROR((tbl_RobotWeld[[#This Row],[Adj. Total Hours]]+tbl_RobotWeld[[#This Row],[Est. Hours]])/(tbl_RobotWeld[[#This Row],[Total Hours Act]]+tbl_RobotWeld[[#This Row],[Act. Hours]]),"")</f>
        <v/>
      </c>
      <c r="S182"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82" s="93"/>
      <c r="U182" s="63"/>
      <c r="V182" s="63"/>
      <c r="W182" s="63"/>
      <c r="X182" s="63"/>
    </row>
    <row r="183" spans="6:24" ht="25" customHeight="1">
      <c r="F183" s="53"/>
      <c r="H183" s="55" t="e">
        <f>tbl_RobotWeld[[#This Row],[Qty Complete]]/tbl_RobotWeld[[#This Row],[Qty Required]]</f>
        <v>#DIV/0!</v>
      </c>
      <c r="K183" s="57" t="str">
        <f>IFERROR(tbl_RobotWeld[[#This Row],[Qty Required]]/tbl_RobotWeld[[#This Row],[PPH]]*tbl_RobotWeld[[#This Row],['# of men]],"")</f>
        <v/>
      </c>
      <c r="L183" s="58" t="e">
        <f>tbl_RobotWeld[[#This Row],[Total hours]]*tbl_RobotWeld[[#This Row],[% Complete]]</f>
        <v>#VALUE!</v>
      </c>
      <c r="M183" s="59" t="str">
        <f>IFERROR(tbl_RobotWeld[[#This Row],[Qty Complete]]/tbl_RobotWeld[[#This Row],[Total Hours Act]]*tbl_RobotWeld[[#This Row],['# of men Act]],"")</f>
        <v/>
      </c>
      <c r="O183"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83" s="90" t="str">
        <f>IFERROR((tbl_RobotWeld[[#This Row],[Adj. Total Hours]]+tbl_RobotWeld[[#This Row],[Est. Hours]])/(tbl_RobotWeld[[#This Row],[Total Hours Act]]+tbl_RobotWeld[[#This Row],[Act. Hours]]),"")</f>
        <v/>
      </c>
      <c r="S183"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83" s="93"/>
      <c r="U183" s="63"/>
      <c r="V183" s="63"/>
      <c r="W183" s="63"/>
      <c r="X183" s="63"/>
    </row>
    <row r="184" spans="6:24" ht="25" customHeight="1">
      <c r="F184" s="53"/>
      <c r="H184" s="55" t="e">
        <f>tbl_RobotWeld[[#This Row],[Qty Complete]]/tbl_RobotWeld[[#This Row],[Qty Required]]</f>
        <v>#DIV/0!</v>
      </c>
      <c r="K184" s="57" t="str">
        <f>IFERROR(tbl_RobotWeld[[#This Row],[Qty Required]]/tbl_RobotWeld[[#This Row],[PPH]]*tbl_RobotWeld[[#This Row],['# of men]],"")</f>
        <v/>
      </c>
      <c r="L184" s="58" t="e">
        <f>tbl_RobotWeld[[#This Row],[Total hours]]*tbl_RobotWeld[[#This Row],[% Complete]]</f>
        <v>#VALUE!</v>
      </c>
      <c r="M184" s="59" t="str">
        <f>IFERROR(tbl_RobotWeld[[#This Row],[Qty Complete]]/tbl_RobotWeld[[#This Row],[Total Hours Act]]*tbl_RobotWeld[[#This Row],['# of men Act]],"")</f>
        <v/>
      </c>
      <c r="O184"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84" s="90" t="str">
        <f>IFERROR((tbl_RobotWeld[[#This Row],[Adj. Total Hours]]+tbl_RobotWeld[[#This Row],[Est. Hours]])/(tbl_RobotWeld[[#This Row],[Total Hours Act]]+tbl_RobotWeld[[#This Row],[Act. Hours]]),"")</f>
        <v/>
      </c>
      <c r="S184"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84" s="93"/>
      <c r="U184" s="63"/>
      <c r="V184" s="63"/>
      <c r="W184" s="63"/>
      <c r="X184" s="63"/>
    </row>
    <row r="185" spans="6:24" ht="25" customHeight="1">
      <c r="F185" s="53"/>
      <c r="H185" s="55" t="e">
        <f>tbl_RobotWeld[[#This Row],[Qty Complete]]/tbl_RobotWeld[[#This Row],[Qty Required]]</f>
        <v>#DIV/0!</v>
      </c>
      <c r="K185" s="57" t="str">
        <f>IFERROR(tbl_RobotWeld[[#This Row],[Qty Required]]/tbl_RobotWeld[[#This Row],[PPH]]*tbl_RobotWeld[[#This Row],['# of men]],"")</f>
        <v/>
      </c>
      <c r="L185" s="58" t="e">
        <f>tbl_RobotWeld[[#This Row],[Total hours]]*tbl_RobotWeld[[#This Row],[% Complete]]</f>
        <v>#VALUE!</v>
      </c>
      <c r="M185" s="59" t="str">
        <f>IFERROR(tbl_RobotWeld[[#This Row],[Qty Complete]]/tbl_RobotWeld[[#This Row],[Total Hours Act]]*tbl_RobotWeld[[#This Row],['# of men Act]],"")</f>
        <v/>
      </c>
      <c r="O185"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85" s="90" t="str">
        <f>IFERROR((tbl_RobotWeld[[#This Row],[Adj. Total Hours]]+tbl_RobotWeld[[#This Row],[Est. Hours]])/(tbl_RobotWeld[[#This Row],[Total Hours Act]]+tbl_RobotWeld[[#This Row],[Act. Hours]]),"")</f>
        <v/>
      </c>
      <c r="S185"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85" s="93"/>
      <c r="U185" s="63"/>
      <c r="V185" s="63"/>
      <c r="W185" s="63"/>
      <c r="X185" s="63"/>
    </row>
    <row r="186" spans="6:24" ht="25" customHeight="1">
      <c r="F186" s="53"/>
      <c r="H186" s="55" t="e">
        <f>tbl_RobotWeld[[#This Row],[Qty Complete]]/tbl_RobotWeld[[#This Row],[Qty Required]]</f>
        <v>#DIV/0!</v>
      </c>
      <c r="K186" s="57" t="str">
        <f>IFERROR(tbl_RobotWeld[[#This Row],[Qty Required]]/tbl_RobotWeld[[#This Row],[PPH]]*tbl_RobotWeld[[#This Row],['# of men]],"")</f>
        <v/>
      </c>
      <c r="L186" s="58" t="e">
        <f>tbl_RobotWeld[[#This Row],[Total hours]]*tbl_RobotWeld[[#This Row],[% Complete]]</f>
        <v>#VALUE!</v>
      </c>
      <c r="M186" s="59" t="str">
        <f>IFERROR(tbl_RobotWeld[[#This Row],[Qty Complete]]/tbl_RobotWeld[[#This Row],[Total Hours Act]]*tbl_RobotWeld[[#This Row],['# of men Act]],"")</f>
        <v/>
      </c>
      <c r="O186"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86" s="90" t="str">
        <f>IFERROR((tbl_RobotWeld[[#This Row],[Adj. Total Hours]]+tbl_RobotWeld[[#This Row],[Est. Hours]])/(tbl_RobotWeld[[#This Row],[Total Hours Act]]+tbl_RobotWeld[[#This Row],[Act. Hours]]),"")</f>
        <v/>
      </c>
      <c r="S186"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86" s="93"/>
      <c r="U186" s="63"/>
      <c r="V186" s="63"/>
      <c r="W186" s="63"/>
      <c r="X186" s="63"/>
    </row>
    <row r="187" spans="6:24" ht="25" customHeight="1">
      <c r="F187" s="53"/>
      <c r="H187" s="55" t="e">
        <f>tbl_RobotWeld[[#This Row],[Qty Complete]]/tbl_RobotWeld[[#This Row],[Qty Required]]</f>
        <v>#DIV/0!</v>
      </c>
      <c r="K187" s="57" t="str">
        <f>IFERROR(tbl_RobotWeld[[#This Row],[Qty Required]]/tbl_RobotWeld[[#This Row],[PPH]]*tbl_RobotWeld[[#This Row],['# of men]],"")</f>
        <v/>
      </c>
      <c r="L187" s="58" t="e">
        <f>tbl_RobotWeld[[#This Row],[Total hours]]*tbl_RobotWeld[[#This Row],[% Complete]]</f>
        <v>#VALUE!</v>
      </c>
      <c r="M187" s="59" t="str">
        <f>IFERROR(tbl_RobotWeld[[#This Row],[Qty Complete]]/tbl_RobotWeld[[#This Row],[Total Hours Act]]*tbl_RobotWeld[[#This Row],['# of men Act]],"")</f>
        <v/>
      </c>
      <c r="O187"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87" s="90" t="str">
        <f>IFERROR((tbl_RobotWeld[[#This Row],[Adj. Total Hours]]+tbl_RobotWeld[[#This Row],[Est. Hours]])/(tbl_RobotWeld[[#This Row],[Total Hours Act]]+tbl_RobotWeld[[#This Row],[Act. Hours]]),"")</f>
        <v/>
      </c>
      <c r="S187"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87" s="93"/>
      <c r="U187" s="63"/>
      <c r="V187" s="63"/>
      <c r="W187" s="63"/>
      <c r="X187" s="63"/>
    </row>
    <row r="188" spans="6:24" ht="25" customHeight="1">
      <c r="F188" s="53"/>
      <c r="H188" s="55" t="e">
        <f>tbl_RobotWeld[[#This Row],[Qty Complete]]/tbl_RobotWeld[[#This Row],[Qty Required]]</f>
        <v>#DIV/0!</v>
      </c>
      <c r="K188" s="57" t="str">
        <f>IFERROR(tbl_RobotWeld[[#This Row],[Qty Required]]/tbl_RobotWeld[[#This Row],[PPH]]*tbl_RobotWeld[[#This Row],['# of men]],"")</f>
        <v/>
      </c>
      <c r="L188" s="58" t="e">
        <f>tbl_RobotWeld[[#This Row],[Total hours]]*tbl_RobotWeld[[#This Row],[% Complete]]</f>
        <v>#VALUE!</v>
      </c>
      <c r="M188" s="59" t="str">
        <f>IFERROR(tbl_RobotWeld[[#This Row],[Qty Complete]]/tbl_RobotWeld[[#This Row],[Total Hours Act]]*tbl_RobotWeld[[#This Row],['# of men Act]],"")</f>
        <v/>
      </c>
      <c r="O188"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88" s="90" t="str">
        <f>IFERROR((tbl_RobotWeld[[#This Row],[Adj. Total Hours]]+tbl_RobotWeld[[#This Row],[Est. Hours]])/(tbl_RobotWeld[[#This Row],[Total Hours Act]]+tbl_RobotWeld[[#This Row],[Act. Hours]]),"")</f>
        <v/>
      </c>
      <c r="S188"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88" s="93"/>
      <c r="U188" s="63"/>
      <c r="V188" s="63"/>
      <c r="W188" s="63"/>
      <c r="X188" s="63"/>
    </row>
    <row r="189" spans="6:24" ht="25" customHeight="1">
      <c r="F189" s="53"/>
      <c r="H189" s="55" t="e">
        <f>tbl_RobotWeld[[#This Row],[Qty Complete]]/tbl_RobotWeld[[#This Row],[Qty Required]]</f>
        <v>#DIV/0!</v>
      </c>
      <c r="K189" s="57" t="str">
        <f>IFERROR(tbl_RobotWeld[[#This Row],[Qty Required]]/tbl_RobotWeld[[#This Row],[PPH]]*tbl_RobotWeld[[#This Row],['# of men]],"")</f>
        <v/>
      </c>
      <c r="L189" s="58" t="e">
        <f>tbl_RobotWeld[[#This Row],[Total hours]]*tbl_RobotWeld[[#This Row],[% Complete]]</f>
        <v>#VALUE!</v>
      </c>
      <c r="M189" s="59" t="str">
        <f>IFERROR(tbl_RobotWeld[[#This Row],[Qty Complete]]/tbl_RobotWeld[[#This Row],[Total Hours Act]]*tbl_RobotWeld[[#This Row],['# of men Act]],"")</f>
        <v/>
      </c>
      <c r="O189"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89" s="90" t="str">
        <f>IFERROR((tbl_RobotWeld[[#This Row],[Adj. Total Hours]]+tbl_RobotWeld[[#This Row],[Est. Hours]])/(tbl_RobotWeld[[#This Row],[Total Hours Act]]+tbl_RobotWeld[[#This Row],[Act. Hours]]),"")</f>
        <v/>
      </c>
      <c r="S189"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89" s="93"/>
      <c r="U189" s="63"/>
      <c r="V189" s="63"/>
      <c r="W189" s="63"/>
      <c r="X189" s="63"/>
    </row>
    <row r="190" spans="6:24" ht="25" customHeight="1">
      <c r="F190" s="53"/>
      <c r="H190" s="55" t="e">
        <f>tbl_RobotWeld[[#This Row],[Qty Complete]]/tbl_RobotWeld[[#This Row],[Qty Required]]</f>
        <v>#DIV/0!</v>
      </c>
      <c r="K190" s="57" t="str">
        <f>IFERROR(tbl_RobotWeld[[#This Row],[Qty Required]]/tbl_RobotWeld[[#This Row],[PPH]]*tbl_RobotWeld[[#This Row],['# of men]],"")</f>
        <v/>
      </c>
      <c r="L190" s="58" t="e">
        <f>tbl_RobotWeld[[#This Row],[Total hours]]*tbl_RobotWeld[[#This Row],[% Complete]]</f>
        <v>#VALUE!</v>
      </c>
      <c r="M190" s="59" t="str">
        <f>IFERROR(tbl_RobotWeld[[#This Row],[Qty Complete]]/tbl_RobotWeld[[#This Row],[Total Hours Act]]*tbl_RobotWeld[[#This Row],['# of men Act]],"")</f>
        <v/>
      </c>
      <c r="O190"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90" s="90" t="str">
        <f>IFERROR((tbl_RobotWeld[[#This Row],[Adj. Total Hours]]+tbl_RobotWeld[[#This Row],[Est. Hours]])/(tbl_RobotWeld[[#This Row],[Total Hours Act]]+tbl_RobotWeld[[#This Row],[Act. Hours]]),"")</f>
        <v/>
      </c>
      <c r="S190"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90" s="93"/>
      <c r="U190" s="63"/>
      <c r="V190" s="63"/>
      <c r="W190" s="63"/>
      <c r="X190" s="63"/>
    </row>
    <row r="191" spans="6:24" ht="25" customHeight="1">
      <c r="F191" s="53"/>
      <c r="H191" s="55" t="e">
        <f>tbl_RobotWeld[[#This Row],[Qty Complete]]/tbl_RobotWeld[[#This Row],[Qty Required]]</f>
        <v>#DIV/0!</v>
      </c>
      <c r="K191" s="57" t="str">
        <f>IFERROR(tbl_RobotWeld[[#This Row],[Qty Required]]/tbl_RobotWeld[[#This Row],[PPH]]*tbl_RobotWeld[[#This Row],['# of men]],"")</f>
        <v/>
      </c>
      <c r="L191" s="58" t="e">
        <f>tbl_RobotWeld[[#This Row],[Total hours]]*tbl_RobotWeld[[#This Row],[% Complete]]</f>
        <v>#VALUE!</v>
      </c>
      <c r="M191" s="59" t="str">
        <f>IFERROR(tbl_RobotWeld[[#This Row],[Qty Complete]]/tbl_RobotWeld[[#This Row],[Total Hours Act]]*tbl_RobotWeld[[#This Row],['# of men Act]],"")</f>
        <v/>
      </c>
      <c r="O191"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91" s="90" t="str">
        <f>IFERROR((tbl_RobotWeld[[#This Row],[Adj. Total Hours]]+tbl_RobotWeld[[#This Row],[Est. Hours]])/(tbl_RobotWeld[[#This Row],[Total Hours Act]]+tbl_RobotWeld[[#This Row],[Act. Hours]]),"")</f>
        <v/>
      </c>
      <c r="S191"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91" s="93"/>
      <c r="U191" s="63"/>
      <c r="V191" s="63"/>
      <c r="W191" s="63"/>
      <c r="X191" s="63"/>
    </row>
    <row r="192" spans="6:24" ht="25" customHeight="1">
      <c r="F192" s="53"/>
      <c r="H192" s="55" t="e">
        <f>tbl_RobotWeld[[#This Row],[Qty Complete]]/tbl_RobotWeld[[#This Row],[Qty Required]]</f>
        <v>#DIV/0!</v>
      </c>
      <c r="K192" s="57" t="str">
        <f>IFERROR(tbl_RobotWeld[[#This Row],[Qty Required]]/tbl_RobotWeld[[#This Row],[PPH]]*tbl_RobotWeld[[#This Row],['# of men]],"")</f>
        <v/>
      </c>
      <c r="L192" s="58" t="e">
        <f>tbl_RobotWeld[[#This Row],[Total hours]]*tbl_RobotWeld[[#This Row],[% Complete]]</f>
        <v>#VALUE!</v>
      </c>
      <c r="M192" s="59" t="str">
        <f>IFERROR(tbl_RobotWeld[[#This Row],[Qty Complete]]/tbl_RobotWeld[[#This Row],[Total Hours Act]]*tbl_RobotWeld[[#This Row],['# of men Act]],"")</f>
        <v/>
      </c>
      <c r="O192"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92" s="90" t="str">
        <f>IFERROR((tbl_RobotWeld[[#This Row],[Adj. Total Hours]]+tbl_RobotWeld[[#This Row],[Est. Hours]])/(tbl_RobotWeld[[#This Row],[Total Hours Act]]+tbl_RobotWeld[[#This Row],[Act. Hours]]),"")</f>
        <v/>
      </c>
      <c r="S192"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92" s="93"/>
      <c r="U192" s="63"/>
      <c r="V192" s="63"/>
      <c r="W192" s="63"/>
      <c r="X192" s="63"/>
    </row>
    <row r="193" spans="6:24" ht="25" customHeight="1">
      <c r="F193" s="53"/>
      <c r="H193" s="55" t="e">
        <f>tbl_RobotWeld[[#This Row],[Qty Complete]]/tbl_RobotWeld[[#This Row],[Qty Required]]</f>
        <v>#DIV/0!</v>
      </c>
      <c r="K193" s="57" t="str">
        <f>IFERROR(tbl_RobotWeld[[#This Row],[Qty Required]]/tbl_RobotWeld[[#This Row],[PPH]]*tbl_RobotWeld[[#This Row],['# of men]],"")</f>
        <v/>
      </c>
      <c r="L193" s="58" t="e">
        <f>tbl_RobotWeld[[#This Row],[Total hours]]*tbl_RobotWeld[[#This Row],[% Complete]]</f>
        <v>#VALUE!</v>
      </c>
      <c r="M193" s="59" t="str">
        <f>IFERROR(tbl_RobotWeld[[#This Row],[Qty Complete]]/tbl_RobotWeld[[#This Row],[Total Hours Act]]*tbl_RobotWeld[[#This Row],['# of men Act]],"")</f>
        <v/>
      </c>
      <c r="O193"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93" s="90" t="str">
        <f>IFERROR((tbl_RobotWeld[[#This Row],[Adj. Total Hours]]+tbl_RobotWeld[[#This Row],[Est. Hours]])/(tbl_RobotWeld[[#This Row],[Total Hours Act]]+tbl_RobotWeld[[#This Row],[Act. Hours]]),"")</f>
        <v/>
      </c>
      <c r="S193"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93" s="93"/>
      <c r="U193" s="63"/>
      <c r="V193" s="63"/>
      <c r="W193" s="63"/>
      <c r="X193" s="63"/>
    </row>
    <row r="194" spans="6:24" ht="25" customHeight="1">
      <c r="F194" s="53"/>
      <c r="H194" s="55" t="e">
        <f>tbl_RobotWeld[[#This Row],[Qty Complete]]/tbl_RobotWeld[[#This Row],[Qty Required]]</f>
        <v>#DIV/0!</v>
      </c>
      <c r="K194" s="57" t="str">
        <f>IFERROR(tbl_RobotWeld[[#This Row],[Qty Required]]/tbl_RobotWeld[[#This Row],[PPH]]*tbl_RobotWeld[[#This Row],['# of men]],"")</f>
        <v/>
      </c>
      <c r="L194" s="58" t="e">
        <f>tbl_RobotWeld[[#This Row],[Total hours]]*tbl_RobotWeld[[#This Row],[% Complete]]</f>
        <v>#VALUE!</v>
      </c>
      <c r="M194" s="59" t="str">
        <f>IFERROR(tbl_RobotWeld[[#This Row],[Qty Complete]]/tbl_RobotWeld[[#This Row],[Total Hours Act]]*tbl_RobotWeld[[#This Row],['# of men Act]],"")</f>
        <v/>
      </c>
      <c r="O194"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94" s="90" t="str">
        <f>IFERROR((tbl_RobotWeld[[#This Row],[Adj. Total Hours]]+tbl_RobotWeld[[#This Row],[Est. Hours]])/(tbl_RobotWeld[[#This Row],[Total Hours Act]]+tbl_RobotWeld[[#This Row],[Act. Hours]]),"")</f>
        <v/>
      </c>
      <c r="S194"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94" s="93"/>
      <c r="U194" s="63"/>
      <c r="V194" s="63"/>
      <c r="W194" s="63"/>
      <c r="X194" s="63"/>
    </row>
    <row r="195" spans="6:24" ht="25" customHeight="1">
      <c r="F195" s="53"/>
      <c r="H195" s="55" t="e">
        <f>tbl_RobotWeld[[#This Row],[Qty Complete]]/tbl_RobotWeld[[#This Row],[Qty Required]]</f>
        <v>#DIV/0!</v>
      </c>
      <c r="K195" s="57" t="str">
        <f>IFERROR(tbl_RobotWeld[[#This Row],[Qty Required]]/tbl_RobotWeld[[#This Row],[PPH]]*tbl_RobotWeld[[#This Row],['# of men]],"")</f>
        <v/>
      </c>
      <c r="L195" s="58" t="e">
        <f>tbl_RobotWeld[[#This Row],[Total hours]]*tbl_RobotWeld[[#This Row],[% Complete]]</f>
        <v>#VALUE!</v>
      </c>
      <c r="M195" s="59" t="str">
        <f>IFERROR(tbl_RobotWeld[[#This Row],[Qty Complete]]/tbl_RobotWeld[[#This Row],[Total Hours Act]]*tbl_RobotWeld[[#This Row],['# of men Act]],"")</f>
        <v/>
      </c>
      <c r="O195"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95" s="90" t="str">
        <f>IFERROR((tbl_RobotWeld[[#This Row],[Adj. Total Hours]]+tbl_RobotWeld[[#This Row],[Est. Hours]])/(tbl_RobotWeld[[#This Row],[Total Hours Act]]+tbl_RobotWeld[[#This Row],[Act. Hours]]),"")</f>
        <v/>
      </c>
      <c r="S195"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95" s="93"/>
      <c r="U195" s="63"/>
      <c r="V195" s="63"/>
      <c r="W195" s="63"/>
      <c r="X195" s="63"/>
    </row>
    <row r="196" spans="6:24" ht="25" customHeight="1">
      <c r="F196" s="53"/>
      <c r="H196" s="55" t="e">
        <f>tbl_RobotWeld[[#This Row],[Qty Complete]]/tbl_RobotWeld[[#This Row],[Qty Required]]</f>
        <v>#DIV/0!</v>
      </c>
      <c r="K196" s="57" t="str">
        <f>IFERROR(tbl_RobotWeld[[#This Row],[Qty Required]]/tbl_RobotWeld[[#This Row],[PPH]]*tbl_RobotWeld[[#This Row],['# of men]],"")</f>
        <v/>
      </c>
      <c r="L196" s="58" t="e">
        <f>tbl_RobotWeld[[#This Row],[Total hours]]*tbl_RobotWeld[[#This Row],[% Complete]]</f>
        <v>#VALUE!</v>
      </c>
      <c r="M196" s="59" t="str">
        <f>IFERROR(tbl_RobotWeld[[#This Row],[Qty Complete]]/tbl_RobotWeld[[#This Row],[Total Hours Act]]*tbl_RobotWeld[[#This Row],['# of men Act]],"")</f>
        <v/>
      </c>
      <c r="O196"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96" s="90" t="str">
        <f>IFERROR((tbl_RobotWeld[[#This Row],[Adj. Total Hours]]+tbl_RobotWeld[[#This Row],[Est. Hours]])/(tbl_RobotWeld[[#This Row],[Total Hours Act]]+tbl_RobotWeld[[#This Row],[Act. Hours]]),"")</f>
        <v/>
      </c>
      <c r="S196"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96" s="93"/>
      <c r="U196" s="63"/>
      <c r="V196" s="63"/>
      <c r="W196" s="63"/>
      <c r="X196" s="63"/>
    </row>
    <row r="197" spans="6:24" ht="25" customHeight="1">
      <c r="F197" s="53"/>
      <c r="H197" s="55" t="e">
        <f>tbl_RobotWeld[[#This Row],[Qty Complete]]/tbl_RobotWeld[[#This Row],[Qty Required]]</f>
        <v>#DIV/0!</v>
      </c>
      <c r="K197" s="57" t="str">
        <f>IFERROR(tbl_RobotWeld[[#This Row],[Qty Required]]/tbl_RobotWeld[[#This Row],[PPH]]*tbl_RobotWeld[[#This Row],['# of men]],"")</f>
        <v/>
      </c>
      <c r="L197" s="58" t="e">
        <f>tbl_RobotWeld[[#This Row],[Total hours]]*tbl_RobotWeld[[#This Row],[% Complete]]</f>
        <v>#VALUE!</v>
      </c>
      <c r="M197" s="59" t="str">
        <f>IFERROR(tbl_RobotWeld[[#This Row],[Qty Complete]]/tbl_RobotWeld[[#This Row],[Total Hours Act]]*tbl_RobotWeld[[#This Row],['# of men Act]],"")</f>
        <v/>
      </c>
      <c r="O197"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97" s="90" t="str">
        <f>IFERROR((tbl_RobotWeld[[#This Row],[Adj. Total Hours]]+tbl_RobotWeld[[#This Row],[Est. Hours]])/(tbl_RobotWeld[[#This Row],[Total Hours Act]]+tbl_RobotWeld[[#This Row],[Act. Hours]]),"")</f>
        <v/>
      </c>
      <c r="S197"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97" s="93"/>
      <c r="U197" s="63"/>
      <c r="V197" s="63"/>
      <c r="W197" s="63"/>
      <c r="X197" s="63"/>
    </row>
    <row r="198" spans="6:24" ht="25" customHeight="1">
      <c r="F198" s="53"/>
      <c r="H198" s="55" t="e">
        <f>tbl_RobotWeld[[#This Row],[Qty Complete]]/tbl_RobotWeld[[#This Row],[Qty Required]]</f>
        <v>#DIV/0!</v>
      </c>
      <c r="K198" s="57" t="str">
        <f>IFERROR(tbl_RobotWeld[[#This Row],[Qty Required]]/tbl_RobotWeld[[#This Row],[PPH]]*tbl_RobotWeld[[#This Row],['# of men]],"")</f>
        <v/>
      </c>
      <c r="L198" s="58" t="e">
        <f>tbl_RobotWeld[[#This Row],[Total hours]]*tbl_RobotWeld[[#This Row],[% Complete]]</f>
        <v>#VALUE!</v>
      </c>
      <c r="M198" s="59" t="str">
        <f>IFERROR(tbl_RobotWeld[[#This Row],[Qty Complete]]/tbl_RobotWeld[[#This Row],[Total Hours Act]]*tbl_RobotWeld[[#This Row],['# of men Act]],"")</f>
        <v/>
      </c>
      <c r="O198"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98" s="90" t="str">
        <f>IFERROR((tbl_RobotWeld[[#This Row],[Adj. Total Hours]]+tbl_RobotWeld[[#This Row],[Est. Hours]])/(tbl_RobotWeld[[#This Row],[Total Hours Act]]+tbl_RobotWeld[[#This Row],[Act. Hours]]),"")</f>
        <v/>
      </c>
      <c r="S198"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98" s="93"/>
      <c r="U198" s="63"/>
      <c r="V198" s="63"/>
      <c r="W198" s="63"/>
      <c r="X198" s="63"/>
    </row>
    <row r="199" spans="6:24" ht="25" customHeight="1">
      <c r="F199" s="53"/>
      <c r="H199" s="55" t="e">
        <f>tbl_RobotWeld[[#This Row],[Qty Complete]]/tbl_RobotWeld[[#This Row],[Qty Required]]</f>
        <v>#DIV/0!</v>
      </c>
      <c r="K199" s="57" t="str">
        <f>IFERROR(tbl_RobotWeld[[#This Row],[Qty Required]]/tbl_RobotWeld[[#This Row],[PPH]]*tbl_RobotWeld[[#This Row],['# of men]],"")</f>
        <v/>
      </c>
      <c r="L199" s="58" t="e">
        <f>tbl_RobotWeld[[#This Row],[Total hours]]*tbl_RobotWeld[[#This Row],[% Complete]]</f>
        <v>#VALUE!</v>
      </c>
      <c r="M199" s="59" t="str">
        <f>IFERROR(tbl_RobotWeld[[#This Row],[Qty Complete]]/tbl_RobotWeld[[#This Row],[Total Hours Act]]*tbl_RobotWeld[[#This Row],['# of men Act]],"")</f>
        <v/>
      </c>
      <c r="O199"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199" s="90" t="str">
        <f>IFERROR((tbl_RobotWeld[[#This Row],[Adj. Total Hours]]+tbl_RobotWeld[[#This Row],[Est. Hours]])/(tbl_RobotWeld[[#This Row],[Total Hours Act]]+tbl_RobotWeld[[#This Row],[Act. Hours]]),"")</f>
        <v/>
      </c>
      <c r="S199"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199" s="93"/>
      <c r="U199" s="63"/>
      <c r="V199" s="63"/>
      <c r="W199" s="63"/>
      <c r="X199" s="63"/>
    </row>
    <row r="200" spans="6:24" ht="25" customHeight="1">
      <c r="F200" s="53"/>
      <c r="H200" s="55" t="e">
        <f>tbl_RobotWeld[[#This Row],[Qty Complete]]/tbl_RobotWeld[[#This Row],[Qty Required]]</f>
        <v>#DIV/0!</v>
      </c>
      <c r="K200" s="57" t="str">
        <f>IFERROR(tbl_RobotWeld[[#This Row],[Qty Required]]/tbl_RobotWeld[[#This Row],[PPH]]*tbl_RobotWeld[[#This Row],['# of men]],"")</f>
        <v/>
      </c>
      <c r="L200" s="58" t="e">
        <f>tbl_RobotWeld[[#This Row],[Total hours]]*tbl_RobotWeld[[#This Row],[% Complete]]</f>
        <v>#VALUE!</v>
      </c>
      <c r="M200" s="59" t="str">
        <f>IFERROR(tbl_RobotWeld[[#This Row],[Qty Complete]]/tbl_RobotWeld[[#This Row],[Total Hours Act]]*tbl_RobotWeld[[#This Row],['# of men Act]],"")</f>
        <v/>
      </c>
      <c r="O200"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00" s="90" t="str">
        <f>IFERROR((tbl_RobotWeld[[#This Row],[Adj. Total Hours]]+tbl_RobotWeld[[#This Row],[Est. Hours]])/(tbl_RobotWeld[[#This Row],[Total Hours Act]]+tbl_RobotWeld[[#This Row],[Act. Hours]]),"")</f>
        <v/>
      </c>
      <c r="S200"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00" s="93"/>
      <c r="U200" s="63"/>
      <c r="V200" s="63"/>
      <c r="W200" s="63"/>
      <c r="X200" s="63"/>
    </row>
    <row r="201" spans="6:24" ht="25" customHeight="1">
      <c r="F201" s="53"/>
      <c r="H201" s="55" t="e">
        <f>tbl_RobotWeld[[#This Row],[Qty Complete]]/tbl_RobotWeld[[#This Row],[Qty Required]]</f>
        <v>#DIV/0!</v>
      </c>
      <c r="K201" s="57" t="str">
        <f>IFERROR(tbl_RobotWeld[[#This Row],[Qty Required]]/tbl_RobotWeld[[#This Row],[PPH]]*tbl_RobotWeld[[#This Row],['# of men]],"")</f>
        <v/>
      </c>
      <c r="L201" s="58" t="e">
        <f>tbl_RobotWeld[[#This Row],[Total hours]]*tbl_RobotWeld[[#This Row],[% Complete]]</f>
        <v>#VALUE!</v>
      </c>
      <c r="M201" s="59" t="str">
        <f>IFERROR(tbl_RobotWeld[[#This Row],[Qty Complete]]/tbl_RobotWeld[[#This Row],[Total Hours Act]]*tbl_RobotWeld[[#This Row],['# of men Act]],"")</f>
        <v/>
      </c>
      <c r="O201"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01" s="90" t="str">
        <f>IFERROR((tbl_RobotWeld[[#This Row],[Adj. Total Hours]]+tbl_RobotWeld[[#This Row],[Est. Hours]])/(tbl_RobotWeld[[#This Row],[Total Hours Act]]+tbl_RobotWeld[[#This Row],[Act. Hours]]),"")</f>
        <v/>
      </c>
      <c r="S201"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01" s="93"/>
      <c r="U201" s="63"/>
      <c r="V201" s="63"/>
      <c r="W201" s="63"/>
      <c r="X201" s="63"/>
    </row>
    <row r="202" spans="6:24" ht="25" customHeight="1">
      <c r="F202" s="53"/>
      <c r="H202" s="55" t="e">
        <f>tbl_RobotWeld[[#This Row],[Qty Complete]]/tbl_RobotWeld[[#This Row],[Qty Required]]</f>
        <v>#DIV/0!</v>
      </c>
      <c r="K202" s="57" t="str">
        <f>IFERROR(tbl_RobotWeld[[#This Row],[Qty Required]]/tbl_RobotWeld[[#This Row],[PPH]]*tbl_RobotWeld[[#This Row],['# of men]],"")</f>
        <v/>
      </c>
      <c r="L202" s="58" t="e">
        <f>tbl_RobotWeld[[#This Row],[Total hours]]*tbl_RobotWeld[[#This Row],[% Complete]]</f>
        <v>#VALUE!</v>
      </c>
      <c r="M202" s="59" t="str">
        <f>IFERROR(tbl_RobotWeld[[#This Row],[Qty Complete]]/tbl_RobotWeld[[#This Row],[Total Hours Act]]*tbl_RobotWeld[[#This Row],['# of men Act]],"")</f>
        <v/>
      </c>
      <c r="O202"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02" s="90" t="str">
        <f>IFERROR((tbl_RobotWeld[[#This Row],[Adj. Total Hours]]+tbl_RobotWeld[[#This Row],[Est. Hours]])/(tbl_RobotWeld[[#This Row],[Total Hours Act]]+tbl_RobotWeld[[#This Row],[Act. Hours]]),"")</f>
        <v/>
      </c>
      <c r="S202"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02" s="93"/>
      <c r="U202" s="63"/>
      <c r="V202" s="63"/>
      <c r="W202" s="63"/>
      <c r="X202" s="63"/>
    </row>
    <row r="203" spans="6:24" ht="25" customHeight="1">
      <c r="F203" s="53"/>
      <c r="H203" s="55" t="e">
        <f>tbl_RobotWeld[[#This Row],[Qty Complete]]/tbl_RobotWeld[[#This Row],[Qty Required]]</f>
        <v>#DIV/0!</v>
      </c>
      <c r="K203" s="57" t="str">
        <f>IFERROR(tbl_RobotWeld[[#This Row],[Qty Required]]/tbl_RobotWeld[[#This Row],[PPH]]*tbl_RobotWeld[[#This Row],['# of men]],"")</f>
        <v/>
      </c>
      <c r="L203" s="58" t="e">
        <f>tbl_RobotWeld[[#This Row],[Total hours]]*tbl_RobotWeld[[#This Row],[% Complete]]</f>
        <v>#VALUE!</v>
      </c>
      <c r="M203" s="59" t="str">
        <f>IFERROR(tbl_RobotWeld[[#This Row],[Qty Complete]]/tbl_RobotWeld[[#This Row],[Total Hours Act]]*tbl_RobotWeld[[#This Row],['# of men Act]],"")</f>
        <v/>
      </c>
      <c r="O203"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03" s="90" t="str">
        <f>IFERROR((tbl_RobotWeld[[#This Row],[Adj. Total Hours]]+tbl_RobotWeld[[#This Row],[Est. Hours]])/(tbl_RobotWeld[[#This Row],[Total Hours Act]]+tbl_RobotWeld[[#This Row],[Act. Hours]]),"")</f>
        <v/>
      </c>
      <c r="S203"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03" s="93"/>
      <c r="U203" s="63"/>
      <c r="V203" s="63"/>
      <c r="W203" s="63"/>
      <c r="X203" s="63"/>
    </row>
    <row r="204" spans="6:24" ht="25" customHeight="1">
      <c r="F204" s="53"/>
      <c r="H204" s="55" t="e">
        <f>tbl_RobotWeld[[#This Row],[Qty Complete]]/tbl_RobotWeld[[#This Row],[Qty Required]]</f>
        <v>#DIV/0!</v>
      </c>
      <c r="K204" s="57" t="str">
        <f>IFERROR(tbl_RobotWeld[[#This Row],[Qty Required]]/tbl_RobotWeld[[#This Row],[PPH]]*tbl_RobotWeld[[#This Row],['# of men]],"")</f>
        <v/>
      </c>
      <c r="L204" s="58" t="e">
        <f>tbl_RobotWeld[[#This Row],[Total hours]]*tbl_RobotWeld[[#This Row],[% Complete]]</f>
        <v>#VALUE!</v>
      </c>
      <c r="M204" s="59" t="str">
        <f>IFERROR(tbl_RobotWeld[[#This Row],[Qty Complete]]/tbl_RobotWeld[[#This Row],[Total Hours Act]]*tbl_RobotWeld[[#This Row],['# of men Act]],"")</f>
        <v/>
      </c>
      <c r="O204"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04" s="90" t="str">
        <f>IFERROR((tbl_RobotWeld[[#This Row],[Adj. Total Hours]]+tbl_RobotWeld[[#This Row],[Est. Hours]])/(tbl_RobotWeld[[#This Row],[Total Hours Act]]+tbl_RobotWeld[[#This Row],[Act. Hours]]),"")</f>
        <v/>
      </c>
      <c r="S204"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04" s="93"/>
      <c r="U204" s="63"/>
      <c r="V204" s="63"/>
      <c r="W204" s="63"/>
      <c r="X204" s="63"/>
    </row>
    <row r="205" spans="6:24" ht="25" customHeight="1">
      <c r="F205" s="53"/>
      <c r="H205" s="55" t="e">
        <f>tbl_RobotWeld[[#This Row],[Qty Complete]]/tbl_RobotWeld[[#This Row],[Qty Required]]</f>
        <v>#DIV/0!</v>
      </c>
      <c r="K205" s="57" t="str">
        <f>IFERROR(tbl_RobotWeld[[#This Row],[Qty Required]]/tbl_RobotWeld[[#This Row],[PPH]]*tbl_RobotWeld[[#This Row],['# of men]],"")</f>
        <v/>
      </c>
      <c r="L205" s="58" t="e">
        <f>tbl_RobotWeld[[#This Row],[Total hours]]*tbl_RobotWeld[[#This Row],[% Complete]]</f>
        <v>#VALUE!</v>
      </c>
      <c r="M205" s="59" t="str">
        <f>IFERROR(tbl_RobotWeld[[#This Row],[Qty Complete]]/tbl_RobotWeld[[#This Row],[Total Hours Act]]*tbl_RobotWeld[[#This Row],['# of men Act]],"")</f>
        <v/>
      </c>
      <c r="O205"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05" s="90" t="str">
        <f>IFERROR((tbl_RobotWeld[[#This Row],[Adj. Total Hours]]+tbl_RobotWeld[[#This Row],[Est. Hours]])/(tbl_RobotWeld[[#This Row],[Total Hours Act]]+tbl_RobotWeld[[#This Row],[Act. Hours]]),"")</f>
        <v/>
      </c>
      <c r="S205"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05" s="93"/>
      <c r="U205" s="63"/>
      <c r="V205" s="63"/>
      <c r="W205" s="63"/>
      <c r="X205" s="63"/>
    </row>
    <row r="206" spans="6:24" ht="25" customHeight="1">
      <c r="F206" s="53"/>
      <c r="H206" s="55" t="e">
        <f>tbl_RobotWeld[[#This Row],[Qty Complete]]/tbl_RobotWeld[[#This Row],[Qty Required]]</f>
        <v>#DIV/0!</v>
      </c>
      <c r="K206" s="57" t="str">
        <f>IFERROR(tbl_RobotWeld[[#This Row],[Qty Required]]/tbl_RobotWeld[[#This Row],[PPH]]*tbl_RobotWeld[[#This Row],['# of men]],"")</f>
        <v/>
      </c>
      <c r="L206" s="58" t="e">
        <f>tbl_RobotWeld[[#This Row],[Total hours]]*tbl_RobotWeld[[#This Row],[% Complete]]</f>
        <v>#VALUE!</v>
      </c>
      <c r="M206" s="59" t="str">
        <f>IFERROR(tbl_RobotWeld[[#This Row],[Qty Complete]]/tbl_RobotWeld[[#This Row],[Total Hours Act]]*tbl_RobotWeld[[#This Row],['# of men Act]],"")</f>
        <v/>
      </c>
      <c r="O206"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06" s="90" t="str">
        <f>IFERROR((tbl_RobotWeld[[#This Row],[Adj. Total Hours]]+tbl_RobotWeld[[#This Row],[Est. Hours]])/(tbl_RobotWeld[[#This Row],[Total Hours Act]]+tbl_RobotWeld[[#This Row],[Act. Hours]]),"")</f>
        <v/>
      </c>
      <c r="S206"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06" s="93"/>
      <c r="U206" s="63"/>
      <c r="V206" s="63"/>
      <c r="W206" s="63"/>
      <c r="X206" s="63"/>
    </row>
    <row r="207" spans="6:24" ht="25" customHeight="1">
      <c r="F207" s="53"/>
      <c r="H207" s="55" t="e">
        <f>tbl_RobotWeld[[#This Row],[Qty Complete]]/tbl_RobotWeld[[#This Row],[Qty Required]]</f>
        <v>#DIV/0!</v>
      </c>
      <c r="K207" s="57" t="str">
        <f>IFERROR(tbl_RobotWeld[[#This Row],[Qty Required]]/tbl_RobotWeld[[#This Row],[PPH]]*tbl_RobotWeld[[#This Row],['# of men]],"")</f>
        <v/>
      </c>
      <c r="L207" s="58" t="e">
        <f>tbl_RobotWeld[[#This Row],[Total hours]]*tbl_RobotWeld[[#This Row],[% Complete]]</f>
        <v>#VALUE!</v>
      </c>
      <c r="M207" s="59" t="str">
        <f>IFERROR(tbl_RobotWeld[[#This Row],[Qty Complete]]/tbl_RobotWeld[[#This Row],[Total Hours Act]]*tbl_RobotWeld[[#This Row],['# of men Act]],"")</f>
        <v/>
      </c>
      <c r="O207"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07" s="90" t="str">
        <f>IFERROR((tbl_RobotWeld[[#This Row],[Adj. Total Hours]]+tbl_RobotWeld[[#This Row],[Est. Hours]])/(tbl_RobotWeld[[#This Row],[Total Hours Act]]+tbl_RobotWeld[[#This Row],[Act. Hours]]),"")</f>
        <v/>
      </c>
      <c r="S207"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07" s="93"/>
      <c r="U207" s="63"/>
      <c r="V207" s="63"/>
      <c r="W207" s="63"/>
      <c r="X207" s="63"/>
    </row>
    <row r="208" spans="6:24" ht="25" customHeight="1">
      <c r="F208" s="53"/>
      <c r="H208" s="55" t="e">
        <f>tbl_RobotWeld[[#This Row],[Qty Complete]]/tbl_RobotWeld[[#This Row],[Qty Required]]</f>
        <v>#DIV/0!</v>
      </c>
      <c r="K208" s="57" t="str">
        <f>IFERROR(tbl_RobotWeld[[#This Row],[Qty Required]]/tbl_RobotWeld[[#This Row],[PPH]]*tbl_RobotWeld[[#This Row],['# of men]],"")</f>
        <v/>
      </c>
      <c r="L208" s="58" t="e">
        <f>tbl_RobotWeld[[#This Row],[Total hours]]*tbl_RobotWeld[[#This Row],[% Complete]]</f>
        <v>#VALUE!</v>
      </c>
      <c r="M208" s="59" t="str">
        <f>IFERROR(tbl_RobotWeld[[#This Row],[Qty Complete]]/tbl_RobotWeld[[#This Row],[Total Hours Act]]*tbl_RobotWeld[[#This Row],['# of men Act]],"")</f>
        <v/>
      </c>
      <c r="O208"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08" s="90" t="str">
        <f>IFERROR((tbl_RobotWeld[[#This Row],[Adj. Total Hours]]+tbl_RobotWeld[[#This Row],[Est. Hours]])/(tbl_RobotWeld[[#This Row],[Total Hours Act]]+tbl_RobotWeld[[#This Row],[Act. Hours]]),"")</f>
        <v/>
      </c>
      <c r="S208"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08" s="93"/>
      <c r="U208" s="63"/>
      <c r="V208" s="63"/>
      <c r="W208" s="63"/>
      <c r="X208" s="63"/>
    </row>
    <row r="209" spans="6:24" ht="25" customHeight="1">
      <c r="F209" s="53"/>
      <c r="H209" s="55" t="e">
        <f>tbl_RobotWeld[[#This Row],[Qty Complete]]/tbl_RobotWeld[[#This Row],[Qty Required]]</f>
        <v>#DIV/0!</v>
      </c>
      <c r="K209" s="57" t="str">
        <f>IFERROR(tbl_RobotWeld[[#This Row],[Qty Required]]/tbl_RobotWeld[[#This Row],[PPH]]*tbl_RobotWeld[[#This Row],['# of men]],"")</f>
        <v/>
      </c>
      <c r="L209" s="58" t="e">
        <f>tbl_RobotWeld[[#This Row],[Total hours]]*tbl_RobotWeld[[#This Row],[% Complete]]</f>
        <v>#VALUE!</v>
      </c>
      <c r="M209" s="59" t="str">
        <f>IFERROR(tbl_RobotWeld[[#This Row],[Qty Complete]]/tbl_RobotWeld[[#This Row],[Total Hours Act]]*tbl_RobotWeld[[#This Row],['# of men Act]],"")</f>
        <v/>
      </c>
      <c r="O209"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09" s="90" t="str">
        <f>IFERROR((tbl_RobotWeld[[#This Row],[Adj. Total Hours]]+tbl_RobotWeld[[#This Row],[Est. Hours]])/(tbl_RobotWeld[[#This Row],[Total Hours Act]]+tbl_RobotWeld[[#This Row],[Act. Hours]]),"")</f>
        <v/>
      </c>
      <c r="S209"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09" s="93"/>
      <c r="U209" s="63"/>
      <c r="V209" s="63"/>
      <c r="W209" s="63"/>
      <c r="X209" s="63"/>
    </row>
    <row r="210" spans="6:24" ht="25" customHeight="1">
      <c r="F210" s="53"/>
      <c r="H210" s="55" t="e">
        <f>tbl_RobotWeld[[#This Row],[Qty Complete]]/tbl_RobotWeld[[#This Row],[Qty Required]]</f>
        <v>#DIV/0!</v>
      </c>
      <c r="K210" s="57" t="str">
        <f>IFERROR(tbl_RobotWeld[[#This Row],[Qty Required]]/tbl_RobotWeld[[#This Row],[PPH]]*tbl_RobotWeld[[#This Row],['# of men]],"")</f>
        <v/>
      </c>
      <c r="L210" s="58" t="e">
        <f>tbl_RobotWeld[[#This Row],[Total hours]]*tbl_RobotWeld[[#This Row],[% Complete]]</f>
        <v>#VALUE!</v>
      </c>
      <c r="M210" s="59" t="str">
        <f>IFERROR(tbl_RobotWeld[[#This Row],[Qty Complete]]/tbl_RobotWeld[[#This Row],[Total Hours Act]]*tbl_RobotWeld[[#This Row],['# of men Act]],"")</f>
        <v/>
      </c>
      <c r="O210"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10" s="90" t="str">
        <f>IFERROR((tbl_RobotWeld[[#This Row],[Adj. Total Hours]]+tbl_RobotWeld[[#This Row],[Est. Hours]])/(tbl_RobotWeld[[#This Row],[Total Hours Act]]+tbl_RobotWeld[[#This Row],[Act. Hours]]),"")</f>
        <v/>
      </c>
      <c r="S210"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10" s="93"/>
      <c r="U210" s="63"/>
      <c r="V210" s="63"/>
      <c r="W210" s="63"/>
      <c r="X210" s="63"/>
    </row>
    <row r="211" spans="6:24" ht="25" customHeight="1">
      <c r="F211" s="53"/>
      <c r="H211" s="55" t="e">
        <f>tbl_RobotWeld[[#This Row],[Qty Complete]]/tbl_RobotWeld[[#This Row],[Qty Required]]</f>
        <v>#DIV/0!</v>
      </c>
      <c r="K211" s="57" t="str">
        <f>IFERROR(tbl_RobotWeld[[#This Row],[Qty Required]]/tbl_RobotWeld[[#This Row],[PPH]]*tbl_RobotWeld[[#This Row],['# of men]],"")</f>
        <v/>
      </c>
      <c r="L211" s="58" t="e">
        <f>tbl_RobotWeld[[#This Row],[Total hours]]*tbl_RobotWeld[[#This Row],[% Complete]]</f>
        <v>#VALUE!</v>
      </c>
      <c r="M211" s="59" t="str">
        <f>IFERROR(tbl_RobotWeld[[#This Row],[Qty Complete]]/tbl_RobotWeld[[#This Row],[Total Hours Act]]*tbl_RobotWeld[[#This Row],['# of men Act]],"")</f>
        <v/>
      </c>
      <c r="O211"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11" s="90" t="str">
        <f>IFERROR((tbl_RobotWeld[[#This Row],[Adj. Total Hours]]+tbl_RobotWeld[[#This Row],[Est. Hours]])/(tbl_RobotWeld[[#This Row],[Total Hours Act]]+tbl_RobotWeld[[#This Row],[Act. Hours]]),"")</f>
        <v/>
      </c>
      <c r="S211"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11" s="93"/>
      <c r="U211" s="63"/>
      <c r="V211" s="63"/>
      <c r="W211" s="63"/>
      <c r="X211" s="63"/>
    </row>
    <row r="212" spans="6:24" ht="25" customHeight="1">
      <c r="F212" s="53"/>
      <c r="H212" s="55" t="e">
        <f>tbl_RobotWeld[[#This Row],[Qty Complete]]/tbl_RobotWeld[[#This Row],[Qty Required]]</f>
        <v>#DIV/0!</v>
      </c>
      <c r="K212" s="57" t="str">
        <f>IFERROR(tbl_RobotWeld[[#This Row],[Qty Required]]/tbl_RobotWeld[[#This Row],[PPH]]*tbl_RobotWeld[[#This Row],['# of men]],"")</f>
        <v/>
      </c>
      <c r="L212" s="58" t="e">
        <f>tbl_RobotWeld[[#This Row],[Total hours]]*tbl_RobotWeld[[#This Row],[% Complete]]</f>
        <v>#VALUE!</v>
      </c>
      <c r="M212" s="59" t="str">
        <f>IFERROR(tbl_RobotWeld[[#This Row],[Qty Complete]]/tbl_RobotWeld[[#This Row],[Total Hours Act]]*tbl_RobotWeld[[#This Row],['# of men Act]],"")</f>
        <v/>
      </c>
      <c r="O212"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12" s="90" t="str">
        <f>IFERROR((tbl_RobotWeld[[#This Row],[Adj. Total Hours]]+tbl_RobotWeld[[#This Row],[Est. Hours]])/(tbl_RobotWeld[[#This Row],[Total Hours Act]]+tbl_RobotWeld[[#This Row],[Act. Hours]]),"")</f>
        <v/>
      </c>
      <c r="S212"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12" s="93"/>
      <c r="U212" s="63"/>
      <c r="V212" s="63"/>
      <c r="W212" s="63"/>
      <c r="X212" s="63"/>
    </row>
    <row r="213" spans="6:24" ht="25" customHeight="1">
      <c r="F213" s="53"/>
      <c r="H213" s="55" t="e">
        <f>tbl_RobotWeld[[#This Row],[Qty Complete]]/tbl_RobotWeld[[#This Row],[Qty Required]]</f>
        <v>#DIV/0!</v>
      </c>
      <c r="K213" s="57" t="str">
        <f>IFERROR(tbl_RobotWeld[[#This Row],[Qty Required]]/tbl_RobotWeld[[#This Row],[PPH]]*tbl_RobotWeld[[#This Row],['# of men]],"")</f>
        <v/>
      </c>
      <c r="L213" s="58" t="e">
        <f>tbl_RobotWeld[[#This Row],[Total hours]]*tbl_RobotWeld[[#This Row],[% Complete]]</f>
        <v>#VALUE!</v>
      </c>
      <c r="M213" s="59" t="str">
        <f>IFERROR(tbl_RobotWeld[[#This Row],[Qty Complete]]/tbl_RobotWeld[[#This Row],[Total Hours Act]]*tbl_RobotWeld[[#This Row],['# of men Act]],"")</f>
        <v/>
      </c>
      <c r="O213"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13" s="90" t="str">
        <f>IFERROR((tbl_RobotWeld[[#This Row],[Adj. Total Hours]]+tbl_RobotWeld[[#This Row],[Est. Hours]])/(tbl_RobotWeld[[#This Row],[Total Hours Act]]+tbl_RobotWeld[[#This Row],[Act. Hours]]),"")</f>
        <v/>
      </c>
      <c r="S213"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13" s="93"/>
      <c r="U213" s="63"/>
      <c r="V213" s="63"/>
      <c r="W213" s="63"/>
      <c r="X213" s="63"/>
    </row>
    <row r="214" spans="6:24" ht="25" customHeight="1">
      <c r="F214" s="53"/>
      <c r="H214" s="55" t="e">
        <f>tbl_RobotWeld[[#This Row],[Qty Complete]]/tbl_RobotWeld[[#This Row],[Qty Required]]</f>
        <v>#DIV/0!</v>
      </c>
      <c r="K214" s="57" t="str">
        <f>IFERROR(tbl_RobotWeld[[#This Row],[Qty Required]]/tbl_RobotWeld[[#This Row],[PPH]]*tbl_RobotWeld[[#This Row],['# of men]],"")</f>
        <v/>
      </c>
      <c r="L214" s="58" t="e">
        <f>tbl_RobotWeld[[#This Row],[Total hours]]*tbl_RobotWeld[[#This Row],[% Complete]]</f>
        <v>#VALUE!</v>
      </c>
      <c r="M214" s="59" t="str">
        <f>IFERROR(tbl_RobotWeld[[#This Row],[Qty Complete]]/tbl_RobotWeld[[#This Row],[Total Hours Act]]*tbl_RobotWeld[[#This Row],['# of men Act]],"")</f>
        <v/>
      </c>
      <c r="O214"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14" s="90" t="str">
        <f>IFERROR((tbl_RobotWeld[[#This Row],[Adj. Total Hours]]+tbl_RobotWeld[[#This Row],[Est. Hours]])/(tbl_RobotWeld[[#This Row],[Total Hours Act]]+tbl_RobotWeld[[#This Row],[Act. Hours]]),"")</f>
        <v/>
      </c>
      <c r="S214"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14" s="93"/>
      <c r="U214" s="63"/>
      <c r="V214" s="63"/>
      <c r="W214" s="63"/>
      <c r="X214" s="63"/>
    </row>
    <row r="215" spans="6:24" ht="25" customHeight="1">
      <c r="F215" s="53"/>
      <c r="H215" s="55" t="e">
        <f>tbl_RobotWeld[[#This Row],[Qty Complete]]/tbl_RobotWeld[[#This Row],[Qty Required]]</f>
        <v>#DIV/0!</v>
      </c>
      <c r="K215" s="57" t="str">
        <f>IFERROR(tbl_RobotWeld[[#This Row],[Qty Required]]/tbl_RobotWeld[[#This Row],[PPH]]*tbl_RobotWeld[[#This Row],['# of men]],"")</f>
        <v/>
      </c>
      <c r="L215" s="58" t="e">
        <f>tbl_RobotWeld[[#This Row],[Total hours]]*tbl_RobotWeld[[#This Row],[% Complete]]</f>
        <v>#VALUE!</v>
      </c>
      <c r="M215" s="59" t="str">
        <f>IFERROR(tbl_RobotWeld[[#This Row],[Qty Complete]]/tbl_RobotWeld[[#This Row],[Total Hours Act]]*tbl_RobotWeld[[#This Row],['# of men Act]],"")</f>
        <v/>
      </c>
      <c r="O215"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15" s="90" t="str">
        <f>IFERROR((tbl_RobotWeld[[#This Row],[Adj. Total Hours]]+tbl_RobotWeld[[#This Row],[Est. Hours]])/(tbl_RobotWeld[[#This Row],[Total Hours Act]]+tbl_RobotWeld[[#This Row],[Act. Hours]]),"")</f>
        <v/>
      </c>
      <c r="S215"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15" s="93"/>
      <c r="U215" s="63"/>
      <c r="V215" s="63"/>
      <c r="W215" s="63"/>
      <c r="X215" s="63"/>
    </row>
    <row r="216" spans="6:24" ht="25" customHeight="1">
      <c r="F216" s="53"/>
      <c r="H216" s="55" t="e">
        <f>tbl_RobotWeld[[#This Row],[Qty Complete]]/tbl_RobotWeld[[#This Row],[Qty Required]]</f>
        <v>#DIV/0!</v>
      </c>
      <c r="K216" s="57" t="str">
        <f>IFERROR(tbl_RobotWeld[[#This Row],[Qty Required]]/tbl_RobotWeld[[#This Row],[PPH]]*tbl_RobotWeld[[#This Row],['# of men]],"")</f>
        <v/>
      </c>
      <c r="L216" s="58" t="e">
        <f>tbl_RobotWeld[[#This Row],[Total hours]]*tbl_RobotWeld[[#This Row],[% Complete]]</f>
        <v>#VALUE!</v>
      </c>
      <c r="M216" s="59" t="str">
        <f>IFERROR(tbl_RobotWeld[[#This Row],[Qty Complete]]/tbl_RobotWeld[[#This Row],[Total Hours Act]]*tbl_RobotWeld[[#This Row],['# of men Act]],"")</f>
        <v/>
      </c>
      <c r="O216"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16" s="90" t="str">
        <f>IFERROR((tbl_RobotWeld[[#This Row],[Adj. Total Hours]]+tbl_RobotWeld[[#This Row],[Est. Hours]])/(tbl_RobotWeld[[#This Row],[Total Hours Act]]+tbl_RobotWeld[[#This Row],[Act. Hours]]),"")</f>
        <v/>
      </c>
      <c r="S216"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16" s="93"/>
      <c r="U216" s="63"/>
      <c r="V216" s="63"/>
      <c r="W216" s="63"/>
      <c r="X216" s="63"/>
    </row>
    <row r="217" spans="6:24" ht="25" customHeight="1">
      <c r="F217" s="53"/>
      <c r="H217" s="55" t="e">
        <f>tbl_RobotWeld[[#This Row],[Qty Complete]]/tbl_RobotWeld[[#This Row],[Qty Required]]</f>
        <v>#DIV/0!</v>
      </c>
      <c r="K217" s="57" t="str">
        <f>IFERROR(tbl_RobotWeld[[#This Row],[Qty Required]]/tbl_RobotWeld[[#This Row],[PPH]]*tbl_RobotWeld[[#This Row],['# of men]],"")</f>
        <v/>
      </c>
      <c r="L217" s="58" t="e">
        <f>tbl_RobotWeld[[#This Row],[Total hours]]*tbl_RobotWeld[[#This Row],[% Complete]]</f>
        <v>#VALUE!</v>
      </c>
      <c r="M217" s="59" t="str">
        <f>IFERROR(tbl_RobotWeld[[#This Row],[Qty Complete]]/tbl_RobotWeld[[#This Row],[Total Hours Act]]*tbl_RobotWeld[[#This Row],['# of men Act]],"")</f>
        <v/>
      </c>
      <c r="O217"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17" s="90" t="str">
        <f>IFERROR((tbl_RobotWeld[[#This Row],[Adj. Total Hours]]+tbl_RobotWeld[[#This Row],[Est. Hours]])/(tbl_RobotWeld[[#This Row],[Total Hours Act]]+tbl_RobotWeld[[#This Row],[Act. Hours]]),"")</f>
        <v/>
      </c>
      <c r="S217"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17" s="93"/>
      <c r="U217" s="63"/>
      <c r="V217" s="63"/>
      <c r="W217" s="63"/>
      <c r="X217" s="63"/>
    </row>
    <row r="218" spans="6:24" ht="25" customHeight="1">
      <c r="F218" s="53"/>
      <c r="H218" s="55" t="e">
        <f>tbl_RobotWeld[[#This Row],[Qty Complete]]/tbl_RobotWeld[[#This Row],[Qty Required]]</f>
        <v>#DIV/0!</v>
      </c>
      <c r="K218" s="57" t="str">
        <f>IFERROR(tbl_RobotWeld[[#This Row],[Qty Required]]/tbl_RobotWeld[[#This Row],[PPH]]*tbl_RobotWeld[[#This Row],['# of men]],"")</f>
        <v/>
      </c>
      <c r="L218" s="58" t="e">
        <f>tbl_RobotWeld[[#This Row],[Total hours]]*tbl_RobotWeld[[#This Row],[% Complete]]</f>
        <v>#VALUE!</v>
      </c>
      <c r="M218" s="59" t="str">
        <f>IFERROR(tbl_RobotWeld[[#This Row],[Qty Complete]]/tbl_RobotWeld[[#This Row],[Total Hours Act]]*tbl_RobotWeld[[#This Row],['# of men Act]],"")</f>
        <v/>
      </c>
      <c r="O218"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18" s="90" t="str">
        <f>IFERROR((tbl_RobotWeld[[#This Row],[Adj. Total Hours]]+tbl_RobotWeld[[#This Row],[Est. Hours]])/(tbl_RobotWeld[[#This Row],[Total Hours Act]]+tbl_RobotWeld[[#This Row],[Act. Hours]]),"")</f>
        <v/>
      </c>
      <c r="S218"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18" s="93"/>
      <c r="U218" s="63"/>
      <c r="V218" s="63"/>
      <c r="W218" s="63"/>
      <c r="X218" s="63"/>
    </row>
    <row r="219" spans="6:24" ht="25" customHeight="1">
      <c r="F219" s="53"/>
      <c r="H219" s="55" t="e">
        <f>tbl_RobotWeld[[#This Row],[Qty Complete]]/tbl_RobotWeld[[#This Row],[Qty Required]]</f>
        <v>#DIV/0!</v>
      </c>
      <c r="K219" s="57" t="str">
        <f>IFERROR(tbl_RobotWeld[[#This Row],[Qty Required]]/tbl_RobotWeld[[#This Row],[PPH]]*tbl_RobotWeld[[#This Row],['# of men]],"")</f>
        <v/>
      </c>
      <c r="L219" s="58" t="e">
        <f>tbl_RobotWeld[[#This Row],[Total hours]]*tbl_RobotWeld[[#This Row],[% Complete]]</f>
        <v>#VALUE!</v>
      </c>
      <c r="M219" s="59" t="str">
        <f>IFERROR(tbl_RobotWeld[[#This Row],[Qty Complete]]/tbl_RobotWeld[[#This Row],[Total Hours Act]]*tbl_RobotWeld[[#This Row],['# of men Act]],"")</f>
        <v/>
      </c>
      <c r="O219"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19" s="90" t="str">
        <f>IFERROR((tbl_RobotWeld[[#This Row],[Adj. Total Hours]]+tbl_RobotWeld[[#This Row],[Est. Hours]])/(tbl_RobotWeld[[#This Row],[Total Hours Act]]+tbl_RobotWeld[[#This Row],[Act. Hours]]),"")</f>
        <v/>
      </c>
      <c r="S219"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19" s="93"/>
      <c r="U219" s="63"/>
      <c r="V219" s="63"/>
      <c r="W219" s="63"/>
      <c r="X219" s="63"/>
    </row>
    <row r="220" spans="6:24" ht="25" customHeight="1">
      <c r="F220" s="53"/>
      <c r="H220" s="55" t="e">
        <f>tbl_RobotWeld[[#This Row],[Qty Complete]]/tbl_RobotWeld[[#This Row],[Qty Required]]</f>
        <v>#DIV/0!</v>
      </c>
      <c r="K220" s="57" t="str">
        <f>IFERROR(tbl_RobotWeld[[#This Row],[Qty Required]]/tbl_RobotWeld[[#This Row],[PPH]]*tbl_RobotWeld[[#This Row],['# of men]],"")</f>
        <v/>
      </c>
      <c r="L220" s="58" t="e">
        <f>tbl_RobotWeld[[#This Row],[Total hours]]*tbl_RobotWeld[[#This Row],[% Complete]]</f>
        <v>#VALUE!</v>
      </c>
      <c r="M220" s="59" t="str">
        <f>IFERROR(tbl_RobotWeld[[#This Row],[Qty Complete]]/tbl_RobotWeld[[#This Row],[Total Hours Act]]*tbl_RobotWeld[[#This Row],['# of men Act]],"")</f>
        <v/>
      </c>
      <c r="O220"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20" s="90" t="str">
        <f>IFERROR((tbl_RobotWeld[[#This Row],[Adj. Total Hours]]+tbl_RobotWeld[[#This Row],[Est. Hours]])/(tbl_RobotWeld[[#This Row],[Total Hours Act]]+tbl_RobotWeld[[#This Row],[Act. Hours]]),"")</f>
        <v/>
      </c>
      <c r="S220"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20" s="93"/>
      <c r="U220" s="63"/>
      <c r="V220" s="63"/>
      <c r="W220" s="63"/>
      <c r="X220" s="63"/>
    </row>
    <row r="221" spans="6:24" ht="25" customHeight="1">
      <c r="F221" s="53"/>
      <c r="H221" s="55" t="e">
        <f>tbl_RobotWeld[[#This Row],[Qty Complete]]/tbl_RobotWeld[[#This Row],[Qty Required]]</f>
        <v>#DIV/0!</v>
      </c>
      <c r="K221" s="57" t="str">
        <f>IFERROR(tbl_RobotWeld[[#This Row],[Qty Required]]/tbl_RobotWeld[[#This Row],[PPH]]*tbl_RobotWeld[[#This Row],['# of men]],"")</f>
        <v/>
      </c>
      <c r="L221" s="58" t="e">
        <f>tbl_RobotWeld[[#This Row],[Total hours]]*tbl_RobotWeld[[#This Row],[% Complete]]</f>
        <v>#VALUE!</v>
      </c>
      <c r="M221" s="59" t="str">
        <f>IFERROR(tbl_RobotWeld[[#This Row],[Qty Complete]]/tbl_RobotWeld[[#This Row],[Total Hours Act]]*tbl_RobotWeld[[#This Row],['# of men Act]],"")</f>
        <v/>
      </c>
      <c r="O221"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21" s="90" t="str">
        <f>IFERROR((tbl_RobotWeld[[#This Row],[Adj. Total Hours]]+tbl_RobotWeld[[#This Row],[Est. Hours]])/(tbl_RobotWeld[[#This Row],[Total Hours Act]]+tbl_RobotWeld[[#This Row],[Act. Hours]]),"")</f>
        <v/>
      </c>
      <c r="S221"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21" s="93"/>
      <c r="U221" s="63"/>
      <c r="V221" s="63"/>
      <c r="W221" s="63"/>
      <c r="X221" s="63"/>
    </row>
    <row r="222" spans="6:24" ht="25" customHeight="1">
      <c r="F222" s="53"/>
      <c r="H222" s="55" t="e">
        <f>tbl_RobotWeld[[#This Row],[Qty Complete]]/tbl_RobotWeld[[#This Row],[Qty Required]]</f>
        <v>#DIV/0!</v>
      </c>
      <c r="K222" s="57" t="str">
        <f>IFERROR(tbl_RobotWeld[[#This Row],[Qty Required]]/tbl_RobotWeld[[#This Row],[PPH]]*tbl_RobotWeld[[#This Row],['# of men]],"")</f>
        <v/>
      </c>
      <c r="L222" s="58" t="e">
        <f>tbl_RobotWeld[[#This Row],[Total hours]]*tbl_RobotWeld[[#This Row],[% Complete]]</f>
        <v>#VALUE!</v>
      </c>
      <c r="M222" s="59" t="str">
        <f>IFERROR(tbl_RobotWeld[[#This Row],[Qty Complete]]/tbl_RobotWeld[[#This Row],[Total Hours Act]]*tbl_RobotWeld[[#This Row],['# of men Act]],"")</f>
        <v/>
      </c>
      <c r="O222"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22" s="90" t="str">
        <f>IFERROR((tbl_RobotWeld[[#This Row],[Adj. Total Hours]]+tbl_RobotWeld[[#This Row],[Est. Hours]])/(tbl_RobotWeld[[#This Row],[Total Hours Act]]+tbl_RobotWeld[[#This Row],[Act. Hours]]),"")</f>
        <v/>
      </c>
      <c r="S222"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22" s="93"/>
      <c r="U222" s="63"/>
      <c r="V222" s="63"/>
      <c r="W222" s="63"/>
      <c r="X222" s="63"/>
    </row>
    <row r="223" spans="6:24" ht="25" customHeight="1">
      <c r="F223" s="53"/>
      <c r="H223" s="55" t="e">
        <f>tbl_RobotWeld[[#This Row],[Qty Complete]]/tbl_RobotWeld[[#This Row],[Qty Required]]</f>
        <v>#DIV/0!</v>
      </c>
      <c r="K223" s="57" t="str">
        <f>IFERROR(tbl_RobotWeld[[#This Row],[Qty Required]]/tbl_RobotWeld[[#This Row],[PPH]]*tbl_RobotWeld[[#This Row],['# of men]],"")</f>
        <v/>
      </c>
      <c r="L223" s="58" t="e">
        <f>tbl_RobotWeld[[#This Row],[Total hours]]*tbl_RobotWeld[[#This Row],[% Complete]]</f>
        <v>#VALUE!</v>
      </c>
      <c r="M223" s="59" t="str">
        <f>IFERROR(tbl_RobotWeld[[#This Row],[Qty Complete]]/tbl_RobotWeld[[#This Row],[Total Hours Act]]*tbl_RobotWeld[[#This Row],['# of men Act]],"")</f>
        <v/>
      </c>
      <c r="O223"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23" s="90" t="str">
        <f>IFERROR((tbl_RobotWeld[[#This Row],[Adj. Total Hours]]+tbl_RobotWeld[[#This Row],[Est. Hours]])/(tbl_RobotWeld[[#This Row],[Total Hours Act]]+tbl_RobotWeld[[#This Row],[Act. Hours]]),"")</f>
        <v/>
      </c>
      <c r="S223"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23" s="93"/>
      <c r="U223" s="63"/>
      <c r="V223" s="63"/>
      <c r="W223" s="63"/>
      <c r="X223" s="63"/>
    </row>
    <row r="224" spans="6:24" ht="25" customHeight="1">
      <c r="F224" s="53"/>
      <c r="H224" s="55" t="e">
        <f>tbl_RobotWeld[[#This Row],[Qty Complete]]/tbl_RobotWeld[[#This Row],[Qty Required]]</f>
        <v>#DIV/0!</v>
      </c>
      <c r="K224" s="57" t="str">
        <f>IFERROR(tbl_RobotWeld[[#This Row],[Qty Required]]/tbl_RobotWeld[[#This Row],[PPH]]*tbl_RobotWeld[[#This Row],['# of men]],"")</f>
        <v/>
      </c>
      <c r="L224" s="58" t="e">
        <f>tbl_RobotWeld[[#This Row],[Total hours]]*tbl_RobotWeld[[#This Row],[% Complete]]</f>
        <v>#VALUE!</v>
      </c>
      <c r="M224" s="59" t="str">
        <f>IFERROR(tbl_RobotWeld[[#This Row],[Qty Complete]]/tbl_RobotWeld[[#This Row],[Total Hours Act]]*tbl_RobotWeld[[#This Row],['# of men Act]],"")</f>
        <v/>
      </c>
      <c r="O224"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24" s="90" t="str">
        <f>IFERROR((tbl_RobotWeld[[#This Row],[Adj. Total Hours]]+tbl_RobotWeld[[#This Row],[Est. Hours]])/(tbl_RobotWeld[[#This Row],[Total Hours Act]]+tbl_RobotWeld[[#This Row],[Act. Hours]]),"")</f>
        <v/>
      </c>
      <c r="S224"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24" s="93"/>
      <c r="U224" s="63"/>
      <c r="V224" s="63"/>
      <c r="W224" s="63"/>
      <c r="X224" s="63"/>
    </row>
    <row r="225" spans="6:24" ht="25" customHeight="1">
      <c r="F225" s="53"/>
      <c r="H225" s="55" t="e">
        <f>tbl_RobotWeld[[#This Row],[Qty Complete]]/tbl_RobotWeld[[#This Row],[Qty Required]]</f>
        <v>#DIV/0!</v>
      </c>
      <c r="K225" s="57" t="str">
        <f>IFERROR(tbl_RobotWeld[[#This Row],[Qty Required]]/tbl_RobotWeld[[#This Row],[PPH]]*tbl_RobotWeld[[#This Row],['# of men]],"")</f>
        <v/>
      </c>
      <c r="L225" s="58" t="e">
        <f>tbl_RobotWeld[[#This Row],[Total hours]]*tbl_RobotWeld[[#This Row],[% Complete]]</f>
        <v>#VALUE!</v>
      </c>
      <c r="M225" s="59" t="str">
        <f>IFERROR(tbl_RobotWeld[[#This Row],[Qty Complete]]/tbl_RobotWeld[[#This Row],[Total Hours Act]]*tbl_RobotWeld[[#This Row],['# of men Act]],"")</f>
        <v/>
      </c>
      <c r="O225"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25" s="90" t="str">
        <f>IFERROR((tbl_RobotWeld[[#This Row],[Adj. Total Hours]]+tbl_RobotWeld[[#This Row],[Est. Hours]])/(tbl_RobotWeld[[#This Row],[Total Hours Act]]+tbl_RobotWeld[[#This Row],[Act. Hours]]),"")</f>
        <v/>
      </c>
      <c r="S225"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25" s="93"/>
      <c r="U225" s="63"/>
      <c r="V225" s="63"/>
      <c r="W225" s="63"/>
      <c r="X225" s="63"/>
    </row>
    <row r="226" spans="6:24" ht="25" customHeight="1">
      <c r="F226" s="53"/>
      <c r="H226" s="55" t="e">
        <f>tbl_RobotWeld[[#This Row],[Qty Complete]]/tbl_RobotWeld[[#This Row],[Qty Required]]</f>
        <v>#DIV/0!</v>
      </c>
      <c r="K226" s="57" t="str">
        <f>IFERROR(tbl_RobotWeld[[#This Row],[Qty Required]]/tbl_RobotWeld[[#This Row],[PPH]]*tbl_RobotWeld[[#This Row],['# of men]],"")</f>
        <v/>
      </c>
      <c r="L226" s="58" t="e">
        <f>tbl_RobotWeld[[#This Row],[Total hours]]*tbl_RobotWeld[[#This Row],[% Complete]]</f>
        <v>#VALUE!</v>
      </c>
      <c r="M226" s="59" t="str">
        <f>IFERROR(tbl_RobotWeld[[#This Row],[Qty Complete]]/tbl_RobotWeld[[#This Row],[Total Hours Act]]*tbl_RobotWeld[[#This Row],['# of men Act]],"")</f>
        <v/>
      </c>
      <c r="O226"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26" s="90" t="str">
        <f>IFERROR((tbl_RobotWeld[[#This Row],[Adj. Total Hours]]+tbl_RobotWeld[[#This Row],[Est. Hours]])/(tbl_RobotWeld[[#This Row],[Total Hours Act]]+tbl_RobotWeld[[#This Row],[Act. Hours]]),"")</f>
        <v/>
      </c>
      <c r="S226"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26" s="93"/>
      <c r="U226" s="63"/>
      <c r="V226" s="63"/>
      <c r="W226" s="63"/>
      <c r="X226" s="63"/>
    </row>
    <row r="227" spans="6:24" ht="25" customHeight="1">
      <c r="F227" s="53"/>
      <c r="H227" s="55" t="e">
        <f>tbl_RobotWeld[[#This Row],[Qty Complete]]/tbl_RobotWeld[[#This Row],[Qty Required]]</f>
        <v>#DIV/0!</v>
      </c>
      <c r="K227" s="57" t="str">
        <f>IFERROR(tbl_RobotWeld[[#This Row],[Qty Required]]/tbl_RobotWeld[[#This Row],[PPH]]*tbl_RobotWeld[[#This Row],['# of men]],"")</f>
        <v/>
      </c>
      <c r="L227" s="58" t="e">
        <f>tbl_RobotWeld[[#This Row],[Total hours]]*tbl_RobotWeld[[#This Row],[% Complete]]</f>
        <v>#VALUE!</v>
      </c>
      <c r="M227" s="59" t="str">
        <f>IFERROR(tbl_RobotWeld[[#This Row],[Qty Complete]]/tbl_RobotWeld[[#This Row],[Total Hours Act]]*tbl_RobotWeld[[#This Row],['# of men Act]],"")</f>
        <v/>
      </c>
      <c r="O227"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27" s="90" t="str">
        <f>IFERROR((tbl_RobotWeld[[#This Row],[Adj. Total Hours]]+tbl_RobotWeld[[#This Row],[Est. Hours]])/(tbl_RobotWeld[[#This Row],[Total Hours Act]]+tbl_RobotWeld[[#This Row],[Act. Hours]]),"")</f>
        <v/>
      </c>
      <c r="S227"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27" s="93"/>
      <c r="U227" s="63"/>
      <c r="V227" s="63"/>
      <c r="W227" s="63"/>
      <c r="X227" s="63"/>
    </row>
    <row r="228" spans="6:24" ht="25" customHeight="1">
      <c r="F228" s="53"/>
      <c r="H228" s="55" t="e">
        <f>tbl_RobotWeld[[#This Row],[Qty Complete]]/tbl_RobotWeld[[#This Row],[Qty Required]]</f>
        <v>#DIV/0!</v>
      </c>
      <c r="K228" s="57" t="str">
        <f>IFERROR(tbl_RobotWeld[[#This Row],[Qty Required]]/tbl_RobotWeld[[#This Row],[PPH]]*tbl_RobotWeld[[#This Row],['# of men]],"")</f>
        <v/>
      </c>
      <c r="L228" s="58" t="e">
        <f>tbl_RobotWeld[[#This Row],[Total hours]]*tbl_RobotWeld[[#This Row],[% Complete]]</f>
        <v>#VALUE!</v>
      </c>
      <c r="M228" s="59" t="str">
        <f>IFERROR(tbl_RobotWeld[[#This Row],[Qty Complete]]/tbl_RobotWeld[[#This Row],[Total Hours Act]]*tbl_RobotWeld[[#This Row],['# of men Act]],"")</f>
        <v/>
      </c>
      <c r="O228"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28" s="90" t="str">
        <f>IFERROR((tbl_RobotWeld[[#This Row],[Adj. Total Hours]]+tbl_RobotWeld[[#This Row],[Est. Hours]])/(tbl_RobotWeld[[#This Row],[Total Hours Act]]+tbl_RobotWeld[[#This Row],[Act. Hours]]),"")</f>
        <v/>
      </c>
      <c r="S228"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28" s="93"/>
      <c r="U228" s="63"/>
      <c r="V228" s="63"/>
      <c r="W228" s="63"/>
      <c r="X228" s="63"/>
    </row>
    <row r="229" spans="6:24" ht="25" customHeight="1">
      <c r="F229" s="53"/>
      <c r="H229" s="55" t="e">
        <f>tbl_RobotWeld[[#This Row],[Qty Complete]]/tbl_RobotWeld[[#This Row],[Qty Required]]</f>
        <v>#DIV/0!</v>
      </c>
      <c r="K229" s="57" t="str">
        <f>IFERROR(tbl_RobotWeld[[#This Row],[Qty Required]]/tbl_RobotWeld[[#This Row],[PPH]]*tbl_RobotWeld[[#This Row],['# of men]],"")</f>
        <v/>
      </c>
      <c r="L229" s="58" t="e">
        <f>tbl_RobotWeld[[#This Row],[Total hours]]*tbl_RobotWeld[[#This Row],[% Complete]]</f>
        <v>#VALUE!</v>
      </c>
      <c r="M229" s="59" t="str">
        <f>IFERROR(tbl_RobotWeld[[#This Row],[Qty Complete]]/tbl_RobotWeld[[#This Row],[Total Hours Act]]*tbl_RobotWeld[[#This Row],['# of men Act]],"")</f>
        <v/>
      </c>
      <c r="O229"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29" s="90" t="str">
        <f>IFERROR((tbl_RobotWeld[[#This Row],[Adj. Total Hours]]+tbl_RobotWeld[[#This Row],[Est. Hours]])/(tbl_RobotWeld[[#This Row],[Total Hours Act]]+tbl_RobotWeld[[#This Row],[Act. Hours]]),"")</f>
        <v/>
      </c>
      <c r="S229"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29" s="93"/>
      <c r="U229" s="63"/>
      <c r="V229" s="63"/>
      <c r="W229" s="63"/>
      <c r="X229" s="63"/>
    </row>
    <row r="230" spans="6:24" ht="25" customHeight="1">
      <c r="F230" s="53"/>
      <c r="H230" s="55" t="e">
        <f>tbl_RobotWeld[[#This Row],[Qty Complete]]/tbl_RobotWeld[[#This Row],[Qty Required]]</f>
        <v>#DIV/0!</v>
      </c>
      <c r="K230" s="57" t="str">
        <f>IFERROR(tbl_RobotWeld[[#This Row],[Qty Required]]/tbl_RobotWeld[[#This Row],[PPH]]*tbl_RobotWeld[[#This Row],['# of men]],"")</f>
        <v/>
      </c>
      <c r="L230" s="58" t="e">
        <f>tbl_RobotWeld[[#This Row],[Total hours]]*tbl_RobotWeld[[#This Row],[% Complete]]</f>
        <v>#VALUE!</v>
      </c>
      <c r="M230" s="59" t="str">
        <f>IFERROR(tbl_RobotWeld[[#This Row],[Qty Complete]]/tbl_RobotWeld[[#This Row],[Total Hours Act]]*tbl_RobotWeld[[#This Row],['# of men Act]],"")</f>
        <v/>
      </c>
      <c r="O230"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30" s="90" t="str">
        <f>IFERROR((tbl_RobotWeld[[#This Row],[Adj. Total Hours]]+tbl_RobotWeld[[#This Row],[Est. Hours]])/(tbl_RobotWeld[[#This Row],[Total Hours Act]]+tbl_RobotWeld[[#This Row],[Act. Hours]]),"")</f>
        <v/>
      </c>
      <c r="S230"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30" s="93"/>
      <c r="U230" s="63"/>
      <c r="V230" s="63"/>
      <c r="W230" s="63"/>
      <c r="X230" s="63"/>
    </row>
    <row r="231" spans="6:24" ht="25" customHeight="1">
      <c r="F231" s="53"/>
      <c r="H231" s="55" t="e">
        <f>tbl_RobotWeld[[#This Row],[Qty Complete]]/tbl_RobotWeld[[#This Row],[Qty Required]]</f>
        <v>#DIV/0!</v>
      </c>
      <c r="K231" s="57" t="str">
        <f>IFERROR(tbl_RobotWeld[[#This Row],[Qty Required]]/tbl_RobotWeld[[#This Row],[PPH]]*tbl_RobotWeld[[#This Row],['# of men]],"")</f>
        <v/>
      </c>
      <c r="L231" s="58" t="e">
        <f>tbl_RobotWeld[[#This Row],[Total hours]]*tbl_RobotWeld[[#This Row],[% Complete]]</f>
        <v>#VALUE!</v>
      </c>
      <c r="M231" s="59" t="str">
        <f>IFERROR(tbl_RobotWeld[[#This Row],[Qty Complete]]/tbl_RobotWeld[[#This Row],[Total Hours Act]]*tbl_RobotWeld[[#This Row],['# of men Act]],"")</f>
        <v/>
      </c>
      <c r="O231"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31" s="90" t="str">
        <f>IFERROR((tbl_RobotWeld[[#This Row],[Adj. Total Hours]]+tbl_RobotWeld[[#This Row],[Est. Hours]])/(tbl_RobotWeld[[#This Row],[Total Hours Act]]+tbl_RobotWeld[[#This Row],[Act. Hours]]),"")</f>
        <v/>
      </c>
      <c r="S231"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31" s="93"/>
      <c r="U231" s="63"/>
      <c r="V231" s="63"/>
      <c r="W231" s="63"/>
      <c r="X231" s="63"/>
    </row>
    <row r="232" spans="6:24" ht="25" customHeight="1">
      <c r="F232" s="53"/>
      <c r="H232" s="55" t="e">
        <f>tbl_RobotWeld[[#This Row],[Qty Complete]]/tbl_RobotWeld[[#This Row],[Qty Required]]</f>
        <v>#DIV/0!</v>
      </c>
      <c r="K232" s="57" t="str">
        <f>IFERROR(tbl_RobotWeld[[#This Row],[Qty Required]]/tbl_RobotWeld[[#This Row],[PPH]]*tbl_RobotWeld[[#This Row],['# of men]],"")</f>
        <v/>
      </c>
      <c r="L232" s="58" t="e">
        <f>tbl_RobotWeld[[#This Row],[Total hours]]*tbl_RobotWeld[[#This Row],[% Complete]]</f>
        <v>#VALUE!</v>
      </c>
      <c r="M232" s="59" t="str">
        <f>IFERROR(tbl_RobotWeld[[#This Row],[Qty Complete]]/tbl_RobotWeld[[#This Row],[Total Hours Act]]*tbl_RobotWeld[[#This Row],['# of men Act]],"")</f>
        <v/>
      </c>
      <c r="O232"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32" s="90" t="str">
        <f>IFERROR((tbl_RobotWeld[[#This Row],[Adj. Total Hours]]+tbl_RobotWeld[[#This Row],[Est. Hours]])/(tbl_RobotWeld[[#This Row],[Total Hours Act]]+tbl_RobotWeld[[#This Row],[Act. Hours]]),"")</f>
        <v/>
      </c>
      <c r="S232"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32" s="93"/>
      <c r="U232" s="63"/>
      <c r="V232" s="63"/>
      <c r="W232" s="63"/>
      <c r="X232" s="63"/>
    </row>
    <row r="233" spans="6:24" ht="25" customHeight="1">
      <c r="F233" s="53"/>
      <c r="H233" s="55" t="e">
        <f>tbl_RobotWeld[[#This Row],[Qty Complete]]/tbl_RobotWeld[[#This Row],[Qty Required]]</f>
        <v>#DIV/0!</v>
      </c>
      <c r="K233" s="57" t="str">
        <f>IFERROR(tbl_RobotWeld[[#This Row],[Qty Required]]/tbl_RobotWeld[[#This Row],[PPH]]*tbl_RobotWeld[[#This Row],['# of men]],"")</f>
        <v/>
      </c>
      <c r="L233" s="58" t="e">
        <f>tbl_RobotWeld[[#This Row],[Total hours]]*tbl_RobotWeld[[#This Row],[% Complete]]</f>
        <v>#VALUE!</v>
      </c>
      <c r="M233" s="59" t="str">
        <f>IFERROR(tbl_RobotWeld[[#This Row],[Qty Complete]]/tbl_RobotWeld[[#This Row],[Total Hours Act]]*tbl_RobotWeld[[#This Row],['# of men Act]],"")</f>
        <v/>
      </c>
      <c r="O233"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33" s="90" t="str">
        <f>IFERROR((tbl_RobotWeld[[#This Row],[Adj. Total Hours]]+tbl_RobotWeld[[#This Row],[Est. Hours]])/(tbl_RobotWeld[[#This Row],[Total Hours Act]]+tbl_RobotWeld[[#This Row],[Act. Hours]]),"")</f>
        <v/>
      </c>
      <c r="S233"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33" s="93"/>
      <c r="U233" s="63"/>
      <c r="V233" s="63"/>
      <c r="W233" s="63"/>
      <c r="X233" s="63"/>
    </row>
    <row r="234" spans="6:24" ht="25" customHeight="1">
      <c r="F234" s="53"/>
      <c r="H234" s="55" t="e">
        <f>tbl_RobotWeld[[#This Row],[Qty Complete]]/tbl_RobotWeld[[#This Row],[Qty Required]]</f>
        <v>#DIV/0!</v>
      </c>
      <c r="K234" s="57" t="str">
        <f>IFERROR(tbl_RobotWeld[[#This Row],[Qty Required]]/tbl_RobotWeld[[#This Row],[PPH]]*tbl_RobotWeld[[#This Row],['# of men]],"")</f>
        <v/>
      </c>
      <c r="L234" s="58" t="e">
        <f>tbl_RobotWeld[[#This Row],[Total hours]]*tbl_RobotWeld[[#This Row],[% Complete]]</f>
        <v>#VALUE!</v>
      </c>
      <c r="M234" s="59" t="str">
        <f>IFERROR(tbl_RobotWeld[[#This Row],[Qty Complete]]/tbl_RobotWeld[[#This Row],[Total Hours Act]]*tbl_RobotWeld[[#This Row],['# of men Act]],"")</f>
        <v/>
      </c>
      <c r="O234"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34" s="90" t="str">
        <f>IFERROR((tbl_RobotWeld[[#This Row],[Adj. Total Hours]]+tbl_RobotWeld[[#This Row],[Est. Hours]])/(tbl_RobotWeld[[#This Row],[Total Hours Act]]+tbl_RobotWeld[[#This Row],[Act. Hours]]),"")</f>
        <v/>
      </c>
      <c r="S234"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34" s="93"/>
      <c r="U234" s="63"/>
      <c r="V234" s="63"/>
      <c r="W234" s="63"/>
      <c r="X234" s="63"/>
    </row>
    <row r="235" spans="6:24" ht="25" customHeight="1">
      <c r="F235" s="53"/>
      <c r="H235" s="55" t="e">
        <f>tbl_RobotWeld[[#This Row],[Qty Complete]]/tbl_RobotWeld[[#This Row],[Qty Required]]</f>
        <v>#DIV/0!</v>
      </c>
      <c r="K235" s="57" t="str">
        <f>IFERROR(tbl_RobotWeld[[#This Row],[Qty Required]]/tbl_RobotWeld[[#This Row],[PPH]]*tbl_RobotWeld[[#This Row],['# of men]],"")</f>
        <v/>
      </c>
      <c r="L235" s="58" t="e">
        <f>tbl_RobotWeld[[#This Row],[Total hours]]*tbl_RobotWeld[[#This Row],[% Complete]]</f>
        <v>#VALUE!</v>
      </c>
      <c r="M235" s="59" t="str">
        <f>IFERROR(tbl_RobotWeld[[#This Row],[Qty Complete]]/tbl_RobotWeld[[#This Row],[Total Hours Act]]*tbl_RobotWeld[[#This Row],['# of men Act]],"")</f>
        <v/>
      </c>
      <c r="O235"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35" s="90" t="str">
        <f>IFERROR((tbl_RobotWeld[[#This Row],[Adj. Total Hours]]+tbl_RobotWeld[[#This Row],[Est. Hours]])/(tbl_RobotWeld[[#This Row],[Total Hours Act]]+tbl_RobotWeld[[#This Row],[Act. Hours]]),"")</f>
        <v/>
      </c>
      <c r="S235"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35" s="93"/>
      <c r="U235" s="63"/>
      <c r="V235" s="63"/>
      <c r="W235" s="63"/>
      <c r="X235" s="63"/>
    </row>
    <row r="236" spans="6:24" ht="25" customHeight="1">
      <c r="F236" s="53"/>
      <c r="H236" s="55" t="e">
        <f>tbl_RobotWeld[[#This Row],[Qty Complete]]/tbl_RobotWeld[[#This Row],[Qty Required]]</f>
        <v>#DIV/0!</v>
      </c>
      <c r="K236" s="57" t="str">
        <f>IFERROR(tbl_RobotWeld[[#This Row],[Qty Required]]/tbl_RobotWeld[[#This Row],[PPH]]*tbl_RobotWeld[[#This Row],['# of men]],"")</f>
        <v/>
      </c>
      <c r="L236" s="58" t="e">
        <f>tbl_RobotWeld[[#This Row],[Total hours]]*tbl_RobotWeld[[#This Row],[% Complete]]</f>
        <v>#VALUE!</v>
      </c>
      <c r="M236" s="59" t="str">
        <f>IFERROR(tbl_RobotWeld[[#This Row],[Qty Complete]]/tbl_RobotWeld[[#This Row],[Total Hours Act]]*tbl_RobotWeld[[#This Row],['# of men Act]],"")</f>
        <v/>
      </c>
      <c r="O236"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36" s="90" t="str">
        <f>IFERROR((tbl_RobotWeld[[#This Row],[Adj. Total Hours]]+tbl_RobotWeld[[#This Row],[Est. Hours]])/(tbl_RobotWeld[[#This Row],[Total Hours Act]]+tbl_RobotWeld[[#This Row],[Act. Hours]]),"")</f>
        <v/>
      </c>
      <c r="S236"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36" s="93"/>
      <c r="U236" s="63"/>
      <c r="V236" s="63"/>
      <c r="W236" s="63"/>
      <c r="X236" s="63"/>
    </row>
    <row r="237" spans="6:24" ht="25" customHeight="1">
      <c r="F237" s="53"/>
      <c r="H237" s="55" t="e">
        <f>tbl_RobotWeld[[#This Row],[Qty Complete]]/tbl_RobotWeld[[#This Row],[Qty Required]]</f>
        <v>#DIV/0!</v>
      </c>
      <c r="K237" s="57" t="str">
        <f>IFERROR(tbl_RobotWeld[[#This Row],[Qty Required]]/tbl_RobotWeld[[#This Row],[PPH]]*tbl_RobotWeld[[#This Row],['# of men]],"")</f>
        <v/>
      </c>
      <c r="L237" s="58" t="e">
        <f>tbl_RobotWeld[[#This Row],[Total hours]]*tbl_RobotWeld[[#This Row],[% Complete]]</f>
        <v>#VALUE!</v>
      </c>
      <c r="M237" s="59" t="str">
        <f>IFERROR(tbl_RobotWeld[[#This Row],[Qty Complete]]/tbl_RobotWeld[[#This Row],[Total Hours Act]]*tbl_RobotWeld[[#This Row],['# of men Act]],"")</f>
        <v/>
      </c>
      <c r="O237"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37" s="90" t="str">
        <f>IFERROR((tbl_RobotWeld[[#This Row],[Adj. Total Hours]]+tbl_RobotWeld[[#This Row],[Est. Hours]])/(tbl_RobotWeld[[#This Row],[Total Hours Act]]+tbl_RobotWeld[[#This Row],[Act. Hours]]),"")</f>
        <v/>
      </c>
      <c r="S237"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37" s="93"/>
      <c r="U237" s="63"/>
      <c r="V237" s="63"/>
      <c r="W237" s="63"/>
      <c r="X237" s="63"/>
    </row>
    <row r="238" spans="6:24" ht="25" customHeight="1">
      <c r="F238" s="53"/>
      <c r="H238" s="55" t="e">
        <f>tbl_RobotWeld[[#This Row],[Qty Complete]]/tbl_RobotWeld[[#This Row],[Qty Required]]</f>
        <v>#DIV/0!</v>
      </c>
      <c r="K238" s="57" t="str">
        <f>IFERROR(tbl_RobotWeld[[#This Row],[Qty Required]]/tbl_RobotWeld[[#This Row],[PPH]]*tbl_RobotWeld[[#This Row],['# of men]],"")</f>
        <v/>
      </c>
      <c r="L238" s="58" t="e">
        <f>tbl_RobotWeld[[#This Row],[Total hours]]*tbl_RobotWeld[[#This Row],[% Complete]]</f>
        <v>#VALUE!</v>
      </c>
      <c r="M238" s="59" t="str">
        <f>IFERROR(tbl_RobotWeld[[#This Row],[Qty Complete]]/tbl_RobotWeld[[#This Row],[Total Hours Act]]*tbl_RobotWeld[[#This Row],['# of men Act]],"")</f>
        <v/>
      </c>
      <c r="O238"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38" s="90" t="str">
        <f>IFERROR((tbl_RobotWeld[[#This Row],[Adj. Total Hours]]+tbl_RobotWeld[[#This Row],[Est. Hours]])/(tbl_RobotWeld[[#This Row],[Total Hours Act]]+tbl_RobotWeld[[#This Row],[Act. Hours]]),"")</f>
        <v/>
      </c>
      <c r="S238"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38" s="93"/>
      <c r="U238" s="63"/>
      <c r="V238" s="63"/>
      <c r="W238" s="63"/>
      <c r="X238" s="63"/>
    </row>
    <row r="239" spans="6:24" ht="25" customHeight="1">
      <c r="F239" s="53"/>
      <c r="H239" s="55" t="e">
        <f>tbl_RobotWeld[[#This Row],[Qty Complete]]/tbl_RobotWeld[[#This Row],[Qty Required]]</f>
        <v>#DIV/0!</v>
      </c>
      <c r="K239" s="57" t="str">
        <f>IFERROR(tbl_RobotWeld[[#This Row],[Qty Required]]/tbl_RobotWeld[[#This Row],[PPH]]*tbl_RobotWeld[[#This Row],['# of men]],"")</f>
        <v/>
      </c>
      <c r="L239" s="58" t="e">
        <f>tbl_RobotWeld[[#This Row],[Total hours]]*tbl_RobotWeld[[#This Row],[% Complete]]</f>
        <v>#VALUE!</v>
      </c>
      <c r="M239" s="59" t="str">
        <f>IFERROR(tbl_RobotWeld[[#This Row],[Qty Complete]]/tbl_RobotWeld[[#This Row],[Total Hours Act]]*tbl_RobotWeld[[#This Row],['# of men Act]],"")</f>
        <v/>
      </c>
      <c r="O239"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39" s="90" t="str">
        <f>IFERROR((tbl_RobotWeld[[#This Row],[Adj. Total Hours]]+tbl_RobotWeld[[#This Row],[Est. Hours]])/(tbl_RobotWeld[[#This Row],[Total Hours Act]]+tbl_RobotWeld[[#This Row],[Act. Hours]]),"")</f>
        <v/>
      </c>
      <c r="S239"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39" s="93"/>
      <c r="U239" s="63"/>
      <c r="V239" s="63"/>
      <c r="W239" s="63"/>
      <c r="X239" s="63"/>
    </row>
    <row r="240" spans="6:24" ht="25" customHeight="1">
      <c r="F240" s="53"/>
      <c r="H240" s="55" t="e">
        <f>tbl_RobotWeld[[#This Row],[Qty Complete]]/tbl_RobotWeld[[#This Row],[Qty Required]]</f>
        <v>#DIV/0!</v>
      </c>
      <c r="K240" s="57" t="str">
        <f>IFERROR(tbl_RobotWeld[[#This Row],[Qty Required]]/tbl_RobotWeld[[#This Row],[PPH]]*tbl_RobotWeld[[#This Row],['# of men]],"")</f>
        <v/>
      </c>
      <c r="L240" s="58" t="e">
        <f>tbl_RobotWeld[[#This Row],[Total hours]]*tbl_RobotWeld[[#This Row],[% Complete]]</f>
        <v>#VALUE!</v>
      </c>
      <c r="M240" s="59" t="str">
        <f>IFERROR(tbl_RobotWeld[[#This Row],[Qty Complete]]/tbl_RobotWeld[[#This Row],[Total Hours Act]]*tbl_RobotWeld[[#This Row],['# of men Act]],"")</f>
        <v/>
      </c>
      <c r="O240"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40" s="90" t="str">
        <f>IFERROR((tbl_RobotWeld[[#This Row],[Adj. Total Hours]]+tbl_RobotWeld[[#This Row],[Est. Hours]])/(tbl_RobotWeld[[#This Row],[Total Hours Act]]+tbl_RobotWeld[[#This Row],[Act. Hours]]),"")</f>
        <v/>
      </c>
      <c r="S240"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40" s="93"/>
      <c r="U240" s="63"/>
      <c r="V240" s="63"/>
      <c r="W240" s="63"/>
      <c r="X240" s="63"/>
    </row>
    <row r="241" spans="6:24" ht="25" customHeight="1">
      <c r="F241" s="53"/>
      <c r="H241" s="55" t="e">
        <f>tbl_RobotWeld[[#This Row],[Qty Complete]]/tbl_RobotWeld[[#This Row],[Qty Required]]</f>
        <v>#DIV/0!</v>
      </c>
      <c r="K241" s="57" t="str">
        <f>IFERROR(tbl_RobotWeld[[#This Row],[Qty Required]]/tbl_RobotWeld[[#This Row],[PPH]]*tbl_RobotWeld[[#This Row],['# of men]],"")</f>
        <v/>
      </c>
      <c r="L241" s="58" t="e">
        <f>tbl_RobotWeld[[#This Row],[Total hours]]*tbl_RobotWeld[[#This Row],[% Complete]]</f>
        <v>#VALUE!</v>
      </c>
      <c r="M241" s="59" t="str">
        <f>IFERROR(tbl_RobotWeld[[#This Row],[Qty Complete]]/tbl_RobotWeld[[#This Row],[Total Hours Act]]*tbl_RobotWeld[[#This Row],['# of men Act]],"")</f>
        <v/>
      </c>
      <c r="O241"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41" s="90" t="str">
        <f>IFERROR((tbl_RobotWeld[[#This Row],[Adj. Total Hours]]+tbl_RobotWeld[[#This Row],[Est. Hours]])/(tbl_RobotWeld[[#This Row],[Total Hours Act]]+tbl_RobotWeld[[#This Row],[Act. Hours]]),"")</f>
        <v/>
      </c>
      <c r="S241"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41" s="93"/>
      <c r="U241" s="63"/>
      <c r="V241" s="63"/>
      <c r="W241" s="63"/>
      <c r="X241" s="63"/>
    </row>
    <row r="242" spans="6:24" ht="25" customHeight="1">
      <c r="F242" s="53"/>
      <c r="H242" s="55" t="e">
        <f>tbl_RobotWeld[[#This Row],[Qty Complete]]/tbl_RobotWeld[[#This Row],[Qty Required]]</f>
        <v>#DIV/0!</v>
      </c>
      <c r="K242" s="57" t="str">
        <f>IFERROR(tbl_RobotWeld[[#This Row],[Qty Required]]/tbl_RobotWeld[[#This Row],[PPH]]*tbl_RobotWeld[[#This Row],['# of men]],"")</f>
        <v/>
      </c>
      <c r="L242" s="58" t="e">
        <f>tbl_RobotWeld[[#This Row],[Total hours]]*tbl_RobotWeld[[#This Row],[% Complete]]</f>
        <v>#VALUE!</v>
      </c>
      <c r="M242" s="59" t="str">
        <f>IFERROR(tbl_RobotWeld[[#This Row],[Qty Complete]]/tbl_RobotWeld[[#This Row],[Total Hours Act]]*tbl_RobotWeld[[#This Row],['# of men Act]],"")</f>
        <v/>
      </c>
      <c r="O242"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42" s="90" t="str">
        <f>IFERROR((tbl_RobotWeld[[#This Row],[Adj. Total Hours]]+tbl_RobotWeld[[#This Row],[Est. Hours]])/(tbl_RobotWeld[[#This Row],[Total Hours Act]]+tbl_RobotWeld[[#This Row],[Act. Hours]]),"")</f>
        <v/>
      </c>
      <c r="S242"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42" s="93"/>
      <c r="U242" s="63"/>
      <c r="V242" s="63"/>
      <c r="W242" s="63"/>
      <c r="X242" s="63"/>
    </row>
    <row r="243" spans="6:24" ht="25" customHeight="1">
      <c r="F243" s="53"/>
      <c r="H243" s="55" t="e">
        <f>tbl_RobotWeld[[#This Row],[Qty Complete]]/tbl_RobotWeld[[#This Row],[Qty Required]]</f>
        <v>#DIV/0!</v>
      </c>
      <c r="K243" s="57" t="str">
        <f>IFERROR(tbl_RobotWeld[[#This Row],[Qty Required]]/tbl_RobotWeld[[#This Row],[PPH]]*tbl_RobotWeld[[#This Row],['# of men]],"")</f>
        <v/>
      </c>
      <c r="L243" s="58" t="e">
        <f>tbl_RobotWeld[[#This Row],[Total hours]]*tbl_RobotWeld[[#This Row],[% Complete]]</f>
        <v>#VALUE!</v>
      </c>
      <c r="M243" s="59" t="str">
        <f>IFERROR(tbl_RobotWeld[[#This Row],[Qty Complete]]/tbl_RobotWeld[[#This Row],[Total Hours Act]]*tbl_RobotWeld[[#This Row],['# of men Act]],"")</f>
        <v/>
      </c>
      <c r="O243"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43" s="90" t="str">
        <f>IFERROR((tbl_RobotWeld[[#This Row],[Adj. Total Hours]]+tbl_RobotWeld[[#This Row],[Est. Hours]])/(tbl_RobotWeld[[#This Row],[Total Hours Act]]+tbl_RobotWeld[[#This Row],[Act. Hours]]),"")</f>
        <v/>
      </c>
      <c r="S243"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43" s="93"/>
      <c r="U243" s="63"/>
      <c r="V243" s="63"/>
      <c r="W243" s="63"/>
      <c r="X243" s="63"/>
    </row>
    <row r="244" spans="6:24" ht="25" customHeight="1">
      <c r="F244" s="53"/>
      <c r="H244" s="55" t="e">
        <f>tbl_RobotWeld[[#This Row],[Qty Complete]]/tbl_RobotWeld[[#This Row],[Qty Required]]</f>
        <v>#DIV/0!</v>
      </c>
      <c r="K244" s="57" t="str">
        <f>IFERROR(tbl_RobotWeld[[#This Row],[Qty Required]]/tbl_RobotWeld[[#This Row],[PPH]]*tbl_RobotWeld[[#This Row],['# of men]],"")</f>
        <v/>
      </c>
      <c r="L244" s="58" t="e">
        <f>tbl_RobotWeld[[#This Row],[Total hours]]*tbl_RobotWeld[[#This Row],[% Complete]]</f>
        <v>#VALUE!</v>
      </c>
      <c r="M244" s="59" t="str">
        <f>IFERROR(tbl_RobotWeld[[#This Row],[Qty Complete]]/tbl_RobotWeld[[#This Row],[Total Hours Act]]*tbl_RobotWeld[[#This Row],['# of men Act]],"")</f>
        <v/>
      </c>
      <c r="O244"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44" s="90" t="str">
        <f>IFERROR((tbl_RobotWeld[[#This Row],[Adj. Total Hours]]+tbl_RobotWeld[[#This Row],[Est. Hours]])/(tbl_RobotWeld[[#This Row],[Total Hours Act]]+tbl_RobotWeld[[#This Row],[Act. Hours]]),"")</f>
        <v/>
      </c>
      <c r="S244"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44" s="93"/>
      <c r="U244" s="63"/>
      <c r="V244" s="63"/>
      <c r="W244" s="63"/>
      <c r="X244" s="63"/>
    </row>
    <row r="245" spans="6:24" ht="25" customHeight="1">
      <c r="F245" s="53"/>
      <c r="H245" s="55" t="e">
        <f>tbl_RobotWeld[[#This Row],[Qty Complete]]/tbl_RobotWeld[[#This Row],[Qty Required]]</f>
        <v>#DIV/0!</v>
      </c>
      <c r="K245" s="57" t="str">
        <f>IFERROR(tbl_RobotWeld[[#This Row],[Qty Required]]/tbl_RobotWeld[[#This Row],[PPH]]*tbl_RobotWeld[[#This Row],['# of men]],"")</f>
        <v/>
      </c>
      <c r="L245" s="58" t="e">
        <f>tbl_RobotWeld[[#This Row],[Total hours]]*tbl_RobotWeld[[#This Row],[% Complete]]</f>
        <v>#VALUE!</v>
      </c>
      <c r="M245" s="59" t="str">
        <f>IFERROR(tbl_RobotWeld[[#This Row],[Qty Complete]]/tbl_RobotWeld[[#This Row],[Total Hours Act]]*tbl_RobotWeld[[#This Row],['# of men Act]],"")</f>
        <v/>
      </c>
      <c r="O245"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45" s="90" t="str">
        <f>IFERROR((tbl_RobotWeld[[#This Row],[Adj. Total Hours]]+tbl_RobotWeld[[#This Row],[Est. Hours]])/(tbl_RobotWeld[[#This Row],[Total Hours Act]]+tbl_RobotWeld[[#This Row],[Act. Hours]]),"")</f>
        <v/>
      </c>
      <c r="S245"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45" s="93"/>
      <c r="U245" s="63"/>
      <c r="V245" s="63"/>
      <c r="W245" s="63"/>
      <c r="X245" s="63"/>
    </row>
    <row r="246" spans="6:24" ht="25" customHeight="1">
      <c r="F246" s="53"/>
      <c r="H246" s="55" t="e">
        <f>tbl_RobotWeld[[#This Row],[Qty Complete]]/tbl_RobotWeld[[#This Row],[Qty Required]]</f>
        <v>#DIV/0!</v>
      </c>
      <c r="K246" s="57" t="str">
        <f>IFERROR(tbl_RobotWeld[[#This Row],[Qty Required]]/tbl_RobotWeld[[#This Row],[PPH]]*tbl_RobotWeld[[#This Row],['# of men]],"")</f>
        <v/>
      </c>
      <c r="L246" s="58" t="e">
        <f>tbl_RobotWeld[[#This Row],[Total hours]]*tbl_RobotWeld[[#This Row],[% Complete]]</f>
        <v>#VALUE!</v>
      </c>
      <c r="M246" s="59" t="str">
        <f>IFERROR(tbl_RobotWeld[[#This Row],[Qty Complete]]/tbl_RobotWeld[[#This Row],[Total Hours Act]]*tbl_RobotWeld[[#This Row],['# of men Act]],"")</f>
        <v/>
      </c>
      <c r="O246"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46" s="90" t="str">
        <f>IFERROR((tbl_RobotWeld[[#This Row],[Adj. Total Hours]]+tbl_RobotWeld[[#This Row],[Est. Hours]])/(tbl_RobotWeld[[#This Row],[Total Hours Act]]+tbl_RobotWeld[[#This Row],[Act. Hours]]),"")</f>
        <v/>
      </c>
      <c r="S246"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46" s="93"/>
      <c r="U246" s="63"/>
      <c r="V246" s="63"/>
      <c r="W246" s="63"/>
      <c r="X246" s="63"/>
    </row>
    <row r="247" spans="6:24" ht="25" customHeight="1">
      <c r="F247" s="53"/>
      <c r="H247" s="55" t="e">
        <f>tbl_RobotWeld[[#This Row],[Qty Complete]]/tbl_RobotWeld[[#This Row],[Qty Required]]</f>
        <v>#DIV/0!</v>
      </c>
      <c r="K247" s="57" t="str">
        <f>IFERROR(tbl_RobotWeld[[#This Row],[Qty Required]]/tbl_RobotWeld[[#This Row],[PPH]]*tbl_RobotWeld[[#This Row],['# of men]],"")</f>
        <v/>
      </c>
      <c r="L247" s="58" t="e">
        <f>tbl_RobotWeld[[#This Row],[Total hours]]*tbl_RobotWeld[[#This Row],[% Complete]]</f>
        <v>#VALUE!</v>
      </c>
      <c r="M247" s="59" t="str">
        <f>IFERROR(tbl_RobotWeld[[#This Row],[Qty Complete]]/tbl_RobotWeld[[#This Row],[Total Hours Act]]*tbl_RobotWeld[[#This Row],['# of men Act]],"")</f>
        <v/>
      </c>
      <c r="O247"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47" s="90" t="str">
        <f>IFERROR((tbl_RobotWeld[[#This Row],[Adj. Total Hours]]+tbl_RobotWeld[[#This Row],[Est. Hours]])/(tbl_RobotWeld[[#This Row],[Total Hours Act]]+tbl_RobotWeld[[#This Row],[Act. Hours]]),"")</f>
        <v/>
      </c>
      <c r="S247"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47" s="93"/>
      <c r="U247" s="63"/>
      <c r="V247" s="63"/>
      <c r="W247" s="63"/>
      <c r="X247" s="63"/>
    </row>
    <row r="248" spans="6:24" ht="25" customHeight="1">
      <c r="F248" s="53"/>
      <c r="H248" s="55" t="e">
        <f>tbl_RobotWeld[[#This Row],[Qty Complete]]/tbl_RobotWeld[[#This Row],[Qty Required]]</f>
        <v>#DIV/0!</v>
      </c>
      <c r="K248" s="57" t="str">
        <f>IFERROR(tbl_RobotWeld[[#This Row],[Qty Required]]/tbl_RobotWeld[[#This Row],[PPH]]*tbl_RobotWeld[[#This Row],['# of men]],"")</f>
        <v/>
      </c>
      <c r="L248" s="58" t="e">
        <f>tbl_RobotWeld[[#This Row],[Total hours]]*tbl_RobotWeld[[#This Row],[% Complete]]</f>
        <v>#VALUE!</v>
      </c>
      <c r="M248" s="59" t="str">
        <f>IFERROR(tbl_RobotWeld[[#This Row],[Qty Complete]]/tbl_RobotWeld[[#This Row],[Total Hours Act]]*tbl_RobotWeld[[#This Row],['# of men Act]],"")</f>
        <v/>
      </c>
      <c r="O248"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48" s="90" t="str">
        <f>IFERROR((tbl_RobotWeld[[#This Row],[Adj. Total Hours]]+tbl_RobotWeld[[#This Row],[Est. Hours]])/(tbl_RobotWeld[[#This Row],[Total Hours Act]]+tbl_RobotWeld[[#This Row],[Act. Hours]]),"")</f>
        <v/>
      </c>
      <c r="S248"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48" s="93"/>
      <c r="U248" s="63"/>
      <c r="V248" s="63"/>
      <c r="W248" s="63"/>
      <c r="X248" s="63"/>
    </row>
    <row r="249" spans="6:24" ht="25" customHeight="1">
      <c r="F249" s="53"/>
      <c r="H249" s="55" t="e">
        <f>tbl_RobotWeld[[#This Row],[Qty Complete]]/tbl_RobotWeld[[#This Row],[Qty Required]]</f>
        <v>#DIV/0!</v>
      </c>
      <c r="K249" s="57" t="str">
        <f>IFERROR(tbl_RobotWeld[[#This Row],[Qty Required]]/tbl_RobotWeld[[#This Row],[PPH]]*tbl_RobotWeld[[#This Row],['# of men]],"")</f>
        <v/>
      </c>
      <c r="L249" s="58" t="e">
        <f>tbl_RobotWeld[[#This Row],[Total hours]]*tbl_RobotWeld[[#This Row],[% Complete]]</f>
        <v>#VALUE!</v>
      </c>
      <c r="M249" s="59" t="str">
        <f>IFERROR(tbl_RobotWeld[[#This Row],[Qty Complete]]/tbl_RobotWeld[[#This Row],[Total Hours Act]]*tbl_RobotWeld[[#This Row],['# of men Act]],"")</f>
        <v/>
      </c>
      <c r="O249"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49" s="90" t="str">
        <f>IFERROR((tbl_RobotWeld[[#This Row],[Adj. Total Hours]]+tbl_RobotWeld[[#This Row],[Est. Hours]])/(tbl_RobotWeld[[#This Row],[Total Hours Act]]+tbl_RobotWeld[[#This Row],[Act. Hours]]),"")</f>
        <v/>
      </c>
      <c r="S249"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49" s="93"/>
      <c r="U249" s="63"/>
      <c r="V249" s="63"/>
      <c r="W249" s="63"/>
      <c r="X249" s="63"/>
    </row>
    <row r="250" spans="6:24" ht="25" customHeight="1">
      <c r="F250" s="53"/>
      <c r="H250" s="55" t="e">
        <f>tbl_RobotWeld[[#This Row],[Qty Complete]]/tbl_RobotWeld[[#This Row],[Qty Required]]</f>
        <v>#DIV/0!</v>
      </c>
      <c r="K250" s="57" t="str">
        <f>IFERROR(tbl_RobotWeld[[#This Row],[Qty Required]]/tbl_RobotWeld[[#This Row],[PPH]]*tbl_RobotWeld[[#This Row],['# of men]],"")</f>
        <v/>
      </c>
      <c r="L250" s="58" t="e">
        <f>tbl_RobotWeld[[#This Row],[Total hours]]*tbl_RobotWeld[[#This Row],[% Complete]]</f>
        <v>#VALUE!</v>
      </c>
      <c r="M250" s="59" t="str">
        <f>IFERROR(tbl_RobotWeld[[#This Row],[Qty Complete]]/tbl_RobotWeld[[#This Row],[Total Hours Act]]*tbl_RobotWeld[[#This Row],['# of men Act]],"")</f>
        <v/>
      </c>
      <c r="O250" s="60">
        <f>(MOD(tbl_RobotWeld[[#This Row],[End Time]]-tbl_RobotWeld[[#This Row],[Start Time]],1)*24*tbl_RobotWeld[[#This Row],['# of men Act]])-
(
IF(AND(tbl_RobotWeld[[#This Row],[Start Time]]&lt;=Data!$B$2+(Data!$B$2&lt;tbl_RobotWeld[[#This Row],[Start Time]]),tbl_RobotWeld[[#This Row],[Start Time]]+MOD(tbl_RobotWeld[[#This Row],[End Time]]-tbl_RobotWeld[[#This Row],[Start Time]],1)&gt;=Data!$C$2+(Data!$C$2&lt;tbl_RobotWeld[[#This Row],[Start Time]])),0.5*tbl_RobotWeld[[#This Row],['# of men Act]],0)
+
IF(AND(tbl_RobotWeld[[#This Row],[Start Time]]&lt;=Data!$B$3+(Data!$B$3&lt;tbl_RobotWeld[[#This Row],[Start Time]]),tbl_RobotWeld[[#This Row],[Start Time]]+MOD(tbl_RobotWeld[[#This Row],[End Time]]-tbl_RobotWeld[[#This Row],[Start Time]],1)&gt;=Data!$C$3+(Data!$C$3&lt;tbl_RobotWeld[[#This Row],[Start Time]])),0.5*tbl_RobotWeld[[#This Row],['# of men Act]],0)
)</f>
        <v>0</v>
      </c>
      <c r="R250" s="90" t="str">
        <f>IFERROR((tbl_RobotWeld[[#This Row],[Adj. Total Hours]]+tbl_RobotWeld[[#This Row],[Est. Hours]])/(tbl_RobotWeld[[#This Row],[Total Hours Act]]+tbl_RobotWeld[[#This Row],[Act. Hours]]),"")</f>
        <v/>
      </c>
      <c r="S250" s="89" t="str">
        <f>IF(AND(SUMIFS(tbl_RobotWeld[% Complete],tbl_RobotWeld[Job'#],tbl_RobotWeld[[#This Row],[Job'#]])&gt;=1,COUNTIF(INDEX(tbl_RobotWeld[Job'#],1):tbl_RobotWeld[[#This Row],[Job'#]],tbl_RobotWeld[[#This Row],[Job'#]])=COUNTIF(tbl_RobotWeld[Job'#],tbl_RobotWeld[[#This Row],[Job'#]])),IFERROR((SUMIFS(tbl_RobotWeld[Adj. Total Hours],tbl_RobotWeld[Job'#],tbl_RobotWeld[[#This Row],[Job'#]])+SUMIFS(tbl_RobotWeld[Est. Hours],tbl_RobotWeld[Job'#],tbl_RobotWeld[[#This Row],[Job'#]]))/(SUMIFS(tbl_RobotWeld[Total Hours Act],tbl_RobotWeld[Job'#],tbl_RobotWeld[[#This Row],[Job'#]])+SUMIFS(tbl_RobotWeld[Act. Hours],tbl_RobotWeld[Job'#],tbl_RobotWeld[[#This Row],[Job'#]])),""),"")</f>
        <v/>
      </c>
      <c r="T250" s="93"/>
      <c r="U250" s="63"/>
      <c r="V250" s="63"/>
      <c r="W250" s="63"/>
      <c r="X250" s="63"/>
    </row>
  </sheetData>
  <sheetProtection sheet="1" objects="1" scenarios="1"/>
  <protectedRanges>
    <protectedRange sqref="A1:G1048576 I1:J1048576 N1:N1048576 P1:P1048576 T1:X1048576 Q1:Q1048576" name="Range1"/>
  </protectedRanges>
  <mergeCells count="2">
    <mergeCell ref="P1:Q1"/>
    <mergeCell ref="R1:S1"/>
  </mergeCells>
  <conditionalFormatting sqref="R3:S3852">
    <cfRule type="expression" dxfId="11" priority="1">
      <formula>AND(R3&gt;0.85,R3&lt;&gt;"")</formula>
    </cfRule>
    <cfRule type="expression" dxfId="10" priority="2">
      <formula>AND(R3&gt;=0.7,R3&lt;=0.85,R3&lt;&gt;"")</formula>
    </cfRule>
    <cfRule type="expression" dxfId="9" priority="3">
      <formula>AND(R3&lt;0.7,R3&lt;&gt;"")</formula>
    </cfRule>
  </conditionalFormatting>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03B93-F75F-493B-90B2-18498DEF9A37}">
  <dimension ref="A1:W250"/>
  <sheetViews>
    <sheetView workbookViewId="0">
      <pane ySplit="2" topLeftCell="A3" activePane="bottomLeft" state="frozen"/>
      <selection pane="bottomLeft" activeCell="A3" sqref="A3"/>
    </sheetView>
  </sheetViews>
  <sheetFormatPr defaultColWidth="9.1796875" defaultRowHeight="25" customHeight="1"/>
  <cols>
    <col min="1" max="1" width="11.54296875" style="52" customWidth="1"/>
    <col min="2" max="2" width="13.1796875" style="53" customWidth="1"/>
    <col min="3" max="3" width="14.1796875" style="53" customWidth="1"/>
    <col min="4" max="4" width="15.54296875" style="54" bestFit="1" customWidth="1"/>
    <col min="5" max="5" width="14.7265625" style="54" bestFit="1" customWidth="1"/>
    <col min="6" max="6" width="18.26953125" style="54" bestFit="1" customWidth="1"/>
    <col min="7" max="7" width="19" style="53" bestFit="1" customWidth="1"/>
    <col min="8" max="8" width="19" style="53" hidden="1" customWidth="1"/>
    <col min="9" max="9" width="10.1796875" style="56" bestFit="1" customWidth="1"/>
    <col min="10" max="10" width="14" style="53" bestFit="1" customWidth="1"/>
    <col min="11" max="11" width="16.453125" style="66" bestFit="1" customWidth="1"/>
    <col min="12" max="12" width="16.453125" style="47" hidden="1" customWidth="1"/>
    <col min="13" max="13" width="13.453125" style="67" bestFit="1" customWidth="1"/>
    <col min="14" max="14" width="17.26953125" style="53" bestFit="1" customWidth="1"/>
    <col min="15" max="15" width="20.1796875" style="68" bestFit="1" customWidth="1"/>
    <col min="16" max="17" width="15.7265625" style="61" bestFit="1" customWidth="1"/>
    <col min="18" max="18" width="15.1796875" style="69" bestFit="1" customWidth="1"/>
    <col min="19" max="19" width="55.26953125" style="53" customWidth="1"/>
    <col min="20" max="23" width="16.81640625" style="53" bestFit="1" customWidth="1"/>
    <col min="24" max="16384" width="9.1796875" style="47"/>
  </cols>
  <sheetData>
    <row r="1" spans="1:23" ht="47.25" customHeight="1" thickBot="1">
      <c r="A1" s="8"/>
      <c r="B1" s="7"/>
      <c r="C1" s="7"/>
      <c r="D1" s="9"/>
      <c r="E1" s="9"/>
      <c r="F1" s="9"/>
      <c r="G1" s="7"/>
      <c r="H1" s="7"/>
      <c r="I1" s="13"/>
      <c r="J1" s="40" t="s">
        <v>0</v>
      </c>
      <c r="K1" s="46"/>
      <c r="L1" s="46"/>
      <c r="M1" s="4"/>
      <c r="N1" s="41" t="s">
        <v>1</v>
      </c>
      <c r="O1" s="5"/>
      <c r="P1" s="113" t="s">
        <v>2</v>
      </c>
      <c r="Q1" s="114"/>
      <c r="R1" s="39" t="s">
        <v>3</v>
      </c>
      <c r="S1" s="7"/>
      <c r="T1" s="7"/>
      <c r="U1" s="7"/>
      <c r="V1" s="7"/>
      <c r="W1" s="7"/>
    </row>
    <row r="2" spans="1:23" ht="17.5" thickTop="1">
      <c r="A2" s="10" t="s">
        <v>4</v>
      </c>
      <c r="B2" s="6" t="s">
        <v>5</v>
      </c>
      <c r="C2" s="6" t="s">
        <v>7</v>
      </c>
      <c r="D2" s="11" t="s">
        <v>8</v>
      </c>
      <c r="E2" s="11" t="s">
        <v>9</v>
      </c>
      <c r="F2" s="11" t="s">
        <v>10</v>
      </c>
      <c r="G2" s="6" t="s">
        <v>11</v>
      </c>
      <c r="H2" s="48" t="s">
        <v>12</v>
      </c>
      <c r="I2" s="12" t="s">
        <v>13</v>
      </c>
      <c r="J2" s="6" t="s">
        <v>14</v>
      </c>
      <c r="K2" s="49" t="s">
        <v>15</v>
      </c>
      <c r="L2" s="50" t="s">
        <v>16</v>
      </c>
      <c r="M2" s="2" t="s">
        <v>21</v>
      </c>
      <c r="N2" s="6" t="s">
        <v>22</v>
      </c>
      <c r="O2" s="3" t="s">
        <v>23</v>
      </c>
      <c r="P2" s="25" t="s">
        <v>25</v>
      </c>
      <c r="Q2" s="25" t="s">
        <v>26</v>
      </c>
      <c r="R2" s="51" t="s">
        <v>27</v>
      </c>
      <c r="S2" s="6" t="s">
        <v>31</v>
      </c>
      <c r="T2" s="6" t="s">
        <v>32</v>
      </c>
      <c r="U2" s="6" t="s">
        <v>33</v>
      </c>
      <c r="V2" s="6" t="s">
        <v>34</v>
      </c>
      <c r="W2" s="6" t="s">
        <v>35</v>
      </c>
    </row>
    <row r="3" spans="1:23" ht="25" customHeight="1">
      <c r="F3" s="53"/>
      <c r="H3" s="55" t="e">
        <f>tbl_Roll[[#This Row],[Qty Complete]]/tbl_Roll[[#This Row],[Qty Required]]</f>
        <v>#DIV/0!</v>
      </c>
      <c r="K3" s="57" t="str">
        <f>IFERROR(tbl_Roll[[#This Row],[Qty Required]]/tbl_Roll[[#This Row],[PPH]]*tbl_Roll[[#This Row],['# of men]],"")</f>
        <v/>
      </c>
      <c r="L3" s="58" t="e">
        <f>tbl_Roll[[#This Row],[Total hours]]*tbl_Roll[[#This Row],[% Complete]]</f>
        <v>#VALUE!</v>
      </c>
      <c r="M3" s="59" t="str">
        <f>IFERROR(tbl_Roll[[#This Row],[Qty Complete]]/tbl_Roll[[#This Row],[Total Hours Act]]*tbl_Roll[[#This Row],['# of men Act]],"")</f>
        <v/>
      </c>
      <c r="O3"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3" s="62" t="str">
        <f>IFERROR((tbl_Roll[[#This Row],[Adj. Total Hours]]+tbl_Roll[[#This Row],[Est. Hours]])/(tbl_Roll[[#This Row],[Total Hours Act]]+tbl_Roll[[#This Row],[Act. Hours]]),"")</f>
        <v/>
      </c>
      <c r="S3" s="63"/>
      <c r="T3" s="64"/>
      <c r="U3" s="65"/>
      <c r="V3" s="63"/>
      <c r="W3" s="63"/>
    </row>
    <row r="4" spans="1:23" ht="25" customHeight="1">
      <c r="F4" s="53"/>
      <c r="H4" s="55" t="e">
        <f>tbl_Roll[[#This Row],[Qty Complete]]/tbl_Roll[[#This Row],[Qty Required]]</f>
        <v>#DIV/0!</v>
      </c>
      <c r="K4" s="57" t="str">
        <f>IFERROR(tbl_Roll[[#This Row],[Qty Required]]/tbl_Roll[[#This Row],[PPH]]*tbl_Roll[[#This Row],['# of men]],"")</f>
        <v/>
      </c>
      <c r="L4" s="58" t="e">
        <f>tbl_Roll[[#This Row],[Total hours]]*tbl_Roll[[#This Row],[% Complete]]</f>
        <v>#VALUE!</v>
      </c>
      <c r="M4" s="59" t="str">
        <f>IFERROR(tbl_Roll[[#This Row],[Qty Complete]]/tbl_Roll[[#This Row],[Total Hours Act]]*tbl_Roll[[#This Row],['# of men Act]],"")</f>
        <v/>
      </c>
      <c r="O4"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4" s="71" t="str">
        <f>IFERROR((tbl_Roll[[#This Row],[Adj. Total Hours]]+tbl_Roll[[#This Row],[Est. Hours]])/(tbl_Roll[[#This Row],[Total Hours Act]]+tbl_Roll[[#This Row],[Act. Hours]]),"")</f>
        <v/>
      </c>
      <c r="S4" s="63"/>
      <c r="T4" s="63"/>
      <c r="U4" s="63"/>
      <c r="V4" s="63"/>
      <c r="W4" s="63"/>
    </row>
    <row r="5" spans="1:23" ht="25" customHeight="1">
      <c r="F5" s="53"/>
      <c r="H5" s="55" t="e">
        <f>tbl_Roll[[#This Row],[Qty Complete]]/tbl_Roll[[#This Row],[Qty Required]]</f>
        <v>#DIV/0!</v>
      </c>
      <c r="K5" s="57" t="str">
        <f>IFERROR(tbl_Roll[[#This Row],[Qty Required]]/tbl_Roll[[#This Row],[PPH]]*tbl_Roll[[#This Row],['# of men]],"")</f>
        <v/>
      </c>
      <c r="L5" s="58" t="e">
        <f>tbl_Roll[[#This Row],[Total hours]]*tbl_Roll[[#This Row],[% Complete]]</f>
        <v>#VALUE!</v>
      </c>
      <c r="M5" s="59" t="str">
        <f>IFERROR(tbl_Roll[[#This Row],[Qty Complete]]/tbl_Roll[[#This Row],[Total Hours Act]]*tbl_Roll[[#This Row],['# of men Act]],"")</f>
        <v/>
      </c>
      <c r="O5"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5" s="71" t="str">
        <f>IFERROR((tbl_Roll[[#This Row],[Adj. Total Hours]]+tbl_Roll[[#This Row],[Est. Hours]])/(tbl_Roll[[#This Row],[Total Hours Act]]+tbl_Roll[[#This Row],[Act. Hours]]),"")</f>
        <v/>
      </c>
      <c r="S5" s="63"/>
      <c r="T5" s="63"/>
      <c r="U5" s="63"/>
      <c r="V5" s="63"/>
      <c r="W5" s="63"/>
    </row>
    <row r="6" spans="1:23" ht="25" customHeight="1">
      <c r="F6" s="53"/>
      <c r="H6" s="55" t="e">
        <f>tbl_Roll[[#This Row],[Qty Complete]]/tbl_Roll[[#This Row],[Qty Required]]</f>
        <v>#DIV/0!</v>
      </c>
      <c r="K6" s="57" t="str">
        <f>IFERROR(tbl_Roll[[#This Row],[Qty Required]]/tbl_Roll[[#This Row],[PPH]]*tbl_Roll[[#This Row],['# of men]],"")</f>
        <v/>
      </c>
      <c r="L6" s="58" t="e">
        <f>tbl_Roll[[#This Row],[Total hours]]*tbl_Roll[[#This Row],[% Complete]]</f>
        <v>#VALUE!</v>
      </c>
      <c r="M6" s="59" t="str">
        <f>IFERROR(tbl_Roll[[#This Row],[Qty Complete]]/tbl_Roll[[#This Row],[Total Hours Act]]*tbl_Roll[[#This Row],['# of men Act]],"")</f>
        <v/>
      </c>
      <c r="O6"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6" s="71" t="str">
        <f>IFERROR((tbl_Roll[[#This Row],[Adj. Total Hours]]+tbl_Roll[[#This Row],[Est. Hours]])/(tbl_Roll[[#This Row],[Total Hours Act]]+tbl_Roll[[#This Row],[Act. Hours]]),"")</f>
        <v/>
      </c>
      <c r="S6" s="63"/>
      <c r="T6" s="63"/>
      <c r="U6" s="63"/>
      <c r="V6" s="63"/>
      <c r="W6" s="63"/>
    </row>
    <row r="7" spans="1:23" ht="25" customHeight="1">
      <c r="F7" s="53"/>
      <c r="H7" s="55" t="e">
        <f>tbl_Roll[[#This Row],[Qty Complete]]/tbl_Roll[[#This Row],[Qty Required]]</f>
        <v>#DIV/0!</v>
      </c>
      <c r="K7" s="57" t="str">
        <f>IFERROR(tbl_Roll[[#This Row],[Qty Required]]/tbl_Roll[[#This Row],[PPH]]*tbl_Roll[[#This Row],['# of men]],"")</f>
        <v/>
      </c>
      <c r="L7" s="58" t="e">
        <f>tbl_Roll[[#This Row],[Total hours]]*tbl_Roll[[#This Row],[% Complete]]</f>
        <v>#VALUE!</v>
      </c>
      <c r="M7" s="59" t="str">
        <f>IFERROR(tbl_Roll[[#This Row],[Qty Complete]]/tbl_Roll[[#This Row],[Total Hours Act]]*tbl_Roll[[#This Row],['# of men Act]],"")</f>
        <v/>
      </c>
      <c r="O7"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7" s="71" t="str">
        <f>IFERROR((tbl_Roll[[#This Row],[Adj. Total Hours]]+tbl_Roll[[#This Row],[Est. Hours]])/(tbl_Roll[[#This Row],[Total Hours Act]]+tbl_Roll[[#This Row],[Act. Hours]]),"")</f>
        <v/>
      </c>
      <c r="S7" s="63"/>
      <c r="T7" s="63"/>
      <c r="U7" s="63"/>
      <c r="V7" s="63"/>
      <c r="W7" s="63"/>
    </row>
    <row r="8" spans="1:23" ht="25" customHeight="1">
      <c r="F8" s="53"/>
      <c r="H8" s="55" t="e">
        <f>tbl_Roll[[#This Row],[Qty Complete]]/tbl_Roll[[#This Row],[Qty Required]]</f>
        <v>#DIV/0!</v>
      </c>
      <c r="K8" s="57" t="str">
        <f>IFERROR(tbl_Roll[[#This Row],[Qty Required]]/tbl_Roll[[#This Row],[PPH]]*tbl_Roll[[#This Row],['# of men]],"")</f>
        <v/>
      </c>
      <c r="L8" s="58" t="e">
        <f>tbl_Roll[[#This Row],[Total hours]]*tbl_Roll[[#This Row],[% Complete]]</f>
        <v>#VALUE!</v>
      </c>
      <c r="M8" s="59" t="str">
        <f>IFERROR(tbl_Roll[[#This Row],[Qty Complete]]/tbl_Roll[[#This Row],[Total Hours Act]]*tbl_Roll[[#This Row],['# of men Act]],"")</f>
        <v/>
      </c>
      <c r="O8"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8" s="71" t="str">
        <f>IFERROR((tbl_Roll[[#This Row],[Adj. Total Hours]]+tbl_Roll[[#This Row],[Est. Hours]])/(tbl_Roll[[#This Row],[Total Hours Act]]+tbl_Roll[[#This Row],[Act. Hours]]),"")</f>
        <v/>
      </c>
      <c r="S8" s="63"/>
      <c r="T8" s="63"/>
      <c r="U8" s="63"/>
      <c r="V8" s="63"/>
      <c r="W8" s="63"/>
    </row>
    <row r="9" spans="1:23" ht="25" customHeight="1">
      <c r="F9" s="53"/>
      <c r="H9" s="55" t="e">
        <f>tbl_Roll[[#This Row],[Qty Complete]]/tbl_Roll[[#This Row],[Qty Required]]</f>
        <v>#DIV/0!</v>
      </c>
      <c r="K9" s="57" t="str">
        <f>IFERROR(tbl_Roll[[#This Row],[Qty Required]]/tbl_Roll[[#This Row],[PPH]]*tbl_Roll[[#This Row],['# of men]],"")</f>
        <v/>
      </c>
      <c r="L9" s="58" t="e">
        <f>tbl_Roll[[#This Row],[Total hours]]*tbl_Roll[[#This Row],[% Complete]]</f>
        <v>#VALUE!</v>
      </c>
      <c r="M9" s="59" t="str">
        <f>IFERROR(tbl_Roll[[#This Row],[Qty Complete]]/tbl_Roll[[#This Row],[Total Hours Act]]*tbl_Roll[[#This Row],['# of men Act]],"")</f>
        <v/>
      </c>
      <c r="O9"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9" s="71" t="str">
        <f>IFERROR((tbl_Roll[[#This Row],[Adj. Total Hours]]+tbl_Roll[[#This Row],[Est. Hours]])/(tbl_Roll[[#This Row],[Total Hours Act]]+tbl_Roll[[#This Row],[Act. Hours]]),"")</f>
        <v/>
      </c>
      <c r="S9" s="63"/>
      <c r="T9" s="63"/>
      <c r="U9" s="63"/>
      <c r="V9" s="63"/>
      <c r="W9" s="63"/>
    </row>
    <row r="10" spans="1:23" ht="25" customHeight="1">
      <c r="F10" s="53"/>
      <c r="H10" s="55" t="e">
        <f>tbl_Roll[[#This Row],[Qty Complete]]/tbl_Roll[[#This Row],[Qty Required]]</f>
        <v>#DIV/0!</v>
      </c>
      <c r="K10" s="57" t="str">
        <f>IFERROR(tbl_Roll[[#This Row],[Qty Required]]/tbl_Roll[[#This Row],[PPH]]*tbl_Roll[[#This Row],['# of men]],"")</f>
        <v/>
      </c>
      <c r="L10" s="58" t="e">
        <f>tbl_Roll[[#This Row],[Total hours]]*tbl_Roll[[#This Row],[% Complete]]</f>
        <v>#VALUE!</v>
      </c>
      <c r="M10" s="59" t="str">
        <f>IFERROR(tbl_Roll[[#This Row],[Qty Complete]]/tbl_Roll[[#This Row],[Total Hours Act]]*tbl_Roll[[#This Row],['# of men Act]],"")</f>
        <v/>
      </c>
      <c r="O10"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0" s="71" t="str">
        <f>IFERROR((tbl_Roll[[#This Row],[Adj. Total Hours]]+tbl_Roll[[#This Row],[Est. Hours]])/(tbl_Roll[[#This Row],[Total Hours Act]]+tbl_Roll[[#This Row],[Act. Hours]]),"")</f>
        <v/>
      </c>
      <c r="S10" s="63"/>
      <c r="T10" s="63"/>
      <c r="U10" s="63"/>
      <c r="V10" s="63"/>
      <c r="W10" s="63"/>
    </row>
    <row r="11" spans="1:23" ht="25" customHeight="1">
      <c r="F11" s="53"/>
      <c r="H11" s="55" t="e">
        <f>tbl_Roll[[#This Row],[Qty Complete]]/tbl_Roll[[#This Row],[Qty Required]]</f>
        <v>#DIV/0!</v>
      </c>
      <c r="K11" s="57" t="str">
        <f>IFERROR(tbl_Roll[[#This Row],[Qty Required]]/tbl_Roll[[#This Row],[PPH]]*tbl_Roll[[#This Row],['# of men]],"")</f>
        <v/>
      </c>
      <c r="L11" s="58" t="e">
        <f>tbl_Roll[[#This Row],[Total hours]]*tbl_Roll[[#This Row],[% Complete]]</f>
        <v>#VALUE!</v>
      </c>
      <c r="M11" s="59" t="str">
        <f>IFERROR(tbl_Roll[[#This Row],[Qty Complete]]/tbl_Roll[[#This Row],[Total Hours Act]]*tbl_Roll[[#This Row],['# of men Act]],"")</f>
        <v/>
      </c>
      <c r="O11"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1" s="71" t="str">
        <f>IFERROR((tbl_Roll[[#This Row],[Adj. Total Hours]]+tbl_Roll[[#This Row],[Est. Hours]])/(tbl_Roll[[#This Row],[Total Hours Act]]+tbl_Roll[[#This Row],[Act. Hours]]),"")</f>
        <v/>
      </c>
      <c r="S11" s="63"/>
      <c r="T11" s="63"/>
      <c r="U11" s="63"/>
      <c r="V11" s="63"/>
      <c r="W11" s="63"/>
    </row>
    <row r="12" spans="1:23" ht="25" customHeight="1">
      <c r="F12" s="53"/>
      <c r="H12" s="55" t="e">
        <f>tbl_Roll[[#This Row],[Qty Complete]]/tbl_Roll[[#This Row],[Qty Required]]</f>
        <v>#DIV/0!</v>
      </c>
      <c r="K12" s="57" t="str">
        <f>IFERROR(tbl_Roll[[#This Row],[Qty Required]]/tbl_Roll[[#This Row],[PPH]]*tbl_Roll[[#This Row],['# of men]],"")</f>
        <v/>
      </c>
      <c r="L12" s="58" t="e">
        <f>tbl_Roll[[#This Row],[Total hours]]*tbl_Roll[[#This Row],[% Complete]]</f>
        <v>#VALUE!</v>
      </c>
      <c r="M12" s="59" t="str">
        <f>IFERROR(tbl_Roll[[#This Row],[Qty Complete]]/tbl_Roll[[#This Row],[Total Hours Act]]*tbl_Roll[[#This Row],['# of men Act]],"")</f>
        <v/>
      </c>
      <c r="O12"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2" s="71" t="str">
        <f>IFERROR((tbl_Roll[[#This Row],[Adj. Total Hours]]+tbl_Roll[[#This Row],[Est. Hours]])/(tbl_Roll[[#This Row],[Total Hours Act]]+tbl_Roll[[#This Row],[Act. Hours]]),"")</f>
        <v/>
      </c>
      <c r="S12" s="63"/>
      <c r="T12" s="63"/>
      <c r="U12" s="63"/>
      <c r="V12" s="63"/>
      <c r="W12" s="63"/>
    </row>
    <row r="13" spans="1:23" ht="25" customHeight="1">
      <c r="F13" s="53"/>
      <c r="H13" s="55" t="e">
        <f>tbl_Roll[[#This Row],[Qty Complete]]/tbl_Roll[[#This Row],[Qty Required]]</f>
        <v>#DIV/0!</v>
      </c>
      <c r="K13" s="57" t="str">
        <f>IFERROR(tbl_Roll[[#This Row],[Qty Required]]/tbl_Roll[[#This Row],[PPH]]*tbl_Roll[[#This Row],['# of men]],"")</f>
        <v/>
      </c>
      <c r="L13" s="58" t="e">
        <f>tbl_Roll[[#This Row],[Total hours]]*tbl_Roll[[#This Row],[% Complete]]</f>
        <v>#VALUE!</v>
      </c>
      <c r="M13" s="59" t="str">
        <f>IFERROR(tbl_Roll[[#This Row],[Qty Complete]]/tbl_Roll[[#This Row],[Total Hours Act]]*tbl_Roll[[#This Row],['# of men Act]],"")</f>
        <v/>
      </c>
      <c r="O13"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3" s="71" t="str">
        <f>IFERROR((tbl_Roll[[#This Row],[Adj. Total Hours]]+tbl_Roll[[#This Row],[Est. Hours]])/(tbl_Roll[[#This Row],[Total Hours Act]]+tbl_Roll[[#This Row],[Act. Hours]]),"")</f>
        <v/>
      </c>
      <c r="S13" s="63"/>
      <c r="T13" s="63"/>
      <c r="U13" s="63"/>
      <c r="V13" s="63"/>
      <c r="W13" s="63"/>
    </row>
    <row r="14" spans="1:23" ht="25" customHeight="1">
      <c r="F14" s="53"/>
      <c r="H14" s="55" t="e">
        <f>tbl_Roll[[#This Row],[Qty Complete]]/tbl_Roll[[#This Row],[Qty Required]]</f>
        <v>#DIV/0!</v>
      </c>
      <c r="K14" s="57" t="str">
        <f>IFERROR(tbl_Roll[[#This Row],[Qty Required]]/tbl_Roll[[#This Row],[PPH]]*tbl_Roll[[#This Row],['# of men]],"")</f>
        <v/>
      </c>
      <c r="L14" s="58" t="e">
        <f>tbl_Roll[[#This Row],[Total hours]]*tbl_Roll[[#This Row],[% Complete]]</f>
        <v>#VALUE!</v>
      </c>
      <c r="M14" s="59" t="str">
        <f>IFERROR(tbl_Roll[[#This Row],[Qty Complete]]/tbl_Roll[[#This Row],[Total Hours Act]]*tbl_Roll[[#This Row],['# of men Act]],"")</f>
        <v/>
      </c>
      <c r="O14"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4" s="71" t="str">
        <f>IFERROR((tbl_Roll[[#This Row],[Adj. Total Hours]]+tbl_Roll[[#This Row],[Est. Hours]])/(tbl_Roll[[#This Row],[Total Hours Act]]+tbl_Roll[[#This Row],[Act. Hours]]),"")</f>
        <v/>
      </c>
      <c r="S14" s="63"/>
      <c r="T14" s="63"/>
      <c r="U14" s="63"/>
      <c r="V14" s="63"/>
      <c r="W14" s="63"/>
    </row>
    <row r="15" spans="1:23" ht="25" customHeight="1">
      <c r="F15" s="53"/>
      <c r="H15" s="55" t="e">
        <f>tbl_Roll[[#This Row],[Qty Complete]]/tbl_Roll[[#This Row],[Qty Required]]</f>
        <v>#DIV/0!</v>
      </c>
      <c r="K15" s="57" t="str">
        <f>IFERROR(tbl_Roll[[#This Row],[Qty Required]]/tbl_Roll[[#This Row],[PPH]]*tbl_Roll[[#This Row],['# of men]],"")</f>
        <v/>
      </c>
      <c r="L15" s="58" t="e">
        <f>tbl_Roll[[#This Row],[Total hours]]*tbl_Roll[[#This Row],[% Complete]]</f>
        <v>#VALUE!</v>
      </c>
      <c r="M15" s="59" t="str">
        <f>IFERROR(tbl_Roll[[#This Row],[Qty Complete]]/tbl_Roll[[#This Row],[Total Hours Act]]*tbl_Roll[[#This Row],['# of men Act]],"")</f>
        <v/>
      </c>
      <c r="O15"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5" s="71" t="str">
        <f>IFERROR((tbl_Roll[[#This Row],[Adj. Total Hours]]+tbl_Roll[[#This Row],[Est. Hours]])/(tbl_Roll[[#This Row],[Total Hours Act]]+tbl_Roll[[#This Row],[Act. Hours]]),"")</f>
        <v/>
      </c>
      <c r="S15" s="63"/>
      <c r="T15" s="63"/>
      <c r="U15" s="63"/>
      <c r="V15" s="63"/>
      <c r="W15" s="63"/>
    </row>
    <row r="16" spans="1:23" ht="25" customHeight="1">
      <c r="F16" s="53"/>
      <c r="H16" s="55" t="e">
        <f>tbl_Roll[[#This Row],[Qty Complete]]/tbl_Roll[[#This Row],[Qty Required]]</f>
        <v>#DIV/0!</v>
      </c>
      <c r="K16" s="57" t="str">
        <f>IFERROR(tbl_Roll[[#This Row],[Qty Required]]/tbl_Roll[[#This Row],[PPH]]*tbl_Roll[[#This Row],['# of men]],"")</f>
        <v/>
      </c>
      <c r="L16" s="58" t="e">
        <f>tbl_Roll[[#This Row],[Total hours]]*tbl_Roll[[#This Row],[% Complete]]</f>
        <v>#VALUE!</v>
      </c>
      <c r="M16" s="59" t="str">
        <f>IFERROR(tbl_Roll[[#This Row],[Qty Complete]]/tbl_Roll[[#This Row],[Total Hours Act]]*tbl_Roll[[#This Row],['# of men Act]],"")</f>
        <v/>
      </c>
      <c r="O16"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6" s="71" t="str">
        <f>IFERROR((tbl_Roll[[#This Row],[Adj. Total Hours]]+tbl_Roll[[#This Row],[Est. Hours]])/(tbl_Roll[[#This Row],[Total Hours Act]]+tbl_Roll[[#This Row],[Act. Hours]]),"")</f>
        <v/>
      </c>
      <c r="S16" s="63"/>
      <c r="T16" s="63"/>
      <c r="U16" s="63"/>
      <c r="V16" s="63"/>
      <c r="W16" s="63"/>
    </row>
    <row r="17" spans="6:23" ht="25" customHeight="1">
      <c r="F17" s="53"/>
      <c r="H17" s="55" t="e">
        <f>tbl_Roll[[#This Row],[Qty Complete]]/tbl_Roll[[#This Row],[Qty Required]]</f>
        <v>#DIV/0!</v>
      </c>
      <c r="K17" s="57" t="str">
        <f>IFERROR(tbl_Roll[[#This Row],[Qty Required]]/tbl_Roll[[#This Row],[PPH]]*tbl_Roll[[#This Row],['# of men]],"")</f>
        <v/>
      </c>
      <c r="L17" s="58" t="e">
        <f>tbl_Roll[[#This Row],[Total hours]]*tbl_Roll[[#This Row],[% Complete]]</f>
        <v>#VALUE!</v>
      </c>
      <c r="M17" s="59" t="str">
        <f>IFERROR(tbl_Roll[[#This Row],[Qty Complete]]/tbl_Roll[[#This Row],[Total Hours Act]]*tbl_Roll[[#This Row],['# of men Act]],"")</f>
        <v/>
      </c>
      <c r="O17"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7" s="71" t="str">
        <f>IFERROR((tbl_Roll[[#This Row],[Adj. Total Hours]]+tbl_Roll[[#This Row],[Est. Hours]])/(tbl_Roll[[#This Row],[Total Hours Act]]+tbl_Roll[[#This Row],[Act. Hours]]),"")</f>
        <v/>
      </c>
      <c r="S17" s="63"/>
      <c r="T17" s="63"/>
      <c r="U17" s="63"/>
      <c r="V17" s="63"/>
      <c r="W17" s="63"/>
    </row>
    <row r="18" spans="6:23" ht="25" customHeight="1">
      <c r="F18" s="53"/>
      <c r="H18" s="55" t="e">
        <f>tbl_Roll[[#This Row],[Qty Complete]]/tbl_Roll[[#This Row],[Qty Required]]</f>
        <v>#DIV/0!</v>
      </c>
      <c r="K18" s="57" t="str">
        <f>IFERROR(tbl_Roll[[#This Row],[Qty Required]]/tbl_Roll[[#This Row],[PPH]]*tbl_Roll[[#This Row],['# of men]],"")</f>
        <v/>
      </c>
      <c r="L18" s="58" t="e">
        <f>tbl_Roll[[#This Row],[Total hours]]*tbl_Roll[[#This Row],[% Complete]]</f>
        <v>#VALUE!</v>
      </c>
      <c r="M18" s="59" t="str">
        <f>IFERROR(tbl_Roll[[#This Row],[Qty Complete]]/tbl_Roll[[#This Row],[Total Hours Act]]*tbl_Roll[[#This Row],['# of men Act]],"")</f>
        <v/>
      </c>
      <c r="O18"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8" s="71" t="str">
        <f>IFERROR((tbl_Roll[[#This Row],[Adj. Total Hours]]+tbl_Roll[[#This Row],[Est. Hours]])/(tbl_Roll[[#This Row],[Total Hours Act]]+tbl_Roll[[#This Row],[Act. Hours]]),"")</f>
        <v/>
      </c>
      <c r="S18" s="63"/>
      <c r="T18" s="63"/>
      <c r="U18" s="63"/>
      <c r="V18" s="63"/>
      <c r="W18" s="63"/>
    </row>
    <row r="19" spans="6:23" ht="25" customHeight="1">
      <c r="F19" s="53"/>
      <c r="H19" s="55" t="e">
        <f>tbl_Roll[[#This Row],[Qty Complete]]/tbl_Roll[[#This Row],[Qty Required]]</f>
        <v>#DIV/0!</v>
      </c>
      <c r="K19" s="57" t="str">
        <f>IFERROR(tbl_Roll[[#This Row],[Qty Required]]/tbl_Roll[[#This Row],[PPH]]*tbl_Roll[[#This Row],['# of men]],"")</f>
        <v/>
      </c>
      <c r="L19" s="58" t="e">
        <f>tbl_Roll[[#This Row],[Total hours]]*tbl_Roll[[#This Row],[% Complete]]</f>
        <v>#VALUE!</v>
      </c>
      <c r="M19" s="59" t="str">
        <f>IFERROR(tbl_Roll[[#This Row],[Qty Complete]]/tbl_Roll[[#This Row],[Total Hours Act]]*tbl_Roll[[#This Row],['# of men Act]],"")</f>
        <v/>
      </c>
      <c r="O19"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9" s="71" t="str">
        <f>IFERROR((tbl_Roll[[#This Row],[Adj. Total Hours]]+tbl_Roll[[#This Row],[Est. Hours]])/(tbl_Roll[[#This Row],[Total Hours Act]]+tbl_Roll[[#This Row],[Act. Hours]]),"")</f>
        <v/>
      </c>
      <c r="S19" s="63"/>
      <c r="T19" s="63"/>
      <c r="U19" s="63"/>
      <c r="V19" s="63"/>
      <c r="W19" s="63"/>
    </row>
    <row r="20" spans="6:23" ht="25" customHeight="1">
      <c r="F20" s="53"/>
      <c r="H20" s="55" t="e">
        <f>tbl_Roll[[#This Row],[Qty Complete]]/tbl_Roll[[#This Row],[Qty Required]]</f>
        <v>#DIV/0!</v>
      </c>
      <c r="K20" s="57" t="str">
        <f>IFERROR(tbl_Roll[[#This Row],[Qty Required]]/tbl_Roll[[#This Row],[PPH]]*tbl_Roll[[#This Row],['# of men]],"")</f>
        <v/>
      </c>
      <c r="L20" s="58" t="e">
        <f>tbl_Roll[[#This Row],[Total hours]]*tbl_Roll[[#This Row],[% Complete]]</f>
        <v>#VALUE!</v>
      </c>
      <c r="M20" s="59" t="str">
        <f>IFERROR(tbl_Roll[[#This Row],[Qty Complete]]/tbl_Roll[[#This Row],[Total Hours Act]]*tbl_Roll[[#This Row],['# of men Act]],"")</f>
        <v/>
      </c>
      <c r="O20"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0" s="71" t="str">
        <f>IFERROR((tbl_Roll[[#This Row],[Adj. Total Hours]]+tbl_Roll[[#This Row],[Est. Hours]])/(tbl_Roll[[#This Row],[Total Hours Act]]+tbl_Roll[[#This Row],[Act. Hours]]),"")</f>
        <v/>
      </c>
      <c r="S20" s="63"/>
      <c r="T20" s="63"/>
      <c r="U20" s="63"/>
      <c r="V20" s="63"/>
      <c r="W20" s="63"/>
    </row>
    <row r="21" spans="6:23" ht="25" customHeight="1">
      <c r="F21" s="53"/>
      <c r="H21" s="55" t="e">
        <f>tbl_Roll[[#This Row],[Qty Complete]]/tbl_Roll[[#This Row],[Qty Required]]</f>
        <v>#DIV/0!</v>
      </c>
      <c r="K21" s="57" t="str">
        <f>IFERROR(tbl_Roll[[#This Row],[Qty Required]]/tbl_Roll[[#This Row],[PPH]]*tbl_Roll[[#This Row],['# of men]],"")</f>
        <v/>
      </c>
      <c r="L21" s="58" t="e">
        <f>tbl_Roll[[#This Row],[Total hours]]*tbl_Roll[[#This Row],[% Complete]]</f>
        <v>#VALUE!</v>
      </c>
      <c r="M21" s="59" t="str">
        <f>IFERROR(tbl_Roll[[#This Row],[Qty Complete]]/tbl_Roll[[#This Row],[Total Hours Act]]*tbl_Roll[[#This Row],['# of men Act]],"")</f>
        <v/>
      </c>
      <c r="O21"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1" s="71" t="str">
        <f>IFERROR((tbl_Roll[[#This Row],[Adj. Total Hours]]+tbl_Roll[[#This Row],[Est. Hours]])/(tbl_Roll[[#This Row],[Total Hours Act]]+tbl_Roll[[#This Row],[Act. Hours]]),"")</f>
        <v/>
      </c>
      <c r="S21" s="63"/>
      <c r="T21" s="63"/>
      <c r="U21" s="63"/>
      <c r="V21" s="63"/>
      <c r="W21" s="63"/>
    </row>
    <row r="22" spans="6:23" ht="25" customHeight="1">
      <c r="F22" s="53"/>
      <c r="H22" s="55" t="e">
        <f>tbl_Roll[[#This Row],[Qty Complete]]/tbl_Roll[[#This Row],[Qty Required]]</f>
        <v>#DIV/0!</v>
      </c>
      <c r="K22" s="57" t="str">
        <f>IFERROR(tbl_Roll[[#This Row],[Qty Required]]/tbl_Roll[[#This Row],[PPH]]*tbl_Roll[[#This Row],['# of men]],"")</f>
        <v/>
      </c>
      <c r="L22" s="58" t="e">
        <f>tbl_Roll[[#This Row],[Total hours]]*tbl_Roll[[#This Row],[% Complete]]</f>
        <v>#VALUE!</v>
      </c>
      <c r="M22" s="59" t="str">
        <f>IFERROR(tbl_Roll[[#This Row],[Qty Complete]]/tbl_Roll[[#This Row],[Total Hours Act]]*tbl_Roll[[#This Row],['# of men Act]],"")</f>
        <v/>
      </c>
      <c r="O22"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2" s="71" t="str">
        <f>IFERROR((tbl_Roll[[#This Row],[Adj. Total Hours]]+tbl_Roll[[#This Row],[Est. Hours]])/(tbl_Roll[[#This Row],[Total Hours Act]]+tbl_Roll[[#This Row],[Act. Hours]]),"")</f>
        <v/>
      </c>
      <c r="S22" s="63"/>
      <c r="T22" s="63"/>
      <c r="U22" s="63"/>
      <c r="V22" s="63"/>
      <c r="W22" s="63"/>
    </row>
    <row r="23" spans="6:23" ht="25" customHeight="1">
      <c r="F23" s="53"/>
      <c r="H23" s="55" t="e">
        <f>tbl_Roll[[#This Row],[Qty Complete]]/tbl_Roll[[#This Row],[Qty Required]]</f>
        <v>#DIV/0!</v>
      </c>
      <c r="K23" s="57" t="str">
        <f>IFERROR(tbl_Roll[[#This Row],[Qty Required]]/tbl_Roll[[#This Row],[PPH]]*tbl_Roll[[#This Row],['# of men]],"")</f>
        <v/>
      </c>
      <c r="L23" s="58" t="e">
        <f>tbl_Roll[[#This Row],[Total hours]]*tbl_Roll[[#This Row],[% Complete]]</f>
        <v>#VALUE!</v>
      </c>
      <c r="M23" s="59" t="str">
        <f>IFERROR(tbl_Roll[[#This Row],[Qty Complete]]/tbl_Roll[[#This Row],[Total Hours Act]]*tbl_Roll[[#This Row],['# of men Act]],"")</f>
        <v/>
      </c>
      <c r="O23"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3" s="71" t="str">
        <f>IFERROR((tbl_Roll[[#This Row],[Adj. Total Hours]]+tbl_Roll[[#This Row],[Est. Hours]])/(tbl_Roll[[#This Row],[Total Hours Act]]+tbl_Roll[[#This Row],[Act. Hours]]),"")</f>
        <v/>
      </c>
      <c r="S23" s="63"/>
      <c r="T23" s="63"/>
      <c r="U23" s="63"/>
      <c r="V23" s="63"/>
      <c r="W23" s="63"/>
    </row>
    <row r="24" spans="6:23" ht="25" customHeight="1">
      <c r="F24" s="53"/>
      <c r="H24" s="55" t="e">
        <f>tbl_Roll[[#This Row],[Qty Complete]]/tbl_Roll[[#This Row],[Qty Required]]</f>
        <v>#DIV/0!</v>
      </c>
      <c r="K24" s="57" t="str">
        <f>IFERROR(tbl_Roll[[#This Row],[Qty Required]]/tbl_Roll[[#This Row],[PPH]]*tbl_Roll[[#This Row],['# of men]],"")</f>
        <v/>
      </c>
      <c r="L24" s="58" t="e">
        <f>tbl_Roll[[#This Row],[Total hours]]*tbl_Roll[[#This Row],[% Complete]]</f>
        <v>#VALUE!</v>
      </c>
      <c r="M24" s="59" t="str">
        <f>IFERROR(tbl_Roll[[#This Row],[Qty Complete]]/tbl_Roll[[#This Row],[Total Hours Act]]*tbl_Roll[[#This Row],['# of men Act]],"")</f>
        <v/>
      </c>
      <c r="O24"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4" s="71" t="str">
        <f>IFERROR((tbl_Roll[[#This Row],[Adj. Total Hours]]+tbl_Roll[[#This Row],[Est. Hours]])/(tbl_Roll[[#This Row],[Total Hours Act]]+tbl_Roll[[#This Row],[Act. Hours]]),"")</f>
        <v/>
      </c>
      <c r="S24" s="63"/>
      <c r="T24" s="63"/>
      <c r="U24" s="63"/>
      <c r="V24" s="63"/>
      <c r="W24" s="63"/>
    </row>
    <row r="25" spans="6:23" ht="25" customHeight="1">
      <c r="F25" s="53"/>
      <c r="H25" s="55" t="e">
        <f>tbl_Roll[[#This Row],[Qty Complete]]/tbl_Roll[[#This Row],[Qty Required]]</f>
        <v>#DIV/0!</v>
      </c>
      <c r="K25" s="57" t="str">
        <f>IFERROR(tbl_Roll[[#This Row],[Qty Required]]/tbl_Roll[[#This Row],[PPH]]*tbl_Roll[[#This Row],['# of men]],"")</f>
        <v/>
      </c>
      <c r="L25" s="58" t="e">
        <f>tbl_Roll[[#This Row],[Total hours]]*tbl_Roll[[#This Row],[% Complete]]</f>
        <v>#VALUE!</v>
      </c>
      <c r="M25" s="59" t="str">
        <f>IFERROR(tbl_Roll[[#This Row],[Qty Complete]]/tbl_Roll[[#This Row],[Total Hours Act]]*tbl_Roll[[#This Row],['# of men Act]],"")</f>
        <v/>
      </c>
      <c r="O25"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5" s="71" t="str">
        <f>IFERROR((tbl_Roll[[#This Row],[Adj. Total Hours]]+tbl_Roll[[#This Row],[Est. Hours]])/(tbl_Roll[[#This Row],[Total Hours Act]]+tbl_Roll[[#This Row],[Act. Hours]]),"")</f>
        <v/>
      </c>
      <c r="S25" s="63"/>
      <c r="T25" s="63"/>
      <c r="U25" s="63"/>
      <c r="V25" s="63"/>
      <c r="W25" s="63"/>
    </row>
    <row r="26" spans="6:23" ht="25" customHeight="1">
      <c r="F26" s="53"/>
      <c r="H26" s="55" t="e">
        <f>tbl_Roll[[#This Row],[Qty Complete]]/tbl_Roll[[#This Row],[Qty Required]]</f>
        <v>#DIV/0!</v>
      </c>
      <c r="K26" s="57" t="str">
        <f>IFERROR(tbl_Roll[[#This Row],[Qty Required]]/tbl_Roll[[#This Row],[PPH]]*tbl_Roll[[#This Row],['# of men]],"")</f>
        <v/>
      </c>
      <c r="L26" s="58" t="e">
        <f>tbl_Roll[[#This Row],[Total hours]]*tbl_Roll[[#This Row],[% Complete]]</f>
        <v>#VALUE!</v>
      </c>
      <c r="M26" s="59" t="str">
        <f>IFERROR(tbl_Roll[[#This Row],[Qty Complete]]/tbl_Roll[[#This Row],[Total Hours Act]]*tbl_Roll[[#This Row],['# of men Act]],"")</f>
        <v/>
      </c>
      <c r="O26"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6" s="71" t="str">
        <f>IFERROR((tbl_Roll[[#This Row],[Adj. Total Hours]]+tbl_Roll[[#This Row],[Est. Hours]])/(tbl_Roll[[#This Row],[Total Hours Act]]+tbl_Roll[[#This Row],[Act. Hours]]),"")</f>
        <v/>
      </c>
      <c r="S26" s="63"/>
      <c r="T26" s="63"/>
      <c r="U26" s="63"/>
      <c r="V26" s="63"/>
      <c r="W26" s="63"/>
    </row>
    <row r="27" spans="6:23" ht="25" customHeight="1">
      <c r="F27" s="53"/>
      <c r="H27" s="55" t="e">
        <f>tbl_Roll[[#This Row],[Qty Complete]]/tbl_Roll[[#This Row],[Qty Required]]</f>
        <v>#DIV/0!</v>
      </c>
      <c r="K27" s="57" t="str">
        <f>IFERROR(tbl_Roll[[#This Row],[Qty Required]]/tbl_Roll[[#This Row],[PPH]]*tbl_Roll[[#This Row],['# of men]],"")</f>
        <v/>
      </c>
      <c r="L27" s="58" t="e">
        <f>tbl_Roll[[#This Row],[Total hours]]*tbl_Roll[[#This Row],[% Complete]]</f>
        <v>#VALUE!</v>
      </c>
      <c r="M27" s="59" t="str">
        <f>IFERROR(tbl_Roll[[#This Row],[Qty Complete]]/tbl_Roll[[#This Row],[Total Hours Act]]*tbl_Roll[[#This Row],['# of men Act]],"")</f>
        <v/>
      </c>
      <c r="O27"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7" s="71" t="str">
        <f>IFERROR((tbl_Roll[[#This Row],[Adj. Total Hours]]+tbl_Roll[[#This Row],[Est. Hours]])/(tbl_Roll[[#This Row],[Total Hours Act]]+tbl_Roll[[#This Row],[Act. Hours]]),"")</f>
        <v/>
      </c>
      <c r="S27" s="63"/>
      <c r="T27" s="63"/>
      <c r="U27" s="63"/>
      <c r="V27" s="63"/>
      <c r="W27" s="63"/>
    </row>
    <row r="28" spans="6:23" ht="25" customHeight="1">
      <c r="F28" s="53"/>
      <c r="H28" s="55" t="e">
        <f>tbl_Roll[[#This Row],[Qty Complete]]/tbl_Roll[[#This Row],[Qty Required]]</f>
        <v>#DIV/0!</v>
      </c>
      <c r="K28" s="57" t="str">
        <f>IFERROR(tbl_Roll[[#This Row],[Qty Required]]/tbl_Roll[[#This Row],[PPH]]*tbl_Roll[[#This Row],['# of men]],"")</f>
        <v/>
      </c>
      <c r="L28" s="58" t="e">
        <f>tbl_Roll[[#This Row],[Total hours]]*tbl_Roll[[#This Row],[% Complete]]</f>
        <v>#VALUE!</v>
      </c>
      <c r="M28" s="59" t="str">
        <f>IFERROR(tbl_Roll[[#This Row],[Qty Complete]]/tbl_Roll[[#This Row],[Total Hours Act]]*tbl_Roll[[#This Row],['# of men Act]],"")</f>
        <v/>
      </c>
      <c r="O28"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8" s="71" t="str">
        <f>IFERROR((tbl_Roll[[#This Row],[Adj. Total Hours]]+tbl_Roll[[#This Row],[Est. Hours]])/(tbl_Roll[[#This Row],[Total Hours Act]]+tbl_Roll[[#This Row],[Act. Hours]]),"")</f>
        <v/>
      </c>
      <c r="S28" s="63"/>
      <c r="T28" s="63"/>
      <c r="U28" s="63"/>
      <c r="V28" s="63"/>
      <c r="W28" s="63"/>
    </row>
    <row r="29" spans="6:23" ht="25" customHeight="1">
      <c r="F29" s="53"/>
      <c r="H29" s="55" t="e">
        <f>tbl_Roll[[#This Row],[Qty Complete]]/tbl_Roll[[#This Row],[Qty Required]]</f>
        <v>#DIV/0!</v>
      </c>
      <c r="K29" s="57" t="str">
        <f>IFERROR(tbl_Roll[[#This Row],[Qty Required]]/tbl_Roll[[#This Row],[PPH]]*tbl_Roll[[#This Row],['# of men]],"")</f>
        <v/>
      </c>
      <c r="L29" s="58" t="e">
        <f>tbl_Roll[[#This Row],[Total hours]]*tbl_Roll[[#This Row],[% Complete]]</f>
        <v>#VALUE!</v>
      </c>
      <c r="M29" s="59" t="str">
        <f>IFERROR(tbl_Roll[[#This Row],[Qty Complete]]/tbl_Roll[[#This Row],[Total Hours Act]]*tbl_Roll[[#This Row],['# of men Act]],"")</f>
        <v/>
      </c>
      <c r="O29"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9" s="71" t="str">
        <f>IFERROR((tbl_Roll[[#This Row],[Adj. Total Hours]]+tbl_Roll[[#This Row],[Est. Hours]])/(tbl_Roll[[#This Row],[Total Hours Act]]+tbl_Roll[[#This Row],[Act. Hours]]),"")</f>
        <v/>
      </c>
      <c r="S29" s="63"/>
      <c r="T29" s="63"/>
      <c r="U29" s="63"/>
      <c r="V29" s="63"/>
      <c r="W29" s="63"/>
    </row>
    <row r="30" spans="6:23" ht="25" customHeight="1">
      <c r="F30" s="53"/>
      <c r="H30" s="55" t="e">
        <f>tbl_Roll[[#This Row],[Qty Complete]]/tbl_Roll[[#This Row],[Qty Required]]</f>
        <v>#DIV/0!</v>
      </c>
      <c r="K30" s="57" t="str">
        <f>IFERROR(tbl_Roll[[#This Row],[Qty Required]]/tbl_Roll[[#This Row],[PPH]]*tbl_Roll[[#This Row],['# of men]],"")</f>
        <v/>
      </c>
      <c r="L30" s="58" t="e">
        <f>tbl_Roll[[#This Row],[Total hours]]*tbl_Roll[[#This Row],[% Complete]]</f>
        <v>#VALUE!</v>
      </c>
      <c r="M30" s="59" t="str">
        <f>IFERROR(tbl_Roll[[#This Row],[Qty Complete]]/tbl_Roll[[#This Row],[Total Hours Act]]*tbl_Roll[[#This Row],['# of men Act]],"")</f>
        <v/>
      </c>
      <c r="O30"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30" s="71" t="str">
        <f>IFERROR((tbl_Roll[[#This Row],[Adj. Total Hours]]+tbl_Roll[[#This Row],[Est. Hours]])/(tbl_Roll[[#This Row],[Total Hours Act]]+tbl_Roll[[#This Row],[Act. Hours]]),"")</f>
        <v/>
      </c>
      <c r="S30" s="63"/>
      <c r="T30" s="63"/>
      <c r="U30" s="63"/>
      <c r="V30" s="63"/>
      <c r="W30" s="63"/>
    </row>
    <row r="31" spans="6:23" ht="25" customHeight="1">
      <c r="F31" s="53"/>
      <c r="H31" s="55" t="e">
        <f>tbl_Roll[[#This Row],[Qty Complete]]/tbl_Roll[[#This Row],[Qty Required]]</f>
        <v>#DIV/0!</v>
      </c>
      <c r="K31" s="57" t="str">
        <f>IFERROR(tbl_Roll[[#This Row],[Qty Required]]/tbl_Roll[[#This Row],[PPH]]*tbl_Roll[[#This Row],['# of men]],"")</f>
        <v/>
      </c>
      <c r="L31" s="58" t="e">
        <f>tbl_Roll[[#This Row],[Total hours]]*tbl_Roll[[#This Row],[% Complete]]</f>
        <v>#VALUE!</v>
      </c>
      <c r="M31" s="59" t="str">
        <f>IFERROR(tbl_Roll[[#This Row],[Qty Complete]]/tbl_Roll[[#This Row],[Total Hours Act]]*tbl_Roll[[#This Row],['# of men Act]],"")</f>
        <v/>
      </c>
      <c r="O31"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31" s="71" t="str">
        <f>IFERROR((tbl_Roll[[#This Row],[Adj. Total Hours]]+tbl_Roll[[#This Row],[Est. Hours]])/(tbl_Roll[[#This Row],[Total Hours Act]]+tbl_Roll[[#This Row],[Act. Hours]]),"")</f>
        <v/>
      </c>
      <c r="S31" s="63"/>
      <c r="T31" s="63"/>
      <c r="U31" s="63"/>
      <c r="V31" s="63"/>
      <c r="W31" s="63"/>
    </row>
    <row r="32" spans="6:23" ht="25" customHeight="1">
      <c r="F32" s="53"/>
      <c r="H32" s="55" t="e">
        <f>tbl_Roll[[#This Row],[Qty Complete]]/tbl_Roll[[#This Row],[Qty Required]]</f>
        <v>#DIV/0!</v>
      </c>
      <c r="K32" s="57" t="str">
        <f>IFERROR(tbl_Roll[[#This Row],[Qty Required]]/tbl_Roll[[#This Row],[PPH]]*tbl_Roll[[#This Row],['# of men]],"")</f>
        <v/>
      </c>
      <c r="L32" s="58" t="e">
        <f>tbl_Roll[[#This Row],[Total hours]]*tbl_Roll[[#This Row],[% Complete]]</f>
        <v>#VALUE!</v>
      </c>
      <c r="M32" s="59" t="str">
        <f>IFERROR(tbl_Roll[[#This Row],[Qty Complete]]/tbl_Roll[[#This Row],[Total Hours Act]]*tbl_Roll[[#This Row],['# of men Act]],"")</f>
        <v/>
      </c>
      <c r="O32"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32" s="71" t="str">
        <f>IFERROR((tbl_Roll[[#This Row],[Adj. Total Hours]]+tbl_Roll[[#This Row],[Est. Hours]])/(tbl_Roll[[#This Row],[Total Hours Act]]+tbl_Roll[[#This Row],[Act. Hours]]),"")</f>
        <v/>
      </c>
      <c r="S32" s="63"/>
      <c r="T32" s="63"/>
      <c r="U32" s="63"/>
      <c r="V32" s="63"/>
      <c r="W32" s="63"/>
    </row>
    <row r="33" spans="6:23" ht="25" customHeight="1">
      <c r="F33" s="53"/>
      <c r="H33" s="55" t="e">
        <f>tbl_Roll[[#This Row],[Qty Complete]]/tbl_Roll[[#This Row],[Qty Required]]</f>
        <v>#DIV/0!</v>
      </c>
      <c r="K33" s="57" t="str">
        <f>IFERROR(tbl_Roll[[#This Row],[Qty Required]]/tbl_Roll[[#This Row],[PPH]]*tbl_Roll[[#This Row],['# of men]],"")</f>
        <v/>
      </c>
      <c r="L33" s="58" t="e">
        <f>tbl_Roll[[#This Row],[Total hours]]*tbl_Roll[[#This Row],[% Complete]]</f>
        <v>#VALUE!</v>
      </c>
      <c r="M33" s="59" t="str">
        <f>IFERROR(tbl_Roll[[#This Row],[Qty Complete]]/tbl_Roll[[#This Row],[Total Hours Act]]*tbl_Roll[[#This Row],['# of men Act]],"")</f>
        <v/>
      </c>
      <c r="O33"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33" s="71" t="str">
        <f>IFERROR((tbl_Roll[[#This Row],[Adj. Total Hours]]+tbl_Roll[[#This Row],[Est. Hours]])/(tbl_Roll[[#This Row],[Total Hours Act]]+tbl_Roll[[#This Row],[Act. Hours]]),"")</f>
        <v/>
      </c>
      <c r="S33" s="63"/>
      <c r="T33" s="63"/>
      <c r="U33" s="63"/>
      <c r="V33" s="63"/>
      <c r="W33" s="63"/>
    </row>
    <row r="34" spans="6:23" ht="25" customHeight="1">
      <c r="F34" s="53"/>
      <c r="H34" s="55" t="e">
        <f>tbl_Roll[[#This Row],[Qty Complete]]/tbl_Roll[[#This Row],[Qty Required]]</f>
        <v>#DIV/0!</v>
      </c>
      <c r="K34" s="57" t="str">
        <f>IFERROR(tbl_Roll[[#This Row],[Qty Required]]/tbl_Roll[[#This Row],[PPH]]*tbl_Roll[[#This Row],['# of men]],"")</f>
        <v/>
      </c>
      <c r="L34" s="58" t="e">
        <f>tbl_Roll[[#This Row],[Total hours]]*tbl_Roll[[#This Row],[% Complete]]</f>
        <v>#VALUE!</v>
      </c>
      <c r="M34" s="59" t="str">
        <f>IFERROR(tbl_Roll[[#This Row],[Qty Complete]]/tbl_Roll[[#This Row],[Total Hours Act]]*tbl_Roll[[#This Row],['# of men Act]],"")</f>
        <v/>
      </c>
      <c r="O34"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34" s="71" t="str">
        <f>IFERROR((tbl_Roll[[#This Row],[Adj. Total Hours]]+tbl_Roll[[#This Row],[Est. Hours]])/(tbl_Roll[[#This Row],[Total Hours Act]]+tbl_Roll[[#This Row],[Act. Hours]]),"")</f>
        <v/>
      </c>
      <c r="S34" s="63"/>
      <c r="T34" s="63"/>
      <c r="U34" s="63"/>
      <c r="V34" s="63"/>
      <c r="W34" s="63"/>
    </row>
    <row r="35" spans="6:23" ht="25" customHeight="1">
      <c r="F35" s="53"/>
      <c r="H35" s="55" t="e">
        <f>tbl_Roll[[#This Row],[Qty Complete]]/tbl_Roll[[#This Row],[Qty Required]]</f>
        <v>#DIV/0!</v>
      </c>
      <c r="K35" s="57" t="str">
        <f>IFERROR(tbl_Roll[[#This Row],[Qty Required]]/tbl_Roll[[#This Row],[PPH]]*tbl_Roll[[#This Row],['# of men]],"")</f>
        <v/>
      </c>
      <c r="L35" s="58" t="e">
        <f>tbl_Roll[[#This Row],[Total hours]]*tbl_Roll[[#This Row],[% Complete]]</f>
        <v>#VALUE!</v>
      </c>
      <c r="M35" s="59" t="str">
        <f>IFERROR(tbl_Roll[[#This Row],[Qty Complete]]/tbl_Roll[[#This Row],[Total Hours Act]]*tbl_Roll[[#This Row],['# of men Act]],"")</f>
        <v/>
      </c>
      <c r="O35"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35" s="71" t="str">
        <f>IFERROR((tbl_Roll[[#This Row],[Adj. Total Hours]]+tbl_Roll[[#This Row],[Est. Hours]])/(tbl_Roll[[#This Row],[Total Hours Act]]+tbl_Roll[[#This Row],[Act. Hours]]),"")</f>
        <v/>
      </c>
      <c r="S35" s="63"/>
      <c r="T35" s="63"/>
      <c r="U35" s="63"/>
      <c r="V35" s="63"/>
      <c r="W35" s="63"/>
    </row>
    <row r="36" spans="6:23" ht="25" customHeight="1">
      <c r="F36" s="53"/>
      <c r="H36" s="55" t="e">
        <f>tbl_Roll[[#This Row],[Qty Complete]]/tbl_Roll[[#This Row],[Qty Required]]</f>
        <v>#DIV/0!</v>
      </c>
      <c r="K36" s="57" t="str">
        <f>IFERROR(tbl_Roll[[#This Row],[Qty Required]]/tbl_Roll[[#This Row],[PPH]]*tbl_Roll[[#This Row],['# of men]],"")</f>
        <v/>
      </c>
      <c r="L36" s="58" t="e">
        <f>tbl_Roll[[#This Row],[Total hours]]*tbl_Roll[[#This Row],[% Complete]]</f>
        <v>#VALUE!</v>
      </c>
      <c r="M36" s="59" t="str">
        <f>IFERROR(tbl_Roll[[#This Row],[Qty Complete]]/tbl_Roll[[#This Row],[Total Hours Act]]*tbl_Roll[[#This Row],['# of men Act]],"")</f>
        <v/>
      </c>
      <c r="O36"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36" s="71" t="str">
        <f>IFERROR((tbl_Roll[[#This Row],[Adj. Total Hours]]+tbl_Roll[[#This Row],[Est. Hours]])/(tbl_Roll[[#This Row],[Total Hours Act]]+tbl_Roll[[#This Row],[Act. Hours]]),"")</f>
        <v/>
      </c>
      <c r="S36" s="63"/>
      <c r="T36" s="63"/>
      <c r="U36" s="63"/>
      <c r="V36" s="63"/>
      <c r="W36" s="63"/>
    </row>
    <row r="37" spans="6:23" ht="25" customHeight="1">
      <c r="F37" s="53"/>
      <c r="H37" s="55" t="e">
        <f>tbl_Roll[[#This Row],[Qty Complete]]/tbl_Roll[[#This Row],[Qty Required]]</f>
        <v>#DIV/0!</v>
      </c>
      <c r="K37" s="57" t="str">
        <f>IFERROR(tbl_Roll[[#This Row],[Qty Required]]/tbl_Roll[[#This Row],[PPH]]*tbl_Roll[[#This Row],['# of men]],"")</f>
        <v/>
      </c>
      <c r="L37" s="58" t="e">
        <f>tbl_Roll[[#This Row],[Total hours]]*tbl_Roll[[#This Row],[% Complete]]</f>
        <v>#VALUE!</v>
      </c>
      <c r="M37" s="59" t="str">
        <f>IFERROR(tbl_Roll[[#This Row],[Qty Complete]]/tbl_Roll[[#This Row],[Total Hours Act]]*tbl_Roll[[#This Row],['# of men Act]],"")</f>
        <v/>
      </c>
      <c r="O37"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37" s="71" t="str">
        <f>IFERROR((tbl_Roll[[#This Row],[Adj. Total Hours]]+tbl_Roll[[#This Row],[Est. Hours]])/(tbl_Roll[[#This Row],[Total Hours Act]]+tbl_Roll[[#This Row],[Act. Hours]]),"")</f>
        <v/>
      </c>
      <c r="S37" s="63"/>
      <c r="T37" s="63"/>
      <c r="U37" s="63"/>
      <c r="V37" s="63"/>
      <c r="W37" s="63"/>
    </row>
    <row r="38" spans="6:23" ht="25" customHeight="1">
      <c r="F38" s="53"/>
      <c r="H38" s="55" t="e">
        <f>tbl_Roll[[#This Row],[Qty Complete]]/tbl_Roll[[#This Row],[Qty Required]]</f>
        <v>#DIV/0!</v>
      </c>
      <c r="K38" s="57" t="str">
        <f>IFERROR(tbl_Roll[[#This Row],[Qty Required]]/tbl_Roll[[#This Row],[PPH]]*tbl_Roll[[#This Row],['# of men]],"")</f>
        <v/>
      </c>
      <c r="L38" s="58" t="e">
        <f>tbl_Roll[[#This Row],[Total hours]]*tbl_Roll[[#This Row],[% Complete]]</f>
        <v>#VALUE!</v>
      </c>
      <c r="M38" s="59" t="str">
        <f>IFERROR(tbl_Roll[[#This Row],[Qty Complete]]/tbl_Roll[[#This Row],[Total Hours Act]]*tbl_Roll[[#This Row],['# of men Act]],"")</f>
        <v/>
      </c>
      <c r="O38"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38" s="71" t="str">
        <f>IFERROR((tbl_Roll[[#This Row],[Adj. Total Hours]]+tbl_Roll[[#This Row],[Est. Hours]])/(tbl_Roll[[#This Row],[Total Hours Act]]+tbl_Roll[[#This Row],[Act. Hours]]),"")</f>
        <v/>
      </c>
      <c r="S38" s="63"/>
      <c r="T38" s="63"/>
      <c r="U38" s="63"/>
      <c r="V38" s="63"/>
      <c r="W38" s="63"/>
    </row>
    <row r="39" spans="6:23" ht="25" customHeight="1">
      <c r="F39" s="53"/>
      <c r="H39" s="55" t="e">
        <f>tbl_Roll[[#This Row],[Qty Complete]]/tbl_Roll[[#This Row],[Qty Required]]</f>
        <v>#DIV/0!</v>
      </c>
      <c r="K39" s="57" t="str">
        <f>IFERROR(tbl_Roll[[#This Row],[Qty Required]]/tbl_Roll[[#This Row],[PPH]]*tbl_Roll[[#This Row],['# of men]],"")</f>
        <v/>
      </c>
      <c r="L39" s="58" t="e">
        <f>tbl_Roll[[#This Row],[Total hours]]*tbl_Roll[[#This Row],[% Complete]]</f>
        <v>#VALUE!</v>
      </c>
      <c r="M39" s="59" t="str">
        <f>IFERROR(tbl_Roll[[#This Row],[Qty Complete]]/tbl_Roll[[#This Row],[Total Hours Act]]*tbl_Roll[[#This Row],['# of men Act]],"")</f>
        <v/>
      </c>
      <c r="O39"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39" s="71" t="str">
        <f>IFERROR((tbl_Roll[[#This Row],[Adj. Total Hours]]+tbl_Roll[[#This Row],[Est. Hours]])/(tbl_Roll[[#This Row],[Total Hours Act]]+tbl_Roll[[#This Row],[Act. Hours]]),"")</f>
        <v/>
      </c>
      <c r="S39" s="63"/>
      <c r="T39" s="63"/>
      <c r="U39" s="63"/>
      <c r="V39" s="63"/>
      <c r="W39" s="63"/>
    </row>
    <row r="40" spans="6:23" ht="25" customHeight="1">
      <c r="F40" s="53"/>
      <c r="H40" s="55" t="e">
        <f>tbl_Roll[[#This Row],[Qty Complete]]/tbl_Roll[[#This Row],[Qty Required]]</f>
        <v>#DIV/0!</v>
      </c>
      <c r="K40" s="57" t="str">
        <f>IFERROR(tbl_Roll[[#This Row],[Qty Required]]/tbl_Roll[[#This Row],[PPH]]*tbl_Roll[[#This Row],['# of men]],"")</f>
        <v/>
      </c>
      <c r="L40" s="58" t="e">
        <f>tbl_Roll[[#This Row],[Total hours]]*tbl_Roll[[#This Row],[% Complete]]</f>
        <v>#VALUE!</v>
      </c>
      <c r="M40" s="59" t="str">
        <f>IFERROR(tbl_Roll[[#This Row],[Qty Complete]]/tbl_Roll[[#This Row],[Total Hours Act]]*tbl_Roll[[#This Row],['# of men Act]],"")</f>
        <v/>
      </c>
      <c r="O40"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40" s="71" t="str">
        <f>IFERROR((tbl_Roll[[#This Row],[Adj. Total Hours]]+tbl_Roll[[#This Row],[Est. Hours]])/(tbl_Roll[[#This Row],[Total Hours Act]]+tbl_Roll[[#This Row],[Act. Hours]]),"")</f>
        <v/>
      </c>
      <c r="S40" s="63"/>
      <c r="T40" s="63"/>
      <c r="U40" s="63"/>
      <c r="V40" s="63"/>
      <c r="W40" s="63"/>
    </row>
    <row r="41" spans="6:23" ht="25" customHeight="1">
      <c r="F41" s="53"/>
      <c r="H41" s="55" t="e">
        <f>tbl_Roll[[#This Row],[Qty Complete]]/tbl_Roll[[#This Row],[Qty Required]]</f>
        <v>#DIV/0!</v>
      </c>
      <c r="K41" s="57" t="str">
        <f>IFERROR(tbl_Roll[[#This Row],[Qty Required]]/tbl_Roll[[#This Row],[PPH]]*tbl_Roll[[#This Row],['# of men]],"")</f>
        <v/>
      </c>
      <c r="L41" s="58" t="e">
        <f>tbl_Roll[[#This Row],[Total hours]]*tbl_Roll[[#This Row],[% Complete]]</f>
        <v>#VALUE!</v>
      </c>
      <c r="M41" s="59" t="str">
        <f>IFERROR(tbl_Roll[[#This Row],[Qty Complete]]/tbl_Roll[[#This Row],[Total Hours Act]]*tbl_Roll[[#This Row],['# of men Act]],"")</f>
        <v/>
      </c>
      <c r="O41"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41" s="71" t="str">
        <f>IFERROR((tbl_Roll[[#This Row],[Adj. Total Hours]]+tbl_Roll[[#This Row],[Est. Hours]])/(tbl_Roll[[#This Row],[Total Hours Act]]+tbl_Roll[[#This Row],[Act. Hours]]),"")</f>
        <v/>
      </c>
      <c r="S41" s="63"/>
      <c r="T41" s="63"/>
      <c r="U41" s="63"/>
      <c r="V41" s="63"/>
      <c r="W41" s="63"/>
    </row>
    <row r="42" spans="6:23" ht="25" customHeight="1">
      <c r="F42" s="53"/>
      <c r="H42" s="55" t="e">
        <f>tbl_Roll[[#This Row],[Qty Complete]]/tbl_Roll[[#This Row],[Qty Required]]</f>
        <v>#DIV/0!</v>
      </c>
      <c r="K42" s="57" t="str">
        <f>IFERROR(tbl_Roll[[#This Row],[Qty Required]]/tbl_Roll[[#This Row],[PPH]]*tbl_Roll[[#This Row],['# of men]],"")</f>
        <v/>
      </c>
      <c r="L42" s="58" t="e">
        <f>tbl_Roll[[#This Row],[Total hours]]*tbl_Roll[[#This Row],[% Complete]]</f>
        <v>#VALUE!</v>
      </c>
      <c r="M42" s="59" t="str">
        <f>IFERROR(tbl_Roll[[#This Row],[Qty Complete]]/tbl_Roll[[#This Row],[Total Hours Act]]*tbl_Roll[[#This Row],['# of men Act]],"")</f>
        <v/>
      </c>
      <c r="O42"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42" s="71" t="str">
        <f>IFERROR((tbl_Roll[[#This Row],[Adj. Total Hours]]+tbl_Roll[[#This Row],[Est. Hours]])/(tbl_Roll[[#This Row],[Total Hours Act]]+tbl_Roll[[#This Row],[Act. Hours]]),"")</f>
        <v/>
      </c>
      <c r="S42" s="63"/>
      <c r="T42" s="63"/>
      <c r="U42" s="63"/>
      <c r="V42" s="63"/>
      <c r="W42" s="63"/>
    </row>
    <row r="43" spans="6:23" ht="25" customHeight="1">
      <c r="F43" s="53"/>
      <c r="H43" s="55" t="e">
        <f>tbl_Roll[[#This Row],[Qty Complete]]/tbl_Roll[[#This Row],[Qty Required]]</f>
        <v>#DIV/0!</v>
      </c>
      <c r="K43" s="57" t="str">
        <f>IFERROR(tbl_Roll[[#This Row],[Qty Required]]/tbl_Roll[[#This Row],[PPH]]*tbl_Roll[[#This Row],['# of men]],"")</f>
        <v/>
      </c>
      <c r="L43" s="58" t="e">
        <f>tbl_Roll[[#This Row],[Total hours]]*tbl_Roll[[#This Row],[% Complete]]</f>
        <v>#VALUE!</v>
      </c>
      <c r="M43" s="59" t="str">
        <f>IFERROR(tbl_Roll[[#This Row],[Qty Complete]]/tbl_Roll[[#This Row],[Total Hours Act]]*tbl_Roll[[#This Row],['# of men Act]],"")</f>
        <v/>
      </c>
      <c r="O43"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43" s="71" t="str">
        <f>IFERROR((tbl_Roll[[#This Row],[Adj. Total Hours]]+tbl_Roll[[#This Row],[Est. Hours]])/(tbl_Roll[[#This Row],[Total Hours Act]]+tbl_Roll[[#This Row],[Act. Hours]]),"")</f>
        <v/>
      </c>
      <c r="S43" s="63"/>
      <c r="T43" s="63"/>
      <c r="U43" s="63"/>
      <c r="V43" s="63"/>
      <c r="W43" s="63"/>
    </row>
    <row r="44" spans="6:23" ht="25" customHeight="1">
      <c r="F44" s="53"/>
      <c r="H44" s="55" t="e">
        <f>tbl_Roll[[#This Row],[Qty Complete]]/tbl_Roll[[#This Row],[Qty Required]]</f>
        <v>#DIV/0!</v>
      </c>
      <c r="K44" s="57" t="str">
        <f>IFERROR(tbl_Roll[[#This Row],[Qty Required]]/tbl_Roll[[#This Row],[PPH]]*tbl_Roll[[#This Row],['# of men]],"")</f>
        <v/>
      </c>
      <c r="L44" s="58" t="e">
        <f>tbl_Roll[[#This Row],[Total hours]]*tbl_Roll[[#This Row],[% Complete]]</f>
        <v>#VALUE!</v>
      </c>
      <c r="M44" s="59" t="str">
        <f>IFERROR(tbl_Roll[[#This Row],[Qty Complete]]/tbl_Roll[[#This Row],[Total Hours Act]]*tbl_Roll[[#This Row],['# of men Act]],"")</f>
        <v/>
      </c>
      <c r="O44"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44" s="71" t="str">
        <f>IFERROR((tbl_Roll[[#This Row],[Adj. Total Hours]]+tbl_Roll[[#This Row],[Est. Hours]])/(tbl_Roll[[#This Row],[Total Hours Act]]+tbl_Roll[[#This Row],[Act. Hours]]),"")</f>
        <v/>
      </c>
      <c r="S44" s="63"/>
      <c r="T44" s="63"/>
      <c r="U44" s="63"/>
      <c r="V44" s="63"/>
      <c r="W44" s="63"/>
    </row>
    <row r="45" spans="6:23" ht="25" customHeight="1">
      <c r="F45" s="53"/>
      <c r="H45" s="55" t="e">
        <f>tbl_Roll[[#This Row],[Qty Complete]]/tbl_Roll[[#This Row],[Qty Required]]</f>
        <v>#DIV/0!</v>
      </c>
      <c r="K45" s="57" t="str">
        <f>IFERROR(tbl_Roll[[#This Row],[Qty Required]]/tbl_Roll[[#This Row],[PPH]]*tbl_Roll[[#This Row],['# of men]],"")</f>
        <v/>
      </c>
      <c r="L45" s="58" t="e">
        <f>tbl_Roll[[#This Row],[Total hours]]*tbl_Roll[[#This Row],[% Complete]]</f>
        <v>#VALUE!</v>
      </c>
      <c r="M45" s="59" t="str">
        <f>IFERROR(tbl_Roll[[#This Row],[Qty Complete]]/tbl_Roll[[#This Row],[Total Hours Act]]*tbl_Roll[[#This Row],['# of men Act]],"")</f>
        <v/>
      </c>
      <c r="O45"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45" s="71" t="str">
        <f>IFERROR((tbl_Roll[[#This Row],[Adj. Total Hours]]+tbl_Roll[[#This Row],[Est. Hours]])/(tbl_Roll[[#This Row],[Total Hours Act]]+tbl_Roll[[#This Row],[Act. Hours]]),"")</f>
        <v/>
      </c>
      <c r="S45" s="63"/>
      <c r="T45" s="63"/>
      <c r="U45" s="63"/>
      <c r="V45" s="63"/>
      <c r="W45" s="63"/>
    </row>
    <row r="46" spans="6:23" ht="25" customHeight="1">
      <c r="F46" s="53"/>
      <c r="H46" s="55" t="e">
        <f>tbl_Roll[[#This Row],[Qty Complete]]/tbl_Roll[[#This Row],[Qty Required]]</f>
        <v>#DIV/0!</v>
      </c>
      <c r="K46" s="57" t="str">
        <f>IFERROR(tbl_Roll[[#This Row],[Qty Required]]/tbl_Roll[[#This Row],[PPH]]*tbl_Roll[[#This Row],['# of men]],"")</f>
        <v/>
      </c>
      <c r="L46" s="58" t="e">
        <f>tbl_Roll[[#This Row],[Total hours]]*tbl_Roll[[#This Row],[% Complete]]</f>
        <v>#VALUE!</v>
      </c>
      <c r="M46" s="59" t="str">
        <f>IFERROR(tbl_Roll[[#This Row],[Qty Complete]]/tbl_Roll[[#This Row],[Total Hours Act]]*tbl_Roll[[#This Row],['# of men Act]],"")</f>
        <v/>
      </c>
      <c r="O46"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46" s="71" t="str">
        <f>IFERROR((tbl_Roll[[#This Row],[Adj. Total Hours]]+tbl_Roll[[#This Row],[Est. Hours]])/(tbl_Roll[[#This Row],[Total Hours Act]]+tbl_Roll[[#This Row],[Act. Hours]]),"")</f>
        <v/>
      </c>
      <c r="S46" s="63"/>
      <c r="T46" s="63"/>
      <c r="U46" s="63"/>
      <c r="V46" s="63"/>
      <c r="W46" s="63"/>
    </row>
    <row r="47" spans="6:23" ht="25" customHeight="1">
      <c r="F47" s="53"/>
      <c r="H47" s="55" t="e">
        <f>tbl_Roll[[#This Row],[Qty Complete]]/tbl_Roll[[#This Row],[Qty Required]]</f>
        <v>#DIV/0!</v>
      </c>
      <c r="K47" s="57" t="str">
        <f>IFERROR(tbl_Roll[[#This Row],[Qty Required]]/tbl_Roll[[#This Row],[PPH]]*tbl_Roll[[#This Row],['# of men]],"")</f>
        <v/>
      </c>
      <c r="L47" s="58" t="e">
        <f>tbl_Roll[[#This Row],[Total hours]]*tbl_Roll[[#This Row],[% Complete]]</f>
        <v>#VALUE!</v>
      </c>
      <c r="M47" s="59" t="str">
        <f>IFERROR(tbl_Roll[[#This Row],[Qty Complete]]/tbl_Roll[[#This Row],[Total Hours Act]]*tbl_Roll[[#This Row],['# of men Act]],"")</f>
        <v/>
      </c>
      <c r="O47"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47" s="71" t="str">
        <f>IFERROR((tbl_Roll[[#This Row],[Adj. Total Hours]]+tbl_Roll[[#This Row],[Est. Hours]])/(tbl_Roll[[#This Row],[Total Hours Act]]+tbl_Roll[[#This Row],[Act. Hours]]),"")</f>
        <v/>
      </c>
      <c r="S47" s="63"/>
      <c r="T47" s="63"/>
      <c r="U47" s="63"/>
      <c r="V47" s="63"/>
      <c r="W47" s="63"/>
    </row>
    <row r="48" spans="6:23" ht="25" customHeight="1">
      <c r="F48" s="53"/>
      <c r="H48" s="55" t="e">
        <f>tbl_Roll[[#This Row],[Qty Complete]]/tbl_Roll[[#This Row],[Qty Required]]</f>
        <v>#DIV/0!</v>
      </c>
      <c r="K48" s="57" t="str">
        <f>IFERROR(tbl_Roll[[#This Row],[Qty Required]]/tbl_Roll[[#This Row],[PPH]]*tbl_Roll[[#This Row],['# of men]],"")</f>
        <v/>
      </c>
      <c r="L48" s="58" t="e">
        <f>tbl_Roll[[#This Row],[Total hours]]*tbl_Roll[[#This Row],[% Complete]]</f>
        <v>#VALUE!</v>
      </c>
      <c r="M48" s="59" t="str">
        <f>IFERROR(tbl_Roll[[#This Row],[Qty Complete]]/tbl_Roll[[#This Row],[Total Hours Act]]*tbl_Roll[[#This Row],['# of men Act]],"")</f>
        <v/>
      </c>
      <c r="O48"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48" s="71" t="str">
        <f>IFERROR((tbl_Roll[[#This Row],[Adj. Total Hours]]+tbl_Roll[[#This Row],[Est. Hours]])/(tbl_Roll[[#This Row],[Total Hours Act]]+tbl_Roll[[#This Row],[Act. Hours]]),"")</f>
        <v/>
      </c>
      <c r="S48" s="63"/>
      <c r="T48" s="63"/>
      <c r="U48" s="63"/>
      <c r="V48" s="63"/>
      <c r="W48" s="63"/>
    </row>
    <row r="49" spans="6:23" ht="25" customHeight="1">
      <c r="F49" s="53"/>
      <c r="H49" s="55" t="e">
        <f>tbl_Roll[[#This Row],[Qty Complete]]/tbl_Roll[[#This Row],[Qty Required]]</f>
        <v>#DIV/0!</v>
      </c>
      <c r="K49" s="57" t="str">
        <f>IFERROR(tbl_Roll[[#This Row],[Qty Required]]/tbl_Roll[[#This Row],[PPH]]*tbl_Roll[[#This Row],['# of men]],"")</f>
        <v/>
      </c>
      <c r="L49" s="58" t="e">
        <f>tbl_Roll[[#This Row],[Total hours]]*tbl_Roll[[#This Row],[% Complete]]</f>
        <v>#VALUE!</v>
      </c>
      <c r="M49" s="59" t="str">
        <f>IFERROR(tbl_Roll[[#This Row],[Qty Complete]]/tbl_Roll[[#This Row],[Total Hours Act]]*tbl_Roll[[#This Row],['# of men Act]],"")</f>
        <v/>
      </c>
      <c r="O49"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49" s="71" t="str">
        <f>IFERROR((tbl_Roll[[#This Row],[Adj. Total Hours]]+tbl_Roll[[#This Row],[Est. Hours]])/(tbl_Roll[[#This Row],[Total Hours Act]]+tbl_Roll[[#This Row],[Act. Hours]]),"")</f>
        <v/>
      </c>
      <c r="S49" s="63"/>
      <c r="T49" s="63"/>
      <c r="U49" s="63"/>
      <c r="V49" s="63"/>
      <c r="W49" s="63"/>
    </row>
    <row r="50" spans="6:23" ht="25" customHeight="1">
      <c r="F50" s="53"/>
      <c r="H50" s="55" t="e">
        <f>tbl_Roll[[#This Row],[Qty Complete]]/tbl_Roll[[#This Row],[Qty Required]]</f>
        <v>#DIV/0!</v>
      </c>
      <c r="K50" s="57" t="str">
        <f>IFERROR(tbl_Roll[[#This Row],[Qty Required]]/tbl_Roll[[#This Row],[PPH]]*tbl_Roll[[#This Row],['# of men]],"")</f>
        <v/>
      </c>
      <c r="L50" s="58" t="e">
        <f>tbl_Roll[[#This Row],[Total hours]]*tbl_Roll[[#This Row],[% Complete]]</f>
        <v>#VALUE!</v>
      </c>
      <c r="M50" s="59" t="str">
        <f>IFERROR(tbl_Roll[[#This Row],[Qty Complete]]/tbl_Roll[[#This Row],[Total Hours Act]]*tbl_Roll[[#This Row],['# of men Act]],"")</f>
        <v/>
      </c>
      <c r="O50"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50" s="71" t="str">
        <f>IFERROR((tbl_Roll[[#This Row],[Adj. Total Hours]]+tbl_Roll[[#This Row],[Est. Hours]])/(tbl_Roll[[#This Row],[Total Hours Act]]+tbl_Roll[[#This Row],[Act. Hours]]),"")</f>
        <v/>
      </c>
      <c r="S50" s="63"/>
      <c r="T50" s="63"/>
      <c r="U50" s="63"/>
      <c r="V50" s="63"/>
      <c r="W50" s="63"/>
    </row>
    <row r="51" spans="6:23" ht="25" customHeight="1">
      <c r="F51" s="53"/>
      <c r="H51" s="55" t="e">
        <f>tbl_Roll[[#This Row],[Qty Complete]]/tbl_Roll[[#This Row],[Qty Required]]</f>
        <v>#DIV/0!</v>
      </c>
      <c r="K51" s="57" t="str">
        <f>IFERROR(tbl_Roll[[#This Row],[Qty Required]]/tbl_Roll[[#This Row],[PPH]]*tbl_Roll[[#This Row],['# of men]],"")</f>
        <v/>
      </c>
      <c r="L51" s="58" t="e">
        <f>tbl_Roll[[#This Row],[Total hours]]*tbl_Roll[[#This Row],[% Complete]]</f>
        <v>#VALUE!</v>
      </c>
      <c r="M51" s="59" t="str">
        <f>IFERROR(tbl_Roll[[#This Row],[Qty Complete]]/tbl_Roll[[#This Row],[Total Hours Act]]*tbl_Roll[[#This Row],['# of men Act]],"")</f>
        <v/>
      </c>
      <c r="O51"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51" s="71" t="str">
        <f>IFERROR((tbl_Roll[[#This Row],[Adj. Total Hours]]+tbl_Roll[[#This Row],[Est. Hours]])/(tbl_Roll[[#This Row],[Total Hours Act]]+tbl_Roll[[#This Row],[Act. Hours]]),"")</f>
        <v/>
      </c>
      <c r="S51" s="63"/>
      <c r="T51" s="63"/>
      <c r="U51" s="63"/>
      <c r="V51" s="63"/>
      <c r="W51" s="63"/>
    </row>
    <row r="52" spans="6:23" ht="25" customHeight="1">
      <c r="F52" s="53"/>
      <c r="H52" s="55" t="e">
        <f>tbl_Roll[[#This Row],[Qty Complete]]/tbl_Roll[[#This Row],[Qty Required]]</f>
        <v>#DIV/0!</v>
      </c>
      <c r="K52" s="57" t="str">
        <f>IFERROR(tbl_Roll[[#This Row],[Qty Required]]/tbl_Roll[[#This Row],[PPH]]*tbl_Roll[[#This Row],['# of men]],"")</f>
        <v/>
      </c>
      <c r="L52" s="58" t="e">
        <f>tbl_Roll[[#This Row],[Total hours]]*tbl_Roll[[#This Row],[% Complete]]</f>
        <v>#VALUE!</v>
      </c>
      <c r="M52" s="59" t="str">
        <f>IFERROR(tbl_Roll[[#This Row],[Qty Complete]]/tbl_Roll[[#This Row],[Total Hours Act]]*tbl_Roll[[#This Row],['# of men Act]],"")</f>
        <v/>
      </c>
      <c r="O52"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52" s="71" t="str">
        <f>IFERROR((tbl_Roll[[#This Row],[Adj. Total Hours]]+tbl_Roll[[#This Row],[Est. Hours]])/(tbl_Roll[[#This Row],[Total Hours Act]]+tbl_Roll[[#This Row],[Act. Hours]]),"")</f>
        <v/>
      </c>
      <c r="S52" s="63"/>
      <c r="T52" s="63"/>
      <c r="U52" s="63"/>
      <c r="V52" s="63"/>
      <c r="W52" s="63"/>
    </row>
    <row r="53" spans="6:23" ht="25" customHeight="1">
      <c r="F53" s="53"/>
      <c r="H53" s="55" t="e">
        <f>tbl_Roll[[#This Row],[Qty Complete]]/tbl_Roll[[#This Row],[Qty Required]]</f>
        <v>#DIV/0!</v>
      </c>
      <c r="K53" s="57" t="str">
        <f>IFERROR(tbl_Roll[[#This Row],[Qty Required]]/tbl_Roll[[#This Row],[PPH]]*tbl_Roll[[#This Row],['# of men]],"")</f>
        <v/>
      </c>
      <c r="L53" s="58" t="e">
        <f>tbl_Roll[[#This Row],[Total hours]]*tbl_Roll[[#This Row],[% Complete]]</f>
        <v>#VALUE!</v>
      </c>
      <c r="M53" s="59" t="str">
        <f>IFERROR(tbl_Roll[[#This Row],[Qty Complete]]/tbl_Roll[[#This Row],[Total Hours Act]]*tbl_Roll[[#This Row],['# of men Act]],"")</f>
        <v/>
      </c>
      <c r="O53"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53" s="71" t="str">
        <f>IFERROR((tbl_Roll[[#This Row],[Adj. Total Hours]]+tbl_Roll[[#This Row],[Est. Hours]])/(tbl_Roll[[#This Row],[Total Hours Act]]+tbl_Roll[[#This Row],[Act. Hours]]),"")</f>
        <v/>
      </c>
      <c r="S53" s="63"/>
      <c r="T53" s="63"/>
      <c r="U53" s="63"/>
      <c r="V53" s="63"/>
      <c r="W53" s="63"/>
    </row>
    <row r="54" spans="6:23" ht="25" customHeight="1">
      <c r="F54" s="53"/>
      <c r="H54" s="55" t="e">
        <f>tbl_Roll[[#This Row],[Qty Complete]]/tbl_Roll[[#This Row],[Qty Required]]</f>
        <v>#DIV/0!</v>
      </c>
      <c r="K54" s="57" t="str">
        <f>IFERROR(tbl_Roll[[#This Row],[Qty Required]]/tbl_Roll[[#This Row],[PPH]]*tbl_Roll[[#This Row],['# of men]],"")</f>
        <v/>
      </c>
      <c r="L54" s="58" t="e">
        <f>tbl_Roll[[#This Row],[Total hours]]*tbl_Roll[[#This Row],[% Complete]]</f>
        <v>#VALUE!</v>
      </c>
      <c r="M54" s="59" t="str">
        <f>IFERROR(tbl_Roll[[#This Row],[Qty Complete]]/tbl_Roll[[#This Row],[Total Hours Act]]*tbl_Roll[[#This Row],['# of men Act]],"")</f>
        <v/>
      </c>
      <c r="O54"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54" s="71" t="str">
        <f>IFERROR((tbl_Roll[[#This Row],[Adj. Total Hours]]+tbl_Roll[[#This Row],[Est. Hours]])/(tbl_Roll[[#This Row],[Total Hours Act]]+tbl_Roll[[#This Row],[Act. Hours]]),"")</f>
        <v/>
      </c>
      <c r="S54" s="63"/>
      <c r="T54" s="63"/>
      <c r="U54" s="63"/>
      <c r="V54" s="63"/>
      <c r="W54" s="63"/>
    </row>
    <row r="55" spans="6:23" ht="25" customHeight="1">
      <c r="F55" s="53"/>
      <c r="H55" s="55" t="e">
        <f>tbl_Roll[[#This Row],[Qty Complete]]/tbl_Roll[[#This Row],[Qty Required]]</f>
        <v>#DIV/0!</v>
      </c>
      <c r="K55" s="57" t="str">
        <f>IFERROR(tbl_Roll[[#This Row],[Qty Required]]/tbl_Roll[[#This Row],[PPH]]*tbl_Roll[[#This Row],['# of men]],"")</f>
        <v/>
      </c>
      <c r="L55" s="58" t="e">
        <f>tbl_Roll[[#This Row],[Total hours]]*tbl_Roll[[#This Row],[% Complete]]</f>
        <v>#VALUE!</v>
      </c>
      <c r="M55" s="59" t="str">
        <f>IFERROR(tbl_Roll[[#This Row],[Qty Complete]]/tbl_Roll[[#This Row],[Total Hours Act]]*tbl_Roll[[#This Row],['# of men Act]],"")</f>
        <v/>
      </c>
      <c r="O55"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55" s="71" t="str">
        <f>IFERROR((tbl_Roll[[#This Row],[Adj. Total Hours]]+tbl_Roll[[#This Row],[Est. Hours]])/(tbl_Roll[[#This Row],[Total Hours Act]]+tbl_Roll[[#This Row],[Act. Hours]]),"")</f>
        <v/>
      </c>
      <c r="S55" s="63"/>
      <c r="T55" s="63"/>
      <c r="U55" s="63"/>
      <c r="V55" s="63"/>
      <c r="W55" s="63"/>
    </row>
    <row r="56" spans="6:23" ht="25" customHeight="1">
      <c r="F56" s="53"/>
      <c r="H56" s="55" t="e">
        <f>tbl_Roll[[#This Row],[Qty Complete]]/tbl_Roll[[#This Row],[Qty Required]]</f>
        <v>#DIV/0!</v>
      </c>
      <c r="K56" s="57" t="str">
        <f>IFERROR(tbl_Roll[[#This Row],[Qty Required]]/tbl_Roll[[#This Row],[PPH]]*tbl_Roll[[#This Row],['# of men]],"")</f>
        <v/>
      </c>
      <c r="L56" s="58" t="e">
        <f>tbl_Roll[[#This Row],[Total hours]]*tbl_Roll[[#This Row],[% Complete]]</f>
        <v>#VALUE!</v>
      </c>
      <c r="M56" s="59" t="str">
        <f>IFERROR(tbl_Roll[[#This Row],[Qty Complete]]/tbl_Roll[[#This Row],[Total Hours Act]]*tbl_Roll[[#This Row],['# of men Act]],"")</f>
        <v/>
      </c>
      <c r="O56"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56" s="71" t="str">
        <f>IFERROR((tbl_Roll[[#This Row],[Adj. Total Hours]]+tbl_Roll[[#This Row],[Est. Hours]])/(tbl_Roll[[#This Row],[Total Hours Act]]+tbl_Roll[[#This Row],[Act. Hours]]),"")</f>
        <v/>
      </c>
      <c r="S56" s="63"/>
      <c r="T56" s="63"/>
      <c r="U56" s="63"/>
      <c r="V56" s="63"/>
      <c r="W56" s="63"/>
    </row>
    <row r="57" spans="6:23" ht="25" customHeight="1">
      <c r="F57" s="53"/>
      <c r="H57" s="55" t="e">
        <f>tbl_Roll[[#This Row],[Qty Complete]]/tbl_Roll[[#This Row],[Qty Required]]</f>
        <v>#DIV/0!</v>
      </c>
      <c r="K57" s="57" t="str">
        <f>IFERROR(tbl_Roll[[#This Row],[Qty Required]]/tbl_Roll[[#This Row],[PPH]]*tbl_Roll[[#This Row],['# of men]],"")</f>
        <v/>
      </c>
      <c r="L57" s="58" t="e">
        <f>tbl_Roll[[#This Row],[Total hours]]*tbl_Roll[[#This Row],[% Complete]]</f>
        <v>#VALUE!</v>
      </c>
      <c r="M57" s="59" t="str">
        <f>IFERROR(tbl_Roll[[#This Row],[Qty Complete]]/tbl_Roll[[#This Row],[Total Hours Act]]*tbl_Roll[[#This Row],['# of men Act]],"")</f>
        <v/>
      </c>
      <c r="O57"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57" s="71" t="str">
        <f>IFERROR((tbl_Roll[[#This Row],[Adj. Total Hours]]+tbl_Roll[[#This Row],[Est. Hours]])/(tbl_Roll[[#This Row],[Total Hours Act]]+tbl_Roll[[#This Row],[Act. Hours]]),"")</f>
        <v/>
      </c>
      <c r="S57" s="63"/>
      <c r="T57" s="63"/>
      <c r="U57" s="63"/>
      <c r="V57" s="63"/>
      <c r="W57" s="63"/>
    </row>
    <row r="58" spans="6:23" ht="25" customHeight="1">
      <c r="F58" s="53"/>
      <c r="H58" s="55" t="e">
        <f>tbl_Roll[[#This Row],[Qty Complete]]/tbl_Roll[[#This Row],[Qty Required]]</f>
        <v>#DIV/0!</v>
      </c>
      <c r="K58" s="57" t="str">
        <f>IFERROR(tbl_Roll[[#This Row],[Qty Required]]/tbl_Roll[[#This Row],[PPH]]*tbl_Roll[[#This Row],['# of men]],"")</f>
        <v/>
      </c>
      <c r="L58" s="58" t="e">
        <f>tbl_Roll[[#This Row],[Total hours]]*tbl_Roll[[#This Row],[% Complete]]</f>
        <v>#VALUE!</v>
      </c>
      <c r="M58" s="59" t="str">
        <f>IFERROR(tbl_Roll[[#This Row],[Qty Complete]]/tbl_Roll[[#This Row],[Total Hours Act]]*tbl_Roll[[#This Row],['# of men Act]],"")</f>
        <v/>
      </c>
      <c r="O58"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58" s="71" t="str">
        <f>IFERROR((tbl_Roll[[#This Row],[Adj. Total Hours]]+tbl_Roll[[#This Row],[Est. Hours]])/(tbl_Roll[[#This Row],[Total Hours Act]]+tbl_Roll[[#This Row],[Act. Hours]]),"")</f>
        <v/>
      </c>
      <c r="S58" s="63"/>
      <c r="T58" s="63"/>
      <c r="U58" s="63"/>
      <c r="V58" s="63"/>
      <c r="W58" s="63"/>
    </row>
    <row r="59" spans="6:23" ht="25" customHeight="1">
      <c r="F59" s="53"/>
      <c r="H59" s="55" t="e">
        <f>tbl_Roll[[#This Row],[Qty Complete]]/tbl_Roll[[#This Row],[Qty Required]]</f>
        <v>#DIV/0!</v>
      </c>
      <c r="K59" s="57" t="str">
        <f>IFERROR(tbl_Roll[[#This Row],[Qty Required]]/tbl_Roll[[#This Row],[PPH]]*tbl_Roll[[#This Row],['# of men]],"")</f>
        <v/>
      </c>
      <c r="L59" s="58" t="e">
        <f>tbl_Roll[[#This Row],[Total hours]]*tbl_Roll[[#This Row],[% Complete]]</f>
        <v>#VALUE!</v>
      </c>
      <c r="M59" s="59" t="str">
        <f>IFERROR(tbl_Roll[[#This Row],[Qty Complete]]/tbl_Roll[[#This Row],[Total Hours Act]]*tbl_Roll[[#This Row],['# of men Act]],"")</f>
        <v/>
      </c>
      <c r="O59"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59" s="71" t="str">
        <f>IFERROR((tbl_Roll[[#This Row],[Adj. Total Hours]]+tbl_Roll[[#This Row],[Est. Hours]])/(tbl_Roll[[#This Row],[Total Hours Act]]+tbl_Roll[[#This Row],[Act. Hours]]),"")</f>
        <v/>
      </c>
      <c r="S59" s="63"/>
      <c r="T59" s="63"/>
      <c r="U59" s="63"/>
      <c r="V59" s="63"/>
      <c r="W59" s="63"/>
    </row>
    <row r="60" spans="6:23" ht="25" customHeight="1">
      <c r="F60" s="53"/>
      <c r="H60" s="55" t="e">
        <f>tbl_Roll[[#This Row],[Qty Complete]]/tbl_Roll[[#This Row],[Qty Required]]</f>
        <v>#DIV/0!</v>
      </c>
      <c r="K60" s="57" t="str">
        <f>IFERROR(tbl_Roll[[#This Row],[Qty Required]]/tbl_Roll[[#This Row],[PPH]]*tbl_Roll[[#This Row],['# of men]],"")</f>
        <v/>
      </c>
      <c r="L60" s="58" t="e">
        <f>tbl_Roll[[#This Row],[Total hours]]*tbl_Roll[[#This Row],[% Complete]]</f>
        <v>#VALUE!</v>
      </c>
      <c r="M60" s="59" t="str">
        <f>IFERROR(tbl_Roll[[#This Row],[Qty Complete]]/tbl_Roll[[#This Row],[Total Hours Act]]*tbl_Roll[[#This Row],['# of men Act]],"")</f>
        <v/>
      </c>
      <c r="O60"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60" s="71" t="str">
        <f>IFERROR((tbl_Roll[[#This Row],[Adj. Total Hours]]+tbl_Roll[[#This Row],[Est. Hours]])/(tbl_Roll[[#This Row],[Total Hours Act]]+tbl_Roll[[#This Row],[Act. Hours]]),"")</f>
        <v/>
      </c>
      <c r="S60" s="63"/>
      <c r="T60" s="63"/>
      <c r="U60" s="63"/>
      <c r="V60" s="63"/>
      <c r="W60" s="63"/>
    </row>
    <row r="61" spans="6:23" ht="25" customHeight="1">
      <c r="F61" s="53"/>
      <c r="H61" s="55" t="e">
        <f>tbl_Roll[[#This Row],[Qty Complete]]/tbl_Roll[[#This Row],[Qty Required]]</f>
        <v>#DIV/0!</v>
      </c>
      <c r="K61" s="57" t="str">
        <f>IFERROR(tbl_Roll[[#This Row],[Qty Required]]/tbl_Roll[[#This Row],[PPH]]*tbl_Roll[[#This Row],['# of men]],"")</f>
        <v/>
      </c>
      <c r="L61" s="58" t="e">
        <f>tbl_Roll[[#This Row],[Total hours]]*tbl_Roll[[#This Row],[% Complete]]</f>
        <v>#VALUE!</v>
      </c>
      <c r="M61" s="59" t="str">
        <f>IFERROR(tbl_Roll[[#This Row],[Qty Complete]]/tbl_Roll[[#This Row],[Total Hours Act]]*tbl_Roll[[#This Row],['# of men Act]],"")</f>
        <v/>
      </c>
      <c r="O61"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61" s="71" t="str">
        <f>IFERROR((tbl_Roll[[#This Row],[Adj. Total Hours]]+tbl_Roll[[#This Row],[Est. Hours]])/(tbl_Roll[[#This Row],[Total Hours Act]]+tbl_Roll[[#This Row],[Act. Hours]]),"")</f>
        <v/>
      </c>
      <c r="S61" s="63"/>
      <c r="T61" s="63"/>
      <c r="U61" s="63"/>
      <c r="V61" s="63"/>
      <c r="W61" s="63"/>
    </row>
    <row r="62" spans="6:23" ht="25" customHeight="1">
      <c r="F62" s="53"/>
      <c r="H62" s="55" t="e">
        <f>tbl_Roll[[#This Row],[Qty Complete]]/tbl_Roll[[#This Row],[Qty Required]]</f>
        <v>#DIV/0!</v>
      </c>
      <c r="K62" s="57" t="str">
        <f>IFERROR(tbl_Roll[[#This Row],[Qty Required]]/tbl_Roll[[#This Row],[PPH]]*tbl_Roll[[#This Row],['# of men]],"")</f>
        <v/>
      </c>
      <c r="L62" s="58" t="e">
        <f>tbl_Roll[[#This Row],[Total hours]]*tbl_Roll[[#This Row],[% Complete]]</f>
        <v>#VALUE!</v>
      </c>
      <c r="M62" s="59" t="str">
        <f>IFERROR(tbl_Roll[[#This Row],[Qty Complete]]/tbl_Roll[[#This Row],[Total Hours Act]]*tbl_Roll[[#This Row],['# of men Act]],"")</f>
        <v/>
      </c>
      <c r="O62"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62" s="71" t="str">
        <f>IFERROR((tbl_Roll[[#This Row],[Adj. Total Hours]]+tbl_Roll[[#This Row],[Est. Hours]])/(tbl_Roll[[#This Row],[Total Hours Act]]+tbl_Roll[[#This Row],[Act. Hours]]),"")</f>
        <v/>
      </c>
      <c r="S62" s="63"/>
      <c r="T62" s="63"/>
      <c r="U62" s="63"/>
      <c r="V62" s="63"/>
      <c r="W62" s="63"/>
    </row>
    <row r="63" spans="6:23" ht="25" customHeight="1">
      <c r="F63" s="53"/>
      <c r="H63" s="55" t="e">
        <f>tbl_Roll[[#This Row],[Qty Complete]]/tbl_Roll[[#This Row],[Qty Required]]</f>
        <v>#DIV/0!</v>
      </c>
      <c r="K63" s="57" t="str">
        <f>IFERROR(tbl_Roll[[#This Row],[Qty Required]]/tbl_Roll[[#This Row],[PPH]]*tbl_Roll[[#This Row],['# of men]],"")</f>
        <v/>
      </c>
      <c r="L63" s="58" t="e">
        <f>tbl_Roll[[#This Row],[Total hours]]*tbl_Roll[[#This Row],[% Complete]]</f>
        <v>#VALUE!</v>
      </c>
      <c r="M63" s="59" t="str">
        <f>IFERROR(tbl_Roll[[#This Row],[Qty Complete]]/tbl_Roll[[#This Row],[Total Hours Act]]*tbl_Roll[[#This Row],['# of men Act]],"")</f>
        <v/>
      </c>
      <c r="O63"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63" s="71" t="str">
        <f>IFERROR((tbl_Roll[[#This Row],[Adj. Total Hours]]+tbl_Roll[[#This Row],[Est. Hours]])/(tbl_Roll[[#This Row],[Total Hours Act]]+tbl_Roll[[#This Row],[Act. Hours]]),"")</f>
        <v/>
      </c>
      <c r="S63" s="63"/>
      <c r="T63" s="63"/>
      <c r="U63" s="63"/>
      <c r="V63" s="63"/>
      <c r="W63" s="63"/>
    </row>
    <row r="64" spans="6:23" ht="25" customHeight="1">
      <c r="F64" s="53"/>
      <c r="H64" s="55" t="e">
        <f>tbl_Roll[[#This Row],[Qty Complete]]/tbl_Roll[[#This Row],[Qty Required]]</f>
        <v>#DIV/0!</v>
      </c>
      <c r="K64" s="57" t="str">
        <f>IFERROR(tbl_Roll[[#This Row],[Qty Required]]/tbl_Roll[[#This Row],[PPH]]*tbl_Roll[[#This Row],['# of men]],"")</f>
        <v/>
      </c>
      <c r="L64" s="58" t="e">
        <f>tbl_Roll[[#This Row],[Total hours]]*tbl_Roll[[#This Row],[% Complete]]</f>
        <v>#VALUE!</v>
      </c>
      <c r="M64" s="59" t="str">
        <f>IFERROR(tbl_Roll[[#This Row],[Qty Complete]]/tbl_Roll[[#This Row],[Total Hours Act]]*tbl_Roll[[#This Row],['# of men Act]],"")</f>
        <v/>
      </c>
      <c r="O64"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64" s="71" t="str">
        <f>IFERROR((tbl_Roll[[#This Row],[Adj. Total Hours]]+tbl_Roll[[#This Row],[Est. Hours]])/(tbl_Roll[[#This Row],[Total Hours Act]]+tbl_Roll[[#This Row],[Act. Hours]]),"")</f>
        <v/>
      </c>
      <c r="S64" s="63"/>
      <c r="T64" s="63"/>
      <c r="U64" s="63"/>
      <c r="V64" s="63"/>
      <c r="W64" s="63"/>
    </row>
    <row r="65" spans="6:23" ht="25" customHeight="1">
      <c r="F65" s="53"/>
      <c r="H65" s="55" t="e">
        <f>tbl_Roll[[#This Row],[Qty Complete]]/tbl_Roll[[#This Row],[Qty Required]]</f>
        <v>#DIV/0!</v>
      </c>
      <c r="K65" s="57" t="str">
        <f>IFERROR(tbl_Roll[[#This Row],[Qty Required]]/tbl_Roll[[#This Row],[PPH]]*tbl_Roll[[#This Row],['# of men]],"")</f>
        <v/>
      </c>
      <c r="L65" s="58" t="e">
        <f>tbl_Roll[[#This Row],[Total hours]]*tbl_Roll[[#This Row],[% Complete]]</f>
        <v>#VALUE!</v>
      </c>
      <c r="M65" s="59" t="str">
        <f>IFERROR(tbl_Roll[[#This Row],[Qty Complete]]/tbl_Roll[[#This Row],[Total Hours Act]]*tbl_Roll[[#This Row],['# of men Act]],"")</f>
        <v/>
      </c>
      <c r="O65"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65" s="71" t="str">
        <f>IFERROR((tbl_Roll[[#This Row],[Adj. Total Hours]]+tbl_Roll[[#This Row],[Est. Hours]])/(tbl_Roll[[#This Row],[Total Hours Act]]+tbl_Roll[[#This Row],[Act. Hours]]),"")</f>
        <v/>
      </c>
      <c r="S65" s="63"/>
      <c r="T65" s="63"/>
      <c r="U65" s="63"/>
      <c r="V65" s="63"/>
      <c r="W65" s="63"/>
    </row>
    <row r="66" spans="6:23" ht="25" customHeight="1">
      <c r="F66" s="53"/>
      <c r="H66" s="55" t="e">
        <f>tbl_Roll[[#This Row],[Qty Complete]]/tbl_Roll[[#This Row],[Qty Required]]</f>
        <v>#DIV/0!</v>
      </c>
      <c r="K66" s="57" t="str">
        <f>IFERROR(tbl_Roll[[#This Row],[Qty Required]]/tbl_Roll[[#This Row],[PPH]]*tbl_Roll[[#This Row],['# of men]],"")</f>
        <v/>
      </c>
      <c r="L66" s="58" t="e">
        <f>tbl_Roll[[#This Row],[Total hours]]*tbl_Roll[[#This Row],[% Complete]]</f>
        <v>#VALUE!</v>
      </c>
      <c r="M66" s="59" t="str">
        <f>IFERROR(tbl_Roll[[#This Row],[Qty Complete]]/tbl_Roll[[#This Row],[Total Hours Act]]*tbl_Roll[[#This Row],['# of men Act]],"")</f>
        <v/>
      </c>
      <c r="O66"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66" s="71" t="str">
        <f>IFERROR((tbl_Roll[[#This Row],[Adj. Total Hours]]+tbl_Roll[[#This Row],[Est. Hours]])/(tbl_Roll[[#This Row],[Total Hours Act]]+tbl_Roll[[#This Row],[Act. Hours]]),"")</f>
        <v/>
      </c>
      <c r="S66" s="63"/>
      <c r="T66" s="63"/>
      <c r="U66" s="63"/>
      <c r="V66" s="63"/>
      <c r="W66" s="63"/>
    </row>
    <row r="67" spans="6:23" ht="25" customHeight="1">
      <c r="F67" s="53"/>
      <c r="H67" s="55" t="e">
        <f>tbl_Roll[[#This Row],[Qty Complete]]/tbl_Roll[[#This Row],[Qty Required]]</f>
        <v>#DIV/0!</v>
      </c>
      <c r="K67" s="57" t="str">
        <f>IFERROR(tbl_Roll[[#This Row],[Qty Required]]/tbl_Roll[[#This Row],[PPH]]*tbl_Roll[[#This Row],['# of men]],"")</f>
        <v/>
      </c>
      <c r="L67" s="58" t="e">
        <f>tbl_Roll[[#This Row],[Total hours]]*tbl_Roll[[#This Row],[% Complete]]</f>
        <v>#VALUE!</v>
      </c>
      <c r="M67" s="59" t="str">
        <f>IFERROR(tbl_Roll[[#This Row],[Qty Complete]]/tbl_Roll[[#This Row],[Total Hours Act]]*tbl_Roll[[#This Row],['# of men Act]],"")</f>
        <v/>
      </c>
      <c r="O67"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67" s="71" t="str">
        <f>IFERROR((tbl_Roll[[#This Row],[Adj. Total Hours]]+tbl_Roll[[#This Row],[Est. Hours]])/(tbl_Roll[[#This Row],[Total Hours Act]]+tbl_Roll[[#This Row],[Act. Hours]]),"")</f>
        <v/>
      </c>
      <c r="S67" s="63"/>
      <c r="T67" s="63"/>
      <c r="U67" s="63"/>
      <c r="V67" s="63"/>
      <c r="W67" s="63"/>
    </row>
    <row r="68" spans="6:23" ht="25" customHeight="1">
      <c r="F68" s="53"/>
      <c r="H68" s="55" t="e">
        <f>tbl_Roll[[#This Row],[Qty Complete]]/tbl_Roll[[#This Row],[Qty Required]]</f>
        <v>#DIV/0!</v>
      </c>
      <c r="K68" s="57" t="str">
        <f>IFERROR(tbl_Roll[[#This Row],[Qty Required]]/tbl_Roll[[#This Row],[PPH]]*tbl_Roll[[#This Row],['# of men]],"")</f>
        <v/>
      </c>
      <c r="L68" s="58" t="e">
        <f>tbl_Roll[[#This Row],[Total hours]]*tbl_Roll[[#This Row],[% Complete]]</f>
        <v>#VALUE!</v>
      </c>
      <c r="M68" s="59" t="str">
        <f>IFERROR(tbl_Roll[[#This Row],[Qty Complete]]/tbl_Roll[[#This Row],[Total Hours Act]]*tbl_Roll[[#This Row],['# of men Act]],"")</f>
        <v/>
      </c>
      <c r="O68"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68" s="71" t="str">
        <f>IFERROR((tbl_Roll[[#This Row],[Adj. Total Hours]]+tbl_Roll[[#This Row],[Est. Hours]])/(tbl_Roll[[#This Row],[Total Hours Act]]+tbl_Roll[[#This Row],[Act. Hours]]),"")</f>
        <v/>
      </c>
      <c r="S68" s="63"/>
      <c r="T68" s="63"/>
      <c r="U68" s="63"/>
      <c r="V68" s="63"/>
      <c r="W68" s="63"/>
    </row>
    <row r="69" spans="6:23" ht="25" customHeight="1">
      <c r="F69" s="53"/>
      <c r="H69" s="55" t="e">
        <f>tbl_Roll[[#This Row],[Qty Complete]]/tbl_Roll[[#This Row],[Qty Required]]</f>
        <v>#DIV/0!</v>
      </c>
      <c r="K69" s="57" t="str">
        <f>IFERROR(tbl_Roll[[#This Row],[Qty Required]]/tbl_Roll[[#This Row],[PPH]]*tbl_Roll[[#This Row],['# of men]],"")</f>
        <v/>
      </c>
      <c r="L69" s="58" t="e">
        <f>tbl_Roll[[#This Row],[Total hours]]*tbl_Roll[[#This Row],[% Complete]]</f>
        <v>#VALUE!</v>
      </c>
      <c r="M69" s="59" t="str">
        <f>IFERROR(tbl_Roll[[#This Row],[Qty Complete]]/tbl_Roll[[#This Row],[Total Hours Act]]*tbl_Roll[[#This Row],['# of men Act]],"")</f>
        <v/>
      </c>
      <c r="O69"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69" s="71" t="str">
        <f>IFERROR((tbl_Roll[[#This Row],[Adj. Total Hours]]+tbl_Roll[[#This Row],[Est. Hours]])/(tbl_Roll[[#This Row],[Total Hours Act]]+tbl_Roll[[#This Row],[Act. Hours]]),"")</f>
        <v/>
      </c>
      <c r="S69" s="63"/>
      <c r="T69" s="63"/>
      <c r="U69" s="63"/>
      <c r="V69" s="63"/>
      <c r="W69" s="63"/>
    </row>
    <row r="70" spans="6:23" ht="25" customHeight="1">
      <c r="F70" s="53"/>
      <c r="H70" s="55" t="e">
        <f>tbl_Roll[[#This Row],[Qty Complete]]/tbl_Roll[[#This Row],[Qty Required]]</f>
        <v>#DIV/0!</v>
      </c>
      <c r="K70" s="57" t="str">
        <f>IFERROR(tbl_Roll[[#This Row],[Qty Required]]/tbl_Roll[[#This Row],[PPH]]*tbl_Roll[[#This Row],['# of men]],"")</f>
        <v/>
      </c>
      <c r="L70" s="58" t="e">
        <f>tbl_Roll[[#This Row],[Total hours]]*tbl_Roll[[#This Row],[% Complete]]</f>
        <v>#VALUE!</v>
      </c>
      <c r="M70" s="59" t="str">
        <f>IFERROR(tbl_Roll[[#This Row],[Qty Complete]]/tbl_Roll[[#This Row],[Total Hours Act]]*tbl_Roll[[#This Row],['# of men Act]],"")</f>
        <v/>
      </c>
      <c r="O70"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70" s="71" t="str">
        <f>IFERROR((tbl_Roll[[#This Row],[Adj. Total Hours]]+tbl_Roll[[#This Row],[Est. Hours]])/(tbl_Roll[[#This Row],[Total Hours Act]]+tbl_Roll[[#This Row],[Act. Hours]]),"")</f>
        <v/>
      </c>
      <c r="S70" s="63"/>
      <c r="T70" s="63"/>
      <c r="U70" s="63"/>
      <c r="V70" s="63"/>
      <c r="W70" s="63"/>
    </row>
    <row r="71" spans="6:23" ht="25" customHeight="1">
      <c r="F71" s="53"/>
      <c r="H71" s="55" t="e">
        <f>tbl_Roll[[#This Row],[Qty Complete]]/tbl_Roll[[#This Row],[Qty Required]]</f>
        <v>#DIV/0!</v>
      </c>
      <c r="K71" s="57" t="str">
        <f>IFERROR(tbl_Roll[[#This Row],[Qty Required]]/tbl_Roll[[#This Row],[PPH]]*tbl_Roll[[#This Row],['# of men]],"")</f>
        <v/>
      </c>
      <c r="L71" s="58" t="e">
        <f>tbl_Roll[[#This Row],[Total hours]]*tbl_Roll[[#This Row],[% Complete]]</f>
        <v>#VALUE!</v>
      </c>
      <c r="M71" s="59" t="str">
        <f>IFERROR(tbl_Roll[[#This Row],[Qty Complete]]/tbl_Roll[[#This Row],[Total Hours Act]]*tbl_Roll[[#This Row],['# of men Act]],"")</f>
        <v/>
      </c>
      <c r="O71"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71" s="71" t="str">
        <f>IFERROR((tbl_Roll[[#This Row],[Adj. Total Hours]]+tbl_Roll[[#This Row],[Est. Hours]])/(tbl_Roll[[#This Row],[Total Hours Act]]+tbl_Roll[[#This Row],[Act. Hours]]),"")</f>
        <v/>
      </c>
      <c r="S71" s="63"/>
      <c r="T71" s="63"/>
      <c r="U71" s="63"/>
      <c r="V71" s="63"/>
      <c r="W71" s="63"/>
    </row>
    <row r="72" spans="6:23" ht="25" customHeight="1">
      <c r="F72" s="53"/>
      <c r="H72" s="55" t="e">
        <f>tbl_Roll[[#This Row],[Qty Complete]]/tbl_Roll[[#This Row],[Qty Required]]</f>
        <v>#DIV/0!</v>
      </c>
      <c r="K72" s="57" t="str">
        <f>IFERROR(tbl_Roll[[#This Row],[Qty Required]]/tbl_Roll[[#This Row],[PPH]]*tbl_Roll[[#This Row],['# of men]],"")</f>
        <v/>
      </c>
      <c r="L72" s="58" t="e">
        <f>tbl_Roll[[#This Row],[Total hours]]*tbl_Roll[[#This Row],[% Complete]]</f>
        <v>#VALUE!</v>
      </c>
      <c r="M72" s="59" t="str">
        <f>IFERROR(tbl_Roll[[#This Row],[Qty Complete]]/tbl_Roll[[#This Row],[Total Hours Act]]*tbl_Roll[[#This Row],['# of men Act]],"")</f>
        <v/>
      </c>
      <c r="O72"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72" s="71" t="str">
        <f>IFERROR((tbl_Roll[[#This Row],[Adj. Total Hours]]+tbl_Roll[[#This Row],[Est. Hours]])/(tbl_Roll[[#This Row],[Total Hours Act]]+tbl_Roll[[#This Row],[Act. Hours]]),"")</f>
        <v/>
      </c>
      <c r="S72" s="63"/>
      <c r="T72" s="63"/>
      <c r="U72" s="63"/>
      <c r="V72" s="63"/>
      <c r="W72" s="63"/>
    </row>
    <row r="73" spans="6:23" ht="25" customHeight="1">
      <c r="F73" s="53"/>
      <c r="H73" s="55" t="e">
        <f>tbl_Roll[[#This Row],[Qty Complete]]/tbl_Roll[[#This Row],[Qty Required]]</f>
        <v>#DIV/0!</v>
      </c>
      <c r="K73" s="57" t="str">
        <f>IFERROR(tbl_Roll[[#This Row],[Qty Required]]/tbl_Roll[[#This Row],[PPH]]*tbl_Roll[[#This Row],['# of men]],"")</f>
        <v/>
      </c>
      <c r="L73" s="58" t="e">
        <f>tbl_Roll[[#This Row],[Total hours]]*tbl_Roll[[#This Row],[% Complete]]</f>
        <v>#VALUE!</v>
      </c>
      <c r="M73" s="59" t="str">
        <f>IFERROR(tbl_Roll[[#This Row],[Qty Complete]]/tbl_Roll[[#This Row],[Total Hours Act]]*tbl_Roll[[#This Row],['# of men Act]],"")</f>
        <v/>
      </c>
      <c r="O73"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73" s="71" t="str">
        <f>IFERROR((tbl_Roll[[#This Row],[Adj. Total Hours]]+tbl_Roll[[#This Row],[Est. Hours]])/(tbl_Roll[[#This Row],[Total Hours Act]]+tbl_Roll[[#This Row],[Act. Hours]]),"")</f>
        <v/>
      </c>
      <c r="S73" s="63"/>
      <c r="T73" s="63"/>
      <c r="U73" s="63"/>
      <c r="V73" s="63"/>
      <c r="W73" s="63"/>
    </row>
    <row r="74" spans="6:23" ht="25" customHeight="1">
      <c r="F74" s="53"/>
      <c r="H74" s="55" t="e">
        <f>tbl_Roll[[#This Row],[Qty Complete]]/tbl_Roll[[#This Row],[Qty Required]]</f>
        <v>#DIV/0!</v>
      </c>
      <c r="K74" s="57" t="str">
        <f>IFERROR(tbl_Roll[[#This Row],[Qty Required]]/tbl_Roll[[#This Row],[PPH]]*tbl_Roll[[#This Row],['# of men]],"")</f>
        <v/>
      </c>
      <c r="L74" s="58" t="e">
        <f>tbl_Roll[[#This Row],[Total hours]]*tbl_Roll[[#This Row],[% Complete]]</f>
        <v>#VALUE!</v>
      </c>
      <c r="M74" s="59" t="str">
        <f>IFERROR(tbl_Roll[[#This Row],[Qty Complete]]/tbl_Roll[[#This Row],[Total Hours Act]]*tbl_Roll[[#This Row],['# of men Act]],"")</f>
        <v/>
      </c>
      <c r="O74"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74" s="71" t="str">
        <f>IFERROR((tbl_Roll[[#This Row],[Adj. Total Hours]]+tbl_Roll[[#This Row],[Est. Hours]])/(tbl_Roll[[#This Row],[Total Hours Act]]+tbl_Roll[[#This Row],[Act. Hours]]),"")</f>
        <v/>
      </c>
      <c r="S74" s="63"/>
      <c r="T74" s="63"/>
      <c r="U74" s="63"/>
      <c r="V74" s="63"/>
      <c r="W74" s="63"/>
    </row>
    <row r="75" spans="6:23" ht="25" customHeight="1">
      <c r="F75" s="53"/>
      <c r="H75" s="55" t="e">
        <f>tbl_Roll[[#This Row],[Qty Complete]]/tbl_Roll[[#This Row],[Qty Required]]</f>
        <v>#DIV/0!</v>
      </c>
      <c r="K75" s="57" t="str">
        <f>IFERROR(tbl_Roll[[#This Row],[Qty Required]]/tbl_Roll[[#This Row],[PPH]]*tbl_Roll[[#This Row],['# of men]],"")</f>
        <v/>
      </c>
      <c r="L75" s="58" t="e">
        <f>tbl_Roll[[#This Row],[Total hours]]*tbl_Roll[[#This Row],[% Complete]]</f>
        <v>#VALUE!</v>
      </c>
      <c r="M75" s="59" t="str">
        <f>IFERROR(tbl_Roll[[#This Row],[Qty Complete]]/tbl_Roll[[#This Row],[Total Hours Act]]*tbl_Roll[[#This Row],['# of men Act]],"")</f>
        <v/>
      </c>
      <c r="O75"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75" s="71" t="str">
        <f>IFERROR((tbl_Roll[[#This Row],[Adj. Total Hours]]+tbl_Roll[[#This Row],[Est. Hours]])/(tbl_Roll[[#This Row],[Total Hours Act]]+tbl_Roll[[#This Row],[Act. Hours]]),"")</f>
        <v/>
      </c>
      <c r="S75" s="63"/>
      <c r="T75" s="63"/>
      <c r="U75" s="63"/>
      <c r="V75" s="63"/>
      <c r="W75" s="63"/>
    </row>
    <row r="76" spans="6:23" ht="25" customHeight="1">
      <c r="F76" s="53"/>
      <c r="H76" s="55" t="e">
        <f>tbl_Roll[[#This Row],[Qty Complete]]/tbl_Roll[[#This Row],[Qty Required]]</f>
        <v>#DIV/0!</v>
      </c>
      <c r="K76" s="57" t="str">
        <f>IFERROR(tbl_Roll[[#This Row],[Qty Required]]/tbl_Roll[[#This Row],[PPH]]*tbl_Roll[[#This Row],['# of men]],"")</f>
        <v/>
      </c>
      <c r="L76" s="58" t="e">
        <f>tbl_Roll[[#This Row],[Total hours]]*tbl_Roll[[#This Row],[% Complete]]</f>
        <v>#VALUE!</v>
      </c>
      <c r="M76" s="59" t="str">
        <f>IFERROR(tbl_Roll[[#This Row],[Qty Complete]]/tbl_Roll[[#This Row],[Total Hours Act]]*tbl_Roll[[#This Row],['# of men Act]],"")</f>
        <v/>
      </c>
      <c r="O76"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76" s="71" t="str">
        <f>IFERROR((tbl_Roll[[#This Row],[Adj. Total Hours]]+tbl_Roll[[#This Row],[Est. Hours]])/(tbl_Roll[[#This Row],[Total Hours Act]]+tbl_Roll[[#This Row],[Act. Hours]]),"")</f>
        <v/>
      </c>
      <c r="S76" s="63"/>
      <c r="T76" s="63"/>
      <c r="U76" s="63"/>
      <c r="V76" s="63"/>
      <c r="W76" s="63"/>
    </row>
    <row r="77" spans="6:23" ht="25" customHeight="1">
      <c r="F77" s="53"/>
      <c r="H77" s="55" t="e">
        <f>tbl_Roll[[#This Row],[Qty Complete]]/tbl_Roll[[#This Row],[Qty Required]]</f>
        <v>#DIV/0!</v>
      </c>
      <c r="K77" s="57" t="str">
        <f>IFERROR(tbl_Roll[[#This Row],[Qty Required]]/tbl_Roll[[#This Row],[PPH]]*tbl_Roll[[#This Row],['# of men]],"")</f>
        <v/>
      </c>
      <c r="L77" s="58" t="e">
        <f>tbl_Roll[[#This Row],[Total hours]]*tbl_Roll[[#This Row],[% Complete]]</f>
        <v>#VALUE!</v>
      </c>
      <c r="M77" s="59" t="str">
        <f>IFERROR(tbl_Roll[[#This Row],[Qty Complete]]/tbl_Roll[[#This Row],[Total Hours Act]]*tbl_Roll[[#This Row],['# of men Act]],"")</f>
        <v/>
      </c>
      <c r="O77"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77" s="71" t="str">
        <f>IFERROR((tbl_Roll[[#This Row],[Adj. Total Hours]]+tbl_Roll[[#This Row],[Est. Hours]])/(tbl_Roll[[#This Row],[Total Hours Act]]+tbl_Roll[[#This Row],[Act. Hours]]),"")</f>
        <v/>
      </c>
      <c r="S77" s="63"/>
      <c r="T77" s="63"/>
      <c r="U77" s="63"/>
      <c r="V77" s="63"/>
      <c r="W77" s="63"/>
    </row>
    <row r="78" spans="6:23" ht="25" customHeight="1">
      <c r="F78" s="53"/>
      <c r="H78" s="55" t="e">
        <f>tbl_Roll[[#This Row],[Qty Complete]]/tbl_Roll[[#This Row],[Qty Required]]</f>
        <v>#DIV/0!</v>
      </c>
      <c r="K78" s="57" t="str">
        <f>IFERROR(tbl_Roll[[#This Row],[Qty Required]]/tbl_Roll[[#This Row],[PPH]]*tbl_Roll[[#This Row],['# of men]],"")</f>
        <v/>
      </c>
      <c r="L78" s="58" t="e">
        <f>tbl_Roll[[#This Row],[Total hours]]*tbl_Roll[[#This Row],[% Complete]]</f>
        <v>#VALUE!</v>
      </c>
      <c r="M78" s="59" t="str">
        <f>IFERROR(tbl_Roll[[#This Row],[Qty Complete]]/tbl_Roll[[#This Row],[Total Hours Act]]*tbl_Roll[[#This Row],['# of men Act]],"")</f>
        <v/>
      </c>
      <c r="O78"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78" s="71" t="str">
        <f>IFERROR((tbl_Roll[[#This Row],[Adj. Total Hours]]+tbl_Roll[[#This Row],[Est. Hours]])/(tbl_Roll[[#This Row],[Total Hours Act]]+tbl_Roll[[#This Row],[Act. Hours]]),"")</f>
        <v/>
      </c>
      <c r="S78" s="63"/>
      <c r="T78" s="63"/>
      <c r="U78" s="63"/>
      <c r="V78" s="63"/>
      <c r="W78" s="63"/>
    </row>
    <row r="79" spans="6:23" ht="25" customHeight="1">
      <c r="F79" s="53"/>
      <c r="H79" s="55" t="e">
        <f>tbl_Roll[[#This Row],[Qty Complete]]/tbl_Roll[[#This Row],[Qty Required]]</f>
        <v>#DIV/0!</v>
      </c>
      <c r="K79" s="57" t="str">
        <f>IFERROR(tbl_Roll[[#This Row],[Qty Required]]/tbl_Roll[[#This Row],[PPH]]*tbl_Roll[[#This Row],['# of men]],"")</f>
        <v/>
      </c>
      <c r="L79" s="58" t="e">
        <f>tbl_Roll[[#This Row],[Total hours]]*tbl_Roll[[#This Row],[% Complete]]</f>
        <v>#VALUE!</v>
      </c>
      <c r="M79" s="59" t="str">
        <f>IFERROR(tbl_Roll[[#This Row],[Qty Complete]]/tbl_Roll[[#This Row],[Total Hours Act]]*tbl_Roll[[#This Row],['# of men Act]],"")</f>
        <v/>
      </c>
      <c r="O79"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79" s="71" t="str">
        <f>IFERROR((tbl_Roll[[#This Row],[Adj. Total Hours]]+tbl_Roll[[#This Row],[Est. Hours]])/(tbl_Roll[[#This Row],[Total Hours Act]]+tbl_Roll[[#This Row],[Act. Hours]]),"")</f>
        <v/>
      </c>
      <c r="S79" s="63"/>
      <c r="T79" s="63"/>
      <c r="U79" s="63"/>
      <c r="V79" s="63"/>
      <c r="W79" s="63"/>
    </row>
    <row r="80" spans="6:23" ht="25" customHeight="1">
      <c r="F80" s="53"/>
      <c r="H80" s="55" t="e">
        <f>tbl_Roll[[#This Row],[Qty Complete]]/tbl_Roll[[#This Row],[Qty Required]]</f>
        <v>#DIV/0!</v>
      </c>
      <c r="K80" s="57" t="str">
        <f>IFERROR(tbl_Roll[[#This Row],[Qty Required]]/tbl_Roll[[#This Row],[PPH]]*tbl_Roll[[#This Row],['# of men]],"")</f>
        <v/>
      </c>
      <c r="L80" s="58" t="e">
        <f>tbl_Roll[[#This Row],[Total hours]]*tbl_Roll[[#This Row],[% Complete]]</f>
        <v>#VALUE!</v>
      </c>
      <c r="M80" s="59" t="str">
        <f>IFERROR(tbl_Roll[[#This Row],[Qty Complete]]/tbl_Roll[[#This Row],[Total Hours Act]]*tbl_Roll[[#This Row],['# of men Act]],"")</f>
        <v/>
      </c>
      <c r="O80"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80" s="71" t="str">
        <f>IFERROR((tbl_Roll[[#This Row],[Adj. Total Hours]]+tbl_Roll[[#This Row],[Est. Hours]])/(tbl_Roll[[#This Row],[Total Hours Act]]+tbl_Roll[[#This Row],[Act. Hours]]),"")</f>
        <v/>
      </c>
      <c r="S80" s="63"/>
      <c r="T80" s="63"/>
      <c r="U80" s="63"/>
      <c r="V80" s="63"/>
      <c r="W80" s="63"/>
    </row>
    <row r="81" spans="6:23" ht="25" customHeight="1">
      <c r="F81" s="53"/>
      <c r="H81" s="55" t="e">
        <f>tbl_Roll[[#This Row],[Qty Complete]]/tbl_Roll[[#This Row],[Qty Required]]</f>
        <v>#DIV/0!</v>
      </c>
      <c r="K81" s="57" t="str">
        <f>IFERROR(tbl_Roll[[#This Row],[Qty Required]]/tbl_Roll[[#This Row],[PPH]]*tbl_Roll[[#This Row],['# of men]],"")</f>
        <v/>
      </c>
      <c r="L81" s="58" t="e">
        <f>tbl_Roll[[#This Row],[Total hours]]*tbl_Roll[[#This Row],[% Complete]]</f>
        <v>#VALUE!</v>
      </c>
      <c r="M81" s="59" t="str">
        <f>IFERROR(tbl_Roll[[#This Row],[Qty Complete]]/tbl_Roll[[#This Row],[Total Hours Act]]*tbl_Roll[[#This Row],['# of men Act]],"")</f>
        <v/>
      </c>
      <c r="O81"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81" s="71" t="str">
        <f>IFERROR((tbl_Roll[[#This Row],[Adj. Total Hours]]+tbl_Roll[[#This Row],[Est. Hours]])/(tbl_Roll[[#This Row],[Total Hours Act]]+tbl_Roll[[#This Row],[Act. Hours]]),"")</f>
        <v/>
      </c>
      <c r="S81" s="63"/>
      <c r="T81" s="63"/>
      <c r="U81" s="63"/>
      <c r="V81" s="63"/>
      <c r="W81" s="63"/>
    </row>
    <row r="82" spans="6:23" ht="25" customHeight="1">
      <c r="F82" s="53"/>
      <c r="H82" s="55" t="e">
        <f>tbl_Roll[[#This Row],[Qty Complete]]/tbl_Roll[[#This Row],[Qty Required]]</f>
        <v>#DIV/0!</v>
      </c>
      <c r="K82" s="57" t="str">
        <f>IFERROR(tbl_Roll[[#This Row],[Qty Required]]/tbl_Roll[[#This Row],[PPH]]*tbl_Roll[[#This Row],['# of men]],"")</f>
        <v/>
      </c>
      <c r="L82" s="58" t="e">
        <f>tbl_Roll[[#This Row],[Total hours]]*tbl_Roll[[#This Row],[% Complete]]</f>
        <v>#VALUE!</v>
      </c>
      <c r="M82" s="59" t="str">
        <f>IFERROR(tbl_Roll[[#This Row],[Qty Complete]]/tbl_Roll[[#This Row],[Total Hours Act]]*tbl_Roll[[#This Row],['# of men Act]],"")</f>
        <v/>
      </c>
      <c r="O82"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82" s="71" t="str">
        <f>IFERROR((tbl_Roll[[#This Row],[Adj. Total Hours]]+tbl_Roll[[#This Row],[Est. Hours]])/(tbl_Roll[[#This Row],[Total Hours Act]]+tbl_Roll[[#This Row],[Act. Hours]]),"")</f>
        <v/>
      </c>
      <c r="S82" s="63"/>
      <c r="T82" s="63"/>
      <c r="U82" s="63"/>
      <c r="V82" s="63"/>
      <c r="W82" s="63"/>
    </row>
    <row r="83" spans="6:23" ht="25" customHeight="1">
      <c r="F83" s="53"/>
      <c r="H83" s="55" t="e">
        <f>tbl_Roll[[#This Row],[Qty Complete]]/tbl_Roll[[#This Row],[Qty Required]]</f>
        <v>#DIV/0!</v>
      </c>
      <c r="K83" s="57" t="str">
        <f>IFERROR(tbl_Roll[[#This Row],[Qty Required]]/tbl_Roll[[#This Row],[PPH]]*tbl_Roll[[#This Row],['# of men]],"")</f>
        <v/>
      </c>
      <c r="L83" s="58" t="e">
        <f>tbl_Roll[[#This Row],[Total hours]]*tbl_Roll[[#This Row],[% Complete]]</f>
        <v>#VALUE!</v>
      </c>
      <c r="M83" s="59" t="str">
        <f>IFERROR(tbl_Roll[[#This Row],[Qty Complete]]/tbl_Roll[[#This Row],[Total Hours Act]]*tbl_Roll[[#This Row],['# of men Act]],"")</f>
        <v/>
      </c>
      <c r="O83"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83" s="71" t="str">
        <f>IFERROR((tbl_Roll[[#This Row],[Adj. Total Hours]]+tbl_Roll[[#This Row],[Est. Hours]])/(tbl_Roll[[#This Row],[Total Hours Act]]+tbl_Roll[[#This Row],[Act. Hours]]),"")</f>
        <v/>
      </c>
      <c r="S83" s="63"/>
      <c r="T83" s="63"/>
      <c r="U83" s="63"/>
      <c r="V83" s="63"/>
      <c r="W83" s="63"/>
    </row>
    <row r="84" spans="6:23" ht="25" customHeight="1">
      <c r="F84" s="53"/>
      <c r="H84" s="55" t="e">
        <f>tbl_Roll[[#This Row],[Qty Complete]]/tbl_Roll[[#This Row],[Qty Required]]</f>
        <v>#DIV/0!</v>
      </c>
      <c r="K84" s="57" t="str">
        <f>IFERROR(tbl_Roll[[#This Row],[Qty Required]]/tbl_Roll[[#This Row],[PPH]]*tbl_Roll[[#This Row],['# of men]],"")</f>
        <v/>
      </c>
      <c r="L84" s="58" t="e">
        <f>tbl_Roll[[#This Row],[Total hours]]*tbl_Roll[[#This Row],[% Complete]]</f>
        <v>#VALUE!</v>
      </c>
      <c r="M84" s="59" t="str">
        <f>IFERROR(tbl_Roll[[#This Row],[Qty Complete]]/tbl_Roll[[#This Row],[Total Hours Act]]*tbl_Roll[[#This Row],['# of men Act]],"")</f>
        <v/>
      </c>
      <c r="O84"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84" s="71" t="str">
        <f>IFERROR((tbl_Roll[[#This Row],[Adj. Total Hours]]+tbl_Roll[[#This Row],[Est. Hours]])/(tbl_Roll[[#This Row],[Total Hours Act]]+tbl_Roll[[#This Row],[Act. Hours]]),"")</f>
        <v/>
      </c>
      <c r="S84" s="63"/>
      <c r="T84" s="63"/>
      <c r="U84" s="63"/>
      <c r="V84" s="63"/>
      <c r="W84" s="63"/>
    </row>
    <row r="85" spans="6:23" ht="25" customHeight="1">
      <c r="F85" s="53"/>
      <c r="H85" s="55" t="e">
        <f>tbl_Roll[[#This Row],[Qty Complete]]/tbl_Roll[[#This Row],[Qty Required]]</f>
        <v>#DIV/0!</v>
      </c>
      <c r="K85" s="57" t="str">
        <f>IFERROR(tbl_Roll[[#This Row],[Qty Required]]/tbl_Roll[[#This Row],[PPH]]*tbl_Roll[[#This Row],['# of men]],"")</f>
        <v/>
      </c>
      <c r="L85" s="58" t="e">
        <f>tbl_Roll[[#This Row],[Total hours]]*tbl_Roll[[#This Row],[% Complete]]</f>
        <v>#VALUE!</v>
      </c>
      <c r="M85" s="59" t="str">
        <f>IFERROR(tbl_Roll[[#This Row],[Qty Complete]]/tbl_Roll[[#This Row],[Total Hours Act]]*tbl_Roll[[#This Row],['# of men Act]],"")</f>
        <v/>
      </c>
      <c r="O85"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85" s="71" t="str">
        <f>IFERROR((tbl_Roll[[#This Row],[Adj. Total Hours]]+tbl_Roll[[#This Row],[Est. Hours]])/(tbl_Roll[[#This Row],[Total Hours Act]]+tbl_Roll[[#This Row],[Act. Hours]]),"")</f>
        <v/>
      </c>
      <c r="S85" s="63"/>
      <c r="T85" s="63"/>
      <c r="U85" s="63"/>
      <c r="V85" s="63"/>
      <c r="W85" s="63"/>
    </row>
    <row r="86" spans="6:23" ht="25" customHeight="1">
      <c r="F86" s="53"/>
      <c r="H86" s="55" t="e">
        <f>tbl_Roll[[#This Row],[Qty Complete]]/tbl_Roll[[#This Row],[Qty Required]]</f>
        <v>#DIV/0!</v>
      </c>
      <c r="K86" s="57" t="str">
        <f>IFERROR(tbl_Roll[[#This Row],[Qty Required]]/tbl_Roll[[#This Row],[PPH]]*tbl_Roll[[#This Row],['# of men]],"")</f>
        <v/>
      </c>
      <c r="L86" s="58" t="e">
        <f>tbl_Roll[[#This Row],[Total hours]]*tbl_Roll[[#This Row],[% Complete]]</f>
        <v>#VALUE!</v>
      </c>
      <c r="M86" s="59" t="str">
        <f>IFERROR(tbl_Roll[[#This Row],[Qty Complete]]/tbl_Roll[[#This Row],[Total Hours Act]]*tbl_Roll[[#This Row],['# of men Act]],"")</f>
        <v/>
      </c>
      <c r="O86"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86" s="71" t="str">
        <f>IFERROR((tbl_Roll[[#This Row],[Adj. Total Hours]]+tbl_Roll[[#This Row],[Est. Hours]])/(tbl_Roll[[#This Row],[Total Hours Act]]+tbl_Roll[[#This Row],[Act. Hours]]),"")</f>
        <v/>
      </c>
      <c r="S86" s="63"/>
      <c r="T86" s="63"/>
      <c r="U86" s="63"/>
      <c r="V86" s="63"/>
      <c r="W86" s="63"/>
    </row>
    <row r="87" spans="6:23" ht="25" customHeight="1">
      <c r="F87" s="53"/>
      <c r="H87" s="55" t="e">
        <f>tbl_Roll[[#This Row],[Qty Complete]]/tbl_Roll[[#This Row],[Qty Required]]</f>
        <v>#DIV/0!</v>
      </c>
      <c r="K87" s="57" t="str">
        <f>IFERROR(tbl_Roll[[#This Row],[Qty Required]]/tbl_Roll[[#This Row],[PPH]]*tbl_Roll[[#This Row],['# of men]],"")</f>
        <v/>
      </c>
      <c r="L87" s="58" t="e">
        <f>tbl_Roll[[#This Row],[Total hours]]*tbl_Roll[[#This Row],[% Complete]]</f>
        <v>#VALUE!</v>
      </c>
      <c r="M87" s="59" t="str">
        <f>IFERROR(tbl_Roll[[#This Row],[Qty Complete]]/tbl_Roll[[#This Row],[Total Hours Act]]*tbl_Roll[[#This Row],['# of men Act]],"")</f>
        <v/>
      </c>
      <c r="O87"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87" s="71" t="str">
        <f>IFERROR((tbl_Roll[[#This Row],[Adj. Total Hours]]+tbl_Roll[[#This Row],[Est. Hours]])/(tbl_Roll[[#This Row],[Total Hours Act]]+tbl_Roll[[#This Row],[Act. Hours]]),"")</f>
        <v/>
      </c>
      <c r="S87" s="63"/>
      <c r="T87" s="63"/>
      <c r="U87" s="63"/>
      <c r="V87" s="63"/>
      <c r="W87" s="63"/>
    </row>
    <row r="88" spans="6:23" ht="25" customHeight="1">
      <c r="F88" s="53"/>
      <c r="H88" s="55" t="e">
        <f>tbl_Roll[[#This Row],[Qty Complete]]/tbl_Roll[[#This Row],[Qty Required]]</f>
        <v>#DIV/0!</v>
      </c>
      <c r="K88" s="57" t="str">
        <f>IFERROR(tbl_Roll[[#This Row],[Qty Required]]/tbl_Roll[[#This Row],[PPH]]*tbl_Roll[[#This Row],['# of men]],"")</f>
        <v/>
      </c>
      <c r="L88" s="58" t="e">
        <f>tbl_Roll[[#This Row],[Total hours]]*tbl_Roll[[#This Row],[% Complete]]</f>
        <v>#VALUE!</v>
      </c>
      <c r="M88" s="59" t="str">
        <f>IFERROR(tbl_Roll[[#This Row],[Qty Complete]]/tbl_Roll[[#This Row],[Total Hours Act]]*tbl_Roll[[#This Row],['# of men Act]],"")</f>
        <v/>
      </c>
      <c r="O88"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88" s="71" t="str">
        <f>IFERROR((tbl_Roll[[#This Row],[Adj. Total Hours]]+tbl_Roll[[#This Row],[Est. Hours]])/(tbl_Roll[[#This Row],[Total Hours Act]]+tbl_Roll[[#This Row],[Act. Hours]]),"")</f>
        <v/>
      </c>
      <c r="S88" s="63"/>
      <c r="T88" s="63"/>
      <c r="U88" s="63"/>
      <c r="V88" s="63"/>
      <c r="W88" s="63"/>
    </row>
    <row r="89" spans="6:23" ht="25" customHeight="1">
      <c r="F89" s="53"/>
      <c r="H89" s="55" t="e">
        <f>tbl_Roll[[#This Row],[Qty Complete]]/tbl_Roll[[#This Row],[Qty Required]]</f>
        <v>#DIV/0!</v>
      </c>
      <c r="K89" s="57" t="str">
        <f>IFERROR(tbl_Roll[[#This Row],[Qty Required]]/tbl_Roll[[#This Row],[PPH]]*tbl_Roll[[#This Row],['# of men]],"")</f>
        <v/>
      </c>
      <c r="L89" s="58" t="e">
        <f>tbl_Roll[[#This Row],[Total hours]]*tbl_Roll[[#This Row],[% Complete]]</f>
        <v>#VALUE!</v>
      </c>
      <c r="M89" s="59" t="str">
        <f>IFERROR(tbl_Roll[[#This Row],[Qty Complete]]/tbl_Roll[[#This Row],[Total Hours Act]]*tbl_Roll[[#This Row],['# of men Act]],"")</f>
        <v/>
      </c>
      <c r="O89"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89" s="71" t="str">
        <f>IFERROR((tbl_Roll[[#This Row],[Adj. Total Hours]]+tbl_Roll[[#This Row],[Est. Hours]])/(tbl_Roll[[#This Row],[Total Hours Act]]+tbl_Roll[[#This Row],[Act. Hours]]),"")</f>
        <v/>
      </c>
      <c r="S89" s="63"/>
      <c r="T89" s="63"/>
      <c r="U89" s="63"/>
      <c r="V89" s="63"/>
      <c r="W89" s="63"/>
    </row>
    <row r="90" spans="6:23" ht="25" customHeight="1">
      <c r="F90" s="53"/>
      <c r="H90" s="55" t="e">
        <f>tbl_Roll[[#This Row],[Qty Complete]]/tbl_Roll[[#This Row],[Qty Required]]</f>
        <v>#DIV/0!</v>
      </c>
      <c r="K90" s="57" t="str">
        <f>IFERROR(tbl_Roll[[#This Row],[Qty Required]]/tbl_Roll[[#This Row],[PPH]]*tbl_Roll[[#This Row],['# of men]],"")</f>
        <v/>
      </c>
      <c r="L90" s="58" t="e">
        <f>tbl_Roll[[#This Row],[Total hours]]*tbl_Roll[[#This Row],[% Complete]]</f>
        <v>#VALUE!</v>
      </c>
      <c r="M90" s="59" t="str">
        <f>IFERROR(tbl_Roll[[#This Row],[Qty Complete]]/tbl_Roll[[#This Row],[Total Hours Act]]*tbl_Roll[[#This Row],['# of men Act]],"")</f>
        <v/>
      </c>
      <c r="O90"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90" s="71" t="str">
        <f>IFERROR((tbl_Roll[[#This Row],[Adj. Total Hours]]+tbl_Roll[[#This Row],[Est. Hours]])/(tbl_Roll[[#This Row],[Total Hours Act]]+tbl_Roll[[#This Row],[Act. Hours]]),"")</f>
        <v/>
      </c>
      <c r="S90" s="63"/>
      <c r="T90" s="63"/>
      <c r="U90" s="63"/>
      <c r="V90" s="63"/>
      <c r="W90" s="63"/>
    </row>
    <row r="91" spans="6:23" ht="25" customHeight="1">
      <c r="F91" s="53"/>
      <c r="H91" s="55" t="e">
        <f>tbl_Roll[[#This Row],[Qty Complete]]/tbl_Roll[[#This Row],[Qty Required]]</f>
        <v>#DIV/0!</v>
      </c>
      <c r="K91" s="57" t="str">
        <f>IFERROR(tbl_Roll[[#This Row],[Qty Required]]/tbl_Roll[[#This Row],[PPH]]*tbl_Roll[[#This Row],['# of men]],"")</f>
        <v/>
      </c>
      <c r="L91" s="58" t="e">
        <f>tbl_Roll[[#This Row],[Total hours]]*tbl_Roll[[#This Row],[% Complete]]</f>
        <v>#VALUE!</v>
      </c>
      <c r="M91" s="59" t="str">
        <f>IFERROR(tbl_Roll[[#This Row],[Qty Complete]]/tbl_Roll[[#This Row],[Total Hours Act]]*tbl_Roll[[#This Row],['# of men Act]],"")</f>
        <v/>
      </c>
      <c r="O91"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91" s="71" t="str">
        <f>IFERROR((tbl_Roll[[#This Row],[Adj. Total Hours]]+tbl_Roll[[#This Row],[Est. Hours]])/(tbl_Roll[[#This Row],[Total Hours Act]]+tbl_Roll[[#This Row],[Act. Hours]]),"")</f>
        <v/>
      </c>
      <c r="S91" s="63"/>
      <c r="T91" s="63"/>
      <c r="U91" s="63"/>
      <c r="V91" s="63"/>
      <c r="W91" s="63"/>
    </row>
    <row r="92" spans="6:23" ht="25" customHeight="1">
      <c r="F92" s="53"/>
      <c r="H92" s="55" t="e">
        <f>tbl_Roll[[#This Row],[Qty Complete]]/tbl_Roll[[#This Row],[Qty Required]]</f>
        <v>#DIV/0!</v>
      </c>
      <c r="K92" s="57" t="str">
        <f>IFERROR(tbl_Roll[[#This Row],[Qty Required]]/tbl_Roll[[#This Row],[PPH]]*tbl_Roll[[#This Row],['# of men]],"")</f>
        <v/>
      </c>
      <c r="L92" s="58" t="e">
        <f>tbl_Roll[[#This Row],[Total hours]]*tbl_Roll[[#This Row],[% Complete]]</f>
        <v>#VALUE!</v>
      </c>
      <c r="M92" s="59" t="str">
        <f>IFERROR(tbl_Roll[[#This Row],[Qty Complete]]/tbl_Roll[[#This Row],[Total Hours Act]]*tbl_Roll[[#This Row],['# of men Act]],"")</f>
        <v/>
      </c>
      <c r="O92"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92" s="71" t="str">
        <f>IFERROR((tbl_Roll[[#This Row],[Adj. Total Hours]]+tbl_Roll[[#This Row],[Est. Hours]])/(tbl_Roll[[#This Row],[Total Hours Act]]+tbl_Roll[[#This Row],[Act. Hours]]),"")</f>
        <v/>
      </c>
      <c r="S92" s="63"/>
      <c r="T92" s="63"/>
      <c r="U92" s="63"/>
      <c r="V92" s="63"/>
      <c r="W92" s="63"/>
    </row>
    <row r="93" spans="6:23" ht="25" customHeight="1">
      <c r="F93" s="53"/>
      <c r="H93" s="55" t="e">
        <f>tbl_Roll[[#This Row],[Qty Complete]]/tbl_Roll[[#This Row],[Qty Required]]</f>
        <v>#DIV/0!</v>
      </c>
      <c r="K93" s="57" t="str">
        <f>IFERROR(tbl_Roll[[#This Row],[Qty Required]]/tbl_Roll[[#This Row],[PPH]]*tbl_Roll[[#This Row],['# of men]],"")</f>
        <v/>
      </c>
      <c r="L93" s="58" t="e">
        <f>tbl_Roll[[#This Row],[Total hours]]*tbl_Roll[[#This Row],[% Complete]]</f>
        <v>#VALUE!</v>
      </c>
      <c r="M93" s="59" t="str">
        <f>IFERROR(tbl_Roll[[#This Row],[Qty Complete]]/tbl_Roll[[#This Row],[Total Hours Act]]*tbl_Roll[[#This Row],['# of men Act]],"")</f>
        <v/>
      </c>
      <c r="O93"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93" s="71" t="str">
        <f>IFERROR((tbl_Roll[[#This Row],[Adj. Total Hours]]+tbl_Roll[[#This Row],[Est. Hours]])/(tbl_Roll[[#This Row],[Total Hours Act]]+tbl_Roll[[#This Row],[Act. Hours]]),"")</f>
        <v/>
      </c>
      <c r="S93" s="63"/>
      <c r="T93" s="63"/>
      <c r="U93" s="63"/>
      <c r="V93" s="63"/>
      <c r="W93" s="63"/>
    </row>
    <row r="94" spans="6:23" ht="25" customHeight="1">
      <c r="F94" s="53"/>
      <c r="H94" s="55" t="e">
        <f>tbl_Roll[[#This Row],[Qty Complete]]/tbl_Roll[[#This Row],[Qty Required]]</f>
        <v>#DIV/0!</v>
      </c>
      <c r="K94" s="57" t="str">
        <f>IFERROR(tbl_Roll[[#This Row],[Qty Required]]/tbl_Roll[[#This Row],[PPH]]*tbl_Roll[[#This Row],['# of men]],"")</f>
        <v/>
      </c>
      <c r="L94" s="58" t="e">
        <f>tbl_Roll[[#This Row],[Total hours]]*tbl_Roll[[#This Row],[% Complete]]</f>
        <v>#VALUE!</v>
      </c>
      <c r="M94" s="59" t="str">
        <f>IFERROR(tbl_Roll[[#This Row],[Qty Complete]]/tbl_Roll[[#This Row],[Total Hours Act]]*tbl_Roll[[#This Row],['# of men Act]],"")</f>
        <v/>
      </c>
      <c r="O94"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94" s="71" t="str">
        <f>IFERROR((tbl_Roll[[#This Row],[Adj. Total Hours]]+tbl_Roll[[#This Row],[Est. Hours]])/(tbl_Roll[[#This Row],[Total Hours Act]]+tbl_Roll[[#This Row],[Act. Hours]]),"")</f>
        <v/>
      </c>
      <c r="S94" s="63"/>
      <c r="T94" s="63"/>
      <c r="U94" s="63"/>
      <c r="V94" s="63"/>
      <c r="W94" s="63"/>
    </row>
    <row r="95" spans="6:23" ht="25" customHeight="1">
      <c r="F95" s="53"/>
      <c r="H95" s="55" t="e">
        <f>tbl_Roll[[#This Row],[Qty Complete]]/tbl_Roll[[#This Row],[Qty Required]]</f>
        <v>#DIV/0!</v>
      </c>
      <c r="K95" s="57" t="str">
        <f>IFERROR(tbl_Roll[[#This Row],[Qty Required]]/tbl_Roll[[#This Row],[PPH]]*tbl_Roll[[#This Row],['# of men]],"")</f>
        <v/>
      </c>
      <c r="L95" s="58" t="e">
        <f>tbl_Roll[[#This Row],[Total hours]]*tbl_Roll[[#This Row],[% Complete]]</f>
        <v>#VALUE!</v>
      </c>
      <c r="M95" s="59" t="str">
        <f>IFERROR(tbl_Roll[[#This Row],[Qty Complete]]/tbl_Roll[[#This Row],[Total Hours Act]]*tbl_Roll[[#This Row],['# of men Act]],"")</f>
        <v/>
      </c>
      <c r="O95"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95" s="71" t="str">
        <f>IFERROR((tbl_Roll[[#This Row],[Adj. Total Hours]]+tbl_Roll[[#This Row],[Est. Hours]])/(tbl_Roll[[#This Row],[Total Hours Act]]+tbl_Roll[[#This Row],[Act. Hours]]),"")</f>
        <v/>
      </c>
      <c r="S95" s="63"/>
      <c r="T95" s="63"/>
      <c r="U95" s="63"/>
      <c r="V95" s="63"/>
      <c r="W95" s="63"/>
    </row>
    <row r="96" spans="6:23" ht="25" customHeight="1">
      <c r="F96" s="53"/>
      <c r="H96" s="55" t="e">
        <f>tbl_Roll[[#This Row],[Qty Complete]]/tbl_Roll[[#This Row],[Qty Required]]</f>
        <v>#DIV/0!</v>
      </c>
      <c r="K96" s="57" t="str">
        <f>IFERROR(tbl_Roll[[#This Row],[Qty Required]]/tbl_Roll[[#This Row],[PPH]]*tbl_Roll[[#This Row],['# of men]],"")</f>
        <v/>
      </c>
      <c r="L96" s="58" t="e">
        <f>tbl_Roll[[#This Row],[Total hours]]*tbl_Roll[[#This Row],[% Complete]]</f>
        <v>#VALUE!</v>
      </c>
      <c r="M96" s="59" t="str">
        <f>IFERROR(tbl_Roll[[#This Row],[Qty Complete]]/tbl_Roll[[#This Row],[Total Hours Act]]*tbl_Roll[[#This Row],['# of men Act]],"")</f>
        <v/>
      </c>
      <c r="O96"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96" s="71" t="str">
        <f>IFERROR((tbl_Roll[[#This Row],[Adj. Total Hours]]+tbl_Roll[[#This Row],[Est. Hours]])/(tbl_Roll[[#This Row],[Total Hours Act]]+tbl_Roll[[#This Row],[Act. Hours]]),"")</f>
        <v/>
      </c>
      <c r="S96" s="63"/>
      <c r="T96" s="63"/>
      <c r="U96" s="63"/>
      <c r="V96" s="63"/>
      <c r="W96" s="63"/>
    </row>
    <row r="97" spans="6:23" ht="25" customHeight="1">
      <c r="F97" s="53"/>
      <c r="H97" s="55" t="e">
        <f>tbl_Roll[[#This Row],[Qty Complete]]/tbl_Roll[[#This Row],[Qty Required]]</f>
        <v>#DIV/0!</v>
      </c>
      <c r="K97" s="57" t="str">
        <f>IFERROR(tbl_Roll[[#This Row],[Qty Required]]/tbl_Roll[[#This Row],[PPH]]*tbl_Roll[[#This Row],['# of men]],"")</f>
        <v/>
      </c>
      <c r="L97" s="58" t="e">
        <f>tbl_Roll[[#This Row],[Total hours]]*tbl_Roll[[#This Row],[% Complete]]</f>
        <v>#VALUE!</v>
      </c>
      <c r="M97" s="59" t="str">
        <f>IFERROR(tbl_Roll[[#This Row],[Qty Complete]]/tbl_Roll[[#This Row],[Total Hours Act]]*tbl_Roll[[#This Row],['# of men Act]],"")</f>
        <v/>
      </c>
      <c r="O97"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97" s="71" t="str">
        <f>IFERROR((tbl_Roll[[#This Row],[Adj. Total Hours]]+tbl_Roll[[#This Row],[Est. Hours]])/(tbl_Roll[[#This Row],[Total Hours Act]]+tbl_Roll[[#This Row],[Act. Hours]]),"")</f>
        <v/>
      </c>
      <c r="S97" s="63"/>
      <c r="T97" s="63"/>
      <c r="U97" s="63"/>
      <c r="V97" s="63"/>
      <c r="W97" s="63"/>
    </row>
    <row r="98" spans="6:23" ht="25" customHeight="1">
      <c r="F98" s="53"/>
      <c r="H98" s="55" t="e">
        <f>tbl_Roll[[#This Row],[Qty Complete]]/tbl_Roll[[#This Row],[Qty Required]]</f>
        <v>#DIV/0!</v>
      </c>
      <c r="K98" s="57" t="str">
        <f>IFERROR(tbl_Roll[[#This Row],[Qty Required]]/tbl_Roll[[#This Row],[PPH]]*tbl_Roll[[#This Row],['# of men]],"")</f>
        <v/>
      </c>
      <c r="L98" s="58" t="e">
        <f>tbl_Roll[[#This Row],[Total hours]]*tbl_Roll[[#This Row],[% Complete]]</f>
        <v>#VALUE!</v>
      </c>
      <c r="M98" s="59" t="str">
        <f>IFERROR(tbl_Roll[[#This Row],[Qty Complete]]/tbl_Roll[[#This Row],[Total Hours Act]]*tbl_Roll[[#This Row],['# of men Act]],"")</f>
        <v/>
      </c>
      <c r="O98"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98" s="71" t="str">
        <f>IFERROR((tbl_Roll[[#This Row],[Adj. Total Hours]]+tbl_Roll[[#This Row],[Est. Hours]])/(tbl_Roll[[#This Row],[Total Hours Act]]+tbl_Roll[[#This Row],[Act. Hours]]),"")</f>
        <v/>
      </c>
      <c r="S98" s="63"/>
      <c r="T98" s="63"/>
      <c r="U98" s="63"/>
      <c r="V98" s="63"/>
      <c r="W98" s="63"/>
    </row>
    <row r="99" spans="6:23" ht="25" customHeight="1">
      <c r="F99" s="53"/>
      <c r="H99" s="55" t="e">
        <f>tbl_Roll[[#This Row],[Qty Complete]]/tbl_Roll[[#This Row],[Qty Required]]</f>
        <v>#DIV/0!</v>
      </c>
      <c r="K99" s="57" t="str">
        <f>IFERROR(tbl_Roll[[#This Row],[Qty Required]]/tbl_Roll[[#This Row],[PPH]]*tbl_Roll[[#This Row],['# of men]],"")</f>
        <v/>
      </c>
      <c r="L99" s="58" t="e">
        <f>tbl_Roll[[#This Row],[Total hours]]*tbl_Roll[[#This Row],[% Complete]]</f>
        <v>#VALUE!</v>
      </c>
      <c r="M99" s="59" t="str">
        <f>IFERROR(tbl_Roll[[#This Row],[Qty Complete]]/tbl_Roll[[#This Row],[Total Hours Act]]*tbl_Roll[[#This Row],['# of men Act]],"")</f>
        <v/>
      </c>
      <c r="O99"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99" s="71" t="str">
        <f>IFERROR((tbl_Roll[[#This Row],[Adj. Total Hours]]+tbl_Roll[[#This Row],[Est. Hours]])/(tbl_Roll[[#This Row],[Total Hours Act]]+tbl_Roll[[#This Row],[Act. Hours]]),"")</f>
        <v/>
      </c>
      <c r="S99" s="63"/>
      <c r="T99" s="63"/>
      <c r="U99" s="63"/>
      <c r="V99" s="63"/>
      <c r="W99" s="63"/>
    </row>
    <row r="100" spans="6:23" ht="25" customHeight="1">
      <c r="F100" s="53"/>
      <c r="H100" s="55" t="e">
        <f>tbl_Roll[[#This Row],[Qty Complete]]/tbl_Roll[[#This Row],[Qty Required]]</f>
        <v>#DIV/0!</v>
      </c>
      <c r="K100" s="57" t="str">
        <f>IFERROR(tbl_Roll[[#This Row],[Qty Required]]/tbl_Roll[[#This Row],[PPH]]*tbl_Roll[[#This Row],['# of men]],"")</f>
        <v/>
      </c>
      <c r="L100" s="58" t="e">
        <f>tbl_Roll[[#This Row],[Total hours]]*tbl_Roll[[#This Row],[% Complete]]</f>
        <v>#VALUE!</v>
      </c>
      <c r="M100" s="59" t="str">
        <f>IFERROR(tbl_Roll[[#This Row],[Qty Complete]]/tbl_Roll[[#This Row],[Total Hours Act]]*tbl_Roll[[#This Row],['# of men Act]],"")</f>
        <v/>
      </c>
      <c r="O100"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00" s="71" t="str">
        <f>IFERROR((tbl_Roll[[#This Row],[Adj. Total Hours]]+tbl_Roll[[#This Row],[Est. Hours]])/(tbl_Roll[[#This Row],[Total Hours Act]]+tbl_Roll[[#This Row],[Act. Hours]]),"")</f>
        <v/>
      </c>
      <c r="S100" s="63"/>
      <c r="T100" s="63"/>
      <c r="U100" s="63"/>
      <c r="V100" s="63"/>
      <c r="W100" s="63"/>
    </row>
    <row r="101" spans="6:23" ht="25" customHeight="1">
      <c r="F101" s="53"/>
      <c r="H101" s="55" t="e">
        <f>tbl_Roll[[#This Row],[Qty Complete]]/tbl_Roll[[#This Row],[Qty Required]]</f>
        <v>#DIV/0!</v>
      </c>
      <c r="K101" s="57" t="str">
        <f>IFERROR(tbl_Roll[[#This Row],[Qty Required]]/tbl_Roll[[#This Row],[PPH]]*tbl_Roll[[#This Row],['# of men]],"")</f>
        <v/>
      </c>
      <c r="L101" s="58" t="e">
        <f>tbl_Roll[[#This Row],[Total hours]]*tbl_Roll[[#This Row],[% Complete]]</f>
        <v>#VALUE!</v>
      </c>
      <c r="M101" s="59" t="str">
        <f>IFERROR(tbl_Roll[[#This Row],[Qty Complete]]/tbl_Roll[[#This Row],[Total Hours Act]]*tbl_Roll[[#This Row],['# of men Act]],"")</f>
        <v/>
      </c>
      <c r="O101"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01" s="71" t="str">
        <f>IFERROR((tbl_Roll[[#This Row],[Adj. Total Hours]]+tbl_Roll[[#This Row],[Est. Hours]])/(tbl_Roll[[#This Row],[Total Hours Act]]+tbl_Roll[[#This Row],[Act. Hours]]),"")</f>
        <v/>
      </c>
      <c r="S101" s="63"/>
      <c r="T101" s="63"/>
      <c r="U101" s="63"/>
      <c r="V101" s="63"/>
      <c r="W101" s="63"/>
    </row>
    <row r="102" spans="6:23" ht="25" customHeight="1">
      <c r="F102" s="53"/>
      <c r="H102" s="55" t="e">
        <f>tbl_Roll[[#This Row],[Qty Complete]]/tbl_Roll[[#This Row],[Qty Required]]</f>
        <v>#DIV/0!</v>
      </c>
      <c r="K102" s="57" t="str">
        <f>IFERROR(tbl_Roll[[#This Row],[Qty Required]]/tbl_Roll[[#This Row],[PPH]]*tbl_Roll[[#This Row],['# of men]],"")</f>
        <v/>
      </c>
      <c r="L102" s="58" t="e">
        <f>tbl_Roll[[#This Row],[Total hours]]*tbl_Roll[[#This Row],[% Complete]]</f>
        <v>#VALUE!</v>
      </c>
      <c r="M102" s="59" t="str">
        <f>IFERROR(tbl_Roll[[#This Row],[Qty Complete]]/tbl_Roll[[#This Row],[Total Hours Act]]*tbl_Roll[[#This Row],['# of men Act]],"")</f>
        <v/>
      </c>
      <c r="O102"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02" s="71" t="str">
        <f>IFERROR((tbl_Roll[[#This Row],[Adj. Total Hours]]+tbl_Roll[[#This Row],[Est. Hours]])/(tbl_Roll[[#This Row],[Total Hours Act]]+tbl_Roll[[#This Row],[Act. Hours]]),"")</f>
        <v/>
      </c>
      <c r="S102" s="63"/>
      <c r="T102" s="63"/>
      <c r="U102" s="63"/>
      <c r="V102" s="63"/>
      <c r="W102" s="63"/>
    </row>
    <row r="103" spans="6:23" ht="25" customHeight="1">
      <c r="F103" s="53"/>
      <c r="H103" s="55" t="e">
        <f>tbl_Roll[[#This Row],[Qty Complete]]/tbl_Roll[[#This Row],[Qty Required]]</f>
        <v>#DIV/0!</v>
      </c>
      <c r="K103" s="57" t="str">
        <f>IFERROR(tbl_Roll[[#This Row],[Qty Required]]/tbl_Roll[[#This Row],[PPH]]*tbl_Roll[[#This Row],['# of men]],"")</f>
        <v/>
      </c>
      <c r="L103" s="58" t="e">
        <f>tbl_Roll[[#This Row],[Total hours]]*tbl_Roll[[#This Row],[% Complete]]</f>
        <v>#VALUE!</v>
      </c>
      <c r="M103" s="59" t="str">
        <f>IFERROR(tbl_Roll[[#This Row],[Qty Complete]]/tbl_Roll[[#This Row],[Total Hours Act]]*tbl_Roll[[#This Row],['# of men Act]],"")</f>
        <v/>
      </c>
      <c r="O103"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03" s="71" t="str">
        <f>IFERROR((tbl_Roll[[#This Row],[Adj. Total Hours]]+tbl_Roll[[#This Row],[Est. Hours]])/(tbl_Roll[[#This Row],[Total Hours Act]]+tbl_Roll[[#This Row],[Act. Hours]]),"")</f>
        <v/>
      </c>
      <c r="S103" s="63"/>
      <c r="T103" s="63"/>
      <c r="U103" s="63"/>
      <c r="V103" s="63"/>
      <c r="W103" s="63"/>
    </row>
    <row r="104" spans="6:23" ht="25" customHeight="1">
      <c r="F104" s="53"/>
      <c r="H104" s="55" t="e">
        <f>tbl_Roll[[#This Row],[Qty Complete]]/tbl_Roll[[#This Row],[Qty Required]]</f>
        <v>#DIV/0!</v>
      </c>
      <c r="K104" s="57" t="str">
        <f>IFERROR(tbl_Roll[[#This Row],[Qty Required]]/tbl_Roll[[#This Row],[PPH]]*tbl_Roll[[#This Row],['# of men]],"")</f>
        <v/>
      </c>
      <c r="L104" s="58" t="e">
        <f>tbl_Roll[[#This Row],[Total hours]]*tbl_Roll[[#This Row],[% Complete]]</f>
        <v>#VALUE!</v>
      </c>
      <c r="M104" s="59" t="str">
        <f>IFERROR(tbl_Roll[[#This Row],[Qty Complete]]/tbl_Roll[[#This Row],[Total Hours Act]]*tbl_Roll[[#This Row],['# of men Act]],"")</f>
        <v/>
      </c>
      <c r="O104"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04" s="71" t="str">
        <f>IFERROR((tbl_Roll[[#This Row],[Adj. Total Hours]]+tbl_Roll[[#This Row],[Est. Hours]])/(tbl_Roll[[#This Row],[Total Hours Act]]+tbl_Roll[[#This Row],[Act. Hours]]),"")</f>
        <v/>
      </c>
      <c r="S104" s="63"/>
      <c r="T104" s="63"/>
      <c r="U104" s="63"/>
      <c r="V104" s="63"/>
      <c r="W104" s="63"/>
    </row>
    <row r="105" spans="6:23" ht="25" customHeight="1">
      <c r="F105" s="53"/>
      <c r="H105" s="55" t="e">
        <f>tbl_Roll[[#This Row],[Qty Complete]]/tbl_Roll[[#This Row],[Qty Required]]</f>
        <v>#DIV/0!</v>
      </c>
      <c r="K105" s="57" t="str">
        <f>IFERROR(tbl_Roll[[#This Row],[Qty Required]]/tbl_Roll[[#This Row],[PPH]]*tbl_Roll[[#This Row],['# of men]],"")</f>
        <v/>
      </c>
      <c r="L105" s="58" t="e">
        <f>tbl_Roll[[#This Row],[Total hours]]*tbl_Roll[[#This Row],[% Complete]]</f>
        <v>#VALUE!</v>
      </c>
      <c r="M105" s="59" t="str">
        <f>IFERROR(tbl_Roll[[#This Row],[Qty Complete]]/tbl_Roll[[#This Row],[Total Hours Act]]*tbl_Roll[[#This Row],['# of men Act]],"")</f>
        <v/>
      </c>
      <c r="O105"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05" s="71" t="str">
        <f>IFERROR((tbl_Roll[[#This Row],[Adj. Total Hours]]+tbl_Roll[[#This Row],[Est. Hours]])/(tbl_Roll[[#This Row],[Total Hours Act]]+tbl_Roll[[#This Row],[Act. Hours]]),"")</f>
        <v/>
      </c>
      <c r="S105" s="63"/>
      <c r="T105" s="63"/>
      <c r="U105" s="63"/>
      <c r="V105" s="63"/>
      <c r="W105" s="63"/>
    </row>
    <row r="106" spans="6:23" ht="25" customHeight="1">
      <c r="F106" s="53"/>
      <c r="H106" s="55" t="e">
        <f>tbl_Roll[[#This Row],[Qty Complete]]/tbl_Roll[[#This Row],[Qty Required]]</f>
        <v>#DIV/0!</v>
      </c>
      <c r="K106" s="57" t="str">
        <f>IFERROR(tbl_Roll[[#This Row],[Qty Required]]/tbl_Roll[[#This Row],[PPH]]*tbl_Roll[[#This Row],['# of men]],"")</f>
        <v/>
      </c>
      <c r="L106" s="58" t="e">
        <f>tbl_Roll[[#This Row],[Total hours]]*tbl_Roll[[#This Row],[% Complete]]</f>
        <v>#VALUE!</v>
      </c>
      <c r="M106" s="59" t="str">
        <f>IFERROR(tbl_Roll[[#This Row],[Qty Complete]]/tbl_Roll[[#This Row],[Total Hours Act]]*tbl_Roll[[#This Row],['# of men Act]],"")</f>
        <v/>
      </c>
      <c r="O106"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06" s="71" t="str">
        <f>IFERROR((tbl_Roll[[#This Row],[Adj. Total Hours]]+tbl_Roll[[#This Row],[Est. Hours]])/(tbl_Roll[[#This Row],[Total Hours Act]]+tbl_Roll[[#This Row],[Act. Hours]]),"")</f>
        <v/>
      </c>
      <c r="S106" s="63"/>
      <c r="T106" s="63"/>
      <c r="U106" s="63"/>
      <c r="V106" s="63"/>
      <c r="W106" s="63"/>
    </row>
    <row r="107" spans="6:23" ht="25" customHeight="1">
      <c r="F107" s="53"/>
      <c r="H107" s="55" t="e">
        <f>tbl_Roll[[#This Row],[Qty Complete]]/tbl_Roll[[#This Row],[Qty Required]]</f>
        <v>#DIV/0!</v>
      </c>
      <c r="K107" s="57" t="str">
        <f>IFERROR(tbl_Roll[[#This Row],[Qty Required]]/tbl_Roll[[#This Row],[PPH]]*tbl_Roll[[#This Row],['# of men]],"")</f>
        <v/>
      </c>
      <c r="L107" s="58" t="e">
        <f>tbl_Roll[[#This Row],[Total hours]]*tbl_Roll[[#This Row],[% Complete]]</f>
        <v>#VALUE!</v>
      </c>
      <c r="M107" s="59" t="str">
        <f>IFERROR(tbl_Roll[[#This Row],[Qty Complete]]/tbl_Roll[[#This Row],[Total Hours Act]]*tbl_Roll[[#This Row],['# of men Act]],"")</f>
        <v/>
      </c>
      <c r="O107"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07" s="71" t="str">
        <f>IFERROR((tbl_Roll[[#This Row],[Adj. Total Hours]]+tbl_Roll[[#This Row],[Est. Hours]])/(tbl_Roll[[#This Row],[Total Hours Act]]+tbl_Roll[[#This Row],[Act. Hours]]),"")</f>
        <v/>
      </c>
      <c r="S107" s="63"/>
      <c r="T107" s="63"/>
      <c r="U107" s="63"/>
      <c r="V107" s="63"/>
      <c r="W107" s="63"/>
    </row>
    <row r="108" spans="6:23" ht="25" customHeight="1">
      <c r="F108" s="53"/>
      <c r="H108" s="55" t="e">
        <f>tbl_Roll[[#This Row],[Qty Complete]]/tbl_Roll[[#This Row],[Qty Required]]</f>
        <v>#DIV/0!</v>
      </c>
      <c r="K108" s="57" t="str">
        <f>IFERROR(tbl_Roll[[#This Row],[Qty Required]]/tbl_Roll[[#This Row],[PPH]]*tbl_Roll[[#This Row],['# of men]],"")</f>
        <v/>
      </c>
      <c r="L108" s="58" t="e">
        <f>tbl_Roll[[#This Row],[Total hours]]*tbl_Roll[[#This Row],[% Complete]]</f>
        <v>#VALUE!</v>
      </c>
      <c r="M108" s="59" t="str">
        <f>IFERROR(tbl_Roll[[#This Row],[Qty Complete]]/tbl_Roll[[#This Row],[Total Hours Act]]*tbl_Roll[[#This Row],['# of men Act]],"")</f>
        <v/>
      </c>
      <c r="O108"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08" s="71" t="str">
        <f>IFERROR((tbl_Roll[[#This Row],[Adj. Total Hours]]+tbl_Roll[[#This Row],[Est. Hours]])/(tbl_Roll[[#This Row],[Total Hours Act]]+tbl_Roll[[#This Row],[Act. Hours]]),"")</f>
        <v/>
      </c>
      <c r="S108" s="63"/>
      <c r="T108" s="63"/>
      <c r="U108" s="63"/>
      <c r="V108" s="63"/>
      <c r="W108" s="63"/>
    </row>
    <row r="109" spans="6:23" ht="25" customHeight="1">
      <c r="F109" s="53"/>
      <c r="H109" s="55" t="e">
        <f>tbl_Roll[[#This Row],[Qty Complete]]/tbl_Roll[[#This Row],[Qty Required]]</f>
        <v>#DIV/0!</v>
      </c>
      <c r="K109" s="57" t="str">
        <f>IFERROR(tbl_Roll[[#This Row],[Qty Required]]/tbl_Roll[[#This Row],[PPH]]*tbl_Roll[[#This Row],['# of men]],"")</f>
        <v/>
      </c>
      <c r="L109" s="58" t="e">
        <f>tbl_Roll[[#This Row],[Total hours]]*tbl_Roll[[#This Row],[% Complete]]</f>
        <v>#VALUE!</v>
      </c>
      <c r="M109" s="59" t="str">
        <f>IFERROR(tbl_Roll[[#This Row],[Qty Complete]]/tbl_Roll[[#This Row],[Total Hours Act]]*tbl_Roll[[#This Row],['# of men Act]],"")</f>
        <v/>
      </c>
      <c r="O109"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09" s="71" t="str">
        <f>IFERROR((tbl_Roll[[#This Row],[Adj. Total Hours]]+tbl_Roll[[#This Row],[Est. Hours]])/(tbl_Roll[[#This Row],[Total Hours Act]]+tbl_Roll[[#This Row],[Act. Hours]]),"")</f>
        <v/>
      </c>
      <c r="S109" s="63"/>
      <c r="T109" s="63"/>
      <c r="U109" s="63"/>
      <c r="V109" s="63"/>
      <c r="W109" s="63"/>
    </row>
    <row r="110" spans="6:23" ht="25" customHeight="1">
      <c r="F110" s="53"/>
      <c r="H110" s="55" t="e">
        <f>tbl_Roll[[#This Row],[Qty Complete]]/tbl_Roll[[#This Row],[Qty Required]]</f>
        <v>#DIV/0!</v>
      </c>
      <c r="K110" s="57" t="str">
        <f>IFERROR(tbl_Roll[[#This Row],[Qty Required]]/tbl_Roll[[#This Row],[PPH]]*tbl_Roll[[#This Row],['# of men]],"")</f>
        <v/>
      </c>
      <c r="L110" s="58" t="e">
        <f>tbl_Roll[[#This Row],[Total hours]]*tbl_Roll[[#This Row],[% Complete]]</f>
        <v>#VALUE!</v>
      </c>
      <c r="M110" s="59" t="str">
        <f>IFERROR(tbl_Roll[[#This Row],[Qty Complete]]/tbl_Roll[[#This Row],[Total Hours Act]]*tbl_Roll[[#This Row],['# of men Act]],"")</f>
        <v/>
      </c>
      <c r="O110"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10" s="71" t="str">
        <f>IFERROR((tbl_Roll[[#This Row],[Adj. Total Hours]]+tbl_Roll[[#This Row],[Est. Hours]])/(tbl_Roll[[#This Row],[Total Hours Act]]+tbl_Roll[[#This Row],[Act. Hours]]),"")</f>
        <v/>
      </c>
      <c r="S110" s="63"/>
      <c r="T110" s="63"/>
      <c r="U110" s="63"/>
      <c r="V110" s="63"/>
      <c r="W110" s="63"/>
    </row>
    <row r="111" spans="6:23" ht="25" customHeight="1">
      <c r="F111" s="53"/>
      <c r="H111" s="55" t="e">
        <f>tbl_Roll[[#This Row],[Qty Complete]]/tbl_Roll[[#This Row],[Qty Required]]</f>
        <v>#DIV/0!</v>
      </c>
      <c r="K111" s="57" t="str">
        <f>IFERROR(tbl_Roll[[#This Row],[Qty Required]]/tbl_Roll[[#This Row],[PPH]]*tbl_Roll[[#This Row],['# of men]],"")</f>
        <v/>
      </c>
      <c r="L111" s="58" t="e">
        <f>tbl_Roll[[#This Row],[Total hours]]*tbl_Roll[[#This Row],[% Complete]]</f>
        <v>#VALUE!</v>
      </c>
      <c r="M111" s="59" t="str">
        <f>IFERROR(tbl_Roll[[#This Row],[Qty Complete]]/tbl_Roll[[#This Row],[Total Hours Act]]*tbl_Roll[[#This Row],['# of men Act]],"")</f>
        <v/>
      </c>
      <c r="O111"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11" s="71" t="str">
        <f>IFERROR((tbl_Roll[[#This Row],[Adj. Total Hours]]+tbl_Roll[[#This Row],[Est. Hours]])/(tbl_Roll[[#This Row],[Total Hours Act]]+tbl_Roll[[#This Row],[Act. Hours]]),"")</f>
        <v/>
      </c>
      <c r="S111" s="63"/>
      <c r="T111" s="63"/>
      <c r="U111" s="63"/>
      <c r="V111" s="63"/>
      <c r="W111" s="63"/>
    </row>
    <row r="112" spans="6:23" ht="25" customHeight="1">
      <c r="F112" s="53"/>
      <c r="H112" s="55" t="e">
        <f>tbl_Roll[[#This Row],[Qty Complete]]/tbl_Roll[[#This Row],[Qty Required]]</f>
        <v>#DIV/0!</v>
      </c>
      <c r="K112" s="57" t="str">
        <f>IFERROR(tbl_Roll[[#This Row],[Qty Required]]/tbl_Roll[[#This Row],[PPH]]*tbl_Roll[[#This Row],['# of men]],"")</f>
        <v/>
      </c>
      <c r="L112" s="58" t="e">
        <f>tbl_Roll[[#This Row],[Total hours]]*tbl_Roll[[#This Row],[% Complete]]</f>
        <v>#VALUE!</v>
      </c>
      <c r="M112" s="59" t="str">
        <f>IFERROR(tbl_Roll[[#This Row],[Qty Complete]]/tbl_Roll[[#This Row],[Total Hours Act]]*tbl_Roll[[#This Row],['# of men Act]],"")</f>
        <v/>
      </c>
      <c r="O112"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12" s="71" t="str">
        <f>IFERROR((tbl_Roll[[#This Row],[Adj. Total Hours]]+tbl_Roll[[#This Row],[Est. Hours]])/(tbl_Roll[[#This Row],[Total Hours Act]]+tbl_Roll[[#This Row],[Act. Hours]]),"")</f>
        <v/>
      </c>
      <c r="S112" s="63"/>
      <c r="T112" s="63"/>
      <c r="U112" s="63"/>
      <c r="V112" s="63"/>
      <c r="W112" s="63"/>
    </row>
    <row r="113" spans="6:23" ht="25" customHeight="1">
      <c r="F113" s="53"/>
      <c r="H113" s="55" t="e">
        <f>tbl_Roll[[#This Row],[Qty Complete]]/tbl_Roll[[#This Row],[Qty Required]]</f>
        <v>#DIV/0!</v>
      </c>
      <c r="K113" s="57" t="str">
        <f>IFERROR(tbl_Roll[[#This Row],[Qty Required]]/tbl_Roll[[#This Row],[PPH]]*tbl_Roll[[#This Row],['# of men]],"")</f>
        <v/>
      </c>
      <c r="L113" s="58" t="e">
        <f>tbl_Roll[[#This Row],[Total hours]]*tbl_Roll[[#This Row],[% Complete]]</f>
        <v>#VALUE!</v>
      </c>
      <c r="M113" s="59" t="str">
        <f>IFERROR(tbl_Roll[[#This Row],[Qty Complete]]/tbl_Roll[[#This Row],[Total Hours Act]]*tbl_Roll[[#This Row],['# of men Act]],"")</f>
        <v/>
      </c>
      <c r="O113"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13" s="71" t="str">
        <f>IFERROR((tbl_Roll[[#This Row],[Adj. Total Hours]]+tbl_Roll[[#This Row],[Est. Hours]])/(tbl_Roll[[#This Row],[Total Hours Act]]+tbl_Roll[[#This Row],[Act. Hours]]),"")</f>
        <v/>
      </c>
      <c r="S113" s="63"/>
      <c r="T113" s="63"/>
      <c r="U113" s="63"/>
      <c r="V113" s="63"/>
      <c r="W113" s="63"/>
    </row>
    <row r="114" spans="6:23" ht="25" customHeight="1">
      <c r="F114" s="53"/>
      <c r="H114" s="55" t="e">
        <f>tbl_Roll[[#This Row],[Qty Complete]]/tbl_Roll[[#This Row],[Qty Required]]</f>
        <v>#DIV/0!</v>
      </c>
      <c r="K114" s="57" t="str">
        <f>IFERROR(tbl_Roll[[#This Row],[Qty Required]]/tbl_Roll[[#This Row],[PPH]]*tbl_Roll[[#This Row],['# of men]],"")</f>
        <v/>
      </c>
      <c r="L114" s="58" t="e">
        <f>tbl_Roll[[#This Row],[Total hours]]*tbl_Roll[[#This Row],[% Complete]]</f>
        <v>#VALUE!</v>
      </c>
      <c r="M114" s="59" t="str">
        <f>IFERROR(tbl_Roll[[#This Row],[Qty Complete]]/tbl_Roll[[#This Row],[Total Hours Act]]*tbl_Roll[[#This Row],['# of men Act]],"")</f>
        <v/>
      </c>
      <c r="O114"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14" s="71" t="str">
        <f>IFERROR((tbl_Roll[[#This Row],[Adj. Total Hours]]+tbl_Roll[[#This Row],[Est. Hours]])/(tbl_Roll[[#This Row],[Total Hours Act]]+tbl_Roll[[#This Row],[Act. Hours]]),"")</f>
        <v/>
      </c>
      <c r="S114" s="63"/>
      <c r="T114" s="63"/>
      <c r="U114" s="63"/>
      <c r="V114" s="63"/>
      <c r="W114" s="63"/>
    </row>
    <row r="115" spans="6:23" ht="25" customHeight="1">
      <c r="F115" s="53"/>
      <c r="H115" s="55" t="e">
        <f>tbl_Roll[[#This Row],[Qty Complete]]/tbl_Roll[[#This Row],[Qty Required]]</f>
        <v>#DIV/0!</v>
      </c>
      <c r="K115" s="57" t="str">
        <f>IFERROR(tbl_Roll[[#This Row],[Qty Required]]/tbl_Roll[[#This Row],[PPH]]*tbl_Roll[[#This Row],['# of men]],"")</f>
        <v/>
      </c>
      <c r="L115" s="58" t="e">
        <f>tbl_Roll[[#This Row],[Total hours]]*tbl_Roll[[#This Row],[% Complete]]</f>
        <v>#VALUE!</v>
      </c>
      <c r="M115" s="59" t="str">
        <f>IFERROR(tbl_Roll[[#This Row],[Qty Complete]]/tbl_Roll[[#This Row],[Total Hours Act]]*tbl_Roll[[#This Row],['# of men Act]],"")</f>
        <v/>
      </c>
      <c r="O115"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15" s="71" t="str">
        <f>IFERROR((tbl_Roll[[#This Row],[Adj. Total Hours]]+tbl_Roll[[#This Row],[Est. Hours]])/(tbl_Roll[[#This Row],[Total Hours Act]]+tbl_Roll[[#This Row],[Act. Hours]]),"")</f>
        <v/>
      </c>
      <c r="S115" s="63"/>
      <c r="T115" s="63"/>
      <c r="U115" s="63"/>
      <c r="V115" s="63"/>
      <c r="W115" s="63"/>
    </row>
    <row r="116" spans="6:23" ht="25" customHeight="1">
      <c r="F116" s="53"/>
      <c r="H116" s="55" t="e">
        <f>tbl_Roll[[#This Row],[Qty Complete]]/tbl_Roll[[#This Row],[Qty Required]]</f>
        <v>#DIV/0!</v>
      </c>
      <c r="K116" s="57" t="str">
        <f>IFERROR(tbl_Roll[[#This Row],[Qty Required]]/tbl_Roll[[#This Row],[PPH]]*tbl_Roll[[#This Row],['# of men]],"")</f>
        <v/>
      </c>
      <c r="L116" s="58" t="e">
        <f>tbl_Roll[[#This Row],[Total hours]]*tbl_Roll[[#This Row],[% Complete]]</f>
        <v>#VALUE!</v>
      </c>
      <c r="M116" s="59" t="str">
        <f>IFERROR(tbl_Roll[[#This Row],[Qty Complete]]/tbl_Roll[[#This Row],[Total Hours Act]]*tbl_Roll[[#This Row],['# of men Act]],"")</f>
        <v/>
      </c>
      <c r="O116"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16" s="71" t="str">
        <f>IFERROR((tbl_Roll[[#This Row],[Adj. Total Hours]]+tbl_Roll[[#This Row],[Est. Hours]])/(tbl_Roll[[#This Row],[Total Hours Act]]+tbl_Roll[[#This Row],[Act. Hours]]),"")</f>
        <v/>
      </c>
      <c r="S116" s="63"/>
      <c r="T116" s="63"/>
      <c r="U116" s="63"/>
      <c r="V116" s="63"/>
      <c r="W116" s="63"/>
    </row>
    <row r="117" spans="6:23" ht="25" customHeight="1">
      <c r="F117" s="53"/>
      <c r="H117" s="55" t="e">
        <f>tbl_Roll[[#This Row],[Qty Complete]]/tbl_Roll[[#This Row],[Qty Required]]</f>
        <v>#DIV/0!</v>
      </c>
      <c r="K117" s="57" t="str">
        <f>IFERROR(tbl_Roll[[#This Row],[Qty Required]]/tbl_Roll[[#This Row],[PPH]]*tbl_Roll[[#This Row],['# of men]],"")</f>
        <v/>
      </c>
      <c r="L117" s="58" t="e">
        <f>tbl_Roll[[#This Row],[Total hours]]*tbl_Roll[[#This Row],[% Complete]]</f>
        <v>#VALUE!</v>
      </c>
      <c r="M117" s="59" t="str">
        <f>IFERROR(tbl_Roll[[#This Row],[Qty Complete]]/tbl_Roll[[#This Row],[Total Hours Act]]*tbl_Roll[[#This Row],['# of men Act]],"")</f>
        <v/>
      </c>
      <c r="O117"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17" s="71" t="str">
        <f>IFERROR((tbl_Roll[[#This Row],[Adj. Total Hours]]+tbl_Roll[[#This Row],[Est. Hours]])/(tbl_Roll[[#This Row],[Total Hours Act]]+tbl_Roll[[#This Row],[Act. Hours]]),"")</f>
        <v/>
      </c>
      <c r="S117" s="63"/>
      <c r="T117" s="63"/>
      <c r="U117" s="63"/>
      <c r="V117" s="63"/>
      <c r="W117" s="63"/>
    </row>
    <row r="118" spans="6:23" ht="25" customHeight="1">
      <c r="F118" s="53"/>
      <c r="H118" s="55" t="e">
        <f>tbl_Roll[[#This Row],[Qty Complete]]/tbl_Roll[[#This Row],[Qty Required]]</f>
        <v>#DIV/0!</v>
      </c>
      <c r="K118" s="57" t="str">
        <f>IFERROR(tbl_Roll[[#This Row],[Qty Required]]/tbl_Roll[[#This Row],[PPH]]*tbl_Roll[[#This Row],['# of men]],"")</f>
        <v/>
      </c>
      <c r="L118" s="58" t="e">
        <f>tbl_Roll[[#This Row],[Total hours]]*tbl_Roll[[#This Row],[% Complete]]</f>
        <v>#VALUE!</v>
      </c>
      <c r="M118" s="59" t="str">
        <f>IFERROR(tbl_Roll[[#This Row],[Qty Complete]]/tbl_Roll[[#This Row],[Total Hours Act]]*tbl_Roll[[#This Row],['# of men Act]],"")</f>
        <v/>
      </c>
      <c r="O118"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18" s="71" t="str">
        <f>IFERROR((tbl_Roll[[#This Row],[Adj. Total Hours]]+tbl_Roll[[#This Row],[Est. Hours]])/(tbl_Roll[[#This Row],[Total Hours Act]]+tbl_Roll[[#This Row],[Act. Hours]]),"")</f>
        <v/>
      </c>
      <c r="S118" s="63"/>
      <c r="T118" s="63"/>
      <c r="U118" s="63"/>
      <c r="V118" s="63"/>
      <c r="W118" s="63"/>
    </row>
    <row r="119" spans="6:23" ht="25" customHeight="1">
      <c r="F119" s="53"/>
      <c r="H119" s="55" t="e">
        <f>tbl_Roll[[#This Row],[Qty Complete]]/tbl_Roll[[#This Row],[Qty Required]]</f>
        <v>#DIV/0!</v>
      </c>
      <c r="K119" s="57" t="str">
        <f>IFERROR(tbl_Roll[[#This Row],[Qty Required]]/tbl_Roll[[#This Row],[PPH]]*tbl_Roll[[#This Row],['# of men]],"")</f>
        <v/>
      </c>
      <c r="L119" s="58" t="e">
        <f>tbl_Roll[[#This Row],[Total hours]]*tbl_Roll[[#This Row],[% Complete]]</f>
        <v>#VALUE!</v>
      </c>
      <c r="M119" s="59" t="str">
        <f>IFERROR(tbl_Roll[[#This Row],[Qty Complete]]/tbl_Roll[[#This Row],[Total Hours Act]]*tbl_Roll[[#This Row],['# of men Act]],"")</f>
        <v/>
      </c>
      <c r="O119"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19" s="71" t="str">
        <f>IFERROR((tbl_Roll[[#This Row],[Adj. Total Hours]]+tbl_Roll[[#This Row],[Est. Hours]])/(tbl_Roll[[#This Row],[Total Hours Act]]+tbl_Roll[[#This Row],[Act. Hours]]),"")</f>
        <v/>
      </c>
      <c r="S119" s="63"/>
      <c r="T119" s="63"/>
      <c r="U119" s="63"/>
      <c r="V119" s="63"/>
      <c r="W119" s="63"/>
    </row>
    <row r="120" spans="6:23" ht="25" customHeight="1">
      <c r="F120" s="53"/>
      <c r="H120" s="55" t="e">
        <f>tbl_Roll[[#This Row],[Qty Complete]]/tbl_Roll[[#This Row],[Qty Required]]</f>
        <v>#DIV/0!</v>
      </c>
      <c r="K120" s="57" t="str">
        <f>IFERROR(tbl_Roll[[#This Row],[Qty Required]]/tbl_Roll[[#This Row],[PPH]]*tbl_Roll[[#This Row],['# of men]],"")</f>
        <v/>
      </c>
      <c r="L120" s="58" t="e">
        <f>tbl_Roll[[#This Row],[Total hours]]*tbl_Roll[[#This Row],[% Complete]]</f>
        <v>#VALUE!</v>
      </c>
      <c r="M120" s="59" t="str">
        <f>IFERROR(tbl_Roll[[#This Row],[Qty Complete]]/tbl_Roll[[#This Row],[Total Hours Act]]*tbl_Roll[[#This Row],['# of men Act]],"")</f>
        <v/>
      </c>
      <c r="O120"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20" s="71" t="str">
        <f>IFERROR((tbl_Roll[[#This Row],[Adj. Total Hours]]+tbl_Roll[[#This Row],[Est. Hours]])/(tbl_Roll[[#This Row],[Total Hours Act]]+tbl_Roll[[#This Row],[Act. Hours]]),"")</f>
        <v/>
      </c>
      <c r="S120" s="63"/>
      <c r="T120" s="63"/>
      <c r="U120" s="63"/>
      <c r="V120" s="63"/>
      <c r="W120" s="63"/>
    </row>
    <row r="121" spans="6:23" ht="25" customHeight="1">
      <c r="F121" s="53"/>
      <c r="H121" s="55" t="e">
        <f>tbl_Roll[[#This Row],[Qty Complete]]/tbl_Roll[[#This Row],[Qty Required]]</f>
        <v>#DIV/0!</v>
      </c>
      <c r="K121" s="57" t="str">
        <f>IFERROR(tbl_Roll[[#This Row],[Qty Required]]/tbl_Roll[[#This Row],[PPH]]*tbl_Roll[[#This Row],['# of men]],"")</f>
        <v/>
      </c>
      <c r="L121" s="58" t="e">
        <f>tbl_Roll[[#This Row],[Total hours]]*tbl_Roll[[#This Row],[% Complete]]</f>
        <v>#VALUE!</v>
      </c>
      <c r="M121" s="59" t="str">
        <f>IFERROR(tbl_Roll[[#This Row],[Qty Complete]]/tbl_Roll[[#This Row],[Total Hours Act]]*tbl_Roll[[#This Row],['# of men Act]],"")</f>
        <v/>
      </c>
      <c r="O121"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21" s="71" t="str">
        <f>IFERROR((tbl_Roll[[#This Row],[Adj. Total Hours]]+tbl_Roll[[#This Row],[Est. Hours]])/(tbl_Roll[[#This Row],[Total Hours Act]]+tbl_Roll[[#This Row],[Act. Hours]]),"")</f>
        <v/>
      </c>
      <c r="S121" s="63"/>
      <c r="T121" s="63"/>
      <c r="U121" s="63"/>
      <c r="V121" s="63"/>
      <c r="W121" s="63"/>
    </row>
    <row r="122" spans="6:23" ht="25" customHeight="1">
      <c r="F122" s="53"/>
      <c r="H122" s="55" t="e">
        <f>tbl_Roll[[#This Row],[Qty Complete]]/tbl_Roll[[#This Row],[Qty Required]]</f>
        <v>#DIV/0!</v>
      </c>
      <c r="K122" s="57" t="str">
        <f>IFERROR(tbl_Roll[[#This Row],[Qty Required]]/tbl_Roll[[#This Row],[PPH]]*tbl_Roll[[#This Row],['# of men]],"")</f>
        <v/>
      </c>
      <c r="L122" s="58" t="e">
        <f>tbl_Roll[[#This Row],[Total hours]]*tbl_Roll[[#This Row],[% Complete]]</f>
        <v>#VALUE!</v>
      </c>
      <c r="M122" s="59" t="str">
        <f>IFERROR(tbl_Roll[[#This Row],[Qty Complete]]/tbl_Roll[[#This Row],[Total Hours Act]]*tbl_Roll[[#This Row],['# of men Act]],"")</f>
        <v/>
      </c>
      <c r="O122"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22" s="71" t="str">
        <f>IFERROR((tbl_Roll[[#This Row],[Adj. Total Hours]]+tbl_Roll[[#This Row],[Est. Hours]])/(tbl_Roll[[#This Row],[Total Hours Act]]+tbl_Roll[[#This Row],[Act. Hours]]),"")</f>
        <v/>
      </c>
      <c r="S122" s="63"/>
      <c r="T122" s="63"/>
      <c r="U122" s="63"/>
      <c r="V122" s="63"/>
      <c r="W122" s="63"/>
    </row>
    <row r="123" spans="6:23" ht="25" customHeight="1">
      <c r="F123" s="53"/>
      <c r="H123" s="55" t="e">
        <f>tbl_Roll[[#This Row],[Qty Complete]]/tbl_Roll[[#This Row],[Qty Required]]</f>
        <v>#DIV/0!</v>
      </c>
      <c r="K123" s="57" t="str">
        <f>IFERROR(tbl_Roll[[#This Row],[Qty Required]]/tbl_Roll[[#This Row],[PPH]]*tbl_Roll[[#This Row],['# of men]],"")</f>
        <v/>
      </c>
      <c r="L123" s="58" t="e">
        <f>tbl_Roll[[#This Row],[Total hours]]*tbl_Roll[[#This Row],[% Complete]]</f>
        <v>#VALUE!</v>
      </c>
      <c r="M123" s="59" t="str">
        <f>IFERROR(tbl_Roll[[#This Row],[Qty Complete]]/tbl_Roll[[#This Row],[Total Hours Act]]*tbl_Roll[[#This Row],['# of men Act]],"")</f>
        <v/>
      </c>
      <c r="O123"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23" s="71" t="str">
        <f>IFERROR((tbl_Roll[[#This Row],[Adj. Total Hours]]+tbl_Roll[[#This Row],[Est. Hours]])/(tbl_Roll[[#This Row],[Total Hours Act]]+tbl_Roll[[#This Row],[Act. Hours]]),"")</f>
        <v/>
      </c>
      <c r="S123" s="63"/>
      <c r="T123" s="63"/>
      <c r="U123" s="63"/>
      <c r="V123" s="63"/>
      <c r="W123" s="63"/>
    </row>
    <row r="124" spans="6:23" ht="25" customHeight="1">
      <c r="F124" s="53"/>
      <c r="H124" s="55" t="e">
        <f>tbl_Roll[[#This Row],[Qty Complete]]/tbl_Roll[[#This Row],[Qty Required]]</f>
        <v>#DIV/0!</v>
      </c>
      <c r="K124" s="57" t="str">
        <f>IFERROR(tbl_Roll[[#This Row],[Qty Required]]/tbl_Roll[[#This Row],[PPH]]*tbl_Roll[[#This Row],['# of men]],"")</f>
        <v/>
      </c>
      <c r="L124" s="58" t="e">
        <f>tbl_Roll[[#This Row],[Total hours]]*tbl_Roll[[#This Row],[% Complete]]</f>
        <v>#VALUE!</v>
      </c>
      <c r="M124" s="59" t="str">
        <f>IFERROR(tbl_Roll[[#This Row],[Qty Complete]]/tbl_Roll[[#This Row],[Total Hours Act]]*tbl_Roll[[#This Row],['# of men Act]],"")</f>
        <v/>
      </c>
      <c r="O124"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24" s="71" t="str">
        <f>IFERROR((tbl_Roll[[#This Row],[Adj. Total Hours]]+tbl_Roll[[#This Row],[Est. Hours]])/(tbl_Roll[[#This Row],[Total Hours Act]]+tbl_Roll[[#This Row],[Act. Hours]]),"")</f>
        <v/>
      </c>
      <c r="S124" s="63"/>
      <c r="T124" s="63"/>
      <c r="U124" s="63"/>
      <c r="V124" s="63"/>
      <c r="W124" s="63"/>
    </row>
    <row r="125" spans="6:23" ht="25" customHeight="1">
      <c r="F125" s="53"/>
      <c r="H125" s="55" t="e">
        <f>tbl_Roll[[#This Row],[Qty Complete]]/tbl_Roll[[#This Row],[Qty Required]]</f>
        <v>#DIV/0!</v>
      </c>
      <c r="K125" s="57" t="str">
        <f>IFERROR(tbl_Roll[[#This Row],[Qty Required]]/tbl_Roll[[#This Row],[PPH]]*tbl_Roll[[#This Row],['# of men]],"")</f>
        <v/>
      </c>
      <c r="L125" s="58" t="e">
        <f>tbl_Roll[[#This Row],[Total hours]]*tbl_Roll[[#This Row],[% Complete]]</f>
        <v>#VALUE!</v>
      </c>
      <c r="M125" s="59" t="str">
        <f>IFERROR(tbl_Roll[[#This Row],[Qty Complete]]/tbl_Roll[[#This Row],[Total Hours Act]]*tbl_Roll[[#This Row],['# of men Act]],"")</f>
        <v/>
      </c>
      <c r="O125"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25" s="71" t="str">
        <f>IFERROR((tbl_Roll[[#This Row],[Adj. Total Hours]]+tbl_Roll[[#This Row],[Est. Hours]])/(tbl_Roll[[#This Row],[Total Hours Act]]+tbl_Roll[[#This Row],[Act. Hours]]),"")</f>
        <v/>
      </c>
      <c r="S125" s="63"/>
      <c r="T125" s="63"/>
      <c r="U125" s="63"/>
      <c r="V125" s="63"/>
      <c r="W125" s="63"/>
    </row>
    <row r="126" spans="6:23" ht="25" customHeight="1">
      <c r="F126" s="53"/>
      <c r="H126" s="55" t="e">
        <f>tbl_Roll[[#This Row],[Qty Complete]]/tbl_Roll[[#This Row],[Qty Required]]</f>
        <v>#DIV/0!</v>
      </c>
      <c r="K126" s="57" t="str">
        <f>IFERROR(tbl_Roll[[#This Row],[Qty Required]]/tbl_Roll[[#This Row],[PPH]]*tbl_Roll[[#This Row],['# of men]],"")</f>
        <v/>
      </c>
      <c r="L126" s="58" t="e">
        <f>tbl_Roll[[#This Row],[Total hours]]*tbl_Roll[[#This Row],[% Complete]]</f>
        <v>#VALUE!</v>
      </c>
      <c r="M126" s="59" t="str">
        <f>IFERROR(tbl_Roll[[#This Row],[Qty Complete]]/tbl_Roll[[#This Row],[Total Hours Act]]*tbl_Roll[[#This Row],['# of men Act]],"")</f>
        <v/>
      </c>
      <c r="O126"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26" s="71" t="str">
        <f>IFERROR((tbl_Roll[[#This Row],[Adj. Total Hours]]+tbl_Roll[[#This Row],[Est. Hours]])/(tbl_Roll[[#This Row],[Total Hours Act]]+tbl_Roll[[#This Row],[Act. Hours]]),"")</f>
        <v/>
      </c>
      <c r="S126" s="63"/>
      <c r="T126" s="63"/>
      <c r="U126" s="63"/>
      <c r="V126" s="63"/>
      <c r="W126" s="63"/>
    </row>
    <row r="127" spans="6:23" ht="25" customHeight="1">
      <c r="F127" s="53"/>
      <c r="H127" s="55" t="e">
        <f>tbl_Roll[[#This Row],[Qty Complete]]/tbl_Roll[[#This Row],[Qty Required]]</f>
        <v>#DIV/0!</v>
      </c>
      <c r="K127" s="57" t="str">
        <f>IFERROR(tbl_Roll[[#This Row],[Qty Required]]/tbl_Roll[[#This Row],[PPH]]*tbl_Roll[[#This Row],['# of men]],"")</f>
        <v/>
      </c>
      <c r="L127" s="58" t="e">
        <f>tbl_Roll[[#This Row],[Total hours]]*tbl_Roll[[#This Row],[% Complete]]</f>
        <v>#VALUE!</v>
      </c>
      <c r="M127" s="59" t="str">
        <f>IFERROR(tbl_Roll[[#This Row],[Qty Complete]]/tbl_Roll[[#This Row],[Total Hours Act]]*tbl_Roll[[#This Row],['# of men Act]],"")</f>
        <v/>
      </c>
      <c r="O127"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27" s="71" t="str">
        <f>IFERROR((tbl_Roll[[#This Row],[Adj. Total Hours]]+tbl_Roll[[#This Row],[Est. Hours]])/(tbl_Roll[[#This Row],[Total Hours Act]]+tbl_Roll[[#This Row],[Act. Hours]]),"")</f>
        <v/>
      </c>
      <c r="S127" s="63"/>
      <c r="T127" s="63"/>
      <c r="U127" s="63"/>
      <c r="V127" s="63"/>
      <c r="W127" s="63"/>
    </row>
    <row r="128" spans="6:23" ht="25" customHeight="1">
      <c r="F128" s="53"/>
      <c r="H128" s="55" t="e">
        <f>tbl_Roll[[#This Row],[Qty Complete]]/tbl_Roll[[#This Row],[Qty Required]]</f>
        <v>#DIV/0!</v>
      </c>
      <c r="K128" s="57" t="str">
        <f>IFERROR(tbl_Roll[[#This Row],[Qty Required]]/tbl_Roll[[#This Row],[PPH]]*tbl_Roll[[#This Row],['# of men]],"")</f>
        <v/>
      </c>
      <c r="L128" s="58" t="e">
        <f>tbl_Roll[[#This Row],[Total hours]]*tbl_Roll[[#This Row],[% Complete]]</f>
        <v>#VALUE!</v>
      </c>
      <c r="M128" s="59" t="str">
        <f>IFERROR(tbl_Roll[[#This Row],[Qty Complete]]/tbl_Roll[[#This Row],[Total Hours Act]]*tbl_Roll[[#This Row],['# of men Act]],"")</f>
        <v/>
      </c>
      <c r="O128"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28" s="71" t="str">
        <f>IFERROR((tbl_Roll[[#This Row],[Adj. Total Hours]]+tbl_Roll[[#This Row],[Est. Hours]])/(tbl_Roll[[#This Row],[Total Hours Act]]+tbl_Roll[[#This Row],[Act. Hours]]),"")</f>
        <v/>
      </c>
      <c r="S128" s="63"/>
      <c r="T128" s="63"/>
      <c r="U128" s="63"/>
      <c r="V128" s="63"/>
      <c r="W128" s="63"/>
    </row>
    <row r="129" spans="6:23" ht="25" customHeight="1">
      <c r="F129" s="53"/>
      <c r="H129" s="55" t="e">
        <f>tbl_Roll[[#This Row],[Qty Complete]]/tbl_Roll[[#This Row],[Qty Required]]</f>
        <v>#DIV/0!</v>
      </c>
      <c r="K129" s="57" t="str">
        <f>IFERROR(tbl_Roll[[#This Row],[Qty Required]]/tbl_Roll[[#This Row],[PPH]]*tbl_Roll[[#This Row],['# of men]],"")</f>
        <v/>
      </c>
      <c r="L129" s="58" t="e">
        <f>tbl_Roll[[#This Row],[Total hours]]*tbl_Roll[[#This Row],[% Complete]]</f>
        <v>#VALUE!</v>
      </c>
      <c r="M129" s="59" t="str">
        <f>IFERROR(tbl_Roll[[#This Row],[Qty Complete]]/tbl_Roll[[#This Row],[Total Hours Act]]*tbl_Roll[[#This Row],['# of men Act]],"")</f>
        <v/>
      </c>
      <c r="O129"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29" s="71" t="str">
        <f>IFERROR((tbl_Roll[[#This Row],[Adj. Total Hours]]+tbl_Roll[[#This Row],[Est. Hours]])/(tbl_Roll[[#This Row],[Total Hours Act]]+tbl_Roll[[#This Row],[Act. Hours]]),"")</f>
        <v/>
      </c>
      <c r="S129" s="63"/>
      <c r="T129" s="63"/>
      <c r="U129" s="63"/>
      <c r="V129" s="63"/>
      <c r="W129" s="63"/>
    </row>
    <row r="130" spans="6:23" ht="25" customHeight="1">
      <c r="F130" s="53"/>
      <c r="H130" s="55" t="e">
        <f>tbl_Roll[[#This Row],[Qty Complete]]/tbl_Roll[[#This Row],[Qty Required]]</f>
        <v>#DIV/0!</v>
      </c>
      <c r="K130" s="57" t="str">
        <f>IFERROR(tbl_Roll[[#This Row],[Qty Required]]/tbl_Roll[[#This Row],[PPH]]*tbl_Roll[[#This Row],['# of men]],"")</f>
        <v/>
      </c>
      <c r="L130" s="58" t="e">
        <f>tbl_Roll[[#This Row],[Total hours]]*tbl_Roll[[#This Row],[% Complete]]</f>
        <v>#VALUE!</v>
      </c>
      <c r="M130" s="59" t="str">
        <f>IFERROR(tbl_Roll[[#This Row],[Qty Complete]]/tbl_Roll[[#This Row],[Total Hours Act]]*tbl_Roll[[#This Row],['# of men Act]],"")</f>
        <v/>
      </c>
      <c r="O130"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30" s="71" t="str">
        <f>IFERROR((tbl_Roll[[#This Row],[Adj. Total Hours]]+tbl_Roll[[#This Row],[Est. Hours]])/(tbl_Roll[[#This Row],[Total Hours Act]]+tbl_Roll[[#This Row],[Act. Hours]]),"")</f>
        <v/>
      </c>
      <c r="S130" s="63"/>
      <c r="T130" s="63"/>
      <c r="U130" s="63"/>
      <c r="V130" s="63"/>
      <c r="W130" s="63"/>
    </row>
    <row r="131" spans="6:23" ht="25" customHeight="1">
      <c r="F131" s="53"/>
      <c r="H131" s="55" t="e">
        <f>tbl_Roll[[#This Row],[Qty Complete]]/tbl_Roll[[#This Row],[Qty Required]]</f>
        <v>#DIV/0!</v>
      </c>
      <c r="K131" s="57" t="str">
        <f>IFERROR(tbl_Roll[[#This Row],[Qty Required]]/tbl_Roll[[#This Row],[PPH]]*tbl_Roll[[#This Row],['# of men]],"")</f>
        <v/>
      </c>
      <c r="L131" s="58" t="e">
        <f>tbl_Roll[[#This Row],[Total hours]]*tbl_Roll[[#This Row],[% Complete]]</f>
        <v>#VALUE!</v>
      </c>
      <c r="M131" s="59" t="str">
        <f>IFERROR(tbl_Roll[[#This Row],[Qty Complete]]/tbl_Roll[[#This Row],[Total Hours Act]]*tbl_Roll[[#This Row],['# of men Act]],"")</f>
        <v/>
      </c>
      <c r="O131"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31" s="71" t="str">
        <f>IFERROR((tbl_Roll[[#This Row],[Adj. Total Hours]]+tbl_Roll[[#This Row],[Est. Hours]])/(tbl_Roll[[#This Row],[Total Hours Act]]+tbl_Roll[[#This Row],[Act. Hours]]),"")</f>
        <v/>
      </c>
      <c r="S131" s="63"/>
      <c r="T131" s="63"/>
      <c r="U131" s="63"/>
      <c r="V131" s="63"/>
      <c r="W131" s="63"/>
    </row>
    <row r="132" spans="6:23" ht="25" customHeight="1">
      <c r="F132" s="53"/>
      <c r="H132" s="55" t="e">
        <f>tbl_Roll[[#This Row],[Qty Complete]]/tbl_Roll[[#This Row],[Qty Required]]</f>
        <v>#DIV/0!</v>
      </c>
      <c r="K132" s="57" t="str">
        <f>IFERROR(tbl_Roll[[#This Row],[Qty Required]]/tbl_Roll[[#This Row],[PPH]]*tbl_Roll[[#This Row],['# of men]],"")</f>
        <v/>
      </c>
      <c r="L132" s="58" t="e">
        <f>tbl_Roll[[#This Row],[Total hours]]*tbl_Roll[[#This Row],[% Complete]]</f>
        <v>#VALUE!</v>
      </c>
      <c r="M132" s="59" t="str">
        <f>IFERROR(tbl_Roll[[#This Row],[Qty Complete]]/tbl_Roll[[#This Row],[Total Hours Act]]*tbl_Roll[[#This Row],['# of men Act]],"")</f>
        <v/>
      </c>
      <c r="O132"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32" s="71" t="str">
        <f>IFERROR((tbl_Roll[[#This Row],[Adj. Total Hours]]+tbl_Roll[[#This Row],[Est. Hours]])/(tbl_Roll[[#This Row],[Total Hours Act]]+tbl_Roll[[#This Row],[Act. Hours]]),"")</f>
        <v/>
      </c>
      <c r="S132" s="63"/>
      <c r="T132" s="63"/>
      <c r="U132" s="63"/>
      <c r="V132" s="63"/>
      <c r="W132" s="63"/>
    </row>
    <row r="133" spans="6:23" ht="25" customHeight="1">
      <c r="F133" s="53"/>
      <c r="H133" s="55" t="e">
        <f>tbl_Roll[[#This Row],[Qty Complete]]/tbl_Roll[[#This Row],[Qty Required]]</f>
        <v>#DIV/0!</v>
      </c>
      <c r="K133" s="57" t="str">
        <f>IFERROR(tbl_Roll[[#This Row],[Qty Required]]/tbl_Roll[[#This Row],[PPH]]*tbl_Roll[[#This Row],['# of men]],"")</f>
        <v/>
      </c>
      <c r="L133" s="58" t="e">
        <f>tbl_Roll[[#This Row],[Total hours]]*tbl_Roll[[#This Row],[% Complete]]</f>
        <v>#VALUE!</v>
      </c>
      <c r="M133" s="59" t="str">
        <f>IFERROR(tbl_Roll[[#This Row],[Qty Complete]]/tbl_Roll[[#This Row],[Total Hours Act]]*tbl_Roll[[#This Row],['# of men Act]],"")</f>
        <v/>
      </c>
      <c r="O133"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33" s="71" t="str">
        <f>IFERROR((tbl_Roll[[#This Row],[Adj. Total Hours]]+tbl_Roll[[#This Row],[Est. Hours]])/(tbl_Roll[[#This Row],[Total Hours Act]]+tbl_Roll[[#This Row],[Act. Hours]]),"")</f>
        <v/>
      </c>
      <c r="S133" s="63"/>
      <c r="T133" s="63"/>
      <c r="U133" s="63"/>
      <c r="V133" s="63"/>
      <c r="W133" s="63"/>
    </row>
    <row r="134" spans="6:23" ht="25" customHeight="1">
      <c r="F134" s="53"/>
      <c r="H134" s="55" t="e">
        <f>tbl_Roll[[#This Row],[Qty Complete]]/tbl_Roll[[#This Row],[Qty Required]]</f>
        <v>#DIV/0!</v>
      </c>
      <c r="K134" s="57" t="str">
        <f>IFERROR(tbl_Roll[[#This Row],[Qty Required]]/tbl_Roll[[#This Row],[PPH]]*tbl_Roll[[#This Row],['# of men]],"")</f>
        <v/>
      </c>
      <c r="L134" s="58" t="e">
        <f>tbl_Roll[[#This Row],[Total hours]]*tbl_Roll[[#This Row],[% Complete]]</f>
        <v>#VALUE!</v>
      </c>
      <c r="M134" s="59" t="str">
        <f>IFERROR(tbl_Roll[[#This Row],[Qty Complete]]/tbl_Roll[[#This Row],[Total Hours Act]]*tbl_Roll[[#This Row],['# of men Act]],"")</f>
        <v/>
      </c>
      <c r="O134"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34" s="71" t="str">
        <f>IFERROR((tbl_Roll[[#This Row],[Adj. Total Hours]]+tbl_Roll[[#This Row],[Est. Hours]])/(tbl_Roll[[#This Row],[Total Hours Act]]+tbl_Roll[[#This Row],[Act. Hours]]),"")</f>
        <v/>
      </c>
      <c r="S134" s="63"/>
      <c r="T134" s="63"/>
      <c r="U134" s="63"/>
      <c r="V134" s="63"/>
      <c r="W134" s="63"/>
    </row>
    <row r="135" spans="6:23" ht="25" customHeight="1">
      <c r="F135" s="53"/>
      <c r="H135" s="55" t="e">
        <f>tbl_Roll[[#This Row],[Qty Complete]]/tbl_Roll[[#This Row],[Qty Required]]</f>
        <v>#DIV/0!</v>
      </c>
      <c r="K135" s="57" t="str">
        <f>IFERROR(tbl_Roll[[#This Row],[Qty Required]]/tbl_Roll[[#This Row],[PPH]]*tbl_Roll[[#This Row],['# of men]],"")</f>
        <v/>
      </c>
      <c r="L135" s="58" t="e">
        <f>tbl_Roll[[#This Row],[Total hours]]*tbl_Roll[[#This Row],[% Complete]]</f>
        <v>#VALUE!</v>
      </c>
      <c r="M135" s="59" t="str">
        <f>IFERROR(tbl_Roll[[#This Row],[Qty Complete]]/tbl_Roll[[#This Row],[Total Hours Act]]*tbl_Roll[[#This Row],['# of men Act]],"")</f>
        <v/>
      </c>
      <c r="O135"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35" s="71" t="str">
        <f>IFERROR((tbl_Roll[[#This Row],[Adj. Total Hours]]+tbl_Roll[[#This Row],[Est. Hours]])/(tbl_Roll[[#This Row],[Total Hours Act]]+tbl_Roll[[#This Row],[Act. Hours]]),"")</f>
        <v/>
      </c>
      <c r="S135" s="63"/>
      <c r="T135" s="63"/>
      <c r="U135" s="63"/>
      <c r="V135" s="63"/>
      <c r="W135" s="63"/>
    </row>
    <row r="136" spans="6:23" ht="25" customHeight="1">
      <c r="F136" s="53"/>
      <c r="H136" s="55" t="e">
        <f>tbl_Roll[[#This Row],[Qty Complete]]/tbl_Roll[[#This Row],[Qty Required]]</f>
        <v>#DIV/0!</v>
      </c>
      <c r="K136" s="57" t="str">
        <f>IFERROR(tbl_Roll[[#This Row],[Qty Required]]/tbl_Roll[[#This Row],[PPH]]*tbl_Roll[[#This Row],['# of men]],"")</f>
        <v/>
      </c>
      <c r="L136" s="58" t="e">
        <f>tbl_Roll[[#This Row],[Total hours]]*tbl_Roll[[#This Row],[% Complete]]</f>
        <v>#VALUE!</v>
      </c>
      <c r="M136" s="59" t="str">
        <f>IFERROR(tbl_Roll[[#This Row],[Qty Complete]]/tbl_Roll[[#This Row],[Total Hours Act]]*tbl_Roll[[#This Row],['# of men Act]],"")</f>
        <v/>
      </c>
      <c r="O136"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36" s="71" t="str">
        <f>IFERROR((tbl_Roll[[#This Row],[Adj. Total Hours]]+tbl_Roll[[#This Row],[Est. Hours]])/(tbl_Roll[[#This Row],[Total Hours Act]]+tbl_Roll[[#This Row],[Act. Hours]]),"")</f>
        <v/>
      </c>
      <c r="S136" s="63"/>
      <c r="T136" s="63"/>
      <c r="U136" s="63"/>
      <c r="V136" s="63"/>
      <c r="W136" s="63"/>
    </row>
    <row r="137" spans="6:23" ht="25" customHeight="1">
      <c r="F137" s="53"/>
      <c r="H137" s="55" t="e">
        <f>tbl_Roll[[#This Row],[Qty Complete]]/tbl_Roll[[#This Row],[Qty Required]]</f>
        <v>#DIV/0!</v>
      </c>
      <c r="K137" s="57" t="str">
        <f>IFERROR(tbl_Roll[[#This Row],[Qty Required]]/tbl_Roll[[#This Row],[PPH]]*tbl_Roll[[#This Row],['# of men]],"")</f>
        <v/>
      </c>
      <c r="L137" s="58" t="e">
        <f>tbl_Roll[[#This Row],[Total hours]]*tbl_Roll[[#This Row],[% Complete]]</f>
        <v>#VALUE!</v>
      </c>
      <c r="M137" s="59" t="str">
        <f>IFERROR(tbl_Roll[[#This Row],[Qty Complete]]/tbl_Roll[[#This Row],[Total Hours Act]]*tbl_Roll[[#This Row],['# of men Act]],"")</f>
        <v/>
      </c>
      <c r="O137"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37" s="71" t="str">
        <f>IFERROR((tbl_Roll[[#This Row],[Adj. Total Hours]]+tbl_Roll[[#This Row],[Est. Hours]])/(tbl_Roll[[#This Row],[Total Hours Act]]+tbl_Roll[[#This Row],[Act. Hours]]),"")</f>
        <v/>
      </c>
      <c r="S137" s="63"/>
      <c r="T137" s="63"/>
      <c r="U137" s="63"/>
      <c r="V137" s="63"/>
      <c r="W137" s="63"/>
    </row>
    <row r="138" spans="6:23" ht="25" customHeight="1">
      <c r="F138" s="53"/>
      <c r="H138" s="55" t="e">
        <f>tbl_Roll[[#This Row],[Qty Complete]]/tbl_Roll[[#This Row],[Qty Required]]</f>
        <v>#DIV/0!</v>
      </c>
      <c r="K138" s="57" t="str">
        <f>IFERROR(tbl_Roll[[#This Row],[Qty Required]]/tbl_Roll[[#This Row],[PPH]]*tbl_Roll[[#This Row],['# of men]],"")</f>
        <v/>
      </c>
      <c r="L138" s="58" t="e">
        <f>tbl_Roll[[#This Row],[Total hours]]*tbl_Roll[[#This Row],[% Complete]]</f>
        <v>#VALUE!</v>
      </c>
      <c r="M138" s="59" t="str">
        <f>IFERROR(tbl_Roll[[#This Row],[Qty Complete]]/tbl_Roll[[#This Row],[Total Hours Act]]*tbl_Roll[[#This Row],['# of men Act]],"")</f>
        <v/>
      </c>
      <c r="O138"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38" s="71" t="str">
        <f>IFERROR((tbl_Roll[[#This Row],[Adj. Total Hours]]+tbl_Roll[[#This Row],[Est. Hours]])/(tbl_Roll[[#This Row],[Total Hours Act]]+tbl_Roll[[#This Row],[Act. Hours]]),"")</f>
        <v/>
      </c>
      <c r="S138" s="63"/>
      <c r="T138" s="63"/>
      <c r="U138" s="63"/>
      <c r="V138" s="63"/>
      <c r="W138" s="63"/>
    </row>
    <row r="139" spans="6:23" ht="25" customHeight="1">
      <c r="F139" s="53"/>
      <c r="H139" s="55" t="e">
        <f>tbl_Roll[[#This Row],[Qty Complete]]/tbl_Roll[[#This Row],[Qty Required]]</f>
        <v>#DIV/0!</v>
      </c>
      <c r="K139" s="57" t="str">
        <f>IFERROR(tbl_Roll[[#This Row],[Qty Required]]/tbl_Roll[[#This Row],[PPH]]*tbl_Roll[[#This Row],['# of men]],"")</f>
        <v/>
      </c>
      <c r="L139" s="58" t="e">
        <f>tbl_Roll[[#This Row],[Total hours]]*tbl_Roll[[#This Row],[% Complete]]</f>
        <v>#VALUE!</v>
      </c>
      <c r="M139" s="59" t="str">
        <f>IFERROR(tbl_Roll[[#This Row],[Qty Complete]]/tbl_Roll[[#This Row],[Total Hours Act]]*tbl_Roll[[#This Row],['# of men Act]],"")</f>
        <v/>
      </c>
      <c r="O139"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39" s="71" t="str">
        <f>IFERROR((tbl_Roll[[#This Row],[Adj. Total Hours]]+tbl_Roll[[#This Row],[Est. Hours]])/(tbl_Roll[[#This Row],[Total Hours Act]]+tbl_Roll[[#This Row],[Act. Hours]]),"")</f>
        <v/>
      </c>
      <c r="S139" s="63"/>
      <c r="T139" s="63"/>
      <c r="U139" s="63"/>
      <c r="V139" s="63"/>
      <c r="W139" s="63"/>
    </row>
    <row r="140" spans="6:23" ht="25" customHeight="1">
      <c r="F140" s="53"/>
      <c r="H140" s="55" t="e">
        <f>tbl_Roll[[#This Row],[Qty Complete]]/tbl_Roll[[#This Row],[Qty Required]]</f>
        <v>#DIV/0!</v>
      </c>
      <c r="K140" s="57" t="str">
        <f>IFERROR(tbl_Roll[[#This Row],[Qty Required]]/tbl_Roll[[#This Row],[PPH]]*tbl_Roll[[#This Row],['# of men]],"")</f>
        <v/>
      </c>
      <c r="L140" s="58" t="e">
        <f>tbl_Roll[[#This Row],[Total hours]]*tbl_Roll[[#This Row],[% Complete]]</f>
        <v>#VALUE!</v>
      </c>
      <c r="M140" s="59" t="str">
        <f>IFERROR(tbl_Roll[[#This Row],[Qty Complete]]/tbl_Roll[[#This Row],[Total Hours Act]]*tbl_Roll[[#This Row],['# of men Act]],"")</f>
        <v/>
      </c>
      <c r="O140"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40" s="71" t="str">
        <f>IFERROR((tbl_Roll[[#This Row],[Adj. Total Hours]]+tbl_Roll[[#This Row],[Est. Hours]])/(tbl_Roll[[#This Row],[Total Hours Act]]+tbl_Roll[[#This Row],[Act. Hours]]),"")</f>
        <v/>
      </c>
      <c r="S140" s="63"/>
      <c r="T140" s="63"/>
      <c r="U140" s="63"/>
      <c r="V140" s="63"/>
      <c r="W140" s="63"/>
    </row>
    <row r="141" spans="6:23" ht="25" customHeight="1">
      <c r="F141" s="53"/>
      <c r="H141" s="55" t="e">
        <f>tbl_Roll[[#This Row],[Qty Complete]]/tbl_Roll[[#This Row],[Qty Required]]</f>
        <v>#DIV/0!</v>
      </c>
      <c r="K141" s="57" t="str">
        <f>IFERROR(tbl_Roll[[#This Row],[Qty Required]]/tbl_Roll[[#This Row],[PPH]]*tbl_Roll[[#This Row],['# of men]],"")</f>
        <v/>
      </c>
      <c r="L141" s="58" t="e">
        <f>tbl_Roll[[#This Row],[Total hours]]*tbl_Roll[[#This Row],[% Complete]]</f>
        <v>#VALUE!</v>
      </c>
      <c r="M141" s="59" t="str">
        <f>IFERROR(tbl_Roll[[#This Row],[Qty Complete]]/tbl_Roll[[#This Row],[Total Hours Act]]*tbl_Roll[[#This Row],['# of men Act]],"")</f>
        <v/>
      </c>
      <c r="O141"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41" s="71" t="str">
        <f>IFERROR((tbl_Roll[[#This Row],[Adj. Total Hours]]+tbl_Roll[[#This Row],[Est. Hours]])/(tbl_Roll[[#This Row],[Total Hours Act]]+tbl_Roll[[#This Row],[Act. Hours]]),"")</f>
        <v/>
      </c>
      <c r="S141" s="63"/>
      <c r="T141" s="63"/>
      <c r="U141" s="63"/>
      <c r="V141" s="63"/>
      <c r="W141" s="63"/>
    </row>
    <row r="142" spans="6:23" ht="25" customHeight="1">
      <c r="F142" s="53"/>
      <c r="H142" s="55" t="e">
        <f>tbl_Roll[[#This Row],[Qty Complete]]/tbl_Roll[[#This Row],[Qty Required]]</f>
        <v>#DIV/0!</v>
      </c>
      <c r="K142" s="57" t="str">
        <f>IFERROR(tbl_Roll[[#This Row],[Qty Required]]/tbl_Roll[[#This Row],[PPH]]*tbl_Roll[[#This Row],['# of men]],"")</f>
        <v/>
      </c>
      <c r="L142" s="58" t="e">
        <f>tbl_Roll[[#This Row],[Total hours]]*tbl_Roll[[#This Row],[% Complete]]</f>
        <v>#VALUE!</v>
      </c>
      <c r="M142" s="59" t="str">
        <f>IFERROR(tbl_Roll[[#This Row],[Qty Complete]]/tbl_Roll[[#This Row],[Total Hours Act]]*tbl_Roll[[#This Row],['# of men Act]],"")</f>
        <v/>
      </c>
      <c r="O142"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42" s="71" t="str">
        <f>IFERROR((tbl_Roll[[#This Row],[Adj. Total Hours]]+tbl_Roll[[#This Row],[Est. Hours]])/(tbl_Roll[[#This Row],[Total Hours Act]]+tbl_Roll[[#This Row],[Act. Hours]]),"")</f>
        <v/>
      </c>
      <c r="S142" s="63"/>
      <c r="T142" s="63"/>
      <c r="U142" s="63"/>
      <c r="V142" s="63"/>
      <c r="W142" s="63"/>
    </row>
    <row r="143" spans="6:23" ht="25" customHeight="1">
      <c r="F143" s="53"/>
      <c r="H143" s="55" t="e">
        <f>tbl_Roll[[#This Row],[Qty Complete]]/tbl_Roll[[#This Row],[Qty Required]]</f>
        <v>#DIV/0!</v>
      </c>
      <c r="K143" s="57" t="str">
        <f>IFERROR(tbl_Roll[[#This Row],[Qty Required]]/tbl_Roll[[#This Row],[PPH]]*tbl_Roll[[#This Row],['# of men]],"")</f>
        <v/>
      </c>
      <c r="L143" s="58" t="e">
        <f>tbl_Roll[[#This Row],[Total hours]]*tbl_Roll[[#This Row],[% Complete]]</f>
        <v>#VALUE!</v>
      </c>
      <c r="M143" s="59" t="str">
        <f>IFERROR(tbl_Roll[[#This Row],[Qty Complete]]/tbl_Roll[[#This Row],[Total Hours Act]]*tbl_Roll[[#This Row],['# of men Act]],"")</f>
        <v/>
      </c>
      <c r="O143"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43" s="71" t="str">
        <f>IFERROR((tbl_Roll[[#This Row],[Adj. Total Hours]]+tbl_Roll[[#This Row],[Est. Hours]])/(tbl_Roll[[#This Row],[Total Hours Act]]+tbl_Roll[[#This Row],[Act. Hours]]),"")</f>
        <v/>
      </c>
      <c r="S143" s="63"/>
      <c r="T143" s="63"/>
      <c r="U143" s="63"/>
      <c r="V143" s="63"/>
      <c r="W143" s="63"/>
    </row>
    <row r="144" spans="6:23" ht="25" customHeight="1">
      <c r="F144" s="53"/>
      <c r="H144" s="55" t="e">
        <f>tbl_Roll[[#This Row],[Qty Complete]]/tbl_Roll[[#This Row],[Qty Required]]</f>
        <v>#DIV/0!</v>
      </c>
      <c r="K144" s="57" t="str">
        <f>IFERROR(tbl_Roll[[#This Row],[Qty Required]]/tbl_Roll[[#This Row],[PPH]]*tbl_Roll[[#This Row],['# of men]],"")</f>
        <v/>
      </c>
      <c r="L144" s="58" t="e">
        <f>tbl_Roll[[#This Row],[Total hours]]*tbl_Roll[[#This Row],[% Complete]]</f>
        <v>#VALUE!</v>
      </c>
      <c r="M144" s="59" t="str">
        <f>IFERROR(tbl_Roll[[#This Row],[Qty Complete]]/tbl_Roll[[#This Row],[Total Hours Act]]*tbl_Roll[[#This Row],['# of men Act]],"")</f>
        <v/>
      </c>
      <c r="O144"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44" s="71" t="str">
        <f>IFERROR((tbl_Roll[[#This Row],[Adj. Total Hours]]+tbl_Roll[[#This Row],[Est. Hours]])/(tbl_Roll[[#This Row],[Total Hours Act]]+tbl_Roll[[#This Row],[Act. Hours]]),"")</f>
        <v/>
      </c>
      <c r="S144" s="63"/>
      <c r="T144" s="63"/>
      <c r="U144" s="63"/>
      <c r="V144" s="63"/>
      <c r="W144" s="63"/>
    </row>
    <row r="145" spans="6:23" ht="25" customHeight="1">
      <c r="F145" s="53"/>
      <c r="H145" s="55" t="e">
        <f>tbl_Roll[[#This Row],[Qty Complete]]/tbl_Roll[[#This Row],[Qty Required]]</f>
        <v>#DIV/0!</v>
      </c>
      <c r="K145" s="57" t="str">
        <f>IFERROR(tbl_Roll[[#This Row],[Qty Required]]/tbl_Roll[[#This Row],[PPH]]*tbl_Roll[[#This Row],['# of men]],"")</f>
        <v/>
      </c>
      <c r="L145" s="58" t="e">
        <f>tbl_Roll[[#This Row],[Total hours]]*tbl_Roll[[#This Row],[% Complete]]</f>
        <v>#VALUE!</v>
      </c>
      <c r="M145" s="59" t="str">
        <f>IFERROR(tbl_Roll[[#This Row],[Qty Complete]]/tbl_Roll[[#This Row],[Total Hours Act]]*tbl_Roll[[#This Row],['# of men Act]],"")</f>
        <v/>
      </c>
      <c r="O145"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45" s="71" t="str">
        <f>IFERROR((tbl_Roll[[#This Row],[Adj. Total Hours]]+tbl_Roll[[#This Row],[Est. Hours]])/(tbl_Roll[[#This Row],[Total Hours Act]]+tbl_Roll[[#This Row],[Act. Hours]]),"")</f>
        <v/>
      </c>
      <c r="S145" s="63"/>
      <c r="T145" s="63"/>
      <c r="U145" s="63"/>
      <c r="V145" s="63"/>
      <c r="W145" s="63"/>
    </row>
    <row r="146" spans="6:23" ht="25" customHeight="1">
      <c r="F146" s="53"/>
      <c r="H146" s="55" t="e">
        <f>tbl_Roll[[#This Row],[Qty Complete]]/tbl_Roll[[#This Row],[Qty Required]]</f>
        <v>#DIV/0!</v>
      </c>
      <c r="K146" s="57" t="str">
        <f>IFERROR(tbl_Roll[[#This Row],[Qty Required]]/tbl_Roll[[#This Row],[PPH]]*tbl_Roll[[#This Row],['# of men]],"")</f>
        <v/>
      </c>
      <c r="L146" s="58" t="e">
        <f>tbl_Roll[[#This Row],[Total hours]]*tbl_Roll[[#This Row],[% Complete]]</f>
        <v>#VALUE!</v>
      </c>
      <c r="M146" s="59" t="str">
        <f>IFERROR(tbl_Roll[[#This Row],[Qty Complete]]/tbl_Roll[[#This Row],[Total Hours Act]]*tbl_Roll[[#This Row],['# of men Act]],"")</f>
        <v/>
      </c>
      <c r="O146"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46" s="71" t="str">
        <f>IFERROR((tbl_Roll[[#This Row],[Adj. Total Hours]]+tbl_Roll[[#This Row],[Est. Hours]])/(tbl_Roll[[#This Row],[Total Hours Act]]+tbl_Roll[[#This Row],[Act. Hours]]),"")</f>
        <v/>
      </c>
      <c r="S146" s="63"/>
      <c r="T146" s="63"/>
      <c r="U146" s="63"/>
      <c r="V146" s="63"/>
      <c r="W146" s="63"/>
    </row>
    <row r="147" spans="6:23" ht="25" customHeight="1">
      <c r="F147" s="53"/>
      <c r="H147" s="55" t="e">
        <f>tbl_Roll[[#This Row],[Qty Complete]]/tbl_Roll[[#This Row],[Qty Required]]</f>
        <v>#DIV/0!</v>
      </c>
      <c r="K147" s="57" t="str">
        <f>IFERROR(tbl_Roll[[#This Row],[Qty Required]]/tbl_Roll[[#This Row],[PPH]]*tbl_Roll[[#This Row],['# of men]],"")</f>
        <v/>
      </c>
      <c r="L147" s="58" t="e">
        <f>tbl_Roll[[#This Row],[Total hours]]*tbl_Roll[[#This Row],[% Complete]]</f>
        <v>#VALUE!</v>
      </c>
      <c r="M147" s="59" t="str">
        <f>IFERROR(tbl_Roll[[#This Row],[Qty Complete]]/tbl_Roll[[#This Row],[Total Hours Act]]*tbl_Roll[[#This Row],['# of men Act]],"")</f>
        <v/>
      </c>
      <c r="O147"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47" s="71" t="str">
        <f>IFERROR((tbl_Roll[[#This Row],[Adj. Total Hours]]+tbl_Roll[[#This Row],[Est. Hours]])/(tbl_Roll[[#This Row],[Total Hours Act]]+tbl_Roll[[#This Row],[Act. Hours]]),"")</f>
        <v/>
      </c>
      <c r="S147" s="63"/>
      <c r="T147" s="63"/>
      <c r="U147" s="63"/>
      <c r="V147" s="63"/>
      <c r="W147" s="63"/>
    </row>
    <row r="148" spans="6:23" ht="25" customHeight="1">
      <c r="F148" s="53"/>
      <c r="H148" s="55" t="e">
        <f>tbl_Roll[[#This Row],[Qty Complete]]/tbl_Roll[[#This Row],[Qty Required]]</f>
        <v>#DIV/0!</v>
      </c>
      <c r="K148" s="57" t="str">
        <f>IFERROR(tbl_Roll[[#This Row],[Qty Required]]/tbl_Roll[[#This Row],[PPH]]*tbl_Roll[[#This Row],['# of men]],"")</f>
        <v/>
      </c>
      <c r="L148" s="58" t="e">
        <f>tbl_Roll[[#This Row],[Total hours]]*tbl_Roll[[#This Row],[% Complete]]</f>
        <v>#VALUE!</v>
      </c>
      <c r="M148" s="59" t="str">
        <f>IFERROR(tbl_Roll[[#This Row],[Qty Complete]]/tbl_Roll[[#This Row],[Total Hours Act]]*tbl_Roll[[#This Row],['# of men Act]],"")</f>
        <v/>
      </c>
      <c r="O148"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48" s="71" t="str">
        <f>IFERROR((tbl_Roll[[#This Row],[Adj. Total Hours]]+tbl_Roll[[#This Row],[Est. Hours]])/(tbl_Roll[[#This Row],[Total Hours Act]]+tbl_Roll[[#This Row],[Act. Hours]]),"")</f>
        <v/>
      </c>
      <c r="S148" s="63"/>
      <c r="T148" s="63"/>
      <c r="U148" s="63"/>
      <c r="V148" s="63"/>
      <c r="W148" s="63"/>
    </row>
    <row r="149" spans="6:23" ht="25" customHeight="1">
      <c r="F149" s="53"/>
      <c r="H149" s="55" t="e">
        <f>tbl_Roll[[#This Row],[Qty Complete]]/tbl_Roll[[#This Row],[Qty Required]]</f>
        <v>#DIV/0!</v>
      </c>
      <c r="K149" s="57" t="str">
        <f>IFERROR(tbl_Roll[[#This Row],[Qty Required]]/tbl_Roll[[#This Row],[PPH]]*tbl_Roll[[#This Row],['# of men]],"")</f>
        <v/>
      </c>
      <c r="L149" s="58" t="e">
        <f>tbl_Roll[[#This Row],[Total hours]]*tbl_Roll[[#This Row],[% Complete]]</f>
        <v>#VALUE!</v>
      </c>
      <c r="M149" s="59" t="str">
        <f>IFERROR(tbl_Roll[[#This Row],[Qty Complete]]/tbl_Roll[[#This Row],[Total Hours Act]]*tbl_Roll[[#This Row],['# of men Act]],"")</f>
        <v/>
      </c>
      <c r="O149"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49" s="71" t="str">
        <f>IFERROR((tbl_Roll[[#This Row],[Adj. Total Hours]]+tbl_Roll[[#This Row],[Est. Hours]])/(tbl_Roll[[#This Row],[Total Hours Act]]+tbl_Roll[[#This Row],[Act. Hours]]),"")</f>
        <v/>
      </c>
      <c r="S149" s="63"/>
      <c r="T149" s="63"/>
      <c r="U149" s="63"/>
      <c r="V149" s="63"/>
      <c r="W149" s="63"/>
    </row>
    <row r="150" spans="6:23" ht="25" customHeight="1">
      <c r="F150" s="53"/>
      <c r="H150" s="55" t="e">
        <f>tbl_Roll[[#This Row],[Qty Complete]]/tbl_Roll[[#This Row],[Qty Required]]</f>
        <v>#DIV/0!</v>
      </c>
      <c r="K150" s="57" t="str">
        <f>IFERROR(tbl_Roll[[#This Row],[Qty Required]]/tbl_Roll[[#This Row],[PPH]]*tbl_Roll[[#This Row],['# of men]],"")</f>
        <v/>
      </c>
      <c r="L150" s="58" t="e">
        <f>tbl_Roll[[#This Row],[Total hours]]*tbl_Roll[[#This Row],[% Complete]]</f>
        <v>#VALUE!</v>
      </c>
      <c r="M150" s="59" t="str">
        <f>IFERROR(tbl_Roll[[#This Row],[Qty Complete]]/tbl_Roll[[#This Row],[Total Hours Act]]*tbl_Roll[[#This Row],['# of men Act]],"")</f>
        <v/>
      </c>
      <c r="O150"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50" s="71" t="str">
        <f>IFERROR((tbl_Roll[[#This Row],[Adj. Total Hours]]+tbl_Roll[[#This Row],[Est. Hours]])/(tbl_Roll[[#This Row],[Total Hours Act]]+tbl_Roll[[#This Row],[Act. Hours]]),"")</f>
        <v/>
      </c>
      <c r="S150" s="63"/>
      <c r="T150" s="63"/>
      <c r="U150" s="63"/>
      <c r="V150" s="63"/>
      <c r="W150" s="63"/>
    </row>
    <row r="151" spans="6:23" ht="25" customHeight="1">
      <c r="F151" s="53"/>
      <c r="H151" s="55" t="e">
        <f>tbl_Roll[[#This Row],[Qty Complete]]/tbl_Roll[[#This Row],[Qty Required]]</f>
        <v>#DIV/0!</v>
      </c>
      <c r="K151" s="57" t="str">
        <f>IFERROR(tbl_Roll[[#This Row],[Qty Required]]/tbl_Roll[[#This Row],[PPH]]*tbl_Roll[[#This Row],['# of men]],"")</f>
        <v/>
      </c>
      <c r="L151" s="58" t="e">
        <f>tbl_Roll[[#This Row],[Total hours]]*tbl_Roll[[#This Row],[% Complete]]</f>
        <v>#VALUE!</v>
      </c>
      <c r="M151" s="59" t="str">
        <f>IFERROR(tbl_Roll[[#This Row],[Qty Complete]]/tbl_Roll[[#This Row],[Total Hours Act]]*tbl_Roll[[#This Row],['# of men Act]],"")</f>
        <v/>
      </c>
      <c r="O151"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51" s="71" t="str">
        <f>IFERROR((tbl_Roll[[#This Row],[Adj. Total Hours]]+tbl_Roll[[#This Row],[Est. Hours]])/(tbl_Roll[[#This Row],[Total Hours Act]]+tbl_Roll[[#This Row],[Act. Hours]]),"")</f>
        <v/>
      </c>
      <c r="S151" s="63"/>
      <c r="T151" s="63"/>
      <c r="U151" s="63"/>
      <c r="V151" s="63"/>
      <c r="W151" s="63"/>
    </row>
    <row r="152" spans="6:23" ht="25" customHeight="1">
      <c r="F152" s="53"/>
      <c r="H152" s="55" t="e">
        <f>tbl_Roll[[#This Row],[Qty Complete]]/tbl_Roll[[#This Row],[Qty Required]]</f>
        <v>#DIV/0!</v>
      </c>
      <c r="K152" s="57" t="str">
        <f>IFERROR(tbl_Roll[[#This Row],[Qty Required]]/tbl_Roll[[#This Row],[PPH]]*tbl_Roll[[#This Row],['# of men]],"")</f>
        <v/>
      </c>
      <c r="L152" s="58" t="e">
        <f>tbl_Roll[[#This Row],[Total hours]]*tbl_Roll[[#This Row],[% Complete]]</f>
        <v>#VALUE!</v>
      </c>
      <c r="M152" s="59" t="str">
        <f>IFERROR(tbl_Roll[[#This Row],[Qty Complete]]/tbl_Roll[[#This Row],[Total Hours Act]]*tbl_Roll[[#This Row],['# of men Act]],"")</f>
        <v/>
      </c>
      <c r="O152"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52" s="71" t="str">
        <f>IFERROR((tbl_Roll[[#This Row],[Adj. Total Hours]]+tbl_Roll[[#This Row],[Est. Hours]])/(tbl_Roll[[#This Row],[Total Hours Act]]+tbl_Roll[[#This Row],[Act. Hours]]),"")</f>
        <v/>
      </c>
      <c r="S152" s="63"/>
      <c r="T152" s="63"/>
      <c r="U152" s="63"/>
      <c r="V152" s="63"/>
      <c r="W152" s="63"/>
    </row>
    <row r="153" spans="6:23" ht="25" customHeight="1">
      <c r="F153" s="53"/>
      <c r="H153" s="55" t="e">
        <f>tbl_Roll[[#This Row],[Qty Complete]]/tbl_Roll[[#This Row],[Qty Required]]</f>
        <v>#DIV/0!</v>
      </c>
      <c r="K153" s="57" t="str">
        <f>IFERROR(tbl_Roll[[#This Row],[Qty Required]]/tbl_Roll[[#This Row],[PPH]]*tbl_Roll[[#This Row],['# of men]],"")</f>
        <v/>
      </c>
      <c r="L153" s="58" t="e">
        <f>tbl_Roll[[#This Row],[Total hours]]*tbl_Roll[[#This Row],[% Complete]]</f>
        <v>#VALUE!</v>
      </c>
      <c r="M153" s="59" t="str">
        <f>IFERROR(tbl_Roll[[#This Row],[Qty Complete]]/tbl_Roll[[#This Row],[Total Hours Act]]*tbl_Roll[[#This Row],['# of men Act]],"")</f>
        <v/>
      </c>
      <c r="O153"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53" s="71" t="str">
        <f>IFERROR((tbl_Roll[[#This Row],[Adj. Total Hours]]+tbl_Roll[[#This Row],[Est. Hours]])/(tbl_Roll[[#This Row],[Total Hours Act]]+tbl_Roll[[#This Row],[Act. Hours]]),"")</f>
        <v/>
      </c>
      <c r="S153" s="63"/>
      <c r="T153" s="63"/>
      <c r="U153" s="63"/>
      <c r="V153" s="63"/>
      <c r="W153" s="63"/>
    </row>
    <row r="154" spans="6:23" ht="25" customHeight="1">
      <c r="F154" s="53"/>
      <c r="H154" s="55" t="e">
        <f>tbl_Roll[[#This Row],[Qty Complete]]/tbl_Roll[[#This Row],[Qty Required]]</f>
        <v>#DIV/0!</v>
      </c>
      <c r="K154" s="57" t="str">
        <f>IFERROR(tbl_Roll[[#This Row],[Qty Required]]/tbl_Roll[[#This Row],[PPH]]*tbl_Roll[[#This Row],['# of men]],"")</f>
        <v/>
      </c>
      <c r="L154" s="58" t="e">
        <f>tbl_Roll[[#This Row],[Total hours]]*tbl_Roll[[#This Row],[% Complete]]</f>
        <v>#VALUE!</v>
      </c>
      <c r="M154" s="59" t="str">
        <f>IFERROR(tbl_Roll[[#This Row],[Qty Complete]]/tbl_Roll[[#This Row],[Total Hours Act]]*tbl_Roll[[#This Row],['# of men Act]],"")</f>
        <v/>
      </c>
      <c r="O154"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54" s="71" t="str">
        <f>IFERROR((tbl_Roll[[#This Row],[Adj. Total Hours]]+tbl_Roll[[#This Row],[Est. Hours]])/(tbl_Roll[[#This Row],[Total Hours Act]]+tbl_Roll[[#This Row],[Act. Hours]]),"")</f>
        <v/>
      </c>
      <c r="S154" s="63"/>
      <c r="T154" s="63"/>
      <c r="U154" s="63"/>
      <c r="V154" s="63"/>
      <c r="W154" s="63"/>
    </row>
    <row r="155" spans="6:23" ht="25" customHeight="1">
      <c r="F155" s="53"/>
      <c r="H155" s="55" t="e">
        <f>tbl_Roll[[#This Row],[Qty Complete]]/tbl_Roll[[#This Row],[Qty Required]]</f>
        <v>#DIV/0!</v>
      </c>
      <c r="K155" s="57" t="str">
        <f>IFERROR(tbl_Roll[[#This Row],[Qty Required]]/tbl_Roll[[#This Row],[PPH]]*tbl_Roll[[#This Row],['# of men]],"")</f>
        <v/>
      </c>
      <c r="L155" s="58" t="e">
        <f>tbl_Roll[[#This Row],[Total hours]]*tbl_Roll[[#This Row],[% Complete]]</f>
        <v>#VALUE!</v>
      </c>
      <c r="M155" s="59" t="str">
        <f>IFERROR(tbl_Roll[[#This Row],[Qty Complete]]/tbl_Roll[[#This Row],[Total Hours Act]]*tbl_Roll[[#This Row],['# of men Act]],"")</f>
        <v/>
      </c>
      <c r="O155"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55" s="71" t="str">
        <f>IFERROR((tbl_Roll[[#This Row],[Adj. Total Hours]]+tbl_Roll[[#This Row],[Est. Hours]])/(tbl_Roll[[#This Row],[Total Hours Act]]+tbl_Roll[[#This Row],[Act. Hours]]),"")</f>
        <v/>
      </c>
      <c r="S155" s="63"/>
      <c r="T155" s="63"/>
      <c r="U155" s="63"/>
      <c r="V155" s="63"/>
      <c r="W155" s="63"/>
    </row>
    <row r="156" spans="6:23" ht="25" customHeight="1">
      <c r="F156" s="53"/>
      <c r="H156" s="55" t="e">
        <f>tbl_Roll[[#This Row],[Qty Complete]]/tbl_Roll[[#This Row],[Qty Required]]</f>
        <v>#DIV/0!</v>
      </c>
      <c r="K156" s="57" t="str">
        <f>IFERROR(tbl_Roll[[#This Row],[Qty Required]]/tbl_Roll[[#This Row],[PPH]]*tbl_Roll[[#This Row],['# of men]],"")</f>
        <v/>
      </c>
      <c r="L156" s="58" t="e">
        <f>tbl_Roll[[#This Row],[Total hours]]*tbl_Roll[[#This Row],[% Complete]]</f>
        <v>#VALUE!</v>
      </c>
      <c r="M156" s="59" t="str">
        <f>IFERROR(tbl_Roll[[#This Row],[Qty Complete]]/tbl_Roll[[#This Row],[Total Hours Act]]*tbl_Roll[[#This Row],['# of men Act]],"")</f>
        <v/>
      </c>
      <c r="O156"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56" s="71" t="str">
        <f>IFERROR((tbl_Roll[[#This Row],[Adj. Total Hours]]+tbl_Roll[[#This Row],[Est. Hours]])/(tbl_Roll[[#This Row],[Total Hours Act]]+tbl_Roll[[#This Row],[Act. Hours]]),"")</f>
        <v/>
      </c>
      <c r="S156" s="63"/>
      <c r="T156" s="63"/>
      <c r="U156" s="63"/>
      <c r="V156" s="63"/>
      <c r="W156" s="63"/>
    </row>
    <row r="157" spans="6:23" ht="25" customHeight="1">
      <c r="F157" s="53"/>
      <c r="H157" s="55" t="e">
        <f>tbl_Roll[[#This Row],[Qty Complete]]/tbl_Roll[[#This Row],[Qty Required]]</f>
        <v>#DIV/0!</v>
      </c>
      <c r="K157" s="57" t="str">
        <f>IFERROR(tbl_Roll[[#This Row],[Qty Required]]/tbl_Roll[[#This Row],[PPH]]*tbl_Roll[[#This Row],['# of men]],"")</f>
        <v/>
      </c>
      <c r="L157" s="58" t="e">
        <f>tbl_Roll[[#This Row],[Total hours]]*tbl_Roll[[#This Row],[% Complete]]</f>
        <v>#VALUE!</v>
      </c>
      <c r="M157" s="59" t="str">
        <f>IFERROR(tbl_Roll[[#This Row],[Qty Complete]]/tbl_Roll[[#This Row],[Total Hours Act]]*tbl_Roll[[#This Row],['# of men Act]],"")</f>
        <v/>
      </c>
      <c r="O157"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57" s="71" t="str">
        <f>IFERROR((tbl_Roll[[#This Row],[Adj. Total Hours]]+tbl_Roll[[#This Row],[Est. Hours]])/(tbl_Roll[[#This Row],[Total Hours Act]]+tbl_Roll[[#This Row],[Act. Hours]]),"")</f>
        <v/>
      </c>
      <c r="S157" s="63"/>
      <c r="T157" s="63"/>
      <c r="U157" s="63"/>
      <c r="V157" s="63"/>
      <c r="W157" s="63"/>
    </row>
    <row r="158" spans="6:23" ht="25" customHeight="1">
      <c r="F158" s="53"/>
      <c r="H158" s="55" t="e">
        <f>tbl_Roll[[#This Row],[Qty Complete]]/tbl_Roll[[#This Row],[Qty Required]]</f>
        <v>#DIV/0!</v>
      </c>
      <c r="K158" s="57" t="str">
        <f>IFERROR(tbl_Roll[[#This Row],[Qty Required]]/tbl_Roll[[#This Row],[PPH]]*tbl_Roll[[#This Row],['# of men]],"")</f>
        <v/>
      </c>
      <c r="L158" s="58" t="e">
        <f>tbl_Roll[[#This Row],[Total hours]]*tbl_Roll[[#This Row],[% Complete]]</f>
        <v>#VALUE!</v>
      </c>
      <c r="M158" s="59" t="str">
        <f>IFERROR(tbl_Roll[[#This Row],[Qty Complete]]/tbl_Roll[[#This Row],[Total Hours Act]]*tbl_Roll[[#This Row],['# of men Act]],"")</f>
        <v/>
      </c>
      <c r="O158"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58" s="71" t="str">
        <f>IFERROR((tbl_Roll[[#This Row],[Adj. Total Hours]]+tbl_Roll[[#This Row],[Est. Hours]])/(tbl_Roll[[#This Row],[Total Hours Act]]+tbl_Roll[[#This Row],[Act. Hours]]),"")</f>
        <v/>
      </c>
      <c r="S158" s="63"/>
      <c r="T158" s="63"/>
      <c r="U158" s="63"/>
      <c r="V158" s="63"/>
      <c r="W158" s="63"/>
    </row>
    <row r="159" spans="6:23" ht="25" customHeight="1">
      <c r="F159" s="53"/>
      <c r="H159" s="55" t="e">
        <f>tbl_Roll[[#This Row],[Qty Complete]]/tbl_Roll[[#This Row],[Qty Required]]</f>
        <v>#DIV/0!</v>
      </c>
      <c r="K159" s="57" t="str">
        <f>IFERROR(tbl_Roll[[#This Row],[Qty Required]]/tbl_Roll[[#This Row],[PPH]]*tbl_Roll[[#This Row],['# of men]],"")</f>
        <v/>
      </c>
      <c r="L159" s="58" t="e">
        <f>tbl_Roll[[#This Row],[Total hours]]*tbl_Roll[[#This Row],[% Complete]]</f>
        <v>#VALUE!</v>
      </c>
      <c r="M159" s="59" t="str">
        <f>IFERROR(tbl_Roll[[#This Row],[Qty Complete]]/tbl_Roll[[#This Row],[Total Hours Act]]*tbl_Roll[[#This Row],['# of men Act]],"")</f>
        <v/>
      </c>
      <c r="O159"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59" s="71" t="str">
        <f>IFERROR((tbl_Roll[[#This Row],[Adj. Total Hours]]+tbl_Roll[[#This Row],[Est. Hours]])/(tbl_Roll[[#This Row],[Total Hours Act]]+tbl_Roll[[#This Row],[Act. Hours]]),"")</f>
        <v/>
      </c>
      <c r="S159" s="63"/>
      <c r="T159" s="63"/>
      <c r="U159" s="63"/>
      <c r="V159" s="63"/>
      <c r="W159" s="63"/>
    </row>
    <row r="160" spans="6:23" ht="25" customHeight="1">
      <c r="F160" s="53"/>
      <c r="H160" s="55" t="e">
        <f>tbl_Roll[[#This Row],[Qty Complete]]/tbl_Roll[[#This Row],[Qty Required]]</f>
        <v>#DIV/0!</v>
      </c>
      <c r="K160" s="57" t="str">
        <f>IFERROR(tbl_Roll[[#This Row],[Qty Required]]/tbl_Roll[[#This Row],[PPH]]*tbl_Roll[[#This Row],['# of men]],"")</f>
        <v/>
      </c>
      <c r="L160" s="58" t="e">
        <f>tbl_Roll[[#This Row],[Total hours]]*tbl_Roll[[#This Row],[% Complete]]</f>
        <v>#VALUE!</v>
      </c>
      <c r="M160" s="59" t="str">
        <f>IFERROR(tbl_Roll[[#This Row],[Qty Complete]]/tbl_Roll[[#This Row],[Total Hours Act]]*tbl_Roll[[#This Row],['# of men Act]],"")</f>
        <v/>
      </c>
      <c r="O160"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60" s="71" t="str">
        <f>IFERROR((tbl_Roll[[#This Row],[Adj. Total Hours]]+tbl_Roll[[#This Row],[Est. Hours]])/(tbl_Roll[[#This Row],[Total Hours Act]]+tbl_Roll[[#This Row],[Act. Hours]]),"")</f>
        <v/>
      </c>
      <c r="S160" s="63"/>
      <c r="T160" s="63"/>
      <c r="U160" s="63"/>
      <c r="V160" s="63"/>
      <c r="W160" s="63"/>
    </row>
    <row r="161" spans="6:23" ht="25" customHeight="1">
      <c r="F161" s="53"/>
      <c r="H161" s="55" t="e">
        <f>tbl_Roll[[#This Row],[Qty Complete]]/tbl_Roll[[#This Row],[Qty Required]]</f>
        <v>#DIV/0!</v>
      </c>
      <c r="K161" s="57" t="str">
        <f>IFERROR(tbl_Roll[[#This Row],[Qty Required]]/tbl_Roll[[#This Row],[PPH]]*tbl_Roll[[#This Row],['# of men]],"")</f>
        <v/>
      </c>
      <c r="L161" s="58" t="e">
        <f>tbl_Roll[[#This Row],[Total hours]]*tbl_Roll[[#This Row],[% Complete]]</f>
        <v>#VALUE!</v>
      </c>
      <c r="M161" s="59" t="str">
        <f>IFERROR(tbl_Roll[[#This Row],[Qty Complete]]/tbl_Roll[[#This Row],[Total Hours Act]]*tbl_Roll[[#This Row],['# of men Act]],"")</f>
        <v/>
      </c>
      <c r="O161"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61" s="71" t="str">
        <f>IFERROR((tbl_Roll[[#This Row],[Adj. Total Hours]]+tbl_Roll[[#This Row],[Est. Hours]])/(tbl_Roll[[#This Row],[Total Hours Act]]+tbl_Roll[[#This Row],[Act. Hours]]),"")</f>
        <v/>
      </c>
      <c r="S161" s="63"/>
      <c r="T161" s="63"/>
      <c r="U161" s="63"/>
      <c r="V161" s="63"/>
      <c r="W161" s="63"/>
    </row>
    <row r="162" spans="6:23" ht="25" customHeight="1">
      <c r="F162" s="53"/>
      <c r="H162" s="55" t="e">
        <f>tbl_Roll[[#This Row],[Qty Complete]]/tbl_Roll[[#This Row],[Qty Required]]</f>
        <v>#DIV/0!</v>
      </c>
      <c r="K162" s="57" t="str">
        <f>IFERROR(tbl_Roll[[#This Row],[Qty Required]]/tbl_Roll[[#This Row],[PPH]]*tbl_Roll[[#This Row],['# of men]],"")</f>
        <v/>
      </c>
      <c r="L162" s="58" t="e">
        <f>tbl_Roll[[#This Row],[Total hours]]*tbl_Roll[[#This Row],[% Complete]]</f>
        <v>#VALUE!</v>
      </c>
      <c r="M162" s="59" t="str">
        <f>IFERROR(tbl_Roll[[#This Row],[Qty Complete]]/tbl_Roll[[#This Row],[Total Hours Act]]*tbl_Roll[[#This Row],['# of men Act]],"")</f>
        <v/>
      </c>
      <c r="O162"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62" s="71" t="str">
        <f>IFERROR((tbl_Roll[[#This Row],[Adj. Total Hours]]+tbl_Roll[[#This Row],[Est. Hours]])/(tbl_Roll[[#This Row],[Total Hours Act]]+tbl_Roll[[#This Row],[Act. Hours]]),"")</f>
        <v/>
      </c>
      <c r="S162" s="63"/>
      <c r="T162" s="63"/>
      <c r="U162" s="63"/>
      <c r="V162" s="63"/>
      <c r="W162" s="63"/>
    </row>
    <row r="163" spans="6:23" ht="25" customHeight="1">
      <c r="F163" s="53"/>
      <c r="H163" s="55" t="e">
        <f>tbl_Roll[[#This Row],[Qty Complete]]/tbl_Roll[[#This Row],[Qty Required]]</f>
        <v>#DIV/0!</v>
      </c>
      <c r="K163" s="57" t="str">
        <f>IFERROR(tbl_Roll[[#This Row],[Qty Required]]/tbl_Roll[[#This Row],[PPH]]*tbl_Roll[[#This Row],['# of men]],"")</f>
        <v/>
      </c>
      <c r="L163" s="58" t="e">
        <f>tbl_Roll[[#This Row],[Total hours]]*tbl_Roll[[#This Row],[% Complete]]</f>
        <v>#VALUE!</v>
      </c>
      <c r="M163" s="59" t="str">
        <f>IFERROR(tbl_Roll[[#This Row],[Qty Complete]]/tbl_Roll[[#This Row],[Total Hours Act]]*tbl_Roll[[#This Row],['# of men Act]],"")</f>
        <v/>
      </c>
      <c r="O163"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63" s="71" t="str">
        <f>IFERROR((tbl_Roll[[#This Row],[Adj. Total Hours]]+tbl_Roll[[#This Row],[Est. Hours]])/(tbl_Roll[[#This Row],[Total Hours Act]]+tbl_Roll[[#This Row],[Act. Hours]]),"")</f>
        <v/>
      </c>
      <c r="S163" s="63"/>
      <c r="T163" s="63"/>
      <c r="U163" s="63"/>
      <c r="V163" s="63"/>
      <c r="W163" s="63"/>
    </row>
    <row r="164" spans="6:23" ht="25" customHeight="1">
      <c r="F164" s="53"/>
      <c r="H164" s="55" t="e">
        <f>tbl_Roll[[#This Row],[Qty Complete]]/tbl_Roll[[#This Row],[Qty Required]]</f>
        <v>#DIV/0!</v>
      </c>
      <c r="K164" s="57" t="str">
        <f>IFERROR(tbl_Roll[[#This Row],[Qty Required]]/tbl_Roll[[#This Row],[PPH]]*tbl_Roll[[#This Row],['# of men]],"")</f>
        <v/>
      </c>
      <c r="L164" s="58" t="e">
        <f>tbl_Roll[[#This Row],[Total hours]]*tbl_Roll[[#This Row],[% Complete]]</f>
        <v>#VALUE!</v>
      </c>
      <c r="M164" s="59" t="str">
        <f>IFERROR(tbl_Roll[[#This Row],[Qty Complete]]/tbl_Roll[[#This Row],[Total Hours Act]]*tbl_Roll[[#This Row],['# of men Act]],"")</f>
        <v/>
      </c>
      <c r="O164"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64" s="71" t="str">
        <f>IFERROR((tbl_Roll[[#This Row],[Adj. Total Hours]]+tbl_Roll[[#This Row],[Est. Hours]])/(tbl_Roll[[#This Row],[Total Hours Act]]+tbl_Roll[[#This Row],[Act. Hours]]),"")</f>
        <v/>
      </c>
      <c r="S164" s="63"/>
      <c r="T164" s="63"/>
      <c r="U164" s="63"/>
      <c r="V164" s="63"/>
      <c r="W164" s="63"/>
    </row>
    <row r="165" spans="6:23" ht="25" customHeight="1">
      <c r="F165" s="53"/>
      <c r="H165" s="55" t="e">
        <f>tbl_Roll[[#This Row],[Qty Complete]]/tbl_Roll[[#This Row],[Qty Required]]</f>
        <v>#DIV/0!</v>
      </c>
      <c r="K165" s="57" t="str">
        <f>IFERROR(tbl_Roll[[#This Row],[Qty Required]]/tbl_Roll[[#This Row],[PPH]]*tbl_Roll[[#This Row],['# of men]],"")</f>
        <v/>
      </c>
      <c r="L165" s="58" t="e">
        <f>tbl_Roll[[#This Row],[Total hours]]*tbl_Roll[[#This Row],[% Complete]]</f>
        <v>#VALUE!</v>
      </c>
      <c r="M165" s="59" t="str">
        <f>IFERROR(tbl_Roll[[#This Row],[Qty Complete]]/tbl_Roll[[#This Row],[Total Hours Act]]*tbl_Roll[[#This Row],['# of men Act]],"")</f>
        <v/>
      </c>
      <c r="O165"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65" s="71" t="str">
        <f>IFERROR((tbl_Roll[[#This Row],[Adj. Total Hours]]+tbl_Roll[[#This Row],[Est. Hours]])/(tbl_Roll[[#This Row],[Total Hours Act]]+tbl_Roll[[#This Row],[Act. Hours]]),"")</f>
        <v/>
      </c>
      <c r="S165" s="63"/>
      <c r="T165" s="63"/>
      <c r="U165" s="63"/>
      <c r="V165" s="63"/>
      <c r="W165" s="63"/>
    </row>
    <row r="166" spans="6:23" ht="25" customHeight="1">
      <c r="F166" s="53"/>
      <c r="H166" s="55" t="e">
        <f>tbl_Roll[[#This Row],[Qty Complete]]/tbl_Roll[[#This Row],[Qty Required]]</f>
        <v>#DIV/0!</v>
      </c>
      <c r="K166" s="57" t="str">
        <f>IFERROR(tbl_Roll[[#This Row],[Qty Required]]/tbl_Roll[[#This Row],[PPH]]*tbl_Roll[[#This Row],['# of men]],"")</f>
        <v/>
      </c>
      <c r="L166" s="58" t="e">
        <f>tbl_Roll[[#This Row],[Total hours]]*tbl_Roll[[#This Row],[% Complete]]</f>
        <v>#VALUE!</v>
      </c>
      <c r="M166" s="59" t="str">
        <f>IFERROR(tbl_Roll[[#This Row],[Qty Complete]]/tbl_Roll[[#This Row],[Total Hours Act]]*tbl_Roll[[#This Row],['# of men Act]],"")</f>
        <v/>
      </c>
      <c r="O166"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66" s="71" t="str">
        <f>IFERROR((tbl_Roll[[#This Row],[Adj. Total Hours]]+tbl_Roll[[#This Row],[Est. Hours]])/(tbl_Roll[[#This Row],[Total Hours Act]]+tbl_Roll[[#This Row],[Act. Hours]]),"")</f>
        <v/>
      </c>
      <c r="S166" s="63"/>
      <c r="T166" s="63"/>
      <c r="U166" s="63"/>
      <c r="V166" s="63"/>
      <c r="W166" s="63"/>
    </row>
    <row r="167" spans="6:23" ht="25" customHeight="1">
      <c r="F167" s="53"/>
      <c r="H167" s="55" t="e">
        <f>tbl_Roll[[#This Row],[Qty Complete]]/tbl_Roll[[#This Row],[Qty Required]]</f>
        <v>#DIV/0!</v>
      </c>
      <c r="K167" s="57" t="str">
        <f>IFERROR(tbl_Roll[[#This Row],[Qty Required]]/tbl_Roll[[#This Row],[PPH]]*tbl_Roll[[#This Row],['# of men]],"")</f>
        <v/>
      </c>
      <c r="L167" s="58" t="e">
        <f>tbl_Roll[[#This Row],[Total hours]]*tbl_Roll[[#This Row],[% Complete]]</f>
        <v>#VALUE!</v>
      </c>
      <c r="M167" s="59" t="str">
        <f>IFERROR(tbl_Roll[[#This Row],[Qty Complete]]/tbl_Roll[[#This Row],[Total Hours Act]]*tbl_Roll[[#This Row],['# of men Act]],"")</f>
        <v/>
      </c>
      <c r="O167"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67" s="71" t="str">
        <f>IFERROR((tbl_Roll[[#This Row],[Adj. Total Hours]]+tbl_Roll[[#This Row],[Est. Hours]])/(tbl_Roll[[#This Row],[Total Hours Act]]+tbl_Roll[[#This Row],[Act. Hours]]),"")</f>
        <v/>
      </c>
      <c r="S167" s="63"/>
      <c r="T167" s="63"/>
      <c r="U167" s="63"/>
      <c r="V167" s="63"/>
      <c r="W167" s="63"/>
    </row>
    <row r="168" spans="6:23" ht="25" customHeight="1">
      <c r="F168" s="53"/>
      <c r="H168" s="55" t="e">
        <f>tbl_Roll[[#This Row],[Qty Complete]]/tbl_Roll[[#This Row],[Qty Required]]</f>
        <v>#DIV/0!</v>
      </c>
      <c r="K168" s="57" t="str">
        <f>IFERROR(tbl_Roll[[#This Row],[Qty Required]]/tbl_Roll[[#This Row],[PPH]]*tbl_Roll[[#This Row],['# of men]],"")</f>
        <v/>
      </c>
      <c r="L168" s="58" t="e">
        <f>tbl_Roll[[#This Row],[Total hours]]*tbl_Roll[[#This Row],[% Complete]]</f>
        <v>#VALUE!</v>
      </c>
      <c r="M168" s="59" t="str">
        <f>IFERROR(tbl_Roll[[#This Row],[Qty Complete]]/tbl_Roll[[#This Row],[Total Hours Act]]*tbl_Roll[[#This Row],['# of men Act]],"")</f>
        <v/>
      </c>
      <c r="O168"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68" s="71" t="str">
        <f>IFERROR((tbl_Roll[[#This Row],[Adj. Total Hours]]+tbl_Roll[[#This Row],[Est. Hours]])/(tbl_Roll[[#This Row],[Total Hours Act]]+tbl_Roll[[#This Row],[Act. Hours]]),"")</f>
        <v/>
      </c>
      <c r="S168" s="63"/>
      <c r="T168" s="63"/>
      <c r="U168" s="63"/>
      <c r="V168" s="63"/>
      <c r="W168" s="63"/>
    </row>
    <row r="169" spans="6:23" ht="25" customHeight="1">
      <c r="F169" s="53"/>
      <c r="H169" s="55" t="e">
        <f>tbl_Roll[[#This Row],[Qty Complete]]/tbl_Roll[[#This Row],[Qty Required]]</f>
        <v>#DIV/0!</v>
      </c>
      <c r="K169" s="57" t="str">
        <f>IFERROR(tbl_Roll[[#This Row],[Qty Required]]/tbl_Roll[[#This Row],[PPH]]*tbl_Roll[[#This Row],['# of men]],"")</f>
        <v/>
      </c>
      <c r="L169" s="58" t="e">
        <f>tbl_Roll[[#This Row],[Total hours]]*tbl_Roll[[#This Row],[% Complete]]</f>
        <v>#VALUE!</v>
      </c>
      <c r="M169" s="59" t="str">
        <f>IFERROR(tbl_Roll[[#This Row],[Qty Complete]]/tbl_Roll[[#This Row],[Total Hours Act]]*tbl_Roll[[#This Row],['# of men Act]],"")</f>
        <v/>
      </c>
      <c r="O169"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69" s="71" t="str">
        <f>IFERROR((tbl_Roll[[#This Row],[Adj. Total Hours]]+tbl_Roll[[#This Row],[Est. Hours]])/(tbl_Roll[[#This Row],[Total Hours Act]]+tbl_Roll[[#This Row],[Act. Hours]]),"")</f>
        <v/>
      </c>
      <c r="S169" s="63"/>
      <c r="T169" s="63"/>
      <c r="U169" s="63"/>
      <c r="V169" s="63"/>
      <c r="W169" s="63"/>
    </row>
    <row r="170" spans="6:23" ht="25" customHeight="1">
      <c r="F170" s="53"/>
      <c r="H170" s="55" t="e">
        <f>tbl_Roll[[#This Row],[Qty Complete]]/tbl_Roll[[#This Row],[Qty Required]]</f>
        <v>#DIV/0!</v>
      </c>
      <c r="K170" s="57" t="str">
        <f>IFERROR(tbl_Roll[[#This Row],[Qty Required]]/tbl_Roll[[#This Row],[PPH]]*tbl_Roll[[#This Row],['# of men]],"")</f>
        <v/>
      </c>
      <c r="L170" s="58" t="e">
        <f>tbl_Roll[[#This Row],[Total hours]]*tbl_Roll[[#This Row],[% Complete]]</f>
        <v>#VALUE!</v>
      </c>
      <c r="M170" s="59" t="str">
        <f>IFERROR(tbl_Roll[[#This Row],[Qty Complete]]/tbl_Roll[[#This Row],[Total Hours Act]]*tbl_Roll[[#This Row],['# of men Act]],"")</f>
        <v/>
      </c>
      <c r="O170"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70" s="71" t="str">
        <f>IFERROR((tbl_Roll[[#This Row],[Adj. Total Hours]]+tbl_Roll[[#This Row],[Est. Hours]])/(tbl_Roll[[#This Row],[Total Hours Act]]+tbl_Roll[[#This Row],[Act. Hours]]),"")</f>
        <v/>
      </c>
      <c r="S170" s="63"/>
      <c r="T170" s="63"/>
      <c r="U170" s="63"/>
      <c r="V170" s="63"/>
      <c r="W170" s="63"/>
    </row>
    <row r="171" spans="6:23" ht="25" customHeight="1">
      <c r="F171" s="53"/>
      <c r="H171" s="55" t="e">
        <f>tbl_Roll[[#This Row],[Qty Complete]]/tbl_Roll[[#This Row],[Qty Required]]</f>
        <v>#DIV/0!</v>
      </c>
      <c r="K171" s="57" t="str">
        <f>IFERROR(tbl_Roll[[#This Row],[Qty Required]]/tbl_Roll[[#This Row],[PPH]]*tbl_Roll[[#This Row],['# of men]],"")</f>
        <v/>
      </c>
      <c r="L171" s="58" t="e">
        <f>tbl_Roll[[#This Row],[Total hours]]*tbl_Roll[[#This Row],[% Complete]]</f>
        <v>#VALUE!</v>
      </c>
      <c r="M171" s="59" t="str">
        <f>IFERROR(tbl_Roll[[#This Row],[Qty Complete]]/tbl_Roll[[#This Row],[Total Hours Act]]*tbl_Roll[[#This Row],['# of men Act]],"")</f>
        <v/>
      </c>
      <c r="O171"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71" s="71" t="str">
        <f>IFERROR((tbl_Roll[[#This Row],[Adj. Total Hours]]+tbl_Roll[[#This Row],[Est. Hours]])/(tbl_Roll[[#This Row],[Total Hours Act]]+tbl_Roll[[#This Row],[Act. Hours]]),"")</f>
        <v/>
      </c>
      <c r="S171" s="63"/>
      <c r="T171" s="63"/>
      <c r="U171" s="63"/>
      <c r="V171" s="63"/>
      <c r="W171" s="63"/>
    </row>
    <row r="172" spans="6:23" ht="25" customHeight="1">
      <c r="F172" s="53"/>
      <c r="H172" s="55" t="e">
        <f>tbl_Roll[[#This Row],[Qty Complete]]/tbl_Roll[[#This Row],[Qty Required]]</f>
        <v>#DIV/0!</v>
      </c>
      <c r="K172" s="57" t="str">
        <f>IFERROR(tbl_Roll[[#This Row],[Qty Required]]/tbl_Roll[[#This Row],[PPH]]*tbl_Roll[[#This Row],['# of men]],"")</f>
        <v/>
      </c>
      <c r="L172" s="58" t="e">
        <f>tbl_Roll[[#This Row],[Total hours]]*tbl_Roll[[#This Row],[% Complete]]</f>
        <v>#VALUE!</v>
      </c>
      <c r="M172" s="59" t="str">
        <f>IFERROR(tbl_Roll[[#This Row],[Qty Complete]]/tbl_Roll[[#This Row],[Total Hours Act]]*tbl_Roll[[#This Row],['# of men Act]],"")</f>
        <v/>
      </c>
      <c r="O172"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72" s="71" t="str">
        <f>IFERROR((tbl_Roll[[#This Row],[Adj. Total Hours]]+tbl_Roll[[#This Row],[Est. Hours]])/(tbl_Roll[[#This Row],[Total Hours Act]]+tbl_Roll[[#This Row],[Act. Hours]]),"")</f>
        <v/>
      </c>
      <c r="S172" s="63"/>
      <c r="T172" s="63"/>
      <c r="U172" s="63"/>
      <c r="V172" s="63"/>
      <c r="W172" s="63"/>
    </row>
    <row r="173" spans="6:23" ht="25" customHeight="1">
      <c r="F173" s="53"/>
      <c r="H173" s="55" t="e">
        <f>tbl_Roll[[#This Row],[Qty Complete]]/tbl_Roll[[#This Row],[Qty Required]]</f>
        <v>#DIV/0!</v>
      </c>
      <c r="K173" s="57" t="str">
        <f>IFERROR(tbl_Roll[[#This Row],[Qty Required]]/tbl_Roll[[#This Row],[PPH]]*tbl_Roll[[#This Row],['# of men]],"")</f>
        <v/>
      </c>
      <c r="L173" s="58" t="e">
        <f>tbl_Roll[[#This Row],[Total hours]]*tbl_Roll[[#This Row],[% Complete]]</f>
        <v>#VALUE!</v>
      </c>
      <c r="M173" s="59" t="str">
        <f>IFERROR(tbl_Roll[[#This Row],[Qty Complete]]/tbl_Roll[[#This Row],[Total Hours Act]]*tbl_Roll[[#This Row],['# of men Act]],"")</f>
        <v/>
      </c>
      <c r="O173"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73" s="71" t="str">
        <f>IFERROR((tbl_Roll[[#This Row],[Adj. Total Hours]]+tbl_Roll[[#This Row],[Est. Hours]])/(tbl_Roll[[#This Row],[Total Hours Act]]+tbl_Roll[[#This Row],[Act. Hours]]),"")</f>
        <v/>
      </c>
      <c r="S173" s="63"/>
      <c r="T173" s="63"/>
      <c r="U173" s="63"/>
      <c r="V173" s="63"/>
      <c r="W173" s="63"/>
    </row>
    <row r="174" spans="6:23" ht="25" customHeight="1">
      <c r="F174" s="53"/>
      <c r="H174" s="55" t="e">
        <f>tbl_Roll[[#This Row],[Qty Complete]]/tbl_Roll[[#This Row],[Qty Required]]</f>
        <v>#DIV/0!</v>
      </c>
      <c r="K174" s="57" t="str">
        <f>IFERROR(tbl_Roll[[#This Row],[Qty Required]]/tbl_Roll[[#This Row],[PPH]]*tbl_Roll[[#This Row],['# of men]],"")</f>
        <v/>
      </c>
      <c r="L174" s="58" t="e">
        <f>tbl_Roll[[#This Row],[Total hours]]*tbl_Roll[[#This Row],[% Complete]]</f>
        <v>#VALUE!</v>
      </c>
      <c r="M174" s="59" t="str">
        <f>IFERROR(tbl_Roll[[#This Row],[Qty Complete]]/tbl_Roll[[#This Row],[Total Hours Act]]*tbl_Roll[[#This Row],['# of men Act]],"")</f>
        <v/>
      </c>
      <c r="O174"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74" s="71" t="str">
        <f>IFERROR((tbl_Roll[[#This Row],[Adj. Total Hours]]+tbl_Roll[[#This Row],[Est. Hours]])/(tbl_Roll[[#This Row],[Total Hours Act]]+tbl_Roll[[#This Row],[Act. Hours]]),"")</f>
        <v/>
      </c>
      <c r="S174" s="63"/>
      <c r="T174" s="63"/>
      <c r="U174" s="63"/>
      <c r="V174" s="63"/>
      <c r="W174" s="63"/>
    </row>
    <row r="175" spans="6:23" ht="25" customHeight="1">
      <c r="F175" s="53"/>
      <c r="H175" s="55" t="e">
        <f>tbl_Roll[[#This Row],[Qty Complete]]/tbl_Roll[[#This Row],[Qty Required]]</f>
        <v>#DIV/0!</v>
      </c>
      <c r="K175" s="57" t="str">
        <f>IFERROR(tbl_Roll[[#This Row],[Qty Required]]/tbl_Roll[[#This Row],[PPH]]*tbl_Roll[[#This Row],['# of men]],"")</f>
        <v/>
      </c>
      <c r="L175" s="58" t="e">
        <f>tbl_Roll[[#This Row],[Total hours]]*tbl_Roll[[#This Row],[% Complete]]</f>
        <v>#VALUE!</v>
      </c>
      <c r="M175" s="59" t="str">
        <f>IFERROR(tbl_Roll[[#This Row],[Qty Complete]]/tbl_Roll[[#This Row],[Total Hours Act]]*tbl_Roll[[#This Row],['# of men Act]],"")</f>
        <v/>
      </c>
      <c r="O175"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75" s="71" t="str">
        <f>IFERROR((tbl_Roll[[#This Row],[Adj. Total Hours]]+tbl_Roll[[#This Row],[Est. Hours]])/(tbl_Roll[[#This Row],[Total Hours Act]]+tbl_Roll[[#This Row],[Act. Hours]]),"")</f>
        <v/>
      </c>
      <c r="S175" s="63"/>
      <c r="T175" s="63"/>
      <c r="U175" s="63"/>
      <c r="V175" s="63"/>
      <c r="W175" s="63"/>
    </row>
    <row r="176" spans="6:23" ht="25" customHeight="1">
      <c r="F176" s="53"/>
      <c r="H176" s="55" t="e">
        <f>tbl_Roll[[#This Row],[Qty Complete]]/tbl_Roll[[#This Row],[Qty Required]]</f>
        <v>#DIV/0!</v>
      </c>
      <c r="K176" s="57" t="str">
        <f>IFERROR(tbl_Roll[[#This Row],[Qty Required]]/tbl_Roll[[#This Row],[PPH]]*tbl_Roll[[#This Row],['# of men]],"")</f>
        <v/>
      </c>
      <c r="L176" s="58" t="e">
        <f>tbl_Roll[[#This Row],[Total hours]]*tbl_Roll[[#This Row],[% Complete]]</f>
        <v>#VALUE!</v>
      </c>
      <c r="M176" s="59" t="str">
        <f>IFERROR(tbl_Roll[[#This Row],[Qty Complete]]/tbl_Roll[[#This Row],[Total Hours Act]]*tbl_Roll[[#This Row],['# of men Act]],"")</f>
        <v/>
      </c>
      <c r="O176"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76" s="71" t="str">
        <f>IFERROR((tbl_Roll[[#This Row],[Adj. Total Hours]]+tbl_Roll[[#This Row],[Est. Hours]])/(tbl_Roll[[#This Row],[Total Hours Act]]+tbl_Roll[[#This Row],[Act. Hours]]),"")</f>
        <v/>
      </c>
      <c r="S176" s="63"/>
      <c r="T176" s="63"/>
      <c r="U176" s="63"/>
      <c r="V176" s="63"/>
      <c r="W176" s="63"/>
    </row>
    <row r="177" spans="6:23" ht="25" customHeight="1">
      <c r="F177" s="53"/>
      <c r="H177" s="55" t="e">
        <f>tbl_Roll[[#This Row],[Qty Complete]]/tbl_Roll[[#This Row],[Qty Required]]</f>
        <v>#DIV/0!</v>
      </c>
      <c r="K177" s="57" t="str">
        <f>IFERROR(tbl_Roll[[#This Row],[Qty Required]]/tbl_Roll[[#This Row],[PPH]]*tbl_Roll[[#This Row],['# of men]],"")</f>
        <v/>
      </c>
      <c r="L177" s="58" t="e">
        <f>tbl_Roll[[#This Row],[Total hours]]*tbl_Roll[[#This Row],[% Complete]]</f>
        <v>#VALUE!</v>
      </c>
      <c r="M177" s="59" t="str">
        <f>IFERROR(tbl_Roll[[#This Row],[Qty Complete]]/tbl_Roll[[#This Row],[Total Hours Act]]*tbl_Roll[[#This Row],['# of men Act]],"")</f>
        <v/>
      </c>
      <c r="O177"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77" s="71" t="str">
        <f>IFERROR((tbl_Roll[[#This Row],[Adj. Total Hours]]+tbl_Roll[[#This Row],[Est. Hours]])/(tbl_Roll[[#This Row],[Total Hours Act]]+tbl_Roll[[#This Row],[Act. Hours]]),"")</f>
        <v/>
      </c>
      <c r="S177" s="63"/>
      <c r="T177" s="63"/>
      <c r="U177" s="63"/>
      <c r="V177" s="63"/>
      <c r="W177" s="63"/>
    </row>
    <row r="178" spans="6:23" ht="25" customHeight="1">
      <c r="F178" s="53"/>
      <c r="H178" s="55" t="e">
        <f>tbl_Roll[[#This Row],[Qty Complete]]/tbl_Roll[[#This Row],[Qty Required]]</f>
        <v>#DIV/0!</v>
      </c>
      <c r="K178" s="57" t="str">
        <f>IFERROR(tbl_Roll[[#This Row],[Qty Required]]/tbl_Roll[[#This Row],[PPH]]*tbl_Roll[[#This Row],['# of men]],"")</f>
        <v/>
      </c>
      <c r="L178" s="58" t="e">
        <f>tbl_Roll[[#This Row],[Total hours]]*tbl_Roll[[#This Row],[% Complete]]</f>
        <v>#VALUE!</v>
      </c>
      <c r="M178" s="59" t="str">
        <f>IFERROR(tbl_Roll[[#This Row],[Qty Complete]]/tbl_Roll[[#This Row],[Total Hours Act]]*tbl_Roll[[#This Row],['# of men Act]],"")</f>
        <v/>
      </c>
      <c r="O178"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78" s="71" t="str">
        <f>IFERROR((tbl_Roll[[#This Row],[Adj. Total Hours]]+tbl_Roll[[#This Row],[Est. Hours]])/(tbl_Roll[[#This Row],[Total Hours Act]]+tbl_Roll[[#This Row],[Act. Hours]]),"")</f>
        <v/>
      </c>
      <c r="S178" s="63"/>
      <c r="T178" s="63"/>
      <c r="U178" s="63"/>
      <c r="V178" s="63"/>
      <c r="W178" s="63"/>
    </row>
    <row r="179" spans="6:23" ht="25" customHeight="1">
      <c r="F179" s="53"/>
      <c r="H179" s="55" t="e">
        <f>tbl_Roll[[#This Row],[Qty Complete]]/tbl_Roll[[#This Row],[Qty Required]]</f>
        <v>#DIV/0!</v>
      </c>
      <c r="K179" s="57" t="str">
        <f>IFERROR(tbl_Roll[[#This Row],[Qty Required]]/tbl_Roll[[#This Row],[PPH]]*tbl_Roll[[#This Row],['# of men]],"")</f>
        <v/>
      </c>
      <c r="L179" s="58" t="e">
        <f>tbl_Roll[[#This Row],[Total hours]]*tbl_Roll[[#This Row],[% Complete]]</f>
        <v>#VALUE!</v>
      </c>
      <c r="M179" s="59" t="str">
        <f>IFERROR(tbl_Roll[[#This Row],[Qty Complete]]/tbl_Roll[[#This Row],[Total Hours Act]]*tbl_Roll[[#This Row],['# of men Act]],"")</f>
        <v/>
      </c>
      <c r="O179"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79" s="71" t="str">
        <f>IFERROR((tbl_Roll[[#This Row],[Adj. Total Hours]]+tbl_Roll[[#This Row],[Est. Hours]])/(tbl_Roll[[#This Row],[Total Hours Act]]+tbl_Roll[[#This Row],[Act. Hours]]),"")</f>
        <v/>
      </c>
      <c r="S179" s="63"/>
      <c r="T179" s="63"/>
      <c r="U179" s="63"/>
      <c r="V179" s="63"/>
      <c r="W179" s="63"/>
    </row>
    <row r="180" spans="6:23" ht="25" customHeight="1">
      <c r="F180" s="53"/>
      <c r="H180" s="55" t="e">
        <f>tbl_Roll[[#This Row],[Qty Complete]]/tbl_Roll[[#This Row],[Qty Required]]</f>
        <v>#DIV/0!</v>
      </c>
      <c r="K180" s="57" t="str">
        <f>IFERROR(tbl_Roll[[#This Row],[Qty Required]]/tbl_Roll[[#This Row],[PPH]]*tbl_Roll[[#This Row],['# of men]],"")</f>
        <v/>
      </c>
      <c r="L180" s="58" t="e">
        <f>tbl_Roll[[#This Row],[Total hours]]*tbl_Roll[[#This Row],[% Complete]]</f>
        <v>#VALUE!</v>
      </c>
      <c r="M180" s="59" t="str">
        <f>IFERROR(tbl_Roll[[#This Row],[Qty Complete]]/tbl_Roll[[#This Row],[Total Hours Act]]*tbl_Roll[[#This Row],['# of men Act]],"")</f>
        <v/>
      </c>
      <c r="O180"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80" s="71" t="str">
        <f>IFERROR((tbl_Roll[[#This Row],[Adj. Total Hours]]+tbl_Roll[[#This Row],[Est. Hours]])/(tbl_Roll[[#This Row],[Total Hours Act]]+tbl_Roll[[#This Row],[Act. Hours]]),"")</f>
        <v/>
      </c>
      <c r="S180" s="63"/>
      <c r="T180" s="63"/>
      <c r="U180" s="63"/>
      <c r="V180" s="63"/>
      <c r="W180" s="63"/>
    </row>
    <row r="181" spans="6:23" ht="25" customHeight="1">
      <c r="F181" s="53"/>
      <c r="H181" s="55" t="e">
        <f>tbl_Roll[[#This Row],[Qty Complete]]/tbl_Roll[[#This Row],[Qty Required]]</f>
        <v>#DIV/0!</v>
      </c>
      <c r="K181" s="57" t="str">
        <f>IFERROR(tbl_Roll[[#This Row],[Qty Required]]/tbl_Roll[[#This Row],[PPH]]*tbl_Roll[[#This Row],['# of men]],"")</f>
        <v/>
      </c>
      <c r="L181" s="58" t="e">
        <f>tbl_Roll[[#This Row],[Total hours]]*tbl_Roll[[#This Row],[% Complete]]</f>
        <v>#VALUE!</v>
      </c>
      <c r="M181" s="59" t="str">
        <f>IFERROR(tbl_Roll[[#This Row],[Qty Complete]]/tbl_Roll[[#This Row],[Total Hours Act]]*tbl_Roll[[#This Row],['# of men Act]],"")</f>
        <v/>
      </c>
      <c r="O181"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81" s="71" t="str">
        <f>IFERROR((tbl_Roll[[#This Row],[Adj. Total Hours]]+tbl_Roll[[#This Row],[Est. Hours]])/(tbl_Roll[[#This Row],[Total Hours Act]]+tbl_Roll[[#This Row],[Act. Hours]]),"")</f>
        <v/>
      </c>
      <c r="S181" s="63"/>
      <c r="T181" s="63"/>
      <c r="U181" s="63"/>
      <c r="V181" s="63"/>
      <c r="W181" s="63"/>
    </row>
    <row r="182" spans="6:23" ht="25" customHeight="1">
      <c r="F182" s="53"/>
      <c r="H182" s="55" t="e">
        <f>tbl_Roll[[#This Row],[Qty Complete]]/tbl_Roll[[#This Row],[Qty Required]]</f>
        <v>#DIV/0!</v>
      </c>
      <c r="K182" s="57" t="str">
        <f>IFERROR(tbl_Roll[[#This Row],[Qty Required]]/tbl_Roll[[#This Row],[PPH]]*tbl_Roll[[#This Row],['# of men]],"")</f>
        <v/>
      </c>
      <c r="L182" s="58" t="e">
        <f>tbl_Roll[[#This Row],[Total hours]]*tbl_Roll[[#This Row],[% Complete]]</f>
        <v>#VALUE!</v>
      </c>
      <c r="M182" s="59" t="str">
        <f>IFERROR(tbl_Roll[[#This Row],[Qty Complete]]/tbl_Roll[[#This Row],[Total Hours Act]]*tbl_Roll[[#This Row],['# of men Act]],"")</f>
        <v/>
      </c>
      <c r="O182"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82" s="71" t="str">
        <f>IFERROR((tbl_Roll[[#This Row],[Adj. Total Hours]]+tbl_Roll[[#This Row],[Est. Hours]])/(tbl_Roll[[#This Row],[Total Hours Act]]+tbl_Roll[[#This Row],[Act. Hours]]),"")</f>
        <v/>
      </c>
      <c r="S182" s="63"/>
      <c r="T182" s="63"/>
      <c r="U182" s="63"/>
      <c r="V182" s="63"/>
      <c r="W182" s="63"/>
    </row>
    <row r="183" spans="6:23" ht="25" customHeight="1">
      <c r="F183" s="53"/>
      <c r="H183" s="55" t="e">
        <f>tbl_Roll[[#This Row],[Qty Complete]]/tbl_Roll[[#This Row],[Qty Required]]</f>
        <v>#DIV/0!</v>
      </c>
      <c r="K183" s="57" t="str">
        <f>IFERROR(tbl_Roll[[#This Row],[Qty Required]]/tbl_Roll[[#This Row],[PPH]]*tbl_Roll[[#This Row],['# of men]],"")</f>
        <v/>
      </c>
      <c r="L183" s="58" t="e">
        <f>tbl_Roll[[#This Row],[Total hours]]*tbl_Roll[[#This Row],[% Complete]]</f>
        <v>#VALUE!</v>
      </c>
      <c r="M183" s="59" t="str">
        <f>IFERROR(tbl_Roll[[#This Row],[Qty Complete]]/tbl_Roll[[#This Row],[Total Hours Act]]*tbl_Roll[[#This Row],['# of men Act]],"")</f>
        <v/>
      </c>
      <c r="O183"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83" s="71" t="str">
        <f>IFERROR((tbl_Roll[[#This Row],[Adj. Total Hours]]+tbl_Roll[[#This Row],[Est. Hours]])/(tbl_Roll[[#This Row],[Total Hours Act]]+tbl_Roll[[#This Row],[Act. Hours]]),"")</f>
        <v/>
      </c>
      <c r="S183" s="63"/>
      <c r="T183" s="63"/>
      <c r="U183" s="63"/>
      <c r="V183" s="63"/>
      <c r="W183" s="63"/>
    </row>
    <row r="184" spans="6:23" ht="25" customHeight="1">
      <c r="F184" s="53"/>
      <c r="H184" s="55" t="e">
        <f>tbl_Roll[[#This Row],[Qty Complete]]/tbl_Roll[[#This Row],[Qty Required]]</f>
        <v>#DIV/0!</v>
      </c>
      <c r="K184" s="57" t="str">
        <f>IFERROR(tbl_Roll[[#This Row],[Qty Required]]/tbl_Roll[[#This Row],[PPH]]*tbl_Roll[[#This Row],['# of men]],"")</f>
        <v/>
      </c>
      <c r="L184" s="58" t="e">
        <f>tbl_Roll[[#This Row],[Total hours]]*tbl_Roll[[#This Row],[% Complete]]</f>
        <v>#VALUE!</v>
      </c>
      <c r="M184" s="59" t="str">
        <f>IFERROR(tbl_Roll[[#This Row],[Qty Complete]]/tbl_Roll[[#This Row],[Total Hours Act]]*tbl_Roll[[#This Row],['# of men Act]],"")</f>
        <v/>
      </c>
      <c r="O184"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84" s="71" t="str">
        <f>IFERROR((tbl_Roll[[#This Row],[Adj. Total Hours]]+tbl_Roll[[#This Row],[Est. Hours]])/(tbl_Roll[[#This Row],[Total Hours Act]]+tbl_Roll[[#This Row],[Act. Hours]]),"")</f>
        <v/>
      </c>
      <c r="S184" s="63"/>
      <c r="T184" s="63"/>
      <c r="U184" s="63"/>
      <c r="V184" s="63"/>
      <c r="W184" s="63"/>
    </row>
    <row r="185" spans="6:23" ht="25" customHeight="1">
      <c r="F185" s="53"/>
      <c r="H185" s="55" t="e">
        <f>tbl_Roll[[#This Row],[Qty Complete]]/tbl_Roll[[#This Row],[Qty Required]]</f>
        <v>#DIV/0!</v>
      </c>
      <c r="K185" s="57" t="str">
        <f>IFERROR(tbl_Roll[[#This Row],[Qty Required]]/tbl_Roll[[#This Row],[PPH]]*tbl_Roll[[#This Row],['# of men]],"")</f>
        <v/>
      </c>
      <c r="L185" s="58" t="e">
        <f>tbl_Roll[[#This Row],[Total hours]]*tbl_Roll[[#This Row],[% Complete]]</f>
        <v>#VALUE!</v>
      </c>
      <c r="M185" s="59" t="str">
        <f>IFERROR(tbl_Roll[[#This Row],[Qty Complete]]/tbl_Roll[[#This Row],[Total Hours Act]]*tbl_Roll[[#This Row],['# of men Act]],"")</f>
        <v/>
      </c>
      <c r="O185"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85" s="71" t="str">
        <f>IFERROR((tbl_Roll[[#This Row],[Adj. Total Hours]]+tbl_Roll[[#This Row],[Est. Hours]])/(tbl_Roll[[#This Row],[Total Hours Act]]+tbl_Roll[[#This Row],[Act. Hours]]),"")</f>
        <v/>
      </c>
      <c r="S185" s="63"/>
      <c r="T185" s="63"/>
      <c r="U185" s="63"/>
      <c r="V185" s="63"/>
      <c r="W185" s="63"/>
    </row>
    <row r="186" spans="6:23" ht="25" customHeight="1">
      <c r="F186" s="53"/>
      <c r="H186" s="55" t="e">
        <f>tbl_Roll[[#This Row],[Qty Complete]]/tbl_Roll[[#This Row],[Qty Required]]</f>
        <v>#DIV/0!</v>
      </c>
      <c r="K186" s="57" t="str">
        <f>IFERROR(tbl_Roll[[#This Row],[Qty Required]]/tbl_Roll[[#This Row],[PPH]]*tbl_Roll[[#This Row],['# of men]],"")</f>
        <v/>
      </c>
      <c r="L186" s="58" t="e">
        <f>tbl_Roll[[#This Row],[Total hours]]*tbl_Roll[[#This Row],[% Complete]]</f>
        <v>#VALUE!</v>
      </c>
      <c r="M186" s="59" t="str">
        <f>IFERROR(tbl_Roll[[#This Row],[Qty Complete]]/tbl_Roll[[#This Row],[Total Hours Act]]*tbl_Roll[[#This Row],['# of men Act]],"")</f>
        <v/>
      </c>
      <c r="O186"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86" s="71" t="str">
        <f>IFERROR((tbl_Roll[[#This Row],[Adj. Total Hours]]+tbl_Roll[[#This Row],[Est. Hours]])/(tbl_Roll[[#This Row],[Total Hours Act]]+tbl_Roll[[#This Row],[Act. Hours]]),"")</f>
        <v/>
      </c>
      <c r="S186" s="63"/>
      <c r="T186" s="63"/>
      <c r="U186" s="63"/>
      <c r="V186" s="63"/>
      <c r="W186" s="63"/>
    </row>
    <row r="187" spans="6:23" ht="25" customHeight="1">
      <c r="F187" s="53"/>
      <c r="H187" s="55" t="e">
        <f>tbl_Roll[[#This Row],[Qty Complete]]/tbl_Roll[[#This Row],[Qty Required]]</f>
        <v>#DIV/0!</v>
      </c>
      <c r="K187" s="57" t="str">
        <f>IFERROR(tbl_Roll[[#This Row],[Qty Required]]/tbl_Roll[[#This Row],[PPH]]*tbl_Roll[[#This Row],['# of men]],"")</f>
        <v/>
      </c>
      <c r="L187" s="58" t="e">
        <f>tbl_Roll[[#This Row],[Total hours]]*tbl_Roll[[#This Row],[% Complete]]</f>
        <v>#VALUE!</v>
      </c>
      <c r="M187" s="59" t="str">
        <f>IFERROR(tbl_Roll[[#This Row],[Qty Complete]]/tbl_Roll[[#This Row],[Total Hours Act]]*tbl_Roll[[#This Row],['# of men Act]],"")</f>
        <v/>
      </c>
      <c r="O187"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87" s="71" t="str">
        <f>IFERROR((tbl_Roll[[#This Row],[Adj. Total Hours]]+tbl_Roll[[#This Row],[Est. Hours]])/(tbl_Roll[[#This Row],[Total Hours Act]]+tbl_Roll[[#This Row],[Act. Hours]]),"")</f>
        <v/>
      </c>
      <c r="S187" s="63"/>
      <c r="T187" s="63"/>
      <c r="U187" s="63"/>
      <c r="V187" s="63"/>
      <c r="W187" s="63"/>
    </row>
    <row r="188" spans="6:23" ht="25" customHeight="1">
      <c r="F188" s="53"/>
      <c r="H188" s="55" t="e">
        <f>tbl_Roll[[#This Row],[Qty Complete]]/tbl_Roll[[#This Row],[Qty Required]]</f>
        <v>#DIV/0!</v>
      </c>
      <c r="K188" s="57" t="str">
        <f>IFERROR(tbl_Roll[[#This Row],[Qty Required]]/tbl_Roll[[#This Row],[PPH]]*tbl_Roll[[#This Row],['# of men]],"")</f>
        <v/>
      </c>
      <c r="L188" s="58" t="e">
        <f>tbl_Roll[[#This Row],[Total hours]]*tbl_Roll[[#This Row],[% Complete]]</f>
        <v>#VALUE!</v>
      </c>
      <c r="M188" s="59" t="str">
        <f>IFERROR(tbl_Roll[[#This Row],[Qty Complete]]/tbl_Roll[[#This Row],[Total Hours Act]]*tbl_Roll[[#This Row],['# of men Act]],"")</f>
        <v/>
      </c>
      <c r="O188"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88" s="71" t="str">
        <f>IFERROR((tbl_Roll[[#This Row],[Adj. Total Hours]]+tbl_Roll[[#This Row],[Est. Hours]])/(tbl_Roll[[#This Row],[Total Hours Act]]+tbl_Roll[[#This Row],[Act. Hours]]),"")</f>
        <v/>
      </c>
      <c r="S188" s="63"/>
      <c r="T188" s="63"/>
      <c r="U188" s="63"/>
      <c r="V188" s="63"/>
      <c r="W188" s="63"/>
    </row>
    <row r="189" spans="6:23" ht="25" customHeight="1">
      <c r="F189" s="53"/>
      <c r="H189" s="55" t="e">
        <f>tbl_Roll[[#This Row],[Qty Complete]]/tbl_Roll[[#This Row],[Qty Required]]</f>
        <v>#DIV/0!</v>
      </c>
      <c r="K189" s="57" t="str">
        <f>IFERROR(tbl_Roll[[#This Row],[Qty Required]]/tbl_Roll[[#This Row],[PPH]]*tbl_Roll[[#This Row],['# of men]],"")</f>
        <v/>
      </c>
      <c r="L189" s="58" t="e">
        <f>tbl_Roll[[#This Row],[Total hours]]*tbl_Roll[[#This Row],[% Complete]]</f>
        <v>#VALUE!</v>
      </c>
      <c r="M189" s="59" t="str">
        <f>IFERROR(tbl_Roll[[#This Row],[Qty Complete]]/tbl_Roll[[#This Row],[Total Hours Act]]*tbl_Roll[[#This Row],['# of men Act]],"")</f>
        <v/>
      </c>
      <c r="O189"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89" s="71" t="str">
        <f>IFERROR((tbl_Roll[[#This Row],[Adj. Total Hours]]+tbl_Roll[[#This Row],[Est. Hours]])/(tbl_Roll[[#This Row],[Total Hours Act]]+tbl_Roll[[#This Row],[Act. Hours]]),"")</f>
        <v/>
      </c>
      <c r="S189" s="63"/>
      <c r="T189" s="63"/>
      <c r="U189" s="63"/>
      <c r="V189" s="63"/>
      <c r="W189" s="63"/>
    </row>
    <row r="190" spans="6:23" ht="25" customHeight="1">
      <c r="F190" s="53"/>
      <c r="H190" s="55" t="e">
        <f>tbl_Roll[[#This Row],[Qty Complete]]/tbl_Roll[[#This Row],[Qty Required]]</f>
        <v>#DIV/0!</v>
      </c>
      <c r="K190" s="57" t="str">
        <f>IFERROR(tbl_Roll[[#This Row],[Qty Required]]/tbl_Roll[[#This Row],[PPH]]*tbl_Roll[[#This Row],['# of men]],"")</f>
        <v/>
      </c>
      <c r="L190" s="58" t="e">
        <f>tbl_Roll[[#This Row],[Total hours]]*tbl_Roll[[#This Row],[% Complete]]</f>
        <v>#VALUE!</v>
      </c>
      <c r="M190" s="59" t="str">
        <f>IFERROR(tbl_Roll[[#This Row],[Qty Complete]]/tbl_Roll[[#This Row],[Total Hours Act]]*tbl_Roll[[#This Row],['# of men Act]],"")</f>
        <v/>
      </c>
      <c r="O190"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90" s="71" t="str">
        <f>IFERROR((tbl_Roll[[#This Row],[Adj. Total Hours]]+tbl_Roll[[#This Row],[Est. Hours]])/(tbl_Roll[[#This Row],[Total Hours Act]]+tbl_Roll[[#This Row],[Act. Hours]]),"")</f>
        <v/>
      </c>
      <c r="S190" s="63"/>
      <c r="T190" s="63"/>
      <c r="U190" s="63"/>
      <c r="V190" s="63"/>
      <c r="W190" s="63"/>
    </row>
    <row r="191" spans="6:23" ht="25" customHeight="1">
      <c r="F191" s="53"/>
      <c r="H191" s="55" t="e">
        <f>tbl_Roll[[#This Row],[Qty Complete]]/tbl_Roll[[#This Row],[Qty Required]]</f>
        <v>#DIV/0!</v>
      </c>
      <c r="K191" s="57" t="str">
        <f>IFERROR(tbl_Roll[[#This Row],[Qty Required]]/tbl_Roll[[#This Row],[PPH]]*tbl_Roll[[#This Row],['# of men]],"")</f>
        <v/>
      </c>
      <c r="L191" s="58" t="e">
        <f>tbl_Roll[[#This Row],[Total hours]]*tbl_Roll[[#This Row],[% Complete]]</f>
        <v>#VALUE!</v>
      </c>
      <c r="M191" s="59" t="str">
        <f>IFERROR(tbl_Roll[[#This Row],[Qty Complete]]/tbl_Roll[[#This Row],[Total Hours Act]]*tbl_Roll[[#This Row],['# of men Act]],"")</f>
        <v/>
      </c>
      <c r="O191"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91" s="71" t="str">
        <f>IFERROR((tbl_Roll[[#This Row],[Adj. Total Hours]]+tbl_Roll[[#This Row],[Est. Hours]])/(tbl_Roll[[#This Row],[Total Hours Act]]+tbl_Roll[[#This Row],[Act. Hours]]),"")</f>
        <v/>
      </c>
      <c r="S191" s="63"/>
      <c r="T191" s="63"/>
      <c r="U191" s="63"/>
      <c r="V191" s="63"/>
      <c r="W191" s="63"/>
    </row>
    <row r="192" spans="6:23" ht="25" customHeight="1">
      <c r="F192" s="53"/>
      <c r="H192" s="55" t="e">
        <f>tbl_Roll[[#This Row],[Qty Complete]]/tbl_Roll[[#This Row],[Qty Required]]</f>
        <v>#DIV/0!</v>
      </c>
      <c r="K192" s="57" t="str">
        <f>IFERROR(tbl_Roll[[#This Row],[Qty Required]]/tbl_Roll[[#This Row],[PPH]]*tbl_Roll[[#This Row],['# of men]],"")</f>
        <v/>
      </c>
      <c r="L192" s="58" t="e">
        <f>tbl_Roll[[#This Row],[Total hours]]*tbl_Roll[[#This Row],[% Complete]]</f>
        <v>#VALUE!</v>
      </c>
      <c r="M192" s="59" t="str">
        <f>IFERROR(tbl_Roll[[#This Row],[Qty Complete]]/tbl_Roll[[#This Row],[Total Hours Act]]*tbl_Roll[[#This Row],['# of men Act]],"")</f>
        <v/>
      </c>
      <c r="O192"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92" s="71" t="str">
        <f>IFERROR((tbl_Roll[[#This Row],[Adj. Total Hours]]+tbl_Roll[[#This Row],[Est. Hours]])/(tbl_Roll[[#This Row],[Total Hours Act]]+tbl_Roll[[#This Row],[Act. Hours]]),"")</f>
        <v/>
      </c>
      <c r="S192" s="63"/>
      <c r="T192" s="63"/>
      <c r="U192" s="63"/>
      <c r="V192" s="63"/>
      <c r="W192" s="63"/>
    </row>
    <row r="193" spans="6:23" ht="25" customHeight="1">
      <c r="F193" s="53"/>
      <c r="H193" s="55" t="e">
        <f>tbl_Roll[[#This Row],[Qty Complete]]/tbl_Roll[[#This Row],[Qty Required]]</f>
        <v>#DIV/0!</v>
      </c>
      <c r="K193" s="57" t="str">
        <f>IFERROR(tbl_Roll[[#This Row],[Qty Required]]/tbl_Roll[[#This Row],[PPH]]*tbl_Roll[[#This Row],['# of men]],"")</f>
        <v/>
      </c>
      <c r="L193" s="58" t="e">
        <f>tbl_Roll[[#This Row],[Total hours]]*tbl_Roll[[#This Row],[% Complete]]</f>
        <v>#VALUE!</v>
      </c>
      <c r="M193" s="59" t="str">
        <f>IFERROR(tbl_Roll[[#This Row],[Qty Complete]]/tbl_Roll[[#This Row],[Total Hours Act]]*tbl_Roll[[#This Row],['# of men Act]],"")</f>
        <v/>
      </c>
      <c r="O193"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93" s="71" t="str">
        <f>IFERROR((tbl_Roll[[#This Row],[Adj. Total Hours]]+tbl_Roll[[#This Row],[Est. Hours]])/(tbl_Roll[[#This Row],[Total Hours Act]]+tbl_Roll[[#This Row],[Act. Hours]]),"")</f>
        <v/>
      </c>
      <c r="S193" s="63"/>
      <c r="T193" s="63"/>
      <c r="U193" s="63"/>
      <c r="V193" s="63"/>
      <c r="W193" s="63"/>
    </row>
    <row r="194" spans="6:23" ht="25" customHeight="1">
      <c r="F194" s="53"/>
      <c r="H194" s="55" t="e">
        <f>tbl_Roll[[#This Row],[Qty Complete]]/tbl_Roll[[#This Row],[Qty Required]]</f>
        <v>#DIV/0!</v>
      </c>
      <c r="K194" s="57" t="str">
        <f>IFERROR(tbl_Roll[[#This Row],[Qty Required]]/tbl_Roll[[#This Row],[PPH]]*tbl_Roll[[#This Row],['# of men]],"")</f>
        <v/>
      </c>
      <c r="L194" s="58" t="e">
        <f>tbl_Roll[[#This Row],[Total hours]]*tbl_Roll[[#This Row],[% Complete]]</f>
        <v>#VALUE!</v>
      </c>
      <c r="M194" s="59" t="str">
        <f>IFERROR(tbl_Roll[[#This Row],[Qty Complete]]/tbl_Roll[[#This Row],[Total Hours Act]]*tbl_Roll[[#This Row],['# of men Act]],"")</f>
        <v/>
      </c>
      <c r="O194"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94" s="71" t="str">
        <f>IFERROR((tbl_Roll[[#This Row],[Adj. Total Hours]]+tbl_Roll[[#This Row],[Est. Hours]])/(tbl_Roll[[#This Row],[Total Hours Act]]+tbl_Roll[[#This Row],[Act. Hours]]),"")</f>
        <v/>
      </c>
      <c r="S194" s="63"/>
      <c r="T194" s="63"/>
      <c r="U194" s="63"/>
      <c r="V194" s="63"/>
      <c r="W194" s="63"/>
    </row>
    <row r="195" spans="6:23" ht="25" customHeight="1">
      <c r="F195" s="53"/>
      <c r="H195" s="55" t="e">
        <f>tbl_Roll[[#This Row],[Qty Complete]]/tbl_Roll[[#This Row],[Qty Required]]</f>
        <v>#DIV/0!</v>
      </c>
      <c r="K195" s="57" t="str">
        <f>IFERROR(tbl_Roll[[#This Row],[Qty Required]]/tbl_Roll[[#This Row],[PPH]]*tbl_Roll[[#This Row],['# of men]],"")</f>
        <v/>
      </c>
      <c r="L195" s="58" t="e">
        <f>tbl_Roll[[#This Row],[Total hours]]*tbl_Roll[[#This Row],[% Complete]]</f>
        <v>#VALUE!</v>
      </c>
      <c r="M195" s="59" t="str">
        <f>IFERROR(tbl_Roll[[#This Row],[Qty Complete]]/tbl_Roll[[#This Row],[Total Hours Act]]*tbl_Roll[[#This Row],['# of men Act]],"")</f>
        <v/>
      </c>
      <c r="O195"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95" s="71" t="str">
        <f>IFERROR((tbl_Roll[[#This Row],[Adj. Total Hours]]+tbl_Roll[[#This Row],[Est. Hours]])/(tbl_Roll[[#This Row],[Total Hours Act]]+tbl_Roll[[#This Row],[Act. Hours]]),"")</f>
        <v/>
      </c>
      <c r="S195" s="63"/>
      <c r="T195" s="63"/>
      <c r="U195" s="63"/>
      <c r="V195" s="63"/>
      <c r="W195" s="63"/>
    </row>
    <row r="196" spans="6:23" ht="25" customHeight="1">
      <c r="F196" s="53"/>
      <c r="H196" s="55" t="e">
        <f>tbl_Roll[[#This Row],[Qty Complete]]/tbl_Roll[[#This Row],[Qty Required]]</f>
        <v>#DIV/0!</v>
      </c>
      <c r="K196" s="57" t="str">
        <f>IFERROR(tbl_Roll[[#This Row],[Qty Required]]/tbl_Roll[[#This Row],[PPH]]*tbl_Roll[[#This Row],['# of men]],"")</f>
        <v/>
      </c>
      <c r="L196" s="58" t="e">
        <f>tbl_Roll[[#This Row],[Total hours]]*tbl_Roll[[#This Row],[% Complete]]</f>
        <v>#VALUE!</v>
      </c>
      <c r="M196" s="59" t="str">
        <f>IFERROR(tbl_Roll[[#This Row],[Qty Complete]]/tbl_Roll[[#This Row],[Total Hours Act]]*tbl_Roll[[#This Row],['# of men Act]],"")</f>
        <v/>
      </c>
      <c r="O196"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96" s="71" t="str">
        <f>IFERROR((tbl_Roll[[#This Row],[Adj. Total Hours]]+tbl_Roll[[#This Row],[Est. Hours]])/(tbl_Roll[[#This Row],[Total Hours Act]]+tbl_Roll[[#This Row],[Act. Hours]]),"")</f>
        <v/>
      </c>
      <c r="S196" s="63"/>
      <c r="T196" s="63"/>
      <c r="U196" s="63"/>
      <c r="V196" s="63"/>
      <c r="W196" s="63"/>
    </row>
    <row r="197" spans="6:23" ht="25" customHeight="1">
      <c r="F197" s="53"/>
      <c r="H197" s="55" t="e">
        <f>tbl_Roll[[#This Row],[Qty Complete]]/tbl_Roll[[#This Row],[Qty Required]]</f>
        <v>#DIV/0!</v>
      </c>
      <c r="K197" s="57" t="str">
        <f>IFERROR(tbl_Roll[[#This Row],[Qty Required]]/tbl_Roll[[#This Row],[PPH]]*tbl_Roll[[#This Row],['# of men]],"")</f>
        <v/>
      </c>
      <c r="L197" s="58" t="e">
        <f>tbl_Roll[[#This Row],[Total hours]]*tbl_Roll[[#This Row],[% Complete]]</f>
        <v>#VALUE!</v>
      </c>
      <c r="M197" s="59" t="str">
        <f>IFERROR(tbl_Roll[[#This Row],[Qty Complete]]/tbl_Roll[[#This Row],[Total Hours Act]]*tbl_Roll[[#This Row],['# of men Act]],"")</f>
        <v/>
      </c>
      <c r="O197"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97" s="71" t="str">
        <f>IFERROR((tbl_Roll[[#This Row],[Adj. Total Hours]]+tbl_Roll[[#This Row],[Est. Hours]])/(tbl_Roll[[#This Row],[Total Hours Act]]+tbl_Roll[[#This Row],[Act. Hours]]),"")</f>
        <v/>
      </c>
      <c r="S197" s="63"/>
      <c r="T197" s="63"/>
      <c r="U197" s="63"/>
      <c r="V197" s="63"/>
      <c r="W197" s="63"/>
    </row>
    <row r="198" spans="6:23" ht="25" customHeight="1">
      <c r="F198" s="53"/>
      <c r="H198" s="55" t="e">
        <f>tbl_Roll[[#This Row],[Qty Complete]]/tbl_Roll[[#This Row],[Qty Required]]</f>
        <v>#DIV/0!</v>
      </c>
      <c r="K198" s="57" t="str">
        <f>IFERROR(tbl_Roll[[#This Row],[Qty Required]]/tbl_Roll[[#This Row],[PPH]]*tbl_Roll[[#This Row],['# of men]],"")</f>
        <v/>
      </c>
      <c r="L198" s="58" t="e">
        <f>tbl_Roll[[#This Row],[Total hours]]*tbl_Roll[[#This Row],[% Complete]]</f>
        <v>#VALUE!</v>
      </c>
      <c r="M198" s="59" t="str">
        <f>IFERROR(tbl_Roll[[#This Row],[Qty Complete]]/tbl_Roll[[#This Row],[Total Hours Act]]*tbl_Roll[[#This Row],['# of men Act]],"")</f>
        <v/>
      </c>
      <c r="O198"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98" s="71" t="str">
        <f>IFERROR((tbl_Roll[[#This Row],[Adj. Total Hours]]+tbl_Roll[[#This Row],[Est. Hours]])/(tbl_Roll[[#This Row],[Total Hours Act]]+tbl_Roll[[#This Row],[Act. Hours]]),"")</f>
        <v/>
      </c>
      <c r="S198" s="63"/>
      <c r="T198" s="63"/>
      <c r="U198" s="63"/>
      <c r="V198" s="63"/>
      <c r="W198" s="63"/>
    </row>
    <row r="199" spans="6:23" ht="25" customHeight="1">
      <c r="F199" s="53"/>
      <c r="H199" s="55" t="e">
        <f>tbl_Roll[[#This Row],[Qty Complete]]/tbl_Roll[[#This Row],[Qty Required]]</f>
        <v>#DIV/0!</v>
      </c>
      <c r="K199" s="57" t="str">
        <f>IFERROR(tbl_Roll[[#This Row],[Qty Required]]/tbl_Roll[[#This Row],[PPH]]*tbl_Roll[[#This Row],['# of men]],"")</f>
        <v/>
      </c>
      <c r="L199" s="58" t="e">
        <f>tbl_Roll[[#This Row],[Total hours]]*tbl_Roll[[#This Row],[% Complete]]</f>
        <v>#VALUE!</v>
      </c>
      <c r="M199" s="59" t="str">
        <f>IFERROR(tbl_Roll[[#This Row],[Qty Complete]]/tbl_Roll[[#This Row],[Total Hours Act]]*tbl_Roll[[#This Row],['# of men Act]],"")</f>
        <v/>
      </c>
      <c r="O199"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199" s="71" t="str">
        <f>IFERROR((tbl_Roll[[#This Row],[Adj. Total Hours]]+tbl_Roll[[#This Row],[Est. Hours]])/(tbl_Roll[[#This Row],[Total Hours Act]]+tbl_Roll[[#This Row],[Act. Hours]]),"")</f>
        <v/>
      </c>
      <c r="S199" s="63"/>
      <c r="T199" s="63"/>
      <c r="U199" s="63"/>
      <c r="V199" s="63"/>
      <c r="W199" s="63"/>
    </row>
    <row r="200" spans="6:23" ht="25" customHeight="1">
      <c r="F200" s="53"/>
      <c r="H200" s="55" t="e">
        <f>tbl_Roll[[#This Row],[Qty Complete]]/tbl_Roll[[#This Row],[Qty Required]]</f>
        <v>#DIV/0!</v>
      </c>
      <c r="K200" s="57" t="str">
        <f>IFERROR(tbl_Roll[[#This Row],[Qty Required]]/tbl_Roll[[#This Row],[PPH]]*tbl_Roll[[#This Row],['# of men]],"")</f>
        <v/>
      </c>
      <c r="L200" s="58" t="e">
        <f>tbl_Roll[[#This Row],[Total hours]]*tbl_Roll[[#This Row],[% Complete]]</f>
        <v>#VALUE!</v>
      </c>
      <c r="M200" s="59" t="str">
        <f>IFERROR(tbl_Roll[[#This Row],[Qty Complete]]/tbl_Roll[[#This Row],[Total Hours Act]]*tbl_Roll[[#This Row],['# of men Act]],"")</f>
        <v/>
      </c>
      <c r="O200"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00" s="71" t="str">
        <f>IFERROR((tbl_Roll[[#This Row],[Adj. Total Hours]]+tbl_Roll[[#This Row],[Est. Hours]])/(tbl_Roll[[#This Row],[Total Hours Act]]+tbl_Roll[[#This Row],[Act. Hours]]),"")</f>
        <v/>
      </c>
      <c r="S200" s="63"/>
      <c r="T200" s="63"/>
      <c r="U200" s="63"/>
      <c r="V200" s="63"/>
      <c r="W200" s="63"/>
    </row>
    <row r="201" spans="6:23" ht="25" customHeight="1">
      <c r="F201" s="53"/>
      <c r="H201" s="55" t="e">
        <f>tbl_Roll[[#This Row],[Qty Complete]]/tbl_Roll[[#This Row],[Qty Required]]</f>
        <v>#DIV/0!</v>
      </c>
      <c r="K201" s="57" t="str">
        <f>IFERROR(tbl_Roll[[#This Row],[Qty Required]]/tbl_Roll[[#This Row],[PPH]]*tbl_Roll[[#This Row],['# of men]],"")</f>
        <v/>
      </c>
      <c r="L201" s="58" t="e">
        <f>tbl_Roll[[#This Row],[Total hours]]*tbl_Roll[[#This Row],[% Complete]]</f>
        <v>#VALUE!</v>
      </c>
      <c r="M201" s="59" t="str">
        <f>IFERROR(tbl_Roll[[#This Row],[Qty Complete]]/tbl_Roll[[#This Row],[Total Hours Act]]*tbl_Roll[[#This Row],['# of men Act]],"")</f>
        <v/>
      </c>
      <c r="O201"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01" s="71" t="str">
        <f>IFERROR((tbl_Roll[[#This Row],[Adj. Total Hours]]+tbl_Roll[[#This Row],[Est. Hours]])/(tbl_Roll[[#This Row],[Total Hours Act]]+tbl_Roll[[#This Row],[Act. Hours]]),"")</f>
        <v/>
      </c>
      <c r="S201" s="63"/>
      <c r="T201" s="63"/>
      <c r="U201" s="63"/>
      <c r="V201" s="63"/>
      <c r="W201" s="63"/>
    </row>
    <row r="202" spans="6:23" ht="25" customHeight="1">
      <c r="F202" s="53"/>
      <c r="H202" s="55" t="e">
        <f>tbl_Roll[[#This Row],[Qty Complete]]/tbl_Roll[[#This Row],[Qty Required]]</f>
        <v>#DIV/0!</v>
      </c>
      <c r="K202" s="57" t="str">
        <f>IFERROR(tbl_Roll[[#This Row],[Qty Required]]/tbl_Roll[[#This Row],[PPH]]*tbl_Roll[[#This Row],['# of men]],"")</f>
        <v/>
      </c>
      <c r="L202" s="58" t="e">
        <f>tbl_Roll[[#This Row],[Total hours]]*tbl_Roll[[#This Row],[% Complete]]</f>
        <v>#VALUE!</v>
      </c>
      <c r="M202" s="59" t="str">
        <f>IFERROR(tbl_Roll[[#This Row],[Qty Complete]]/tbl_Roll[[#This Row],[Total Hours Act]]*tbl_Roll[[#This Row],['# of men Act]],"")</f>
        <v/>
      </c>
      <c r="O202"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02" s="71" t="str">
        <f>IFERROR((tbl_Roll[[#This Row],[Adj. Total Hours]]+tbl_Roll[[#This Row],[Est. Hours]])/(tbl_Roll[[#This Row],[Total Hours Act]]+tbl_Roll[[#This Row],[Act. Hours]]),"")</f>
        <v/>
      </c>
      <c r="S202" s="63"/>
      <c r="T202" s="63"/>
      <c r="U202" s="63"/>
      <c r="V202" s="63"/>
      <c r="W202" s="63"/>
    </row>
    <row r="203" spans="6:23" ht="25" customHeight="1">
      <c r="F203" s="53"/>
      <c r="H203" s="55" t="e">
        <f>tbl_Roll[[#This Row],[Qty Complete]]/tbl_Roll[[#This Row],[Qty Required]]</f>
        <v>#DIV/0!</v>
      </c>
      <c r="K203" s="57" t="str">
        <f>IFERROR(tbl_Roll[[#This Row],[Qty Required]]/tbl_Roll[[#This Row],[PPH]]*tbl_Roll[[#This Row],['# of men]],"")</f>
        <v/>
      </c>
      <c r="L203" s="58" t="e">
        <f>tbl_Roll[[#This Row],[Total hours]]*tbl_Roll[[#This Row],[% Complete]]</f>
        <v>#VALUE!</v>
      </c>
      <c r="M203" s="59" t="str">
        <f>IFERROR(tbl_Roll[[#This Row],[Qty Complete]]/tbl_Roll[[#This Row],[Total Hours Act]]*tbl_Roll[[#This Row],['# of men Act]],"")</f>
        <v/>
      </c>
      <c r="O203"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03" s="71" t="str">
        <f>IFERROR((tbl_Roll[[#This Row],[Adj. Total Hours]]+tbl_Roll[[#This Row],[Est. Hours]])/(tbl_Roll[[#This Row],[Total Hours Act]]+tbl_Roll[[#This Row],[Act. Hours]]),"")</f>
        <v/>
      </c>
      <c r="S203" s="63"/>
      <c r="T203" s="63"/>
      <c r="U203" s="63"/>
      <c r="V203" s="63"/>
      <c r="W203" s="63"/>
    </row>
    <row r="204" spans="6:23" ht="25" customHeight="1">
      <c r="F204" s="53"/>
      <c r="H204" s="55" t="e">
        <f>tbl_Roll[[#This Row],[Qty Complete]]/tbl_Roll[[#This Row],[Qty Required]]</f>
        <v>#DIV/0!</v>
      </c>
      <c r="K204" s="57" t="str">
        <f>IFERROR(tbl_Roll[[#This Row],[Qty Required]]/tbl_Roll[[#This Row],[PPH]]*tbl_Roll[[#This Row],['# of men]],"")</f>
        <v/>
      </c>
      <c r="L204" s="58" t="e">
        <f>tbl_Roll[[#This Row],[Total hours]]*tbl_Roll[[#This Row],[% Complete]]</f>
        <v>#VALUE!</v>
      </c>
      <c r="M204" s="59" t="str">
        <f>IFERROR(tbl_Roll[[#This Row],[Qty Complete]]/tbl_Roll[[#This Row],[Total Hours Act]]*tbl_Roll[[#This Row],['# of men Act]],"")</f>
        <v/>
      </c>
      <c r="O204"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04" s="71" t="str">
        <f>IFERROR((tbl_Roll[[#This Row],[Adj. Total Hours]]+tbl_Roll[[#This Row],[Est. Hours]])/(tbl_Roll[[#This Row],[Total Hours Act]]+tbl_Roll[[#This Row],[Act. Hours]]),"")</f>
        <v/>
      </c>
      <c r="S204" s="63"/>
      <c r="T204" s="63"/>
      <c r="U204" s="63"/>
      <c r="V204" s="63"/>
      <c r="W204" s="63"/>
    </row>
    <row r="205" spans="6:23" ht="25" customHeight="1">
      <c r="F205" s="53"/>
      <c r="H205" s="55" t="e">
        <f>tbl_Roll[[#This Row],[Qty Complete]]/tbl_Roll[[#This Row],[Qty Required]]</f>
        <v>#DIV/0!</v>
      </c>
      <c r="K205" s="57" t="str">
        <f>IFERROR(tbl_Roll[[#This Row],[Qty Required]]/tbl_Roll[[#This Row],[PPH]]*tbl_Roll[[#This Row],['# of men]],"")</f>
        <v/>
      </c>
      <c r="L205" s="58" t="e">
        <f>tbl_Roll[[#This Row],[Total hours]]*tbl_Roll[[#This Row],[% Complete]]</f>
        <v>#VALUE!</v>
      </c>
      <c r="M205" s="59" t="str">
        <f>IFERROR(tbl_Roll[[#This Row],[Qty Complete]]/tbl_Roll[[#This Row],[Total Hours Act]]*tbl_Roll[[#This Row],['# of men Act]],"")</f>
        <v/>
      </c>
      <c r="O205"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05" s="71" t="str">
        <f>IFERROR((tbl_Roll[[#This Row],[Adj. Total Hours]]+tbl_Roll[[#This Row],[Est. Hours]])/(tbl_Roll[[#This Row],[Total Hours Act]]+tbl_Roll[[#This Row],[Act. Hours]]),"")</f>
        <v/>
      </c>
      <c r="S205" s="63"/>
      <c r="T205" s="63"/>
      <c r="U205" s="63"/>
      <c r="V205" s="63"/>
      <c r="W205" s="63"/>
    </row>
    <row r="206" spans="6:23" ht="25" customHeight="1">
      <c r="F206" s="53"/>
      <c r="H206" s="55" t="e">
        <f>tbl_Roll[[#This Row],[Qty Complete]]/tbl_Roll[[#This Row],[Qty Required]]</f>
        <v>#DIV/0!</v>
      </c>
      <c r="K206" s="57" t="str">
        <f>IFERROR(tbl_Roll[[#This Row],[Qty Required]]/tbl_Roll[[#This Row],[PPH]]*tbl_Roll[[#This Row],['# of men]],"")</f>
        <v/>
      </c>
      <c r="L206" s="58" t="e">
        <f>tbl_Roll[[#This Row],[Total hours]]*tbl_Roll[[#This Row],[% Complete]]</f>
        <v>#VALUE!</v>
      </c>
      <c r="M206" s="59" t="str">
        <f>IFERROR(tbl_Roll[[#This Row],[Qty Complete]]/tbl_Roll[[#This Row],[Total Hours Act]]*tbl_Roll[[#This Row],['# of men Act]],"")</f>
        <v/>
      </c>
      <c r="O206"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06" s="71" t="str">
        <f>IFERROR((tbl_Roll[[#This Row],[Adj. Total Hours]]+tbl_Roll[[#This Row],[Est. Hours]])/(tbl_Roll[[#This Row],[Total Hours Act]]+tbl_Roll[[#This Row],[Act. Hours]]),"")</f>
        <v/>
      </c>
      <c r="S206" s="63"/>
      <c r="T206" s="63"/>
      <c r="U206" s="63"/>
      <c r="V206" s="63"/>
      <c r="W206" s="63"/>
    </row>
    <row r="207" spans="6:23" ht="25" customHeight="1">
      <c r="F207" s="53"/>
      <c r="H207" s="55" t="e">
        <f>tbl_Roll[[#This Row],[Qty Complete]]/tbl_Roll[[#This Row],[Qty Required]]</f>
        <v>#DIV/0!</v>
      </c>
      <c r="K207" s="57" t="str">
        <f>IFERROR(tbl_Roll[[#This Row],[Qty Required]]/tbl_Roll[[#This Row],[PPH]]*tbl_Roll[[#This Row],['# of men]],"")</f>
        <v/>
      </c>
      <c r="L207" s="58" t="e">
        <f>tbl_Roll[[#This Row],[Total hours]]*tbl_Roll[[#This Row],[% Complete]]</f>
        <v>#VALUE!</v>
      </c>
      <c r="M207" s="59" t="str">
        <f>IFERROR(tbl_Roll[[#This Row],[Qty Complete]]/tbl_Roll[[#This Row],[Total Hours Act]]*tbl_Roll[[#This Row],['# of men Act]],"")</f>
        <v/>
      </c>
      <c r="O207"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07" s="71" t="str">
        <f>IFERROR((tbl_Roll[[#This Row],[Adj. Total Hours]]+tbl_Roll[[#This Row],[Est. Hours]])/(tbl_Roll[[#This Row],[Total Hours Act]]+tbl_Roll[[#This Row],[Act. Hours]]),"")</f>
        <v/>
      </c>
      <c r="S207" s="63"/>
      <c r="T207" s="63"/>
      <c r="U207" s="63"/>
      <c r="V207" s="63"/>
      <c r="W207" s="63"/>
    </row>
    <row r="208" spans="6:23" ht="25" customHeight="1">
      <c r="F208" s="53"/>
      <c r="H208" s="55" t="e">
        <f>tbl_Roll[[#This Row],[Qty Complete]]/tbl_Roll[[#This Row],[Qty Required]]</f>
        <v>#DIV/0!</v>
      </c>
      <c r="K208" s="57" t="str">
        <f>IFERROR(tbl_Roll[[#This Row],[Qty Required]]/tbl_Roll[[#This Row],[PPH]]*tbl_Roll[[#This Row],['# of men]],"")</f>
        <v/>
      </c>
      <c r="L208" s="58" t="e">
        <f>tbl_Roll[[#This Row],[Total hours]]*tbl_Roll[[#This Row],[% Complete]]</f>
        <v>#VALUE!</v>
      </c>
      <c r="M208" s="59" t="str">
        <f>IFERROR(tbl_Roll[[#This Row],[Qty Complete]]/tbl_Roll[[#This Row],[Total Hours Act]]*tbl_Roll[[#This Row],['# of men Act]],"")</f>
        <v/>
      </c>
      <c r="O208"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08" s="71" t="str">
        <f>IFERROR((tbl_Roll[[#This Row],[Adj. Total Hours]]+tbl_Roll[[#This Row],[Est. Hours]])/(tbl_Roll[[#This Row],[Total Hours Act]]+tbl_Roll[[#This Row],[Act. Hours]]),"")</f>
        <v/>
      </c>
      <c r="S208" s="63"/>
      <c r="T208" s="63"/>
      <c r="U208" s="63"/>
      <c r="V208" s="63"/>
      <c r="W208" s="63"/>
    </row>
    <row r="209" spans="6:23" ht="25" customHeight="1">
      <c r="F209" s="53"/>
      <c r="H209" s="55" t="e">
        <f>tbl_Roll[[#This Row],[Qty Complete]]/tbl_Roll[[#This Row],[Qty Required]]</f>
        <v>#DIV/0!</v>
      </c>
      <c r="K209" s="57" t="str">
        <f>IFERROR(tbl_Roll[[#This Row],[Qty Required]]/tbl_Roll[[#This Row],[PPH]]*tbl_Roll[[#This Row],['# of men]],"")</f>
        <v/>
      </c>
      <c r="L209" s="58" t="e">
        <f>tbl_Roll[[#This Row],[Total hours]]*tbl_Roll[[#This Row],[% Complete]]</f>
        <v>#VALUE!</v>
      </c>
      <c r="M209" s="59" t="str">
        <f>IFERROR(tbl_Roll[[#This Row],[Qty Complete]]/tbl_Roll[[#This Row],[Total Hours Act]]*tbl_Roll[[#This Row],['# of men Act]],"")</f>
        <v/>
      </c>
      <c r="O209"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09" s="71" t="str">
        <f>IFERROR((tbl_Roll[[#This Row],[Adj. Total Hours]]+tbl_Roll[[#This Row],[Est. Hours]])/(tbl_Roll[[#This Row],[Total Hours Act]]+tbl_Roll[[#This Row],[Act. Hours]]),"")</f>
        <v/>
      </c>
      <c r="S209" s="63"/>
      <c r="T209" s="63"/>
      <c r="U209" s="63"/>
      <c r="V209" s="63"/>
      <c r="W209" s="63"/>
    </row>
    <row r="210" spans="6:23" ht="25" customHeight="1">
      <c r="F210" s="53"/>
      <c r="H210" s="55" t="e">
        <f>tbl_Roll[[#This Row],[Qty Complete]]/tbl_Roll[[#This Row],[Qty Required]]</f>
        <v>#DIV/0!</v>
      </c>
      <c r="K210" s="57" t="str">
        <f>IFERROR(tbl_Roll[[#This Row],[Qty Required]]/tbl_Roll[[#This Row],[PPH]]*tbl_Roll[[#This Row],['# of men]],"")</f>
        <v/>
      </c>
      <c r="L210" s="58" t="e">
        <f>tbl_Roll[[#This Row],[Total hours]]*tbl_Roll[[#This Row],[% Complete]]</f>
        <v>#VALUE!</v>
      </c>
      <c r="M210" s="59" t="str">
        <f>IFERROR(tbl_Roll[[#This Row],[Qty Complete]]/tbl_Roll[[#This Row],[Total Hours Act]]*tbl_Roll[[#This Row],['# of men Act]],"")</f>
        <v/>
      </c>
      <c r="O210"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10" s="71" t="str">
        <f>IFERROR((tbl_Roll[[#This Row],[Adj. Total Hours]]+tbl_Roll[[#This Row],[Est. Hours]])/(tbl_Roll[[#This Row],[Total Hours Act]]+tbl_Roll[[#This Row],[Act. Hours]]),"")</f>
        <v/>
      </c>
      <c r="S210" s="63"/>
      <c r="T210" s="63"/>
      <c r="U210" s="63"/>
      <c r="V210" s="63"/>
      <c r="W210" s="63"/>
    </row>
    <row r="211" spans="6:23" ht="25" customHeight="1">
      <c r="F211" s="53"/>
      <c r="H211" s="55" t="e">
        <f>tbl_Roll[[#This Row],[Qty Complete]]/tbl_Roll[[#This Row],[Qty Required]]</f>
        <v>#DIV/0!</v>
      </c>
      <c r="K211" s="57" t="str">
        <f>IFERROR(tbl_Roll[[#This Row],[Qty Required]]/tbl_Roll[[#This Row],[PPH]]*tbl_Roll[[#This Row],['# of men]],"")</f>
        <v/>
      </c>
      <c r="L211" s="58" t="e">
        <f>tbl_Roll[[#This Row],[Total hours]]*tbl_Roll[[#This Row],[% Complete]]</f>
        <v>#VALUE!</v>
      </c>
      <c r="M211" s="59" t="str">
        <f>IFERROR(tbl_Roll[[#This Row],[Qty Complete]]/tbl_Roll[[#This Row],[Total Hours Act]]*tbl_Roll[[#This Row],['# of men Act]],"")</f>
        <v/>
      </c>
      <c r="O211"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11" s="71" t="str">
        <f>IFERROR((tbl_Roll[[#This Row],[Adj. Total Hours]]+tbl_Roll[[#This Row],[Est. Hours]])/(tbl_Roll[[#This Row],[Total Hours Act]]+tbl_Roll[[#This Row],[Act. Hours]]),"")</f>
        <v/>
      </c>
      <c r="S211" s="63"/>
      <c r="T211" s="63"/>
      <c r="U211" s="63"/>
      <c r="V211" s="63"/>
      <c r="W211" s="63"/>
    </row>
    <row r="212" spans="6:23" ht="25" customHeight="1">
      <c r="F212" s="53"/>
      <c r="H212" s="55" t="e">
        <f>tbl_Roll[[#This Row],[Qty Complete]]/tbl_Roll[[#This Row],[Qty Required]]</f>
        <v>#DIV/0!</v>
      </c>
      <c r="K212" s="57" t="str">
        <f>IFERROR(tbl_Roll[[#This Row],[Qty Required]]/tbl_Roll[[#This Row],[PPH]]*tbl_Roll[[#This Row],['# of men]],"")</f>
        <v/>
      </c>
      <c r="L212" s="58" t="e">
        <f>tbl_Roll[[#This Row],[Total hours]]*tbl_Roll[[#This Row],[% Complete]]</f>
        <v>#VALUE!</v>
      </c>
      <c r="M212" s="59" t="str">
        <f>IFERROR(tbl_Roll[[#This Row],[Qty Complete]]/tbl_Roll[[#This Row],[Total Hours Act]]*tbl_Roll[[#This Row],['# of men Act]],"")</f>
        <v/>
      </c>
      <c r="O212"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12" s="71" t="str">
        <f>IFERROR((tbl_Roll[[#This Row],[Adj. Total Hours]]+tbl_Roll[[#This Row],[Est. Hours]])/(tbl_Roll[[#This Row],[Total Hours Act]]+tbl_Roll[[#This Row],[Act. Hours]]),"")</f>
        <v/>
      </c>
      <c r="S212" s="63"/>
      <c r="T212" s="63"/>
      <c r="U212" s="63"/>
      <c r="V212" s="63"/>
      <c r="W212" s="63"/>
    </row>
    <row r="213" spans="6:23" ht="25" customHeight="1">
      <c r="F213" s="53"/>
      <c r="H213" s="55" t="e">
        <f>tbl_Roll[[#This Row],[Qty Complete]]/tbl_Roll[[#This Row],[Qty Required]]</f>
        <v>#DIV/0!</v>
      </c>
      <c r="K213" s="57" t="str">
        <f>IFERROR(tbl_Roll[[#This Row],[Qty Required]]/tbl_Roll[[#This Row],[PPH]]*tbl_Roll[[#This Row],['# of men]],"")</f>
        <v/>
      </c>
      <c r="L213" s="58" t="e">
        <f>tbl_Roll[[#This Row],[Total hours]]*tbl_Roll[[#This Row],[% Complete]]</f>
        <v>#VALUE!</v>
      </c>
      <c r="M213" s="59" t="str">
        <f>IFERROR(tbl_Roll[[#This Row],[Qty Complete]]/tbl_Roll[[#This Row],[Total Hours Act]]*tbl_Roll[[#This Row],['# of men Act]],"")</f>
        <v/>
      </c>
      <c r="O213"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13" s="71" t="str">
        <f>IFERROR((tbl_Roll[[#This Row],[Adj. Total Hours]]+tbl_Roll[[#This Row],[Est. Hours]])/(tbl_Roll[[#This Row],[Total Hours Act]]+tbl_Roll[[#This Row],[Act. Hours]]),"")</f>
        <v/>
      </c>
      <c r="S213" s="63"/>
      <c r="T213" s="63"/>
      <c r="U213" s="63"/>
      <c r="V213" s="63"/>
      <c r="W213" s="63"/>
    </row>
    <row r="214" spans="6:23" ht="25" customHeight="1">
      <c r="F214" s="53"/>
      <c r="H214" s="55" t="e">
        <f>tbl_Roll[[#This Row],[Qty Complete]]/tbl_Roll[[#This Row],[Qty Required]]</f>
        <v>#DIV/0!</v>
      </c>
      <c r="K214" s="57" t="str">
        <f>IFERROR(tbl_Roll[[#This Row],[Qty Required]]/tbl_Roll[[#This Row],[PPH]]*tbl_Roll[[#This Row],['# of men]],"")</f>
        <v/>
      </c>
      <c r="L214" s="58" t="e">
        <f>tbl_Roll[[#This Row],[Total hours]]*tbl_Roll[[#This Row],[% Complete]]</f>
        <v>#VALUE!</v>
      </c>
      <c r="M214" s="59" t="str">
        <f>IFERROR(tbl_Roll[[#This Row],[Qty Complete]]/tbl_Roll[[#This Row],[Total Hours Act]]*tbl_Roll[[#This Row],['# of men Act]],"")</f>
        <v/>
      </c>
      <c r="O214"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14" s="71" t="str">
        <f>IFERROR((tbl_Roll[[#This Row],[Adj. Total Hours]]+tbl_Roll[[#This Row],[Est. Hours]])/(tbl_Roll[[#This Row],[Total Hours Act]]+tbl_Roll[[#This Row],[Act. Hours]]),"")</f>
        <v/>
      </c>
      <c r="S214" s="63"/>
      <c r="T214" s="63"/>
      <c r="U214" s="63"/>
      <c r="V214" s="63"/>
      <c r="W214" s="63"/>
    </row>
    <row r="215" spans="6:23" ht="25" customHeight="1">
      <c r="F215" s="53"/>
      <c r="H215" s="55" t="e">
        <f>tbl_Roll[[#This Row],[Qty Complete]]/tbl_Roll[[#This Row],[Qty Required]]</f>
        <v>#DIV/0!</v>
      </c>
      <c r="K215" s="57" t="str">
        <f>IFERROR(tbl_Roll[[#This Row],[Qty Required]]/tbl_Roll[[#This Row],[PPH]]*tbl_Roll[[#This Row],['# of men]],"")</f>
        <v/>
      </c>
      <c r="L215" s="58" t="e">
        <f>tbl_Roll[[#This Row],[Total hours]]*tbl_Roll[[#This Row],[% Complete]]</f>
        <v>#VALUE!</v>
      </c>
      <c r="M215" s="59" t="str">
        <f>IFERROR(tbl_Roll[[#This Row],[Qty Complete]]/tbl_Roll[[#This Row],[Total Hours Act]]*tbl_Roll[[#This Row],['# of men Act]],"")</f>
        <v/>
      </c>
      <c r="O215"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15" s="71" t="str">
        <f>IFERROR((tbl_Roll[[#This Row],[Adj. Total Hours]]+tbl_Roll[[#This Row],[Est. Hours]])/(tbl_Roll[[#This Row],[Total Hours Act]]+tbl_Roll[[#This Row],[Act. Hours]]),"")</f>
        <v/>
      </c>
      <c r="S215" s="63"/>
      <c r="T215" s="63"/>
      <c r="U215" s="63"/>
      <c r="V215" s="63"/>
      <c r="W215" s="63"/>
    </row>
    <row r="216" spans="6:23" ht="25" customHeight="1">
      <c r="F216" s="53"/>
      <c r="H216" s="55" t="e">
        <f>tbl_Roll[[#This Row],[Qty Complete]]/tbl_Roll[[#This Row],[Qty Required]]</f>
        <v>#DIV/0!</v>
      </c>
      <c r="K216" s="57" t="str">
        <f>IFERROR(tbl_Roll[[#This Row],[Qty Required]]/tbl_Roll[[#This Row],[PPH]]*tbl_Roll[[#This Row],['# of men]],"")</f>
        <v/>
      </c>
      <c r="L216" s="58" t="e">
        <f>tbl_Roll[[#This Row],[Total hours]]*tbl_Roll[[#This Row],[% Complete]]</f>
        <v>#VALUE!</v>
      </c>
      <c r="M216" s="59" t="str">
        <f>IFERROR(tbl_Roll[[#This Row],[Qty Complete]]/tbl_Roll[[#This Row],[Total Hours Act]]*tbl_Roll[[#This Row],['# of men Act]],"")</f>
        <v/>
      </c>
      <c r="O216"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16" s="71" t="str">
        <f>IFERROR((tbl_Roll[[#This Row],[Adj. Total Hours]]+tbl_Roll[[#This Row],[Est. Hours]])/(tbl_Roll[[#This Row],[Total Hours Act]]+tbl_Roll[[#This Row],[Act. Hours]]),"")</f>
        <v/>
      </c>
      <c r="S216" s="63"/>
      <c r="T216" s="63"/>
      <c r="U216" s="63"/>
      <c r="V216" s="63"/>
      <c r="W216" s="63"/>
    </row>
    <row r="217" spans="6:23" ht="25" customHeight="1">
      <c r="F217" s="53"/>
      <c r="H217" s="55" t="e">
        <f>tbl_Roll[[#This Row],[Qty Complete]]/tbl_Roll[[#This Row],[Qty Required]]</f>
        <v>#DIV/0!</v>
      </c>
      <c r="K217" s="57" t="str">
        <f>IFERROR(tbl_Roll[[#This Row],[Qty Required]]/tbl_Roll[[#This Row],[PPH]]*tbl_Roll[[#This Row],['# of men]],"")</f>
        <v/>
      </c>
      <c r="L217" s="58" t="e">
        <f>tbl_Roll[[#This Row],[Total hours]]*tbl_Roll[[#This Row],[% Complete]]</f>
        <v>#VALUE!</v>
      </c>
      <c r="M217" s="59" t="str">
        <f>IFERROR(tbl_Roll[[#This Row],[Qty Complete]]/tbl_Roll[[#This Row],[Total Hours Act]]*tbl_Roll[[#This Row],['# of men Act]],"")</f>
        <v/>
      </c>
      <c r="O217"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17" s="71" t="str">
        <f>IFERROR((tbl_Roll[[#This Row],[Adj. Total Hours]]+tbl_Roll[[#This Row],[Est. Hours]])/(tbl_Roll[[#This Row],[Total Hours Act]]+tbl_Roll[[#This Row],[Act. Hours]]),"")</f>
        <v/>
      </c>
      <c r="S217" s="63"/>
      <c r="T217" s="63"/>
      <c r="U217" s="63"/>
      <c r="V217" s="63"/>
      <c r="W217" s="63"/>
    </row>
    <row r="218" spans="6:23" ht="25" customHeight="1">
      <c r="F218" s="53"/>
      <c r="H218" s="55" t="e">
        <f>tbl_Roll[[#This Row],[Qty Complete]]/tbl_Roll[[#This Row],[Qty Required]]</f>
        <v>#DIV/0!</v>
      </c>
      <c r="K218" s="57" t="str">
        <f>IFERROR(tbl_Roll[[#This Row],[Qty Required]]/tbl_Roll[[#This Row],[PPH]]*tbl_Roll[[#This Row],['# of men]],"")</f>
        <v/>
      </c>
      <c r="L218" s="58" t="e">
        <f>tbl_Roll[[#This Row],[Total hours]]*tbl_Roll[[#This Row],[% Complete]]</f>
        <v>#VALUE!</v>
      </c>
      <c r="M218" s="59" t="str">
        <f>IFERROR(tbl_Roll[[#This Row],[Qty Complete]]/tbl_Roll[[#This Row],[Total Hours Act]]*tbl_Roll[[#This Row],['# of men Act]],"")</f>
        <v/>
      </c>
      <c r="O218"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18" s="71" t="str">
        <f>IFERROR((tbl_Roll[[#This Row],[Adj. Total Hours]]+tbl_Roll[[#This Row],[Est. Hours]])/(tbl_Roll[[#This Row],[Total Hours Act]]+tbl_Roll[[#This Row],[Act. Hours]]),"")</f>
        <v/>
      </c>
      <c r="S218" s="63"/>
      <c r="T218" s="63"/>
      <c r="U218" s="63"/>
      <c r="V218" s="63"/>
      <c r="W218" s="63"/>
    </row>
    <row r="219" spans="6:23" ht="25" customHeight="1">
      <c r="F219" s="53"/>
      <c r="H219" s="55" t="e">
        <f>tbl_Roll[[#This Row],[Qty Complete]]/tbl_Roll[[#This Row],[Qty Required]]</f>
        <v>#DIV/0!</v>
      </c>
      <c r="K219" s="57" t="str">
        <f>IFERROR(tbl_Roll[[#This Row],[Qty Required]]/tbl_Roll[[#This Row],[PPH]]*tbl_Roll[[#This Row],['# of men]],"")</f>
        <v/>
      </c>
      <c r="L219" s="58" t="e">
        <f>tbl_Roll[[#This Row],[Total hours]]*tbl_Roll[[#This Row],[% Complete]]</f>
        <v>#VALUE!</v>
      </c>
      <c r="M219" s="59" t="str">
        <f>IFERROR(tbl_Roll[[#This Row],[Qty Complete]]/tbl_Roll[[#This Row],[Total Hours Act]]*tbl_Roll[[#This Row],['# of men Act]],"")</f>
        <v/>
      </c>
      <c r="O219"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19" s="71" t="str">
        <f>IFERROR((tbl_Roll[[#This Row],[Adj. Total Hours]]+tbl_Roll[[#This Row],[Est. Hours]])/(tbl_Roll[[#This Row],[Total Hours Act]]+tbl_Roll[[#This Row],[Act. Hours]]),"")</f>
        <v/>
      </c>
      <c r="S219" s="63"/>
      <c r="T219" s="63"/>
      <c r="U219" s="63"/>
      <c r="V219" s="63"/>
      <c r="W219" s="63"/>
    </row>
    <row r="220" spans="6:23" ht="25" customHeight="1">
      <c r="F220" s="53"/>
      <c r="H220" s="55" t="e">
        <f>tbl_Roll[[#This Row],[Qty Complete]]/tbl_Roll[[#This Row],[Qty Required]]</f>
        <v>#DIV/0!</v>
      </c>
      <c r="K220" s="57" t="str">
        <f>IFERROR(tbl_Roll[[#This Row],[Qty Required]]/tbl_Roll[[#This Row],[PPH]]*tbl_Roll[[#This Row],['# of men]],"")</f>
        <v/>
      </c>
      <c r="L220" s="58" t="e">
        <f>tbl_Roll[[#This Row],[Total hours]]*tbl_Roll[[#This Row],[% Complete]]</f>
        <v>#VALUE!</v>
      </c>
      <c r="M220" s="59" t="str">
        <f>IFERROR(tbl_Roll[[#This Row],[Qty Complete]]/tbl_Roll[[#This Row],[Total Hours Act]]*tbl_Roll[[#This Row],['# of men Act]],"")</f>
        <v/>
      </c>
      <c r="O220"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20" s="71" t="str">
        <f>IFERROR((tbl_Roll[[#This Row],[Adj. Total Hours]]+tbl_Roll[[#This Row],[Est. Hours]])/(tbl_Roll[[#This Row],[Total Hours Act]]+tbl_Roll[[#This Row],[Act. Hours]]),"")</f>
        <v/>
      </c>
      <c r="S220" s="63"/>
      <c r="T220" s="63"/>
      <c r="U220" s="63"/>
      <c r="V220" s="63"/>
      <c r="W220" s="63"/>
    </row>
    <row r="221" spans="6:23" ht="25" customHeight="1">
      <c r="F221" s="53"/>
      <c r="H221" s="55" t="e">
        <f>tbl_Roll[[#This Row],[Qty Complete]]/tbl_Roll[[#This Row],[Qty Required]]</f>
        <v>#DIV/0!</v>
      </c>
      <c r="K221" s="57" t="str">
        <f>IFERROR(tbl_Roll[[#This Row],[Qty Required]]/tbl_Roll[[#This Row],[PPH]]*tbl_Roll[[#This Row],['# of men]],"")</f>
        <v/>
      </c>
      <c r="L221" s="58" t="e">
        <f>tbl_Roll[[#This Row],[Total hours]]*tbl_Roll[[#This Row],[% Complete]]</f>
        <v>#VALUE!</v>
      </c>
      <c r="M221" s="59" t="str">
        <f>IFERROR(tbl_Roll[[#This Row],[Qty Complete]]/tbl_Roll[[#This Row],[Total Hours Act]]*tbl_Roll[[#This Row],['# of men Act]],"")</f>
        <v/>
      </c>
      <c r="O221"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21" s="71" t="str">
        <f>IFERROR((tbl_Roll[[#This Row],[Adj. Total Hours]]+tbl_Roll[[#This Row],[Est. Hours]])/(tbl_Roll[[#This Row],[Total Hours Act]]+tbl_Roll[[#This Row],[Act. Hours]]),"")</f>
        <v/>
      </c>
      <c r="S221" s="63"/>
      <c r="T221" s="63"/>
      <c r="U221" s="63"/>
      <c r="V221" s="63"/>
      <c r="W221" s="63"/>
    </row>
    <row r="222" spans="6:23" ht="25" customHeight="1">
      <c r="F222" s="53"/>
      <c r="H222" s="55" t="e">
        <f>tbl_Roll[[#This Row],[Qty Complete]]/tbl_Roll[[#This Row],[Qty Required]]</f>
        <v>#DIV/0!</v>
      </c>
      <c r="K222" s="57" t="str">
        <f>IFERROR(tbl_Roll[[#This Row],[Qty Required]]/tbl_Roll[[#This Row],[PPH]]*tbl_Roll[[#This Row],['# of men]],"")</f>
        <v/>
      </c>
      <c r="L222" s="58" t="e">
        <f>tbl_Roll[[#This Row],[Total hours]]*tbl_Roll[[#This Row],[% Complete]]</f>
        <v>#VALUE!</v>
      </c>
      <c r="M222" s="59" t="str">
        <f>IFERROR(tbl_Roll[[#This Row],[Qty Complete]]/tbl_Roll[[#This Row],[Total Hours Act]]*tbl_Roll[[#This Row],['# of men Act]],"")</f>
        <v/>
      </c>
      <c r="O222"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22" s="71" t="str">
        <f>IFERROR((tbl_Roll[[#This Row],[Adj. Total Hours]]+tbl_Roll[[#This Row],[Est. Hours]])/(tbl_Roll[[#This Row],[Total Hours Act]]+tbl_Roll[[#This Row],[Act. Hours]]),"")</f>
        <v/>
      </c>
      <c r="S222" s="63"/>
      <c r="T222" s="63"/>
      <c r="U222" s="63"/>
      <c r="V222" s="63"/>
      <c r="W222" s="63"/>
    </row>
    <row r="223" spans="6:23" ht="25" customHeight="1">
      <c r="F223" s="53"/>
      <c r="H223" s="55" t="e">
        <f>tbl_Roll[[#This Row],[Qty Complete]]/tbl_Roll[[#This Row],[Qty Required]]</f>
        <v>#DIV/0!</v>
      </c>
      <c r="K223" s="57" t="str">
        <f>IFERROR(tbl_Roll[[#This Row],[Qty Required]]/tbl_Roll[[#This Row],[PPH]]*tbl_Roll[[#This Row],['# of men]],"")</f>
        <v/>
      </c>
      <c r="L223" s="58" t="e">
        <f>tbl_Roll[[#This Row],[Total hours]]*tbl_Roll[[#This Row],[% Complete]]</f>
        <v>#VALUE!</v>
      </c>
      <c r="M223" s="59" t="str">
        <f>IFERROR(tbl_Roll[[#This Row],[Qty Complete]]/tbl_Roll[[#This Row],[Total Hours Act]]*tbl_Roll[[#This Row],['# of men Act]],"")</f>
        <v/>
      </c>
      <c r="O223"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23" s="71" t="str">
        <f>IFERROR((tbl_Roll[[#This Row],[Adj. Total Hours]]+tbl_Roll[[#This Row],[Est. Hours]])/(tbl_Roll[[#This Row],[Total Hours Act]]+tbl_Roll[[#This Row],[Act. Hours]]),"")</f>
        <v/>
      </c>
      <c r="S223" s="63"/>
      <c r="T223" s="63"/>
      <c r="U223" s="63"/>
      <c r="V223" s="63"/>
      <c r="W223" s="63"/>
    </row>
    <row r="224" spans="6:23" ht="25" customHeight="1">
      <c r="F224" s="53"/>
      <c r="H224" s="55" t="e">
        <f>tbl_Roll[[#This Row],[Qty Complete]]/tbl_Roll[[#This Row],[Qty Required]]</f>
        <v>#DIV/0!</v>
      </c>
      <c r="K224" s="57" t="str">
        <f>IFERROR(tbl_Roll[[#This Row],[Qty Required]]/tbl_Roll[[#This Row],[PPH]]*tbl_Roll[[#This Row],['# of men]],"")</f>
        <v/>
      </c>
      <c r="L224" s="58" t="e">
        <f>tbl_Roll[[#This Row],[Total hours]]*tbl_Roll[[#This Row],[% Complete]]</f>
        <v>#VALUE!</v>
      </c>
      <c r="M224" s="59" t="str">
        <f>IFERROR(tbl_Roll[[#This Row],[Qty Complete]]/tbl_Roll[[#This Row],[Total Hours Act]]*tbl_Roll[[#This Row],['# of men Act]],"")</f>
        <v/>
      </c>
      <c r="O224"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24" s="71" t="str">
        <f>IFERROR((tbl_Roll[[#This Row],[Adj. Total Hours]]+tbl_Roll[[#This Row],[Est. Hours]])/(tbl_Roll[[#This Row],[Total Hours Act]]+tbl_Roll[[#This Row],[Act. Hours]]),"")</f>
        <v/>
      </c>
      <c r="S224" s="63"/>
      <c r="T224" s="63"/>
      <c r="U224" s="63"/>
      <c r="V224" s="63"/>
      <c r="W224" s="63"/>
    </row>
    <row r="225" spans="6:23" ht="25" customHeight="1">
      <c r="F225" s="53"/>
      <c r="H225" s="55" t="e">
        <f>tbl_Roll[[#This Row],[Qty Complete]]/tbl_Roll[[#This Row],[Qty Required]]</f>
        <v>#DIV/0!</v>
      </c>
      <c r="K225" s="57" t="str">
        <f>IFERROR(tbl_Roll[[#This Row],[Qty Required]]/tbl_Roll[[#This Row],[PPH]]*tbl_Roll[[#This Row],['# of men]],"")</f>
        <v/>
      </c>
      <c r="L225" s="58" t="e">
        <f>tbl_Roll[[#This Row],[Total hours]]*tbl_Roll[[#This Row],[% Complete]]</f>
        <v>#VALUE!</v>
      </c>
      <c r="M225" s="59" t="str">
        <f>IFERROR(tbl_Roll[[#This Row],[Qty Complete]]/tbl_Roll[[#This Row],[Total Hours Act]]*tbl_Roll[[#This Row],['# of men Act]],"")</f>
        <v/>
      </c>
      <c r="O225"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25" s="71" t="str">
        <f>IFERROR((tbl_Roll[[#This Row],[Adj. Total Hours]]+tbl_Roll[[#This Row],[Est. Hours]])/(tbl_Roll[[#This Row],[Total Hours Act]]+tbl_Roll[[#This Row],[Act. Hours]]),"")</f>
        <v/>
      </c>
      <c r="S225" s="63"/>
      <c r="T225" s="63"/>
      <c r="U225" s="63"/>
      <c r="V225" s="63"/>
      <c r="W225" s="63"/>
    </row>
    <row r="226" spans="6:23" ht="25" customHeight="1">
      <c r="F226" s="53"/>
      <c r="H226" s="55" t="e">
        <f>tbl_Roll[[#This Row],[Qty Complete]]/tbl_Roll[[#This Row],[Qty Required]]</f>
        <v>#DIV/0!</v>
      </c>
      <c r="K226" s="57" t="str">
        <f>IFERROR(tbl_Roll[[#This Row],[Qty Required]]/tbl_Roll[[#This Row],[PPH]]*tbl_Roll[[#This Row],['# of men]],"")</f>
        <v/>
      </c>
      <c r="L226" s="58" t="e">
        <f>tbl_Roll[[#This Row],[Total hours]]*tbl_Roll[[#This Row],[% Complete]]</f>
        <v>#VALUE!</v>
      </c>
      <c r="M226" s="59" t="str">
        <f>IFERROR(tbl_Roll[[#This Row],[Qty Complete]]/tbl_Roll[[#This Row],[Total Hours Act]]*tbl_Roll[[#This Row],['# of men Act]],"")</f>
        <v/>
      </c>
      <c r="O226"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26" s="71" t="str">
        <f>IFERROR((tbl_Roll[[#This Row],[Adj. Total Hours]]+tbl_Roll[[#This Row],[Est. Hours]])/(tbl_Roll[[#This Row],[Total Hours Act]]+tbl_Roll[[#This Row],[Act. Hours]]),"")</f>
        <v/>
      </c>
      <c r="S226" s="63"/>
      <c r="T226" s="63"/>
      <c r="U226" s="63"/>
      <c r="V226" s="63"/>
      <c r="W226" s="63"/>
    </row>
    <row r="227" spans="6:23" ht="25" customHeight="1">
      <c r="F227" s="53"/>
      <c r="H227" s="55" t="e">
        <f>tbl_Roll[[#This Row],[Qty Complete]]/tbl_Roll[[#This Row],[Qty Required]]</f>
        <v>#DIV/0!</v>
      </c>
      <c r="K227" s="57" t="str">
        <f>IFERROR(tbl_Roll[[#This Row],[Qty Required]]/tbl_Roll[[#This Row],[PPH]]*tbl_Roll[[#This Row],['# of men]],"")</f>
        <v/>
      </c>
      <c r="L227" s="58" t="e">
        <f>tbl_Roll[[#This Row],[Total hours]]*tbl_Roll[[#This Row],[% Complete]]</f>
        <v>#VALUE!</v>
      </c>
      <c r="M227" s="59" t="str">
        <f>IFERROR(tbl_Roll[[#This Row],[Qty Complete]]/tbl_Roll[[#This Row],[Total Hours Act]]*tbl_Roll[[#This Row],['# of men Act]],"")</f>
        <v/>
      </c>
      <c r="O227"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27" s="71" t="str">
        <f>IFERROR((tbl_Roll[[#This Row],[Adj. Total Hours]]+tbl_Roll[[#This Row],[Est. Hours]])/(tbl_Roll[[#This Row],[Total Hours Act]]+tbl_Roll[[#This Row],[Act. Hours]]),"")</f>
        <v/>
      </c>
      <c r="S227" s="63"/>
      <c r="T227" s="63"/>
      <c r="U227" s="63"/>
      <c r="V227" s="63"/>
      <c r="W227" s="63"/>
    </row>
    <row r="228" spans="6:23" ht="25" customHeight="1">
      <c r="F228" s="53"/>
      <c r="H228" s="55" t="e">
        <f>tbl_Roll[[#This Row],[Qty Complete]]/tbl_Roll[[#This Row],[Qty Required]]</f>
        <v>#DIV/0!</v>
      </c>
      <c r="K228" s="57" t="str">
        <f>IFERROR(tbl_Roll[[#This Row],[Qty Required]]/tbl_Roll[[#This Row],[PPH]]*tbl_Roll[[#This Row],['# of men]],"")</f>
        <v/>
      </c>
      <c r="L228" s="58" t="e">
        <f>tbl_Roll[[#This Row],[Total hours]]*tbl_Roll[[#This Row],[% Complete]]</f>
        <v>#VALUE!</v>
      </c>
      <c r="M228" s="59" t="str">
        <f>IFERROR(tbl_Roll[[#This Row],[Qty Complete]]/tbl_Roll[[#This Row],[Total Hours Act]]*tbl_Roll[[#This Row],['# of men Act]],"")</f>
        <v/>
      </c>
      <c r="O228"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28" s="71" t="str">
        <f>IFERROR((tbl_Roll[[#This Row],[Adj. Total Hours]]+tbl_Roll[[#This Row],[Est. Hours]])/(tbl_Roll[[#This Row],[Total Hours Act]]+tbl_Roll[[#This Row],[Act. Hours]]),"")</f>
        <v/>
      </c>
      <c r="S228" s="63"/>
      <c r="T228" s="63"/>
      <c r="U228" s="63"/>
      <c r="V228" s="63"/>
      <c r="W228" s="63"/>
    </row>
    <row r="229" spans="6:23" ht="25" customHeight="1">
      <c r="F229" s="53"/>
      <c r="H229" s="55" t="e">
        <f>tbl_Roll[[#This Row],[Qty Complete]]/tbl_Roll[[#This Row],[Qty Required]]</f>
        <v>#DIV/0!</v>
      </c>
      <c r="K229" s="57" t="str">
        <f>IFERROR(tbl_Roll[[#This Row],[Qty Required]]/tbl_Roll[[#This Row],[PPH]]*tbl_Roll[[#This Row],['# of men]],"")</f>
        <v/>
      </c>
      <c r="L229" s="58" t="e">
        <f>tbl_Roll[[#This Row],[Total hours]]*tbl_Roll[[#This Row],[% Complete]]</f>
        <v>#VALUE!</v>
      </c>
      <c r="M229" s="59" t="str">
        <f>IFERROR(tbl_Roll[[#This Row],[Qty Complete]]/tbl_Roll[[#This Row],[Total Hours Act]]*tbl_Roll[[#This Row],['# of men Act]],"")</f>
        <v/>
      </c>
      <c r="O229"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29" s="71" t="str">
        <f>IFERROR((tbl_Roll[[#This Row],[Adj. Total Hours]]+tbl_Roll[[#This Row],[Est. Hours]])/(tbl_Roll[[#This Row],[Total Hours Act]]+tbl_Roll[[#This Row],[Act. Hours]]),"")</f>
        <v/>
      </c>
      <c r="S229" s="63"/>
      <c r="T229" s="63"/>
      <c r="U229" s="63"/>
      <c r="V229" s="63"/>
      <c r="W229" s="63"/>
    </row>
    <row r="230" spans="6:23" ht="25" customHeight="1">
      <c r="F230" s="53"/>
      <c r="H230" s="55" t="e">
        <f>tbl_Roll[[#This Row],[Qty Complete]]/tbl_Roll[[#This Row],[Qty Required]]</f>
        <v>#DIV/0!</v>
      </c>
      <c r="K230" s="57" t="str">
        <f>IFERROR(tbl_Roll[[#This Row],[Qty Required]]/tbl_Roll[[#This Row],[PPH]]*tbl_Roll[[#This Row],['# of men]],"")</f>
        <v/>
      </c>
      <c r="L230" s="58" t="e">
        <f>tbl_Roll[[#This Row],[Total hours]]*tbl_Roll[[#This Row],[% Complete]]</f>
        <v>#VALUE!</v>
      </c>
      <c r="M230" s="59" t="str">
        <f>IFERROR(tbl_Roll[[#This Row],[Qty Complete]]/tbl_Roll[[#This Row],[Total Hours Act]]*tbl_Roll[[#This Row],['# of men Act]],"")</f>
        <v/>
      </c>
      <c r="O230"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30" s="71" t="str">
        <f>IFERROR((tbl_Roll[[#This Row],[Adj. Total Hours]]+tbl_Roll[[#This Row],[Est. Hours]])/(tbl_Roll[[#This Row],[Total Hours Act]]+tbl_Roll[[#This Row],[Act. Hours]]),"")</f>
        <v/>
      </c>
      <c r="S230" s="63"/>
      <c r="T230" s="63"/>
      <c r="U230" s="63"/>
      <c r="V230" s="63"/>
      <c r="W230" s="63"/>
    </row>
    <row r="231" spans="6:23" ht="25" customHeight="1">
      <c r="F231" s="53"/>
      <c r="H231" s="55" t="e">
        <f>tbl_Roll[[#This Row],[Qty Complete]]/tbl_Roll[[#This Row],[Qty Required]]</f>
        <v>#DIV/0!</v>
      </c>
      <c r="K231" s="57" t="str">
        <f>IFERROR(tbl_Roll[[#This Row],[Qty Required]]/tbl_Roll[[#This Row],[PPH]]*tbl_Roll[[#This Row],['# of men]],"")</f>
        <v/>
      </c>
      <c r="L231" s="58" t="e">
        <f>tbl_Roll[[#This Row],[Total hours]]*tbl_Roll[[#This Row],[% Complete]]</f>
        <v>#VALUE!</v>
      </c>
      <c r="M231" s="59" t="str">
        <f>IFERROR(tbl_Roll[[#This Row],[Qty Complete]]/tbl_Roll[[#This Row],[Total Hours Act]]*tbl_Roll[[#This Row],['# of men Act]],"")</f>
        <v/>
      </c>
      <c r="O231"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31" s="71" t="str">
        <f>IFERROR((tbl_Roll[[#This Row],[Adj. Total Hours]]+tbl_Roll[[#This Row],[Est. Hours]])/(tbl_Roll[[#This Row],[Total Hours Act]]+tbl_Roll[[#This Row],[Act. Hours]]),"")</f>
        <v/>
      </c>
      <c r="S231" s="63"/>
      <c r="T231" s="63"/>
      <c r="U231" s="63"/>
      <c r="V231" s="63"/>
      <c r="W231" s="63"/>
    </row>
    <row r="232" spans="6:23" ht="25" customHeight="1">
      <c r="F232" s="53"/>
      <c r="H232" s="55" t="e">
        <f>tbl_Roll[[#This Row],[Qty Complete]]/tbl_Roll[[#This Row],[Qty Required]]</f>
        <v>#DIV/0!</v>
      </c>
      <c r="K232" s="57" t="str">
        <f>IFERROR(tbl_Roll[[#This Row],[Qty Required]]/tbl_Roll[[#This Row],[PPH]]*tbl_Roll[[#This Row],['# of men]],"")</f>
        <v/>
      </c>
      <c r="L232" s="58" t="e">
        <f>tbl_Roll[[#This Row],[Total hours]]*tbl_Roll[[#This Row],[% Complete]]</f>
        <v>#VALUE!</v>
      </c>
      <c r="M232" s="59" t="str">
        <f>IFERROR(tbl_Roll[[#This Row],[Qty Complete]]/tbl_Roll[[#This Row],[Total Hours Act]]*tbl_Roll[[#This Row],['# of men Act]],"")</f>
        <v/>
      </c>
      <c r="O232"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32" s="71" t="str">
        <f>IFERROR((tbl_Roll[[#This Row],[Adj. Total Hours]]+tbl_Roll[[#This Row],[Est. Hours]])/(tbl_Roll[[#This Row],[Total Hours Act]]+tbl_Roll[[#This Row],[Act. Hours]]),"")</f>
        <v/>
      </c>
      <c r="S232" s="63"/>
      <c r="T232" s="63"/>
      <c r="U232" s="63"/>
      <c r="V232" s="63"/>
      <c r="W232" s="63"/>
    </row>
    <row r="233" spans="6:23" ht="25" customHeight="1">
      <c r="F233" s="53"/>
      <c r="H233" s="55" t="e">
        <f>tbl_Roll[[#This Row],[Qty Complete]]/tbl_Roll[[#This Row],[Qty Required]]</f>
        <v>#DIV/0!</v>
      </c>
      <c r="K233" s="57" t="str">
        <f>IFERROR(tbl_Roll[[#This Row],[Qty Required]]/tbl_Roll[[#This Row],[PPH]]*tbl_Roll[[#This Row],['# of men]],"")</f>
        <v/>
      </c>
      <c r="L233" s="58" t="e">
        <f>tbl_Roll[[#This Row],[Total hours]]*tbl_Roll[[#This Row],[% Complete]]</f>
        <v>#VALUE!</v>
      </c>
      <c r="M233" s="59" t="str">
        <f>IFERROR(tbl_Roll[[#This Row],[Qty Complete]]/tbl_Roll[[#This Row],[Total Hours Act]]*tbl_Roll[[#This Row],['# of men Act]],"")</f>
        <v/>
      </c>
      <c r="O233"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33" s="71" t="str">
        <f>IFERROR((tbl_Roll[[#This Row],[Adj. Total Hours]]+tbl_Roll[[#This Row],[Est. Hours]])/(tbl_Roll[[#This Row],[Total Hours Act]]+tbl_Roll[[#This Row],[Act. Hours]]),"")</f>
        <v/>
      </c>
      <c r="S233" s="63"/>
      <c r="T233" s="63"/>
      <c r="U233" s="63"/>
      <c r="V233" s="63"/>
      <c r="W233" s="63"/>
    </row>
    <row r="234" spans="6:23" ht="25" customHeight="1">
      <c r="F234" s="53"/>
      <c r="H234" s="55" t="e">
        <f>tbl_Roll[[#This Row],[Qty Complete]]/tbl_Roll[[#This Row],[Qty Required]]</f>
        <v>#DIV/0!</v>
      </c>
      <c r="K234" s="57" t="str">
        <f>IFERROR(tbl_Roll[[#This Row],[Qty Required]]/tbl_Roll[[#This Row],[PPH]]*tbl_Roll[[#This Row],['# of men]],"")</f>
        <v/>
      </c>
      <c r="L234" s="58" t="e">
        <f>tbl_Roll[[#This Row],[Total hours]]*tbl_Roll[[#This Row],[% Complete]]</f>
        <v>#VALUE!</v>
      </c>
      <c r="M234" s="59" t="str">
        <f>IFERROR(tbl_Roll[[#This Row],[Qty Complete]]/tbl_Roll[[#This Row],[Total Hours Act]]*tbl_Roll[[#This Row],['# of men Act]],"")</f>
        <v/>
      </c>
      <c r="O234"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34" s="71" t="str">
        <f>IFERROR((tbl_Roll[[#This Row],[Adj. Total Hours]]+tbl_Roll[[#This Row],[Est. Hours]])/(tbl_Roll[[#This Row],[Total Hours Act]]+tbl_Roll[[#This Row],[Act. Hours]]),"")</f>
        <v/>
      </c>
      <c r="S234" s="63"/>
      <c r="T234" s="63"/>
      <c r="U234" s="63"/>
      <c r="V234" s="63"/>
      <c r="W234" s="63"/>
    </row>
    <row r="235" spans="6:23" ht="25" customHeight="1">
      <c r="F235" s="53"/>
      <c r="H235" s="55" t="e">
        <f>tbl_Roll[[#This Row],[Qty Complete]]/tbl_Roll[[#This Row],[Qty Required]]</f>
        <v>#DIV/0!</v>
      </c>
      <c r="K235" s="57" t="str">
        <f>IFERROR(tbl_Roll[[#This Row],[Qty Required]]/tbl_Roll[[#This Row],[PPH]]*tbl_Roll[[#This Row],['# of men]],"")</f>
        <v/>
      </c>
      <c r="L235" s="58" t="e">
        <f>tbl_Roll[[#This Row],[Total hours]]*tbl_Roll[[#This Row],[% Complete]]</f>
        <v>#VALUE!</v>
      </c>
      <c r="M235" s="59" t="str">
        <f>IFERROR(tbl_Roll[[#This Row],[Qty Complete]]/tbl_Roll[[#This Row],[Total Hours Act]]*tbl_Roll[[#This Row],['# of men Act]],"")</f>
        <v/>
      </c>
      <c r="O235"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35" s="71" t="str">
        <f>IFERROR((tbl_Roll[[#This Row],[Adj. Total Hours]]+tbl_Roll[[#This Row],[Est. Hours]])/(tbl_Roll[[#This Row],[Total Hours Act]]+tbl_Roll[[#This Row],[Act. Hours]]),"")</f>
        <v/>
      </c>
      <c r="S235" s="63"/>
      <c r="T235" s="63"/>
      <c r="U235" s="63"/>
      <c r="V235" s="63"/>
      <c r="W235" s="63"/>
    </row>
    <row r="236" spans="6:23" ht="25" customHeight="1">
      <c r="F236" s="53"/>
      <c r="H236" s="55" t="e">
        <f>tbl_Roll[[#This Row],[Qty Complete]]/tbl_Roll[[#This Row],[Qty Required]]</f>
        <v>#DIV/0!</v>
      </c>
      <c r="K236" s="57" t="str">
        <f>IFERROR(tbl_Roll[[#This Row],[Qty Required]]/tbl_Roll[[#This Row],[PPH]]*tbl_Roll[[#This Row],['# of men]],"")</f>
        <v/>
      </c>
      <c r="L236" s="58" t="e">
        <f>tbl_Roll[[#This Row],[Total hours]]*tbl_Roll[[#This Row],[% Complete]]</f>
        <v>#VALUE!</v>
      </c>
      <c r="M236" s="59" t="str">
        <f>IFERROR(tbl_Roll[[#This Row],[Qty Complete]]/tbl_Roll[[#This Row],[Total Hours Act]]*tbl_Roll[[#This Row],['# of men Act]],"")</f>
        <v/>
      </c>
      <c r="O236"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36" s="71" t="str">
        <f>IFERROR((tbl_Roll[[#This Row],[Adj. Total Hours]]+tbl_Roll[[#This Row],[Est. Hours]])/(tbl_Roll[[#This Row],[Total Hours Act]]+tbl_Roll[[#This Row],[Act. Hours]]),"")</f>
        <v/>
      </c>
      <c r="S236" s="63"/>
      <c r="T236" s="63"/>
      <c r="U236" s="63"/>
      <c r="V236" s="63"/>
      <c r="W236" s="63"/>
    </row>
    <row r="237" spans="6:23" ht="25" customHeight="1">
      <c r="F237" s="53"/>
      <c r="H237" s="55" t="e">
        <f>tbl_Roll[[#This Row],[Qty Complete]]/tbl_Roll[[#This Row],[Qty Required]]</f>
        <v>#DIV/0!</v>
      </c>
      <c r="K237" s="57" t="str">
        <f>IFERROR(tbl_Roll[[#This Row],[Qty Required]]/tbl_Roll[[#This Row],[PPH]]*tbl_Roll[[#This Row],['# of men]],"")</f>
        <v/>
      </c>
      <c r="L237" s="58" t="e">
        <f>tbl_Roll[[#This Row],[Total hours]]*tbl_Roll[[#This Row],[% Complete]]</f>
        <v>#VALUE!</v>
      </c>
      <c r="M237" s="59" t="str">
        <f>IFERROR(tbl_Roll[[#This Row],[Qty Complete]]/tbl_Roll[[#This Row],[Total Hours Act]]*tbl_Roll[[#This Row],['# of men Act]],"")</f>
        <v/>
      </c>
      <c r="O237"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37" s="71" t="str">
        <f>IFERROR((tbl_Roll[[#This Row],[Adj. Total Hours]]+tbl_Roll[[#This Row],[Est. Hours]])/(tbl_Roll[[#This Row],[Total Hours Act]]+tbl_Roll[[#This Row],[Act. Hours]]),"")</f>
        <v/>
      </c>
      <c r="S237" s="63"/>
      <c r="T237" s="63"/>
      <c r="U237" s="63"/>
      <c r="V237" s="63"/>
      <c r="W237" s="63"/>
    </row>
    <row r="238" spans="6:23" ht="25" customHeight="1">
      <c r="F238" s="53"/>
      <c r="H238" s="55" t="e">
        <f>tbl_Roll[[#This Row],[Qty Complete]]/tbl_Roll[[#This Row],[Qty Required]]</f>
        <v>#DIV/0!</v>
      </c>
      <c r="K238" s="57" t="str">
        <f>IFERROR(tbl_Roll[[#This Row],[Qty Required]]/tbl_Roll[[#This Row],[PPH]]*tbl_Roll[[#This Row],['# of men]],"")</f>
        <v/>
      </c>
      <c r="L238" s="58" t="e">
        <f>tbl_Roll[[#This Row],[Total hours]]*tbl_Roll[[#This Row],[% Complete]]</f>
        <v>#VALUE!</v>
      </c>
      <c r="M238" s="59" t="str">
        <f>IFERROR(tbl_Roll[[#This Row],[Qty Complete]]/tbl_Roll[[#This Row],[Total Hours Act]]*tbl_Roll[[#This Row],['# of men Act]],"")</f>
        <v/>
      </c>
      <c r="O238"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38" s="71" t="str">
        <f>IFERROR((tbl_Roll[[#This Row],[Adj. Total Hours]]+tbl_Roll[[#This Row],[Est. Hours]])/(tbl_Roll[[#This Row],[Total Hours Act]]+tbl_Roll[[#This Row],[Act. Hours]]),"")</f>
        <v/>
      </c>
      <c r="S238" s="63"/>
      <c r="T238" s="63"/>
      <c r="U238" s="63"/>
      <c r="V238" s="63"/>
      <c r="W238" s="63"/>
    </row>
    <row r="239" spans="6:23" ht="25" customHeight="1">
      <c r="F239" s="53"/>
      <c r="H239" s="55" t="e">
        <f>tbl_Roll[[#This Row],[Qty Complete]]/tbl_Roll[[#This Row],[Qty Required]]</f>
        <v>#DIV/0!</v>
      </c>
      <c r="K239" s="57" t="str">
        <f>IFERROR(tbl_Roll[[#This Row],[Qty Required]]/tbl_Roll[[#This Row],[PPH]]*tbl_Roll[[#This Row],['# of men]],"")</f>
        <v/>
      </c>
      <c r="L239" s="58" t="e">
        <f>tbl_Roll[[#This Row],[Total hours]]*tbl_Roll[[#This Row],[% Complete]]</f>
        <v>#VALUE!</v>
      </c>
      <c r="M239" s="59" t="str">
        <f>IFERROR(tbl_Roll[[#This Row],[Qty Complete]]/tbl_Roll[[#This Row],[Total Hours Act]]*tbl_Roll[[#This Row],['# of men Act]],"")</f>
        <v/>
      </c>
      <c r="O239"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39" s="71" t="str">
        <f>IFERROR((tbl_Roll[[#This Row],[Adj. Total Hours]]+tbl_Roll[[#This Row],[Est. Hours]])/(tbl_Roll[[#This Row],[Total Hours Act]]+tbl_Roll[[#This Row],[Act. Hours]]),"")</f>
        <v/>
      </c>
      <c r="S239" s="63"/>
      <c r="T239" s="63"/>
      <c r="U239" s="63"/>
      <c r="V239" s="63"/>
      <c r="W239" s="63"/>
    </row>
    <row r="240" spans="6:23" ht="25" customHeight="1">
      <c r="F240" s="53"/>
      <c r="H240" s="55" t="e">
        <f>tbl_Roll[[#This Row],[Qty Complete]]/tbl_Roll[[#This Row],[Qty Required]]</f>
        <v>#DIV/0!</v>
      </c>
      <c r="K240" s="57" t="str">
        <f>IFERROR(tbl_Roll[[#This Row],[Qty Required]]/tbl_Roll[[#This Row],[PPH]]*tbl_Roll[[#This Row],['# of men]],"")</f>
        <v/>
      </c>
      <c r="L240" s="58" t="e">
        <f>tbl_Roll[[#This Row],[Total hours]]*tbl_Roll[[#This Row],[% Complete]]</f>
        <v>#VALUE!</v>
      </c>
      <c r="M240" s="59" t="str">
        <f>IFERROR(tbl_Roll[[#This Row],[Qty Complete]]/tbl_Roll[[#This Row],[Total Hours Act]]*tbl_Roll[[#This Row],['# of men Act]],"")</f>
        <v/>
      </c>
      <c r="O240"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40" s="71" t="str">
        <f>IFERROR((tbl_Roll[[#This Row],[Adj. Total Hours]]+tbl_Roll[[#This Row],[Est. Hours]])/(tbl_Roll[[#This Row],[Total Hours Act]]+tbl_Roll[[#This Row],[Act. Hours]]),"")</f>
        <v/>
      </c>
      <c r="S240" s="63"/>
      <c r="T240" s="63"/>
      <c r="U240" s="63"/>
      <c r="V240" s="63"/>
      <c r="W240" s="63"/>
    </row>
    <row r="241" spans="6:23" ht="25" customHeight="1">
      <c r="F241" s="53"/>
      <c r="H241" s="55" t="e">
        <f>tbl_Roll[[#This Row],[Qty Complete]]/tbl_Roll[[#This Row],[Qty Required]]</f>
        <v>#DIV/0!</v>
      </c>
      <c r="K241" s="57" t="str">
        <f>IFERROR(tbl_Roll[[#This Row],[Qty Required]]/tbl_Roll[[#This Row],[PPH]]*tbl_Roll[[#This Row],['# of men]],"")</f>
        <v/>
      </c>
      <c r="L241" s="58" t="e">
        <f>tbl_Roll[[#This Row],[Total hours]]*tbl_Roll[[#This Row],[% Complete]]</f>
        <v>#VALUE!</v>
      </c>
      <c r="M241" s="59" t="str">
        <f>IFERROR(tbl_Roll[[#This Row],[Qty Complete]]/tbl_Roll[[#This Row],[Total Hours Act]]*tbl_Roll[[#This Row],['# of men Act]],"")</f>
        <v/>
      </c>
      <c r="O241"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41" s="71" t="str">
        <f>IFERROR((tbl_Roll[[#This Row],[Adj. Total Hours]]+tbl_Roll[[#This Row],[Est. Hours]])/(tbl_Roll[[#This Row],[Total Hours Act]]+tbl_Roll[[#This Row],[Act. Hours]]),"")</f>
        <v/>
      </c>
      <c r="S241" s="63"/>
      <c r="T241" s="63"/>
      <c r="U241" s="63"/>
      <c r="V241" s="63"/>
      <c r="W241" s="63"/>
    </row>
    <row r="242" spans="6:23" ht="25" customHeight="1">
      <c r="F242" s="53"/>
      <c r="H242" s="55" t="e">
        <f>tbl_Roll[[#This Row],[Qty Complete]]/tbl_Roll[[#This Row],[Qty Required]]</f>
        <v>#DIV/0!</v>
      </c>
      <c r="K242" s="57" t="str">
        <f>IFERROR(tbl_Roll[[#This Row],[Qty Required]]/tbl_Roll[[#This Row],[PPH]]*tbl_Roll[[#This Row],['# of men]],"")</f>
        <v/>
      </c>
      <c r="L242" s="58" t="e">
        <f>tbl_Roll[[#This Row],[Total hours]]*tbl_Roll[[#This Row],[% Complete]]</f>
        <v>#VALUE!</v>
      </c>
      <c r="M242" s="59" t="str">
        <f>IFERROR(tbl_Roll[[#This Row],[Qty Complete]]/tbl_Roll[[#This Row],[Total Hours Act]]*tbl_Roll[[#This Row],['# of men Act]],"")</f>
        <v/>
      </c>
      <c r="O242"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42" s="71" t="str">
        <f>IFERROR((tbl_Roll[[#This Row],[Adj. Total Hours]]+tbl_Roll[[#This Row],[Est. Hours]])/(tbl_Roll[[#This Row],[Total Hours Act]]+tbl_Roll[[#This Row],[Act. Hours]]),"")</f>
        <v/>
      </c>
      <c r="S242" s="63"/>
      <c r="T242" s="63"/>
      <c r="U242" s="63"/>
      <c r="V242" s="63"/>
      <c r="W242" s="63"/>
    </row>
    <row r="243" spans="6:23" ht="25" customHeight="1">
      <c r="F243" s="53"/>
      <c r="H243" s="55" t="e">
        <f>tbl_Roll[[#This Row],[Qty Complete]]/tbl_Roll[[#This Row],[Qty Required]]</f>
        <v>#DIV/0!</v>
      </c>
      <c r="K243" s="57" t="str">
        <f>IFERROR(tbl_Roll[[#This Row],[Qty Required]]/tbl_Roll[[#This Row],[PPH]]*tbl_Roll[[#This Row],['# of men]],"")</f>
        <v/>
      </c>
      <c r="L243" s="58" t="e">
        <f>tbl_Roll[[#This Row],[Total hours]]*tbl_Roll[[#This Row],[% Complete]]</f>
        <v>#VALUE!</v>
      </c>
      <c r="M243" s="59" t="str">
        <f>IFERROR(tbl_Roll[[#This Row],[Qty Complete]]/tbl_Roll[[#This Row],[Total Hours Act]]*tbl_Roll[[#This Row],['# of men Act]],"")</f>
        <v/>
      </c>
      <c r="O243"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43" s="71" t="str">
        <f>IFERROR((tbl_Roll[[#This Row],[Adj. Total Hours]]+tbl_Roll[[#This Row],[Est. Hours]])/(tbl_Roll[[#This Row],[Total Hours Act]]+tbl_Roll[[#This Row],[Act. Hours]]),"")</f>
        <v/>
      </c>
      <c r="S243" s="63"/>
      <c r="T243" s="63"/>
      <c r="U243" s="63"/>
      <c r="V243" s="63"/>
      <c r="W243" s="63"/>
    </row>
    <row r="244" spans="6:23" ht="25" customHeight="1">
      <c r="F244" s="53"/>
      <c r="H244" s="55" t="e">
        <f>tbl_Roll[[#This Row],[Qty Complete]]/tbl_Roll[[#This Row],[Qty Required]]</f>
        <v>#DIV/0!</v>
      </c>
      <c r="K244" s="57" t="str">
        <f>IFERROR(tbl_Roll[[#This Row],[Qty Required]]/tbl_Roll[[#This Row],[PPH]]*tbl_Roll[[#This Row],['# of men]],"")</f>
        <v/>
      </c>
      <c r="L244" s="58" t="e">
        <f>tbl_Roll[[#This Row],[Total hours]]*tbl_Roll[[#This Row],[% Complete]]</f>
        <v>#VALUE!</v>
      </c>
      <c r="M244" s="59" t="str">
        <f>IFERROR(tbl_Roll[[#This Row],[Qty Complete]]/tbl_Roll[[#This Row],[Total Hours Act]]*tbl_Roll[[#This Row],['# of men Act]],"")</f>
        <v/>
      </c>
      <c r="O244"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44" s="71" t="str">
        <f>IFERROR((tbl_Roll[[#This Row],[Adj. Total Hours]]+tbl_Roll[[#This Row],[Est. Hours]])/(tbl_Roll[[#This Row],[Total Hours Act]]+tbl_Roll[[#This Row],[Act. Hours]]),"")</f>
        <v/>
      </c>
      <c r="S244" s="63"/>
      <c r="T244" s="63"/>
      <c r="U244" s="63"/>
      <c r="V244" s="63"/>
      <c r="W244" s="63"/>
    </row>
    <row r="245" spans="6:23" ht="25" customHeight="1">
      <c r="F245" s="53"/>
      <c r="H245" s="55" t="e">
        <f>tbl_Roll[[#This Row],[Qty Complete]]/tbl_Roll[[#This Row],[Qty Required]]</f>
        <v>#DIV/0!</v>
      </c>
      <c r="K245" s="57" t="str">
        <f>IFERROR(tbl_Roll[[#This Row],[Qty Required]]/tbl_Roll[[#This Row],[PPH]]*tbl_Roll[[#This Row],['# of men]],"")</f>
        <v/>
      </c>
      <c r="L245" s="58" t="e">
        <f>tbl_Roll[[#This Row],[Total hours]]*tbl_Roll[[#This Row],[% Complete]]</f>
        <v>#VALUE!</v>
      </c>
      <c r="M245" s="59" t="str">
        <f>IFERROR(tbl_Roll[[#This Row],[Qty Complete]]/tbl_Roll[[#This Row],[Total Hours Act]]*tbl_Roll[[#This Row],['# of men Act]],"")</f>
        <v/>
      </c>
      <c r="O245"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45" s="71" t="str">
        <f>IFERROR((tbl_Roll[[#This Row],[Adj. Total Hours]]+tbl_Roll[[#This Row],[Est. Hours]])/(tbl_Roll[[#This Row],[Total Hours Act]]+tbl_Roll[[#This Row],[Act. Hours]]),"")</f>
        <v/>
      </c>
      <c r="S245" s="63"/>
      <c r="T245" s="63"/>
      <c r="U245" s="63"/>
      <c r="V245" s="63"/>
      <c r="W245" s="63"/>
    </row>
    <row r="246" spans="6:23" ht="25" customHeight="1">
      <c r="F246" s="53"/>
      <c r="H246" s="55" t="e">
        <f>tbl_Roll[[#This Row],[Qty Complete]]/tbl_Roll[[#This Row],[Qty Required]]</f>
        <v>#DIV/0!</v>
      </c>
      <c r="K246" s="57" t="str">
        <f>IFERROR(tbl_Roll[[#This Row],[Qty Required]]/tbl_Roll[[#This Row],[PPH]]*tbl_Roll[[#This Row],['# of men]],"")</f>
        <v/>
      </c>
      <c r="L246" s="58" t="e">
        <f>tbl_Roll[[#This Row],[Total hours]]*tbl_Roll[[#This Row],[% Complete]]</f>
        <v>#VALUE!</v>
      </c>
      <c r="M246" s="59" t="str">
        <f>IFERROR(tbl_Roll[[#This Row],[Qty Complete]]/tbl_Roll[[#This Row],[Total Hours Act]]*tbl_Roll[[#This Row],['# of men Act]],"")</f>
        <v/>
      </c>
      <c r="O246"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46" s="71" t="str">
        <f>IFERROR((tbl_Roll[[#This Row],[Adj. Total Hours]]+tbl_Roll[[#This Row],[Est. Hours]])/(tbl_Roll[[#This Row],[Total Hours Act]]+tbl_Roll[[#This Row],[Act. Hours]]),"")</f>
        <v/>
      </c>
      <c r="S246" s="63"/>
      <c r="T246" s="63"/>
      <c r="U246" s="63"/>
      <c r="V246" s="63"/>
      <c r="W246" s="63"/>
    </row>
    <row r="247" spans="6:23" ht="25" customHeight="1">
      <c r="F247" s="53"/>
      <c r="H247" s="55" t="e">
        <f>tbl_Roll[[#This Row],[Qty Complete]]/tbl_Roll[[#This Row],[Qty Required]]</f>
        <v>#DIV/0!</v>
      </c>
      <c r="K247" s="57" t="str">
        <f>IFERROR(tbl_Roll[[#This Row],[Qty Required]]/tbl_Roll[[#This Row],[PPH]]*tbl_Roll[[#This Row],['# of men]],"")</f>
        <v/>
      </c>
      <c r="L247" s="58" t="e">
        <f>tbl_Roll[[#This Row],[Total hours]]*tbl_Roll[[#This Row],[% Complete]]</f>
        <v>#VALUE!</v>
      </c>
      <c r="M247" s="59" t="str">
        <f>IFERROR(tbl_Roll[[#This Row],[Qty Complete]]/tbl_Roll[[#This Row],[Total Hours Act]]*tbl_Roll[[#This Row],['# of men Act]],"")</f>
        <v/>
      </c>
      <c r="O247"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47" s="71" t="str">
        <f>IFERROR((tbl_Roll[[#This Row],[Adj. Total Hours]]+tbl_Roll[[#This Row],[Est. Hours]])/(tbl_Roll[[#This Row],[Total Hours Act]]+tbl_Roll[[#This Row],[Act. Hours]]),"")</f>
        <v/>
      </c>
      <c r="S247" s="63"/>
      <c r="T247" s="63"/>
      <c r="U247" s="63"/>
      <c r="V247" s="63"/>
      <c r="W247" s="63"/>
    </row>
    <row r="248" spans="6:23" ht="25" customHeight="1">
      <c r="F248" s="53"/>
      <c r="H248" s="55" t="e">
        <f>tbl_Roll[[#This Row],[Qty Complete]]/tbl_Roll[[#This Row],[Qty Required]]</f>
        <v>#DIV/0!</v>
      </c>
      <c r="K248" s="57" t="str">
        <f>IFERROR(tbl_Roll[[#This Row],[Qty Required]]/tbl_Roll[[#This Row],[PPH]]*tbl_Roll[[#This Row],['# of men]],"")</f>
        <v/>
      </c>
      <c r="L248" s="58" t="e">
        <f>tbl_Roll[[#This Row],[Total hours]]*tbl_Roll[[#This Row],[% Complete]]</f>
        <v>#VALUE!</v>
      </c>
      <c r="M248" s="59" t="str">
        <f>IFERROR(tbl_Roll[[#This Row],[Qty Complete]]/tbl_Roll[[#This Row],[Total Hours Act]]*tbl_Roll[[#This Row],['# of men Act]],"")</f>
        <v/>
      </c>
      <c r="O248"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48" s="71" t="str">
        <f>IFERROR((tbl_Roll[[#This Row],[Adj. Total Hours]]+tbl_Roll[[#This Row],[Est. Hours]])/(tbl_Roll[[#This Row],[Total Hours Act]]+tbl_Roll[[#This Row],[Act. Hours]]),"")</f>
        <v/>
      </c>
      <c r="S248" s="63"/>
      <c r="T248" s="63"/>
      <c r="U248" s="63"/>
      <c r="V248" s="63"/>
      <c r="W248" s="63"/>
    </row>
    <row r="249" spans="6:23" ht="25" customHeight="1">
      <c r="F249" s="53"/>
      <c r="H249" s="55" t="e">
        <f>tbl_Roll[[#This Row],[Qty Complete]]/tbl_Roll[[#This Row],[Qty Required]]</f>
        <v>#DIV/0!</v>
      </c>
      <c r="K249" s="57" t="str">
        <f>IFERROR(tbl_Roll[[#This Row],[Qty Required]]/tbl_Roll[[#This Row],[PPH]]*tbl_Roll[[#This Row],['# of men]],"")</f>
        <v/>
      </c>
      <c r="L249" s="58" t="e">
        <f>tbl_Roll[[#This Row],[Total hours]]*tbl_Roll[[#This Row],[% Complete]]</f>
        <v>#VALUE!</v>
      </c>
      <c r="M249" s="59" t="str">
        <f>IFERROR(tbl_Roll[[#This Row],[Qty Complete]]/tbl_Roll[[#This Row],[Total Hours Act]]*tbl_Roll[[#This Row],['# of men Act]],"")</f>
        <v/>
      </c>
      <c r="O249"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49" s="71" t="str">
        <f>IFERROR((tbl_Roll[[#This Row],[Adj. Total Hours]]+tbl_Roll[[#This Row],[Est. Hours]])/(tbl_Roll[[#This Row],[Total Hours Act]]+tbl_Roll[[#This Row],[Act. Hours]]),"")</f>
        <v/>
      </c>
      <c r="S249" s="63"/>
      <c r="T249" s="63"/>
      <c r="U249" s="63"/>
      <c r="V249" s="63"/>
      <c r="W249" s="63"/>
    </row>
    <row r="250" spans="6:23" ht="25" customHeight="1">
      <c r="F250" s="53"/>
      <c r="H250" s="55" t="e">
        <f>tbl_Roll[[#This Row],[Qty Complete]]/tbl_Roll[[#This Row],[Qty Required]]</f>
        <v>#DIV/0!</v>
      </c>
      <c r="K250" s="57" t="str">
        <f>IFERROR(tbl_Roll[[#This Row],[Qty Required]]/tbl_Roll[[#This Row],[PPH]]*tbl_Roll[[#This Row],['# of men]],"")</f>
        <v/>
      </c>
      <c r="L250" s="58" t="e">
        <f>tbl_Roll[[#This Row],[Total hours]]*tbl_Roll[[#This Row],[% Complete]]</f>
        <v>#VALUE!</v>
      </c>
      <c r="M250" s="59" t="str">
        <f>IFERROR(tbl_Roll[[#This Row],[Qty Complete]]/tbl_Roll[[#This Row],[Total Hours Act]]*tbl_Roll[[#This Row],['# of men Act]],"")</f>
        <v/>
      </c>
      <c r="O250" s="60">
        <f>(MOD(tbl_Roll[[#This Row],[End Time]]-tbl_Roll[[#This Row],[Start Time]],1)*24*tbl_Roll[[#This Row],['# of men Act]])-
(
IF(AND(tbl_Roll[[#This Row],[Start Time]]&lt;=Data!$B$2+(Data!$B$2&lt;tbl_Roll[[#This Row],[Start Time]]),tbl_Roll[[#This Row],[Start Time]]+MOD(tbl_Roll[[#This Row],[End Time]]-tbl_Roll[[#This Row],[Start Time]],1)&gt;=Data!$C$2+(Data!$C$2&lt;tbl_Roll[[#This Row],[Start Time]])),0.5*tbl_Roll[[#This Row],['# of men Act]],0)
+
IF(AND(tbl_Roll[[#This Row],[Start Time]]&lt;=Data!$B$3+(Data!$B$3&lt;tbl_Roll[[#This Row],[Start Time]]),tbl_Roll[[#This Row],[Start Time]]+MOD(tbl_Roll[[#This Row],[End Time]]-tbl_Roll[[#This Row],[Start Time]],1)&gt;=Data!$C$3+(Data!$C$3&lt;tbl_Roll[[#This Row],[Start Time]])),0.5*tbl_Roll[[#This Row],['# of men Act]],0)
)</f>
        <v>0</v>
      </c>
      <c r="R250" s="71" t="str">
        <f>IFERROR((tbl_Roll[[#This Row],[Adj. Total Hours]]+tbl_Roll[[#This Row],[Est. Hours]])/(tbl_Roll[[#This Row],[Total Hours Act]]+tbl_Roll[[#This Row],[Act. Hours]]),"")</f>
        <v/>
      </c>
      <c r="S250" s="63"/>
      <c r="T250" s="63"/>
      <c r="U250" s="63"/>
      <c r="V250" s="63"/>
      <c r="W250" s="63"/>
    </row>
  </sheetData>
  <sheetProtection sheet="1" objects="1" scenarios="1"/>
  <protectedRanges>
    <protectedRange sqref="A1:G1048576 I1:J1048576 N1:N1048576 P1:P1048576 Q1:Q1048576 S1:W1048576" name="Range1"/>
  </protectedRanges>
  <mergeCells count="1">
    <mergeCell ref="P1:Q1"/>
  </mergeCells>
  <conditionalFormatting sqref="R3:R3852">
    <cfRule type="expression" dxfId="8" priority="1">
      <formula>AND(R3&gt;0.85,R3&lt;&gt;"")</formula>
    </cfRule>
    <cfRule type="expression" dxfId="7" priority="2">
      <formula>AND(R3&gt;=0.7,R3&lt;=0.85,R3&lt;&gt;"")</formula>
    </cfRule>
    <cfRule type="expression" dxfId="6" priority="3">
      <formula>AND(R3&lt;0.7,R3&lt;&gt;"")</formula>
    </cfRule>
  </conditionalFormatting>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87EB6-4CD9-4CCD-BD96-C0A9F4232F39}">
  <dimension ref="A1:W250"/>
  <sheetViews>
    <sheetView workbookViewId="0">
      <pane ySplit="2" topLeftCell="A3" activePane="bottomLeft" state="frozen"/>
      <selection pane="bottomLeft" activeCell="A3" sqref="A3"/>
    </sheetView>
  </sheetViews>
  <sheetFormatPr defaultColWidth="9.1796875" defaultRowHeight="25" customHeight="1"/>
  <cols>
    <col min="1" max="1" width="11.54296875" style="52" customWidth="1"/>
    <col min="2" max="2" width="13.1796875" style="53" customWidth="1"/>
    <col min="3" max="3" width="14.1796875" style="53" customWidth="1"/>
    <col min="4" max="4" width="15.54296875" style="54" bestFit="1" customWidth="1"/>
    <col min="5" max="5" width="14.7265625" style="54" bestFit="1" customWidth="1"/>
    <col min="6" max="6" width="18.26953125" style="54" bestFit="1" customWidth="1"/>
    <col min="7" max="7" width="19" style="53" bestFit="1" customWidth="1"/>
    <col min="8" max="8" width="19" style="53" hidden="1" customWidth="1"/>
    <col min="9" max="9" width="10.1796875" style="56" bestFit="1" customWidth="1"/>
    <col min="10" max="10" width="14" style="53" bestFit="1" customWidth="1"/>
    <col min="11" max="11" width="16.453125" style="66" bestFit="1" customWidth="1"/>
    <col min="12" max="12" width="16.453125" style="47" hidden="1" customWidth="1"/>
    <col min="13" max="13" width="13.453125" style="67" bestFit="1" customWidth="1"/>
    <col min="14" max="14" width="17.26953125" style="53" bestFit="1" customWidth="1"/>
    <col min="15" max="15" width="20.1796875" style="68" bestFit="1" customWidth="1"/>
    <col min="16" max="17" width="15.7265625" style="61" bestFit="1" customWidth="1"/>
    <col min="18" max="18" width="15.1796875" style="69" bestFit="1" customWidth="1"/>
    <col min="19" max="19" width="55.26953125" style="53" customWidth="1"/>
    <col min="20" max="23" width="16.81640625" style="53" bestFit="1" customWidth="1"/>
    <col min="24" max="16384" width="9.1796875" style="47"/>
  </cols>
  <sheetData>
    <row r="1" spans="1:23" ht="47.25" customHeight="1" thickBot="1">
      <c r="A1" s="8"/>
      <c r="B1" s="7"/>
      <c r="C1" s="7"/>
      <c r="D1" s="9"/>
      <c r="E1" s="9"/>
      <c r="F1" s="9"/>
      <c r="G1" s="7"/>
      <c r="H1" s="7"/>
      <c r="I1" s="13"/>
      <c r="J1" s="40" t="s">
        <v>0</v>
      </c>
      <c r="K1" s="46"/>
      <c r="L1" s="46"/>
      <c r="M1" s="4"/>
      <c r="N1" s="41" t="s">
        <v>1</v>
      </c>
      <c r="O1" s="5"/>
      <c r="P1" s="113" t="s">
        <v>2</v>
      </c>
      <c r="Q1" s="114"/>
      <c r="R1" s="39" t="s">
        <v>3</v>
      </c>
      <c r="S1" s="7"/>
      <c r="T1" s="7"/>
      <c r="U1" s="7"/>
      <c r="V1" s="7"/>
      <c r="W1" s="7"/>
    </row>
    <row r="2" spans="1:23" ht="17.5" thickTop="1">
      <c r="A2" s="10" t="s">
        <v>4</v>
      </c>
      <c r="B2" s="6" t="s">
        <v>5</v>
      </c>
      <c r="C2" s="6" t="s">
        <v>7</v>
      </c>
      <c r="D2" s="11" t="s">
        <v>8</v>
      </c>
      <c r="E2" s="11" t="s">
        <v>9</v>
      </c>
      <c r="F2" s="11" t="s">
        <v>10</v>
      </c>
      <c r="G2" s="6" t="s">
        <v>11</v>
      </c>
      <c r="H2" s="48" t="s">
        <v>12</v>
      </c>
      <c r="I2" s="12" t="s">
        <v>13</v>
      </c>
      <c r="J2" s="6" t="s">
        <v>14</v>
      </c>
      <c r="K2" s="49" t="s">
        <v>15</v>
      </c>
      <c r="L2" s="50" t="s">
        <v>16</v>
      </c>
      <c r="M2" s="2" t="s">
        <v>21</v>
      </c>
      <c r="N2" s="6" t="s">
        <v>22</v>
      </c>
      <c r="O2" s="3" t="s">
        <v>23</v>
      </c>
      <c r="P2" s="25" t="s">
        <v>25</v>
      </c>
      <c r="Q2" s="25" t="s">
        <v>26</v>
      </c>
      <c r="R2" s="51" t="s">
        <v>27</v>
      </c>
      <c r="S2" s="6" t="s">
        <v>31</v>
      </c>
      <c r="T2" s="6" t="s">
        <v>32</v>
      </c>
      <c r="U2" s="6" t="s">
        <v>33</v>
      </c>
      <c r="V2" s="6" t="s">
        <v>34</v>
      </c>
      <c r="W2" s="6" t="s">
        <v>35</v>
      </c>
    </row>
    <row r="3" spans="1:23" ht="25" customHeight="1">
      <c r="F3" s="53"/>
      <c r="H3" s="55" t="e">
        <f>tbl_MA[[#This Row],[Qty Complete]]/tbl_MA[[#This Row],[Qty Required]]</f>
        <v>#DIV/0!</v>
      </c>
      <c r="K3" s="57" t="str">
        <f>IFERROR(tbl_MA[[#This Row],[Qty Required]]/tbl_MA[[#This Row],[PPH]]*tbl_MA[[#This Row],['# of men]],"")</f>
        <v/>
      </c>
      <c r="L3" s="58" t="e">
        <f>tbl_MA[[#This Row],[Total hours]]*tbl_MA[[#This Row],[% Complete]]</f>
        <v>#VALUE!</v>
      </c>
      <c r="M3" s="59" t="str">
        <f>IFERROR(tbl_MA[[#This Row],[Qty Complete]]/tbl_MA[[#This Row],[Total Hours Act]]*tbl_MA[[#This Row],['# of men Act]],"")</f>
        <v/>
      </c>
      <c r="O3"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3" s="62" t="str">
        <f>IFERROR((tbl_MA[[#This Row],[Adj. Total Hours]]+tbl_MA[[#This Row],[Est. Hours]])/(tbl_MA[[#This Row],[Total Hours Act]]+tbl_MA[[#This Row],[Act. Hours]]),"")</f>
        <v/>
      </c>
      <c r="S3" s="63"/>
      <c r="T3" s="64"/>
      <c r="U3" s="65"/>
      <c r="V3" s="63"/>
      <c r="W3" s="63"/>
    </row>
    <row r="4" spans="1:23" ht="25" customHeight="1">
      <c r="F4" s="53"/>
      <c r="H4" s="55" t="e">
        <f>tbl_MA[[#This Row],[Qty Complete]]/tbl_MA[[#This Row],[Qty Required]]</f>
        <v>#DIV/0!</v>
      </c>
      <c r="K4" s="57" t="str">
        <f>IFERROR(tbl_MA[[#This Row],[Qty Required]]/tbl_MA[[#This Row],[PPH]]*tbl_MA[[#This Row],['# of men]],"")</f>
        <v/>
      </c>
      <c r="L4" s="58" t="e">
        <f>tbl_MA[[#This Row],[Total hours]]*tbl_MA[[#This Row],[% Complete]]</f>
        <v>#VALUE!</v>
      </c>
      <c r="M4" s="59" t="str">
        <f>IFERROR(tbl_MA[[#This Row],[Qty Complete]]/tbl_MA[[#This Row],[Total Hours Act]]*tbl_MA[[#This Row],['# of men Act]],"")</f>
        <v/>
      </c>
      <c r="O4"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4" s="71" t="str">
        <f>IFERROR((tbl_MA[[#This Row],[Adj. Total Hours]]+tbl_MA[[#This Row],[Est. Hours]])/(tbl_MA[[#This Row],[Total Hours Act]]+tbl_MA[[#This Row],[Act. Hours]]),"")</f>
        <v/>
      </c>
      <c r="S4" s="63"/>
      <c r="T4" s="63"/>
      <c r="U4" s="63"/>
      <c r="V4" s="63"/>
      <c r="W4" s="63"/>
    </row>
    <row r="5" spans="1:23" ht="25" customHeight="1">
      <c r="F5" s="53"/>
      <c r="H5" s="55" t="e">
        <f>tbl_MA[[#This Row],[Qty Complete]]/tbl_MA[[#This Row],[Qty Required]]</f>
        <v>#DIV/0!</v>
      </c>
      <c r="K5" s="57" t="str">
        <f>IFERROR(tbl_MA[[#This Row],[Qty Required]]/tbl_MA[[#This Row],[PPH]]*tbl_MA[[#This Row],['# of men]],"")</f>
        <v/>
      </c>
      <c r="L5" s="58" t="e">
        <f>tbl_MA[[#This Row],[Total hours]]*tbl_MA[[#This Row],[% Complete]]</f>
        <v>#VALUE!</v>
      </c>
      <c r="M5" s="59" t="str">
        <f>IFERROR(tbl_MA[[#This Row],[Qty Complete]]/tbl_MA[[#This Row],[Total Hours Act]]*tbl_MA[[#This Row],['# of men Act]],"")</f>
        <v/>
      </c>
      <c r="O5"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5" s="71" t="str">
        <f>IFERROR((tbl_MA[[#This Row],[Adj. Total Hours]]+tbl_MA[[#This Row],[Est. Hours]])/(tbl_MA[[#This Row],[Total Hours Act]]+tbl_MA[[#This Row],[Act. Hours]]),"")</f>
        <v/>
      </c>
      <c r="S5" s="63"/>
      <c r="T5" s="63"/>
      <c r="U5" s="63"/>
      <c r="V5" s="63"/>
      <c r="W5" s="63"/>
    </row>
    <row r="6" spans="1:23" ht="25" customHeight="1">
      <c r="F6" s="53"/>
      <c r="H6" s="55" t="e">
        <f>tbl_MA[[#This Row],[Qty Complete]]/tbl_MA[[#This Row],[Qty Required]]</f>
        <v>#DIV/0!</v>
      </c>
      <c r="K6" s="57" t="str">
        <f>IFERROR(tbl_MA[[#This Row],[Qty Required]]/tbl_MA[[#This Row],[PPH]]*tbl_MA[[#This Row],['# of men]],"")</f>
        <v/>
      </c>
      <c r="L6" s="58" t="e">
        <f>tbl_MA[[#This Row],[Total hours]]*tbl_MA[[#This Row],[% Complete]]</f>
        <v>#VALUE!</v>
      </c>
      <c r="M6" s="59" t="str">
        <f>IFERROR(tbl_MA[[#This Row],[Qty Complete]]/tbl_MA[[#This Row],[Total Hours Act]]*tbl_MA[[#This Row],['# of men Act]],"")</f>
        <v/>
      </c>
      <c r="O6"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6" s="71" t="str">
        <f>IFERROR((tbl_MA[[#This Row],[Adj. Total Hours]]+tbl_MA[[#This Row],[Est. Hours]])/(tbl_MA[[#This Row],[Total Hours Act]]+tbl_MA[[#This Row],[Act. Hours]]),"")</f>
        <v/>
      </c>
      <c r="S6" s="63"/>
      <c r="T6" s="63"/>
      <c r="U6" s="63"/>
      <c r="V6" s="63"/>
      <c r="W6" s="63"/>
    </row>
    <row r="7" spans="1:23" ht="25" customHeight="1">
      <c r="F7" s="53"/>
      <c r="H7" s="55" t="e">
        <f>tbl_MA[[#This Row],[Qty Complete]]/tbl_MA[[#This Row],[Qty Required]]</f>
        <v>#DIV/0!</v>
      </c>
      <c r="K7" s="57" t="str">
        <f>IFERROR(tbl_MA[[#This Row],[Qty Required]]/tbl_MA[[#This Row],[PPH]]*tbl_MA[[#This Row],['# of men]],"")</f>
        <v/>
      </c>
      <c r="L7" s="58" t="e">
        <f>tbl_MA[[#This Row],[Total hours]]*tbl_MA[[#This Row],[% Complete]]</f>
        <v>#VALUE!</v>
      </c>
      <c r="M7" s="59" t="str">
        <f>IFERROR(tbl_MA[[#This Row],[Qty Complete]]/tbl_MA[[#This Row],[Total Hours Act]]*tbl_MA[[#This Row],['# of men Act]],"")</f>
        <v/>
      </c>
      <c r="O7"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7" s="71" t="str">
        <f>IFERROR((tbl_MA[[#This Row],[Adj. Total Hours]]+tbl_MA[[#This Row],[Est. Hours]])/(tbl_MA[[#This Row],[Total Hours Act]]+tbl_MA[[#This Row],[Act. Hours]]),"")</f>
        <v/>
      </c>
      <c r="S7" s="63"/>
      <c r="T7" s="63"/>
      <c r="U7" s="63"/>
      <c r="V7" s="63"/>
      <c r="W7" s="63"/>
    </row>
    <row r="8" spans="1:23" ht="25" customHeight="1">
      <c r="F8" s="53"/>
      <c r="H8" s="55" t="e">
        <f>tbl_MA[[#This Row],[Qty Complete]]/tbl_MA[[#This Row],[Qty Required]]</f>
        <v>#DIV/0!</v>
      </c>
      <c r="K8" s="57" t="str">
        <f>IFERROR(tbl_MA[[#This Row],[Qty Required]]/tbl_MA[[#This Row],[PPH]]*tbl_MA[[#This Row],['# of men]],"")</f>
        <v/>
      </c>
      <c r="L8" s="58" t="e">
        <f>tbl_MA[[#This Row],[Total hours]]*tbl_MA[[#This Row],[% Complete]]</f>
        <v>#VALUE!</v>
      </c>
      <c r="M8" s="59" t="str">
        <f>IFERROR(tbl_MA[[#This Row],[Qty Complete]]/tbl_MA[[#This Row],[Total Hours Act]]*tbl_MA[[#This Row],['# of men Act]],"")</f>
        <v/>
      </c>
      <c r="O8"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8" s="71" t="str">
        <f>IFERROR((tbl_MA[[#This Row],[Adj. Total Hours]]+tbl_MA[[#This Row],[Est. Hours]])/(tbl_MA[[#This Row],[Total Hours Act]]+tbl_MA[[#This Row],[Act. Hours]]),"")</f>
        <v/>
      </c>
      <c r="S8" s="63"/>
      <c r="T8" s="63"/>
      <c r="U8" s="63"/>
      <c r="V8" s="63"/>
      <c r="W8" s="63"/>
    </row>
    <row r="9" spans="1:23" ht="25" customHeight="1">
      <c r="F9" s="53"/>
      <c r="H9" s="55" t="e">
        <f>tbl_MA[[#This Row],[Qty Complete]]/tbl_MA[[#This Row],[Qty Required]]</f>
        <v>#DIV/0!</v>
      </c>
      <c r="K9" s="57" t="str">
        <f>IFERROR(tbl_MA[[#This Row],[Qty Required]]/tbl_MA[[#This Row],[PPH]]*tbl_MA[[#This Row],['# of men]],"")</f>
        <v/>
      </c>
      <c r="L9" s="58" t="e">
        <f>tbl_MA[[#This Row],[Total hours]]*tbl_MA[[#This Row],[% Complete]]</f>
        <v>#VALUE!</v>
      </c>
      <c r="M9" s="59" t="str">
        <f>IFERROR(tbl_MA[[#This Row],[Qty Complete]]/tbl_MA[[#This Row],[Total Hours Act]]*tbl_MA[[#This Row],['# of men Act]],"")</f>
        <v/>
      </c>
      <c r="O9"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9" s="71" t="str">
        <f>IFERROR((tbl_MA[[#This Row],[Adj. Total Hours]]+tbl_MA[[#This Row],[Est. Hours]])/(tbl_MA[[#This Row],[Total Hours Act]]+tbl_MA[[#This Row],[Act. Hours]]),"")</f>
        <v/>
      </c>
      <c r="S9" s="63"/>
      <c r="T9" s="63"/>
      <c r="U9" s="63"/>
      <c r="V9" s="63"/>
      <c r="W9" s="63"/>
    </row>
    <row r="10" spans="1:23" ht="25" customHeight="1">
      <c r="F10" s="53"/>
      <c r="H10" s="55" t="e">
        <f>tbl_MA[[#This Row],[Qty Complete]]/tbl_MA[[#This Row],[Qty Required]]</f>
        <v>#DIV/0!</v>
      </c>
      <c r="K10" s="57" t="str">
        <f>IFERROR(tbl_MA[[#This Row],[Qty Required]]/tbl_MA[[#This Row],[PPH]]*tbl_MA[[#This Row],['# of men]],"")</f>
        <v/>
      </c>
      <c r="L10" s="58" t="e">
        <f>tbl_MA[[#This Row],[Total hours]]*tbl_MA[[#This Row],[% Complete]]</f>
        <v>#VALUE!</v>
      </c>
      <c r="M10" s="59" t="str">
        <f>IFERROR(tbl_MA[[#This Row],[Qty Complete]]/tbl_MA[[#This Row],[Total Hours Act]]*tbl_MA[[#This Row],['# of men Act]],"")</f>
        <v/>
      </c>
      <c r="O10"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0" s="71" t="str">
        <f>IFERROR((tbl_MA[[#This Row],[Adj. Total Hours]]+tbl_MA[[#This Row],[Est. Hours]])/(tbl_MA[[#This Row],[Total Hours Act]]+tbl_MA[[#This Row],[Act. Hours]]),"")</f>
        <v/>
      </c>
      <c r="S10" s="63"/>
      <c r="T10" s="63"/>
      <c r="U10" s="63"/>
      <c r="V10" s="63"/>
      <c r="W10" s="63"/>
    </row>
    <row r="11" spans="1:23" ht="25" customHeight="1">
      <c r="F11" s="53"/>
      <c r="H11" s="55" t="e">
        <f>tbl_MA[[#This Row],[Qty Complete]]/tbl_MA[[#This Row],[Qty Required]]</f>
        <v>#DIV/0!</v>
      </c>
      <c r="K11" s="57" t="str">
        <f>IFERROR(tbl_MA[[#This Row],[Qty Required]]/tbl_MA[[#This Row],[PPH]]*tbl_MA[[#This Row],['# of men]],"")</f>
        <v/>
      </c>
      <c r="L11" s="58" t="e">
        <f>tbl_MA[[#This Row],[Total hours]]*tbl_MA[[#This Row],[% Complete]]</f>
        <v>#VALUE!</v>
      </c>
      <c r="M11" s="59" t="str">
        <f>IFERROR(tbl_MA[[#This Row],[Qty Complete]]/tbl_MA[[#This Row],[Total Hours Act]]*tbl_MA[[#This Row],['# of men Act]],"")</f>
        <v/>
      </c>
      <c r="O11"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1" s="71" t="str">
        <f>IFERROR((tbl_MA[[#This Row],[Adj. Total Hours]]+tbl_MA[[#This Row],[Est. Hours]])/(tbl_MA[[#This Row],[Total Hours Act]]+tbl_MA[[#This Row],[Act. Hours]]),"")</f>
        <v/>
      </c>
      <c r="S11" s="63"/>
      <c r="T11" s="63"/>
      <c r="U11" s="63"/>
      <c r="V11" s="63"/>
      <c r="W11" s="63"/>
    </row>
    <row r="12" spans="1:23" ht="25" customHeight="1">
      <c r="F12" s="53"/>
      <c r="H12" s="55" t="e">
        <f>tbl_MA[[#This Row],[Qty Complete]]/tbl_MA[[#This Row],[Qty Required]]</f>
        <v>#DIV/0!</v>
      </c>
      <c r="K12" s="57" t="str">
        <f>IFERROR(tbl_MA[[#This Row],[Qty Required]]/tbl_MA[[#This Row],[PPH]]*tbl_MA[[#This Row],['# of men]],"")</f>
        <v/>
      </c>
      <c r="L12" s="58" t="e">
        <f>tbl_MA[[#This Row],[Total hours]]*tbl_MA[[#This Row],[% Complete]]</f>
        <v>#VALUE!</v>
      </c>
      <c r="M12" s="59" t="str">
        <f>IFERROR(tbl_MA[[#This Row],[Qty Complete]]/tbl_MA[[#This Row],[Total Hours Act]]*tbl_MA[[#This Row],['# of men Act]],"")</f>
        <v/>
      </c>
      <c r="O12"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2" s="71" t="str">
        <f>IFERROR((tbl_MA[[#This Row],[Adj. Total Hours]]+tbl_MA[[#This Row],[Est. Hours]])/(tbl_MA[[#This Row],[Total Hours Act]]+tbl_MA[[#This Row],[Act. Hours]]),"")</f>
        <v/>
      </c>
      <c r="S12" s="63"/>
      <c r="T12" s="63"/>
      <c r="U12" s="63"/>
      <c r="V12" s="63"/>
      <c r="W12" s="63"/>
    </row>
    <row r="13" spans="1:23" ht="25" customHeight="1">
      <c r="F13" s="53"/>
      <c r="H13" s="55" t="e">
        <f>tbl_MA[[#This Row],[Qty Complete]]/tbl_MA[[#This Row],[Qty Required]]</f>
        <v>#DIV/0!</v>
      </c>
      <c r="K13" s="57" t="str">
        <f>IFERROR(tbl_MA[[#This Row],[Qty Required]]/tbl_MA[[#This Row],[PPH]]*tbl_MA[[#This Row],['# of men]],"")</f>
        <v/>
      </c>
      <c r="L13" s="58" t="e">
        <f>tbl_MA[[#This Row],[Total hours]]*tbl_MA[[#This Row],[% Complete]]</f>
        <v>#VALUE!</v>
      </c>
      <c r="M13" s="59" t="str">
        <f>IFERROR(tbl_MA[[#This Row],[Qty Complete]]/tbl_MA[[#This Row],[Total Hours Act]]*tbl_MA[[#This Row],['# of men Act]],"")</f>
        <v/>
      </c>
      <c r="O13"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3" s="71" t="str">
        <f>IFERROR((tbl_MA[[#This Row],[Adj. Total Hours]]+tbl_MA[[#This Row],[Est. Hours]])/(tbl_MA[[#This Row],[Total Hours Act]]+tbl_MA[[#This Row],[Act. Hours]]),"")</f>
        <v/>
      </c>
      <c r="S13" s="63"/>
      <c r="T13" s="63"/>
      <c r="U13" s="63"/>
      <c r="V13" s="63"/>
      <c r="W13" s="63"/>
    </row>
    <row r="14" spans="1:23" ht="25" customHeight="1">
      <c r="F14" s="53"/>
      <c r="H14" s="55" t="e">
        <f>tbl_MA[[#This Row],[Qty Complete]]/tbl_MA[[#This Row],[Qty Required]]</f>
        <v>#DIV/0!</v>
      </c>
      <c r="K14" s="57" t="str">
        <f>IFERROR(tbl_MA[[#This Row],[Qty Required]]/tbl_MA[[#This Row],[PPH]]*tbl_MA[[#This Row],['# of men]],"")</f>
        <v/>
      </c>
      <c r="L14" s="58" t="e">
        <f>tbl_MA[[#This Row],[Total hours]]*tbl_MA[[#This Row],[% Complete]]</f>
        <v>#VALUE!</v>
      </c>
      <c r="M14" s="59" t="str">
        <f>IFERROR(tbl_MA[[#This Row],[Qty Complete]]/tbl_MA[[#This Row],[Total Hours Act]]*tbl_MA[[#This Row],['# of men Act]],"")</f>
        <v/>
      </c>
      <c r="O14"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4" s="71" t="str">
        <f>IFERROR((tbl_MA[[#This Row],[Adj. Total Hours]]+tbl_MA[[#This Row],[Est. Hours]])/(tbl_MA[[#This Row],[Total Hours Act]]+tbl_MA[[#This Row],[Act. Hours]]),"")</f>
        <v/>
      </c>
      <c r="S14" s="63"/>
      <c r="T14" s="63"/>
      <c r="U14" s="63"/>
      <c r="V14" s="63"/>
      <c r="W14" s="63"/>
    </row>
    <row r="15" spans="1:23" ht="25" customHeight="1">
      <c r="F15" s="53"/>
      <c r="H15" s="55" t="e">
        <f>tbl_MA[[#This Row],[Qty Complete]]/tbl_MA[[#This Row],[Qty Required]]</f>
        <v>#DIV/0!</v>
      </c>
      <c r="K15" s="57" t="str">
        <f>IFERROR(tbl_MA[[#This Row],[Qty Required]]/tbl_MA[[#This Row],[PPH]]*tbl_MA[[#This Row],['# of men]],"")</f>
        <v/>
      </c>
      <c r="L15" s="58" t="e">
        <f>tbl_MA[[#This Row],[Total hours]]*tbl_MA[[#This Row],[% Complete]]</f>
        <v>#VALUE!</v>
      </c>
      <c r="M15" s="59" t="str">
        <f>IFERROR(tbl_MA[[#This Row],[Qty Complete]]/tbl_MA[[#This Row],[Total Hours Act]]*tbl_MA[[#This Row],['# of men Act]],"")</f>
        <v/>
      </c>
      <c r="O15"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5" s="71" t="str">
        <f>IFERROR((tbl_MA[[#This Row],[Adj. Total Hours]]+tbl_MA[[#This Row],[Est. Hours]])/(tbl_MA[[#This Row],[Total Hours Act]]+tbl_MA[[#This Row],[Act. Hours]]),"")</f>
        <v/>
      </c>
      <c r="S15" s="63"/>
      <c r="T15" s="63"/>
      <c r="U15" s="63"/>
      <c r="V15" s="63"/>
      <c r="W15" s="63"/>
    </row>
    <row r="16" spans="1:23" ht="25" customHeight="1">
      <c r="F16" s="53"/>
      <c r="H16" s="55" t="e">
        <f>tbl_MA[[#This Row],[Qty Complete]]/tbl_MA[[#This Row],[Qty Required]]</f>
        <v>#DIV/0!</v>
      </c>
      <c r="K16" s="57" t="str">
        <f>IFERROR(tbl_MA[[#This Row],[Qty Required]]/tbl_MA[[#This Row],[PPH]]*tbl_MA[[#This Row],['# of men]],"")</f>
        <v/>
      </c>
      <c r="L16" s="58" t="e">
        <f>tbl_MA[[#This Row],[Total hours]]*tbl_MA[[#This Row],[% Complete]]</f>
        <v>#VALUE!</v>
      </c>
      <c r="M16" s="59" t="str">
        <f>IFERROR(tbl_MA[[#This Row],[Qty Complete]]/tbl_MA[[#This Row],[Total Hours Act]]*tbl_MA[[#This Row],['# of men Act]],"")</f>
        <v/>
      </c>
      <c r="O16"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6" s="71" t="str">
        <f>IFERROR((tbl_MA[[#This Row],[Adj. Total Hours]]+tbl_MA[[#This Row],[Est. Hours]])/(tbl_MA[[#This Row],[Total Hours Act]]+tbl_MA[[#This Row],[Act. Hours]]),"")</f>
        <v/>
      </c>
      <c r="S16" s="63"/>
      <c r="T16" s="63"/>
      <c r="U16" s="63"/>
      <c r="V16" s="63"/>
      <c r="W16" s="63"/>
    </row>
    <row r="17" spans="6:23" ht="25" customHeight="1">
      <c r="F17" s="53"/>
      <c r="H17" s="55" t="e">
        <f>tbl_MA[[#This Row],[Qty Complete]]/tbl_MA[[#This Row],[Qty Required]]</f>
        <v>#DIV/0!</v>
      </c>
      <c r="K17" s="57" t="str">
        <f>IFERROR(tbl_MA[[#This Row],[Qty Required]]/tbl_MA[[#This Row],[PPH]]*tbl_MA[[#This Row],['# of men]],"")</f>
        <v/>
      </c>
      <c r="L17" s="58" t="e">
        <f>tbl_MA[[#This Row],[Total hours]]*tbl_MA[[#This Row],[% Complete]]</f>
        <v>#VALUE!</v>
      </c>
      <c r="M17" s="59" t="str">
        <f>IFERROR(tbl_MA[[#This Row],[Qty Complete]]/tbl_MA[[#This Row],[Total Hours Act]]*tbl_MA[[#This Row],['# of men Act]],"")</f>
        <v/>
      </c>
      <c r="O17"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7" s="71" t="str">
        <f>IFERROR((tbl_MA[[#This Row],[Adj. Total Hours]]+tbl_MA[[#This Row],[Est. Hours]])/(tbl_MA[[#This Row],[Total Hours Act]]+tbl_MA[[#This Row],[Act. Hours]]),"")</f>
        <v/>
      </c>
      <c r="S17" s="63"/>
      <c r="T17" s="63"/>
      <c r="U17" s="63"/>
      <c r="V17" s="63"/>
      <c r="W17" s="63"/>
    </row>
    <row r="18" spans="6:23" ht="25" customHeight="1">
      <c r="F18" s="53"/>
      <c r="H18" s="55" t="e">
        <f>tbl_MA[[#This Row],[Qty Complete]]/tbl_MA[[#This Row],[Qty Required]]</f>
        <v>#DIV/0!</v>
      </c>
      <c r="K18" s="57" t="str">
        <f>IFERROR(tbl_MA[[#This Row],[Qty Required]]/tbl_MA[[#This Row],[PPH]]*tbl_MA[[#This Row],['# of men]],"")</f>
        <v/>
      </c>
      <c r="L18" s="58" t="e">
        <f>tbl_MA[[#This Row],[Total hours]]*tbl_MA[[#This Row],[% Complete]]</f>
        <v>#VALUE!</v>
      </c>
      <c r="M18" s="59" t="str">
        <f>IFERROR(tbl_MA[[#This Row],[Qty Complete]]/tbl_MA[[#This Row],[Total Hours Act]]*tbl_MA[[#This Row],['# of men Act]],"")</f>
        <v/>
      </c>
      <c r="O18"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8" s="71" t="str">
        <f>IFERROR((tbl_MA[[#This Row],[Adj. Total Hours]]+tbl_MA[[#This Row],[Est. Hours]])/(tbl_MA[[#This Row],[Total Hours Act]]+tbl_MA[[#This Row],[Act. Hours]]),"")</f>
        <v/>
      </c>
      <c r="S18" s="63"/>
      <c r="T18" s="63"/>
      <c r="U18" s="63"/>
      <c r="V18" s="63"/>
      <c r="W18" s="63"/>
    </row>
    <row r="19" spans="6:23" ht="25" customHeight="1">
      <c r="F19" s="53"/>
      <c r="H19" s="55" t="e">
        <f>tbl_MA[[#This Row],[Qty Complete]]/tbl_MA[[#This Row],[Qty Required]]</f>
        <v>#DIV/0!</v>
      </c>
      <c r="K19" s="57" t="str">
        <f>IFERROR(tbl_MA[[#This Row],[Qty Required]]/tbl_MA[[#This Row],[PPH]]*tbl_MA[[#This Row],['# of men]],"")</f>
        <v/>
      </c>
      <c r="L19" s="58" t="e">
        <f>tbl_MA[[#This Row],[Total hours]]*tbl_MA[[#This Row],[% Complete]]</f>
        <v>#VALUE!</v>
      </c>
      <c r="M19" s="59" t="str">
        <f>IFERROR(tbl_MA[[#This Row],[Qty Complete]]/tbl_MA[[#This Row],[Total Hours Act]]*tbl_MA[[#This Row],['# of men Act]],"")</f>
        <v/>
      </c>
      <c r="O19"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9" s="71" t="str">
        <f>IFERROR((tbl_MA[[#This Row],[Adj. Total Hours]]+tbl_MA[[#This Row],[Est. Hours]])/(tbl_MA[[#This Row],[Total Hours Act]]+tbl_MA[[#This Row],[Act. Hours]]),"")</f>
        <v/>
      </c>
      <c r="S19" s="63"/>
      <c r="T19" s="63"/>
      <c r="U19" s="63"/>
      <c r="V19" s="63"/>
      <c r="W19" s="63"/>
    </row>
    <row r="20" spans="6:23" ht="25" customHeight="1">
      <c r="F20" s="53"/>
      <c r="H20" s="55" t="e">
        <f>tbl_MA[[#This Row],[Qty Complete]]/tbl_MA[[#This Row],[Qty Required]]</f>
        <v>#DIV/0!</v>
      </c>
      <c r="K20" s="57" t="str">
        <f>IFERROR(tbl_MA[[#This Row],[Qty Required]]/tbl_MA[[#This Row],[PPH]]*tbl_MA[[#This Row],['# of men]],"")</f>
        <v/>
      </c>
      <c r="L20" s="58" t="e">
        <f>tbl_MA[[#This Row],[Total hours]]*tbl_MA[[#This Row],[% Complete]]</f>
        <v>#VALUE!</v>
      </c>
      <c r="M20" s="59" t="str">
        <f>IFERROR(tbl_MA[[#This Row],[Qty Complete]]/tbl_MA[[#This Row],[Total Hours Act]]*tbl_MA[[#This Row],['# of men Act]],"")</f>
        <v/>
      </c>
      <c r="O20"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0" s="71" t="str">
        <f>IFERROR((tbl_MA[[#This Row],[Adj. Total Hours]]+tbl_MA[[#This Row],[Est. Hours]])/(tbl_MA[[#This Row],[Total Hours Act]]+tbl_MA[[#This Row],[Act. Hours]]),"")</f>
        <v/>
      </c>
      <c r="S20" s="63"/>
      <c r="T20" s="63"/>
      <c r="U20" s="63"/>
      <c r="V20" s="63"/>
      <c r="W20" s="63"/>
    </row>
    <row r="21" spans="6:23" ht="25" customHeight="1">
      <c r="F21" s="53"/>
      <c r="H21" s="55" t="e">
        <f>tbl_MA[[#This Row],[Qty Complete]]/tbl_MA[[#This Row],[Qty Required]]</f>
        <v>#DIV/0!</v>
      </c>
      <c r="K21" s="57" t="str">
        <f>IFERROR(tbl_MA[[#This Row],[Qty Required]]/tbl_MA[[#This Row],[PPH]]*tbl_MA[[#This Row],['# of men]],"")</f>
        <v/>
      </c>
      <c r="L21" s="58" t="e">
        <f>tbl_MA[[#This Row],[Total hours]]*tbl_MA[[#This Row],[% Complete]]</f>
        <v>#VALUE!</v>
      </c>
      <c r="M21" s="59" t="str">
        <f>IFERROR(tbl_MA[[#This Row],[Qty Complete]]/tbl_MA[[#This Row],[Total Hours Act]]*tbl_MA[[#This Row],['# of men Act]],"")</f>
        <v/>
      </c>
      <c r="O21"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1" s="71" t="str">
        <f>IFERROR((tbl_MA[[#This Row],[Adj. Total Hours]]+tbl_MA[[#This Row],[Est. Hours]])/(tbl_MA[[#This Row],[Total Hours Act]]+tbl_MA[[#This Row],[Act. Hours]]),"")</f>
        <v/>
      </c>
      <c r="S21" s="63"/>
      <c r="T21" s="63"/>
      <c r="U21" s="63"/>
      <c r="V21" s="63"/>
      <c r="W21" s="63"/>
    </row>
    <row r="22" spans="6:23" ht="25" customHeight="1">
      <c r="F22" s="53"/>
      <c r="H22" s="55" t="e">
        <f>tbl_MA[[#This Row],[Qty Complete]]/tbl_MA[[#This Row],[Qty Required]]</f>
        <v>#DIV/0!</v>
      </c>
      <c r="K22" s="57" t="str">
        <f>IFERROR(tbl_MA[[#This Row],[Qty Required]]/tbl_MA[[#This Row],[PPH]]*tbl_MA[[#This Row],['# of men]],"")</f>
        <v/>
      </c>
      <c r="L22" s="58" t="e">
        <f>tbl_MA[[#This Row],[Total hours]]*tbl_MA[[#This Row],[% Complete]]</f>
        <v>#VALUE!</v>
      </c>
      <c r="M22" s="59" t="str">
        <f>IFERROR(tbl_MA[[#This Row],[Qty Complete]]/tbl_MA[[#This Row],[Total Hours Act]]*tbl_MA[[#This Row],['# of men Act]],"")</f>
        <v/>
      </c>
      <c r="O22"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2" s="71" t="str">
        <f>IFERROR((tbl_MA[[#This Row],[Adj. Total Hours]]+tbl_MA[[#This Row],[Est. Hours]])/(tbl_MA[[#This Row],[Total Hours Act]]+tbl_MA[[#This Row],[Act. Hours]]),"")</f>
        <v/>
      </c>
      <c r="S22" s="63"/>
      <c r="T22" s="63"/>
      <c r="U22" s="63"/>
      <c r="V22" s="63"/>
      <c r="W22" s="63"/>
    </row>
    <row r="23" spans="6:23" ht="25" customHeight="1">
      <c r="F23" s="53"/>
      <c r="H23" s="55" t="e">
        <f>tbl_MA[[#This Row],[Qty Complete]]/tbl_MA[[#This Row],[Qty Required]]</f>
        <v>#DIV/0!</v>
      </c>
      <c r="K23" s="57" t="str">
        <f>IFERROR(tbl_MA[[#This Row],[Qty Required]]/tbl_MA[[#This Row],[PPH]]*tbl_MA[[#This Row],['# of men]],"")</f>
        <v/>
      </c>
      <c r="L23" s="58" t="e">
        <f>tbl_MA[[#This Row],[Total hours]]*tbl_MA[[#This Row],[% Complete]]</f>
        <v>#VALUE!</v>
      </c>
      <c r="M23" s="59" t="str">
        <f>IFERROR(tbl_MA[[#This Row],[Qty Complete]]/tbl_MA[[#This Row],[Total Hours Act]]*tbl_MA[[#This Row],['# of men Act]],"")</f>
        <v/>
      </c>
      <c r="O23"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3" s="71" t="str">
        <f>IFERROR((tbl_MA[[#This Row],[Adj. Total Hours]]+tbl_MA[[#This Row],[Est. Hours]])/(tbl_MA[[#This Row],[Total Hours Act]]+tbl_MA[[#This Row],[Act. Hours]]),"")</f>
        <v/>
      </c>
      <c r="S23" s="63"/>
      <c r="T23" s="63"/>
      <c r="U23" s="63"/>
      <c r="V23" s="63"/>
      <c r="W23" s="63"/>
    </row>
    <row r="24" spans="6:23" ht="25" customHeight="1">
      <c r="F24" s="53"/>
      <c r="H24" s="55" t="e">
        <f>tbl_MA[[#This Row],[Qty Complete]]/tbl_MA[[#This Row],[Qty Required]]</f>
        <v>#DIV/0!</v>
      </c>
      <c r="K24" s="57" t="str">
        <f>IFERROR(tbl_MA[[#This Row],[Qty Required]]/tbl_MA[[#This Row],[PPH]]*tbl_MA[[#This Row],['# of men]],"")</f>
        <v/>
      </c>
      <c r="L24" s="58" t="e">
        <f>tbl_MA[[#This Row],[Total hours]]*tbl_MA[[#This Row],[% Complete]]</f>
        <v>#VALUE!</v>
      </c>
      <c r="M24" s="59" t="str">
        <f>IFERROR(tbl_MA[[#This Row],[Qty Complete]]/tbl_MA[[#This Row],[Total Hours Act]]*tbl_MA[[#This Row],['# of men Act]],"")</f>
        <v/>
      </c>
      <c r="O24"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4" s="71" t="str">
        <f>IFERROR((tbl_MA[[#This Row],[Adj. Total Hours]]+tbl_MA[[#This Row],[Est. Hours]])/(tbl_MA[[#This Row],[Total Hours Act]]+tbl_MA[[#This Row],[Act. Hours]]),"")</f>
        <v/>
      </c>
      <c r="S24" s="63"/>
      <c r="T24" s="63"/>
      <c r="U24" s="63"/>
      <c r="V24" s="63"/>
      <c r="W24" s="63"/>
    </row>
    <row r="25" spans="6:23" ht="25" customHeight="1">
      <c r="F25" s="53"/>
      <c r="H25" s="55" t="e">
        <f>tbl_MA[[#This Row],[Qty Complete]]/tbl_MA[[#This Row],[Qty Required]]</f>
        <v>#DIV/0!</v>
      </c>
      <c r="K25" s="57" t="str">
        <f>IFERROR(tbl_MA[[#This Row],[Qty Required]]/tbl_MA[[#This Row],[PPH]]*tbl_MA[[#This Row],['# of men]],"")</f>
        <v/>
      </c>
      <c r="L25" s="58" t="e">
        <f>tbl_MA[[#This Row],[Total hours]]*tbl_MA[[#This Row],[% Complete]]</f>
        <v>#VALUE!</v>
      </c>
      <c r="M25" s="59" t="str">
        <f>IFERROR(tbl_MA[[#This Row],[Qty Complete]]/tbl_MA[[#This Row],[Total Hours Act]]*tbl_MA[[#This Row],['# of men Act]],"")</f>
        <v/>
      </c>
      <c r="O25"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5" s="71" t="str">
        <f>IFERROR((tbl_MA[[#This Row],[Adj. Total Hours]]+tbl_MA[[#This Row],[Est. Hours]])/(tbl_MA[[#This Row],[Total Hours Act]]+tbl_MA[[#This Row],[Act. Hours]]),"")</f>
        <v/>
      </c>
      <c r="S25" s="63"/>
      <c r="T25" s="63"/>
      <c r="U25" s="63"/>
      <c r="V25" s="63"/>
      <c r="W25" s="63"/>
    </row>
    <row r="26" spans="6:23" ht="25" customHeight="1">
      <c r="F26" s="53"/>
      <c r="H26" s="55" t="e">
        <f>tbl_MA[[#This Row],[Qty Complete]]/tbl_MA[[#This Row],[Qty Required]]</f>
        <v>#DIV/0!</v>
      </c>
      <c r="K26" s="57" t="str">
        <f>IFERROR(tbl_MA[[#This Row],[Qty Required]]/tbl_MA[[#This Row],[PPH]]*tbl_MA[[#This Row],['# of men]],"")</f>
        <v/>
      </c>
      <c r="L26" s="58" t="e">
        <f>tbl_MA[[#This Row],[Total hours]]*tbl_MA[[#This Row],[% Complete]]</f>
        <v>#VALUE!</v>
      </c>
      <c r="M26" s="59" t="str">
        <f>IFERROR(tbl_MA[[#This Row],[Qty Complete]]/tbl_MA[[#This Row],[Total Hours Act]]*tbl_MA[[#This Row],['# of men Act]],"")</f>
        <v/>
      </c>
      <c r="O26"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6" s="71" t="str">
        <f>IFERROR((tbl_MA[[#This Row],[Adj. Total Hours]]+tbl_MA[[#This Row],[Est. Hours]])/(tbl_MA[[#This Row],[Total Hours Act]]+tbl_MA[[#This Row],[Act. Hours]]),"")</f>
        <v/>
      </c>
      <c r="S26" s="63"/>
      <c r="T26" s="63"/>
      <c r="U26" s="63"/>
      <c r="V26" s="63"/>
      <c r="W26" s="63"/>
    </row>
    <row r="27" spans="6:23" ht="25" customHeight="1">
      <c r="F27" s="53"/>
      <c r="H27" s="55" t="e">
        <f>tbl_MA[[#This Row],[Qty Complete]]/tbl_MA[[#This Row],[Qty Required]]</f>
        <v>#DIV/0!</v>
      </c>
      <c r="K27" s="57" t="str">
        <f>IFERROR(tbl_MA[[#This Row],[Qty Required]]/tbl_MA[[#This Row],[PPH]]*tbl_MA[[#This Row],['# of men]],"")</f>
        <v/>
      </c>
      <c r="L27" s="58" t="e">
        <f>tbl_MA[[#This Row],[Total hours]]*tbl_MA[[#This Row],[% Complete]]</f>
        <v>#VALUE!</v>
      </c>
      <c r="M27" s="59" t="str">
        <f>IFERROR(tbl_MA[[#This Row],[Qty Complete]]/tbl_MA[[#This Row],[Total Hours Act]]*tbl_MA[[#This Row],['# of men Act]],"")</f>
        <v/>
      </c>
      <c r="O27"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7" s="71" t="str">
        <f>IFERROR((tbl_MA[[#This Row],[Adj. Total Hours]]+tbl_MA[[#This Row],[Est. Hours]])/(tbl_MA[[#This Row],[Total Hours Act]]+tbl_MA[[#This Row],[Act. Hours]]),"")</f>
        <v/>
      </c>
      <c r="S27" s="63"/>
      <c r="T27" s="63"/>
      <c r="U27" s="63"/>
      <c r="V27" s="63"/>
      <c r="W27" s="63"/>
    </row>
    <row r="28" spans="6:23" ht="25" customHeight="1">
      <c r="F28" s="53"/>
      <c r="H28" s="55" t="e">
        <f>tbl_MA[[#This Row],[Qty Complete]]/tbl_MA[[#This Row],[Qty Required]]</f>
        <v>#DIV/0!</v>
      </c>
      <c r="K28" s="57" t="str">
        <f>IFERROR(tbl_MA[[#This Row],[Qty Required]]/tbl_MA[[#This Row],[PPH]]*tbl_MA[[#This Row],['# of men]],"")</f>
        <v/>
      </c>
      <c r="L28" s="58" t="e">
        <f>tbl_MA[[#This Row],[Total hours]]*tbl_MA[[#This Row],[% Complete]]</f>
        <v>#VALUE!</v>
      </c>
      <c r="M28" s="59" t="str">
        <f>IFERROR(tbl_MA[[#This Row],[Qty Complete]]/tbl_MA[[#This Row],[Total Hours Act]]*tbl_MA[[#This Row],['# of men Act]],"")</f>
        <v/>
      </c>
      <c r="O28"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8" s="71" t="str">
        <f>IFERROR((tbl_MA[[#This Row],[Adj. Total Hours]]+tbl_MA[[#This Row],[Est. Hours]])/(tbl_MA[[#This Row],[Total Hours Act]]+tbl_MA[[#This Row],[Act. Hours]]),"")</f>
        <v/>
      </c>
      <c r="S28" s="63"/>
      <c r="T28" s="63"/>
      <c r="U28" s="63"/>
      <c r="V28" s="63"/>
      <c r="W28" s="63"/>
    </row>
    <row r="29" spans="6:23" ht="25" customHeight="1">
      <c r="F29" s="53"/>
      <c r="H29" s="55" t="e">
        <f>tbl_MA[[#This Row],[Qty Complete]]/tbl_MA[[#This Row],[Qty Required]]</f>
        <v>#DIV/0!</v>
      </c>
      <c r="K29" s="57" t="str">
        <f>IFERROR(tbl_MA[[#This Row],[Qty Required]]/tbl_MA[[#This Row],[PPH]]*tbl_MA[[#This Row],['# of men]],"")</f>
        <v/>
      </c>
      <c r="L29" s="58" t="e">
        <f>tbl_MA[[#This Row],[Total hours]]*tbl_MA[[#This Row],[% Complete]]</f>
        <v>#VALUE!</v>
      </c>
      <c r="M29" s="59" t="str">
        <f>IFERROR(tbl_MA[[#This Row],[Qty Complete]]/tbl_MA[[#This Row],[Total Hours Act]]*tbl_MA[[#This Row],['# of men Act]],"")</f>
        <v/>
      </c>
      <c r="O29"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9" s="71" t="str">
        <f>IFERROR((tbl_MA[[#This Row],[Adj. Total Hours]]+tbl_MA[[#This Row],[Est. Hours]])/(tbl_MA[[#This Row],[Total Hours Act]]+tbl_MA[[#This Row],[Act. Hours]]),"")</f>
        <v/>
      </c>
      <c r="S29" s="63"/>
      <c r="T29" s="63"/>
      <c r="U29" s="63"/>
      <c r="V29" s="63"/>
      <c r="W29" s="63"/>
    </row>
    <row r="30" spans="6:23" ht="25" customHeight="1">
      <c r="F30" s="53"/>
      <c r="H30" s="55" t="e">
        <f>tbl_MA[[#This Row],[Qty Complete]]/tbl_MA[[#This Row],[Qty Required]]</f>
        <v>#DIV/0!</v>
      </c>
      <c r="K30" s="57" t="str">
        <f>IFERROR(tbl_MA[[#This Row],[Qty Required]]/tbl_MA[[#This Row],[PPH]]*tbl_MA[[#This Row],['# of men]],"")</f>
        <v/>
      </c>
      <c r="L30" s="58" t="e">
        <f>tbl_MA[[#This Row],[Total hours]]*tbl_MA[[#This Row],[% Complete]]</f>
        <v>#VALUE!</v>
      </c>
      <c r="M30" s="59" t="str">
        <f>IFERROR(tbl_MA[[#This Row],[Qty Complete]]/tbl_MA[[#This Row],[Total Hours Act]]*tbl_MA[[#This Row],['# of men Act]],"")</f>
        <v/>
      </c>
      <c r="O30"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30" s="71" t="str">
        <f>IFERROR((tbl_MA[[#This Row],[Adj. Total Hours]]+tbl_MA[[#This Row],[Est. Hours]])/(tbl_MA[[#This Row],[Total Hours Act]]+tbl_MA[[#This Row],[Act. Hours]]),"")</f>
        <v/>
      </c>
      <c r="S30" s="63"/>
      <c r="T30" s="63"/>
      <c r="U30" s="63"/>
      <c r="V30" s="63"/>
      <c r="W30" s="63"/>
    </row>
    <row r="31" spans="6:23" ht="25" customHeight="1">
      <c r="F31" s="53"/>
      <c r="H31" s="55" t="e">
        <f>tbl_MA[[#This Row],[Qty Complete]]/tbl_MA[[#This Row],[Qty Required]]</f>
        <v>#DIV/0!</v>
      </c>
      <c r="K31" s="57" t="str">
        <f>IFERROR(tbl_MA[[#This Row],[Qty Required]]/tbl_MA[[#This Row],[PPH]]*tbl_MA[[#This Row],['# of men]],"")</f>
        <v/>
      </c>
      <c r="L31" s="58" t="e">
        <f>tbl_MA[[#This Row],[Total hours]]*tbl_MA[[#This Row],[% Complete]]</f>
        <v>#VALUE!</v>
      </c>
      <c r="M31" s="59" t="str">
        <f>IFERROR(tbl_MA[[#This Row],[Qty Complete]]/tbl_MA[[#This Row],[Total Hours Act]]*tbl_MA[[#This Row],['# of men Act]],"")</f>
        <v/>
      </c>
      <c r="O31"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31" s="71" t="str">
        <f>IFERROR((tbl_MA[[#This Row],[Adj. Total Hours]]+tbl_MA[[#This Row],[Est. Hours]])/(tbl_MA[[#This Row],[Total Hours Act]]+tbl_MA[[#This Row],[Act. Hours]]),"")</f>
        <v/>
      </c>
      <c r="S31" s="63"/>
      <c r="T31" s="63"/>
      <c r="U31" s="63"/>
      <c r="V31" s="63"/>
      <c r="W31" s="63"/>
    </row>
    <row r="32" spans="6:23" ht="25" customHeight="1">
      <c r="F32" s="53"/>
      <c r="H32" s="55" t="e">
        <f>tbl_MA[[#This Row],[Qty Complete]]/tbl_MA[[#This Row],[Qty Required]]</f>
        <v>#DIV/0!</v>
      </c>
      <c r="K32" s="57" t="str">
        <f>IFERROR(tbl_MA[[#This Row],[Qty Required]]/tbl_MA[[#This Row],[PPH]]*tbl_MA[[#This Row],['# of men]],"")</f>
        <v/>
      </c>
      <c r="L32" s="58" t="e">
        <f>tbl_MA[[#This Row],[Total hours]]*tbl_MA[[#This Row],[% Complete]]</f>
        <v>#VALUE!</v>
      </c>
      <c r="M32" s="59" t="str">
        <f>IFERROR(tbl_MA[[#This Row],[Qty Complete]]/tbl_MA[[#This Row],[Total Hours Act]]*tbl_MA[[#This Row],['# of men Act]],"")</f>
        <v/>
      </c>
      <c r="O32"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32" s="71" t="str">
        <f>IFERROR((tbl_MA[[#This Row],[Adj. Total Hours]]+tbl_MA[[#This Row],[Est. Hours]])/(tbl_MA[[#This Row],[Total Hours Act]]+tbl_MA[[#This Row],[Act. Hours]]),"")</f>
        <v/>
      </c>
      <c r="S32" s="63"/>
      <c r="T32" s="63"/>
      <c r="U32" s="63"/>
      <c r="V32" s="63"/>
      <c r="W32" s="63"/>
    </row>
    <row r="33" spans="6:23" ht="25" customHeight="1">
      <c r="F33" s="53"/>
      <c r="H33" s="55" t="e">
        <f>tbl_MA[[#This Row],[Qty Complete]]/tbl_MA[[#This Row],[Qty Required]]</f>
        <v>#DIV/0!</v>
      </c>
      <c r="K33" s="57" t="str">
        <f>IFERROR(tbl_MA[[#This Row],[Qty Required]]/tbl_MA[[#This Row],[PPH]]*tbl_MA[[#This Row],['# of men]],"")</f>
        <v/>
      </c>
      <c r="L33" s="58" t="e">
        <f>tbl_MA[[#This Row],[Total hours]]*tbl_MA[[#This Row],[% Complete]]</f>
        <v>#VALUE!</v>
      </c>
      <c r="M33" s="59" t="str">
        <f>IFERROR(tbl_MA[[#This Row],[Qty Complete]]/tbl_MA[[#This Row],[Total Hours Act]]*tbl_MA[[#This Row],['# of men Act]],"")</f>
        <v/>
      </c>
      <c r="O33"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33" s="71" t="str">
        <f>IFERROR((tbl_MA[[#This Row],[Adj. Total Hours]]+tbl_MA[[#This Row],[Est. Hours]])/(tbl_MA[[#This Row],[Total Hours Act]]+tbl_MA[[#This Row],[Act. Hours]]),"")</f>
        <v/>
      </c>
      <c r="S33" s="63"/>
      <c r="T33" s="63"/>
      <c r="U33" s="63"/>
      <c r="V33" s="63"/>
      <c r="W33" s="63"/>
    </row>
    <row r="34" spans="6:23" ht="25" customHeight="1">
      <c r="F34" s="53"/>
      <c r="H34" s="55" t="e">
        <f>tbl_MA[[#This Row],[Qty Complete]]/tbl_MA[[#This Row],[Qty Required]]</f>
        <v>#DIV/0!</v>
      </c>
      <c r="K34" s="57" t="str">
        <f>IFERROR(tbl_MA[[#This Row],[Qty Required]]/tbl_MA[[#This Row],[PPH]]*tbl_MA[[#This Row],['# of men]],"")</f>
        <v/>
      </c>
      <c r="L34" s="58" t="e">
        <f>tbl_MA[[#This Row],[Total hours]]*tbl_MA[[#This Row],[% Complete]]</f>
        <v>#VALUE!</v>
      </c>
      <c r="M34" s="59" t="str">
        <f>IFERROR(tbl_MA[[#This Row],[Qty Complete]]/tbl_MA[[#This Row],[Total Hours Act]]*tbl_MA[[#This Row],['# of men Act]],"")</f>
        <v/>
      </c>
      <c r="O34"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34" s="71" t="str">
        <f>IFERROR((tbl_MA[[#This Row],[Adj. Total Hours]]+tbl_MA[[#This Row],[Est. Hours]])/(tbl_MA[[#This Row],[Total Hours Act]]+tbl_MA[[#This Row],[Act. Hours]]),"")</f>
        <v/>
      </c>
      <c r="S34" s="63"/>
      <c r="T34" s="63"/>
      <c r="U34" s="63"/>
      <c r="V34" s="63"/>
      <c r="W34" s="63"/>
    </row>
    <row r="35" spans="6:23" ht="25" customHeight="1">
      <c r="F35" s="53"/>
      <c r="H35" s="55" t="e">
        <f>tbl_MA[[#This Row],[Qty Complete]]/tbl_MA[[#This Row],[Qty Required]]</f>
        <v>#DIV/0!</v>
      </c>
      <c r="K35" s="57" t="str">
        <f>IFERROR(tbl_MA[[#This Row],[Qty Required]]/tbl_MA[[#This Row],[PPH]]*tbl_MA[[#This Row],['# of men]],"")</f>
        <v/>
      </c>
      <c r="L35" s="58" t="e">
        <f>tbl_MA[[#This Row],[Total hours]]*tbl_MA[[#This Row],[% Complete]]</f>
        <v>#VALUE!</v>
      </c>
      <c r="M35" s="59" t="str">
        <f>IFERROR(tbl_MA[[#This Row],[Qty Complete]]/tbl_MA[[#This Row],[Total Hours Act]]*tbl_MA[[#This Row],['# of men Act]],"")</f>
        <v/>
      </c>
      <c r="O35"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35" s="71" t="str">
        <f>IFERROR((tbl_MA[[#This Row],[Adj. Total Hours]]+tbl_MA[[#This Row],[Est. Hours]])/(tbl_MA[[#This Row],[Total Hours Act]]+tbl_MA[[#This Row],[Act. Hours]]),"")</f>
        <v/>
      </c>
      <c r="S35" s="63"/>
      <c r="T35" s="63"/>
      <c r="U35" s="63"/>
      <c r="V35" s="63"/>
      <c r="W35" s="63"/>
    </row>
    <row r="36" spans="6:23" ht="25" customHeight="1">
      <c r="F36" s="53"/>
      <c r="H36" s="55" t="e">
        <f>tbl_MA[[#This Row],[Qty Complete]]/tbl_MA[[#This Row],[Qty Required]]</f>
        <v>#DIV/0!</v>
      </c>
      <c r="K36" s="57" t="str">
        <f>IFERROR(tbl_MA[[#This Row],[Qty Required]]/tbl_MA[[#This Row],[PPH]]*tbl_MA[[#This Row],['# of men]],"")</f>
        <v/>
      </c>
      <c r="L36" s="58" t="e">
        <f>tbl_MA[[#This Row],[Total hours]]*tbl_MA[[#This Row],[% Complete]]</f>
        <v>#VALUE!</v>
      </c>
      <c r="M36" s="59" t="str">
        <f>IFERROR(tbl_MA[[#This Row],[Qty Complete]]/tbl_MA[[#This Row],[Total Hours Act]]*tbl_MA[[#This Row],['# of men Act]],"")</f>
        <v/>
      </c>
      <c r="O36"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36" s="71" t="str">
        <f>IFERROR((tbl_MA[[#This Row],[Adj. Total Hours]]+tbl_MA[[#This Row],[Est. Hours]])/(tbl_MA[[#This Row],[Total Hours Act]]+tbl_MA[[#This Row],[Act. Hours]]),"")</f>
        <v/>
      </c>
      <c r="S36" s="63"/>
      <c r="T36" s="63"/>
      <c r="U36" s="63"/>
      <c r="V36" s="63"/>
      <c r="W36" s="63"/>
    </row>
    <row r="37" spans="6:23" ht="25" customHeight="1">
      <c r="F37" s="53"/>
      <c r="H37" s="55" t="e">
        <f>tbl_MA[[#This Row],[Qty Complete]]/tbl_MA[[#This Row],[Qty Required]]</f>
        <v>#DIV/0!</v>
      </c>
      <c r="K37" s="57" t="str">
        <f>IFERROR(tbl_MA[[#This Row],[Qty Required]]/tbl_MA[[#This Row],[PPH]]*tbl_MA[[#This Row],['# of men]],"")</f>
        <v/>
      </c>
      <c r="L37" s="58" t="e">
        <f>tbl_MA[[#This Row],[Total hours]]*tbl_MA[[#This Row],[% Complete]]</f>
        <v>#VALUE!</v>
      </c>
      <c r="M37" s="59" t="str">
        <f>IFERROR(tbl_MA[[#This Row],[Qty Complete]]/tbl_MA[[#This Row],[Total Hours Act]]*tbl_MA[[#This Row],['# of men Act]],"")</f>
        <v/>
      </c>
      <c r="O37"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37" s="71" t="str">
        <f>IFERROR((tbl_MA[[#This Row],[Adj. Total Hours]]+tbl_MA[[#This Row],[Est. Hours]])/(tbl_MA[[#This Row],[Total Hours Act]]+tbl_MA[[#This Row],[Act. Hours]]),"")</f>
        <v/>
      </c>
      <c r="S37" s="63"/>
      <c r="T37" s="63"/>
      <c r="U37" s="63"/>
      <c r="V37" s="63"/>
      <c r="W37" s="63"/>
    </row>
    <row r="38" spans="6:23" ht="25" customHeight="1">
      <c r="F38" s="53"/>
      <c r="H38" s="55" t="e">
        <f>tbl_MA[[#This Row],[Qty Complete]]/tbl_MA[[#This Row],[Qty Required]]</f>
        <v>#DIV/0!</v>
      </c>
      <c r="K38" s="57" t="str">
        <f>IFERROR(tbl_MA[[#This Row],[Qty Required]]/tbl_MA[[#This Row],[PPH]]*tbl_MA[[#This Row],['# of men]],"")</f>
        <v/>
      </c>
      <c r="L38" s="58" t="e">
        <f>tbl_MA[[#This Row],[Total hours]]*tbl_MA[[#This Row],[% Complete]]</f>
        <v>#VALUE!</v>
      </c>
      <c r="M38" s="59" t="str">
        <f>IFERROR(tbl_MA[[#This Row],[Qty Complete]]/tbl_MA[[#This Row],[Total Hours Act]]*tbl_MA[[#This Row],['# of men Act]],"")</f>
        <v/>
      </c>
      <c r="O38"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38" s="71" t="str">
        <f>IFERROR((tbl_MA[[#This Row],[Adj. Total Hours]]+tbl_MA[[#This Row],[Est. Hours]])/(tbl_MA[[#This Row],[Total Hours Act]]+tbl_MA[[#This Row],[Act. Hours]]),"")</f>
        <v/>
      </c>
      <c r="S38" s="63"/>
      <c r="T38" s="63"/>
      <c r="U38" s="63"/>
      <c r="V38" s="63"/>
      <c r="W38" s="63"/>
    </row>
    <row r="39" spans="6:23" ht="25" customHeight="1">
      <c r="F39" s="53"/>
      <c r="H39" s="55" t="e">
        <f>tbl_MA[[#This Row],[Qty Complete]]/tbl_MA[[#This Row],[Qty Required]]</f>
        <v>#DIV/0!</v>
      </c>
      <c r="K39" s="57" t="str">
        <f>IFERROR(tbl_MA[[#This Row],[Qty Required]]/tbl_MA[[#This Row],[PPH]]*tbl_MA[[#This Row],['# of men]],"")</f>
        <v/>
      </c>
      <c r="L39" s="58" t="e">
        <f>tbl_MA[[#This Row],[Total hours]]*tbl_MA[[#This Row],[% Complete]]</f>
        <v>#VALUE!</v>
      </c>
      <c r="M39" s="59" t="str">
        <f>IFERROR(tbl_MA[[#This Row],[Qty Complete]]/tbl_MA[[#This Row],[Total Hours Act]]*tbl_MA[[#This Row],['# of men Act]],"")</f>
        <v/>
      </c>
      <c r="O39"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39" s="71" t="str">
        <f>IFERROR((tbl_MA[[#This Row],[Adj. Total Hours]]+tbl_MA[[#This Row],[Est. Hours]])/(tbl_MA[[#This Row],[Total Hours Act]]+tbl_MA[[#This Row],[Act. Hours]]),"")</f>
        <v/>
      </c>
      <c r="S39" s="63"/>
      <c r="T39" s="63"/>
      <c r="U39" s="63"/>
      <c r="V39" s="63"/>
      <c r="W39" s="63"/>
    </row>
    <row r="40" spans="6:23" ht="25" customHeight="1">
      <c r="F40" s="53"/>
      <c r="H40" s="55" t="e">
        <f>tbl_MA[[#This Row],[Qty Complete]]/tbl_MA[[#This Row],[Qty Required]]</f>
        <v>#DIV/0!</v>
      </c>
      <c r="K40" s="57" t="str">
        <f>IFERROR(tbl_MA[[#This Row],[Qty Required]]/tbl_MA[[#This Row],[PPH]]*tbl_MA[[#This Row],['# of men]],"")</f>
        <v/>
      </c>
      <c r="L40" s="58" t="e">
        <f>tbl_MA[[#This Row],[Total hours]]*tbl_MA[[#This Row],[% Complete]]</f>
        <v>#VALUE!</v>
      </c>
      <c r="M40" s="59" t="str">
        <f>IFERROR(tbl_MA[[#This Row],[Qty Complete]]/tbl_MA[[#This Row],[Total Hours Act]]*tbl_MA[[#This Row],['# of men Act]],"")</f>
        <v/>
      </c>
      <c r="O40"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40" s="71" t="str">
        <f>IFERROR((tbl_MA[[#This Row],[Adj. Total Hours]]+tbl_MA[[#This Row],[Est. Hours]])/(tbl_MA[[#This Row],[Total Hours Act]]+tbl_MA[[#This Row],[Act. Hours]]),"")</f>
        <v/>
      </c>
      <c r="S40" s="63"/>
      <c r="T40" s="63"/>
      <c r="U40" s="63"/>
      <c r="V40" s="63"/>
      <c r="W40" s="63"/>
    </row>
    <row r="41" spans="6:23" ht="25" customHeight="1">
      <c r="F41" s="53"/>
      <c r="H41" s="55" t="e">
        <f>tbl_MA[[#This Row],[Qty Complete]]/tbl_MA[[#This Row],[Qty Required]]</f>
        <v>#DIV/0!</v>
      </c>
      <c r="K41" s="57" t="str">
        <f>IFERROR(tbl_MA[[#This Row],[Qty Required]]/tbl_MA[[#This Row],[PPH]]*tbl_MA[[#This Row],['# of men]],"")</f>
        <v/>
      </c>
      <c r="L41" s="58" t="e">
        <f>tbl_MA[[#This Row],[Total hours]]*tbl_MA[[#This Row],[% Complete]]</f>
        <v>#VALUE!</v>
      </c>
      <c r="M41" s="59" t="str">
        <f>IFERROR(tbl_MA[[#This Row],[Qty Complete]]/tbl_MA[[#This Row],[Total Hours Act]]*tbl_MA[[#This Row],['# of men Act]],"")</f>
        <v/>
      </c>
      <c r="O41"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41" s="71" t="str">
        <f>IFERROR((tbl_MA[[#This Row],[Adj. Total Hours]]+tbl_MA[[#This Row],[Est. Hours]])/(tbl_MA[[#This Row],[Total Hours Act]]+tbl_MA[[#This Row],[Act. Hours]]),"")</f>
        <v/>
      </c>
      <c r="S41" s="63"/>
      <c r="T41" s="63"/>
      <c r="U41" s="63"/>
      <c r="V41" s="63"/>
      <c r="W41" s="63"/>
    </row>
    <row r="42" spans="6:23" ht="25" customHeight="1">
      <c r="F42" s="53"/>
      <c r="H42" s="55" t="e">
        <f>tbl_MA[[#This Row],[Qty Complete]]/tbl_MA[[#This Row],[Qty Required]]</f>
        <v>#DIV/0!</v>
      </c>
      <c r="K42" s="57" t="str">
        <f>IFERROR(tbl_MA[[#This Row],[Qty Required]]/tbl_MA[[#This Row],[PPH]]*tbl_MA[[#This Row],['# of men]],"")</f>
        <v/>
      </c>
      <c r="L42" s="58" t="e">
        <f>tbl_MA[[#This Row],[Total hours]]*tbl_MA[[#This Row],[% Complete]]</f>
        <v>#VALUE!</v>
      </c>
      <c r="M42" s="59" t="str">
        <f>IFERROR(tbl_MA[[#This Row],[Qty Complete]]/tbl_MA[[#This Row],[Total Hours Act]]*tbl_MA[[#This Row],['# of men Act]],"")</f>
        <v/>
      </c>
      <c r="O42"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42" s="71" t="str">
        <f>IFERROR((tbl_MA[[#This Row],[Adj. Total Hours]]+tbl_MA[[#This Row],[Est. Hours]])/(tbl_MA[[#This Row],[Total Hours Act]]+tbl_MA[[#This Row],[Act. Hours]]),"")</f>
        <v/>
      </c>
      <c r="S42" s="63"/>
      <c r="T42" s="63"/>
      <c r="U42" s="63"/>
      <c r="V42" s="63"/>
      <c r="W42" s="63"/>
    </row>
    <row r="43" spans="6:23" ht="25" customHeight="1">
      <c r="F43" s="53"/>
      <c r="H43" s="55" t="e">
        <f>tbl_MA[[#This Row],[Qty Complete]]/tbl_MA[[#This Row],[Qty Required]]</f>
        <v>#DIV/0!</v>
      </c>
      <c r="K43" s="57" t="str">
        <f>IFERROR(tbl_MA[[#This Row],[Qty Required]]/tbl_MA[[#This Row],[PPH]]*tbl_MA[[#This Row],['# of men]],"")</f>
        <v/>
      </c>
      <c r="L43" s="58" t="e">
        <f>tbl_MA[[#This Row],[Total hours]]*tbl_MA[[#This Row],[% Complete]]</f>
        <v>#VALUE!</v>
      </c>
      <c r="M43" s="59" t="str">
        <f>IFERROR(tbl_MA[[#This Row],[Qty Complete]]/tbl_MA[[#This Row],[Total Hours Act]]*tbl_MA[[#This Row],['# of men Act]],"")</f>
        <v/>
      </c>
      <c r="O43"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43" s="71" t="str">
        <f>IFERROR((tbl_MA[[#This Row],[Adj. Total Hours]]+tbl_MA[[#This Row],[Est. Hours]])/(tbl_MA[[#This Row],[Total Hours Act]]+tbl_MA[[#This Row],[Act. Hours]]),"")</f>
        <v/>
      </c>
      <c r="S43" s="63"/>
      <c r="T43" s="63"/>
      <c r="U43" s="63"/>
      <c r="V43" s="63"/>
      <c r="W43" s="63"/>
    </row>
    <row r="44" spans="6:23" ht="25" customHeight="1">
      <c r="F44" s="53"/>
      <c r="H44" s="55" t="e">
        <f>tbl_MA[[#This Row],[Qty Complete]]/tbl_MA[[#This Row],[Qty Required]]</f>
        <v>#DIV/0!</v>
      </c>
      <c r="K44" s="57" t="str">
        <f>IFERROR(tbl_MA[[#This Row],[Qty Required]]/tbl_MA[[#This Row],[PPH]]*tbl_MA[[#This Row],['# of men]],"")</f>
        <v/>
      </c>
      <c r="L44" s="58" t="e">
        <f>tbl_MA[[#This Row],[Total hours]]*tbl_MA[[#This Row],[% Complete]]</f>
        <v>#VALUE!</v>
      </c>
      <c r="M44" s="59" t="str">
        <f>IFERROR(tbl_MA[[#This Row],[Qty Complete]]/tbl_MA[[#This Row],[Total Hours Act]]*tbl_MA[[#This Row],['# of men Act]],"")</f>
        <v/>
      </c>
      <c r="O44"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44" s="71" t="str">
        <f>IFERROR((tbl_MA[[#This Row],[Adj. Total Hours]]+tbl_MA[[#This Row],[Est. Hours]])/(tbl_MA[[#This Row],[Total Hours Act]]+tbl_MA[[#This Row],[Act. Hours]]),"")</f>
        <v/>
      </c>
      <c r="S44" s="63"/>
      <c r="T44" s="63"/>
      <c r="U44" s="63"/>
      <c r="V44" s="63"/>
      <c r="W44" s="63"/>
    </row>
    <row r="45" spans="6:23" ht="25" customHeight="1">
      <c r="F45" s="53"/>
      <c r="H45" s="55" t="e">
        <f>tbl_MA[[#This Row],[Qty Complete]]/tbl_MA[[#This Row],[Qty Required]]</f>
        <v>#DIV/0!</v>
      </c>
      <c r="K45" s="57" t="str">
        <f>IFERROR(tbl_MA[[#This Row],[Qty Required]]/tbl_MA[[#This Row],[PPH]]*tbl_MA[[#This Row],['# of men]],"")</f>
        <v/>
      </c>
      <c r="L45" s="58" t="e">
        <f>tbl_MA[[#This Row],[Total hours]]*tbl_MA[[#This Row],[% Complete]]</f>
        <v>#VALUE!</v>
      </c>
      <c r="M45" s="59" t="str">
        <f>IFERROR(tbl_MA[[#This Row],[Qty Complete]]/tbl_MA[[#This Row],[Total Hours Act]]*tbl_MA[[#This Row],['# of men Act]],"")</f>
        <v/>
      </c>
      <c r="O45"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45" s="71" t="str">
        <f>IFERROR((tbl_MA[[#This Row],[Adj. Total Hours]]+tbl_MA[[#This Row],[Est. Hours]])/(tbl_MA[[#This Row],[Total Hours Act]]+tbl_MA[[#This Row],[Act. Hours]]),"")</f>
        <v/>
      </c>
      <c r="S45" s="63"/>
      <c r="T45" s="63"/>
      <c r="U45" s="63"/>
      <c r="V45" s="63"/>
      <c r="W45" s="63"/>
    </row>
    <row r="46" spans="6:23" ht="25" customHeight="1">
      <c r="F46" s="53"/>
      <c r="H46" s="55" t="e">
        <f>tbl_MA[[#This Row],[Qty Complete]]/tbl_MA[[#This Row],[Qty Required]]</f>
        <v>#DIV/0!</v>
      </c>
      <c r="K46" s="57" t="str">
        <f>IFERROR(tbl_MA[[#This Row],[Qty Required]]/tbl_MA[[#This Row],[PPH]]*tbl_MA[[#This Row],['# of men]],"")</f>
        <v/>
      </c>
      <c r="L46" s="58" t="e">
        <f>tbl_MA[[#This Row],[Total hours]]*tbl_MA[[#This Row],[% Complete]]</f>
        <v>#VALUE!</v>
      </c>
      <c r="M46" s="59" t="str">
        <f>IFERROR(tbl_MA[[#This Row],[Qty Complete]]/tbl_MA[[#This Row],[Total Hours Act]]*tbl_MA[[#This Row],['# of men Act]],"")</f>
        <v/>
      </c>
      <c r="O46"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46" s="71" t="str">
        <f>IFERROR((tbl_MA[[#This Row],[Adj. Total Hours]]+tbl_MA[[#This Row],[Est. Hours]])/(tbl_MA[[#This Row],[Total Hours Act]]+tbl_MA[[#This Row],[Act. Hours]]),"")</f>
        <v/>
      </c>
      <c r="S46" s="63"/>
      <c r="T46" s="63"/>
      <c r="U46" s="63"/>
      <c r="V46" s="63"/>
      <c r="W46" s="63"/>
    </row>
    <row r="47" spans="6:23" ht="25" customHeight="1">
      <c r="F47" s="53"/>
      <c r="H47" s="55" t="e">
        <f>tbl_MA[[#This Row],[Qty Complete]]/tbl_MA[[#This Row],[Qty Required]]</f>
        <v>#DIV/0!</v>
      </c>
      <c r="K47" s="57" t="str">
        <f>IFERROR(tbl_MA[[#This Row],[Qty Required]]/tbl_MA[[#This Row],[PPH]]*tbl_MA[[#This Row],['# of men]],"")</f>
        <v/>
      </c>
      <c r="L47" s="58" t="e">
        <f>tbl_MA[[#This Row],[Total hours]]*tbl_MA[[#This Row],[% Complete]]</f>
        <v>#VALUE!</v>
      </c>
      <c r="M47" s="59" t="str">
        <f>IFERROR(tbl_MA[[#This Row],[Qty Complete]]/tbl_MA[[#This Row],[Total Hours Act]]*tbl_MA[[#This Row],['# of men Act]],"")</f>
        <v/>
      </c>
      <c r="O47"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47" s="71" t="str">
        <f>IFERROR((tbl_MA[[#This Row],[Adj. Total Hours]]+tbl_MA[[#This Row],[Est. Hours]])/(tbl_MA[[#This Row],[Total Hours Act]]+tbl_MA[[#This Row],[Act. Hours]]),"")</f>
        <v/>
      </c>
      <c r="S47" s="63"/>
      <c r="T47" s="63"/>
      <c r="U47" s="63"/>
      <c r="V47" s="63"/>
      <c r="W47" s="63"/>
    </row>
    <row r="48" spans="6:23" ht="25" customHeight="1">
      <c r="F48" s="53"/>
      <c r="H48" s="55" t="e">
        <f>tbl_MA[[#This Row],[Qty Complete]]/tbl_MA[[#This Row],[Qty Required]]</f>
        <v>#DIV/0!</v>
      </c>
      <c r="K48" s="57" t="str">
        <f>IFERROR(tbl_MA[[#This Row],[Qty Required]]/tbl_MA[[#This Row],[PPH]]*tbl_MA[[#This Row],['# of men]],"")</f>
        <v/>
      </c>
      <c r="L48" s="58" t="e">
        <f>tbl_MA[[#This Row],[Total hours]]*tbl_MA[[#This Row],[% Complete]]</f>
        <v>#VALUE!</v>
      </c>
      <c r="M48" s="59" t="str">
        <f>IFERROR(tbl_MA[[#This Row],[Qty Complete]]/tbl_MA[[#This Row],[Total Hours Act]]*tbl_MA[[#This Row],['# of men Act]],"")</f>
        <v/>
      </c>
      <c r="O48"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48" s="71" t="str">
        <f>IFERROR((tbl_MA[[#This Row],[Adj. Total Hours]]+tbl_MA[[#This Row],[Est. Hours]])/(tbl_MA[[#This Row],[Total Hours Act]]+tbl_MA[[#This Row],[Act. Hours]]),"")</f>
        <v/>
      </c>
      <c r="S48" s="63"/>
      <c r="T48" s="63"/>
      <c r="U48" s="63"/>
      <c r="V48" s="63"/>
      <c r="W48" s="63"/>
    </row>
    <row r="49" spans="6:23" ht="25" customHeight="1">
      <c r="F49" s="53"/>
      <c r="H49" s="55" t="e">
        <f>tbl_MA[[#This Row],[Qty Complete]]/tbl_MA[[#This Row],[Qty Required]]</f>
        <v>#DIV/0!</v>
      </c>
      <c r="K49" s="57" t="str">
        <f>IFERROR(tbl_MA[[#This Row],[Qty Required]]/tbl_MA[[#This Row],[PPH]]*tbl_MA[[#This Row],['# of men]],"")</f>
        <v/>
      </c>
      <c r="L49" s="58" t="e">
        <f>tbl_MA[[#This Row],[Total hours]]*tbl_MA[[#This Row],[% Complete]]</f>
        <v>#VALUE!</v>
      </c>
      <c r="M49" s="59" t="str">
        <f>IFERROR(tbl_MA[[#This Row],[Qty Complete]]/tbl_MA[[#This Row],[Total Hours Act]]*tbl_MA[[#This Row],['# of men Act]],"")</f>
        <v/>
      </c>
      <c r="O49"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49" s="71" t="str">
        <f>IFERROR((tbl_MA[[#This Row],[Adj. Total Hours]]+tbl_MA[[#This Row],[Est. Hours]])/(tbl_MA[[#This Row],[Total Hours Act]]+tbl_MA[[#This Row],[Act. Hours]]),"")</f>
        <v/>
      </c>
      <c r="S49" s="63"/>
      <c r="T49" s="63"/>
      <c r="U49" s="63"/>
      <c r="V49" s="63"/>
      <c r="W49" s="63"/>
    </row>
    <row r="50" spans="6:23" ht="25" customHeight="1">
      <c r="F50" s="53"/>
      <c r="H50" s="55" t="e">
        <f>tbl_MA[[#This Row],[Qty Complete]]/tbl_MA[[#This Row],[Qty Required]]</f>
        <v>#DIV/0!</v>
      </c>
      <c r="K50" s="57" t="str">
        <f>IFERROR(tbl_MA[[#This Row],[Qty Required]]/tbl_MA[[#This Row],[PPH]]*tbl_MA[[#This Row],['# of men]],"")</f>
        <v/>
      </c>
      <c r="L50" s="58" t="e">
        <f>tbl_MA[[#This Row],[Total hours]]*tbl_MA[[#This Row],[% Complete]]</f>
        <v>#VALUE!</v>
      </c>
      <c r="M50" s="59" t="str">
        <f>IFERROR(tbl_MA[[#This Row],[Qty Complete]]/tbl_MA[[#This Row],[Total Hours Act]]*tbl_MA[[#This Row],['# of men Act]],"")</f>
        <v/>
      </c>
      <c r="O50"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50" s="71" t="str">
        <f>IFERROR((tbl_MA[[#This Row],[Adj. Total Hours]]+tbl_MA[[#This Row],[Est. Hours]])/(tbl_MA[[#This Row],[Total Hours Act]]+tbl_MA[[#This Row],[Act. Hours]]),"")</f>
        <v/>
      </c>
      <c r="S50" s="63"/>
      <c r="T50" s="63"/>
      <c r="U50" s="63"/>
      <c r="V50" s="63"/>
      <c r="W50" s="63"/>
    </row>
    <row r="51" spans="6:23" ht="25" customHeight="1">
      <c r="F51" s="53"/>
      <c r="H51" s="55" t="e">
        <f>tbl_MA[[#This Row],[Qty Complete]]/tbl_MA[[#This Row],[Qty Required]]</f>
        <v>#DIV/0!</v>
      </c>
      <c r="K51" s="57" t="str">
        <f>IFERROR(tbl_MA[[#This Row],[Qty Required]]/tbl_MA[[#This Row],[PPH]]*tbl_MA[[#This Row],['# of men]],"")</f>
        <v/>
      </c>
      <c r="L51" s="58" t="e">
        <f>tbl_MA[[#This Row],[Total hours]]*tbl_MA[[#This Row],[% Complete]]</f>
        <v>#VALUE!</v>
      </c>
      <c r="M51" s="59" t="str">
        <f>IFERROR(tbl_MA[[#This Row],[Qty Complete]]/tbl_MA[[#This Row],[Total Hours Act]]*tbl_MA[[#This Row],['# of men Act]],"")</f>
        <v/>
      </c>
      <c r="O51"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51" s="71" t="str">
        <f>IFERROR((tbl_MA[[#This Row],[Adj. Total Hours]]+tbl_MA[[#This Row],[Est. Hours]])/(tbl_MA[[#This Row],[Total Hours Act]]+tbl_MA[[#This Row],[Act. Hours]]),"")</f>
        <v/>
      </c>
      <c r="S51" s="63"/>
      <c r="T51" s="63"/>
      <c r="U51" s="63"/>
      <c r="V51" s="63"/>
      <c r="W51" s="63"/>
    </row>
    <row r="52" spans="6:23" ht="25" customHeight="1">
      <c r="F52" s="53"/>
      <c r="H52" s="55" t="e">
        <f>tbl_MA[[#This Row],[Qty Complete]]/tbl_MA[[#This Row],[Qty Required]]</f>
        <v>#DIV/0!</v>
      </c>
      <c r="K52" s="57" t="str">
        <f>IFERROR(tbl_MA[[#This Row],[Qty Required]]/tbl_MA[[#This Row],[PPH]]*tbl_MA[[#This Row],['# of men]],"")</f>
        <v/>
      </c>
      <c r="L52" s="58" t="e">
        <f>tbl_MA[[#This Row],[Total hours]]*tbl_MA[[#This Row],[% Complete]]</f>
        <v>#VALUE!</v>
      </c>
      <c r="M52" s="59" t="str">
        <f>IFERROR(tbl_MA[[#This Row],[Qty Complete]]/tbl_MA[[#This Row],[Total Hours Act]]*tbl_MA[[#This Row],['# of men Act]],"")</f>
        <v/>
      </c>
      <c r="O52"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52" s="71" t="str">
        <f>IFERROR((tbl_MA[[#This Row],[Adj. Total Hours]]+tbl_MA[[#This Row],[Est. Hours]])/(tbl_MA[[#This Row],[Total Hours Act]]+tbl_MA[[#This Row],[Act. Hours]]),"")</f>
        <v/>
      </c>
      <c r="S52" s="63"/>
      <c r="T52" s="63"/>
      <c r="U52" s="63"/>
      <c r="V52" s="63"/>
      <c r="W52" s="63"/>
    </row>
    <row r="53" spans="6:23" ht="25" customHeight="1">
      <c r="F53" s="53"/>
      <c r="H53" s="55" t="e">
        <f>tbl_MA[[#This Row],[Qty Complete]]/tbl_MA[[#This Row],[Qty Required]]</f>
        <v>#DIV/0!</v>
      </c>
      <c r="K53" s="57" t="str">
        <f>IFERROR(tbl_MA[[#This Row],[Qty Required]]/tbl_MA[[#This Row],[PPH]]*tbl_MA[[#This Row],['# of men]],"")</f>
        <v/>
      </c>
      <c r="L53" s="58" t="e">
        <f>tbl_MA[[#This Row],[Total hours]]*tbl_MA[[#This Row],[% Complete]]</f>
        <v>#VALUE!</v>
      </c>
      <c r="M53" s="59" t="str">
        <f>IFERROR(tbl_MA[[#This Row],[Qty Complete]]/tbl_MA[[#This Row],[Total Hours Act]]*tbl_MA[[#This Row],['# of men Act]],"")</f>
        <v/>
      </c>
      <c r="O53"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53" s="71" t="str">
        <f>IFERROR((tbl_MA[[#This Row],[Adj. Total Hours]]+tbl_MA[[#This Row],[Est. Hours]])/(tbl_MA[[#This Row],[Total Hours Act]]+tbl_MA[[#This Row],[Act. Hours]]),"")</f>
        <v/>
      </c>
      <c r="S53" s="63"/>
      <c r="T53" s="63"/>
      <c r="U53" s="63"/>
      <c r="V53" s="63"/>
      <c r="W53" s="63"/>
    </row>
    <row r="54" spans="6:23" ht="25" customHeight="1">
      <c r="F54" s="53"/>
      <c r="H54" s="55" t="e">
        <f>tbl_MA[[#This Row],[Qty Complete]]/tbl_MA[[#This Row],[Qty Required]]</f>
        <v>#DIV/0!</v>
      </c>
      <c r="K54" s="57" t="str">
        <f>IFERROR(tbl_MA[[#This Row],[Qty Required]]/tbl_MA[[#This Row],[PPH]]*tbl_MA[[#This Row],['# of men]],"")</f>
        <v/>
      </c>
      <c r="L54" s="58" t="e">
        <f>tbl_MA[[#This Row],[Total hours]]*tbl_MA[[#This Row],[% Complete]]</f>
        <v>#VALUE!</v>
      </c>
      <c r="M54" s="59" t="str">
        <f>IFERROR(tbl_MA[[#This Row],[Qty Complete]]/tbl_MA[[#This Row],[Total Hours Act]]*tbl_MA[[#This Row],['# of men Act]],"")</f>
        <v/>
      </c>
      <c r="O54"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54" s="71" t="str">
        <f>IFERROR((tbl_MA[[#This Row],[Adj. Total Hours]]+tbl_MA[[#This Row],[Est. Hours]])/(tbl_MA[[#This Row],[Total Hours Act]]+tbl_MA[[#This Row],[Act. Hours]]),"")</f>
        <v/>
      </c>
      <c r="S54" s="63"/>
      <c r="T54" s="63"/>
      <c r="U54" s="63"/>
      <c r="V54" s="63"/>
      <c r="W54" s="63"/>
    </row>
    <row r="55" spans="6:23" ht="25" customHeight="1">
      <c r="F55" s="53"/>
      <c r="H55" s="55" t="e">
        <f>tbl_MA[[#This Row],[Qty Complete]]/tbl_MA[[#This Row],[Qty Required]]</f>
        <v>#DIV/0!</v>
      </c>
      <c r="K55" s="57" t="str">
        <f>IFERROR(tbl_MA[[#This Row],[Qty Required]]/tbl_MA[[#This Row],[PPH]]*tbl_MA[[#This Row],['# of men]],"")</f>
        <v/>
      </c>
      <c r="L55" s="58" t="e">
        <f>tbl_MA[[#This Row],[Total hours]]*tbl_MA[[#This Row],[% Complete]]</f>
        <v>#VALUE!</v>
      </c>
      <c r="M55" s="59" t="str">
        <f>IFERROR(tbl_MA[[#This Row],[Qty Complete]]/tbl_MA[[#This Row],[Total Hours Act]]*tbl_MA[[#This Row],['# of men Act]],"")</f>
        <v/>
      </c>
      <c r="O55"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55" s="71" t="str">
        <f>IFERROR((tbl_MA[[#This Row],[Adj. Total Hours]]+tbl_MA[[#This Row],[Est. Hours]])/(tbl_MA[[#This Row],[Total Hours Act]]+tbl_MA[[#This Row],[Act. Hours]]),"")</f>
        <v/>
      </c>
      <c r="S55" s="63"/>
      <c r="T55" s="63"/>
      <c r="U55" s="63"/>
      <c r="V55" s="63"/>
      <c r="W55" s="63"/>
    </row>
    <row r="56" spans="6:23" ht="25" customHeight="1">
      <c r="F56" s="53"/>
      <c r="H56" s="55" t="e">
        <f>tbl_MA[[#This Row],[Qty Complete]]/tbl_MA[[#This Row],[Qty Required]]</f>
        <v>#DIV/0!</v>
      </c>
      <c r="K56" s="57" t="str">
        <f>IFERROR(tbl_MA[[#This Row],[Qty Required]]/tbl_MA[[#This Row],[PPH]]*tbl_MA[[#This Row],['# of men]],"")</f>
        <v/>
      </c>
      <c r="L56" s="58" t="e">
        <f>tbl_MA[[#This Row],[Total hours]]*tbl_MA[[#This Row],[% Complete]]</f>
        <v>#VALUE!</v>
      </c>
      <c r="M56" s="59" t="str">
        <f>IFERROR(tbl_MA[[#This Row],[Qty Complete]]/tbl_MA[[#This Row],[Total Hours Act]]*tbl_MA[[#This Row],['# of men Act]],"")</f>
        <v/>
      </c>
      <c r="O56"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56" s="71" t="str">
        <f>IFERROR((tbl_MA[[#This Row],[Adj. Total Hours]]+tbl_MA[[#This Row],[Est. Hours]])/(tbl_MA[[#This Row],[Total Hours Act]]+tbl_MA[[#This Row],[Act. Hours]]),"")</f>
        <v/>
      </c>
      <c r="S56" s="63"/>
      <c r="T56" s="63"/>
      <c r="U56" s="63"/>
      <c r="V56" s="63"/>
      <c r="W56" s="63"/>
    </row>
    <row r="57" spans="6:23" ht="25" customHeight="1">
      <c r="F57" s="53"/>
      <c r="H57" s="55" t="e">
        <f>tbl_MA[[#This Row],[Qty Complete]]/tbl_MA[[#This Row],[Qty Required]]</f>
        <v>#DIV/0!</v>
      </c>
      <c r="K57" s="57" t="str">
        <f>IFERROR(tbl_MA[[#This Row],[Qty Required]]/tbl_MA[[#This Row],[PPH]]*tbl_MA[[#This Row],['# of men]],"")</f>
        <v/>
      </c>
      <c r="L57" s="58" t="e">
        <f>tbl_MA[[#This Row],[Total hours]]*tbl_MA[[#This Row],[% Complete]]</f>
        <v>#VALUE!</v>
      </c>
      <c r="M57" s="59" t="str">
        <f>IFERROR(tbl_MA[[#This Row],[Qty Complete]]/tbl_MA[[#This Row],[Total Hours Act]]*tbl_MA[[#This Row],['# of men Act]],"")</f>
        <v/>
      </c>
      <c r="O57"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57" s="71" t="str">
        <f>IFERROR((tbl_MA[[#This Row],[Adj. Total Hours]]+tbl_MA[[#This Row],[Est. Hours]])/(tbl_MA[[#This Row],[Total Hours Act]]+tbl_MA[[#This Row],[Act. Hours]]),"")</f>
        <v/>
      </c>
      <c r="S57" s="63"/>
      <c r="T57" s="63"/>
      <c r="U57" s="63"/>
      <c r="V57" s="63"/>
      <c r="W57" s="63"/>
    </row>
    <row r="58" spans="6:23" ht="25" customHeight="1">
      <c r="F58" s="53"/>
      <c r="H58" s="55" t="e">
        <f>tbl_MA[[#This Row],[Qty Complete]]/tbl_MA[[#This Row],[Qty Required]]</f>
        <v>#DIV/0!</v>
      </c>
      <c r="K58" s="57" t="str">
        <f>IFERROR(tbl_MA[[#This Row],[Qty Required]]/tbl_MA[[#This Row],[PPH]]*tbl_MA[[#This Row],['# of men]],"")</f>
        <v/>
      </c>
      <c r="L58" s="58" t="e">
        <f>tbl_MA[[#This Row],[Total hours]]*tbl_MA[[#This Row],[% Complete]]</f>
        <v>#VALUE!</v>
      </c>
      <c r="M58" s="59" t="str">
        <f>IFERROR(tbl_MA[[#This Row],[Qty Complete]]/tbl_MA[[#This Row],[Total Hours Act]]*tbl_MA[[#This Row],['# of men Act]],"")</f>
        <v/>
      </c>
      <c r="O58"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58" s="71" t="str">
        <f>IFERROR((tbl_MA[[#This Row],[Adj. Total Hours]]+tbl_MA[[#This Row],[Est. Hours]])/(tbl_MA[[#This Row],[Total Hours Act]]+tbl_MA[[#This Row],[Act. Hours]]),"")</f>
        <v/>
      </c>
      <c r="S58" s="63"/>
      <c r="T58" s="63"/>
      <c r="U58" s="63"/>
      <c r="V58" s="63"/>
      <c r="W58" s="63"/>
    </row>
    <row r="59" spans="6:23" ht="25" customHeight="1">
      <c r="F59" s="53"/>
      <c r="H59" s="55" t="e">
        <f>tbl_MA[[#This Row],[Qty Complete]]/tbl_MA[[#This Row],[Qty Required]]</f>
        <v>#DIV/0!</v>
      </c>
      <c r="K59" s="57" t="str">
        <f>IFERROR(tbl_MA[[#This Row],[Qty Required]]/tbl_MA[[#This Row],[PPH]]*tbl_MA[[#This Row],['# of men]],"")</f>
        <v/>
      </c>
      <c r="L59" s="58" t="e">
        <f>tbl_MA[[#This Row],[Total hours]]*tbl_MA[[#This Row],[% Complete]]</f>
        <v>#VALUE!</v>
      </c>
      <c r="M59" s="59" t="str">
        <f>IFERROR(tbl_MA[[#This Row],[Qty Complete]]/tbl_MA[[#This Row],[Total Hours Act]]*tbl_MA[[#This Row],['# of men Act]],"")</f>
        <v/>
      </c>
      <c r="O59"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59" s="71" t="str">
        <f>IFERROR((tbl_MA[[#This Row],[Adj. Total Hours]]+tbl_MA[[#This Row],[Est. Hours]])/(tbl_MA[[#This Row],[Total Hours Act]]+tbl_MA[[#This Row],[Act. Hours]]),"")</f>
        <v/>
      </c>
      <c r="S59" s="63"/>
      <c r="T59" s="63"/>
      <c r="U59" s="63"/>
      <c r="V59" s="63"/>
      <c r="W59" s="63"/>
    </row>
    <row r="60" spans="6:23" ht="25" customHeight="1">
      <c r="F60" s="53"/>
      <c r="H60" s="55" t="e">
        <f>tbl_MA[[#This Row],[Qty Complete]]/tbl_MA[[#This Row],[Qty Required]]</f>
        <v>#DIV/0!</v>
      </c>
      <c r="K60" s="57" t="str">
        <f>IFERROR(tbl_MA[[#This Row],[Qty Required]]/tbl_MA[[#This Row],[PPH]]*tbl_MA[[#This Row],['# of men]],"")</f>
        <v/>
      </c>
      <c r="L60" s="58" t="e">
        <f>tbl_MA[[#This Row],[Total hours]]*tbl_MA[[#This Row],[% Complete]]</f>
        <v>#VALUE!</v>
      </c>
      <c r="M60" s="59" t="str">
        <f>IFERROR(tbl_MA[[#This Row],[Qty Complete]]/tbl_MA[[#This Row],[Total Hours Act]]*tbl_MA[[#This Row],['# of men Act]],"")</f>
        <v/>
      </c>
      <c r="O60"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60" s="71" t="str">
        <f>IFERROR((tbl_MA[[#This Row],[Adj. Total Hours]]+tbl_MA[[#This Row],[Est. Hours]])/(tbl_MA[[#This Row],[Total Hours Act]]+tbl_MA[[#This Row],[Act. Hours]]),"")</f>
        <v/>
      </c>
      <c r="S60" s="63"/>
      <c r="T60" s="63"/>
      <c r="U60" s="63"/>
      <c r="V60" s="63"/>
      <c r="W60" s="63"/>
    </row>
    <row r="61" spans="6:23" ht="25" customHeight="1">
      <c r="F61" s="53"/>
      <c r="H61" s="55" t="e">
        <f>tbl_MA[[#This Row],[Qty Complete]]/tbl_MA[[#This Row],[Qty Required]]</f>
        <v>#DIV/0!</v>
      </c>
      <c r="K61" s="57" t="str">
        <f>IFERROR(tbl_MA[[#This Row],[Qty Required]]/tbl_MA[[#This Row],[PPH]]*tbl_MA[[#This Row],['# of men]],"")</f>
        <v/>
      </c>
      <c r="L61" s="58" t="e">
        <f>tbl_MA[[#This Row],[Total hours]]*tbl_MA[[#This Row],[% Complete]]</f>
        <v>#VALUE!</v>
      </c>
      <c r="M61" s="59" t="str">
        <f>IFERROR(tbl_MA[[#This Row],[Qty Complete]]/tbl_MA[[#This Row],[Total Hours Act]]*tbl_MA[[#This Row],['# of men Act]],"")</f>
        <v/>
      </c>
      <c r="O61"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61" s="71" t="str">
        <f>IFERROR((tbl_MA[[#This Row],[Adj. Total Hours]]+tbl_MA[[#This Row],[Est. Hours]])/(tbl_MA[[#This Row],[Total Hours Act]]+tbl_MA[[#This Row],[Act. Hours]]),"")</f>
        <v/>
      </c>
      <c r="S61" s="63"/>
      <c r="T61" s="63"/>
      <c r="U61" s="63"/>
      <c r="V61" s="63"/>
      <c r="W61" s="63"/>
    </row>
    <row r="62" spans="6:23" ht="25" customHeight="1">
      <c r="F62" s="53"/>
      <c r="H62" s="55" t="e">
        <f>tbl_MA[[#This Row],[Qty Complete]]/tbl_MA[[#This Row],[Qty Required]]</f>
        <v>#DIV/0!</v>
      </c>
      <c r="K62" s="57" t="str">
        <f>IFERROR(tbl_MA[[#This Row],[Qty Required]]/tbl_MA[[#This Row],[PPH]]*tbl_MA[[#This Row],['# of men]],"")</f>
        <v/>
      </c>
      <c r="L62" s="58" t="e">
        <f>tbl_MA[[#This Row],[Total hours]]*tbl_MA[[#This Row],[% Complete]]</f>
        <v>#VALUE!</v>
      </c>
      <c r="M62" s="59" t="str">
        <f>IFERROR(tbl_MA[[#This Row],[Qty Complete]]/tbl_MA[[#This Row],[Total Hours Act]]*tbl_MA[[#This Row],['# of men Act]],"")</f>
        <v/>
      </c>
      <c r="O62"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62" s="71" t="str">
        <f>IFERROR((tbl_MA[[#This Row],[Adj. Total Hours]]+tbl_MA[[#This Row],[Est. Hours]])/(tbl_MA[[#This Row],[Total Hours Act]]+tbl_MA[[#This Row],[Act. Hours]]),"")</f>
        <v/>
      </c>
      <c r="S62" s="63"/>
      <c r="T62" s="63"/>
      <c r="U62" s="63"/>
      <c r="V62" s="63"/>
      <c r="W62" s="63"/>
    </row>
    <row r="63" spans="6:23" ht="25" customHeight="1">
      <c r="F63" s="53"/>
      <c r="H63" s="55" t="e">
        <f>tbl_MA[[#This Row],[Qty Complete]]/tbl_MA[[#This Row],[Qty Required]]</f>
        <v>#DIV/0!</v>
      </c>
      <c r="K63" s="57" t="str">
        <f>IFERROR(tbl_MA[[#This Row],[Qty Required]]/tbl_MA[[#This Row],[PPH]]*tbl_MA[[#This Row],['# of men]],"")</f>
        <v/>
      </c>
      <c r="L63" s="58" t="e">
        <f>tbl_MA[[#This Row],[Total hours]]*tbl_MA[[#This Row],[% Complete]]</f>
        <v>#VALUE!</v>
      </c>
      <c r="M63" s="59" t="str">
        <f>IFERROR(tbl_MA[[#This Row],[Qty Complete]]/tbl_MA[[#This Row],[Total Hours Act]]*tbl_MA[[#This Row],['# of men Act]],"")</f>
        <v/>
      </c>
      <c r="O63"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63" s="71" t="str">
        <f>IFERROR((tbl_MA[[#This Row],[Adj. Total Hours]]+tbl_MA[[#This Row],[Est. Hours]])/(tbl_MA[[#This Row],[Total Hours Act]]+tbl_MA[[#This Row],[Act. Hours]]),"")</f>
        <v/>
      </c>
      <c r="S63" s="63"/>
      <c r="T63" s="63"/>
      <c r="U63" s="63"/>
      <c r="V63" s="63"/>
      <c r="W63" s="63"/>
    </row>
    <row r="64" spans="6:23" ht="25" customHeight="1">
      <c r="F64" s="53"/>
      <c r="H64" s="55" t="e">
        <f>tbl_MA[[#This Row],[Qty Complete]]/tbl_MA[[#This Row],[Qty Required]]</f>
        <v>#DIV/0!</v>
      </c>
      <c r="K64" s="57" t="str">
        <f>IFERROR(tbl_MA[[#This Row],[Qty Required]]/tbl_MA[[#This Row],[PPH]]*tbl_MA[[#This Row],['# of men]],"")</f>
        <v/>
      </c>
      <c r="L64" s="58" t="e">
        <f>tbl_MA[[#This Row],[Total hours]]*tbl_MA[[#This Row],[% Complete]]</f>
        <v>#VALUE!</v>
      </c>
      <c r="M64" s="59" t="str">
        <f>IFERROR(tbl_MA[[#This Row],[Qty Complete]]/tbl_MA[[#This Row],[Total Hours Act]]*tbl_MA[[#This Row],['# of men Act]],"")</f>
        <v/>
      </c>
      <c r="O64"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64" s="71" t="str">
        <f>IFERROR((tbl_MA[[#This Row],[Adj. Total Hours]]+tbl_MA[[#This Row],[Est. Hours]])/(tbl_MA[[#This Row],[Total Hours Act]]+tbl_MA[[#This Row],[Act. Hours]]),"")</f>
        <v/>
      </c>
      <c r="S64" s="63"/>
      <c r="T64" s="63"/>
      <c r="U64" s="63"/>
      <c r="V64" s="63"/>
      <c r="W64" s="63"/>
    </row>
    <row r="65" spans="6:23" ht="25" customHeight="1">
      <c r="F65" s="53"/>
      <c r="H65" s="55" t="e">
        <f>tbl_MA[[#This Row],[Qty Complete]]/tbl_MA[[#This Row],[Qty Required]]</f>
        <v>#DIV/0!</v>
      </c>
      <c r="K65" s="57" t="str">
        <f>IFERROR(tbl_MA[[#This Row],[Qty Required]]/tbl_MA[[#This Row],[PPH]]*tbl_MA[[#This Row],['# of men]],"")</f>
        <v/>
      </c>
      <c r="L65" s="58" t="e">
        <f>tbl_MA[[#This Row],[Total hours]]*tbl_MA[[#This Row],[% Complete]]</f>
        <v>#VALUE!</v>
      </c>
      <c r="M65" s="59" t="str">
        <f>IFERROR(tbl_MA[[#This Row],[Qty Complete]]/tbl_MA[[#This Row],[Total Hours Act]]*tbl_MA[[#This Row],['# of men Act]],"")</f>
        <v/>
      </c>
      <c r="O65"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65" s="71" t="str">
        <f>IFERROR((tbl_MA[[#This Row],[Adj. Total Hours]]+tbl_MA[[#This Row],[Est. Hours]])/(tbl_MA[[#This Row],[Total Hours Act]]+tbl_MA[[#This Row],[Act. Hours]]),"")</f>
        <v/>
      </c>
      <c r="S65" s="63"/>
      <c r="T65" s="63"/>
      <c r="U65" s="63"/>
      <c r="V65" s="63"/>
      <c r="W65" s="63"/>
    </row>
    <row r="66" spans="6:23" ht="25" customHeight="1">
      <c r="F66" s="53"/>
      <c r="H66" s="55" t="e">
        <f>tbl_MA[[#This Row],[Qty Complete]]/tbl_MA[[#This Row],[Qty Required]]</f>
        <v>#DIV/0!</v>
      </c>
      <c r="K66" s="57" t="str">
        <f>IFERROR(tbl_MA[[#This Row],[Qty Required]]/tbl_MA[[#This Row],[PPH]]*tbl_MA[[#This Row],['# of men]],"")</f>
        <v/>
      </c>
      <c r="L66" s="58" t="e">
        <f>tbl_MA[[#This Row],[Total hours]]*tbl_MA[[#This Row],[% Complete]]</f>
        <v>#VALUE!</v>
      </c>
      <c r="M66" s="59" t="str">
        <f>IFERROR(tbl_MA[[#This Row],[Qty Complete]]/tbl_MA[[#This Row],[Total Hours Act]]*tbl_MA[[#This Row],['# of men Act]],"")</f>
        <v/>
      </c>
      <c r="O66"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66" s="71" t="str">
        <f>IFERROR((tbl_MA[[#This Row],[Adj. Total Hours]]+tbl_MA[[#This Row],[Est. Hours]])/(tbl_MA[[#This Row],[Total Hours Act]]+tbl_MA[[#This Row],[Act. Hours]]),"")</f>
        <v/>
      </c>
      <c r="S66" s="63"/>
      <c r="T66" s="63"/>
      <c r="U66" s="63"/>
      <c r="V66" s="63"/>
      <c r="W66" s="63"/>
    </row>
    <row r="67" spans="6:23" ht="25" customHeight="1">
      <c r="F67" s="53"/>
      <c r="H67" s="55" t="e">
        <f>tbl_MA[[#This Row],[Qty Complete]]/tbl_MA[[#This Row],[Qty Required]]</f>
        <v>#DIV/0!</v>
      </c>
      <c r="K67" s="57" t="str">
        <f>IFERROR(tbl_MA[[#This Row],[Qty Required]]/tbl_MA[[#This Row],[PPH]]*tbl_MA[[#This Row],['# of men]],"")</f>
        <v/>
      </c>
      <c r="L67" s="58" t="e">
        <f>tbl_MA[[#This Row],[Total hours]]*tbl_MA[[#This Row],[% Complete]]</f>
        <v>#VALUE!</v>
      </c>
      <c r="M67" s="59" t="str">
        <f>IFERROR(tbl_MA[[#This Row],[Qty Complete]]/tbl_MA[[#This Row],[Total Hours Act]]*tbl_MA[[#This Row],['# of men Act]],"")</f>
        <v/>
      </c>
      <c r="O67"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67" s="71" t="str">
        <f>IFERROR((tbl_MA[[#This Row],[Adj. Total Hours]]+tbl_MA[[#This Row],[Est. Hours]])/(tbl_MA[[#This Row],[Total Hours Act]]+tbl_MA[[#This Row],[Act. Hours]]),"")</f>
        <v/>
      </c>
      <c r="S67" s="63"/>
      <c r="T67" s="63"/>
      <c r="U67" s="63"/>
      <c r="V67" s="63"/>
      <c r="W67" s="63"/>
    </row>
    <row r="68" spans="6:23" ht="25" customHeight="1">
      <c r="F68" s="53"/>
      <c r="H68" s="55" t="e">
        <f>tbl_MA[[#This Row],[Qty Complete]]/tbl_MA[[#This Row],[Qty Required]]</f>
        <v>#DIV/0!</v>
      </c>
      <c r="K68" s="57" t="str">
        <f>IFERROR(tbl_MA[[#This Row],[Qty Required]]/tbl_MA[[#This Row],[PPH]]*tbl_MA[[#This Row],['# of men]],"")</f>
        <v/>
      </c>
      <c r="L68" s="58" t="e">
        <f>tbl_MA[[#This Row],[Total hours]]*tbl_MA[[#This Row],[% Complete]]</f>
        <v>#VALUE!</v>
      </c>
      <c r="M68" s="59" t="str">
        <f>IFERROR(tbl_MA[[#This Row],[Qty Complete]]/tbl_MA[[#This Row],[Total Hours Act]]*tbl_MA[[#This Row],['# of men Act]],"")</f>
        <v/>
      </c>
      <c r="O68"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68" s="71" t="str">
        <f>IFERROR((tbl_MA[[#This Row],[Adj. Total Hours]]+tbl_MA[[#This Row],[Est. Hours]])/(tbl_MA[[#This Row],[Total Hours Act]]+tbl_MA[[#This Row],[Act. Hours]]),"")</f>
        <v/>
      </c>
      <c r="S68" s="63"/>
      <c r="T68" s="63"/>
      <c r="U68" s="63"/>
      <c r="V68" s="63"/>
      <c r="W68" s="63"/>
    </row>
    <row r="69" spans="6:23" ht="25" customHeight="1">
      <c r="F69" s="53"/>
      <c r="H69" s="55" t="e">
        <f>tbl_MA[[#This Row],[Qty Complete]]/tbl_MA[[#This Row],[Qty Required]]</f>
        <v>#DIV/0!</v>
      </c>
      <c r="K69" s="57" t="str">
        <f>IFERROR(tbl_MA[[#This Row],[Qty Required]]/tbl_MA[[#This Row],[PPH]]*tbl_MA[[#This Row],['# of men]],"")</f>
        <v/>
      </c>
      <c r="L69" s="58" t="e">
        <f>tbl_MA[[#This Row],[Total hours]]*tbl_MA[[#This Row],[% Complete]]</f>
        <v>#VALUE!</v>
      </c>
      <c r="M69" s="59" t="str">
        <f>IFERROR(tbl_MA[[#This Row],[Qty Complete]]/tbl_MA[[#This Row],[Total Hours Act]]*tbl_MA[[#This Row],['# of men Act]],"")</f>
        <v/>
      </c>
      <c r="O69"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69" s="71" t="str">
        <f>IFERROR((tbl_MA[[#This Row],[Adj. Total Hours]]+tbl_MA[[#This Row],[Est. Hours]])/(tbl_MA[[#This Row],[Total Hours Act]]+tbl_MA[[#This Row],[Act. Hours]]),"")</f>
        <v/>
      </c>
      <c r="S69" s="63"/>
      <c r="T69" s="63"/>
      <c r="U69" s="63"/>
      <c r="V69" s="63"/>
      <c r="W69" s="63"/>
    </row>
    <row r="70" spans="6:23" ht="25" customHeight="1">
      <c r="F70" s="53"/>
      <c r="H70" s="55" t="e">
        <f>tbl_MA[[#This Row],[Qty Complete]]/tbl_MA[[#This Row],[Qty Required]]</f>
        <v>#DIV/0!</v>
      </c>
      <c r="K70" s="57" t="str">
        <f>IFERROR(tbl_MA[[#This Row],[Qty Required]]/tbl_MA[[#This Row],[PPH]]*tbl_MA[[#This Row],['# of men]],"")</f>
        <v/>
      </c>
      <c r="L70" s="58" t="e">
        <f>tbl_MA[[#This Row],[Total hours]]*tbl_MA[[#This Row],[% Complete]]</f>
        <v>#VALUE!</v>
      </c>
      <c r="M70" s="59" t="str">
        <f>IFERROR(tbl_MA[[#This Row],[Qty Complete]]/tbl_MA[[#This Row],[Total Hours Act]]*tbl_MA[[#This Row],['# of men Act]],"")</f>
        <v/>
      </c>
      <c r="O70"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70" s="71" t="str">
        <f>IFERROR((tbl_MA[[#This Row],[Adj. Total Hours]]+tbl_MA[[#This Row],[Est. Hours]])/(tbl_MA[[#This Row],[Total Hours Act]]+tbl_MA[[#This Row],[Act. Hours]]),"")</f>
        <v/>
      </c>
      <c r="S70" s="63"/>
      <c r="T70" s="63"/>
      <c r="U70" s="63"/>
      <c r="V70" s="63"/>
      <c r="W70" s="63"/>
    </row>
    <row r="71" spans="6:23" ht="25" customHeight="1">
      <c r="F71" s="53"/>
      <c r="H71" s="55" t="e">
        <f>tbl_MA[[#This Row],[Qty Complete]]/tbl_MA[[#This Row],[Qty Required]]</f>
        <v>#DIV/0!</v>
      </c>
      <c r="K71" s="57" t="str">
        <f>IFERROR(tbl_MA[[#This Row],[Qty Required]]/tbl_MA[[#This Row],[PPH]]*tbl_MA[[#This Row],['# of men]],"")</f>
        <v/>
      </c>
      <c r="L71" s="58" t="e">
        <f>tbl_MA[[#This Row],[Total hours]]*tbl_MA[[#This Row],[% Complete]]</f>
        <v>#VALUE!</v>
      </c>
      <c r="M71" s="59" t="str">
        <f>IFERROR(tbl_MA[[#This Row],[Qty Complete]]/tbl_MA[[#This Row],[Total Hours Act]]*tbl_MA[[#This Row],['# of men Act]],"")</f>
        <v/>
      </c>
      <c r="O71"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71" s="71" t="str">
        <f>IFERROR((tbl_MA[[#This Row],[Adj. Total Hours]]+tbl_MA[[#This Row],[Est. Hours]])/(tbl_MA[[#This Row],[Total Hours Act]]+tbl_MA[[#This Row],[Act. Hours]]),"")</f>
        <v/>
      </c>
      <c r="S71" s="63"/>
      <c r="T71" s="63"/>
      <c r="U71" s="63"/>
      <c r="V71" s="63"/>
      <c r="W71" s="63"/>
    </row>
    <row r="72" spans="6:23" ht="25" customHeight="1">
      <c r="F72" s="53"/>
      <c r="H72" s="55" t="e">
        <f>tbl_MA[[#This Row],[Qty Complete]]/tbl_MA[[#This Row],[Qty Required]]</f>
        <v>#DIV/0!</v>
      </c>
      <c r="K72" s="57" t="str">
        <f>IFERROR(tbl_MA[[#This Row],[Qty Required]]/tbl_MA[[#This Row],[PPH]]*tbl_MA[[#This Row],['# of men]],"")</f>
        <v/>
      </c>
      <c r="L72" s="58" t="e">
        <f>tbl_MA[[#This Row],[Total hours]]*tbl_MA[[#This Row],[% Complete]]</f>
        <v>#VALUE!</v>
      </c>
      <c r="M72" s="59" t="str">
        <f>IFERROR(tbl_MA[[#This Row],[Qty Complete]]/tbl_MA[[#This Row],[Total Hours Act]]*tbl_MA[[#This Row],['# of men Act]],"")</f>
        <v/>
      </c>
      <c r="O72"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72" s="71" t="str">
        <f>IFERROR((tbl_MA[[#This Row],[Adj. Total Hours]]+tbl_MA[[#This Row],[Est. Hours]])/(tbl_MA[[#This Row],[Total Hours Act]]+tbl_MA[[#This Row],[Act. Hours]]),"")</f>
        <v/>
      </c>
      <c r="S72" s="63"/>
      <c r="T72" s="63"/>
      <c r="U72" s="63"/>
      <c r="V72" s="63"/>
      <c r="W72" s="63"/>
    </row>
    <row r="73" spans="6:23" ht="25" customHeight="1">
      <c r="F73" s="53"/>
      <c r="H73" s="55" t="e">
        <f>tbl_MA[[#This Row],[Qty Complete]]/tbl_MA[[#This Row],[Qty Required]]</f>
        <v>#DIV/0!</v>
      </c>
      <c r="K73" s="57" t="str">
        <f>IFERROR(tbl_MA[[#This Row],[Qty Required]]/tbl_MA[[#This Row],[PPH]]*tbl_MA[[#This Row],['# of men]],"")</f>
        <v/>
      </c>
      <c r="L73" s="58" t="e">
        <f>tbl_MA[[#This Row],[Total hours]]*tbl_MA[[#This Row],[% Complete]]</f>
        <v>#VALUE!</v>
      </c>
      <c r="M73" s="59" t="str">
        <f>IFERROR(tbl_MA[[#This Row],[Qty Complete]]/tbl_MA[[#This Row],[Total Hours Act]]*tbl_MA[[#This Row],['# of men Act]],"")</f>
        <v/>
      </c>
      <c r="O73"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73" s="71" t="str">
        <f>IFERROR((tbl_MA[[#This Row],[Adj. Total Hours]]+tbl_MA[[#This Row],[Est. Hours]])/(tbl_MA[[#This Row],[Total Hours Act]]+tbl_MA[[#This Row],[Act. Hours]]),"")</f>
        <v/>
      </c>
      <c r="S73" s="63"/>
      <c r="T73" s="63"/>
      <c r="U73" s="63"/>
      <c r="V73" s="63"/>
      <c r="W73" s="63"/>
    </row>
    <row r="74" spans="6:23" ht="25" customHeight="1">
      <c r="F74" s="53"/>
      <c r="H74" s="55" t="e">
        <f>tbl_MA[[#This Row],[Qty Complete]]/tbl_MA[[#This Row],[Qty Required]]</f>
        <v>#DIV/0!</v>
      </c>
      <c r="K74" s="57" t="str">
        <f>IFERROR(tbl_MA[[#This Row],[Qty Required]]/tbl_MA[[#This Row],[PPH]]*tbl_MA[[#This Row],['# of men]],"")</f>
        <v/>
      </c>
      <c r="L74" s="58" t="e">
        <f>tbl_MA[[#This Row],[Total hours]]*tbl_MA[[#This Row],[% Complete]]</f>
        <v>#VALUE!</v>
      </c>
      <c r="M74" s="59" t="str">
        <f>IFERROR(tbl_MA[[#This Row],[Qty Complete]]/tbl_MA[[#This Row],[Total Hours Act]]*tbl_MA[[#This Row],['# of men Act]],"")</f>
        <v/>
      </c>
      <c r="O74"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74" s="71" t="str">
        <f>IFERROR((tbl_MA[[#This Row],[Adj. Total Hours]]+tbl_MA[[#This Row],[Est. Hours]])/(tbl_MA[[#This Row],[Total Hours Act]]+tbl_MA[[#This Row],[Act. Hours]]),"")</f>
        <v/>
      </c>
      <c r="S74" s="63"/>
      <c r="T74" s="63"/>
      <c r="U74" s="63"/>
      <c r="V74" s="63"/>
      <c r="W74" s="63"/>
    </row>
    <row r="75" spans="6:23" ht="25" customHeight="1">
      <c r="F75" s="53"/>
      <c r="H75" s="55" t="e">
        <f>tbl_MA[[#This Row],[Qty Complete]]/tbl_MA[[#This Row],[Qty Required]]</f>
        <v>#DIV/0!</v>
      </c>
      <c r="K75" s="57" t="str">
        <f>IFERROR(tbl_MA[[#This Row],[Qty Required]]/tbl_MA[[#This Row],[PPH]]*tbl_MA[[#This Row],['# of men]],"")</f>
        <v/>
      </c>
      <c r="L75" s="58" t="e">
        <f>tbl_MA[[#This Row],[Total hours]]*tbl_MA[[#This Row],[% Complete]]</f>
        <v>#VALUE!</v>
      </c>
      <c r="M75" s="59" t="str">
        <f>IFERROR(tbl_MA[[#This Row],[Qty Complete]]/tbl_MA[[#This Row],[Total Hours Act]]*tbl_MA[[#This Row],['# of men Act]],"")</f>
        <v/>
      </c>
      <c r="O75"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75" s="71" t="str">
        <f>IFERROR((tbl_MA[[#This Row],[Adj. Total Hours]]+tbl_MA[[#This Row],[Est. Hours]])/(tbl_MA[[#This Row],[Total Hours Act]]+tbl_MA[[#This Row],[Act. Hours]]),"")</f>
        <v/>
      </c>
      <c r="S75" s="63"/>
      <c r="T75" s="63"/>
      <c r="U75" s="63"/>
      <c r="V75" s="63"/>
      <c r="W75" s="63"/>
    </row>
    <row r="76" spans="6:23" ht="25" customHeight="1">
      <c r="F76" s="53"/>
      <c r="H76" s="55" t="e">
        <f>tbl_MA[[#This Row],[Qty Complete]]/tbl_MA[[#This Row],[Qty Required]]</f>
        <v>#DIV/0!</v>
      </c>
      <c r="K76" s="57" t="str">
        <f>IFERROR(tbl_MA[[#This Row],[Qty Required]]/tbl_MA[[#This Row],[PPH]]*tbl_MA[[#This Row],['# of men]],"")</f>
        <v/>
      </c>
      <c r="L76" s="58" t="e">
        <f>tbl_MA[[#This Row],[Total hours]]*tbl_MA[[#This Row],[% Complete]]</f>
        <v>#VALUE!</v>
      </c>
      <c r="M76" s="59" t="str">
        <f>IFERROR(tbl_MA[[#This Row],[Qty Complete]]/tbl_MA[[#This Row],[Total Hours Act]]*tbl_MA[[#This Row],['# of men Act]],"")</f>
        <v/>
      </c>
      <c r="O76"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76" s="71" t="str">
        <f>IFERROR((tbl_MA[[#This Row],[Adj. Total Hours]]+tbl_MA[[#This Row],[Est. Hours]])/(tbl_MA[[#This Row],[Total Hours Act]]+tbl_MA[[#This Row],[Act. Hours]]),"")</f>
        <v/>
      </c>
      <c r="S76" s="63"/>
      <c r="T76" s="63"/>
      <c r="U76" s="63"/>
      <c r="V76" s="63"/>
      <c r="W76" s="63"/>
    </row>
    <row r="77" spans="6:23" ht="25" customHeight="1">
      <c r="F77" s="53"/>
      <c r="H77" s="55" t="e">
        <f>tbl_MA[[#This Row],[Qty Complete]]/tbl_MA[[#This Row],[Qty Required]]</f>
        <v>#DIV/0!</v>
      </c>
      <c r="K77" s="57" t="str">
        <f>IFERROR(tbl_MA[[#This Row],[Qty Required]]/tbl_MA[[#This Row],[PPH]]*tbl_MA[[#This Row],['# of men]],"")</f>
        <v/>
      </c>
      <c r="L77" s="58" t="e">
        <f>tbl_MA[[#This Row],[Total hours]]*tbl_MA[[#This Row],[% Complete]]</f>
        <v>#VALUE!</v>
      </c>
      <c r="M77" s="59" t="str">
        <f>IFERROR(tbl_MA[[#This Row],[Qty Complete]]/tbl_MA[[#This Row],[Total Hours Act]]*tbl_MA[[#This Row],['# of men Act]],"")</f>
        <v/>
      </c>
      <c r="O77"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77" s="71" t="str">
        <f>IFERROR((tbl_MA[[#This Row],[Adj. Total Hours]]+tbl_MA[[#This Row],[Est. Hours]])/(tbl_MA[[#This Row],[Total Hours Act]]+tbl_MA[[#This Row],[Act. Hours]]),"")</f>
        <v/>
      </c>
      <c r="S77" s="63"/>
      <c r="T77" s="63"/>
      <c r="U77" s="63"/>
      <c r="V77" s="63"/>
      <c r="W77" s="63"/>
    </row>
    <row r="78" spans="6:23" ht="25" customHeight="1">
      <c r="F78" s="53"/>
      <c r="H78" s="55" t="e">
        <f>tbl_MA[[#This Row],[Qty Complete]]/tbl_MA[[#This Row],[Qty Required]]</f>
        <v>#DIV/0!</v>
      </c>
      <c r="K78" s="57" t="str">
        <f>IFERROR(tbl_MA[[#This Row],[Qty Required]]/tbl_MA[[#This Row],[PPH]]*tbl_MA[[#This Row],['# of men]],"")</f>
        <v/>
      </c>
      <c r="L78" s="58" t="e">
        <f>tbl_MA[[#This Row],[Total hours]]*tbl_MA[[#This Row],[% Complete]]</f>
        <v>#VALUE!</v>
      </c>
      <c r="M78" s="59" t="str">
        <f>IFERROR(tbl_MA[[#This Row],[Qty Complete]]/tbl_MA[[#This Row],[Total Hours Act]]*tbl_MA[[#This Row],['# of men Act]],"")</f>
        <v/>
      </c>
      <c r="O78"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78" s="71" t="str">
        <f>IFERROR((tbl_MA[[#This Row],[Adj. Total Hours]]+tbl_MA[[#This Row],[Est. Hours]])/(tbl_MA[[#This Row],[Total Hours Act]]+tbl_MA[[#This Row],[Act. Hours]]),"")</f>
        <v/>
      </c>
      <c r="S78" s="63"/>
      <c r="T78" s="63"/>
      <c r="U78" s="63"/>
      <c r="V78" s="63"/>
      <c r="W78" s="63"/>
    </row>
    <row r="79" spans="6:23" ht="25" customHeight="1">
      <c r="F79" s="53"/>
      <c r="H79" s="55" t="e">
        <f>tbl_MA[[#This Row],[Qty Complete]]/tbl_MA[[#This Row],[Qty Required]]</f>
        <v>#DIV/0!</v>
      </c>
      <c r="K79" s="57" t="str">
        <f>IFERROR(tbl_MA[[#This Row],[Qty Required]]/tbl_MA[[#This Row],[PPH]]*tbl_MA[[#This Row],['# of men]],"")</f>
        <v/>
      </c>
      <c r="L79" s="58" t="e">
        <f>tbl_MA[[#This Row],[Total hours]]*tbl_MA[[#This Row],[% Complete]]</f>
        <v>#VALUE!</v>
      </c>
      <c r="M79" s="59" t="str">
        <f>IFERROR(tbl_MA[[#This Row],[Qty Complete]]/tbl_MA[[#This Row],[Total Hours Act]]*tbl_MA[[#This Row],['# of men Act]],"")</f>
        <v/>
      </c>
      <c r="O79"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79" s="71" t="str">
        <f>IFERROR((tbl_MA[[#This Row],[Adj. Total Hours]]+tbl_MA[[#This Row],[Est. Hours]])/(tbl_MA[[#This Row],[Total Hours Act]]+tbl_MA[[#This Row],[Act. Hours]]),"")</f>
        <v/>
      </c>
      <c r="S79" s="63"/>
      <c r="T79" s="63"/>
      <c r="U79" s="63"/>
      <c r="V79" s="63"/>
      <c r="W79" s="63"/>
    </row>
    <row r="80" spans="6:23" ht="25" customHeight="1">
      <c r="F80" s="53"/>
      <c r="H80" s="55" t="e">
        <f>tbl_MA[[#This Row],[Qty Complete]]/tbl_MA[[#This Row],[Qty Required]]</f>
        <v>#DIV/0!</v>
      </c>
      <c r="K80" s="57" t="str">
        <f>IFERROR(tbl_MA[[#This Row],[Qty Required]]/tbl_MA[[#This Row],[PPH]]*tbl_MA[[#This Row],['# of men]],"")</f>
        <v/>
      </c>
      <c r="L80" s="58" t="e">
        <f>tbl_MA[[#This Row],[Total hours]]*tbl_MA[[#This Row],[% Complete]]</f>
        <v>#VALUE!</v>
      </c>
      <c r="M80" s="59" t="str">
        <f>IFERROR(tbl_MA[[#This Row],[Qty Complete]]/tbl_MA[[#This Row],[Total Hours Act]]*tbl_MA[[#This Row],['# of men Act]],"")</f>
        <v/>
      </c>
      <c r="O80"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80" s="71" t="str">
        <f>IFERROR((tbl_MA[[#This Row],[Adj. Total Hours]]+tbl_MA[[#This Row],[Est. Hours]])/(tbl_MA[[#This Row],[Total Hours Act]]+tbl_MA[[#This Row],[Act. Hours]]),"")</f>
        <v/>
      </c>
      <c r="S80" s="63"/>
      <c r="T80" s="63"/>
      <c r="U80" s="63"/>
      <c r="V80" s="63"/>
      <c r="W80" s="63"/>
    </row>
    <row r="81" spans="6:23" ht="25" customHeight="1">
      <c r="F81" s="53"/>
      <c r="H81" s="55" t="e">
        <f>tbl_MA[[#This Row],[Qty Complete]]/tbl_MA[[#This Row],[Qty Required]]</f>
        <v>#DIV/0!</v>
      </c>
      <c r="K81" s="57" t="str">
        <f>IFERROR(tbl_MA[[#This Row],[Qty Required]]/tbl_MA[[#This Row],[PPH]]*tbl_MA[[#This Row],['# of men]],"")</f>
        <v/>
      </c>
      <c r="L81" s="58" t="e">
        <f>tbl_MA[[#This Row],[Total hours]]*tbl_MA[[#This Row],[% Complete]]</f>
        <v>#VALUE!</v>
      </c>
      <c r="M81" s="59" t="str">
        <f>IFERROR(tbl_MA[[#This Row],[Qty Complete]]/tbl_MA[[#This Row],[Total Hours Act]]*tbl_MA[[#This Row],['# of men Act]],"")</f>
        <v/>
      </c>
      <c r="O81"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81" s="71" t="str">
        <f>IFERROR((tbl_MA[[#This Row],[Adj. Total Hours]]+tbl_MA[[#This Row],[Est. Hours]])/(tbl_MA[[#This Row],[Total Hours Act]]+tbl_MA[[#This Row],[Act. Hours]]),"")</f>
        <v/>
      </c>
      <c r="S81" s="63"/>
      <c r="T81" s="63"/>
      <c r="U81" s="63"/>
      <c r="V81" s="63"/>
      <c r="W81" s="63"/>
    </row>
    <row r="82" spans="6:23" ht="25" customHeight="1">
      <c r="F82" s="53"/>
      <c r="H82" s="55" t="e">
        <f>tbl_MA[[#This Row],[Qty Complete]]/tbl_MA[[#This Row],[Qty Required]]</f>
        <v>#DIV/0!</v>
      </c>
      <c r="K82" s="57" t="str">
        <f>IFERROR(tbl_MA[[#This Row],[Qty Required]]/tbl_MA[[#This Row],[PPH]]*tbl_MA[[#This Row],['# of men]],"")</f>
        <v/>
      </c>
      <c r="L82" s="58" t="e">
        <f>tbl_MA[[#This Row],[Total hours]]*tbl_MA[[#This Row],[% Complete]]</f>
        <v>#VALUE!</v>
      </c>
      <c r="M82" s="59" t="str">
        <f>IFERROR(tbl_MA[[#This Row],[Qty Complete]]/tbl_MA[[#This Row],[Total Hours Act]]*tbl_MA[[#This Row],['# of men Act]],"")</f>
        <v/>
      </c>
      <c r="O82"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82" s="71" t="str">
        <f>IFERROR((tbl_MA[[#This Row],[Adj. Total Hours]]+tbl_MA[[#This Row],[Est. Hours]])/(tbl_MA[[#This Row],[Total Hours Act]]+tbl_MA[[#This Row],[Act. Hours]]),"")</f>
        <v/>
      </c>
      <c r="S82" s="63"/>
      <c r="T82" s="63"/>
      <c r="U82" s="63"/>
      <c r="V82" s="63"/>
      <c r="W82" s="63"/>
    </row>
    <row r="83" spans="6:23" ht="25" customHeight="1">
      <c r="F83" s="53"/>
      <c r="H83" s="55" t="e">
        <f>tbl_MA[[#This Row],[Qty Complete]]/tbl_MA[[#This Row],[Qty Required]]</f>
        <v>#DIV/0!</v>
      </c>
      <c r="K83" s="57" t="str">
        <f>IFERROR(tbl_MA[[#This Row],[Qty Required]]/tbl_MA[[#This Row],[PPH]]*tbl_MA[[#This Row],['# of men]],"")</f>
        <v/>
      </c>
      <c r="L83" s="58" t="e">
        <f>tbl_MA[[#This Row],[Total hours]]*tbl_MA[[#This Row],[% Complete]]</f>
        <v>#VALUE!</v>
      </c>
      <c r="M83" s="59" t="str">
        <f>IFERROR(tbl_MA[[#This Row],[Qty Complete]]/tbl_MA[[#This Row],[Total Hours Act]]*tbl_MA[[#This Row],['# of men Act]],"")</f>
        <v/>
      </c>
      <c r="O83"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83" s="71" t="str">
        <f>IFERROR((tbl_MA[[#This Row],[Adj. Total Hours]]+tbl_MA[[#This Row],[Est. Hours]])/(tbl_MA[[#This Row],[Total Hours Act]]+tbl_MA[[#This Row],[Act. Hours]]),"")</f>
        <v/>
      </c>
      <c r="S83" s="63"/>
      <c r="T83" s="63"/>
      <c r="U83" s="63"/>
      <c r="V83" s="63"/>
      <c r="W83" s="63"/>
    </row>
    <row r="84" spans="6:23" ht="25" customHeight="1">
      <c r="F84" s="53"/>
      <c r="H84" s="55" t="e">
        <f>tbl_MA[[#This Row],[Qty Complete]]/tbl_MA[[#This Row],[Qty Required]]</f>
        <v>#DIV/0!</v>
      </c>
      <c r="K84" s="57" t="str">
        <f>IFERROR(tbl_MA[[#This Row],[Qty Required]]/tbl_MA[[#This Row],[PPH]]*tbl_MA[[#This Row],['# of men]],"")</f>
        <v/>
      </c>
      <c r="L84" s="58" t="e">
        <f>tbl_MA[[#This Row],[Total hours]]*tbl_MA[[#This Row],[% Complete]]</f>
        <v>#VALUE!</v>
      </c>
      <c r="M84" s="59" t="str">
        <f>IFERROR(tbl_MA[[#This Row],[Qty Complete]]/tbl_MA[[#This Row],[Total Hours Act]]*tbl_MA[[#This Row],['# of men Act]],"")</f>
        <v/>
      </c>
      <c r="O84"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84" s="71" t="str">
        <f>IFERROR((tbl_MA[[#This Row],[Adj. Total Hours]]+tbl_MA[[#This Row],[Est. Hours]])/(tbl_MA[[#This Row],[Total Hours Act]]+tbl_MA[[#This Row],[Act. Hours]]),"")</f>
        <v/>
      </c>
      <c r="S84" s="63"/>
      <c r="T84" s="63"/>
      <c r="U84" s="63"/>
      <c r="V84" s="63"/>
      <c r="W84" s="63"/>
    </row>
    <row r="85" spans="6:23" ht="25" customHeight="1">
      <c r="F85" s="53"/>
      <c r="H85" s="55" t="e">
        <f>tbl_MA[[#This Row],[Qty Complete]]/tbl_MA[[#This Row],[Qty Required]]</f>
        <v>#DIV/0!</v>
      </c>
      <c r="K85" s="57" t="str">
        <f>IFERROR(tbl_MA[[#This Row],[Qty Required]]/tbl_MA[[#This Row],[PPH]]*tbl_MA[[#This Row],['# of men]],"")</f>
        <v/>
      </c>
      <c r="L85" s="58" t="e">
        <f>tbl_MA[[#This Row],[Total hours]]*tbl_MA[[#This Row],[% Complete]]</f>
        <v>#VALUE!</v>
      </c>
      <c r="M85" s="59" t="str">
        <f>IFERROR(tbl_MA[[#This Row],[Qty Complete]]/tbl_MA[[#This Row],[Total Hours Act]]*tbl_MA[[#This Row],['# of men Act]],"")</f>
        <v/>
      </c>
      <c r="O85"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85" s="71" t="str">
        <f>IFERROR((tbl_MA[[#This Row],[Adj. Total Hours]]+tbl_MA[[#This Row],[Est. Hours]])/(tbl_MA[[#This Row],[Total Hours Act]]+tbl_MA[[#This Row],[Act. Hours]]),"")</f>
        <v/>
      </c>
      <c r="S85" s="63"/>
      <c r="T85" s="63"/>
      <c r="U85" s="63"/>
      <c r="V85" s="63"/>
      <c r="W85" s="63"/>
    </row>
    <row r="86" spans="6:23" ht="25" customHeight="1">
      <c r="F86" s="53"/>
      <c r="H86" s="55" t="e">
        <f>tbl_MA[[#This Row],[Qty Complete]]/tbl_MA[[#This Row],[Qty Required]]</f>
        <v>#DIV/0!</v>
      </c>
      <c r="K86" s="57" t="str">
        <f>IFERROR(tbl_MA[[#This Row],[Qty Required]]/tbl_MA[[#This Row],[PPH]]*tbl_MA[[#This Row],['# of men]],"")</f>
        <v/>
      </c>
      <c r="L86" s="58" t="e">
        <f>tbl_MA[[#This Row],[Total hours]]*tbl_MA[[#This Row],[% Complete]]</f>
        <v>#VALUE!</v>
      </c>
      <c r="M86" s="59" t="str">
        <f>IFERROR(tbl_MA[[#This Row],[Qty Complete]]/tbl_MA[[#This Row],[Total Hours Act]]*tbl_MA[[#This Row],['# of men Act]],"")</f>
        <v/>
      </c>
      <c r="O86"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86" s="71" t="str">
        <f>IFERROR((tbl_MA[[#This Row],[Adj. Total Hours]]+tbl_MA[[#This Row],[Est. Hours]])/(tbl_MA[[#This Row],[Total Hours Act]]+tbl_MA[[#This Row],[Act. Hours]]),"")</f>
        <v/>
      </c>
      <c r="S86" s="63"/>
      <c r="T86" s="63"/>
      <c r="U86" s="63"/>
      <c r="V86" s="63"/>
      <c r="W86" s="63"/>
    </row>
    <row r="87" spans="6:23" ht="25" customHeight="1">
      <c r="F87" s="53"/>
      <c r="H87" s="55" t="e">
        <f>tbl_MA[[#This Row],[Qty Complete]]/tbl_MA[[#This Row],[Qty Required]]</f>
        <v>#DIV/0!</v>
      </c>
      <c r="K87" s="57" t="str">
        <f>IFERROR(tbl_MA[[#This Row],[Qty Required]]/tbl_MA[[#This Row],[PPH]]*tbl_MA[[#This Row],['# of men]],"")</f>
        <v/>
      </c>
      <c r="L87" s="58" t="e">
        <f>tbl_MA[[#This Row],[Total hours]]*tbl_MA[[#This Row],[% Complete]]</f>
        <v>#VALUE!</v>
      </c>
      <c r="M87" s="59" t="str">
        <f>IFERROR(tbl_MA[[#This Row],[Qty Complete]]/tbl_MA[[#This Row],[Total Hours Act]]*tbl_MA[[#This Row],['# of men Act]],"")</f>
        <v/>
      </c>
      <c r="O87"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87" s="71" t="str">
        <f>IFERROR((tbl_MA[[#This Row],[Adj. Total Hours]]+tbl_MA[[#This Row],[Est. Hours]])/(tbl_MA[[#This Row],[Total Hours Act]]+tbl_MA[[#This Row],[Act. Hours]]),"")</f>
        <v/>
      </c>
      <c r="S87" s="63"/>
      <c r="T87" s="63"/>
      <c r="U87" s="63"/>
      <c r="V87" s="63"/>
      <c r="W87" s="63"/>
    </row>
    <row r="88" spans="6:23" ht="25" customHeight="1">
      <c r="F88" s="53"/>
      <c r="H88" s="55" t="e">
        <f>tbl_MA[[#This Row],[Qty Complete]]/tbl_MA[[#This Row],[Qty Required]]</f>
        <v>#DIV/0!</v>
      </c>
      <c r="K88" s="57" t="str">
        <f>IFERROR(tbl_MA[[#This Row],[Qty Required]]/tbl_MA[[#This Row],[PPH]]*tbl_MA[[#This Row],['# of men]],"")</f>
        <v/>
      </c>
      <c r="L88" s="58" t="e">
        <f>tbl_MA[[#This Row],[Total hours]]*tbl_MA[[#This Row],[% Complete]]</f>
        <v>#VALUE!</v>
      </c>
      <c r="M88" s="59" t="str">
        <f>IFERROR(tbl_MA[[#This Row],[Qty Complete]]/tbl_MA[[#This Row],[Total Hours Act]]*tbl_MA[[#This Row],['# of men Act]],"")</f>
        <v/>
      </c>
      <c r="O88"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88" s="71" t="str">
        <f>IFERROR((tbl_MA[[#This Row],[Adj. Total Hours]]+tbl_MA[[#This Row],[Est. Hours]])/(tbl_MA[[#This Row],[Total Hours Act]]+tbl_MA[[#This Row],[Act. Hours]]),"")</f>
        <v/>
      </c>
      <c r="S88" s="63"/>
      <c r="T88" s="63"/>
      <c r="U88" s="63"/>
      <c r="V88" s="63"/>
      <c r="W88" s="63"/>
    </row>
    <row r="89" spans="6:23" ht="25" customHeight="1">
      <c r="F89" s="53"/>
      <c r="H89" s="55" t="e">
        <f>tbl_MA[[#This Row],[Qty Complete]]/tbl_MA[[#This Row],[Qty Required]]</f>
        <v>#DIV/0!</v>
      </c>
      <c r="K89" s="57" t="str">
        <f>IFERROR(tbl_MA[[#This Row],[Qty Required]]/tbl_MA[[#This Row],[PPH]]*tbl_MA[[#This Row],['# of men]],"")</f>
        <v/>
      </c>
      <c r="L89" s="58" t="e">
        <f>tbl_MA[[#This Row],[Total hours]]*tbl_MA[[#This Row],[% Complete]]</f>
        <v>#VALUE!</v>
      </c>
      <c r="M89" s="59" t="str">
        <f>IFERROR(tbl_MA[[#This Row],[Qty Complete]]/tbl_MA[[#This Row],[Total Hours Act]]*tbl_MA[[#This Row],['# of men Act]],"")</f>
        <v/>
      </c>
      <c r="O89"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89" s="71" t="str">
        <f>IFERROR((tbl_MA[[#This Row],[Adj. Total Hours]]+tbl_MA[[#This Row],[Est. Hours]])/(tbl_MA[[#This Row],[Total Hours Act]]+tbl_MA[[#This Row],[Act. Hours]]),"")</f>
        <v/>
      </c>
      <c r="S89" s="63"/>
      <c r="T89" s="63"/>
      <c r="U89" s="63"/>
      <c r="V89" s="63"/>
      <c r="W89" s="63"/>
    </row>
    <row r="90" spans="6:23" ht="25" customHeight="1">
      <c r="F90" s="53"/>
      <c r="H90" s="55" t="e">
        <f>tbl_MA[[#This Row],[Qty Complete]]/tbl_MA[[#This Row],[Qty Required]]</f>
        <v>#DIV/0!</v>
      </c>
      <c r="K90" s="57" t="str">
        <f>IFERROR(tbl_MA[[#This Row],[Qty Required]]/tbl_MA[[#This Row],[PPH]]*tbl_MA[[#This Row],['# of men]],"")</f>
        <v/>
      </c>
      <c r="L90" s="58" t="e">
        <f>tbl_MA[[#This Row],[Total hours]]*tbl_MA[[#This Row],[% Complete]]</f>
        <v>#VALUE!</v>
      </c>
      <c r="M90" s="59" t="str">
        <f>IFERROR(tbl_MA[[#This Row],[Qty Complete]]/tbl_MA[[#This Row],[Total Hours Act]]*tbl_MA[[#This Row],['# of men Act]],"")</f>
        <v/>
      </c>
      <c r="O90"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90" s="71" t="str">
        <f>IFERROR((tbl_MA[[#This Row],[Adj. Total Hours]]+tbl_MA[[#This Row],[Est. Hours]])/(tbl_MA[[#This Row],[Total Hours Act]]+tbl_MA[[#This Row],[Act. Hours]]),"")</f>
        <v/>
      </c>
      <c r="S90" s="63"/>
      <c r="T90" s="63"/>
      <c r="U90" s="63"/>
      <c r="V90" s="63"/>
      <c r="W90" s="63"/>
    </row>
    <row r="91" spans="6:23" ht="25" customHeight="1">
      <c r="F91" s="53"/>
      <c r="H91" s="55" t="e">
        <f>tbl_MA[[#This Row],[Qty Complete]]/tbl_MA[[#This Row],[Qty Required]]</f>
        <v>#DIV/0!</v>
      </c>
      <c r="K91" s="57" t="str">
        <f>IFERROR(tbl_MA[[#This Row],[Qty Required]]/tbl_MA[[#This Row],[PPH]]*tbl_MA[[#This Row],['# of men]],"")</f>
        <v/>
      </c>
      <c r="L91" s="58" t="e">
        <f>tbl_MA[[#This Row],[Total hours]]*tbl_MA[[#This Row],[% Complete]]</f>
        <v>#VALUE!</v>
      </c>
      <c r="M91" s="59" t="str">
        <f>IFERROR(tbl_MA[[#This Row],[Qty Complete]]/tbl_MA[[#This Row],[Total Hours Act]]*tbl_MA[[#This Row],['# of men Act]],"")</f>
        <v/>
      </c>
      <c r="O91"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91" s="71" t="str">
        <f>IFERROR((tbl_MA[[#This Row],[Adj. Total Hours]]+tbl_MA[[#This Row],[Est. Hours]])/(tbl_MA[[#This Row],[Total Hours Act]]+tbl_MA[[#This Row],[Act. Hours]]),"")</f>
        <v/>
      </c>
      <c r="S91" s="63"/>
      <c r="T91" s="63"/>
      <c r="U91" s="63"/>
      <c r="V91" s="63"/>
      <c r="W91" s="63"/>
    </row>
    <row r="92" spans="6:23" ht="25" customHeight="1">
      <c r="F92" s="53"/>
      <c r="H92" s="55" t="e">
        <f>tbl_MA[[#This Row],[Qty Complete]]/tbl_MA[[#This Row],[Qty Required]]</f>
        <v>#DIV/0!</v>
      </c>
      <c r="K92" s="57" t="str">
        <f>IFERROR(tbl_MA[[#This Row],[Qty Required]]/tbl_MA[[#This Row],[PPH]]*tbl_MA[[#This Row],['# of men]],"")</f>
        <v/>
      </c>
      <c r="L92" s="58" t="e">
        <f>tbl_MA[[#This Row],[Total hours]]*tbl_MA[[#This Row],[% Complete]]</f>
        <v>#VALUE!</v>
      </c>
      <c r="M92" s="59" t="str">
        <f>IFERROR(tbl_MA[[#This Row],[Qty Complete]]/tbl_MA[[#This Row],[Total Hours Act]]*tbl_MA[[#This Row],['# of men Act]],"")</f>
        <v/>
      </c>
      <c r="O92"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92" s="71" t="str">
        <f>IFERROR((tbl_MA[[#This Row],[Adj. Total Hours]]+tbl_MA[[#This Row],[Est. Hours]])/(tbl_MA[[#This Row],[Total Hours Act]]+tbl_MA[[#This Row],[Act. Hours]]),"")</f>
        <v/>
      </c>
      <c r="S92" s="63"/>
      <c r="T92" s="63"/>
      <c r="U92" s="63"/>
      <c r="V92" s="63"/>
      <c r="W92" s="63"/>
    </row>
    <row r="93" spans="6:23" ht="25" customHeight="1">
      <c r="F93" s="53"/>
      <c r="H93" s="55" t="e">
        <f>tbl_MA[[#This Row],[Qty Complete]]/tbl_MA[[#This Row],[Qty Required]]</f>
        <v>#DIV/0!</v>
      </c>
      <c r="K93" s="57" t="str">
        <f>IFERROR(tbl_MA[[#This Row],[Qty Required]]/tbl_MA[[#This Row],[PPH]]*tbl_MA[[#This Row],['# of men]],"")</f>
        <v/>
      </c>
      <c r="L93" s="58" t="e">
        <f>tbl_MA[[#This Row],[Total hours]]*tbl_MA[[#This Row],[% Complete]]</f>
        <v>#VALUE!</v>
      </c>
      <c r="M93" s="59" t="str">
        <f>IFERROR(tbl_MA[[#This Row],[Qty Complete]]/tbl_MA[[#This Row],[Total Hours Act]]*tbl_MA[[#This Row],['# of men Act]],"")</f>
        <v/>
      </c>
      <c r="O93"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93" s="71" t="str">
        <f>IFERROR((tbl_MA[[#This Row],[Adj. Total Hours]]+tbl_MA[[#This Row],[Est. Hours]])/(tbl_MA[[#This Row],[Total Hours Act]]+tbl_MA[[#This Row],[Act. Hours]]),"")</f>
        <v/>
      </c>
      <c r="S93" s="63"/>
      <c r="T93" s="63"/>
      <c r="U93" s="63"/>
      <c r="V93" s="63"/>
      <c r="W93" s="63"/>
    </row>
    <row r="94" spans="6:23" ht="25" customHeight="1">
      <c r="F94" s="53"/>
      <c r="H94" s="55" t="e">
        <f>tbl_MA[[#This Row],[Qty Complete]]/tbl_MA[[#This Row],[Qty Required]]</f>
        <v>#DIV/0!</v>
      </c>
      <c r="K94" s="57" t="str">
        <f>IFERROR(tbl_MA[[#This Row],[Qty Required]]/tbl_MA[[#This Row],[PPH]]*tbl_MA[[#This Row],['# of men]],"")</f>
        <v/>
      </c>
      <c r="L94" s="58" t="e">
        <f>tbl_MA[[#This Row],[Total hours]]*tbl_MA[[#This Row],[% Complete]]</f>
        <v>#VALUE!</v>
      </c>
      <c r="M94" s="59" t="str">
        <f>IFERROR(tbl_MA[[#This Row],[Qty Complete]]/tbl_MA[[#This Row],[Total Hours Act]]*tbl_MA[[#This Row],['# of men Act]],"")</f>
        <v/>
      </c>
      <c r="O94"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94" s="71" t="str">
        <f>IFERROR((tbl_MA[[#This Row],[Adj. Total Hours]]+tbl_MA[[#This Row],[Est. Hours]])/(tbl_MA[[#This Row],[Total Hours Act]]+tbl_MA[[#This Row],[Act. Hours]]),"")</f>
        <v/>
      </c>
      <c r="S94" s="63"/>
      <c r="T94" s="63"/>
      <c r="U94" s="63"/>
      <c r="V94" s="63"/>
      <c r="W94" s="63"/>
    </row>
    <row r="95" spans="6:23" ht="25" customHeight="1">
      <c r="F95" s="53"/>
      <c r="H95" s="55" t="e">
        <f>tbl_MA[[#This Row],[Qty Complete]]/tbl_MA[[#This Row],[Qty Required]]</f>
        <v>#DIV/0!</v>
      </c>
      <c r="K95" s="57" t="str">
        <f>IFERROR(tbl_MA[[#This Row],[Qty Required]]/tbl_MA[[#This Row],[PPH]]*tbl_MA[[#This Row],['# of men]],"")</f>
        <v/>
      </c>
      <c r="L95" s="58" t="e">
        <f>tbl_MA[[#This Row],[Total hours]]*tbl_MA[[#This Row],[% Complete]]</f>
        <v>#VALUE!</v>
      </c>
      <c r="M95" s="59" t="str">
        <f>IFERROR(tbl_MA[[#This Row],[Qty Complete]]/tbl_MA[[#This Row],[Total Hours Act]]*tbl_MA[[#This Row],['# of men Act]],"")</f>
        <v/>
      </c>
      <c r="O95"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95" s="71" t="str">
        <f>IFERROR((tbl_MA[[#This Row],[Adj. Total Hours]]+tbl_MA[[#This Row],[Est. Hours]])/(tbl_MA[[#This Row],[Total Hours Act]]+tbl_MA[[#This Row],[Act. Hours]]),"")</f>
        <v/>
      </c>
      <c r="S95" s="63"/>
      <c r="T95" s="63"/>
      <c r="U95" s="63"/>
      <c r="V95" s="63"/>
      <c r="W95" s="63"/>
    </row>
    <row r="96" spans="6:23" ht="25" customHeight="1">
      <c r="F96" s="53"/>
      <c r="H96" s="55" t="e">
        <f>tbl_MA[[#This Row],[Qty Complete]]/tbl_MA[[#This Row],[Qty Required]]</f>
        <v>#DIV/0!</v>
      </c>
      <c r="K96" s="57" t="str">
        <f>IFERROR(tbl_MA[[#This Row],[Qty Required]]/tbl_MA[[#This Row],[PPH]]*tbl_MA[[#This Row],['# of men]],"")</f>
        <v/>
      </c>
      <c r="L96" s="58" t="e">
        <f>tbl_MA[[#This Row],[Total hours]]*tbl_MA[[#This Row],[% Complete]]</f>
        <v>#VALUE!</v>
      </c>
      <c r="M96" s="59" t="str">
        <f>IFERROR(tbl_MA[[#This Row],[Qty Complete]]/tbl_MA[[#This Row],[Total Hours Act]]*tbl_MA[[#This Row],['# of men Act]],"")</f>
        <v/>
      </c>
      <c r="O96"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96" s="71" t="str">
        <f>IFERROR((tbl_MA[[#This Row],[Adj. Total Hours]]+tbl_MA[[#This Row],[Est. Hours]])/(tbl_MA[[#This Row],[Total Hours Act]]+tbl_MA[[#This Row],[Act. Hours]]),"")</f>
        <v/>
      </c>
      <c r="S96" s="63"/>
      <c r="T96" s="63"/>
      <c r="U96" s="63"/>
      <c r="V96" s="63"/>
      <c r="W96" s="63"/>
    </row>
    <row r="97" spans="6:23" ht="25" customHeight="1">
      <c r="F97" s="53"/>
      <c r="H97" s="55" t="e">
        <f>tbl_MA[[#This Row],[Qty Complete]]/tbl_MA[[#This Row],[Qty Required]]</f>
        <v>#DIV/0!</v>
      </c>
      <c r="K97" s="57" t="str">
        <f>IFERROR(tbl_MA[[#This Row],[Qty Required]]/tbl_MA[[#This Row],[PPH]]*tbl_MA[[#This Row],['# of men]],"")</f>
        <v/>
      </c>
      <c r="L97" s="58" t="e">
        <f>tbl_MA[[#This Row],[Total hours]]*tbl_MA[[#This Row],[% Complete]]</f>
        <v>#VALUE!</v>
      </c>
      <c r="M97" s="59" t="str">
        <f>IFERROR(tbl_MA[[#This Row],[Qty Complete]]/tbl_MA[[#This Row],[Total Hours Act]]*tbl_MA[[#This Row],['# of men Act]],"")</f>
        <v/>
      </c>
      <c r="O97"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97" s="71" t="str">
        <f>IFERROR((tbl_MA[[#This Row],[Adj. Total Hours]]+tbl_MA[[#This Row],[Est. Hours]])/(tbl_MA[[#This Row],[Total Hours Act]]+tbl_MA[[#This Row],[Act. Hours]]),"")</f>
        <v/>
      </c>
      <c r="S97" s="63"/>
      <c r="T97" s="63"/>
      <c r="U97" s="63"/>
      <c r="V97" s="63"/>
      <c r="W97" s="63"/>
    </row>
    <row r="98" spans="6:23" ht="25" customHeight="1">
      <c r="F98" s="53"/>
      <c r="H98" s="55" t="e">
        <f>tbl_MA[[#This Row],[Qty Complete]]/tbl_MA[[#This Row],[Qty Required]]</f>
        <v>#DIV/0!</v>
      </c>
      <c r="K98" s="57" t="str">
        <f>IFERROR(tbl_MA[[#This Row],[Qty Required]]/tbl_MA[[#This Row],[PPH]]*tbl_MA[[#This Row],['# of men]],"")</f>
        <v/>
      </c>
      <c r="L98" s="58" t="e">
        <f>tbl_MA[[#This Row],[Total hours]]*tbl_MA[[#This Row],[% Complete]]</f>
        <v>#VALUE!</v>
      </c>
      <c r="M98" s="59" t="str">
        <f>IFERROR(tbl_MA[[#This Row],[Qty Complete]]/tbl_MA[[#This Row],[Total Hours Act]]*tbl_MA[[#This Row],['# of men Act]],"")</f>
        <v/>
      </c>
      <c r="O98"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98" s="71" t="str">
        <f>IFERROR((tbl_MA[[#This Row],[Adj. Total Hours]]+tbl_MA[[#This Row],[Est. Hours]])/(tbl_MA[[#This Row],[Total Hours Act]]+tbl_MA[[#This Row],[Act. Hours]]),"")</f>
        <v/>
      </c>
      <c r="S98" s="63"/>
      <c r="T98" s="63"/>
      <c r="U98" s="63"/>
      <c r="V98" s="63"/>
      <c r="W98" s="63"/>
    </row>
    <row r="99" spans="6:23" ht="25" customHeight="1">
      <c r="F99" s="53"/>
      <c r="H99" s="55" t="e">
        <f>tbl_MA[[#This Row],[Qty Complete]]/tbl_MA[[#This Row],[Qty Required]]</f>
        <v>#DIV/0!</v>
      </c>
      <c r="K99" s="57" t="str">
        <f>IFERROR(tbl_MA[[#This Row],[Qty Required]]/tbl_MA[[#This Row],[PPH]]*tbl_MA[[#This Row],['# of men]],"")</f>
        <v/>
      </c>
      <c r="L99" s="58" t="e">
        <f>tbl_MA[[#This Row],[Total hours]]*tbl_MA[[#This Row],[% Complete]]</f>
        <v>#VALUE!</v>
      </c>
      <c r="M99" s="59" t="str">
        <f>IFERROR(tbl_MA[[#This Row],[Qty Complete]]/tbl_MA[[#This Row],[Total Hours Act]]*tbl_MA[[#This Row],['# of men Act]],"")</f>
        <v/>
      </c>
      <c r="O99"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99" s="71" t="str">
        <f>IFERROR((tbl_MA[[#This Row],[Adj. Total Hours]]+tbl_MA[[#This Row],[Est. Hours]])/(tbl_MA[[#This Row],[Total Hours Act]]+tbl_MA[[#This Row],[Act. Hours]]),"")</f>
        <v/>
      </c>
      <c r="S99" s="63"/>
      <c r="T99" s="63"/>
      <c r="U99" s="63"/>
      <c r="V99" s="63"/>
      <c r="W99" s="63"/>
    </row>
    <row r="100" spans="6:23" ht="25" customHeight="1">
      <c r="F100" s="53"/>
      <c r="H100" s="55" t="e">
        <f>tbl_MA[[#This Row],[Qty Complete]]/tbl_MA[[#This Row],[Qty Required]]</f>
        <v>#DIV/0!</v>
      </c>
      <c r="K100" s="57" t="str">
        <f>IFERROR(tbl_MA[[#This Row],[Qty Required]]/tbl_MA[[#This Row],[PPH]]*tbl_MA[[#This Row],['# of men]],"")</f>
        <v/>
      </c>
      <c r="L100" s="58" t="e">
        <f>tbl_MA[[#This Row],[Total hours]]*tbl_MA[[#This Row],[% Complete]]</f>
        <v>#VALUE!</v>
      </c>
      <c r="M100" s="59" t="str">
        <f>IFERROR(tbl_MA[[#This Row],[Qty Complete]]/tbl_MA[[#This Row],[Total Hours Act]]*tbl_MA[[#This Row],['# of men Act]],"")</f>
        <v/>
      </c>
      <c r="O100"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00" s="71" t="str">
        <f>IFERROR((tbl_MA[[#This Row],[Adj. Total Hours]]+tbl_MA[[#This Row],[Est. Hours]])/(tbl_MA[[#This Row],[Total Hours Act]]+tbl_MA[[#This Row],[Act. Hours]]),"")</f>
        <v/>
      </c>
      <c r="S100" s="63"/>
      <c r="T100" s="63"/>
      <c r="U100" s="63"/>
      <c r="V100" s="63"/>
      <c r="W100" s="63"/>
    </row>
    <row r="101" spans="6:23" ht="25" customHeight="1">
      <c r="F101" s="53"/>
      <c r="H101" s="55" t="e">
        <f>tbl_MA[[#This Row],[Qty Complete]]/tbl_MA[[#This Row],[Qty Required]]</f>
        <v>#DIV/0!</v>
      </c>
      <c r="K101" s="57" t="str">
        <f>IFERROR(tbl_MA[[#This Row],[Qty Required]]/tbl_MA[[#This Row],[PPH]]*tbl_MA[[#This Row],['# of men]],"")</f>
        <v/>
      </c>
      <c r="L101" s="58" t="e">
        <f>tbl_MA[[#This Row],[Total hours]]*tbl_MA[[#This Row],[% Complete]]</f>
        <v>#VALUE!</v>
      </c>
      <c r="M101" s="59" t="str">
        <f>IFERROR(tbl_MA[[#This Row],[Qty Complete]]/tbl_MA[[#This Row],[Total Hours Act]]*tbl_MA[[#This Row],['# of men Act]],"")</f>
        <v/>
      </c>
      <c r="O101"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01" s="71" t="str">
        <f>IFERROR((tbl_MA[[#This Row],[Adj. Total Hours]]+tbl_MA[[#This Row],[Est. Hours]])/(tbl_MA[[#This Row],[Total Hours Act]]+tbl_MA[[#This Row],[Act. Hours]]),"")</f>
        <v/>
      </c>
      <c r="S101" s="63"/>
      <c r="T101" s="63"/>
      <c r="U101" s="63"/>
      <c r="V101" s="63"/>
      <c r="W101" s="63"/>
    </row>
    <row r="102" spans="6:23" ht="25" customHeight="1">
      <c r="F102" s="53"/>
      <c r="H102" s="55" t="e">
        <f>tbl_MA[[#This Row],[Qty Complete]]/tbl_MA[[#This Row],[Qty Required]]</f>
        <v>#DIV/0!</v>
      </c>
      <c r="K102" s="57" t="str">
        <f>IFERROR(tbl_MA[[#This Row],[Qty Required]]/tbl_MA[[#This Row],[PPH]]*tbl_MA[[#This Row],['# of men]],"")</f>
        <v/>
      </c>
      <c r="L102" s="58" t="e">
        <f>tbl_MA[[#This Row],[Total hours]]*tbl_MA[[#This Row],[% Complete]]</f>
        <v>#VALUE!</v>
      </c>
      <c r="M102" s="59" t="str">
        <f>IFERROR(tbl_MA[[#This Row],[Qty Complete]]/tbl_MA[[#This Row],[Total Hours Act]]*tbl_MA[[#This Row],['# of men Act]],"")</f>
        <v/>
      </c>
      <c r="O102"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02" s="71" t="str">
        <f>IFERROR((tbl_MA[[#This Row],[Adj. Total Hours]]+tbl_MA[[#This Row],[Est. Hours]])/(tbl_MA[[#This Row],[Total Hours Act]]+tbl_MA[[#This Row],[Act. Hours]]),"")</f>
        <v/>
      </c>
      <c r="S102" s="63"/>
      <c r="T102" s="63"/>
      <c r="U102" s="63"/>
      <c r="V102" s="63"/>
      <c r="W102" s="63"/>
    </row>
    <row r="103" spans="6:23" ht="25" customHeight="1">
      <c r="F103" s="53"/>
      <c r="H103" s="55" t="e">
        <f>tbl_MA[[#This Row],[Qty Complete]]/tbl_MA[[#This Row],[Qty Required]]</f>
        <v>#DIV/0!</v>
      </c>
      <c r="K103" s="57" t="str">
        <f>IFERROR(tbl_MA[[#This Row],[Qty Required]]/tbl_MA[[#This Row],[PPH]]*tbl_MA[[#This Row],['# of men]],"")</f>
        <v/>
      </c>
      <c r="L103" s="58" t="e">
        <f>tbl_MA[[#This Row],[Total hours]]*tbl_MA[[#This Row],[% Complete]]</f>
        <v>#VALUE!</v>
      </c>
      <c r="M103" s="59" t="str">
        <f>IFERROR(tbl_MA[[#This Row],[Qty Complete]]/tbl_MA[[#This Row],[Total Hours Act]]*tbl_MA[[#This Row],['# of men Act]],"")</f>
        <v/>
      </c>
      <c r="O103"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03" s="71" t="str">
        <f>IFERROR((tbl_MA[[#This Row],[Adj. Total Hours]]+tbl_MA[[#This Row],[Est. Hours]])/(tbl_MA[[#This Row],[Total Hours Act]]+tbl_MA[[#This Row],[Act. Hours]]),"")</f>
        <v/>
      </c>
      <c r="S103" s="63"/>
      <c r="T103" s="63"/>
      <c r="U103" s="63"/>
      <c r="V103" s="63"/>
      <c r="W103" s="63"/>
    </row>
    <row r="104" spans="6:23" ht="25" customHeight="1">
      <c r="F104" s="53"/>
      <c r="H104" s="55" t="e">
        <f>tbl_MA[[#This Row],[Qty Complete]]/tbl_MA[[#This Row],[Qty Required]]</f>
        <v>#DIV/0!</v>
      </c>
      <c r="K104" s="57" t="str">
        <f>IFERROR(tbl_MA[[#This Row],[Qty Required]]/tbl_MA[[#This Row],[PPH]]*tbl_MA[[#This Row],['# of men]],"")</f>
        <v/>
      </c>
      <c r="L104" s="58" t="e">
        <f>tbl_MA[[#This Row],[Total hours]]*tbl_MA[[#This Row],[% Complete]]</f>
        <v>#VALUE!</v>
      </c>
      <c r="M104" s="59" t="str">
        <f>IFERROR(tbl_MA[[#This Row],[Qty Complete]]/tbl_MA[[#This Row],[Total Hours Act]]*tbl_MA[[#This Row],['# of men Act]],"")</f>
        <v/>
      </c>
      <c r="O104"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04" s="71" t="str">
        <f>IFERROR((tbl_MA[[#This Row],[Adj. Total Hours]]+tbl_MA[[#This Row],[Est. Hours]])/(tbl_MA[[#This Row],[Total Hours Act]]+tbl_MA[[#This Row],[Act. Hours]]),"")</f>
        <v/>
      </c>
      <c r="S104" s="63"/>
      <c r="T104" s="63"/>
      <c r="U104" s="63"/>
      <c r="V104" s="63"/>
      <c r="W104" s="63"/>
    </row>
    <row r="105" spans="6:23" ht="25" customHeight="1">
      <c r="F105" s="53"/>
      <c r="H105" s="55" t="e">
        <f>tbl_MA[[#This Row],[Qty Complete]]/tbl_MA[[#This Row],[Qty Required]]</f>
        <v>#DIV/0!</v>
      </c>
      <c r="K105" s="57" t="str">
        <f>IFERROR(tbl_MA[[#This Row],[Qty Required]]/tbl_MA[[#This Row],[PPH]]*tbl_MA[[#This Row],['# of men]],"")</f>
        <v/>
      </c>
      <c r="L105" s="58" t="e">
        <f>tbl_MA[[#This Row],[Total hours]]*tbl_MA[[#This Row],[% Complete]]</f>
        <v>#VALUE!</v>
      </c>
      <c r="M105" s="59" t="str">
        <f>IFERROR(tbl_MA[[#This Row],[Qty Complete]]/tbl_MA[[#This Row],[Total Hours Act]]*tbl_MA[[#This Row],['# of men Act]],"")</f>
        <v/>
      </c>
      <c r="O105"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05" s="71" t="str">
        <f>IFERROR((tbl_MA[[#This Row],[Adj. Total Hours]]+tbl_MA[[#This Row],[Est. Hours]])/(tbl_MA[[#This Row],[Total Hours Act]]+tbl_MA[[#This Row],[Act. Hours]]),"")</f>
        <v/>
      </c>
      <c r="S105" s="63"/>
      <c r="T105" s="63"/>
      <c r="U105" s="63"/>
      <c r="V105" s="63"/>
      <c r="W105" s="63"/>
    </row>
    <row r="106" spans="6:23" ht="25" customHeight="1">
      <c r="F106" s="53"/>
      <c r="H106" s="55" t="e">
        <f>tbl_MA[[#This Row],[Qty Complete]]/tbl_MA[[#This Row],[Qty Required]]</f>
        <v>#DIV/0!</v>
      </c>
      <c r="K106" s="57" t="str">
        <f>IFERROR(tbl_MA[[#This Row],[Qty Required]]/tbl_MA[[#This Row],[PPH]]*tbl_MA[[#This Row],['# of men]],"")</f>
        <v/>
      </c>
      <c r="L106" s="58" t="e">
        <f>tbl_MA[[#This Row],[Total hours]]*tbl_MA[[#This Row],[% Complete]]</f>
        <v>#VALUE!</v>
      </c>
      <c r="M106" s="59" t="str">
        <f>IFERROR(tbl_MA[[#This Row],[Qty Complete]]/tbl_MA[[#This Row],[Total Hours Act]]*tbl_MA[[#This Row],['# of men Act]],"")</f>
        <v/>
      </c>
      <c r="O106"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06" s="71" t="str">
        <f>IFERROR((tbl_MA[[#This Row],[Adj. Total Hours]]+tbl_MA[[#This Row],[Est. Hours]])/(tbl_MA[[#This Row],[Total Hours Act]]+tbl_MA[[#This Row],[Act. Hours]]),"")</f>
        <v/>
      </c>
      <c r="S106" s="63"/>
      <c r="T106" s="63"/>
      <c r="U106" s="63"/>
      <c r="V106" s="63"/>
      <c r="W106" s="63"/>
    </row>
    <row r="107" spans="6:23" ht="25" customHeight="1">
      <c r="F107" s="53"/>
      <c r="H107" s="55" t="e">
        <f>tbl_MA[[#This Row],[Qty Complete]]/tbl_MA[[#This Row],[Qty Required]]</f>
        <v>#DIV/0!</v>
      </c>
      <c r="K107" s="57" t="str">
        <f>IFERROR(tbl_MA[[#This Row],[Qty Required]]/tbl_MA[[#This Row],[PPH]]*tbl_MA[[#This Row],['# of men]],"")</f>
        <v/>
      </c>
      <c r="L107" s="58" t="e">
        <f>tbl_MA[[#This Row],[Total hours]]*tbl_MA[[#This Row],[% Complete]]</f>
        <v>#VALUE!</v>
      </c>
      <c r="M107" s="59" t="str">
        <f>IFERROR(tbl_MA[[#This Row],[Qty Complete]]/tbl_MA[[#This Row],[Total Hours Act]]*tbl_MA[[#This Row],['# of men Act]],"")</f>
        <v/>
      </c>
      <c r="O107"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07" s="71" t="str">
        <f>IFERROR((tbl_MA[[#This Row],[Adj. Total Hours]]+tbl_MA[[#This Row],[Est. Hours]])/(tbl_MA[[#This Row],[Total Hours Act]]+tbl_MA[[#This Row],[Act. Hours]]),"")</f>
        <v/>
      </c>
      <c r="S107" s="63"/>
      <c r="T107" s="63"/>
      <c r="U107" s="63"/>
      <c r="V107" s="63"/>
      <c r="W107" s="63"/>
    </row>
    <row r="108" spans="6:23" ht="25" customHeight="1">
      <c r="F108" s="53"/>
      <c r="H108" s="55" t="e">
        <f>tbl_MA[[#This Row],[Qty Complete]]/tbl_MA[[#This Row],[Qty Required]]</f>
        <v>#DIV/0!</v>
      </c>
      <c r="K108" s="57" t="str">
        <f>IFERROR(tbl_MA[[#This Row],[Qty Required]]/tbl_MA[[#This Row],[PPH]]*tbl_MA[[#This Row],['# of men]],"")</f>
        <v/>
      </c>
      <c r="L108" s="58" t="e">
        <f>tbl_MA[[#This Row],[Total hours]]*tbl_MA[[#This Row],[% Complete]]</f>
        <v>#VALUE!</v>
      </c>
      <c r="M108" s="59" t="str">
        <f>IFERROR(tbl_MA[[#This Row],[Qty Complete]]/tbl_MA[[#This Row],[Total Hours Act]]*tbl_MA[[#This Row],['# of men Act]],"")</f>
        <v/>
      </c>
      <c r="O108"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08" s="71" t="str">
        <f>IFERROR((tbl_MA[[#This Row],[Adj. Total Hours]]+tbl_MA[[#This Row],[Est. Hours]])/(tbl_MA[[#This Row],[Total Hours Act]]+tbl_MA[[#This Row],[Act. Hours]]),"")</f>
        <v/>
      </c>
      <c r="S108" s="63"/>
      <c r="T108" s="63"/>
      <c r="U108" s="63"/>
      <c r="V108" s="63"/>
      <c r="W108" s="63"/>
    </row>
    <row r="109" spans="6:23" ht="25" customHeight="1">
      <c r="F109" s="53"/>
      <c r="H109" s="55" t="e">
        <f>tbl_MA[[#This Row],[Qty Complete]]/tbl_MA[[#This Row],[Qty Required]]</f>
        <v>#DIV/0!</v>
      </c>
      <c r="K109" s="57" t="str">
        <f>IFERROR(tbl_MA[[#This Row],[Qty Required]]/tbl_MA[[#This Row],[PPH]]*tbl_MA[[#This Row],['# of men]],"")</f>
        <v/>
      </c>
      <c r="L109" s="58" t="e">
        <f>tbl_MA[[#This Row],[Total hours]]*tbl_MA[[#This Row],[% Complete]]</f>
        <v>#VALUE!</v>
      </c>
      <c r="M109" s="59" t="str">
        <f>IFERROR(tbl_MA[[#This Row],[Qty Complete]]/tbl_MA[[#This Row],[Total Hours Act]]*tbl_MA[[#This Row],['# of men Act]],"")</f>
        <v/>
      </c>
      <c r="O109"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09" s="71" t="str">
        <f>IFERROR((tbl_MA[[#This Row],[Adj. Total Hours]]+tbl_MA[[#This Row],[Est. Hours]])/(tbl_MA[[#This Row],[Total Hours Act]]+tbl_MA[[#This Row],[Act. Hours]]),"")</f>
        <v/>
      </c>
      <c r="S109" s="63"/>
      <c r="T109" s="63"/>
      <c r="U109" s="63"/>
      <c r="V109" s="63"/>
      <c r="W109" s="63"/>
    </row>
    <row r="110" spans="6:23" ht="25" customHeight="1">
      <c r="F110" s="53"/>
      <c r="H110" s="55" t="e">
        <f>tbl_MA[[#This Row],[Qty Complete]]/tbl_MA[[#This Row],[Qty Required]]</f>
        <v>#DIV/0!</v>
      </c>
      <c r="K110" s="57" t="str">
        <f>IFERROR(tbl_MA[[#This Row],[Qty Required]]/tbl_MA[[#This Row],[PPH]]*tbl_MA[[#This Row],['# of men]],"")</f>
        <v/>
      </c>
      <c r="L110" s="58" t="e">
        <f>tbl_MA[[#This Row],[Total hours]]*tbl_MA[[#This Row],[% Complete]]</f>
        <v>#VALUE!</v>
      </c>
      <c r="M110" s="59" t="str">
        <f>IFERROR(tbl_MA[[#This Row],[Qty Complete]]/tbl_MA[[#This Row],[Total Hours Act]]*tbl_MA[[#This Row],['# of men Act]],"")</f>
        <v/>
      </c>
      <c r="O110"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10" s="71" t="str">
        <f>IFERROR((tbl_MA[[#This Row],[Adj. Total Hours]]+tbl_MA[[#This Row],[Est. Hours]])/(tbl_MA[[#This Row],[Total Hours Act]]+tbl_MA[[#This Row],[Act. Hours]]),"")</f>
        <v/>
      </c>
      <c r="S110" s="63"/>
      <c r="T110" s="63"/>
      <c r="U110" s="63"/>
      <c r="V110" s="63"/>
      <c r="W110" s="63"/>
    </row>
    <row r="111" spans="6:23" ht="25" customHeight="1">
      <c r="F111" s="53"/>
      <c r="H111" s="55" t="e">
        <f>tbl_MA[[#This Row],[Qty Complete]]/tbl_MA[[#This Row],[Qty Required]]</f>
        <v>#DIV/0!</v>
      </c>
      <c r="K111" s="57" t="str">
        <f>IFERROR(tbl_MA[[#This Row],[Qty Required]]/tbl_MA[[#This Row],[PPH]]*tbl_MA[[#This Row],['# of men]],"")</f>
        <v/>
      </c>
      <c r="L111" s="58" t="e">
        <f>tbl_MA[[#This Row],[Total hours]]*tbl_MA[[#This Row],[% Complete]]</f>
        <v>#VALUE!</v>
      </c>
      <c r="M111" s="59" t="str">
        <f>IFERROR(tbl_MA[[#This Row],[Qty Complete]]/tbl_MA[[#This Row],[Total Hours Act]]*tbl_MA[[#This Row],['# of men Act]],"")</f>
        <v/>
      </c>
      <c r="O111"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11" s="71" t="str">
        <f>IFERROR((tbl_MA[[#This Row],[Adj. Total Hours]]+tbl_MA[[#This Row],[Est. Hours]])/(tbl_MA[[#This Row],[Total Hours Act]]+tbl_MA[[#This Row],[Act. Hours]]),"")</f>
        <v/>
      </c>
      <c r="S111" s="63"/>
      <c r="T111" s="63"/>
      <c r="U111" s="63"/>
      <c r="V111" s="63"/>
      <c r="W111" s="63"/>
    </row>
    <row r="112" spans="6:23" ht="25" customHeight="1">
      <c r="F112" s="53"/>
      <c r="H112" s="55" t="e">
        <f>tbl_MA[[#This Row],[Qty Complete]]/tbl_MA[[#This Row],[Qty Required]]</f>
        <v>#DIV/0!</v>
      </c>
      <c r="K112" s="57" t="str">
        <f>IFERROR(tbl_MA[[#This Row],[Qty Required]]/tbl_MA[[#This Row],[PPH]]*tbl_MA[[#This Row],['# of men]],"")</f>
        <v/>
      </c>
      <c r="L112" s="58" t="e">
        <f>tbl_MA[[#This Row],[Total hours]]*tbl_MA[[#This Row],[% Complete]]</f>
        <v>#VALUE!</v>
      </c>
      <c r="M112" s="59" t="str">
        <f>IFERROR(tbl_MA[[#This Row],[Qty Complete]]/tbl_MA[[#This Row],[Total Hours Act]]*tbl_MA[[#This Row],['# of men Act]],"")</f>
        <v/>
      </c>
      <c r="O112"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12" s="71" t="str">
        <f>IFERROR((tbl_MA[[#This Row],[Adj. Total Hours]]+tbl_MA[[#This Row],[Est. Hours]])/(tbl_MA[[#This Row],[Total Hours Act]]+tbl_MA[[#This Row],[Act. Hours]]),"")</f>
        <v/>
      </c>
      <c r="S112" s="63"/>
      <c r="T112" s="63"/>
      <c r="U112" s="63"/>
      <c r="V112" s="63"/>
      <c r="W112" s="63"/>
    </row>
    <row r="113" spans="6:23" ht="25" customHeight="1">
      <c r="F113" s="53"/>
      <c r="H113" s="55" t="e">
        <f>tbl_MA[[#This Row],[Qty Complete]]/tbl_MA[[#This Row],[Qty Required]]</f>
        <v>#DIV/0!</v>
      </c>
      <c r="K113" s="57" t="str">
        <f>IFERROR(tbl_MA[[#This Row],[Qty Required]]/tbl_MA[[#This Row],[PPH]]*tbl_MA[[#This Row],['# of men]],"")</f>
        <v/>
      </c>
      <c r="L113" s="58" t="e">
        <f>tbl_MA[[#This Row],[Total hours]]*tbl_MA[[#This Row],[% Complete]]</f>
        <v>#VALUE!</v>
      </c>
      <c r="M113" s="59" t="str">
        <f>IFERROR(tbl_MA[[#This Row],[Qty Complete]]/tbl_MA[[#This Row],[Total Hours Act]]*tbl_MA[[#This Row],['# of men Act]],"")</f>
        <v/>
      </c>
      <c r="O113"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13" s="71" t="str">
        <f>IFERROR((tbl_MA[[#This Row],[Adj. Total Hours]]+tbl_MA[[#This Row],[Est. Hours]])/(tbl_MA[[#This Row],[Total Hours Act]]+tbl_MA[[#This Row],[Act. Hours]]),"")</f>
        <v/>
      </c>
      <c r="S113" s="63"/>
      <c r="T113" s="63"/>
      <c r="U113" s="63"/>
      <c r="V113" s="63"/>
      <c r="W113" s="63"/>
    </row>
    <row r="114" spans="6:23" ht="25" customHeight="1">
      <c r="F114" s="53"/>
      <c r="H114" s="55" t="e">
        <f>tbl_MA[[#This Row],[Qty Complete]]/tbl_MA[[#This Row],[Qty Required]]</f>
        <v>#DIV/0!</v>
      </c>
      <c r="K114" s="57" t="str">
        <f>IFERROR(tbl_MA[[#This Row],[Qty Required]]/tbl_MA[[#This Row],[PPH]]*tbl_MA[[#This Row],['# of men]],"")</f>
        <v/>
      </c>
      <c r="L114" s="58" t="e">
        <f>tbl_MA[[#This Row],[Total hours]]*tbl_MA[[#This Row],[% Complete]]</f>
        <v>#VALUE!</v>
      </c>
      <c r="M114" s="59" t="str">
        <f>IFERROR(tbl_MA[[#This Row],[Qty Complete]]/tbl_MA[[#This Row],[Total Hours Act]]*tbl_MA[[#This Row],['# of men Act]],"")</f>
        <v/>
      </c>
      <c r="O114"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14" s="71" t="str">
        <f>IFERROR((tbl_MA[[#This Row],[Adj. Total Hours]]+tbl_MA[[#This Row],[Est. Hours]])/(tbl_MA[[#This Row],[Total Hours Act]]+tbl_MA[[#This Row],[Act. Hours]]),"")</f>
        <v/>
      </c>
      <c r="S114" s="63"/>
      <c r="T114" s="63"/>
      <c r="U114" s="63"/>
      <c r="V114" s="63"/>
      <c r="W114" s="63"/>
    </row>
    <row r="115" spans="6:23" ht="25" customHeight="1">
      <c r="F115" s="53"/>
      <c r="H115" s="55" t="e">
        <f>tbl_MA[[#This Row],[Qty Complete]]/tbl_MA[[#This Row],[Qty Required]]</f>
        <v>#DIV/0!</v>
      </c>
      <c r="K115" s="57" t="str">
        <f>IFERROR(tbl_MA[[#This Row],[Qty Required]]/tbl_MA[[#This Row],[PPH]]*tbl_MA[[#This Row],['# of men]],"")</f>
        <v/>
      </c>
      <c r="L115" s="58" t="e">
        <f>tbl_MA[[#This Row],[Total hours]]*tbl_MA[[#This Row],[% Complete]]</f>
        <v>#VALUE!</v>
      </c>
      <c r="M115" s="59" t="str">
        <f>IFERROR(tbl_MA[[#This Row],[Qty Complete]]/tbl_MA[[#This Row],[Total Hours Act]]*tbl_MA[[#This Row],['# of men Act]],"")</f>
        <v/>
      </c>
      <c r="O115"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15" s="71" t="str">
        <f>IFERROR((tbl_MA[[#This Row],[Adj. Total Hours]]+tbl_MA[[#This Row],[Est. Hours]])/(tbl_MA[[#This Row],[Total Hours Act]]+tbl_MA[[#This Row],[Act. Hours]]),"")</f>
        <v/>
      </c>
      <c r="S115" s="63"/>
      <c r="T115" s="63"/>
      <c r="U115" s="63"/>
      <c r="V115" s="63"/>
      <c r="W115" s="63"/>
    </row>
    <row r="116" spans="6:23" ht="25" customHeight="1">
      <c r="F116" s="53"/>
      <c r="H116" s="55" t="e">
        <f>tbl_MA[[#This Row],[Qty Complete]]/tbl_MA[[#This Row],[Qty Required]]</f>
        <v>#DIV/0!</v>
      </c>
      <c r="K116" s="57" t="str">
        <f>IFERROR(tbl_MA[[#This Row],[Qty Required]]/tbl_MA[[#This Row],[PPH]]*tbl_MA[[#This Row],['# of men]],"")</f>
        <v/>
      </c>
      <c r="L116" s="58" t="e">
        <f>tbl_MA[[#This Row],[Total hours]]*tbl_MA[[#This Row],[% Complete]]</f>
        <v>#VALUE!</v>
      </c>
      <c r="M116" s="59" t="str">
        <f>IFERROR(tbl_MA[[#This Row],[Qty Complete]]/tbl_MA[[#This Row],[Total Hours Act]]*tbl_MA[[#This Row],['# of men Act]],"")</f>
        <v/>
      </c>
      <c r="O116"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16" s="71" t="str">
        <f>IFERROR((tbl_MA[[#This Row],[Adj. Total Hours]]+tbl_MA[[#This Row],[Est. Hours]])/(tbl_MA[[#This Row],[Total Hours Act]]+tbl_MA[[#This Row],[Act. Hours]]),"")</f>
        <v/>
      </c>
      <c r="S116" s="63"/>
      <c r="T116" s="63"/>
      <c r="U116" s="63"/>
      <c r="V116" s="63"/>
      <c r="W116" s="63"/>
    </row>
    <row r="117" spans="6:23" ht="25" customHeight="1">
      <c r="F117" s="53"/>
      <c r="H117" s="55" t="e">
        <f>tbl_MA[[#This Row],[Qty Complete]]/tbl_MA[[#This Row],[Qty Required]]</f>
        <v>#DIV/0!</v>
      </c>
      <c r="K117" s="57" t="str">
        <f>IFERROR(tbl_MA[[#This Row],[Qty Required]]/tbl_MA[[#This Row],[PPH]]*tbl_MA[[#This Row],['# of men]],"")</f>
        <v/>
      </c>
      <c r="L117" s="58" t="e">
        <f>tbl_MA[[#This Row],[Total hours]]*tbl_MA[[#This Row],[% Complete]]</f>
        <v>#VALUE!</v>
      </c>
      <c r="M117" s="59" t="str">
        <f>IFERROR(tbl_MA[[#This Row],[Qty Complete]]/tbl_MA[[#This Row],[Total Hours Act]]*tbl_MA[[#This Row],['# of men Act]],"")</f>
        <v/>
      </c>
      <c r="O117"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17" s="71" t="str">
        <f>IFERROR((tbl_MA[[#This Row],[Adj. Total Hours]]+tbl_MA[[#This Row],[Est. Hours]])/(tbl_MA[[#This Row],[Total Hours Act]]+tbl_MA[[#This Row],[Act. Hours]]),"")</f>
        <v/>
      </c>
      <c r="S117" s="63"/>
      <c r="T117" s="63"/>
      <c r="U117" s="63"/>
      <c r="V117" s="63"/>
      <c r="W117" s="63"/>
    </row>
    <row r="118" spans="6:23" ht="25" customHeight="1">
      <c r="F118" s="53"/>
      <c r="H118" s="55" t="e">
        <f>tbl_MA[[#This Row],[Qty Complete]]/tbl_MA[[#This Row],[Qty Required]]</f>
        <v>#DIV/0!</v>
      </c>
      <c r="K118" s="57" t="str">
        <f>IFERROR(tbl_MA[[#This Row],[Qty Required]]/tbl_MA[[#This Row],[PPH]]*tbl_MA[[#This Row],['# of men]],"")</f>
        <v/>
      </c>
      <c r="L118" s="58" t="e">
        <f>tbl_MA[[#This Row],[Total hours]]*tbl_MA[[#This Row],[% Complete]]</f>
        <v>#VALUE!</v>
      </c>
      <c r="M118" s="59" t="str">
        <f>IFERROR(tbl_MA[[#This Row],[Qty Complete]]/tbl_MA[[#This Row],[Total Hours Act]]*tbl_MA[[#This Row],['# of men Act]],"")</f>
        <v/>
      </c>
      <c r="O118"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18" s="71" t="str">
        <f>IFERROR((tbl_MA[[#This Row],[Adj. Total Hours]]+tbl_MA[[#This Row],[Est. Hours]])/(tbl_MA[[#This Row],[Total Hours Act]]+tbl_MA[[#This Row],[Act. Hours]]),"")</f>
        <v/>
      </c>
      <c r="S118" s="63"/>
      <c r="T118" s="63"/>
      <c r="U118" s="63"/>
      <c r="V118" s="63"/>
      <c r="W118" s="63"/>
    </row>
    <row r="119" spans="6:23" ht="25" customHeight="1">
      <c r="F119" s="53"/>
      <c r="H119" s="55" t="e">
        <f>tbl_MA[[#This Row],[Qty Complete]]/tbl_MA[[#This Row],[Qty Required]]</f>
        <v>#DIV/0!</v>
      </c>
      <c r="K119" s="57" t="str">
        <f>IFERROR(tbl_MA[[#This Row],[Qty Required]]/tbl_MA[[#This Row],[PPH]]*tbl_MA[[#This Row],['# of men]],"")</f>
        <v/>
      </c>
      <c r="L119" s="58" t="e">
        <f>tbl_MA[[#This Row],[Total hours]]*tbl_MA[[#This Row],[% Complete]]</f>
        <v>#VALUE!</v>
      </c>
      <c r="M119" s="59" t="str">
        <f>IFERROR(tbl_MA[[#This Row],[Qty Complete]]/tbl_MA[[#This Row],[Total Hours Act]]*tbl_MA[[#This Row],['# of men Act]],"")</f>
        <v/>
      </c>
      <c r="O119"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19" s="71" t="str">
        <f>IFERROR((tbl_MA[[#This Row],[Adj. Total Hours]]+tbl_MA[[#This Row],[Est. Hours]])/(tbl_MA[[#This Row],[Total Hours Act]]+tbl_MA[[#This Row],[Act. Hours]]),"")</f>
        <v/>
      </c>
      <c r="S119" s="63"/>
      <c r="T119" s="63"/>
      <c r="U119" s="63"/>
      <c r="V119" s="63"/>
      <c r="W119" s="63"/>
    </row>
    <row r="120" spans="6:23" ht="25" customHeight="1">
      <c r="F120" s="53"/>
      <c r="H120" s="55" t="e">
        <f>tbl_MA[[#This Row],[Qty Complete]]/tbl_MA[[#This Row],[Qty Required]]</f>
        <v>#DIV/0!</v>
      </c>
      <c r="K120" s="57" t="str">
        <f>IFERROR(tbl_MA[[#This Row],[Qty Required]]/tbl_MA[[#This Row],[PPH]]*tbl_MA[[#This Row],['# of men]],"")</f>
        <v/>
      </c>
      <c r="L120" s="58" t="e">
        <f>tbl_MA[[#This Row],[Total hours]]*tbl_MA[[#This Row],[% Complete]]</f>
        <v>#VALUE!</v>
      </c>
      <c r="M120" s="59" t="str">
        <f>IFERROR(tbl_MA[[#This Row],[Qty Complete]]/tbl_MA[[#This Row],[Total Hours Act]]*tbl_MA[[#This Row],['# of men Act]],"")</f>
        <v/>
      </c>
      <c r="O120"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20" s="71" t="str">
        <f>IFERROR((tbl_MA[[#This Row],[Adj. Total Hours]]+tbl_MA[[#This Row],[Est. Hours]])/(tbl_MA[[#This Row],[Total Hours Act]]+tbl_MA[[#This Row],[Act. Hours]]),"")</f>
        <v/>
      </c>
      <c r="S120" s="63"/>
      <c r="T120" s="63"/>
      <c r="U120" s="63"/>
      <c r="V120" s="63"/>
      <c r="W120" s="63"/>
    </row>
    <row r="121" spans="6:23" ht="25" customHeight="1">
      <c r="F121" s="53"/>
      <c r="H121" s="55" t="e">
        <f>tbl_MA[[#This Row],[Qty Complete]]/tbl_MA[[#This Row],[Qty Required]]</f>
        <v>#DIV/0!</v>
      </c>
      <c r="K121" s="57" t="str">
        <f>IFERROR(tbl_MA[[#This Row],[Qty Required]]/tbl_MA[[#This Row],[PPH]]*tbl_MA[[#This Row],['# of men]],"")</f>
        <v/>
      </c>
      <c r="L121" s="58" t="e">
        <f>tbl_MA[[#This Row],[Total hours]]*tbl_MA[[#This Row],[% Complete]]</f>
        <v>#VALUE!</v>
      </c>
      <c r="M121" s="59" t="str">
        <f>IFERROR(tbl_MA[[#This Row],[Qty Complete]]/tbl_MA[[#This Row],[Total Hours Act]]*tbl_MA[[#This Row],['# of men Act]],"")</f>
        <v/>
      </c>
      <c r="O121"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21" s="71" t="str">
        <f>IFERROR((tbl_MA[[#This Row],[Adj. Total Hours]]+tbl_MA[[#This Row],[Est. Hours]])/(tbl_MA[[#This Row],[Total Hours Act]]+tbl_MA[[#This Row],[Act. Hours]]),"")</f>
        <v/>
      </c>
      <c r="S121" s="63"/>
      <c r="T121" s="63"/>
      <c r="U121" s="63"/>
      <c r="V121" s="63"/>
      <c r="W121" s="63"/>
    </row>
    <row r="122" spans="6:23" ht="25" customHeight="1">
      <c r="F122" s="53"/>
      <c r="H122" s="55" t="e">
        <f>tbl_MA[[#This Row],[Qty Complete]]/tbl_MA[[#This Row],[Qty Required]]</f>
        <v>#DIV/0!</v>
      </c>
      <c r="K122" s="57" t="str">
        <f>IFERROR(tbl_MA[[#This Row],[Qty Required]]/tbl_MA[[#This Row],[PPH]]*tbl_MA[[#This Row],['# of men]],"")</f>
        <v/>
      </c>
      <c r="L122" s="58" t="e">
        <f>tbl_MA[[#This Row],[Total hours]]*tbl_MA[[#This Row],[% Complete]]</f>
        <v>#VALUE!</v>
      </c>
      <c r="M122" s="59" t="str">
        <f>IFERROR(tbl_MA[[#This Row],[Qty Complete]]/tbl_MA[[#This Row],[Total Hours Act]]*tbl_MA[[#This Row],['# of men Act]],"")</f>
        <v/>
      </c>
      <c r="O122"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22" s="71" t="str">
        <f>IFERROR((tbl_MA[[#This Row],[Adj. Total Hours]]+tbl_MA[[#This Row],[Est. Hours]])/(tbl_MA[[#This Row],[Total Hours Act]]+tbl_MA[[#This Row],[Act. Hours]]),"")</f>
        <v/>
      </c>
      <c r="S122" s="63"/>
      <c r="T122" s="63"/>
      <c r="U122" s="63"/>
      <c r="V122" s="63"/>
      <c r="W122" s="63"/>
    </row>
    <row r="123" spans="6:23" ht="25" customHeight="1">
      <c r="F123" s="53"/>
      <c r="H123" s="55" t="e">
        <f>tbl_MA[[#This Row],[Qty Complete]]/tbl_MA[[#This Row],[Qty Required]]</f>
        <v>#DIV/0!</v>
      </c>
      <c r="K123" s="57" t="str">
        <f>IFERROR(tbl_MA[[#This Row],[Qty Required]]/tbl_MA[[#This Row],[PPH]]*tbl_MA[[#This Row],['# of men]],"")</f>
        <v/>
      </c>
      <c r="L123" s="58" t="e">
        <f>tbl_MA[[#This Row],[Total hours]]*tbl_MA[[#This Row],[% Complete]]</f>
        <v>#VALUE!</v>
      </c>
      <c r="M123" s="59" t="str">
        <f>IFERROR(tbl_MA[[#This Row],[Qty Complete]]/tbl_MA[[#This Row],[Total Hours Act]]*tbl_MA[[#This Row],['# of men Act]],"")</f>
        <v/>
      </c>
      <c r="O123"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23" s="71" t="str">
        <f>IFERROR((tbl_MA[[#This Row],[Adj. Total Hours]]+tbl_MA[[#This Row],[Est. Hours]])/(tbl_MA[[#This Row],[Total Hours Act]]+tbl_MA[[#This Row],[Act. Hours]]),"")</f>
        <v/>
      </c>
      <c r="S123" s="63"/>
      <c r="T123" s="63"/>
      <c r="U123" s="63"/>
      <c r="V123" s="63"/>
      <c r="W123" s="63"/>
    </row>
    <row r="124" spans="6:23" ht="25" customHeight="1">
      <c r="F124" s="53"/>
      <c r="H124" s="55" t="e">
        <f>tbl_MA[[#This Row],[Qty Complete]]/tbl_MA[[#This Row],[Qty Required]]</f>
        <v>#DIV/0!</v>
      </c>
      <c r="K124" s="57" t="str">
        <f>IFERROR(tbl_MA[[#This Row],[Qty Required]]/tbl_MA[[#This Row],[PPH]]*tbl_MA[[#This Row],['# of men]],"")</f>
        <v/>
      </c>
      <c r="L124" s="58" t="e">
        <f>tbl_MA[[#This Row],[Total hours]]*tbl_MA[[#This Row],[% Complete]]</f>
        <v>#VALUE!</v>
      </c>
      <c r="M124" s="59" t="str">
        <f>IFERROR(tbl_MA[[#This Row],[Qty Complete]]/tbl_MA[[#This Row],[Total Hours Act]]*tbl_MA[[#This Row],['# of men Act]],"")</f>
        <v/>
      </c>
      <c r="O124"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24" s="71" t="str">
        <f>IFERROR((tbl_MA[[#This Row],[Adj. Total Hours]]+tbl_MA[[#This Row],[Est. Hours]])/(tbl_MA[[#This Row],[Total Hours Act]]+tbl_MA[[#This Row],[Act. Hours]]),"")</f>
        <v/>
      </c>
      <c r="S124" s="63"/>
      <c r="T124" s="63"/>
      <c r="U124" s="63"/>
      <c r="V124" s="63"/>
      <c r="W124" s="63"/>
    </row>
    <row r="125" spans="6:23" ht="25" customHeight="1">
      <c r="F125" s="53"/>
      <c r="H125" s="55" t="e">
        <f>tbl_MA[[#This Row],[Qty Complete]]/tbl_MA[[#This Row],[Qty Required]]</f>
        <v>#DIV/0!</v>
      </c>
      <c r="K125" s="57" t="str">
        <f>IFERROR(tbl_MA[[#This Row],[Qty Required]]/tbl_MA[[#This Row],[PPH]]*tbl_MA[[#This Row],['# of men]],"")</f>
        <v/>
      </c>
      <c r="L125" s="58" t="e">
        <f>tbl_MA[[#This Row],[Total hours]]*tbl_MA[[#This Row],[% Complete]]</f>
        <v>#VALUE!</v>
      </c>
      <c r="M125" s="59" t="str">
        <f>IFERROR(tbl_MA[[#This Row],[Qty Complete]]/tbl_MA[[#This Row],[Total Hours Act]]*tbl_MA[[#This Row],['# of men Act]],"")</f>
        <v/>
      </c>
      <c r="O125"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25" s="71" t="str">
        <f>IFERROR((tbl_MA[[#This Row],[Adj. Total Hours]]+tbl_MA[[#This Row],[Est. Hours]])/(tbl_MA[[#This Row],[Total Hours Act]]+tbl_MA[[#This Row],[Act. Hours]]),"")</f>
        <v/>
      </c>
      <c r="S125" s="63"/>
      <c r="T125" s="63"/>
      <c r="U125" s="63"/>
      <c r="V125" s="63"/>
      <c r="W125" s="63"/>
    </row>
    <row r="126" spans="6:23" ht="25" customHeight="1">
      <c r="F126" s="53"/>
      <c r="H126" s="55" t="e">
        <f>tbl_MA[[#This Row],[Qty Complete]]/tbl_MA[[#This Row],[Qty Required]]</f>
        <v>#DIV/0!</v>
      </c>
      <c r="K126" s="57" t="str">
        <f>IFERROR(tbl_MA[[#This Row],[Qty Required]]/tbl_MA[[#This Row],[PPH]]*tbl_MA[[#This Row],['# of men]],"")</f>
        <v/>
      </c>
      <c r="L126" s="58" t="e">
        <f>tbl_MA[[#This Row],[Total hours]]*tbl_MA[[#This Row],[% Complete]]</f>
        <v>#VALUE!</v>
      </c>
      <c r="M126" s="59" t="str">
        <f>IFERROR(tbl_MA[[#This Row],[Qty Complete]]/tbl_MA[[#This Row],[Total Hours Act]]*tbl_MA[[#This Row],['# of men Act]],"")</f>
        <v/>
      </c>
      <c r="O126"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26" s="71" t="str">
        <f>IFERROR((tbl_MA[[#This Row],[Adj. Total Hours]]+tbl_MA[[#This Row],[Est. Hours]])/(tbl_MA[[#This Row],[Total Hours Act]]+tbl_MA[[#This Row],[Act. Hours]]),"")</f>
        <v/>
      </c>
      <c r="S126" s="63"/>
      <c r="T126" s="63"/>
      <c r="U126" s="63"/>
      <c r="V126" s="63"/>
      <c r="W126" s="63"/>
    </row>
    <row r="127" spans="6:23" ht="25" customHeight="1">
      <c r="F127" s="53"/>
      <c r="H127" s="55" t="e">
        <f>tbl_MA[[#This Row],[Qty Complete]]/tbl_MA[[#This Row],[Qty Required]]</f>
        <v>#DIV/0!</v>
      </c>
      <c r="K127" s="57" t="str">
        <f>IFERROR(tbl_MA[[#This Row],[Qty Required]]/tbl_MA[[#This Row],[PPH]]*tbl_MA[[#This Row],['# of men]],"")</f>
        <v/>
      </c>
      <c r="L127" s="58" t="e">
        <f>tbl_MA[[#This Row],[Total hours]]*tbl_MA[[#This Row],[% Complete]]</f>
        <v>#VALUE!</v>
      </c>
      <c r="M127" s="59" t="str">
        <f>IFERROR(tbl_MA[[#This Row],[Qty Complete]]/tbl_MA[[#This Row],[Total Hours Act]]*tbl_MA[[#This Row],['# of men Act]],"")</f>
        <v/>
      </c>
      <c r="O127"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27" s="71" t="str">
        <f>IFERROR((tbl_MA[[#This Row],[Adj. Total Hours]]+tbl_MA[[#This Row],[Est. Hours]])/(tbl_MA[[#This Row],[Total Hours Act]]+tbl_MA[[#This Row],[Act. Hours]]),"")</f>
        <v/>
      </c>
      <c r="S127" s="63"/>
      <c r="T127" s="63"/>
      <c r="U127" s="63"/>
      <c r="V127" s="63"/>
      <c r="W127" s="63"/>
    </row>
    <row r="128" spans="6:23" ht="25" customHeight="1">
      <c r="F128" s="53"/>
      <c r="H128" s="55" t="e">
        <f>tbl_MA[[#This Row],[Qty Complete]]/tbl_MA[[#This Row],[Qty Required]]</f>
        <v>#DIV/0!</v>
      </c>
      <c r="K128" s="57" t="str">
        <f>IFERROR(tbl_MA[[#This Row],[Qty Required]]/tbl_MA[[#This Row],[PPH]]*tbl_MA[[#This Row],['# of men]],"")</f>
        <v/>
      </c>
      <c r="L128" s="58" t="e">
        <f>tbl_MA[[#This Row],[Total hours]]*tbl_MA[[#This Row],[% Complete]]</f>
        <v>#VALUE!</v>
      </c>
      <c r="M128" s="59" t="str">
        <f>IFERROR(tbl_MA[[#This Row],[Qty Complete]]/tbl_MA[[#This Row],[Total Hours Act]]*tbl_MA[[#This Row],['# of men Act]],"")</f>
        <v/>
      </c>
      <c r="O128"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28" s="71" t="str">
        <f>IFERROR((tbl_MA[[#This Row],[Adj. Total Hours]]+tbl_MA[[#This Row],[Est. Hours]])/(tbl_MA[[#This Row],[Total Hours Act]]+tbl_MA[[#This Row],[Act. Hours]]),"")</f>
        <v/>
      </c>
      <c r="S128" s="63"/>
      <c r="T128" s="63"/>
      <c r="U128" s="63"/>
      <c r="V128" s="63"/>
      <c r="W128" s="63"/>
    </row>
    <row r="129" spans="6:23" ht="25" customHeight="1">
      <c r="F129" s="53"/>
      <c r="H129" s="55" t="e">
        <f>tbl_MA[[#This Row],[Qty Complete]]/tbl_MA[[#This Row],[Qty Required]]</f>
        <v>#DIV/0!</v>
      </c>
      <c r="K129" s="57" t="str">
        <f>IFERROR(tbl_MA[[#This Row],[Qty Required]]/tbl_MA[[#This Row],[PPH]]*tbl_MA[[#This Row],['# of men]],"")</f>
        <v/>
      </c>
      <c r="L129" s="58" t="e">
        <f>tbl_MA[[#This Row],[Total hours]]*tbl_MA[[#This Row],[% Complete]]</f>
        <v>#VALUE!</v>
      </c>
      <c r="M129" s="59" t="str">
        <f>IFERROR(tbl_MA[[#This Row],[Qty Complete]]/tbl_MA[[#This Row],[Total Hours Act]]*tbl_MA[[#This Row],['# of men Act]],"")</f>
        <v/>
      </c>
      <c r="O129"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29" s="71" t="str">
        <f>IFERROR((tbl_MA[[#This Row],[Adj. Total Hours]]+tbl_MA[[#This Row],[Est. Hours]])/(tbl_MA[[#This Row],[Total Hours Act]]+tbl_MA[[#This Row],[Act. Hours]]),"")</f>
        <v/>
      </c>
      <c r="S129" s="63"/>
      <c r="T129" s="63"/>
      <c r="U129" s="63"/>
      <c r="V129" s="63"/>
      <c r="W129" s="63"/>
    </row>
    <row r="130" spans="6:23" ht="25" customHeight="1">
      <c r="F130" s="53"/>
      <c r="H130" s="55" t="e">
        <f>tbl_MA[[#This Row],[Qty Complete]]/tbl_MA[[#This Row],[Qty Required]]</f>
        <v>#DIV/0!</v>
      </c>
      <c r="K130" s="57" t="str">
        <f>IFERROR(tbl_MA[[#This Row],[Qty Required]]/tbl_MA[[#This Row],[PPH]]*tbl_MA[[#This Row],['# of men]],"")</f>
        <v/>
      </c>
      <c r="L130" s="58" t="e">
        <f>tbl_MA[[#This Row],[Total hours]]*tbl_MA[[#This Row],[% Complete]]</f>
        <v>#VALUE!</v>
      </c>
      <c r="M130" s="59" t="str">
        <f>IFERROR(tbl_MA[[#This Row],[Qty Complete]]/tbl_MA[[#This Row],[Total Hours Act]]*tbl_MA[[#This Row],['# of men Act]],"")</f>
        <v/>
      </c>
      <c r="O130"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30" s="71" t="str">
        <f>IFERROR((tbl_MA[[#This Row],[Adj. Total Hours]]+tbl_MA[[#This Row],[Est. Hours]])/(tbl_MA[[#This Row],[Total Hours Act]]+tbl_MA[[#This Row],[Act. Hours]]),"")</f>
        <v/>
      </c>
      <c r="S130" s="63"/>
      <c r="T130" s="63"/>
      <c r="U130" s="63"/>
      <c r="V130" s="63"/>
      <c r="W130" s="63"/>
    </row>
    <row r="131" spans="6:23" ht="25" customHeight="1">
      <c r="F131" s="53"/>
      <c r="H131" s="55" t="e">
        <f>tbl_MA[[#This Row],[Qty Complete]]/tbl_MA[[#This Row],[Qty Required]]</f>
        <v>#DIV/0!</v>
      </c>
      <c r="K131" s="57" t="str">
        <f>IFERROR(tbl_MA[[#This Row],[Qty Required]]/tbl_MA[[#This Row],[PPH]]*tbl_MA[[#This Row],['# of men]],"")</f>
        <v/>
      </c>
      <c r="L131" s="58" t="e">
        <f>tbl_MA[[#This Row],[Total hours]]*tbl_MA[[#This Row],[% Complete]]</f>
        <v>#VALUE!</v>
      </c>
      <c r="M131" s="59" t="str">
        <f>IFERROR(tbl_MA[[#This Row],[Qty Complete]]/tbl_MA[[#This Row],[Total Hours Act]]*tbl_MA[[#This Row],['# of men Act]],"")</f>
        <v/>
      </c>
      <c r="O131"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31" s="71" t="str">
        <f>IFERROR((tbl_MA[[#This Row],[Adj. Total Hours]]+tbl_MA[[#This Row],[Est. Hours]])/(tbl_MA[[#This Row],[Total Hours Act]]+tbl_MA[[#This Row],[Act. Hours]]),"")</f>
        <v/>
      </c>
      <c r="S131" s="63"/>
      <c r="T131" s="63"/>
      <c r="U131" s="63"/>
      <c r="V131" s="63"/>
      <c r="W131" s="63"/>
    </row>
    <row r="132" spans="6:23" ht="25" customHeight="1">
      <c r="F132" s="53"/>
      <c r="H132" s="55" t="e">
        <f>tbl_MA[[#This Row],[Qty Complete]]/tbl_MA[[#This Row],[Qty Required]]</f>
        <v>#DIV/0!</v>
      </c>
      <c r="K132" s="57" t="str">
        <f>IFERROR(tbl_MA[[#This Row],[Qty Required]]/tbl_MA[[#This Row],[PPH]]*tbl_MA[[#This Row],['# of men]],"")</f>
        <v/>
      </c>
      <c r="L132" s="58" t="e">
        <f>tbl_MA[[#This Row],[Total hours]]*tbl_MA[[#This Row],[% Complete]]</f>
        <v>#VALUE!</v>
      </c>
      <c r="M132" s="59" t="str">
        <f>IFERROR(tbl_MA[[#This Row],[Qty Complete]]/tbl_MA[[#This Row],[Total Hours Act]]*tbl_MA[[#This Row],['# of men Act]],"")</f>
        <v/>
      </c>
      <c r="O132"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32" s="71" t="str">
        <f>IFERROR((tbl_MA[[#This Row],[Adj. Total Hours]]+tbl_MA[[#This Row],[Est. Hours]])/(tbl_MA[[#This Row],[Total Hours Act]]+tbl_MA[[#This Row],[Act. Hours]]),"")</f>
        <v/>
      </c>
      <c r="S132" s="63"/>
      <c r="T132" s="63"/>
      <c r="U132" s="63"/>
      <c r="V132" s="63"/>
      <c r="W132" s="63"/>
    </row>
    <row r="133" spans="6:23" ht="25" customHeight="1">
      <c r="F133" s="53"/>
      <c r="H133" s="55" t="e">
        <f>tbl_MA[[#This Row],[Qty Complete]]/tbl_MA[[#This Row],[Qty Required]]</f>
        <v>#DIV/0!</v>
      </c>
      <c r="K133" s="57" t="str">
        <f>IFERROR(tbl_MA[[#This Row],[Qty Required]]/tbl_MA[[#This Row],[PPH]]*tbl_MA[[#This Row],['# of men]],"")</f>
        <v/>
      </c>
      <c r="L133" s="58" t="e">
        <f>tbl_MA[[#This Row],[Total hours]]*tbl_MA[[#This Row],[% Complete]]</f>
        <v>#VALUE!</v>
      </c>
      <c r="M133" s="59" t="str">
        <f>IFERROR(tbl_MA[[#This Row],[Qty Complete]]/tbl_MA[[#This Row],[Total Hours Act]]*tbl_MA[[#This Row],['# of men Act]],"")</f>
        <v/>
      </c>
      <c r="O133"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33" s="71" t="str">
        <f>IFERROR((tbl_MA[[#This Row],[Adj. Total Hours]]+tbl_MA[[#This Row],[Est. Hours]])/(tbl_MA[[#This Row],[Total Hours Act]]+tbl_MA[[#This Row],[Act. Hours]]),"")</f>
        <v/>
      </c>
      <c r="S133" s="63"/>
      <c r="T133" s="63"/>
      <c r="U133" s="63"/>
      <c r="V133" s="63"/>
      <c r="W133" s="63"/>
    </row>
    <row r="134" spans="6:23" ht="25" customHeight="1">
      <c r="F134" s="53"/>
      <c r="H134" s="55" t="e">
        <f>tbl_MA[[#This Row],[Qty Complete]]/tbl_MA[[#This Row],[Qty Required]]</f>
        <v>#DIV/0!</v>
      </c>
      <c r="K134" s="57" t="str">
        <f>IFERROR(tbl_MA[[#This Row],[Qty Required]]/tbl_MA[[#This Row],[PPH]]*tbl_MA[[#This Row],['# of men]],"")</f>
        <v/>
      </c>
      <c r="L134" s="58" t="e">
        <f>tbl_MA[[#This Row],[Total hours]]*tbl_MA[[#This Row],[% Complete]]</f>
        <v>#VALUE!</v>
      </c>
      <c r="M134" s="59" t="str">
        <f>IFERROR(tbl_MA[[#This Row],[Qty Complete]]/tbl_MA[[#This Row],[Total Hours Act]]*tbl_MA[[#This Row],['# of men Act]],"")</f>
        <v/>
      </c>
      <c r="O134"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34" s="71" t="str">
        <f>IFERROR((tbl_MA[[#This Row],[Adj. Total Hours]]+tbl_MA[[#This Row],[Est. Hours]])/(tbl_MA[[#This Row],[Total Hours Act]]+tbl_MA[[#This Row],[Act. Hours]]),"")</f>
        <v/>
      </c>
      <c r="S134" s="63"/>
      <c r="T134" s="63"/>
      <c r="U134" s="63"/>
      <c r="V134" s="63"/>
      <c r="W134" s="63"/>
    </row>
    <row r="135" spans="6:23" ht="25" customHeight="1">
      <c r="F135" s="53"/>
      <c r="H135" s="55" t="e">
        <f>tbl_MA[[#This Row],[Qty Complete]]/tbl_MA[[#This Row],[Qty Required]]</f>
        <v>#DIV/0!</v>
      </c>
      <c r="K135" s="57" t="str">
        <f>IFERROR(tbl_MA[[#This Row],[Qty Required]]/tbl_MA[[#This Row],[PPH]]*tbl_MA[[#This Row],['# of men]],"")</f>
        <v/>
      </c>
      <c r="L135" s="58" t="e">
        <f>tbl_MA[[#This Row],[Total hours]]*tbl_MA[[#This Row],[% Complete]]</f>
        <v>#VALUE!</v>
      </c>
      <c r="M135" s="59" t="str">
        <f>IFERROR(tbl_MA[[#This Row],[Qty Complete]]/tbl_MA[[#This Row],[Total Hours Act]]*tbl_MA[[#This Row],['# of men Act]],"")</f>
        <v/>
      </c>
      <c r="O135"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35" s="71" t="str">
        <f>IFERROR((tbl_MA[[#This Row],[Adj. Total Hours]]+tbl_MA[[#This Row],[Est. Hours]])/(tbl_MA[[#This Row],[Total Hours Act]]+tbl_MA[[#This Row],[Act. Hours]]),"")</f>
        <v/>
      </c>
      <c r="S135" s="63"/>
      <c r="T135" s="63"/>
      <c r="U135" s="63"/>
      <c r="V135" s="63"/>
      <c r="W135" s="63"/>
    </row>
    <row r="136" spans="6:23" ht="25" customHeight="1">
      <c r="F136" s="53"/>
      <c r="H136" s="55" t="e">
        <f>tbl_MA[[#This Row],[Qty Complete]]/tbl_MA[[#This Row],[Qty Required]]</f>
        <v>#DIV/0!</v>
      </c>
      <c r="K136" s="57" t="str">
        <f>IFERROR(tbl_MA[[#This Row],[Qty Required]]/tbl_MA[[#This Row],[PPH]]*tbl_MA[[#This Row],['# of men]],"")</f>
        <v/>
      </c>
      <c r="L136" s="58" t="e">
        <f>tbl_MA[[#This Row],[Total hours]]*tbl_MA[[#This Row],[% Complete]]</f>
        <v>#VALUE!</v>
      </c>
      <c r="M136" s="59" t="str">
        <f>IFERROR(tbl_MA[[#This Row],[Qty Complete]]/tbl_MA[[#This Row],[Total Hours Act]]*tbl_MA[[#This Row],['# of men Act]],"")</f>
        <v/>
      </c>
      <c r="O136"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36" s="71" t="str">
        <f>IFERROR((tbl_MA[[#This Row],[Adj. Total Hours]]+tbl_MA[[#This Row],[Est. Hours]])/(tbl_MA[[#This Row],[Total Hours Act]]+tbl_MA[[#This Row],[Act. Hours]]),"")</f>
        <v/>
      </c>
      <c r="S136" s="63"/>
      <c r="T136" s="63"/>
      <c r="U136" s="63"/>
      <c r="V136" s="63"/>
      <c r="W136" s="63"/>
    </row>
    <row r="137" spans="6:23" ht="25" customHeight="1">
      <c r="F137" s="53"/>
      <c r="H137" s="55" t="e">
        <f>tbl_MA[[#This Row],[Qty Complete]]/tbl_MA[[#This Row],[Qty Required]]</f>
        <v>#DIV/0!</v>
      </c>
      <c r="K137" s="57" t="str">
        <f>IFERROR(tbl_MA[[#This Row],[Qty Required]]/tbl_MA[[#This Row],[PPH]]*tbl_MA[[#This Row],['# of men]],"")</f>
        <v/>
      </c>
      <c r="L137" s="58" t="e">
        <f>tbl_MA[[#This Row],[Total hours]]*tbl_MA[[#This Row],[% Complete]]</f>
        <v>#VALUE!</v>
      </c>
      <c r="M137" s="59" t="str">
        <f>IFERROR(tbl_MA[[#This Row],[Qty Complete]]/tbl_MA[[#This Row],[Total Hours Act]]*tbl_MA[[#This Row],['# of men Act]],"")</f>
        <v/>
      </c>
      <c r="O137"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37" s="71" t="str">
        <f>IFERROR((tbl_MA[[#This Row],[Adj. Total Hours]]+tbl_MA[[#This Row],[Est. Hours]])/(tbl_MA[[#This Row],[Total Hours Act]]+tbl_MA[[#This Row],[Act. Hours]]),"")</f>
        <v/>
      </c>
      <c r="S137" s="63"/>
      <c r="T137" s="63"/>
      <c r="U137" s="63"/>
      <c r="V137" s="63"/>
      <c r="W137" s="63"/>
    </row>
    <row r="138" spans="6:23" ht="25" customHeight="1">
      <c r="F138" s="53"/>
      <c r="H138" s="55" t="e">
        <f>tbl_MA[[#This Row],[Qty Complete]]/tbl_MA[[#This Row],[Qty Required]]</f>
        <v>#DIV/0!</v>
      </c>
      <c r="K138" s="57" t="str">
        <f>IFERROR(tbl_MA[[#This Row],[Qty Required]]/tbl_MA[[#This Row],[PPH]]*tbl_MA[[#This Row],['# of men]],"")</f>
        <v/>
      </c>
      <c r="L138" s="58" t="e">
        <f>tbl_MA[[#This Row],[Total hours]]*tbl_MA[[#This Row],[% Complete]]</f>
        <v>#VALUE!</v>
      </c>
      <c r="M138" s="59" t="str">
        <f>IFERROR(tbl_MA[[#This Row],[Qty Complete]]/tbl_MA[[#This Row],[Total Hours Act]]*tbl_MA[[#This Row],['# of men Act]],"")</f>
        <v/>
      </c>
      <c r="O138"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38" s="71" t="str">
        <f>IFERROR((tbl_MA[[#This Row],[Adj. Total Hours]]+tbl_MA[[#This Row],[Est. Hours]])/(tbl_MA[[#This Row],[Total Hours Act]]+tbl_MA[[#This Row],[Act. Hours]]),"")</f>
        <v/>
      </c>
      <c r="S138" s="63"/>
      <c r="T138" s="63"/>
      <c r="U138" s="63"/>
      <c r="V138" s="63"/>
      <c r="W138" s="63"/>
    </row>
    <row r="139" spans="6:23" ht="25" customHeight="1">
      <c r="F139" s="53"/>
      <c r="H139" s="55" t="e">
        <f>tbl_MA[[#This Row],[Qty Complete]]/tbl_MA[[#This Row],[Qty Required]]</f>
        <v>#DIV/0!</v>
      </c>
      <c r="K139" s="57" t="str">
        <f>IFERROR(tbl_MA[[#This Row],[Qty Required]]/tbl_MA[[#This Row],[PPH]]*tbl_MA[[#This Row],['# of men]],"")</f>
        <v/>
      </c>
      <c r="L139" s="58" t="e">
        <f>tbl_MA[[#This Row],[Total hours]]*tbl_MA[[#This Row],[% Complete]]</f>
        <v>#VALUE!</v>
      </c>
      <c r="M139" s="59" t="str">
        <f>IFERROR(tbl_MA[[#This Row],[Qty Complete]]/tbl_MA[[#This Row],[Total Hours Act]]*tbl_MA[[#This Row],['# of men Act]],"")</f>
        <v/>
      </c>
      <c r="O139"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39" s="71" t="str">
        <f>IFERROR((tbl_MA[[#This Row],[Adj. Total Hours]]+tbl_MA[[#This Row],[Est. Hours]])/(tbl_MA[[#This Row],[Total Hours Act]]+tbl_MA[[#This Row],[Act. Hours]]),"")</f>
        <v/>
      </c>
      <c r="S139" s="63"/>
      <c r="T139" s="63"/>
      <c r="U139" s="63"/>
      <c r="V139" s="63"/>
      <c r="W139" s="63"/>
    </row>
    <row r="140" spans="6:23" ht="25" customHeight="1">
      <c r="F140" s="53"/>
      <c r="H140" s="55" t="e">
        <f>tbl_MA[[#This Row],[Qty Complete]]/tbl_MA[[#This Row],[Qty Required]]</f>
        <v>#DIV/0!</v>
      </c>
      <c r="K140" s="57" t="str">
        <f>IFERROR(tbl_MA[[#This Row],[Qty Required]]/tbl_MA[[#This Row],[PPH]]*tbl_MA[[#This Row],['# of men]],"")</f>
        <v/>
      </c>
      <c r="L140" s="58" t="e">
        <f>tbl_MA[[#This Row],[Total hours]]*tbl_MA[[#This Row],[% Complete]]</f>
        <v>#VALUE!</v>
      </c>
      <c r="M140" s="59" t="str">
        <f>IFERROR(tbl_MA[[#This Row],[Qty Complete]]/tbl_MA[[#This Row],[Total Hours Act]]*tbl_MA[[#This Row],['# of men Act]],"")</f>
        <v/>
      </c>
      <c r="O140"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40" s="71" t="str">
        <f>IFERROR((tbl_MA[[#This Row],[Adj. Total Hours]]+tbl_MA[[#This Row],[Est. Hours]])/(tbl_MA[[#This Row],[Total Hours Act]]+tbl_MA[[#This Row],[Act. Hours]]),"")</f>
        <v/>
      </c>
      <c r="S140" s="63"/>
      <c r="T140" s="63"/>
      <c r="U140" s="63"/>
      <c r="V140" s="63"/>
      <c r="W140" s="63"/>
    </row>
    <row r="141" spans="6:23" ht="25" customHeight="1">
      <c r="F141" s="53"/>
      <c r="H141" s="55" t="e">
        <f>tbl_MA[[#This Row],[Qty Complete]]/tbl_MA[[#This Row],[Qty Required]]</f>
        <v>#DIV/0!</v>
      </c>
      <c r="K141" s="57" t="str">
        <f>IFERROR(tbl_MA[[#This Row],[Qty Required]]/tbl_MA[[#This Row],[PPH]]*tbl_MA[[#This Row],['# of men]],"")</f>
        <v/>
      </c>
      <c r="L141" s="58" t="e">
        <f>tbl_MA[[#This Row],[Total hours]]*tbl_MA[[#This Row],[% Complete]]</f>
        <v>#VALUE!</v>
      </c>
      <c r="M141" s="59" t="str">
        <f>IFERROR(tbl_MA[[#This Row],[Qty Complete]]/tbl_MA[[#This Row],[Total Hours Act]]*tbl_MA[[#This Row],['# of men Act]],"")</f>
        <v/>
      </c>
      <c r="O141"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41" s="71" t="str">
        <f>IFERROR((tbl_MA[[#This Row],[Adj. Total Hours]]+tbl_MA[[#This Row],[Est. Hours]])/(tbl_MA[[#This Row],[Total Hours Act]]+tbl_MA[[#This Row],[Act. Hours]]),"")</f>
        <v/>
      </c>
      <c r="S141" s="63"/>
      <c r="T141" s="63"/>
      <c r="U141" s="63"/>
      <c r="V141" s="63"/>
      <c r="W141" s="63"/>
    </row>
    <row r="142" spans="6:23" ht="25" customHeight="1">
      <c r="F142" s="53"/>
      <c r="H142" s="55" t="e">
        <f>tbl_MA[[#This Row],[Qty Complete]]/tbl_MA[[#This Row],[Qty Required]]</f>
        <v>#DIV/0!</v>
      </c>
      <c r="K142" s="57" t="str">
        <f>IFERROR(tbl_MA[[#This Row],[Qty Required]]/tbl_MA[[#This Row],[PPH]]*tbl_MA[[#This Row],['# of men]],"")</f>
        <v/>
      </c>
      <c r="L142" s="58" t="e">
        <f>tbl_MA[[#This Row],[Total hours]]*tbl_MA[[#This Row],[% Complete]]</f>
        <v>#VALUE!</v>
      </c>
      <c r="M142" s="59" t="str">
        <f>IFERROR(tbl_MA[[#This Row],[Qty Complete]]/tbl_MA[[#This Row],[Total Hours Act]]*tbl_MA[[#This Row],['# of men Act]],"")</f>
        <v/>
      </c>
      <c r="O142"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42" s="71" t="str">
        <f>IFERROR((tbl_MA[[#This Row],[Adj. Total Hours]]+tbl_MA[[#This Row],[Est. Hours]])/(tbl_MA[[#This Row],[Total Hours Act]]+tbl_MA[[#This Row],[Act. Hours]]),"")</f>
        <v/>
      </c>
      <c r="S142" s="63"/>
      <c r="T142" s="63"/>
      <c r="U142" s="63"/>
      <c r="V142" s="63"/>
      <c r="W142" s="63"/>
    </row>
    <row r="143" spans="6:23" ht="25" customHeight="1">
      <c r="F143" s="53"/>
      <c r="H143" s="55" t="e">
        <f>tbl_MA[[#This Row],[Qty Complete]]/tbl_MA[[#This Row],[Qty Required]]</f>
        <v>#DIV/0!</v>
      </c>
      <c r="K143" s="57" t="str">
        <f>IFERROR(tbl_MA[[#This Row],[Qty Required]]/tbl_MA[[#This Row],[PPH]]*tbl_MA[[#This Row],['# of men]],"")</f>
        <v/>
      </c>
      <c r="L143" s="58" t="e">
        <f>tbl_MA[[#This Row],[Total hours]]*tbl_MA[[#This Row],[% Complete]]</f>
        <v>#VALUE!</v>
      </c>
      <c r="M143" s="59" t="str">
        <f>IFERROR(tbl_MA[[#This Row],[Qty Complete]]/tbl_MA[[#This Row],[Total Hours Act]]*tbl_MA[[#This Row],['# of men Act]],"")</f>
        <v/>
      </c>
      <c r="O143"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43" s="71" t="str">
        <f>IFERROR((tbl_MA[[#This Row],[Adj. Total Hours]]+tbl_MA[[#This Row],[Est. Hours]])/(tbl_MA[[#This Row],[Total Hours Act]]+tbl_MA[[#This Row],[Act. Hours]]),"")</f>
        <v/>
      </c>
      <c r="S143" s="63"/>
      <c r="T143" s="63"/>
      <c r="U143" s="63"/>
      <c r="V143" s="63"/>
      <c r="W143" s="63"/>
    </row>
    <row r="144" spans="6:23" ht="25" customHeight="1">
      <c r="F144" s="53"/>
      <c r="H144" s="55" t="e">
        <f>tbl_MA[[#This Row],[Qty Complete]]/tbl_MA[[#This Row],[Qty Required]]</f>
        <v>#DIV/0!</v>
      </c>
      <c r="K144" s="57" t="str">
        <f>IFERROR(tbl_MA[[#This Row],[Qty Required]]/tbl_MA[[#This Row],[PPH]]*tbl_MA[[#This Row],['# of men]],"")</f>
        <v/>
      </c>
      <c r="L144" s="58" t="e">
        <f>tbl_MA[[#This Row],[Total hours]]*tbl_MA[[#This Row],[% Complete]]</f>
        <v>#VALUE!</v>
      </c>
      <c r="M144" s="59" t="str">
        <f>IFERROR(tbl_MA[[#This Row],[Qty Complete]]/tbl_MA[[#This Row],[Total Hours Act]]*tbl_MA[[#This Row],['# of men Act]],"")</f>
        <v/>
      </c>
      <c r="O144"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44" s="71" t="str">
        <f>IFERROR((tbl_MA[[#This Row],[Adj. Total Hours]]+tbl_MA[[#This Row],[Est. Hours]])/(tbl_MA[[#This Row],[Total Hours Act]]+tbl_MA[[#This Row],[Act. Hours]]),"")</f>
        <v/>
      </c>
      <c r="S144" s="63"/>
      <c r="T144" s="63"/>
      <c r="U144" s="63"/>
      <c r="V144" s="63"/>
      <c r="W144" s="63"/>
    </row>
    <row r="145" spans="6:23" ht="25" customHeight="1">
      <c r="F145" s="53"/>
      <c r="H145" s="55" t="e">
        <f>tbl_MA[[#This Row],[Qty Complete]]/tbl_MA[[#This Row],[Qty Required]]</f>
        <v>#DIV/0!</v>
      </c>
      <c r="K145" s="57" t="str">
        <f>IFERROR(tbl_MA[[#This Row],[Qty Required]]/tbl_MA[[#This Row],[PPH]]*tbl_MA[[#This Row],['# of men]],"")</f>
        <v/>
      </c>
      <c r="L145" s="58" t="e">
        <f>tbl_MA[[#This Row],[Total hours]]*tbl_MA[[#This Row],[% Complete]]</f>
        <v>#VALUE!</v>
      </c>
      <c r="M145" s="59" t="str">
        <f>IFERROR(tbl_MA[[#This Row],[Qty Complete]]/tbl_MA[[#This Row],[Total Hours Act]]*tbl_MA[[#This Row],['# of men Act]],"")</f>
        <v/>
      </c>
      <c r="O145"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45" s="71" t="str">
        <f>IFERROR((tbl_MA[[#This Row],[Adj. Total Hours]]+tbl_MA[[#This Row],[Est. Hours]])/(tbl_MA[[#This Row],[Total Hours Act]]+tbl_MA[[#This Row],[Act. Hours]]),"")</f>
        <v/>
      </c>
      <c r="S145" s="63"/>
      <c r="T145" s="63"/>
      <c r="U145" s="63"/>
      <c r="V145" s="63"/>
      <c r="W145" s="63"/>
    </row>
    <row r="146" spans="6:23" ht="25" customHeight="1">
      <c r="F146" s="53"/>
      <c r="H146" s="55" t="e">
        <f>tbl_MA[[#This Row],[Qty Complete]]/tbl_MA[[#This Row],[Qty Required]]</f>
        <v>#DIV/0!</v>
      </c>
      <c r="K146" s="57" t="str">
        <f>IFERROR(tbl_MA[[#This Row],[Qty Required]]/tbl_MA[[#This Row],[PPH]]*tbl_MA[[#This Row],['# of men]],"")</f>
        <v/>
      </c>
      <c r="L146" s="58" t="e">
        <f>tbl_MA[[#This Row],[Total hours]]*tbl_MA[[#This Row],[% Complete]]</f>
        <v>#VALUE!</v>
      </c>
      <c r="M146" s="59" t="str">
        <f>IFERROR(tbl_MA[[#This Row],[Qty Complete]]/tbl_MA[[#This Row],[Total Hours Act]]*tbl_MA[[#This Row],['# of men Act]],"")</f>
        <v/>
      </c>
      <c r="O146"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46" s="71" t="str">
        <f>IFERROR((tbl_MA[[#This Row],[Adj. Total Hours]]+tbl_MA[[#This Row],[Est. Hours]])/(tbl_MA[[#This Row],[Total Hours Act]]+tbl_MA[[#This Row],[Act. Hours]]),"")</f>
        <v/>
      </c>
      <c r="S146" s="63"/>
      <c r="T146" s="63"/>
      <c r="U146" s="63"/>
      <c r="V146" s="63"/>
      <c r="W146" s="63"/>
    </row>
    <row r="147" spans="6:23" ht="25" customHeight="1">
      <c r="F147" s="53"/>
      <c r="H147" s="55" t="e">
        <f>tbl_MA[[#This Row],[Qty Complete]]/tbl_MA[[#This Row],[Qty Required]]</f>
        <v>#DIV/0!</v>
      </c>
      <c r="K147" s="57" t="str">
        <f>IFERROR(tbl_MA[[#This Row],[Qty Required]]/tbl_MA[[#This Row],[PPH]]*tbl_MA[[#This Row],['# of men]],"")</f>
        <v/>
      </c>
      <c r="L147" s="58" t="e">
        <f>tbl_MA[[#This Row],[Total hours]]*tbl_MA[[#This Row],[% Complete]]</f>
        <v>#VALUE!</v>
      </c>
      <c r="M147" s="59" t="str">
        <f>IFERROR(tbl_MA[[#This Row],[Qty Complete]]/tbl_MA[[#This Row],[Total Hours Act]]*tbl_MA[[#This Row],['# of men Act]],"")</f>
        <v/>
      </c>
      <c r="O147"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47" s="71" t="str">
        <f>IFERROR((tbl_MA[[#This Row],[Adj. Total Hours]]+tbl_MA[[#This Row],[Est. Hours]])/(tbl_MA[[#This Row],[Total Hours Act]]+tbl_MA[[#This Row],[Act. Hours]]),"")</f>
        <v/>
      </c>
      <c r="S147" s="63"/>
      <c r="T147" s="63"/>
      <c r="U147" s="63"/>
      <c r="V147" s="63"/>
      <c r="W147" s="63"/>
    </row>
    <row r="148" spans="6:23" ht="25" customHeight="1">
      <c r="F148" s="53"/>
      <c r="H148" s="55" t="e">
        <f>tbl_MA[[#This Row],[Qty Complete]]/tbl_MA[[#This Row],[Qty Required]]</f>
        <v>#DIV/0!</v>
      </c>
      <c r="K148" s="57" t="str">
        <f>IFERROR(tbl_MA[[#This Row],[Qty Required]]/tbl_MA[[#This Row],[PPH]]*tbl_MA[[#This Row],['# of men]],"")</f>
        <v/>
      </c>
      <c r="L148" s="58" t="e">
        <f>tbl_MA[[#This Row],[Total hours]]*tbl_MA[[#This Row],[% Complete]]</f>
        <v>#VALUE!</v>
      </c>
      <c r="M148" s="59" t="str">
        <f>IFERROR(tbl_MA[[#This Row],[Qty Complete]]/tbl_MA[[#This Row],[Total Hours Act]]*tbl_MA[[#This Row],['# of men Act]],"")</f>
        <v/>
      </c>
      <c r="O148"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48" s="71" t="str">
        <f>IFERROR((tbl_MA[[#This Row],[Adj. Total Hours]]+tbl_MA[[#This Row],[Est. Hours]])/(tbl_MA[[#This Row],[Total Hours Act]]+tbl_MA[[#This Row],[Act. Hours]]),"")</f>
        <v/>
      </c>
      <c r="S148" s="63"/>
      <c r="T148" s="63"/>
      <c r="U148" s="63"/>
      <c r="V148" s="63"/>
      <c r="W148" s="63"/>
    </row>
    <row r="149" spans="6:23" ht="25" customHeight="1">
      <c r="F149" s="53"/>
      <c r="H149" s="55" t="e">
        <f>tbl_MA[[#This Row],[Qty Complete]]/tbl_MA[[#This Row],[Qty Required]]</f>
        <v>#DIV/0!</v>
      </c>
      <c r="K149" s="57" t="str">
        <f>IFERROR(tbl_MA[[#This Row],[Qty Required]]/tbl_MA[[#This Row],[PPH]]*tbl_MA[[#This Row],['# of men]],"")</f>
        <v/>
      </c>
      <c r="L149" s="58" t="e">
        <f>tbl_MA[[#This Row],[Total hours]]*tbl_MA[[#This Row],[% Complete]]</f>
        <v>#VALUE!</v>
      </c>
      <c r="M149" s="59" t="str">
        <f>IFERROR(tbl_MA[[#This Row],[Qty Complete]]/tbl_MA[[#This Row],[Total Hours Act]]*tbl_MA[[#This Row],['# of men Act]],"")</f>
        <v/>
      </c>
      <c r="O149"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49" s="71" t="str">
        <f>IFERROR((tbl_MA[[#This Row],[Adj. Total Hours]]+tbl_MA[[#This Row],[Est. Hours]])/(tbl_MA[[#This Row],[Total Hours Act]]+tbl_MA[[#This Row],[Act. Hours]]),"")</f>
        <v/>
      </c>
      <c r="S149" s="63"/>
      <c r="T149" s="63"/>
      <c r="U149" s="63"/>
      <c r="V149" s="63"/>
      <c r="W149" s="63"/>
    </row>
    <row r="150" spans="6:23" ht="25" customHeight="1">
      <c r="F150" s="53"/>
      <c r="H150" s="55" t="e">
        <f>tbl_MA[[#This Row],[Qty Complete]]/tbl_MA[[#This Row],[Qty Required]]</f>
        <v>#DIV/0!</v>
      </c>
      <c r="K150" s="57" t="str">
        <f>IFERROR(tbl_MA[[#This Row],[Qty Required]]/tbl_MA[[#This Row],[PPH]]*tbl_MA[[#This Row],['# of men]],"")</f>
        <v/>
      </c>
      <c r="L150" s="58" t="e">
        <f>tbl_MA[[#This Row],[Total hours]]*tbl_MA[[#This Row],[% Complete]]</f>
        <v>#VALUE!</v>
      </c>
      <c r="M150" s="59" t="str">
        <f>IFERROR(tbl_MA[[#This Row],[Qty Complete]]/tbl_MA[[#This Row],[Total Hours Act]]*tbl_MA[[#This Row],['# of men Act]],"")</f>
        <v/>
      </c>
      <c r="O150"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50" s="71" t="str">
        <f>IFERROR((tbl_MA[[#This Row],[Adj. Total Hours]]+tbl_MA[[#This Row],[Est. Hours]])/(tbl_MA[[#This Row],[Total Hours Act]]+tbl_MA[[#This Row],[Act. Hours]]),"")</f>
        <v/>
      </c>
      <c r="S150" s="63"/>
      <c r="T150" s="63"/>
      <c r="U150" s="63"/>
      <c r="V150" s="63"/>
      <c r="W150" s="63"/>
    </row>
    <row r="151" spans="6:23" ht="25" customHeight="1">
      <c r="F151" s="53"/>
      <c r="H151" s="55" t="e">
        <f>tbl_MA[[#This Row],[Qty Complete]]/tbl_MA[[#This Row],[Qty Required]]</f>
        <v>#DIV/0!</v>
      </c>
      <c r="K151" s="57" t="str">
        <f>IFERROR(tbl_MA[[#This Row],[Qty Required]]/tbl_MA[[#This Row],[PPH]]*tbl_MA[[#This Row],['# of men]],"")</f>
        <v/>
      </c>
      <c r="L151" s="58" t="e">
        <f>tbl_MA[[#This Row],[Total hours]]*tbl_MA[[#This Row],[% Complete]]</f>
        <v>#VALUE!</v>
      </c>
      <c r="M151" s="59" t="str">
        <f>IFERROR(tbl_MA[[#This Row],[Qty Complete]]/tbl_MA[[#This Row],[Total Hours Act]]*tbl_MA[[#This Row],['# of men Act]],"")</f>
        <v/>
      </c>
      <c r="O151"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51" s="71" t="str">
        <f>IFERROR((tbl_MA[[#This Row],[Adj. Total Hours]]+tbl_MA[[#This Row],[Est. Hours]])/(tbl_MA[[#This Row],[Total Hours Act]]+tbl_MA[[#This Row],[Act. Hours]]),"")</f>
        <v/>
      </c>
      <c r="S151" s="63"/>
      <c r="T151" s="63"/>
      <c r="U151" s="63"/>
      <c r="V151" s="63"/>
      <c r="W151" s="63"/>
    </row>
    <row r="152" spans="6:23" ht="25" customHeight="1">
      <c r="F152" s="53"/>
      <c r="H152" s="55" t="e">
        <f>tbl_MA[[#This Row],[Qty Complete]]/tbl_MA[[#This Row],[Qty Required]]</f>
        <v>#DIV/0!</v>
      </c>
      <c r="K152" s="57" t="str">
        <f>IFERROR(tbl_MA[[#This Row],[Qty Required]]/tbl_MA[[#This Row],[PPH]]*tbl_MA[[#This Row],['# of men]],"")</f>
        <v/>
      </c>
      <c r="L152" s="58" t="e">
        <f>tbl_MA[[#This Row],[Total hours]]*tbl_MA[[#This Row],[% Complete]]</f>
        <v>#VALUE!</v>
      </c>
      <c r="M152" s="59" t="str">
        <f>IFERROR(tbl_MA[[#This Row],[Qty Complete]]/tbl_MA[[#This Row],[Total Hours Act]]*tbl_MA[[#This Row],['# of men Act]],"")</f>
        <v/>
      </c>
      <c r="O152"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52" s="71" t="str">
        <f>IFERROR((tbl_MA[[#This Row],[Adj. Total Hours]]+tbl_MA[[#This Row],[Est. Hours]])/(tbl_MA[[#This Row],[Total Hours Act]]+tbl_MA[[#This Row],[Act. Hours]]),"")</f>
        <v/>
      </c>
      <c r="S152" s="63"/>
      <c r="T152" s="63"/>
      <c r="U152" s="63"/>
      <c r="V152" s="63"/>
      <c r="W152" s="63"/>
    </row>
    <row r="153" spans="6:23" ht="25" customHeight="1">
      <c r="F153" s="53"/>
      <c r="H153" s="55" t="e">
        <f>tbl_MA[[#This Row],[Qty Complete]]/tbl_MA[[#This Row],[Qty Required]]</f>
        <v>#DIV/0!</v>
      </c>
      <c r="K153" s="57" t="str">
        <f>IFERROR(tbl_MA[[#This Row],[Qty Required]]/tbl_MA[[#This Row],[PPH]]*tbl_MA[[#This Row],['# of men]],"")</f>
        <v/>
      </c>
      <c r="L153" s="58" t="e">
        <f>tbl_MA[[#This Row],[Total hours]]*tbl_MA[[#This Row],[% Complete]]</f>
        <v>#VALUE!</v>
      </c>
      <c r="M153" s="59" t="str">
        <f>IFERROR(tbl_MA[[#This Row],[Qty Complete]]/tbl_MA[[#This Row],[Total Hours Act]]*tbl_MA[[#This Row],['# of men Act]],"")</f>
        <v/>
      </c>
      <c r="O153"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53" s="71" t="str">
        <f>IFERROR((tbl_MA[[#This Row],[Adj. Total Hours]]+tbl_MA[[#This Row],[Est. Hours]])/(tbl_MA[[#This Row],[Total Hours Act]]+tbl_MA[[#This Row],[Act. Hours]]),"")</f>
        <v/>
      </c>
      <c r="S153" s="63"/>
      <c r="T153" s="63"/>
      <c r="U153" s="63"/>
      <c r="V153" s="63"/>
      <c r="W153" s="63"/>
    </row>
    <row r="154" spans="6:23" ht="25" customHeight="1">
      <c r="F154" s="53"/>
      <c r="H154" s="55" t="e">
        <f>tbl_MA[[#This Row],[Qty Complete]]/tbl_MA[[#This Row],[Qty Required]]</f>
        <v>#DIV/0!</v>
      </c>
      <c r="K154" s="57" t="str">
        <f>IFERROR(tbl_MA[[#This Row],[Qty Required]]/tbl_MA[[#This Row],[PPH]]*tbl_MA[[#This Row],['# of men]],"")</f>
        <v/>
      </c>
      <c r="L154" s="58" t="e">
        <f>tbl_MA[[#This Row],[Total hours]]*tbl_MA[[#This Row],[% Complete]]</f>
        <v>#VALUE!</v>
      </c>
      <c r="M154" s="59" t="str">
        <f>IFERROR(tbl_MA[[#This Row],[Qty Complete]]/tbl_MA[[#This Row],[Total Hours Act]]*tbl_MA[[#This Row],['# of men Act]],"")</f>
        <v/>
      </c>
      <c r="O154"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54" s="71" t="str">
        <f>IFERROR((tbl_MA[[#This Row],[Adj. Total Hours]]+tbl_MA[[#This Row],[Est. Hours]])/(tbl_MA[[#This Row],[Total Hours Act]]+tbl_MA[[#This Row],[Act. Hours]]),"")</f>
        <v/>
      </c>
      <c r="S154" s="63"/>
      <c r="T154" s="63"/>
      <c r="U154" s="63"/>
      <c r="V154" s="63"/>
      <c r="W154" s="63"/>
    </row>
    <row r="155" spans="6:23" ht="25" customHeight="1">
      <c r="F155" s="53"/>
      <c r="H155" s="55" t="e">
        <f>tbl_MA[[#This Row],[Qty Complete]]/tbl_MA[[#This Row],[Qty Required]]</f>
        <v>#DIV/0!</v>
      </c>
      <c r="K155" s="57" t="str">
        <f>IFERROR(tbl_MA[[#This Row],[Qty Required]]/tbl_MA[[#This Row],[PPH]]*tbl_MA[[#This Row],['# of men]],"")</f>
        <v/>
      </c>
      <c r="L155" s="58" t="e">
        <f>tbl_MA[[#This Row],[Total hours]]*tbl_MA[[#This Row],[% Complete]]</f>
        <v>#VALUE!</v>
      </c>
      <c r="M155" s="59" t="str">
        <f>IFERROR(tbl_MA[[#This Row],[Qty Complete]]/tbl_MA[[#This Row],[Total Hours Act]]*tbl_MA[[#This Row],['# of men Act]],"")</f>
        <v/>
      </c>
      <c r="O155"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55" s="71" t="str">
        <f>IFERROR((tbl_MA[[#This Row],[Adj. Total Hours]]+tbl_MA[[#This Row],[Est. Hours]])/(tbl_MA[[#This Row],[Total Hours Act]]+tbl_MA[[#This Row],[Act. Hours]]),"")</f>
        <v/>
      </c>
      <c r="S155" s="63"/>
      <c r="T155" s="63"/>
      <c r="U155" s="63"/>
      <c r="V155" s="63"/>
      <c r="W155" s="63"/>
    </row>
    <row r="156" spans="6:23" ht="25" customHeight="1">
      <c r="F156" s="53"/>
      <c r="H156" s="55" t="e">
        <f>tbl_MA[[#This Row],[Qty Complete]]/tbl_MA[[#This Row],[Qty Required]]</f>
        <v>#DIV/0!</v>
      </c>
      <c r="K156" s="57" t="str">
        <f>IFERROR(tbl_MA[[#This Row],[Qty Required]]/tbl_MA[[#This Row],[PPH]]*tbl_MA[[#This Row],['# of men]],"")</f>
        <v/>
      </c>
      <c r="L156" s="58" t="e">
        <f>tbl_MA[[#This Row],[Total hours]]*tbl_MA[[#This Row],[% Complete]]</f>
        <v>#VALUE!</v>
      </c>
      <c r="M156" s="59" t="str">
        <f>IFERROR(tbl_MA[[#This Row],[Qty Complete]]/tbl_MA[[#This Row],[Total Hours Act]]*tbl_MA[[#This Row],['# of men Act]],"")</f>
        <v/>
      </c>
      <c r="O156"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56" s="71" t="str">
        <f>IFERROR((tbl_MA[[#This Row],[Adj. Total Hours]]+tbl_MA[[#This Row],[Est. Hours]])/(tbl_MA[[#This Row],[Total Hours Act]]+tbl_MA[[#This Row],[Act. Hours]]),"")</f>
        <v/>
      </c>
      <c r="S156" s="63"/>
      <c r="T156" s="63"/>
      <c r="U156" s="63"/>
      <c r="V156" s="63"/>
      <c r="W156" s="63"/>
    </row>
    <row r="157" spans="6:23" ht="25" customHeight="1">
      <c r="F157" s="53"/>
      <c r="H157" s="55" t="e">
        <f>tbl_MA[[#This Row],[Qty Complete]]/tbl_MA[[#This Row],[Qty Required]]</f>
        <v>#DIV/0!</v>
      </c>
      <c r="K157" s="57" t="str">
        <f>IFERROR(tbl_MA[[#This Row],[Qty Required]]/tbl_MA[[#This Row],[PPH]]*tbl_MA[[#This Row],['# of men]],"")</f>
        <v/>
      </c>
      <c r="L157" s="58" t="e">
        <f>tbl_MA[[#This Row],[Total hours]]*tbl_MA[[#This Row],[% Complete]]</f>
        <v>#VALUE!</v>
      </c>
      <c r="M157" s="59" t="str">
        <f>IFERROR(tbl_MA[[#This Row],[Qty Complete]]/tbl_MA[[#This Row],[Total Hours Act]]*tbl_MA[[#This Row],['# of men Act]],"")</f>
        <v/>
      </c>
      <c r="O157"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57" s="71" t="str">
        <f>IFERROR((tbl_MA[[#This Row],[Adj. Total Hours]]+tbl_MA[[#This Row],[Est. Hours]])/(tbl_MA[[#This Row],[Total Hours Act]]+tbl_MA[[#This Row],[Act. Hours]]),"")</f>
        <v/>
      </c>
      <c r="S157" s="63"/>
      <c r="T157" s="63"/>
      <c r="U157" s="63"/>
      <c r="V157" s="63"/>
      <c r="W157" s="63"/>
    </row>
    <row r="158" spans="6:23" ht="25" customHeight="1">
      <c r="F158" s="53"/>
      <c r="H158" s="55" t="e">
        <f>tbl_MA[[#This Row],[Qty Complete]]/tbl_MA[[#This Row],[Qty Required]]</f>
        <v>#DIV/0!</v>
      </c>
      <c r="K158" s="57" t="str">
        <f>IFERROR(tbl_MA[[#This Row],[Qty Required]]/tbl_MA[[#This Row],[PPH]]*tbl_MA[[#This Row],['# of men]],"")</f>
        <v/>
      </c>
      <c r="L158" s="58" t="e">
        <f>tbl_MA[[#This Row],[Total hours]]*tbl_MA[[#This Row],[% Complete]]</f>
        <v>#VALUE!</v>
      </c>
      <c r="M158" s="59" t="str">
        <f>IFERROR(tbl_MA[[#This Row],[Qty Complete]]/tbl_MA[[#This Row],[Total Hours Act]]*tbl_MA[[#This Row],['# of men Act]],"")</f>
        <v/>
      </c>
      <c r="O158"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58" s="71" t="str">
        <f>IFERROR((tbl_MA[[#This Row],[Adj. Total Hours]]+tbl_MA[[#This Row],[Est. Hours]])/(tbl_MA[[#This Row],[Total Hours Act]]+tbl_MA[[#This Row],[Act. Hours]]),"")</f>
        <v/>
      </c>
      <c r="S158" s="63"/>
      <c r="T158" s="63"/>
      <c r="U158" s="63"/>
      <c r="V158" s="63"/>
      <c r="W158" s="63"/>
    </row>
    <row r="159" spans="6:23" ht="25" customHeight="1">
      <c r="F159" s="53"/>
      <c r="H159" s="55" t="e">
        <f>tbl_MA[[#This Row],[Qty Complete]]/tbl_MA[[#This Row],[Qty Required]]</f>
        <v>#DIV/0!</v>
      </c>
      <c r="K159" s="57" t="str">
        <f>IFERROR(tbl_MA[[#This Row],[Qty Required]]/tbl_MA[[#This Row],[PPH]]*tbl_MA[[#This Row],['# of men]],"")</f>
        <v/>
      </c>
      <c r="L159" s="58" t="e">
        <f>tbl_MA[[#This Row],[Total hours]]*tbl_MA[[#This Row],[% Complete]]</f>
        <v>#VALUE!</v>
      </c>
      <c r="M159" s="59" t="str">
        <f>IFERROR(tbl_MA[[#This Row],[Qty Complete]]/tbl_MA[[#This Row],[Total Hours Act]]*tbl_MA[[#This Row],['# of men Act]],"")</f>
        <v/>
      </c>
      <c r="O159"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59" s="71" t="str">
        <f>IFERROR((tbl_MA[[#This Row],[Adj. Total Hours]]+tbl_MA[[#This Row],[Est. Hours]])/(tbl_MA[[#This Row],[Total Hours Act]]+tbl_MA[[#This Row],[Act. Hours]]),"")</f>
        <v/>
      </c>
      <c r="S159" s="63"/>
      <c r="T159" s="63"/>
      <c r="U159" s="63"/>
      <c r="V159" s="63"/>
      <c r="W159" s="63"/>
    </row>
    <row r="160" spans="6:23" ht="25" customHeight="1">
      <c r="F160" s="53"/>
      <c r="H160" s="55" t="e">
        <f>tbl_MA[[#This Row],[Qty Complete]]/tbl_MA[[#This Row],[Qty Required]]</f>
        <v>#DIV/0!</v>
      </c>
      <c r="K160" s="57" t="str">
        <f>IFERROR(tbl_MA[[#This Row],[Qty Required]]/tbl_MA[[#This Row],[PPH]]*tbl_MA[[#This Row],['# of men]],"")</f>
        <v/>
      </c>
      <c r="L160" s="58" t="e">
        <f>tbl_MA[[#This Row],[Total hours]]*tbl_MA[[#This Row],[% Complete]]</f>
        <v>#VALUE!</v>
      </c>
      <c r="M160" s="59" t="str">
        <f>IFERROR(tbl_MA[[#This Row],[Qty Complete]]/tbl_MA[[#This Row],[Total Hours Act]]*tbl_MA[[#This Row],['# of men Act]],"")</f>
        <v/>
      </c>
      <c r="O160"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60" s="71" t="str">
        <f>IFERROR((tbl_MA[[#This Row],[Adj. Total Hours]]+tbl_MA[[#This Row],[Est. Hours]])/(tbl_MA[[#This Row],[Total Hours Act]]+tbl_MA[[#This Row],[Act. Hours]]),"")</f>
        <v/>
      </c>
      <c r="S160" s="63"/>
      <c r="T160" s="63"/>
      <c r="U160" s="63"/>
      <c r="V160" s="63"/>
      <c r="W160" s="63"/>
    </row>
    <row r="161" spans="6:23" ht="25" customHeight="1">
      <c r="F161" s="53"/>
      <c r="H161" s="55" t="e">
        <f>tbl_MA[[#This Row],[Qty Complete]]/tbl_MA[[#This Row],[Qty Required]]</f>
        <v>#DIV/0!</v>
      </c>
      <c r="K161" s="57" t="str">
        <f>IFERROR(tbl_MA[[#This Row],[Qty Required]]/tbl_MA[[#This Row],[PPH]]*tbl_MA[[#This Row],['# of men]],"")</f>
        <v/>
      </c>
      <c r="L161" s="58" t="e">
        <f>tbl_MA[[#This Row],[Total hours]]*tbl_MA[[#This Row],[% Complete]]</f>
        <v>#VALUE!</v>
      </c>
      <c r="M161" s="59" t="str">
        <f>IFERROR(tbl_MA[[#This Row],[Qty Complete]]/tbl_MA[[#This Row],[Total Hours Act]]*tbl_MA[[#This Row],['# of men Act]],"")</f>
        <v/>
      </c>
      <c r="O161"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61" s="71" t="str">
        <f>IFERROR((tbl_MA[[#This Row],[Adj. Total Hours]]+tbl_MA[[#This Row],[Est. Hours]])/(tbl_MA[[#This Row],[Total Hours Act]]+tbl_MA[[#This Row],[Act. Hours]]),"")</f>
        <v/>
      </c>
      <c r="S161" s="63"/>
      <c r="T161" s="63"/>
      <c r="U161" s="63"/>
      <c r="V161" s="63"/>
      <c r="W161" s="63"/>
    </row>
    <row r="162" spans="6:23" ht="25" customHeight="1">
      <c r="F162" s="53"/>
      <c r="H162" s="55" t="e">
        <f>tbl_MA[[#This Row],[Qty Complete]]/tbl_MA[[#This Row],[Qty Required]]</f>
        <v>#DIV/0!</v>
      </c>
      <c r="K162" s="57" t="str">
        <f>IFERROR(tbl_MA[[#This Row],[Qty Required]]/tbl_MA[[#This Row],[PPH]]*tbl_MA[[#This Row],['# of men]],"")</f>
        <v/>
      </c>
      <c r="L162" s="58" t="e">
        <f>tbl_MA[[#This Row],[Total hours]]*tbl_MA[[#This Row],[% Complete]]</f>
        <v>#VALUE!</v>
      </c>
      <c r="M162" s="59" t="str">
        <f>IFERROR(tbl_MA[[#This Row],[Qty Complete]]/tbl_MA[[#This Row],[Total Hours Act]]*tbl_MA[[#This Row],['# of men Act]],"")</f>
        <v/>
      </c>
      <c r="O162"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62" s="71" t="str">
        <f>IFERROR((tbl_MA[[#This Row],[Adj. Total Hours]]+tbl_MA[[#This Row],[Est. Hours]])/(tbl_MA[[#This Row],[Total Hours Act]]+tbl_MA[[#This Row],[Act. Hours]]),"")</f>
        <v/>
      </c>
      <c r="S162" s="63"/>
      <c r="T162" s="63"/>
      <c r="U162" s="63"/>
      <c r="V162" s="63"/>
      <c r="W162" s="63"/>
    </row>
    <row r="163" spans="6:23" ht="25" customHeight="1">
      <c r="F163" s="53"/>
      <c r="H163" s="55" t="e">
        <f>tbl_MA[[#This Row],[Qty Complete]]/tbl_MA[[#This Row],[Qty Required]]</f>
        <v>#DIV/0!</v>
      </c>
      <c r="K163" s="57" t="str">
        <f>IFERROR(tbl_MA[[#This Row],[Qty Required]]/tbl_MA[[#This Row],[PPH]]*tbl_MA[[#This Row],['# of men]],"")</f>
        <v/>
      </c>
      <c r="L163" s="58" t="e">
        <f>tbl_MA[[#This Row],[Total hours]]*tbl_MA[[#This Row],[% Complete]]</f>
        <v>#VALUE!</v>
      </c>
      <c r="M163" s="59" t="str">
        <f>IFERROR(tbl_MA[[#This Row],[Qty Complete]]/tbl_MA[[#This Row],[Total Hours Act]]*tbl_MA[[#This Row],['# of men Act]],"")</f>
        <v/>
      </c>
      <c r="O163"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63" s="71" t="str">
        <f>IFERROR((tbl_MA[[#This Row],[Adj. Total Hours]]+tbl_MA[[#This Row],[Est. Hours]])/(tbl_MA[[#This Row],[Total Hours Act]]+tbl_MA[[#This Row],[Act. Hours]]),"")</f>
        <v/>
      </c>
      <c r="S163" s="63"/>
      <c r="T163" s="63"/>
      <c r="U163" s="63"/>
      <c r="V163" s="63"/>
      <c r="W163" s="63"/>
    </row>
    <row r="164" spans="6:23" ht="25" customHeight="1">
      <c r="F164" s="53"/>
      <c r="H164" s="55" t="e">
        <f>tbl_MA[[#This Row],[Qty Complete]]/tbl_MA[[#This Row],[Qty Required]]</f>
        <v>#DIV/0!</v>
      </c>
      <c r="K164" s="57" t="str">
        <f>IFERROR(tbl_MA[[#This Row],[Qty Required]]/tbl_MA[[#This Row],[PPH]]*tbl_MA[[#This Row],['# of men]],"")</f>
        <v/>
      </c>
      <c r="L164" s="58" t="e">
        <f>tbl_MA[[#This Row],[Total hours]]*tbl_MA[[#This Row],[% Complete]]</f>
        <v>#VALUE!</v>
      </c>
      <c r="M164" s="59" t="str">
        <f>IFERROR(tbl_MA[[#This Row],[Qty Complete]]/tbl_MA[[#This Row],[Total Hours Act]]*tbl_MA[[#This Row],['# of men Act]],"")</f>
        <v/>
      </c>
      <c r="O164"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64" s="71" t="str">
        <f>IFERROR((tbl_MA[[#This Row],[Adj. Total Hours]]+tbl_MA[[#This Row],[Est. Hours]])/(tbl_MA[[#This Row],[Total Hours Act]]+tbl_MA[[#This Row],[Act. Hours]]),"")</f>
        <v/>
      </c>
      <c r="S164" s="63"/>
      <c r="T164" s="63"/>
      <c r="U164" s="63"/>
      <c r="V164" s="63"/>
      <c r="W164" s="63"/>
    </row>
    <row r="165" spans="6:23" ht="25" customHeight="1">
      <c r="F165" s="53"/>
      <c r="H165" s="55" t="e">
        <f>tbl_MA[[#This Row],[Qty Complete]]/tbl_MA[[#This Row],[Qty Required]]</f>
        <v>#DIV/0!</v>
      </c>
      <c r="K165" s="57" t="str">
        <f>IFERROR(tbl_MA[[#This Row],[Qty Required]]/tbl_MA[[#This Row],[PPH]]*tbl_MA[[#This Row],['# of men]],"")</f>
        <v/>
      </c>
      <c r="L165" s="58" t="e">
        <f>tbl_MA[[#This Row],[Total hours]]*tbl_MA[[#This Row],[% Complete]]</f>
        <v>#VALUE!</v>
      </c>
      <c r="M165" s="59" t="str">
        <f>IFERROR(tbl_MA[[#This Row],[Qty Complete]]/tbl_MA[[#This Row],[Total Hours Act]]*tbl_MA[[#This Row],['# of men Act]],"")</f>
        <v/>
      </c>
      <c r="O165"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65" s="71" t="str">
        <f>IFERROR((tbl_MA[[#This Row],[Adj. Total Hours]]+tbl_MA[[#This Row],[Est. Hours]])/(tbl_MA[[#This Row],[Total Hours Act]]+tbl_MA[[#This Row],[Act. Hours]]),"")</f>
        <v/>
      </c>
      <c r="S165" s="63"/>
      <c r="T165" s="63"/>
      <c r="U165" s="63"/>
      <c r="V165" s="63"/>
      <c r="W165" s="63"/>
    </row>
    <row r="166" spans="6:23" ht="25" customHeight="1">
      <c r="F166" s="53"/>
      <c r="H166" s="55" t="e">
        <f>tbl_MA[[#This Row],[Qty Complete]]/tbl_MA[[#This Row],[Qty Required]]</f>
        <v>#DIV/0!</v>
      </c>
      <c r="K166" s="57" t="str">
        <f>IFERROR(tbl_MA[[#This Row],[Qty Required]]/tbl_MA[[#This Row],[PPH]]*tbl_MA[[#This Row],['# of men]],"")</f>
        <v/>
      </c>
      <c r="L166" s="58" t="e">
        <f>tbl_MA[[#This Row],[Total hours]]*tbl_MA[[#This Row],[% Complete]]</f>
        <v>#VALUE!</v>
      </c>
      <c r="M166" s="59" t="str">
        <f>IFERROR(tbl_MA[[#This Row],[Qty Complete]]/tbl_MA[[#This Row],[Total Hours Act]]*tbl_MA[[#This Row],['# of men Act]],"")</f>
        <v/>
      </c>
      <c r="O166"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66" s="71" t="str">
        <f>IFERROR((tbl_MA[[#This Row],[Adj. Total Hours]]+tbl_MA[[#This Row],[Est. Hours]])/(tbl_MA[[#This Row],[Total Hours Act]]+tbl_MA[[#This Row],[Act. Hours]]),"")</f>
        <v/>
      </c>
      <c r="S166" s="63"/>
      <c r="T166" s="63"/>
      <c r="U166" s="63"/>
      <c r="V166" s="63"/>
      <c r="W166" s="63"/>
    </row>
    <row r="167" spans="6:23" ht="25" customHeight="1">
      <c r="F167" s="53"/>
      <c r="H167" s="55" t="e">
        <f>tbl_MA[[#This Row],[Qty Complete]]/tbl_MA[[#This Row],[Qty Required]]</f>
        <v>#DIV/0!</v>
      </c>
      <c r="K167" s="57" t="str">
        <f>IFERROR(tbl_MA[[#This Row],[Qty Required]]/tbl_MA[[#This Row],[PPH]]*tbl_MA[[#This Row],['# of men]],"")</f>
        <v/>
      </c>
      <c r="L167" s="58" t="e">
        <f>tbl_MA[[#This Row],[Total hours]]*tbl_MA[[#This Row],[% Complete]]</f>
        <v>#VALUE!</v>
      </c>
      <c r="M167" s="59" t="str">
        <f>IFERROR(tbl_MA[[#This Row],[Qty Complete]]/tbl_MA[[#This Row],[Total Hours Act]]*tbl_MA[[#This Row],['# of men Act]],"")</f>
        <v/>
      </c>
      <c r="O167"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67" s="71" t="str">
        <f>IFERROR((tbl_MA[[#This Row],[Adj. Total Hours]]+tbl_MA[[#This Row],[Est. Hours]])/(tbl_MA[[#This Row],[Total Hours Act]]+tbl_MA[[#This Row],[Act. Hours]]),"")</f>
        <v/>
      </c>
      <c r="S167" s="63"/>
      <c r="T167" s="63"/>
      <c r="U167" s="63"/>
      <c r="V167" s="63"/>
      <c r="W167" s="63"/>
    </row>
    <row r="168" spans="6:23" ht="25" customHeight="1">
      <c r="F168" s="53"/>
      <c r="H168" s="55" t="e">
        <f>tbl_MA[[#This Row],[Qty Complete]]/tbl_MA[[#This Row],[Qty Required]]</f>
        <v>#DIV/0!</v>
      </c>
      <c r="K168" s="57" t="str">
        <f>IFERROR(tbl_MA[[#This Row],[Qty Required]]/tbl_MA[[#This Row],[PPH]]*tbl_MA[[#This Row],['# of men]],"")</f>
        <v/>
      </c>
      <c r="L168" s="58" t="e">
        <f>tbl_MA[[#This Row],[Total hours]]*tbl_MA[[#This Row],[% Complete]]</f>
        <v>#VALUE!</v>
      </c>
      <c r="M168" s="59" t="str">
        <f>IFERROR(tbl_MA[[#This Row],[Qty Complete]]/tbl_MA[[#This Row],[Total Hours Act]]*tbl_MA[[#This Row],['# of men Act]],"")</f>
        <v/>
      </c>
      <c r="O168"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68" s="71" t="str">
        <f>IFERROR((tbl_MA[[#This Row],[Adj. Total Hours]]+tbl_MA[[#This Row],[Est. Hours]])/(tbl_MA[[#This Row],[Total Hours Act]]+tbl_MA[[#This Row],[Act. Hours]]),"")</f>
        <v/>
      </c>
      <c r="S168" s="63"/>
      <c r="T168" s="63"/>
      <c r="U168" s="63"/>
      <c r="V168" s="63"/>
      <c r="W168" s="63"/>
    </row>
    <row r="169" spans="6:23" ht="25" customHeight="1">
      <c r="F169" s="53"/>
      <c r="H169" s="55" t="e">
        <f>tbl_MA[[#This Row],[Qty Complete]]/tbl_MA[[#This Row],[Qty Required]]</f>
        <v>#DIV/0!</v>
      </c>
      <c r="K169" s="57" t="str">
        <f>IFERROR(tbl_MA[[#This Row],[Qty Required]]/tbl_MA[[#This Row],[PPH]]*tbl_MA[[#This Row],['# of men]],"")</f>
        <v/>
      </c>
      <c r="L169" s="58" t="e">
        <f>tbl_MA[[#This Row],[Total hours]]*tbl_MA[[#This Row],[% Complete]]</f>
        <v>#VALUE!</v>
      </c>
      <c r="M169" s="59" t="str">
        <f>IFERROR(tbl_MA[[#This Row],[Qty Complete]]/tbl_MA[[#This Row],[Total Hours Act]]*tbl_MA[[#This Row],['# of men Act]],"")</f>
        <v/>
      </c>
      <c r="O169"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69" s="71" t="str">
        <f>IFERROR((tbl_MA[[#This Row],[Adj. Total Hours]]+tbl_MA[[#This Row],[Est. Hours]])/(tbl_MA[[#This Row],[Total Hours Act]]+tbl_MA[[#This Row],[Act. Hours]]),"")</f>
        <v/>
      </c>
      <c r="S169" s="63"/>
      <c r="T169" s="63"/>
      <c r="U169" s="63"/>
      <c r="V169" s="63"/>
      <c r="W169" s="63"/>
    </row>
    <row r="170" spans="6:23" ht="25" customHeight="1">
      <c r="F170" s="53"/>
      <c r="H170" s="55" t="e">
        <f>tbl_MA[[#This Row],[Qty Complete]]/tbl_MA[[#This Row],[Qty Required]]</f>
        <v>#DIV/0!</v>
      </c>
      <c r="K170" s="57" t="str">
        <f>IFERROR(tbl_MA[[#This Row],[Qty Required]]/tbl_MA[[#This Row],[PPH]]*tbl_MA[[#This Row],['# of men]],"")</f>
        <v/>
      </c>
      <c r="L170" s="58" t="e">
        <f>tbl_MA[[#This Row],[Total hours]]*tbl_MA[[#This Row],[% Complete]]</f>
        <v>#VALUE!</v>
      </c>
      <c r="M170" s="59" t="str">
        <f>IFERROR(tbl_MA[[#This Row],[Qty Complete]]/tbl_MA[[#This Row],[Total Hours Act]]*tbl_MA[[#This Row],['# of men Act]],"")</f>
        <v/>
      </c>
      <c r="O170"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70" s="71" t="str">
        <f>IFERROR((tbl_MA[[#This Row],[Adj. Total Hours]]+tbl_MA[[#This Row],[Est. Hours]])/(tbl_MA[[#This Row],[Total Hours Act]]+tbl_MA[[#This Row],[Act. Hours]]),"")</f>
        <v/>
      </c>
      <c r="S170" s="63"/>
      <c r="T170" s="63"/>
      <c r="U170" s="63"/>
      <c r="V170" s="63"/>
      <c r="W170" s="63"/>
    </row>
    <row r="171" spans="6:23" ht="25" customHeight="1">
      <c r="F171" s="53"/>
      <c r="H171" s="55" t="e">
        <f>tbl_MA[[#This Row],[Qty Complete]]/tbl_MA[[#This Row],[Qty Required]]</f>
        <v>#DIV/0!</v>
      </c>
      <c r="K171" s="57" t="str">
        <f>IFERROR(tbl_MA[[#This Row],[Qty Required]]/tbl_MA[[#This Row],[PPH]]*tbl_MA[[#This Row],['# of men]],"")</f>
        <v/>
      </c>
      <c r="L171" s="58" t="e">
        <f>tbl_MA[[#This Row],[Total hours]]*tbl_MA[[#This Row],[% Complete]]</f>
        <v>#VALUE!</v>
      </c>
      <c r="M171" s="59" t="str">
        <f>IFERROR(tbl_MA[[#This Row],[Qty Complete]]/tbl_MA[[#This Row],[Total Hours Act]]*tbl_MA[[#This Row],['# of men Act]],"")</f>
        <v/>
      </c>
      <c r="O171"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71" s="71" t="str">
        <f>IFERROR((tbl_MA[[#This Row],[Adj. Total Hours]]+tbl_MA[[#This Row],[Est. Hours]])/(tbl_MA[[#This Row],[Total Hours Act]]+tbl_MA[[#This Row],[Act. Hours]]),"")</f>
        <v/>
      </c>
      <c r="S171" s="63"/>
      <c r="T171" s="63"/>
      <c r="U171" s="63"/>
      <c r="V171" s="63"/>
      <c r="W171" s="63"/>
    </row>
    <row r="172" spans="6:23" ht="25" customHeight="1">
      <c r="F172" s="53"/>
      <c r="H172" s="55" t="e">
        <f>tbl_MA[[#This Row],[Qty Complete]]/tbl_MA[[#This Row],[Qty Required]]</f>
        <v>#DIV/0!</v>
      </c>
      <c r="K172" s="57" t="str">
        <f>IFERROR(tbl_MA[[#This Row],[Qty Required]]/tbl_MA[[#This Row],[PPH]]*tbl_MA[[#This Row],['# of men]],"")</f>
        <v/>
      </c>
      <c r="L172" s="58" t="e">
        <f>tbl_MA[[#This Row],[Total hours]]*tbl_MA[[#This Row],[% Complete]]</f>
        <v>#VALUE!</v>
      </c>
      <c r="M172" s="59" t="str">
        <f>IFERROR(tbl_MA[[#This Row],[Qty Complete]]/tbl_MA[[#This Row],[Total Hours Act]]*tbl_MA[[#This Row],['# of men Act]],"")</f>
        <v/>
      </c>
      <c r="O172"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72" s="71" t="str">
        <f>IFERROR((tbl_MA[[#This Row],[Adj. Total Hours]]+tbl_MA[[#This Row],[Est. Hours]])/(tbl_MA[[#This Row],[Total Hours Act]]+tbl_MA[[#This Row],[Act. Hours]]),"")</f>
        <v/>
      </c>
      <c r="S172" s="63"/>
      <c r="T172" s="63"/>
      <c r="U172" s="63"/>
      <c r="V172" s="63"/>
      <c r="W172" s="63"/>
    </row>
    <row r="173" spans="6:23" ht="25" customHeight="1">
      <c r="F173" s="53"/>
      <c r="H173" s="55" t="e">
        <f>tbl_MA[[#This Row],[Qty Complete]]/tbl_MA[[#This Row],[Qty Required]]</f>
        <v>#DIV/0!</v>
      </c>
      <c r="K173" s="57" t="str">
        <f>IFERROR(tbl_MA[[#This Row],[Qty Required]]/tbl_MA[[#This Row],[PPH]]*tbl_MA[[#This Row],['# of men]],"")</f>
        <v/>
      </c>
      <c r="L173" s="58" t="e">
        <f>tbl_MA[[#This Row],[Total hours]]*tbl_MA[[#This Row],[% Complete]]</f>
        <v>#VALUE!</v>
      </c>
      <c r="M173" s="59" t="str">
        <f>IFERROR(tbl_MA[[#This Row],[Qty Complete]]/tbl_MA[[#This Row],[Total Hours Act]]*tbl_MA[[#This Row],['# of men Act]],"")</f>
        <v/>
      </c>
      <c r="O173"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73" s="71" t="str">
        <f>IFERROR((tbl_MA[[#This Row],[Adj. Total Hours]]+tbl_MA[[#This Row],[Est. Hours]])/(tbl_MA[[#This Row],[Total Hours Act]]+tbl_MA[[#This Row],[Act. Hours]]),"")</f>
        <v/>
      </c>
      <c r="S173" s="63"/>
      <c r="T173" s="63"/>
      <c r="U173" s="63"/>
      <c r="V173" s="63"/>
      <c r="W173" s="63"/>
    </row>
    <row r="174" spans="6:23" ht="25" customHeight="1">
      <c r="F174" s="53"/>
      <c r="H174" s="55" t="e">
        <f>tbl_MA[[#This Row],[Qty Complete]]/tbl_MA[[#This Row],[Qty Required]]</f>
        <v>#DIV/0!</v>
      </c>
      <c r="K174" s="57" t="str">
        <f>IFERROR(tbl_MA[[#This Row],[Qty Required]]/tbl_MA[[#This Row],[PPH]]*tbl_MA[[#This Row],['# of men]],"")</f>
        <v/>
      </c>
      <c r="L174" s="58" t="e">
        <f>tbl_MA[[#This Row],[Total hours]]*tbl_MA[[#This Row],[% Complete]]</f>
        <v>#VALUE!</v>
      </c>
      <c r="M174" s="59" t="str">
        <f>IFERROR(tbl_MA[[#This Row],[Qty Complete]]/tbl_MA[[#This Row],[Total Hours Act]]*tbl_MA[[#This Row],['# of men Act]],"")</f>
        <v/>
      </c>
      <c r="O174"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74" s="71" t="str">
        <f>IFERROR((tbl_MA[[#This Row],[Adj. Total Hours]]+tbl_MA[[#This Row],[Est. Hours]])/(tbl_MA[[#This Row],[Total Hours Act]]+tbl_MA[[#This Row],[Act. Hours]]),"")</f>
        <v/>
      </c>
      <c r="S174" s="63"/>
      <c r="T174" s="63"/>
      <c r="U174" s="63"/>
      <c r="V174" s="63"/>
      <c r="W174" s="63"/>
    </row>
    <row r="175" spans="6:23" ht="25" customHeight="1">
      <c r="F175" s="53"/>
      <c r="H175" s="55" t="e">
        <f>tbl_MA[[#This Row],[Qty Complete]]/tbl_MA[[#This Row],[Qty Required]]</f>
        <v>#DIV/0!</v>
      </c>
      <c r="K175" s="57" t="str">
        <f>IFERROR(tbl_MA[[#This Row],[Qty Required]]/tbl_MA[[#This Row],[PPH]]*tbl_MA[[#This Row],['# of men]],"")</f>
        <v/>
      </c>
      <c r="L175" s="58" t="e">
        <f>tbl_MA[[#This Row],[Total hours]]*tbl_MA[[#This Row],[% Complete]]</f>
        <v>#VALUE!</v>
      </c>
      <c r="M175" s="59" t="str">
        <f>IFERROR(tbl_MA[[#This Row],[Qty Complete]]/tbl_MA[[#This Row],[Total Hours Act]]*tbl_MA[[#This Row],['# of men Act]],"")</f>
        <v/>
      </c>
      <c r="O175"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75" s="71" t="str">
        <f>IFERROR((tbl_MA[[#This Row],[Adj. Total Hours]]+tbl_MA[[#This Row],[Est. Hours]])/(tbl_MA[[#This Row],[Total Hours Act]]+tbl_MA[[#This Row],[Act. Hours]]),"")</f>
        <v/>
      </c>
      <c r="S175" s="63"/>
      <c r="T175" s="63"/>
      <c r="U175" s="63"/>
      <c r="V175" s="63"/>
      <c r="W175" s="63"/>
    </row>
    <row r="176" spans="6:23" ht="25" customHeight="1">
      <c r="F176" s="53"/>
      <c r="H176" s="55" t="e">
        <f>tbl_MA[[#This Row],[Qty Complete]]/tbl_MA[[#This Row],[Qty Required]]</f>
        <v>#DIV/0!</v>
      </c>
      <c r="K176" s="57" t="str">
        <f>IFERROR(tbl_MA[[#This Row],[Qty Required]]/tbl_MA[[#This Row],[PPH]]*tbl_MA[[#This Row],['# of men]],"")</f>
        <v/>
      </c>
      <c r="L176" s="58" t="e">
        <f>tbl_MA[[#This Row],[Total hours]]*tbl_MA[[#This Row],[% Complete]]</f>
        <v>#VALUE!</v>
      </c>
      <c r="M176" s="59" t="str">
        <f>IFERROR(tbl_MA[[#This Row],[Qty Complete]]/tbl_MA[[#This Row],[Total Hours Act]]*tbl_MA[[#This Row],['# of men Act]],"")</f>
        <v/>
      </c>
      <c r="O176"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76" s="71" t="str">
        <f>IFERROR((tbl_MA[[#This Row],[Adj. Total Hours]]+tbl_MA[[#This Row],[Est. Hours]])/(tbl_MA[[#This Row],[Total Hours Act]]+tbl_MA[[#This Row],[Act. Hours]]),"")</f>
        <v/>
      </c>
      <c r="S176" s="63"/>
      <c r="T176" s="63"/>
      <c r="U176" s="63"/>
      <c r="V176" s="63"/>
      <c r="W176" s="63"/>
    </row>
    <row r="177" spans="6:23" ht="25" customHeight="1">
      <c r="F177" s="53"/>
      <c r="H177" s="55" t="e">
        <f>tbl_MA[[#This Row],[Qty Complete]]/tbl_MA[[#This Row],[Qty Required]]</f>
        <v>#DIV/0!</v>
      </c>
      <c r="K177" s="57" t="str">
        <f>IFERROR(tbl_MA[[#This Row],[Qty Required]]/tbl_MA[[#This Row],[PPH]]*tbl_MA[[#This Row],['# of men]],"")</f>
        <v/>
      </c>
      <c r="L177" s="58" t="e">
        <f>tbl_MA[[#This Row],[Total hours]]*tbl_MA[[#This Row],[% Complete]]</f>
        <v>#VALUE!</v>
      </c>
      <c r="M177" s="59" t="str">
        <f>IFERROR(tbl_MA[[#This Row],[Qty Complete]]/tbl_MA[[#This Row],[Total Hours Act]]*tbl_MA[[#This Row],['# of men Act]],"")</f>
        <v/>
      </c>
      <c r="O177"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77" s="71" t="str">
        <f>IFERROR((tbl_MA[[#This Row],[Adj. Total Hours]]+tbl_MA[[#This Row],[Est. Hours]])/(tbl_MA[[#This Row],[Total Hours Act]]+tbl_MA[[#This Row],[Act. Hours]]),"")</f>
        <v/>
      </c>
      <c r="S177" s="63"/>
      <c r="T177" s="63"/>
      <c r="U177" s="63"/>
      <c r="V177" s="63"/>
      <c r="W177" s="63"/>
    </row>
    <row r="178" spans="6:23" ht="25" customHeight="1">
      <c r="F178" s="53"/>
      <c r="H178" s="55" t="e">
        <f>tbl_MA[[#This Row],[Qty Complete]]/tbl_MA[[#This Row],[Qty Required]]</f>
        <v>#DIV/0!</v>
      </c>
      <c r="K178" s="57" t="str">
        <f>IFERROR(tbl_MA[[#This Row],[Qty Required]]/tbl_MA[[#This Row],[PPH]]*tbl_MA[[#This Row],['# of men]],"")</f>
        <v/>
      </c>
      <c r="L178" s="58" t="e">
        <f>tbl_MA[[#This Row],[Total hours]]*tbl_MA[[#This Row],[% Complete]]</f>
        <v>#VALUE!</v>
      </c>
      <c r="M178" s="59" t="str">
        <f>IFERROR(tbl_MA[[#This Row],[Qty Complete]]/tbl_MA[[#This Row],[Total Hours Act]]*tbl_MA[[#This Row],['# of men Act]],"")</f>
        <v/>
      </c>
      <c r="O178"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78" s="71" t="str">
        <f>IFERROR((tbl_MA[[#This Row],[Adj. Total Hours]]+tbl_MA[[#This Row],[Est. Hours]])/(tbl_MA[[#This Row],[Total Hours Act]]+tbl_MA[[#This Row],[Act. Hours]]),"")</f>
        <v/>
      </c>
      <c r="S178" s="63"/>
      <c r="T178" s="63"/>
      <c r="U178" s="63"/>
      <c r="V178" s="63"/>
      <c r="W178" s="63"/>
    </row>
    <row r="179" spans="6:23" ht="25" customHeight="1">
      <c r="F179" s="53"/>
      <c r="H179" s="55" t="e">
        <f>tbl_MA[[#This Row],[Qty Complete]]/tbl_MA[[#This Row],[Qty Required]]</f>
        <v>#DIV/0!</v>
      </c>
      <c r="K179" s="57" t="str">
        <f>IFERROR(tbl_MA[[#This Row],[Qty Required]]/tbl_MA[[#This Row],[PPH]]*tbl_MA[[#This Row],['# of men]],"")</f>
        <v/>
      </c>
      <c r="L179" s="58" t="e">
        <f>tbl_MA[[#This Row],[Total hours]]*tbl_MA[[#This Row],[% Complete]]</f>
        <v>#VALUE!</v>
      </c>
      <c r="M179" s="59" t="str">
        <f>IFERROR(tbl_MA[[#This Row],[Qty Complete]]/tbl_MA[[#This Row],[Total Hours Act]]*tbl_MA[[#This Row],['# of men Act]],"")</f>
        <v/>
      </c>
      <c r="O179"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79" s="71" t="str">
        <f>IFERROR((tbl_MA[[#This Row],[Adj. Total Hours]]+tbl_MA[[#This Row],[Est. Hours]])/(tbl_MA[[#This Row],[Total Hours Act]]+tbl_MA[[#This Row],[Act. Hours]]),"")</f>
        <v/>
      </c>
      <c r="S179" s="63"/>
      <c r="T179" s="63"/>
      <c r="U179" s="63"/>
      <c r="V179" s="63"/>
      <c r="W179" s="63"/>
    </row>
    <row r="180" spans="6:23" ht="25" customHeight="1">
      <c r="F180" s="53"/>
      <c r="H180" s="55" t="e">
        <f>tbl_MA[[#This Row],[Qty Complete]]/tbl_MA[[#This Row],[Qty Required]]</f>
        <v>#DIV/0!</v>
      </c>
      <c r="K180" s="57" t="str">
        <f>IFERROR(tbl_MA[[#This Row],[Qty Required]]/tbl_MA[[#This Row],[PPH]]*tbl_MA[[#This Row],['# of men]],"")</f>
        <v/>
      </c>
      <c r="L180" s="58" t="e">
        <f>tbl_MA[[#This Row],[Total hours]]*tbl_MA[[#This Row],[% Complete]]</f>
        <v>#VALUE!</v>
      </c>
      <c r="M180" s="59" t="str">
        <f>IFERROR(tbl_MA[[#This Row],[Qty Complete]]/tbl_MA[[#This Row],[Total Hours Act]]*tbl_MA[[#This Row],['# of men Act]],"")</f>
        <v/>
      </c>
      <c r="O180"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80" s="71" t="str">
        <f>IFERROR((tbl_MA[[#This Row],[Adj. Total Hours]]+tbl_MA[[#This Row],[Est. Hours]])/(tbl_MA[[#This Row],[Total Hours Act]]+tbl_MA[[#This Row],[Act. Hours]]),"")</f>
        <v/>
      </c>
      <c r="S180" s="63"/>
      <c r="T180" s="63"/>
      <c r="U180" s="63"/>
      <c r="V180" s="63"/>
      <c r="W180" s="63"/>
    </row>
    <row r="181" spans="6:23" ht="25" customHeight="1">
      <c r="F181" s="53"/>
      <c r="H181" s="55" t="e">
        <f>tbl_MA[[#This Row],[Qty Complete]]/tbl_MA[[#This Row],[Qty Required]]</f>
        <v>#DIV/0!</v>
      </c>
      <c r="K181" s="57" t="str">
        <f>IFERROR(tbl_MA[[#This Row],[Qty Required]]/tbl_MA[[#This Row],[PPH]]*tbl_MA[[#This Row],['# of men]],"")</f>
        <v/>
      </c>
      <c r="L181" s="58" t="e">
        <f>tbl_MA[[#This Row],[Total hours]]*tbl_MA[[#This Row],[% Complete]]</f>
        <v>#VALUE!</v>
      </c>
      <c r="M181" s="59" t="str">
        <f>IFERROR(tbl_MA[[#This Row],[Qty Complete]]/tbl_MA[[#This Row],[Total Hours Act]]*tbl_MA[[#This Row],['# of men Act]],"")</f>
        <v/>
      </c>
      <c r="O181"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81" s="71" t="str">
        <f>IFERROR((tbl_MA[[#This Row],[Adj. Total Hours]]+tbl_MA[[#This Row],[Est. Hours]])/(tbl_MA[[#This Row],[Total Hours Act]]+tbl_MA[[#This Row],[Act. Hours]]),"")</f>
        <v/>
      </c>
      <c r="S181" s="63"/>
      <c r="T181" s="63"/>
      <c r="U181" s="63"/>
      <c r="V181" s="63"/>
      <c r="W181" s="63"/>
    </row>
    <row r="182" spans="6:23" ht="25" customHeight="1">
      <c r="F182" s="53"/>
      <c r="H182" s="55" t="e">
        <f>tbl_MA[[#This Row],[Qty Complete]]/tbl_MA[[#This Row],[Qty Required]]</f>
        <v>#DIV/0!</v>
      </c>
      <c r="K182" s="57" t="str">
        <f>IFERROR(tbl_MA[[#This Row],[Qty Required]]/tbl_MA[[#This Row],[PPH]]*tbl_MA[[#This Row],['# of men]],"")</f>
        <v/>
      </c>
      <c r="L182" s="58" t="e">
        <f>tbl_MA[[#This Row],[Total hours]]*tbl_MA[[#This Row],[% Complete]]</f>
        <v>#VALUE!</v>
      </c>
      <c r="M182" s="59" t="str">
        <f>IFERROR(tbl_MA[[#This Row],[Qty Complete]]/tbl_MA[[#This Row],[Total Hours Act]]*tbl_MA[[#This Row],['# of men Act]],"")</f>
        <v/>
      </c>
      <c r="O182"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82" s="71" t="str">
        <f>IFERROR((tbl_MA[[#This Row],[Adj. Total Hours]]+tbl_MA[[#This Row],[Est. Hours]])/(tbl_MA[[#This Row],[Total Hours Act]]+tbl_MA[[#This Row],[Act. Hours]]),"")</f>
        <v/>
      </c>
      <c r="S182" s="63"/>
      <c r="T182" s="63"/>
      <c r="U182" s="63"/>
      <c r="V182" s="63"/>
      <c r="W182" s="63"/>
    </row>
    <row r="183" spans="6:23" ht="25" customHeight="1">
      <c r="F183" s="53"/>
      <c r="H183" s="55" t="e">
        <f>tbl_MA[[#This Row],[Qty Complete]]/tbl_MA[[#This Row],[Qty Required]]</f>
        <v>#DIV/0!</v>
      </c>
      <c r="K183" s="57" t="str">
        <f>IFERROR(tbl_MA[[#This Row],[Qty Required]]/tbl_MA[[#This Row],[PPH]]*tbl_MA[[#This Row],['# of men]],"")</f>
        <v/>
      </c>
      <c r="L183" s="58" t="e">
        <f>tbl_MA[[#This Row],[Total hours]]*tbl_MA[[#This Row],[% Complete]]</f>
        <v>#VALUE!</v>
      </c>
      <c r="M183" s="59" t="str">
        <f>IFERROR(tbl_MA[[#This Row],[Qty Complete]]/tbl_MA[[#This Row],[Total Hours Act]]*tbl_MA[[#This Row],['# of men Act]],"")</f>
        <v/>
      </c>
      <c r="O183"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83" s="71" t="str">
        <f>IFERROR((tbl_MA[[#This Row],[Adj. Total Hours]]+tbl_MA[[#This Row],[Est. Hours]])/(tbl_MA[[#This Row],[Total Hours Act]]+tbl_MA[[#This Row],[Act. Hours]]),"")</f>
        <v/>
      </c>
      <c r="S183" s="63"/>
      <c r="T183" s="63"/>
      <c r="U183" s="63"/>
      <c r="V183" s="63"/>
      <c r="W183" s="63"/>
    </row>
    <row r="184" spans="6:23" ht="25" customHeight="1">
      <c r="F184" s="53"/>
      <c r="H184" s="55" t="e">
        <f>tbl_MA[[#This Row],[Qty Complete]]/tbl_MA[[#This Row],[Qty Required]]</f>
        <v>#DIV/0!</v>
      </c>
      <c r="K184" s="57" t="str">
        <f>IFERROR(tbl_MA[[#This Row],[Qty Required]]/tbl_MA[[#This Row],[PPH]]*tbl_MA[[#This Row],['# of men]],"")</f>
        <v/>
      </c>
      <c r="L184" s="58" t="e">
        <f>tbl_MA[[#This Row],[Total hours]]*tbl_MA[[#This Row],[% Complete]]</f>
        <v>#VALUE!</v>
      </c>
      <c r="M184" s="59" t="str">
        <f>IFERROR(tbl_MA[[#This Row],[Qty Complete]]/tbl_MA[[#This Row],[Total Hours Act]]*tbl_MA[[#This Row],['# of men Act]],"")</f>
        <v/>
      </c>
      <c r="O184"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84" s="71" t="str">
        <f>IFERROR((tbl_MA[[#This Row],[Adj. Total Hours]]+tbl_MA[[#This Row],[Est. Hours]])/(tbl_MA[[#This Row],[Total Hours Act]]+tbl_MA[[#This Row],[Act. Hours]]),"")</f>
        <v/>
      </c>
      <c r="S184" s="63"/>
      <c r="T184" s="63"/>
      <c r="U184" s="63"/>
      <c r="V184" s="63"/>
      <c r="W184" s="63"/>
    </row>
    <row r="185" spans="6:23" ht="25" customHeight="1">
      <c r="F185" s="53"/>
      <c r="H185" s="55" t="e">
        <f>tbl_MA[[#This Row],[Qty Complete]]/tbl_MA[[#This Row],[Qty Required]]</f>
        <v>#DIV/0!</v>
      </c>
      <c r="K185" s="57" t="str">
        <f>IFERROR(tbl_MA[[#This Row],[Qty Required]]/tbl_MA[[#This Row],[PPH]]*tbl_MA[[#This Row],['# of men]],"")</f>
        <v/>
      </c>
      <c r="L185" s="58" t="e">
        <f>tbl_MA[[#This Row],[Total hours]]*tbl_MA[[#This Row],[% Complete]]</f>
        <v>#VALUE!</v>
      </c>
      <c r="M185" s="59" t="str">
        <f>IFERROR(tbl_MA[[#This Row],[Qty Complete]]/tbl_MA[[#This Row],[Total Hours Act]]*tbl_MA[[#This Row],['# of men Act]],"")</f>
        <v/>
      </c>
      <c r="O185"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85" s="71" t="str">
        <f>IFERROR((tbl_MA[[#This Row],[Adj. Total Hours]]+tbl_MA[[#This Row],[Est. Hours]])/(tbl_MA[[#This Row],[Total Hours Act]]+tbl_MA[[#This Row],[Act. Hours]]),"")</f>
        <v/>
      </c>
      <c r="S185" s="63"/>
      <c r="T185" s="63"/>
      <c r="U185" s="63"/>
      <c r="V185" s="63"/>
      <c r="W185" s="63"/>
    </row>
    <row r="186" spans="6:23" ht="25" customHeight="1">
      <c r="F186" s="53"/>
      <c r="H186" s="55" t="e">
        <f>tbl_MA[[#This Row],[Qty Complete]]/tbl_MA[[#This Row],[Qty Required]]</f>
        <v>#DIV/0!</v>
      </c>
      <c r="K186" s="57" t="str">
        <f>IFERROR(tbl_MA[[#This Row],[Qty Required]]/tbl_MA[[#This Row],[PPH]]*tbl_MA[[#This Row],['# of men]],"")</f>
        <v/>
      </c>
      <c r="L186" s="58" t="e">
        <f>tbl_MA[[#This Row],[Total hours]]*tbl_MA[[#This Row],[% Complete]]</f>
        <v>#VALUE!</v>
      </c>
      <c r="M186" s="59" t="str">
        <f>IFERROR(tbl_MA[[#This Row],[Qty Complete]]/tbl_MA[[#This Row],[Total Hours Act]]*tbl_MA[[#This Row],['# of men Act]],"")</f>
        <v/>
      </c>
      <c r="O186"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86" s="71" t="str">
        <f>IFERROR((tbl_MA[[#This Row],[Adj. Total Hours]]+tbl_MA[[#This Row],[Est. Hours]])/(tbl_MA[[#This Row],[Total Hours Act]]+tbl_MA[[#This Row],[Act. Hours]]),"")</f>
        <v/>
      </c>
      <c r="S186" s="63"/>
      <c r="T186" s="63"/>
      <c r="U186" s="63"/>
      <c r="V186" s="63"/>
      <c r="W186" s="63"/>
    </row>
    <row r="187" spans="6:23" ht="25" customHeight="1">
      <c r="F187" s="53"/>
      <c r="H187" s="55" t="e">
        <f>tbl_MA[[#This Row],[Qty Complete]]/tbl_MA[[#This Row],[Qty Required]]</f>
        <v>#DIV/0!</v>
      </c>
      <c r="K187" s="57" t="str">
        <f>IFERROR(tbl_MA[[#This Row],[Qty Required]]/tbl_MA[[#This Row],[PPH]]*tbl_MA[[#This Row],['# of men]],"")</f>
        <v/>
      </c>
      <c r="L187" s="58" t="e">
        <f>tbl_MA[[#This Row],[Total hours]]*tbl_MA[[#This Row],[% Complete]]</f>
        <v>#VALUE!</v>
      </c>
      <c r="M187" s="59" t="str">
        <f>IFERROR(tbl_MA[[#This Row],[Qty Complete]]/tbl_MA[[#This Row],[Total Hours Act]]*tbl_MA[[#This Row],['# of men Act]],"")</f>
        <v/>
      </c>
      <c r="O187"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87" s="71" t="str">
        <f>IFERROR((tbl_MA[[#This Row],[Adj. Total Hours]]+tbl_MA[[#This Row],[Est. Hours]])/(tbl_MA[[#This Row],[Total Hours Act]]+tbl_MA[[#This Row],[Act. Hours]]),"")</f>
        <v/>
      </c>
      <c r="S187" s="63"/>
      <c r="T187" s="63"/>
      <c r="U187" s="63"/>
      <c r="V187" s="63"/>
      <c r="W187" s="63"/>
    </row>
    <row r="188" spans="6:23" ht="25" customHeight="1">
      <c r="F188" s="53"/>
      <c r="H188" s="55" t="e">
        <f>tbl_MA[[#This Row],[Qty Complete]]/tbl_MA[[#This Row],[Qty Required]]</f>
        <v>#DIV/0!</v>
      </c>
      <c r="K188" s="57" t="str">
        <f>IFERROR(tbl_MA[[#This Row],[Qty Required]]/tbl_MA[[#This Row],[PPH]]*tbl_MA[[#This Row],['# of men]],"")</f>
        <v/>
      </c>
      <c r="L188" s="58" t="e">
        <f>tbl_MA[[#This Row],[Total hours]]*tbl_MA[[#This Row],[% Complete]]</f>
        <v>#VALUE!</v>
      </c>
      <c r="M188" s="59" t="str">
        <f>IFERROR(tbl_MA[[#This Row],[Qty Complete]]/tbl_MA[[#This Row],[Total Hours Act]]*tbl_MA[[#This Row],['# of men Act]],"")</f>
        <v/>
      </c>
      <c r="O188"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88" s="71" t="str">
        <f>IFERROR((tbl_MA[[#This Row],[Adj. Total Hours]]+tbl_MA[[#This Row],[Est. Hours]])/(tbl_MA[[#This Row],[Total Hours Act]]+tbl_MA[[#This Row],[Act. Hours]]),"")</f>
        <v/>
      </c>
      <c r="S188" s="63"/>
      <c r="T188" s="63"/>
      <c r="U188" s="63"/>
      <c r="V188" s="63"/>
      <c r="W188" s="63"/>
    </row>
    <row r="189" spans="6:23" ht="25" customHeight="1">
      <c r="F189" s="53"/>
      <c r="H189" s="55" t="e">
        <f>tbl_MA[[#This Row],[Qty Complete]]/tbl_MA[[#This Row],[Qty Required]]</f>
        <v>#DIV/0!</v>
      </c>
      <c r="K189" s="57" t="str">
        <f>IFERROR(tbl_MA[[#This Row],[Qty Required]]/tbl_MA[[#This Row],[PPH]]*tbl_MA[[#This Row],['# of men]],"")</f>
        <v/>
      </c>
      <c r="L189" s="58" t="e">
        <f>tbl_MA[[#This Row],[Total hours]]*tbl_MA[[#This Row],[% Complete]]</f>
        <v>#VALUE!</v>
      </c>
      <c r="M189" s="59" t="str">
        <f>IFERROR(tbl_MA[[#This Row],[Qty Complete]]/tbl_MA[[#This Row],[Total Hours Act]]*tbl_MA[[#This Row],['# of men Act]],"")</f>
        <v/>
      </c>
      <c r="O189"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89" s="71" t="str">
        <f>IFERROR((tbl_MA[[#This Row],[Adj. Total Hours]]+tbl_MA[[#This Row],[Est. Hours]])/(tbl_MA[[#This Row],[Total Hours Act]]+tbl_MA[[#This Row],[Act. Hours]]),"")</f>
        <v/>
      </c>
      <c r="S189" s="63"/>
      <c r="T189" s="63"/>
      <c r="U189" s="63"/>
      <c r="V189" s="63"/>
      <c r="W189" s="63"/>
    </row>
    <row r="190" spans="6:23" ht="25" customHeight="1">
      <c r="F190" s="53"/>
      <c r="H190" s="55" t="e">
        <f>tbl_MA[[#This Row],[Qty Complete]]/tbl_MA[[#This Row],[Qty Required]]</f>
        <v>#DIV/0!</v>
      </c>
      <c r="K190" s="57" t="str">
        <f>IFERROR(tbl_MA[[#This Row],[Qty Required]]/tbl_MA[[#This Row],[PPH]]*tbl_MA[[#This Row],['# of men]],"")</f>
        <v/>
      </c>
      <c r="L190" s="58" t="e">
        <f>tbl_MA[[#This Row],[Total hours]]*tbl_MA[[#This Row],[% Complete]]</f>
        <v>#VALUE!</v>
      </c>
      <c r="M190" s="59" t="str">
        <f>IFERROR(tbl_MA[[#This Row],[Qty Complete]]/tbl_MA[[#This Row],[Total Hours Act]]*tbl_MA[[#This Row],['# of men Act]],"")</f>
        <v/>
      </c>
      <c r="O190"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90" s="71" t="str">
        <f>IFERROR((tbl_MA[[#This Row],[Adj. Total Hours]]+tbl_MA[[#This Row],[Est. Hours]])/(tbl_MA[[#This Row],[Total Hours Act]]+tbl_MA[[#This Row],[Act. Hours]]),"")</f>
        <v/>
      </c>
      <c r="S190" s="63"/>
      <c r="T190" s="63"/>
      <c r="U190" s="63"/>
      <c r="V190" s="63"/>
      <c r="W190" s="63"/>
    </row>
    <row r="191" spans="6:23" ht="25" customHeight="1">
      <c r="F191" s="53"/>
      <c r="H191" s="55" t="e">
        <f>tbl_MA[[#This Row],[Qty Complete]]/tbl_MA[[#This Row],[Qty Required]]</f>
        <v>#DIV/0!</v>
      </c>
      <c r="K191" s="57" t="str">
        <f>IFERROR(tbl_MA[[#This Row],[Qty Required]]/tbl_MA[[#This Row],[PPH]]*tbl_MA[[#This Row],['# of men]],"")</f>
        <v/>
      </c>
      <c r="L191" s="58" t="e">
        <f>tbl_MA[[#This Row],[Total hours]]*tbl_MA[[#This Row],[% Complete]]</f>
        <v>#VALUE!</v>
      </c>
      <c r="M191" s="59" t="str">
        <f>IFERROR(tbl_MA[[#This Row],[Qty Complete]]/tbl_MA[[#This Row],[Total Hours Act]]*tbl_MA[[#This Row],['# of men Act]],"")</f>
        <v/>
      </c>
      <c r="O191"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91" s="71" t="str">
        <f>IFERROR((tbl_MA[[#This Row],[Adj. Total Hours]]+tbl_MA[[#This Row],[Est. Hours]])/(tbl_MA[[#This Row],[Total Hours Act]]+tbl_MA[[#This Row],[Act. Hours]]),"")</f>
        <v/>
      </c>
      <c r="S191" s="63"/>
      <c r="T191" s="63"/>
      <c r="U191" s="63"/>
      <c r="V191" s="63"/>
      <c r="W191" s="63"/>
    </row>
    <row r="192" spans="6:23" ht="25" customHeight="1">
      <c r="F192" s="53"/>
      <c r="H192" s="55" t="e">
        <f>tbl_MA[[#This Row],[Qty Complete]]/tbl_MA[[#This Row],[Qty Required]]</f>
        <v>#DIV/0!</v>
      </c>
      <c r="K192" s="57" t="str">
        <f>IFERROR(tbl_MA[[#This Row],[Qty Required]]/tbl_MA[[#This Row],[PPH]]*tbl_MA[[#This Row],['# of men]],"")</f>
        <v/>
      </c>
      <c r="L192" s="58" t="e">
        <f>tbl_MA[[#This Row],[Total hours]]*tbl_MA[[#This Row],[% Complete]]</f>
        <v>#VALUE!</v>
      </c>
      <c r="M192" s="59" t="str">
        <f>IFERROR(tbl_MA[[#This Row],[Qty Complete]]/tbl_MA[[#This Row],[Total Hours Act]]*tbl_MA[[#This Row],['# of men Act]],"")</f>
        <v/>
      </c>
      <c r="O192"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92" s="71" t="str">
        <f>IFERROR((tbl_MA[[#This Row],[Adj. Total Hours]]+tbl_MA[[#This Row],[Est. Hours]])/(tbl_MA[[#This Row],[Total Hours Act]]+tbl_MA[[#This Row],[Act. Hours]]),"")</f>
        <v/>
      </c>
      <c r="S192" s="63"/>
      <c r="T192" s="63"/>
      <c r="U192" s="63"/>
      <c r="V192" s="63"/>
      <c r="W192" s="63"/>
    </row>
    <row r="193" spans="6:23" ht="25" customHeight="1">
      <c r="F193" s="53"/>
      <c r="H193" s="55" t="e">
        <f>tbl_MA[[#This Row],[Qty Complete]]/tbl_MA[[#This Row],[Qty Required]]</f>
        <v>#DIV/0!</v>
      </c>
      <c r="K193" s="57" t="str">
        <f>IFERROR(tbl_MA[[#This Row],[Qty Required]]/tbl_MA[[#This Row],[PPH]]*tbl_MA[[#This Row],['# of men]],"")</f>
        <v/>
      </c>
      <c r="L193" s="58" t="e">
        <f>tbl_MA[[#This Row],[Total hours]]*tbl_MA[[#This Row],[% Complete]]</f>
        <v>#VALUE!</v>
      </c>
      <c r="M193" s="59" t="str">
        <f>IFERROR(tbl_MA[[#This Row],[Qty Complete]]/tbl_MA[[#This Row],[Total Hours Act]]*tbl_MA[[#This Row],['# of men Act]],"")</f>
        <v/>
      </c>
      <c r="O193"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93" s="71" t="str">
        <f>IFERROR((tbl_MA[[#This Row],[Adj. Total Hours]]+tbl_MA[[#This Row],[Est. Hours]])/(tbl_MA[[#This Row],[Total Hours Act]]+tbl_MA[[#This Row],[Act. Hours]]),"")</f>
        <v/>
      </c>
      <c r="S193" s="63"/>
      <c r="T193" s="63"/>
      <c r="U193" s="63"/>
      <c r="V193" s="63"/>
      <c r="W193" s="63"/>
    </row>
    <row r="194" spans="6:23" ht="25" customHeight="1">
      <c r="F194" s="53"/>
      <c r="H194" s="55" t="e">
        <f>tbl_MA[[#This Row],[Qty Complete]]/tbl_MA[[#This Row],[Qty Required]]</f>
        <v>#DIV/0!</v>
      </c>
      <c r="K194" s="57" t="str">
        <f>IFERROR(tbl_MA[[#This Row],[Qty Required]]/tbl_MA[[#This Row],[PPH]]*tbl_MA[[#This Row],['# of men]],"")</f>
        <v/>
      </c>
      <c r="L194" s="58" t="e">
        <f>tbl_MA[[#This Row],[Total hours]]*tbl_MA[[#This Row],[% Complete]]</f>
        <v>#VALUE!</v>
      </c>
      <c r="M194" s="59" t="str">
        <f>IFERROR(tbl_MA[[#This Row],[Qty Complete]]/tbl_MA[[#This Row],[Total Hours Act]]*tbl_MA[[#This Row],['# of men Act]],"")</f>
        <v/>
      </c>
      <c r="O194"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94" s="71" t="str">
        <f>IFERROR((tbl_MA[[#This Row],[Adj. Total Hours]]+tbl_MA[[#This Row],[Est. Hours]])/(tbl_MA[[#This Row],[Total Hours Act]]+tbl_MA[[#This Row],[Act. Hours]]),"")</f>
        <v/>
      </c>
      <c r="S194" s="63"/>
      <c r="T194" s="63"/>
      <c r="U194" s="63"/>
      <c r="V194" s="63"/>
      <c r="W194" s="63"/>
    </row>
    <row r="195" spans="6:23" ht="25" customHeight="1">
      <c r="F195" s="53"/>
      <c r="H195" s="55" t="e">
        <f>tbl_MA[[#This Row],[Qty Complete]]/tbl_MA[[#This Row],[Qty Required]]</f>
        <v>#DIV/0!</v>
      </c>
      <c r="K195" s="57" t="str">
        <f>IFERROR(tbl_MA[[#This Row],[Qty Required]]/tbl_MA[[#This Row],[PPH]]*tbl_MA[[#This Row],['# of men]],"")</f>
        <v/>
      </c>
      <c r="L195" s="58" t="e">
        <f>tbl_MA[[#This Row],[Total hours]]*tbl_MA[[#This Row],[% Complete]]</f>
        <v>#VALUE!</v>
      </c>
      <c r="M195" s="59" t="str">
        <f>IFERROR(tbl_MA[[#This Row],[Qty Complete]]/tbl_MA[[#This Row],[Total Hours Act]]*tbl_MA[[#This Row],['# of men Act]],"")</f>
        <v/>
      </c>
      <c r="O195"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95" s="71" t="str">
        <f>IFERROR((tbl_MA[[#This Row],[Adj. Total Hours]]+tbl_MA[[#This Row],[Est. Hours]])/(tbl_MA[[#This Row],[Total Hours Act]]+tbl_MA[[#This Row],[Act. Hours]]),"")</f>
        <v/>
      </c>
      <c r="S195" s="63"/>
      <c r="T195" s="63"/>
      <c r="U195" s="63"/>
      <c r="V195" s="63"/>
      <c r="W195" s="63"/>
    </row>
    <row r="196" spans="6:23" ht="25" customHeight="1">
      <c r="F196" s="53"/>
      <c r="H196" s="55" t="e">
        <f>tbl_MA[[#This Row],[Qty Complete]]/tbl_MA[[#This Row],[Qty Required]]</f>
        <v>#DIV/0!</v>
      </c>
      <c r="K196" s="57" t="str">
        <f>IFERROR(tbl_MA[[#This Row],[Qty Required]]/tbl_MA[[#This Row],[PPH]]*tbl_MA[[#This Row],['# of men]],"")</f>
        <v/>
      </c>
      <c r="L196" s="58" t="e">
        <f>tbl_MA[[#This Row],[Total hours]]*tbl_MA[[#This Row],[% Complete]]</f>
        <v>#VALUE!</v>
      </c>
      <c r="M196" s="59" t="str">
        <f>IFERROR(tbl_MA[[#This Row],[Qty Complete]]/tbl_MA[[#This Row],[Total Hours Act]]*tbl_MA[[#This Row],['# of men Act]],"")</f>
        <v/>
      </c>
      <c r="O196"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96" s="71" t="str">
        <f>IFERROR((tbl_MA[[#This Row],[Adj. Total Hours]]+tbl_MA[[#This Row],[Est. Hours]])/(tbl_MA[[#This Row],[Total Hours Act]]+tbl_MA[[#This Row],[Act. Hours]]),"")</f>
        <v/>
      </c>
      <c r="S196" s="63"/>
      <c r="T196" s="63"/>
      <c r="U196" s="63"/>
      <c r="V196" s="63"/>
      <c r="W196" s="63"/>
    </row>
    <row r="197" spans="6:23" ht="25" customHeight="1">
      <c r="F197" s="53"/>
      <c r="H197" s="55" t="e">
        <f>tbl_MA[[#This Row],[Qty Complete]]/tbl_MA[[#This Row],[Qty Required]]</f>
        <v>#DIV/0!</v>
      </c>
      <c r="K197" s="57" t="str">
        <f>IFERROR(tbl_MA[[#This Row],[Qty Required]]/tbl_MA[[#This Row],[PPH]]*tbl_MA[[#This Row],['# of men]],"")</f>
        <v/>
      </c>
      <c r="L197" s="58" t="e">
        <f>tbl_MA[[#This Row],[Total hours]]*tbl_MA[[#This Row],[% Complete]]</f>
        <v>#VALUE!</v>
      </c>
      <c r="M197" s="59" t="str">
        <f>IFERROR(tbl_MA[[#This Row],[Qty Complete]]/tbl_MA[[#This Row],[Total Hours Act]]*tbl_MA[[#This Row],['# of men Act]],"")</f>
        <v/>
      </c>
      <c r="O197"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97" s="71" t="str">
        <f>IFERROR((tbl_MA[[#This Row],[Adj. Total Hours]]+tbl_MA[[#This Row],[Est. Hours]])/(tbl_MA[[#This Row],[Total Hours Act]]+tbl_MA[[#This Row],[Act. Hours]]),"")</f>
        <v/>
      </c>
      <c r="S197" s="63"/>
      <c r="T197" s="63"/>
      <c r="U197" s="63"/>
      <c r="V197" s="63"/>
      <c r="W197" s="63"/>
    </row>
    <row r="198" spans="6:23" ht="25" customHeight="1">
      <c r="F198" s="53"/>
      <c r="H198" s="55" t="e">
        <f>tbl_MA[[#This Row],[Qty Complete]]/tbl_MA[[#This Row],[Qty Required]]</f>
        <v>#DIV/0!</v>
      </c>
      <c r="K198" s="57" t="str">
        <f>IFERROR(tbl_MA[[#This Row],[Qty Required]]/tbl_MA[[#This Row],[PPH]]*tbl_MA[[#This Row],['# of men]],"")</f>
        <v/>
      </c>
      <c r="L198" s="58" t="e">
        <f>tbl_MA[[#This Row],[Total hours]]*tbl_MA[[#This Row],[% Complete]]</f>
        <v>#VALUE!</v>
      </c>
      <c r="M198" s="59" t="str">
        <f>IFERROR(tbl_MA[[#This Row],[Qty Complete]]/tbl_MA[[#This Row],[Total Hours Act]]*tbl_MA[[#This Row],['# of men Act]],"")</f>
        <v/>
      </c>
      <c r="O198"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98" s="71" t="str">
        <f>IFERROR((tbl_MA[[#This Row],[Adj. Total Hours]]+tbl_MA[[#This Row],[Est. Hours]])/(tbl_MA[[#This Row],[Total Hours Act]]+tbl_MA[[#This Row],[Act. Hours]]),"")</f>
        <v/>
      </c>
      <c r="S198" s="63"/>
      <c r="T198" s="63"/>
      <c r="U198" s="63"/>
      <c r="V198" s="63"/>
      <c r="W198" s="63"/>
    </row>
    <row r="199" spans="6:23" ht="25" customHeight="1">
      <c r="F199" s="53"/>
      <c r="H199" s="55" t="e">
        <f>tbl_MA[[#This Row],[Qty Complete]]/tbl_MA[[#This Row],[Qty Required]]</f>
        <v>#DIV/0!</v>
      </c>
      <c r="K199" s="57" t="str">
        <f>IFERROR(tbl_MA[[#This Row],[Qty Required]]/tbl_MA[[#This Row],[PPH]]*tbl_MA[[#This Row],['# of men]],"")</f>
        <v/>
      </c>
      <c r="L199" s="58" t="e">
        <f>tbl_MA[[#This Row],[Total hours]]*tbl_MA[[#This Row],[% Complete]]</f>
        <v>#VALUE!</v>
      </c>
      <c r="M199" s="59" t="str">
        <f>IFERROR(tbl_MA[[#This Row],[Qty Complete]]/tbl_MA[[#This Row],[Total Hours Act]]*tbl_MA[[#This Row],['# of men Act]],"")</f>
        <v/>
      </c>
      <c r="O199"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199" s="71" t="str">
        <f>IFERROR((tbl_MA[[#This Row],[Adj. Total Hours]]+tbl_MA[[#This Row],[Est. Hours]])/(tbl_MA[[#This Row],[Total Hours Act]]+tbl_MA[[#This Row],[Act. Hours]]),"")</f>
        <v/>
      </c>
      <c r="S199" s="63"/>
      <c r="T199" s="63"/>
      <c r="U199" s="63"/>
      <c r="V199" s="63"/>
      <c r="W199" s="63"/>
    </row>
    <row r="200" spans="6:23" ht="25" customHeight="1">
      <c r="F200" s="53"/>
      <c r="H200" s="55" t="e">
        <f>tbl_MA[[#This Row],[Qty Complete]]/tbl_MA[[#This Row],[Qty Required]]</f>
        <v>#DIV/0!</v>
      </c>
      <c r="K200" s="57" t="str">
        <f>IFERROR(tbl_MA[[#This Row],[Qty Required]]/tbl_MA[[#This Row],[PPH]]*tbl_MA[[#This Row],['# of men]],"")</f>
        <v/>
      </c>
      <c r="L200" s="58" t="e">
        <f>tbl_MA[[#This Row],[Total hours]]*tbl_MA[[#This Row],[% Complete]]</f>
        <v>#VALUE!</v>
      </c>
      <c r="M200" s="59" t="str">
        <f>IFERROR(tbl_MA[[#This Row],[Qty Complete]]/tbl_MA[[#This Row],[Total Hours Act]]*tbl_MA[[#This Row],['# of men Act]],"")</f>
        <v/>
      </c>
      <c r="O200"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00" s="71" t="str">
        <f>IFERROR((tbl_MA[[#This Row],[Adj. Total Hours]]+tbl_MA[[#This Row],[Est. Hours]])/(tbl_MA[[#This Row],[Total Hours Act]]+tbl_MA[[#This Row],[Act. Hours]]),"")</f>
        <v/>
      </c>
      <c r="S200" s="63"/>
      <c r="T200" s="63"/>
      <c r="U200" s="63"/>
      <c r="V200" s="63"/>
      <c r="W200" s="63"/>
    </row>
    <row r="201" spans="6:23" ht="25" customHeight="1">
      <c r="F201" s="53"/>
      <c r="H201" s="55" t="e">
        <f>tbl_MA[[#This Row],[Qty Complete]]/tbl_MA[[#This Row],[Qty Required]]</f>
        <v>#DIV/0!</v>
      </c>
      <c r="K201" s="57" t="str">
        <f>IFERROR(tbl_MA[[#This Row],[Qty Required]]/tbl_MA[[#This Row],[PPH]]*tbl_MA[[#This Row],['# of men]],"")</f>
        <v/>
      </c>
      <c r="L201" s="58" t="e">
        <f>tbl_MA[[#This Row],[Total hours]]*tbl_MA[[#This Row],[% Complete]]</f>
        <v>#VALUE!</v>
      </c>
      <c r="M201" s="59" t="str">
        <f>IFERROR(tbl_MA[[#This Row],[Qty Complete]]/tbl_MA[[#This Row],[Total Hours Act]]*tbl_MA[[#This Row],['# of men Act]],"")</f>
        <v/>
      </c>
      <c r="O201"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01" s="71" t="str">
        <f>IFERROR((tbl_MA[[#This Row],[Adj. Total Hours]]+tbl_MA[[#This Row],[Est. Hours]])/(tbl_MA[[#This Row],[Total Hours Act]]+tbl_MA[[#This Row],[Act. Hours]]),"")</f>
        <v/>
      </c>
      <c r="S201" s="63"/>
      <c r="T201" s="63"/>
      <c r="U201" s="63"/>
      <c r="V201" s="63"/>
      <c r="W201" s="63"/>
    </row>
    <row r="202" spans="6:23" ht="25" customHeight="1">
      <c r="F202" s="53"/>
      <c r="H202" s="55" t="e">
        <f>tbl_MA[[#This Row],[Qty Complete]]/tbl_MA[[#This Row],[Qty Required]]</f>
        <v>#DIV/0!</v>
      </c>
      <c r="K202" s="57" t="str">
        <f>IFERROR(tbl_MA[[#This Row],[Qty Required]]/tbl_MA[[#This Row],[PPH]]*tbl_MA[[#This Row],['# of men]],"")</f>
        <v/>
      </c>
      <c r="L202" s="58" t="e">
        <f>tbl_MA[[#This Row],[Total hours]]*tbl_MA[[#This Row],[% Complete]]</f>
        <v>#VALUE!</v>
      </c>
      <c r="M202" s="59" t="str">
        <f>IFERROR(tbl_MA[[#This Row],[Qty Complete]]/tbl_MA[[#This Row],[Total Hours Act]]*tbl_MA[[#This Row],['# of men Act]],"")</f>
        <v/>
      </c>
      <c r="O202"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02" s="71" t="str">
        <f>IFERROR((tbl_MA[[#This Row],[Adj. Total Hours]]+tbl_MA[[#This Row],[Est. Hours]])/(tbl_MA[[#This Row],[Total Hours Act]]+tbl_MA[[#This Row],[Act. Hours]]),"")</f>
        <v/>
      </c>
      <c r="S202" s="63"/>
      <c r="T202" s="63"/>
      <c r="U202" s="63"/>
      <c r="V202" s="63"/>
      <c r="W202" s="63"/>
    </row>
    <row r="203" spans="6:23" ht="25" customHeight="1">
      <c r="F203" s="53"/>
      <c r="H203" s="55" t="e">
        <f>tbl_MA[[#This Row],[Qty Complete]]/tbl_MA[[#This Row],[Qty Required]]</f>
        <v>#DIV/0!</v>
      </c>
      <c r="K203" s="57" t="str">
        <f>IFERROR(tbl_MA[[#This Row],[Qty Required]]/tbl_MA[[#This Row],[PPH]]*tbl_MA[[#This Row],['# of men]],"")</f>
        <v/>
      </c>
      <c r="L203" s="58" t="e">
        <f>tbl_MA[[#This Row],[Total hours]]*tbl_MA[[#This Row],[% Complete]]</f>
        <v>#VALUE!</v>
      </c>
      <c r="M203" s="59" t="str">
        <f>IFERROR(tbl_MA[[#This Row],[Qty Complete]]/tbl_MA[[#This Row],[Total Hours Act]]*tbl_MA[[#This Row],['# of men Act]],"")</f>
        <v/>
      </c>
      <c r="O203"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03" s="71" t="str">
        <f>IFERROR((tbl_MA[[#This Row],[Adj. Total Hours]]+tbl_MA[[#This Row],[Est. Hours]])/(tbl_MA[[#This Row],[Total Hours Act]]+tbl_MA[[#This Row],[Act. Hours]]),"")</f>
        <v/>
      </c>
      <c r="S203" s="63"/>
      <c r="T203" s="63"/>
      <c r="U203" s="63"/>
      <c r="V203" s="63"/>
      <c r="W203" s="63"/>
    </row>
    <row r="204" spans="6:23" ht="25" customHeight="1">
      <c r="F204" s="53"/>
      <c r="H204" s="55" t="e">
        <f>tbl_MA[[#This Row],[Qty Complete]]/tbl_MA[[#This Row],[Qty Required]]</f>
        <v>#DIV/0!</v>
      </c>
      <c r="K204" s="57" t="str">
        <f>IFERROR(tbl_MA[[#This Row],[Qty Required]]/tbl_MA[[#This Row],[PPH]]*tbl_MA[[#This Row],['# of men]],"")</f>
        <v/>
      </c>
      <c r="L204" s="58" t="e">
        <f>tbl_MA[[#This Row],[Total hours]]*tbl_MA[[#This Row],[% Complete]]</f>
        <v>#VALUE!</v>
      </c>
      <c r="M204" s="59" t="str">
        <f>IFERROR(tbl_MA[[#This Row],[Qty Complete]]/tbl_MA[[#This Row],[Total Hours Act]]*tbl_MA[[#This Row],['# of men Act]],"")</f>
        <v/>
      </c>
      <c r="O204"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04" s="71" t="str">
        <f>IFERROR((tbl_MA[[#This Row],[Adj. Total Hours]]+tbl_MA[[#This Row],[Est. Hours]])/(tbl_MA[[#This Row],[Total Hours Act]]+tbl_MA[[#This Row],[Act. Hours]]),"")</f>
        <v/>
      </c>
      <c r="S204" s="63"/>
      <c r="T204" s="63"/>
      <c r="U204" s="63"/>
      <c r="V204" s="63"/>
      <c r="W204" s="63"/>
    </row>
    <row r="205" spans="6:23" ht="25" customHeight="1">
      <c r="F205" s="53"/>
      <c r="H205" s="55" t="e">
        <f>tbl_MA[[#This Row],[Qty Complete]]/tbl_MA[[#This Row],[Qty Required]]</f>
        <v>#DIV/0!</v>
      </c>
      <c r="K205" s="57" t="str">
        <f>IFERROR(tbl_MA[[#This Row],[Qty Required]]/tbl_MA[[#This Row],[PPH]]*tbl_MA[[#This Row],['# of men]],"")</f>
        <v/>
      </c>
      <c r="L205" s="58" t="e">
        <f>tbl_MA[[#This Row],[Total hours]]*tbl_MA[[#This Row],[% Complete]]</f>
        <v>#VALUE!</v>
      </c>
      <c r="M205" s="59" t="str">
        <f>IFERROR(tbl_MA[[#This Row],[Qty Complete]]/tbl_MA[[#This Row],[Total Hours Act]]*tbl_MA[[#This Row],['# of men Act]],"")</f>
        <v/>
      </c>
      <c r="O205"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05" s="71" t="str">
        <f>IFERROR((tbl_MA[[#This Row],[Adj. Total Hours]]+tbl_MA[[#This Row],[Est. Hours]])/(tbl_MA[[#This Row],[Total Hours Act]]+tbl_MA[[#This Row],[Act. Hours]]),"")</f>
        <v/>
      </c>
      <c r="S205" s="63"/>
      <c r="T205" s="63"/>
      <c r="U205" s="63"/>
      <c r="V205" s="63"/>
      <c r="W205" s="63"/>
    </row>
    <row r="206" spans="6:23" ht="25" customHeight="1">
      <c r="F206" s="53"/>
      <c r="H206" s="55" t="e">
        <f>tbl_MA[[#This Row],[Qty Complete]]/tbl_MA[[#This Row],[Qty Required]]</f>
        <v>#DIV/0!</v>
      </c>
      <c r="K206" s="57" t="str">
        <f>IFERROR(tbl_MA[[#This Row],[Qty Required]]/tbl_MA[[#This Row],[PPH]]*tbl_MA[[#This Row],['# of men]],"")</f>
        <v/>
      </c>
      <c r="L206" s="58" t="e">
        <f>tbl_MA[[#This Row],[Total hours]]*tbl_MA[[#This Row],[% Complete]]</f>
        <v>#VALUE!</v>
      </c>
      <c r="M206" s="59" t="str">
        <f>IFERROR(tbl_MA[[#This Row],[Qty Complete]]/tbl_MA[[#This Row],[Total Hours Act]]*tbl_MA[[#This Row],['# of men Act]],"")</f>
        <v/>
      </c>
      <c r="O206"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06" s="71" t="str">
        <f>IFERROR((tbl_MA[[#This Row],[Adj. Total Hours]]+tbl_MA[[#This Row],[Est. Hours]])/(tbl_MA[[#This Row],[Total Hours Act]]+tbl_MA[[#This Row],[Act. Hours]]),"")</f>
        <v/>
      </c>
      <c r="S206" s="63"/>
      <c r="T206" s="63"/>
      <c r="U206" s="63"/>
      <c r="V206" s="63"/>
      <c r="W206" s="63"/>
    </row>
    <row r="207" spans="6:23" ht="25" customHeight="1">
      <c r="F207" s="53"/>
      <c r="H207" s="55" t="e">
        <f>tbl_MA[[#This Row],[Qty Complete]]/tbl_MA[[#This Row],[Qty Required]]</f>
        <v>#DIV/0!</v>
      </c>
      <c r="K207" s="57" t="str">
        <f>IFERROR(tbl_MA[[#This Row],[Qty Required]]/tbl_MA[[#This Row],[PPH]]*tbl_MA[[#This Row],['# of men]],"")</f>
        <v/>
      </c>
      <c r="L207" s="58" t="e">
        <f>tbl_MA[[#This Row],[Total hours]]*tbl_MA[[#This Row],[% Complete]]</f>
        <v>#VALUE!</v>
      </c>
      <c r="M207" s="59" t="str">
        <f>IFERROR(tbl_MA[[#This Row],[Qty Complete]]/tbl_MA[[#This Row],[Total Hours Act]]*tbl_MA[[#This Row],['# of men Act]],"")</f>
        <v/>
      </c>
      <c r="O207"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07" s="71" t="str">
        <f>IFERROR((tbl_MA[[#This Row],[Adj. Total Hours]]+tbl_MA[[#This Row],[Est. Hours]])/(tbl_MA[[#This Row],[Total Hours Act]]+tbl_MA[[#This Row],[Act. Hours]]),"")</f>
        <v/>
      </c>
      <c r="S207" s="63"/>
      <c r="T207" s="63"/>
      <c r="U207" s="63"/>
      <c r="V207" s="63"/>
      <c r="W207" s="63"/>
    </row>
    <row r="208" spans="6:23" ht="25" customHeight="1">
      <c r="F208" s="53"/>
      <c r="H208" s="55" t="e">
        <f>tbl_MA[[#This Row],[Qty Complete]]/tbl_MA[[#This Row],[Qty Required]]</f>
        <v>#DIV/0!</v>
      </c>
      <c r="K208" s="57" t="str">
        <f>IFERROR(tbl_MA[[#This Row],[Qty Required]]/tbl_MA[[#This Row],[PPH]]*tbl_MA[[#This Row],['# of men]],"")</f>
        <v/>
      </c>
      <c r="L208" s="58" t="e">
        <f>tbl_MA[[#This Row],[Total hours]]*tbl_MA[[#This Row],[% Complete]]</f>
        <v>#VALUE!</v>
      </c>
      <c r="M208" s="59" t="str">
        <f>IFERROR(tbl_MA[[#This Row],[Qty Complete]]/tbl_MA[[#This Row],[Total Hours Act]]*tbl_MA[[#This Row],['# of men Act]],"")</f>
        <v/>
      </c>
      <c r="O208"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08" s="71" t="str">
        <f>IFERROR((tbl_MA[[#This Row],[Adj. Total Hours]]+tbl_MA[[#This Row],[Est. Hours]])/(tbl_MA[[#This Row],[Total Hours Act]]+tbl_MA[[#This Row],[Act. Hours]]),"")</f>
        <v/>
      </c>
      <c r="S208" s="63"/>
      <c r="T208" s="63"/>
      <c r="U208" s="63"/>
      <c r="V208" s="63"/>
      <c r="W208" s="63"/>
    </row>
    <row r="209" spans="6:23" ht="25" customHeight="1">
      <c r="F209" s="53"/>
      <c r="H209" s="55" t="e">
        <f>tbl_MA[[#This Row],[Qty Complete]]/tbl_MA[[#This Row],[Qty Required]]</f>
        <v>#DIV/0!</v>
      </c>
      <c r="K209" s="57" t="str">
        <f>IFERROR(tbl_MA[[#This Row],[Qty Required]]/tbl_MA[[#This Row],[PPH]]*tbl_MA[[#This Row],['# of men]],"")</f>
        <v/>
      </c>
      <c r="L209" s="58" t="e">
        <f>tbl_MA[[#This Row],[Total hours]]*tbl_MA[[#This Row],[% Complete]]</f>
        <v>#VALUE!</v>
      </c>
      <c r="M209" s="59" t="str">
        <f>IFERROR(tbl_MA[[#This Row],[Qty Complete]]/tbl_MA[[#This Row],[Total Hours Act]]*tbl_MA[[#This Row],['# of men Act]],"")</f>
        <v/>
      </c>
      <c r="O209"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09" s="71" t="str">
        <f>IFERROR((tbl_MA[[#This Row],[Adj. Total Hours]]+tbl_MA[[#This Row],[Est. Hours]])/(tbl_MA[[#This Row],[Total Hours Act]]+tbl_MA[[#This Row],[Act. Hours]]),"")</f>
        <v/>
      </c>
      <c r="S209" s="63"/>
      <c r="T209" s="63"/>
      <c r="U209" s="63"/>
      <c r="V209" s="63"/>
      <c r="W209" s="63"/>
    </row>
    <row r="210" spans="6:23" ht="25" customHeight="1">
      <c r="F210" s="53"/>
      <c r="H210" s="55" t="e">
        <f>tbl_MA[[#This Row],[Qty Complete]]/tbl_MA[[#This Row],[Qty Required]]</f>
        <v>#DIV/0!</v>
      </c>
      <c r="K210" s="57" t="str">
        <f>IFERROR(tbl_MA[[#This Row],[Qty Required]]/tbl_MA[[#This Row],[PPH]]*tbl_MA[[#This Row],['# of men]],"")</f>
        <v/>
      </c>
      <c r="L210" s="58" t="e">
        <f>tbl_MA[[#This Row],[Total hours]]*tbl_MA[[#This Row],[% Complete]]</f>
        <v>#VALUE!</v>
      </c>
      <c r="M210" s="59" t="str">
        <f>IFERROR(tbl_MA[[#This Row],[Qty Complete]]/tbl_MA[[#This Row],[Total Hours Act]]*tbl_MA[[#This Row],['# of men Act]],"")</f>
        <v/>
      </c>
      <c r="O210"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10" s="71" t="str">
        <f>IFERROR((tbl_MA[[#This Row],[Adj. Total Hours]]+tbl_MA[[#This Row],[Est. Hours]])/(tbl_MA[[#This Row],[Total Hours Act]]+tbl_MA[[#This Row],[Act. Hours]]),"")</f>
        <v/>
      </c>
      <c r="S210" s="63"/>
      <c r="T210" s="63"/>
      <c r="U210" s="63"/>
      <c r="V210" s="63"/>
      <c r="W210" s="63"/>
    </row>
    <row r="211" spans="6:23" ht="25" customHeight="1">
      <c r="F211" s="53"/>
      <c r="H211" s="55" t="e">
        <f>tbl_MA[[#This Row],[Qty Complete]]/tbl_MA[[#This Row],[Qty Required]]</f>
        <v>#DIV/0!</v>
      </c>
      <c r="K211" s="57" t="str">
        <f>IFERROR(tbl_MA[[#This Row],[Qty Required]]/tbl_MA[[#This Row],[PPH]]*tbl_MA[[#This Row],['# of men]],"")</f>
        <v/>
      </c>
      <c r="L211" s="58" t="e">
        <f>tbl_MA[[#This Row],[Total hours]]*tbl_MA[[#This Row],[% Complete]]</f>
        <v>#VALUE!</v>
      </c>
      <c r="M211" s="59" t="str">
        <f>IFERROR(tbl_MA[[#This Row],[Qty Complete]]/tbl_MA[[#This Row],[Total Hours Act]]*tbl_MA[[#This Row],['# of men Act]],"")</f>
        <v/>
      </c>
      <c r="O211"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11" s="71" t="str">
        <f>IFERROR((tbl_MA[[#This Row],[Adj. Total Hours]]+tbl_MA[[#This Row],[Est. Hours]])/(tbl_MA[[#This Row],[Total Hours Act]]+tbl_MA[[#This Row],[Act. Hours]]),"")</f>
        <v/>
      </c>
      <c r="S211" s="63"/>
      <c r="T211" s="63"/>
      <c r="U211" s="63"/>
      <c r="V211" s="63"/>
      <c r="W211" s="63"/>
    </row>
    <row r="212" spans="6:23" ht="25" customHeight="1">
      <c r="F212" s="53"/>
      <c r="H212" s="55" t="e">
        <f>tbl_MA[[#This Row],[Qty Complete]]/tbl_MA[[#This Row],[Qty Required]]</f>
        <v>#DIV/0!</v>
      </c>
      <c r="K212" s="57" t="str">
        <f>IFERROR(tbl_MA[[#This Row],[Qty Required]]/tbl_MA[[#This Row],[PPH]]*tbl_MA[[#This Row],['# of men]],"")</f>
        <v/>
      </c>
      <c r="L212" s="58" t="e">
        <f>tbl_MA[[#This Row],[Total hours]]*tbl_MA[[#This Row],[% Complete]]</f>
        <v>#VALUE!</v>
      </c>
      <c r="M212" s="59" t="str">
        <f>IFERROR(tbl_MA[[#This Row],[Qty Complete]]/tbl_MA[[#This Row],[Total Hours Act]]*tbl_MA[[#This Row],['# of men Act]],"")</f>
        <v/>
      </c>
      <c r="O212"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12" s="71" t="str">
        <f>IFERROR((tbl_MA[[#This Row],[Adj. Total Hours]]+tbl_MA[[#This Row],[Est. Hours]])/(tbl_MA[[#This Row],[Total Hours Act]]+tbl_MA[[#This Row],[Act. Hours]]),"")</f>
        <v/>
      </c>
      <c r="S212" s="63"/>
      <c r="T212" s="63"/>
      <c r="U212" s="63"/>
      <c r="V212" s="63"/>
      <c r="W212" s="63"/>
    </row>
    <row r="213" spans="6:23" ht="25" customHeight="1">
      <c r="F213" s="53"/>
      <c r="H213" s="55" t="e">
        <f>tbl_MA[[#This Row],[Qty Complete]]/tbl_MA[[#This Row],[Qty Required]]</f>
        <v>#DIV/0!</v>
      </c>
      <c r="K213" s="57" t="str">
        <f>IFERROR(tbl_MA[[#This Row],[Qty Required]]/tbl_MA[[#This Row],[PPH]]*tbl_MA[[#This Row],['# of men]],"")</f>
        <v/>
      </c>
      <c r="L213" s="58" t="e">
        <f>tbl_MA[[#This Row],[Total hours]]*tbl_MA[[#This Row],[% Complete]]</f>
        <v>#VALUE!</v>
      </c>
      <c r="M213" s="59" t="str">
        <f>IFERROR(tbl_MA[[#This Row],[Qty Complete]]/tbl_MA[[#This Row],[Total Hours Act]]*tbl_MA[[#This Row],['# of men Act]],"")</f>
        <v/>
      </c>
      <c r="O213"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13" s="71" t="str">
        <f>IFERROR((tbl_MA[[#This Row],[Adj. Total Hours]]+tbl_MA[[#This Row],[Est. Hours]])/(tbl_MA[[#This Row],[Total Hours Act]]+tbl_MA[[#This Row],[Act. Hours]]),"")</f>
        <v/>
      </c>
      <c r="S213" s="63"/>
      <c r="T213" s="63"/>
      <c r="U213" s="63"/>
      <c r="V213" s="63"/>
      <c r="W213" s="63"/>
    </row>
    <row r="214" spans="6:23" ht="25" customHeight="1">
      <c r="F214" s="53"/>
      <c r="H214" s="55" t="e">
        <f>tbl_MA[[#This Row],[Qty Complete]]/tbl_MA[[#This Row],[Qty Required]]</f>
        <v>#DIV/0!</v>
      </c>
      <c r="K214" s="57" t="str">
        <f>IFERROR(tbl_MA[[#This Row],[Qty Required]]/tbl_MA[[#This Row],[PPH]]*tbl_MA[[#This Row],['# of men]],"")</f>
        <v/>
      </c>
      <c r="L214" s="58" t="e">
        <f>tbl_MA[[#This Row],[Total hours]]*tbl_MA[[#This Row],[% Complete]]</f>
        <v>#VALUE!</v>
      </c>
      <c r="M214" s="59" t="str">
        <f>IFERROR(tbl_MA[[#This Row],[Qty Complete]]/tbl_MA[[#This Row],[Total Hours Act]]*tbl_MA[[#This Row],['# of men Act]],"")</f>
        <v/>
      </c>
      <c r="O214"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14" s="71" t="str">
        <f>IFERROR((tbl_MA[[#This Row],[Adj. Total Hours]]+tbl_MA[[#This Row],[Est. Hours]])/(tbl_MA[[#This Row],[Total Hours Act]]+tbl_MA[[#This Row],[Act. Hours]]),"")</f>
        <v/>
      </c>
      <c r="S214" s="63"/>
      <c r="T214" s="63"/>
      <c r="U214" s="63"/>
      <c r="V214" s="63"/>
      <c r="W214" s="63"/>
    </row>
    <row r="215" spans="6:23" ht="25" customHeight="1">
      <c r="F215" s="53"/>
      <c r="H215" s="55" t="e">
        <f>tbl_MA[[#This Row],[Qty Complete]]/tbl_MA[[#This Row],[Qty Required]]</f>
        <v>#DIV/0!</v>
      </c>
      <c r="K215" s="57" t="str">
        <f>IFERROR(tbl_MA[[#This Row],[Qty Required]]/tbl_MA[[#This Row],[PPH]]*tbl_MA[[#This Row],['# of men]],"")</f>
        <v/>
      </c>
      <c r="L215" s="58" t="e">
        <f>tbl_MA[[#This Row],[Total hours]]*tbl_MA[[#This Row],[% Complete]]</f>
        <v>#VALUE!</v>
      </c>
      <c r="M215" s="59" t="str">
        <f>IFERROR(tbl_MA[[#This Row],[Qty Complete]]/tbl_MA[[#This Row],[Total Hours Act]]*tbl_MA[[#This Row],['# of men Act]],"")</f>
        <v/>
      </c>
      <c r="O215"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15" s="71" t="str">
        <f>IFERROR((tbl_MA[[#This Row],[Adj. Total Hours]]+tbl_MA[[#This Row],[Est. Hours]])/(tbl_MA[[#This Row],[Total Hours Act]]+tbl_MA[[#This Row],[Act. Hours]]),"")</f>
        <v/>
      </c>
      <c r="S215" s="63"/>
      <c r="T215" s="63"/>
      <c r="U215" s="63"/>
      <c r="V215" s="63"/>
      <c r="W215" s="63"/>
    </row>
    <row r="216" spans="6:23" ht="25" customHeight="1">
      <c r="F216" s="53"/>
      <c r="H216" s="55" t="e">
        <f>tbl_MA[[#This Row],[Qty Complete]]/tbl_MA[[#This Row],[Qty Required]]</f>
        <v>#DIV/0!</v>
      </c>
      <c r="K216" s="57" t="str">
        <f>IFERROR(tbl_MA[[#This Row],[Qty Required]]/tbl_MA[[#This Row],[PPH]]*tbl_MA[[#This Row],['# of men]],"")</f>
        <v/>
      </c>
      <c r="L216" s="58" t="e">
        <f>tbl_MA[[#This Row],[Total hours]]*tbl_MA[[#This Row],[% Complete]]</f>
        <v>#VALUE!</v>
      </c>
      <c r="M216" s="59" t="str">
        <f>IFERROR(tbl_MA[[#This Row],[Qty Complete]]/tbl_MA[[#This Row],[Total Hours Act]]*tbl_MA[[#This Row],['# of men Act]],"")</f>
        <v/>
      </c>
      <c r="O216"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16" s="71" t="str">
        <f>IFERROR((tbl_MA[[#This Row],[Adj. Total Hours]]+tbl_MA[[#This Row],[Est. Hours]])/(tbl_MA[[#This Row],[Total Hours Act]]+tbl_MA[[#This Row],[Act. Hours]]),"")</f>
        <v/>
      </c>
      <c r="S216" s="63"/>
      <c r="T216" s="63"/>
      <c r="U216" s="63"/>
      <c r="V216" s="63"/>
      <c r="W216" s="63"/>
    </row>
    <row r="217" spans="6:23" ht="25" customHeight="1">
      <c r="F217" s="53"/>
      <c r="H217" s="55" t="e">
        <f>tbl_MA[[#This Row],[Qty Complete]]/tbl_MA[[#This Row],[Qty Required]]</f>
        <v>#DIV/0!</v>
      </c>
      <c r="K217" s="57" t="str">
        <f>IFERROR(tbl_MA[[#This Row],[Qty Required]]/tbl_MA[[#This Row],[PPH]]*tbl_MA[[#This Row],['# of men]],"")</f>
        <v/>
      </c>
      <c r="L217" s="58" t="e">
        <f>tbl_MA[[#This Row],[Total hours]]*tbl_MA[[#This Row],[% Complete]]</f>
        <v>#VALUE!</v>
      </c>
      <c r="M217" s="59" t="str">
        <f>IFERROR(tbl_MA[[#This Row],[Qty Complete]]/tbl_MA[[#This Row],[Total Hours Act]]*tbl_MA[[#This Row],['# of men Act]],"")</f>
        <v/>
      </c>
      <c r="O217"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17" s="71" t="str">
        <f>IFERROR((tbl_MA[[#This Row],[Adj. Total Hours]]+tbl_MA[[#This Row],[Est. Hours]])/(tbl_MA[[#This Row],[Total Hours Act]]+tbl_MA[[#This Row],[Act. Hours]]),"")</f>
        <v/>
      </c>
      <c r="S217" s="63"/>
      <c r="T217" s="63"/>
      <c r="U217" s="63"/>
      <c r="V217" s="63"/>
      <c r="W217" s="63"/>
    </row>
    <row r="218" spans="6:23" ht="25" customHeight="1">
      <c r="F218" s="53"/>
      <c r="H218" s="55" t="e">
        <f>tbl_MA[[#This Row],[Qty Complete]]/tbl_MA[[#This Row],[Qty Required]]</f>
        <v>#DIV/0!</v>
      </c>
      <c r="K218" s="57" t="str">
        <f>IFERROR(tbl_MA[[#This Row],[Qty Required]]/tbl_MA[[#This Row],[PPH]]*tbl_MA[[#This Row],['# of men]],"")</f>
        <v/>
      </c>
      <c r="L218" s="58" t="e">
        <f>tbl_MA[[#This Row],[Total hours]]*tbl_MA[[#This Row],[% Complete]]</f>
        <v>#VALUE!</v>
      </c>
      <c r="M218" s="59" t="str">
        <f>IFERROR(tbl_MA[[#This Row],[Qty Complete]]/tbl_MA[[#This Row],[Total Hours Act]]*tbl_MA[[#This Row],['# of men Act]],"")</f>
        <v/>
      </c>
      <c r="O218"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18" s="71" t="str">
        <f>IFERROR((tbl_MA[[#This Row],[Adj. Total Hours]]+tbl_MA[[#This Row],[Est. Hours]])/(tbl_MA[[#This Row],[Total Hours Act]]+tbl_MA[[#This Row],[Act. Hours]]),"")</f>
        <v/>
      </c>
      <c r="S218" s="63"/>
      <c r="T218" s="63"/>
      <c r="U218" s="63"/>
      <c r="V218" s="63"/>
      <c r="W218" s="63"/>
    </row>
    <row r="219" spans="6:23" ht="25" customHeight="1">
      <c r="F219" s="53"/>
      <c r="H219" s="55" t="e">
        <f>tbl_MA[[#This Row],[Qty Complete]]/tbl_MA[[#This Row],[Qty Required]]</f>
        <v>#DIV/0!</v>
      </c>
      <c r="K219" s="57" t="str">
        <f>IFERROR(tbl_MA[[#This Row],[Qty Required]]/tbl_MA[[#This Row],[PPH]]*tbl_MA[[#This Row],['# of men]],"")</f>
        <v/>
      </c>
      <c r="L219" s="58" t="e">
        <f>tbl_MA[[#This Row],[Total hours]]*tbl_MA[[#This Row],[% Complete]]</f>
        <v>#VALUE!</v>
      </c>
      <c r="M219" s="59" t="str">
        <f>IFERROR(tbl_MA[[#This Row],[Qty Complete]]/tbl_MA[[#This Row],[Total Hours Act]]*tbl_MA[[#This Row],['# of men Act]],"")</f>
        <v/>
      </c>
      <c r="O219"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19" s="71" t="str">
        <f>IFERROR((tbl_MA[[#This Row],[Adj. Total Hours]]+tbl_MA[[#This Row],[Est. Hours]])/(tbl_MA[[#This Row],[Total Hours Act]]+tbl_MA[[#This Row],[Act. Hours]]),"")</f>
        <v/>
      </c>
      <c r="S219" s="63"/>
      <c r="T219" s="63"/>
      <c r="U219" s="63"/>
      <c r="V219" s="63"/>
      <c r="W219" s="63"/>
    </row>
    <row r="220" spans="6:23" ht="25" customHeight="1">
      <c r="F220" s="53"/>
      <c r="H220" s="55" t="e">
        <f>tbl_MA[[#This Row],[Qty Complete]]/tbl_MA[[#This Row],[Qty Required]]</f>
        <v>#DIV/0!</v>
      </c>
      <c r="K220" s="57" t="str">
        <f>IFERROR(tbl_MA[[#This Row],[Qty Required]]/tbl_MA[[#This Row],[PPH]]*tbl_MA[[#This Row],['# of men]],"")</f>
        <v/>
      </c>
      <c r="L220" s="58" t="e">
        <f>tbl_MA[[#This Row],[Total hours]]*tbl_MA[[#This Row],[% Complete]]</f>
        <v>#VALUE!</v>
      </c>
      <c r="M220" s="59" t="str">
        <f>IFERROR(tbl_MA[[#This Row],[Qty Complete]]/tbl_MA[[#This Row],[Total Hours Act]]*tbl_MA[[#This Row],['# of men Act]],"")</f>
        <v/>
      </c>
      <c r="O220"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20" s="71" t="str">
        <f>IFERROR((tbl_MA[[#This Row],[Adj. Total Hours]]+tbl_MA[[#This Row],[Est. Hours]])/(tbl_MA[[#This Row],[Total Hours Act]]+tbl_MA[[#This Row],[Act. Hours]]),"")</f>
        <v/>
      </c>
      <c r="S220" s="63"/>
      <c r="T220" s="63"/>
      <c r="U220" s="63"/>
      <c r="V220" s="63"/>
      <c r="W220" s="63"/>
    </row>
    <row r="221" spans="6:23" ht="25" customHeight="1">
      <c r="F221" s="53"/>
      <c r="H221" s="55" t="e">
        <f>tbl_MA[[#This Row],[Qty Complete]]/tbl_MA[[#This Row],[Qty Required]]</f>
        <v>#DIV/0!</v>
      </c>
      <c r="K221" s="57" t="str">
        <f>IFERROR(tbl_MA[[#This Row],[Qty Required]]/tbl_MA[[#This Row],[PPH]]*tbl_MA[[#This Row],['# of men]],"")</f>
        <v/>
      </c>
      <c r="L221" s="58" t="e">
        <f>tbl_MA[[#This Row],[Total hours]]*tbl_MA[[#This Row],[% Complete]]</f>
        <v>#VALUE!</v>
      </c>
      <c r="M221" s="59" t="str">
        <f>IFERROR(tbl_MA[[#This Row],[Qty Complete]]/tbl_MA[[#This Row],[Total Hours Act]]*tbl_MA[[#This Row],['# of men Act]],"")</f>
        <v/>
      </c>
      <c r="O221"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21" s="71" t="str">
        <f>IFERROR((tbl_MA[[#This Row],[Adj. Total Hours]]+tbl_MA[[#This Row],[Est. Hours]])/(tbl_MA[[#This Row],[Total Hours Act]]+tbl_MA[[#This Row],[Act. Hours]]),"")</f>
        <v/>
      </c>
      <c r="S221" s="63"/>
      <c r="T221" s="63"/>
      <c r="U221" s="63"/>
      <c r="V221" s="63"/>
      <c r="W221" s="63"/>
    </row>
    <row r="222" spans="6:23" ht="25" customHeight="1">
      <c r="F222" s="53"/>
      <c r="H222" s="55" t="e">
        <f>tbl_MA[[#This Row],[Qty Complete]]/tbl_MA[[#This Row],[Qty Required]]</f>
        <v>#DIV/0!</v>
      </c>
      <c r="K222" s="57" t="str">
        <f>IFERROR(tbl_MA[[#This Row],[Qty Required]]/tbl_MA[[#This Row],[PPH]]*tbl_MA[[#This Row],['# of men]],"")</f>
        <v/>
      </c>
      <c r="L222" s="58" t="e">
        <f>tbl_MA[[#This Row],[Total hours]]*tbl_MA[[#This Row],[% Complete]]</f>
        <v>#VALUE!</v>
      </c>
      <c r="M222" s="59" t="str">
        <f>IFERROR(tbl_MA[[#This Row],[Qty Complete]]/tbl_MA[[#This Row],[Total Hours Act]]*tbl_MA[[#This Row],['# of men Act]],"")</f>
        <v/>
      </c>
      <c r="O222"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22" s="71" t="str">
        <f>IFERROR((tbl_MA[[#This Row],[Adj. Total Hours]]+tbl_MA[[#This Row],[Est. Hours]])/(tbl_MA[[#This Row],[Total Hours Act]]+tbl_MA[[#This Row],[Act. Hours]]),"")</f>
        <v/>
      </c>
      <c r="S222" s="63"/>
      <c r="T222" s="63"/>
      <c r="U222" s="63"/>
      <c r="V222" s="63"/>
      <c r="W222" s="63"/>
    </row>
    <row r="223" spans="6:23" ht="25" customHeight="1">
      <c r="F223" s="53"/>
      <c r="H223" s="55" t="e">
        <f>tbl_MA[[#This Row],[Qty Complete]]/tbl_MA[[#This Row],[Qty Required]]</f>
        <v>#DIV/0!</v>
      </c>
      <c r="K223" s="57" t="str">
        <f>IFERROR(tbl_MA[[#This Row],[Qty Required]]/tbl_MA[[#This Row],[PPH]]*tbl_MA[[#This Row],['# of men]],"")</f>
        <v/>
      </c>
      <c r="L223" s="58" t="e">
        <f>tbl_MA[[#This Row],[Total hours]]*tbl_MA[[#This Row],[% Complete]]</f>
        <v>#VALUE!</v>
      </c>
      <c r="M223" s="59" t="str">
        <f>IFERROR(tbl_MA[[#This Row],[Qty Complete]]/tbl_MA[[#This Row],[Total Hours Act]]*tbl_MA[[#This Row],['# of men Act]],"")</f>
        <v/>
      </c>
      <c r="O223"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23" s="71" t="str">
        <f>IFERROR((tbl_MA[[#This Row],[Adj. Total Hours]]+tbl_MA[[#This Row],[Est. Hours]])/(tbl_MA[[#This Row],[Total Hours Act]]+tbl_MA[[#This Row],[Act. Hours]]),"")</f>
        <v/>
      </c>
      <c r="S223" s="63"/>
      <c r="T223" s="63"/>
      <c r="U223" s="63"/>
      <c r="V223" s="63"/>
      <c r="W223" s="63"/>
    </row>
    <row r="224" spans="6:23" ht="25" customHeight="1">
      <c r="F224" s="53"/>
      <c r="H224" s="55" t="e">
        <f>tbl_MA[[#This Row],[Qty Complete]]/tbl_MA[[#This Row],[Qty Required]]</f>
        <v>#DIV/0!</v>
      </c>
      <c r="K224" s="57" t="str">
        <f>IFERROR(tbl_MA[[#This Row],[Qty Required]]/tbl_MA[[#This Row],[PPH]]*tbl_MA[[#This Row],['# of men]],"")</f>
        <v/>
      </c>
      <c r="L224" s="58" t="e">
        <f>tbl_MA[[#This Row],[Total hours]]*tbl_MA[[#This Row],[% Complete]]</f>
        <v>#VALUE!</v>
      </c>
      <c r="M224" s="59" t="str">
        <f>IFERROR(tbl_MA[[#This Row],[Qty Complete]]/tbl_MA[[#This Row],[Total Hours Act]]*tbl_MA[[#This Row],['# of men Act]],"")</f>
        <v/>
      </c>
      <c r="O224"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24" s="71" t="str">
        <f>IFERROR((tbl_MA[[#This Row],[Adj. Total Hours]]+tbl_MA[[#This Row],[Est. Hours]])/(tbl_MA[[#This Row],[Total Hours Act]]+tbl_MA[[#This Row],[Act. Hours]]),"")</f>
        <v/>
      </c>
      <c r="S224" s="63"/>
      <c r="T224" s="63"/>
      <c r="U224" s="63"/>
      <c r="V224" s="63"/>
      <c r="W224" s="63"/>
    </row>
    <row r="225" spans="6:23" ht="25" customHeight="1">
      <c r="F225" s="53"/>
      <c r="H225" s="55" t="e">
        <f>tbl_MA[[#This Row],[Qty Complete]]/tbl_MA[[#This Row],[Qty Required]]</f>
        <v>#DIV/0!</v>
      </c>
      <c r="K225" s="57" t="str">
        <f>IFERROR(tbl_MA[[#This Row],[Qty Required]]/tbl_MA[[#This Row],[PPH]]*tbl_MA[[#This Row],['# of men]],"")</f>
        <v/>
      </c>
      <c r="L225" s="58" t="e">
        <f>tbl_MA[[#This Row],[Total hours]]*tbl_MA[[#This Row],[% Complete]]</f>
        <v>#VALUE!</v>
      </c>
      <c r="M225" s="59" t="str">
        <f>IFERROR(tbl_MA[[#This Row],[Qty Complete]]/tbl_MA[[#This Row],[Total Hours Act]]*tbl_MA[[#This Row],['# of men Act]],"")</f>
        <v/>
      </c>
      <c r="O225"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25" s="71" t="str">
        <f>IFERROR((tbl_MA[[#This Row],[Adj. Total Hours]]+tbl_MA[[#This Row],[Est. Hours]])/(tbl_MA[[#This Row],[Total Hours Act]]+tbl_MA[[#This Row],[Act. Hours]]),"")</f>
        <v/>
      </c>
      <c r="S225" s="63"/>
      <c r="T225" s="63"/>
      <c r="U225" s="63"/>
      <c r="V225" s="63"/>
      <c r="W225" s="63"/>
    </row>
    <row r="226" spans="6:23" ht="25" customHeight="1">
      <c r="F226" s="53"/>
      <c r="H226" s="55" t="e">
        <f>tbl_MA[[#This Row],[Qty Complete]]/tbl_MA[[#This Row],[Qty Required]]</f>
        <v>#DIV/0!</v>
      </c>
      <c r="K226" s="57" t="str">
        <f>IFERROR(tbl_MA[[#This Row],[Qty Required]]/tbl_MA[[#This Row],[PPH]]*tbl_MA[[#This Row],['# of men]],"")</f>
        <v/>
      </c>
      <c r="L226" s="58" t="e">
        <f>tbl_MA[[#This Row],[Total hours]]*tbl_MA[[#This Row],[% Complete]]</f>
        <v>#VALUE!</v>
      </c>
      <c r="M226" s="59" t="str">
        <f>IFERROR(tbl_MA[[#This Row],[Qty Complete]]/tbl_MA[[#This Row],[Total Hours Act]]*tbl_MA[[#This Row],['# of men Act]],"")</f>
        <v/>
      </c>
      <c r="O226"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26" s="71" t="str">
        <f>IFERROR((tbl_MA[[#This Row],[Adj. Total Hours]]+tbl_MA[[#This Row],[Est. Hours]])/(tbl_MA[[#This Row],[Total Hours Act]]+tbl_MA[[#This Row],[Act. Hours]]),"")</f>
        <v/>
      </c>
      <c r="S226" s="63"/>
      <c r="T226" s="63"/>
      <c r="U226" s="63"/>
      <c r="V226" s="63"/>
      <c r="W226" s="63"/>
    </row>
    <row r="227" spans="6:23" ht="25" customHeight="1">
      <c r="F227" s="53"/>
      <c r="H227" s="55" t="e">
        <f>tbl_MA[[#This Row],[Qty Complete]]/tbl_MA[[#This Row],[Qty Required]]</f>
        <v>#DIV/0!</v>
      </c>
      <c r="K227" s="57" t="str">
        <f>IFERROR(tbl_MA[[#This Row],[Qty Required]]/tbl_MA[[#This Row],[PPH]]*tbl_MA[[#This Row],['# of men]],"")</f>
        <v/>
      </c>
      <c r="L227" s="58" t="e">
        <f>tbl_MA[[#This Row],[Total hours]]*tbl_MA[[#This Row],[% Complete]]</f>
        <v>#VALUE!</v>
      </c>
      <c r="M227" s="59" t="str">
        <f>IFERROR(tbl_MA[[#This Row],[Qty Complete]]/tbl_MA[[#This Row],[Total Hours Act]]*tbl_MA[[#This Row],['# of men Act]],"")</f>
        <v/>
      </c>
      <c r="O227"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27" s="71" t="str">
        <f>IFERROR((tbl_MA[[#This Row],[Adj. Total Hours]]+tbl_MA[[#This Row],[Est. Hours]])/(tbl_MA[[#This Row],[Total Hours Act]]+tbl_MA[[#This Row],[Act. Hours]]),"")</f>
        <v/>
      </c>
      <c r="S227" s="63"/>
      <c r="T227" s="63"/>
      <c r="U227" s="63"/>
      <c r="V227" s="63"/>
      <c r="W227" s="63"/>
    </row>
    <row r="228" spans="6:23" ht="25" customHeight="1">
      <c r="F228" s="53"/>
      <c r="H228" s="55" t="e">
        <f>tbl_MA[[#This Row],[Qty Complete]]/tbl_MA[[#This Row],[Qty Required]]</f>
        <v>#DIV/0!</v>
      </c>
      <c r="K228" s="57" t="str">
        <f>IFERROR(tbl_MA[[#This Row],[Qty Required]]/tbl_MA[[#This Row],[PPH]]*tbl_MA[[#This Row],['# of men]],"")</f>
        <v/>
      </c>
      <c r="L228" s="58" t="e">
        <f>tbl_MA[[#This Row],[Total hours]]*tbl_MA[[#This Row],[% Complete]]</f>
        <v>#VALUE!</v>
      </c>
      <c r="M228" s="59" t="str">
        <f>IFERROR(tbl_MA[[#This Row],[Qty Complete]]/tbl_MA[[#This Row],[Total Hours Act]]*tbl_MA[[#This Row],['# of men Act]],"")</f>
        <v/>
      </c>
      <c r="O228"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28" s="71" t="str">
        <f>IFERROR((tbl_MA[[#This Row],[Adj. Total Hours]]+tbl_MA[[#This Row],[Est. Hours]])/(tbl_MA[[#This Row],[Total Hours Act]]+tbl_MA[[#This Row],[Act. Hours]]),"")</f>
        <v/>
      </c>
      <c r="S228" s="63"/>
      <c r="T228" s="63"/>
      <c r="U228" s="63"/>
      <c r="V228" s="63"/>
      <c r="W228" s="63"/>
    </row>
    <row r="229" spans="6:23" ht="25" customHeight="1">
      <c r="F229" s="53"/>
      <c r="H229" s="55" t="e">
        <f>tbl_MA[[#This Row],[Qty Complete]]/tbl_MA[[#This Row],[Qty Required]]</f>
        <v>#DIV/0!</v>
      </c>
      <c r="K229" s="57" t="str">
        <f>IFERROR(tbl_MA[[#This Row],[Qty Required]]/tbl_MA[[#This Row],[PPH]]*tbl_MA[[#This Row],['# of men]],"")</f>
        <v/>
      </c>
      <c r="L229" s="58" t="e">
        <f>tbl_MA[[#This Row],[Total hours]]*tbl_MA[[#This Row],[% Complete]]</f>
        <v>#VALUE!</v>
      </c>
      <c r="M229" s="59" t="str">
        <f>IFERROR(tbl_MA[[#This Row],[Qty Complete]]/tbl_MA[[#This Row],[Total Hours Act]]*tbl_MA[[#This Row],['# of men Act]],"")</f>
        <v/>
      </c>
      <c r="O229"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29" s="71" t="str">
        <f>IFERROR((tbl_MA[[#This Row],[Adj. Total Hours]]+tbl_MA[[#This Row],[Est. Hours]])/(tbl_MA[[#This Row],[Total Hours Act]]+tbl_MA[[#This Row],[Act. Hours]]),"")</f>
        <v/>
      </c>
      <c r="S229" s="63"/>
      <c r="T229" s="63"/>
      <c r="U229" s="63"/>
      <c r="V229" s="63"/>
      <c r="W229" s="63"/>
    </row>
    <row r="230" spans="6:23" ht="25" customHeight="1">
      <c r="F230" s="53"/>
      <c r="H230" s="55" t="e">
        <f>tbl_MA[[#This Row],[Qty Complete]]/tbl_MA[[#This Row],[Qty Required]]</f>
        <v>#DIV/0!</v>
      </c>
      <c r="K230" s="57" t="str">
        <f>IFERROR(tbl_MA[[#This Row],[Qty Required]]/tbl_MA[[#This Row],[PPH]]*tbl_MA[[#This Row],['# of men]],"")</f>
        <v/>
      </c>
      <c r="L230" s="58" t="e">
        <f>tbl_MA[[#This Row],[Total hours]]*tbl_MA[[#This Row],[% Complete]]</f>
        <v>#VALUE!</v>
      </c>
      <c r="M230" s="59" t="str">
        <f>IFERROR(tbl_MA[[#This Row],[Qty Complete]]/tbl_MA[[#This Row],[Total Hours Act]]*tbl_MA[[#This Row],['# of men Act]],"")</f>
        <v/>
      </c>
      <c r="O230"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30" s="71" t="str">
        <f>IFERROR((tbl_MA[[#This Row],[Adj. Total Hours]]+tbl_MA[[#This Row],[Est. Hours]])/(tbl_MA[[#This Row],[Total Hours Act]]+tbl_MA[[#This Row],[Act. Hours]]),"")</f>
        <v/>
      </c>
      <c r="S230" s="63"/>
      <c r="T230" s="63"/>
      <c r="U230" s="63"/>
      <c r="V230" s="63"/>
      <c r="W230" s="63"/>
    </row>
    <row r="231" spans="6:23" ht="25" customHeight="1">
      <c r="F231" s="53"/>
      <c r="H231" s="55" t="e">
        <f>tbl_MA[[#This Row],[Qty Complete]]/tbl_MA[[#This Row],[Qty Required]]</f>
        <v>#DIV/0!</v>
      </c>
      <c r="K231" s="57" t="str">
        <f>IFERROR(tbl_MA[[#This Row],[Qty Required]]/tbl_MA[[#This Row],[PPH]]*tbl_MA[[#This Row],['# of men]],"")</f>
        <v/>
      </c>
      <c r="L231" s="58" t="e">
        <f>tbl_MA[[#This Row],[Total hours]]*tbl_MA[[#This Row],[% Complete]]</f>
        <v>#VALUE!</v>
      </c>
      <c r="M231" s="59" t="str">
        <f>IFERROR(tbl_MA[[#This Row],[Qty Complete]]/tbl_MA[[#This Row],[Total Hours Act]]*tbl_MA[[#This Row],['# of men Act]],"")</f>
        <v/>
      </c>
      <c r="O231"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31" s="71" t="str">
        <f>IFERROR((tbl_MA[[#This Row],[Adj. Total Hours]]+tbl_MA[[#This Row],[Est. Hours]])/(tbl_MA[[#This Row],[Total Hours Act]]+tbl_MA[[#This Row],[Act. Hours]]),"")</f>
        <v/>
      </c>
      <c r="S231" s="63"/>
      <c r="T231" s="63"/>
      <c r="U231" s="63"/>
      <c r="V231" s="63"/>
      <c r="W231" s="63"/>
    </row>
    <row r="232" spans="6:23" ht="25" customHeight="1">
      <c r="F232" s="53"/>
      <c r="H232" s="55" t="e">
        <f>tbl_MA[[#This Row],[Qty Complete]]/tbl_MA[[#This Row],[Qty Required]]</f>
        <v>#DIV/0!</v>
      </c>
      <c r="K232" s="57" t="str">
        <f>IFERROR(tbl_MA[[#This Row],[Qty Required]]/tbl_MA[[#This Row],[PPH]]*tbl_MA[[#This Row],['# of men]],"")</f>
        <v/>
      </c>
      <c r="L232" s="58" t="e">
        <f>tbl_MA[[#This Row],[Total hours]]*tbl_MA[[#This Row],[% Complete]]</f>
        <v>#VALUE!</v>
      </c>
      <c r="M232" s="59" t="str">
        <f>IFERROR(tbl_MA[[#This Row],[Qty Complete]]/tbl_MA[[#This Row],[Total Hours Act]]*tbl_MA[[#This Row],['# of men Act]],"")</f>
        <v/>
      </c>
      <c r="O232"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32" s="71" t="str">
        <f>IFERROR((tbl_MA[[#This Row],[Adj. Total Hours]]+tbl_MA[[#This Row],[Est. Hours]])/(tbl_MA[[#This Row],[Total Hours Act]]+tbl_MA[[#This Row],[Act. Hours]]),"")</f>
        <v/>
      </c>
      <c r="S232" s="63"/>
      <c r="T232" s="63"/>
      <c r="U232" s="63"/>
      <c r="V232" s="63"/>
      <c r="W232" s="63"/>
    </row>
    <row r="233" spans="6:23" ht="25" customHeight="1">
      <c r="F233" s="53"/>
      <c r="H233" s="55" t="e">
        <f>tbl_MA[[#This Row],[Qty Complete]]/tbl_MA[[#This Row],[Qty Required]]</f>
        <v>#DIV/0!</v>
      </c>
      <c r="K233" s="57" t="str">
        <f>IFERROR(tbl_MA[[#This Row],[Qty Required]]/tbl_MA[[#This Row],[PPH]]*tbl_MA[[#This Row],['# of men]],"")</f>
        <v/>
      </c>
      <c r="L233" s="58" t="e">
        <f>tbl_MA[[#This Row],[Total hours]]*tbl_MA[[#This Row],[% Complete]]</f>
        <v>#VALUE!</v>
      </c>
      <c r="M233" s="59" t="str">
        <f>IFERROR(tbl_MA[[#This Row],[Qty Complete]]/tbl_MA[[#This Row],[Total Hours Act]]*tbl_MA[[#This Row],['# of men Act]],"")</f>
        <v/>
      </c>
      <c r="O233"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33" s="71" t="str">
        <f>IFERROR((tbl_MA[[#This Row],[Adj. Total Hours]]+tbl_MA[[#This Row],[Est. Hours]])/(tbl_MA[[#This Row],[Total Hours Act]]+tbl_MA[[#This Row],[Act. Hours]]),"")</f>
        <v/>
      </c>
      <c r="S233" s="63"/>
      <c r="T233" s="63"/>
      <c r="U233" s="63"/>
      <c r="V233" s="63"/>
      <c r="W233" s="63"/>
    </row>
    <row r="234" spans="6:23" ht="25" customHeight="1">
      <c r="F234" s="53"/>
      <c r="H234" s="55" t="e">
        <f>tbl_MA[[#This Row],[Qty Complete]]/tbl_MA[[#This Row],[Qty Required]]</f>
        <v>#DIV/0!</v>
      </c>
      <c r="K234" s="57" t="str">
        <f>IFERROR(tbl_MA[[#This Row],[Qty Required]]/tbl_MA[[#This Row],[PPH]]*tbl_MA[[#This Row],['# of men]],"")</f>
        <v/>
      </c>
      <c r="L234" s="58" t="e">
        <f>tbl_MA[[#This Row],[Total hours]]*tbl_MA[[#This Row],[% Complete]]</f>
        <v>#VALUE!</v>
      </c>
      <c r="M234" s="59" t="str">
        <f>IFERROR(tbl_MA[[#This Row],[Qty Complete]]/tbl_MA[[#This Row],[Total Hours Act]]*tbl_MA[[#This Row],['# of men Act]],"")</f>
        <v/>
      </c>
      <c r="O234"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34" s="71" t="str">
        <f>IFERROR((tbl_MA[[#This Row],[Adj. Total Hours]]+tbl_MA[[#This Row],[Est. Hours]])/(tbl_MA[[#This Row],[Total Hours Act]]+tbl_MA[[#This Row],[Act. Hours]]),"")</f>
        <v/>
      </c>
      <c r="S234" s="63"/>
      <c r="T234" s="63"/>
      <c r="U234" s="63"/>
      <c r="V234" s="63"/>
      <c r="W234" s="63"/>
    </row>
    <row r="235" spans="6:23" ht="25" customHeight="1">
      <c r="F235" s="53"/>
      <c r="H235" s="55" t="e">
        <f>tbl_MA[[#This Row],[Qty Complete]]/tbl_MA[[#This Row],[Qty Required]]</f>
        <v>#DIV/0!</v>
      </c>
      <c r="K235" s="57" t="str">
        <f>IFERROR(tbl_MA[[#This Row],[Qty Required]]/tbl_MA[[#This Row],[PPH]]*tbl_MA[[#This Row],['# of men]],"")</f>
        <v/>
      </c>
      <c r="L235" s="58" t="e">
        <f>tbl_MA[[#This Row],[Total hours]]*tbl_MA[[#This Row],[% Complete]]</f>
        <v>#VALUE!</v>
      </c>
      <c r="M235" s="59" t="str">
        <f>IFERROR(tbl_MA[[#This Row],[Qty Complete]]/tbl_MA[[#This Row],[Total Hours Act]]*tbl_MA[[#This Row],['# of men Act]],"")</f>
        <v/>
      </c>
      <c r="O235"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35" s="71" t="str">
        <f>IFERROR((tbl_MA[[#This Row],[Adj. Total Hours]]+tbl_MA[[#This Row],[Est. Hours]])/(tbl_MA[[#This Row],[Total Hours Act]]+tbl_MA[[#This Row],[Act. Hours]]),"")</f>
        <v/>
      </c>
      <c r="S235" s="63"/>
      <c r="T235" s="63"/>
      <c r="U235" s="63"/>
      <c r="V235" s="63"/>
      <c r="W235" s="63"/>
    </row>
    <row r="236" spans="6:23" ht="25" customHeight="1">
      <c r="F236" s="53"/>
      <c r="H236" s="55" t="e">
        <f>tbl_MA[[#This Row],[Qty Complete]]/tbl_MA[[#This Row],[Qty Required]]</f>
        <v>#DIV/0!</v>
      </c>
      <c r="K236" s="57" t="str">
        <f>IFERROR(tbl_MA[[#This Row],[Qty Required]]/tbl_MA[[#This Row],[PPH]]*tbl_MA[[#This Row],['# of men]],"")</f>
        <v/>
      </c>
      <c r="L236" s="58" t="e">
        <f>tbl_MA[[#This Row],[Total hours]]*tbl_MA[[#This Row],[% Complete]]</f>
        <v>#VALUE!</v>
      </c>
      <c r="M236" s="59" t="str">
        <f>IFERROR(tbl_MA[[#This Row],[Qty Complete]]/tbl_MA[[#This Row],[Total Hours Act]]*tbl_MA[[#This Row],['# of men Act]],"")</f>
        <v/>
      </c>
      <c r="O236"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36" s="71" t="str">
        <f>IFERROR((tbl_MA[[#This Row],[Adj. Total Hours]]+tbl_MA[[#This Row],[Est. Hours]])/(tbl_MA[[#This Row],[Total Hours Act]]+tbl_MA[[#This Row],[Act. Hours]]),"")</f>
        <v/>
      </c>
      <c r="S236" s="63"/>
      <c r="T236" s="63"/>
      <c r="U236" s="63"/>
      <c r="V236" s="63"/>
      <c r="W236" s="63"/>
    </row>
    <row r="237" spans="6:23" ht="25" customHeight="1">
      <c r="F237" s="53"/>
      <c r="H237" s="55" t="e">
        <f>tbl_MA[[#This Row],[Qty Complete]]/tbl_MA[[#This Row],[Qty Required]]</f>
        <v>#DIV/0!</v>
      </c>
      <c r="K237" s="57" t="str">
        <f>IFERROR(tbl_MA[[#This Row],[Qty Required]]/tbl_MA[[#This Row],[PPH]]*tbl_MA[[#This Row],['# of men]],"")</f>
        <v/>
      </c>
      <c r="L237" s="58" t="e">
        <f>tbl_MA[[#This Row],[Total hours]]*tbl_MA[[#This Row],[% Complete]]</f>
        <v>#VALUE!</v>
      </c>
      <c r="M237" s="59" t="str">
        <f>IFERROR(tbl_MA[[#This Row],[Qty Complete]]/tbl_MA[[#This Row],[Total Hours Act]]*tbl_MA[[#This Row],['# of men Act]],"")</f>
        <v/>
      </c>
      <c r="O237"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37" s="71" t="str">
        <f>IFERROR((tbl_MA[[#This Row],[Adj. Total Hours]]+tbl_MA[[#This Row],[Est. Hours]])/(tbl_MA[[#This Row],[Total Hours Act]]+tbl_MA[[#This Row],[Act. Hours]]),"")</f>
        <v/>
      </c>
      <c r="S237" s="63"/>
      <c r="T237" s="63"/>
      <c r="U237" s="63"/>
      <c r="V237" s="63"/>
      <c r="W237" s="63"/>
    </row>
    <row r="238" spans="6:23" ht="25" customHeight="1">
      <c r="F238" s="53"/>
      <c r="H238" s="55" t="e">
        <f>tbl_MA[[#This Row],[Qty Complete]]/tbl_MA[[#This Row],[Qty Required]]</f>
        <v>#DIV/0!</v>
      </c>
      <c r="K238" s="57" t="str">
        <f>IFERROR(tbl_MA[[#This Row],[Qty Required]]/tbl_MA[[#This Row],[PPH]]*tbl_MA[[#This Row],['# of men]],"")</f>
        <v/>
      </c>
      <c r="L238" s="58" t="e">
        <f>tbl_MA[[#This Row],[Total hours]]*tbl_MA[[#This Row],[% Complete]]</f>
        <v>#VALUE!</v>
      </c>
      <c r="M238" s="59" t="str">
        <f>IFERROR(tbl_MA[[#This Row],[Qty Complete]]/tbl_MA[[#This Row],[Total Hours Act]]*tbl_MA[[#This Row],['# of men Act]],"")</f>
        <v/>
      </c>
      <c r="O238"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38" s="71" t="str">
        <f>IFERROR((tbl_MA[[#This Row],[Adj. Total Hours]]+tbl_MA[[#This Row],[Est. Hours]])/(tbl_MA[[#This Row],[Total Hours Act]]+tbl_MA[[#This Row],[Act. Hours]]),"")</f>
        <v/>
      </c>
      <c r="S238" s="63"/>
      <c r="T238" s="63"/>
      <c r="U238" s="63"/>
      <c r="V238" s="63"/>
      <c r="W238" s="63"/>
    </row>
    <row r="239" spans="6:23" ht="25" customHeight="1">
      <c r="F239" s="53"/>
      <c r="H239" s="55" t="e">
        <f>tbl_MA[[#This Row],[Qty Complete]]/tbl_MA[[#This Row],[Qty Required]]</f>
        <v>#DIV/0!</v>
      </c>
      <c r="K239" s="57" t="str">
        <f>IFERROR(tbl_MA[[#This Row],[Qty Required]]/tbl_MA[[#This Row],[PPH]]*tbl_MA[[#This Row],['# of men]],"")</f>
        <v/>
      </c>
      <c r="L239" s="58" t="e">
        <f>tbl_MA[[#This Row],[Total hours]]*tbl_MA[[#This Row],[% Complete]]</f>
        <v>#VALUE!</v>
      </c>
      <c r="M239" s="59" t="str">
        <f>IFERROR(tbl_MA[[#This Row],[Qty Complete]]/tbl_MA[[#This Row],[Total Hours Act]]*tbl_MA[[#This Row],['# of men Act]],"")</f>
        <v/>
      </c>
      <c r="O239"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39" s="71" t="str">
        <f>IFERROR((tbl_MA[[#This Row],[Adj. Total Hours]]+tbl_MA[[#This Row],[Est. Hours]])/(tbl_MA[[#This Row],[Total Hours Act]]+tbl_MA[[#This Row],[Act. Hours]]),"")</f>
        <v/>
      </c>
      <c r="S239" s="63"/>
      <c r="T239" s="63"/>
      <c r="U239" s="63"/>
      <c r="V239" s="63"/>
      <c r="W239" s="63"/>
    </row>
    <row r="240" spans="6:23" ht="25" customHeight="1">
      <c r="F240" s="53"/>
      <c r="H240" s="55" t="e">
        <f>tbl_MA[[#This Row],[Qty Complete]]/tbl_MA[[#This Row],[Qty Required]]</f>
        <v>#DIV/0!</v>
      </c>
      <c r="K240" s="57" t="str">
        <f>IFERROR(tbl_MA[[#This Row],[Qty Required]]/tbl_MA[[#This Row],[PPH]]*tbl_MA[[#This Row],['# of men]],"")</f>
        <v/>
      </c>
      <c r="L240" s="58" t="e">
        <f>tbl_MA[[#This Row],[Total hours]]*tbl_MA[[#This Row],[% Complete]]</f>
        <v>#VALUE!</v>
      </c>
      <c r="M240" s="59" t="str">
        <f>IFERROR(tbl_MA[[#This Row],[Qty Complete]]/tbl_MA[[#This Row],[Total Hours Act]]*tbl_MA[[#This Row],['# of men Act]],"")</f>
        <v/>
      </c>
      <c r="O240"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40" s="71" t="str">
        <f>IFERROR((tbl_MA[[#This Row],[Adj. Total Hours]]+tbl_MA[[#This Row],[Est. Hours]])/(tbl_MA[[#This Row],[Total Hours Act]]+tbl_MA[[#This Row],[Act. Hours]]),"")</f>
        <v/>
      </c>
      <c r="S240" s="63"/>
      <c r="T240" s="63"/>
      <c r="U240" s="63"/>
      <c r="V240" s="63"/>
      <c r="W240" s="63"/>
    </row>
    <row r="241" spans="6:23" ht="25" customHeight="1">
      <c r="F241" s="53"/>
      <c r="H241" s="55" t="e">
        <f>tbl_MA[[#This Row],[Qty Complete]]/tbl_MA[[#This Row],[Qty Required]]</f>
        <v>#DIV/0!</v>
      </c>
      <c r="K241" s="57" t="str">
        <f>IFERROR(tbl_MA[[#This Row],[Qty Required]]/tbl_MA[[#This Row],[PPH]]*tbl_MA[[#This Row],['# of men]],"")</f>
        <v/>
      </c>
      <c r="L241" s="58" t="e">
        <f>tbl_MA[[#This Row],[Total hours]]*tbl_MA[[#This Row],[% Complete]]</f>
        <v>#VALUE!</v>
      </c>
      <c r="M241" s="59" t="str">
        <f>IFERROR(tbl_MA[[#This Row],[Qty Complete]]/tbl_MA[[#This Row],[Total Hours Act]]*tbl_MA[[#This Row],['# of men Act]],"")</f>
        <v/>
      </c>
      <c r="O241"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41" s="71" t="str">
        <f>IFERROR((tbl_MA[[#This Row],[Adj. Total Hours]]+tbl_MA[[#This Row],[Est. Hours]])/(tbl_MA[[#This Row],[Total Hours Act]]+tbl_MA[[#This Row],[Act. Hours]]),"")</f>
        <v/>
      </c>
      <c r="S241" s="63"/>
      <c r="T241" s="63"/>
      <c r="U241" s="63"/>
      <c r="V241" s="63"/>
      <c r="W241" s="63"/>
    </row>
    <row r="242" spans="6:23" ht="25" customHeight="1">
      <c r="F242" s="53"/>
      <c r="H242" s="55" t="e">
        <f>tbl_MA[[#This Row],[Qty Complete]]/tbl_MA[[#This Row],[Qty Required]]</f>
        <v>#DIV/0!</v>
      </c>
      <c r="K242" s="57" t="str">
        <f>IFERROR(tbl_MA[[#This Row],[Qty Required]]/tbl_MA[[#This Row],[PPH]]*tbl_MA[[#This Row],['# of men]],"")</f>
        <v/>
      </c>
      <c r="L242" s="58" t="e">
        <f>tbl_MA[[#This Row],[Total hours]]*tbl_MA[[#This Row],[% Complete]]</f>
        <v>#VALUE!</v>
      </c>
      <c r="M242" s="59" t="str">
        <f>IFERROR(tbl_MA[[#This Row],[Qty Complete]]/tbl_MA[[#This Row],[Total Hours Act]]*tbl_MA[[#This Row],['# of men Act]],"")</f>
        <v/>
      </c>
      <c r="O242"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42" s="71" t="str">
        <f>IFERROR((tbl_MA[[#This Row],[Adj. Total Hours]]+tbl_MA[[#This Row],[Est. Hours]])/(tbl_MA[[#This Row],[Total Hours Act]]+tbl_MA[[#This Row],[Act. Hours]]),"")</f>
        <v/>
      </c>
      <c r="S242" s="63"/>
      <c r="T242" s="63"/>
      <c r="U242" s="63"/>
      <c r="V242" s="63"/>
      <c r="W242" s="63"/>
    </row>
    <row r="243" spans="6:23" ht="25" customHeight="1">
      <c r="F243" s="53"/>
      <c r="H243" s="55" t="e">
        <f>tbl_MA[[#This Row],[Qty Complete]]/tbl_MA[[#This Row],[Qty Required]]</f>
        <v>#DIV/0!</v>
      </c>
      <c r="K243" s="57" t="str">
        <f>IFERROR(tbl_MA[[#This Row],[Qty Required]]/tbl_MA[[#This Row],[PPH]]*tbl_MA[[#This Row],['# of men]],"")</f>
        <v/>
      </c>
      <c r="L243" s="58" t="e">
        <f>tbl_MA[[#This Row],[Total hours]]*tbl_MA[[#This Row],[% Complete]]</f>
        <v>#VALUE!</v>
      </c>
      <c r="M243" s="59" t="str">
        <f>IFERROR(tbl_MA[[#This Row],[Qty Complete]]/tbl_MA[[#This Row],[Total Hours Act]]*tbl_MA[[#This Row],['# of men Act]],"")</f>
        <v/>
      </c>
      <c r="O243"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43" s="71" t="str">
        <f>IFERROR((tbl_MA[[#This Row],[Adj. Total Hours]]+tbl_MA[[#This Row],[Est. Hours]])/(tbl_MA[[#This Row],[Total Hours Act]]+tbl_MA[[#This Row],[Act. Hours]]),"")</f>
        <v/>
      </c>
      <c r="S243" s="63"/>
      <c r="T243" s="63"/>
      <c r="U243" s="63"/>
      <c r="V243" s="63"/>
      <c r="W243" s="63"/>
    </row>
    <row r="244" spans="6:23" ht="25" customHeight="1">
      <c r="F244" s="53"/>
      <c r="H244" s="55" t="e">
        <f>tbl_MA[[#This Row],[Qty Complete]]/tbl_MA[[#This Row],[Qty Required]]</f>
        <v>#DIV/0!</v>
      </c>
      <c r="K244" s="57" t="str">
        <f>IFERROR(tbl_MA[[#This Row],[Qty Required]]/tbl_MA[[#This Row],[PPH]]*tbl_MA[[#This Row],['# of men]],"")</f>
        <v/>
      </c>
      <c r="L244" s="58" t="e">
        <f>tbl_MA[[#This Row],[Total hours]]*tbl_MA[[#This Row],[% Complete]]</f>
        <v>#VALUE!</v>
      </c>
      <c r="M244" s="59" t="str">
        <f>IFERROR(tbl_MA[[#This Row],[Qty Complete]]/tbl_MA[[#This Row],[Total Hours Act]]*tbl_MA[[#This Row],['# of men Act]],"")</f>
        <v/>
      </c>
      <c r="O244"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44" s="71" t="str">
        <f>IFERROR((tbl_MA[[#This Row],[Adj. Total Hours]]+tbl_MA[[#This Row],[Est. Hours]])/(tbl_MA[[#This Row],[Total Hours Act]]+tbl_MA[[#This Row],[Act. Hours]]),"")</f>
        <v/>
      </c>
      <c r="S244" s="63"/>
      <c r="T244" s="63"/>
      <c r="U244" s="63"/>
      <c r="V244" s="63"/>
      <c r="W244" s="63"/>
    </row>
    <row r="245" spans="6:23" ht="25" customHeight="1">
      <c r="F245" s="53"/>
      <c r="H245" s="55" t="e">
        <f>tbl_MA[[#This Row],[Qty Complete]]/tbl_MA[[#This Row],[Qty Required]]</f>
        <v>#DIV/0!</v>
      </c>
      <c r="K245" s="57" t="str">
        <f>IFERROR(tbl_MA[[#This Row],[Qty Required]]/tbl_MA[[#This Row],[PPH]]*tbl_MA[[#This Row],['# of men]],"")</f>
        <v/>
      </c>
      <c r="L245" s="58" t="e">
        <f>tbl_MA[[#This Row],[Total hours]]*tbl_MA[[#This Row],[% Complete]]</f>
        <v>#VALUE!</v>
      </c>
      <c r="M245" s="59" t="str">
        <f>IFERROR(tbl_MA[[#This Row],[Qty Complete]]/tbl_MA[[#This Row],[Total Hours Act]]*tbl_MA[[#This Row],['# of men Act]],"")</f>
        <v/>
      </c>
      <c r="O245"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45" s="71" t="str">
        <f>IFERROR((tbl_MA[[#This Row],[Adj. Total Hours]]+tbl_MA[[#This Row],[Est. Hours]])/(tbl_MA[[#This Row],[Total Hours Act]]+tbl_MA[[#This Row],[Act. Hours]]),"")</f>
        <v/>
      </c>
      <c r="S245" s="63"/>
      <c r="T245" s="63"/>
      <c r="U245" s="63"/>
      <c r="V245" s="63"/>
      <c r="W245" s="63"/>
    </row>
    <row r="246" spans="6:23" ht="25" customHeight="1">
      <c r="F246" s="53"/>
      <c r="H246" s="55" t="e">
        <f>tbl_MA[[#This Row],[Qty Complete]]/tbl_MA[[#This Row],[Qty Required]]</f>
        <v>#DIV/0!</v>
      </c>
      <c r="K246" s="57" t="str">
        <f>IFERROR(tbl_MA[[#This Row],[Qty Required]]/tbl_MA[[#This Row],[PPH]]*tbl_MA[[#This Row],['# of men]],"")</f>
        <v/>
      </c>
      <c r="L246" s="58" t="e">
        <f>tbl_MA[[#This Row],[Total hours]]*tbl_MA[[#This Row],[% Complete]]</f>
        <v>#VALUE!</v>
      </c>
      <c r="M246" s="59" t="str">
        <f>IFERROR(tbl_MA[[#This Row],[Qty Complete]]/tbl_MA[[#This Row],[Total Hours Act]]*tbl_MA[[#This Row],['# of men Act]],"")</f>
        <v/>
      </c>
      <c r="O246"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46" s="71" t="str">
        <f>IFERROR((tbl_MA[[#This Row],[Adj. Total Hours]]+tbl_MA[[#This Row],[Est. Hours]])/(tbl_MA[[#This Row],[Total Hours Act]]+tbl_MA[[#This Row],[Act. Hours]]),"")</f>
        <v/>
      </c>
      <c r="S246" s="63"/>
      <c r="T246" s="63"/>
      <c r="U246" s="63"/>
      <c r="V246" s="63"/>
      <c r="W246" s="63"/>
    </row>
    <row r="247" spans="6:23" ht="25" customHeight="1">
      <c r="F247" s="53"/>
      <c r="H247" s="55" t="e">
        <f>tbl_MA[[#This Row],[Qty Complete]]/tbl_MA[[#This Row],[Qty Required]]</f>
        <v>#DIV/0!</v>
      </c>
      <c r="K247" s="57" t="str">
        <f>IFERROR(tbl_MA[[#This Row],[Qty Required]]/tbl_MA[[#This Row],[PPH]]*tbl_MA[[#This Row],['# of men]],"")</f>
        <v/>
      </c>
      <c r="L247" s="58" t="e">
        <f>tbl_MA[[#This Row],[Total hours]]*tbl_MA[[#This Row],[% Complete]]</f>
        <v>#VALUE!</v>
      </c>
      <c r="M247" s="59" t="str">
        <f>IFERROR(tbl_MA[[#This Row],[Qty Complete]]/tbl_MA[[#This Row],[Total Hours Act]]*tbl_MA[[#This Row],['# of men Act]],"")</f>
        <v/>
      </c>
      <c r="O247"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47" s="71" t="str">
        <f>IFERROR((tbl_MA[[#This Row],[Adj. Total Hours]]+tbl_MA[[#This Row],[Est. Hours]])/(tbl_MA[[#This Row],[Total Hours Act]]+tbl_MA[[#This Row],[Act. Hours]]),"")</f>
        <v/>
      </c>
      <c r="S247" s="63"/>
      <c r="T247" s="63"/>
      <c r="U247" s="63"/>
      <c r="V247" s="63"/>
      <c r="W247" s="63"/>
    </row>
    <row r="248" spans="6:23" ht="25" customHeight="1">
      <c r="F248" s="53"/>
      <c r="H248" s="55" t="e">
        <f>tbl_MA[[#This Row],[Qty Complete]]/tbl_MA[[#This Row],[Qty Required]]</f>
        <v>#DIV/0!</v>
      </c>
      <c r="K248" s="57" t="str">
        <f>IFERROR(tbl_MA[[#This Row],[Qty Required]]/tbl_MA[[#This Row],[PPH]]*tbl_MA[[#This Row],['# of men]],"")</f>
        <v/>
      </c>
      <c r="L248" s="58" t="e">
        <f>tbl_MA[[#This Row],[Total hours]]*tbl_MA[[#This Row],[% Complete]]</f>
        <v>#VALUE!</v>
      </c>
      <c r="M248" s="59" t="str">
        <f>IFERROR(tbl_MA[[#This Row],[Qty Complete]]/tbl_MA[[#This Row],[Total Hours Act]]*tbl_MA[[#This Row],['# of men Act]],"")</f>
        <v/>
      </c>
      <c r="O248"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48" s="71" t="str">
        <f>IFERROR((tbl_MA[[#This Row],[Adj. Total Hours]]+tbl_MA[[#This Row],[Est. Hours]])/(tbl_MA[[#This Row],[Total Hours Act]]+tbl_MA[[#This Row],[Act. Hours]]),"")</f>
        <v/>
      </c>
      <c r="S248" s="63"/>
      <c r="T248" s="63"/>
      <c r="U248" s="63"/>
      <c r="V248" s="63"/>
      <c r="W248" s="63"/>
    </row>
    <row r="249" spans="6:23" ht="25" customHeight="1">
      <c r="F249" s="53"/>
      <c r="H249" s="55" t="e">
        <f>tbl_MA[[#This Row],[Qty Complete]]/tbl_MA[[#This Row],[Qty Required]]</f>
        <v>#DIV/0!</v>
      </c>
      <c r="K249" s="57" t="str">
        <f>IFERROR(tbl_MA[[#This Row],[Qty Required]]/tbl_MA[[#This Row],[PPH]]*tbl_MA[[#This Row],['# of men]],"")</f>
        <v/>
      </c>
      <c r="L249" s="58" t="e">
        <f>tbl_MA[[#This Row],[Total hours]]*tbl_MA[[#This Row],[% Complete]]</f>
        <v>#VALUE!</v>
      </c>
      <c r="M249" s="59" t="str">
        <f>IFERROR(tbl_MA[[#This Row],[Qty Complete]]/tbl_MA[[#This Row],[Total Hours Act]]*tbl_MA[[#This Row],['# of men Act]],"")</f>
        <v/>
      </c>
      <c r="O249"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49" s="71" t="str">
        <f>IFERROR((tbl_MA[[#This Row],[Adj. Total Hours]]+tbl_MA[[#This Row],[Est. Hours]])/(tbl_MA[[#This Row],[Total Hours Act]]+tbl_MA[[#This Row],[Act. Hours]]),"")</f>
        <v/>
      </c>
      <c r="S249" s="63"/>
      <c r="T249" s="63"/>
      <c r="U249" s="63"/>
      <c r="V249" s="63"/>
      <c r="W249" s="63"/>
    </row>
    <row r="250" spans="6:23" ht="25" customHeight="1">
      <c r="F250" s="53"/>
      <c r="H250" s="55" t="e">
        <f>tbl_MA[[#This Row],[Qty Complete]]/tbl_MA[[#This Row],[Qty Required]]</f>
        <v>#DIV/0!</v>
      </c>
      <c r="K250" s="57" t="str">
        <f>IFERROR(tbl_MA[[#This Row],[Qty Required]]/tbl_MA[[#This Row],[PPH]]*tbl_MA[[#This Row],['# of men]],"")</f>
        <v/>
      </c>
      <c r="L250" s="58" t="e">
        <f>tbl_MA[[#This Row],[Total hours]]*tbl_MA[[#This Row],[% Complete]]</f>
        <v>#VALUE!</v>
      </c>
      <c r="M250" s="59" t="str">
        <f>IFERROR(tbl_MA[[#This Row],[Qty Complete]]/tbl_MA[[#This Row],[Total Hours Act]]*tbl_MA[[#This Row],['# of men Act]],"")</f>
        <v/>
      </c>
      <c r="O250" s="60">
        <f>(MOD(tbl_MA[[#This Row],[End Time]]-tbl_MA[[#This Row],[Start Time]],1)*24*tbl_MA[[#This Row],['# of men Act]])-
(
IF(AND(tbl_MA[[#This Row],[Start Time]]&lt;=Data!$B$2+(Data!$B$2&lt;tbl_MA[[#This Row],[Start Time]]),tbl_MA[[#This Row],[Start Time]]+MOD(tbl_MA[[#This Row],[End Time]]-tbl_MA[[#This Row],[Start Time]],1)&gt;=Data!$C$2+(Data!$C$2&lt;tbl_MA[[#This Row],[Start Time]])),0.5*tbl_MA[[#This Row],['# of men Act]],0)
+
IF(AND(tbl_MA[[#This Row],[Start Time]]&lt;=Data!$B$3+(Data!$B$3&lt;tbl_MA[[#This Row],[Start Time]]),tbl_MA[[#This Row],[Start Time]]+MOD(tbl_MA[[#This Row],[End Time]]-tbl_MA[[#This Row],[Start Time]],1)&gt;=Data!$C$3+(Data!$C$3&lt;tbl_MA[[#This Row],[Start Time]])),0.5*tbl_MA[[#This Row],['# of men Act]],0)
)</f>
        <v>0</v>
      </c>
      <c r="R250" s="71" t="str">
        <f>IFERROR((tbl_MA[[#This Row],[Adj. Total Hours]]+tbl_MA[[#This Row],[Est. Hours]])/(tbl_MA[[#This Row],[Total Hours Act]]+tbl_MA[[#This Row],[Act. Hours]]),"")</f>
        <v/>
      </c>
      <c r="S250" s="63"/>
      <c r="T250" s="63"/>
      <c r="U250" s="63"/>
      <c r="V250" s="63"/>
      <c r="W250" s="63"/>
    </row>
  </sheetData>
  <sheetProtection sheet="1" objects="1" scenarios="1"/>
  <protectedRanges>
    <protectedRange sqref="A1:G1048576 I1:J1048576 N1:N1048576 P1:Q1048576 S1:W1048576" name="Range1"/>
  </protectedRanges>
  <mergeCells count="1">
    <mergeCell ref="P1:Q1"/>
  </mergeCells>
  <conditionalFormatting sqref="R3:R3852">
    <cfRule type="expression" dxfId="5" priority="1">
      <formula>AND(R3&gt;0.85,R3&lt;&gt;"")</formula>
    </cfRule>
    <cfRule type="expression" dxfId="4" priority="2">
      <formula>AND(R3&gt;=0.7,R3&lt;=0.85,R3&lt;&gt;"")</formula>
    </cfRule>
    <cfRule type="expression" dxfId="3" priority="3">
      <formula>AND(R3&lt;0.7,R3&lt;&gt;"")</formula>
    </cfRule>
  </conditionalFormatting>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B5505-A22A-4E21-AAB7-A852CDCC5790}">
  <dimension ref="A1:W250"/>
  <sheetViews>
    <sheetView workbookViewId="0">
      <pane ySplit="2" topLeftCell="A3" activePane="bottomLeft" state="frozen"/>
      <selection pane="bottomLeft" activeCell="A6" sqref="A6"/>
    </sheetView>
  </sheetViews>
  <sheetFormatPr defaultColWidth="9.1796875" defaultRowHeight="25" customHeight="1"/>
  <cols>
    <col min="1" max="1" width="11.54296875" style="52" customWidth="1"/>
    <col min="2" max="2" width="13.1796875" style="53" customWidth="1"/>
    <col min="3" max="3" width="14.1796875" style="53" customWidth="1"/>
    <col min="4" max="4" width="15.54296875" style="54" bestFit="1" customWidth="1"/>
    <col min="5" max="5" width="14.7265625" style="54" bestFit="1" customWidth="1"/>
    <col min="6" max="6" width="18.26953125" style="54" bestFit="1" customWidth="1"/>
    <col min="7" max="7" width="19" style="53" bestFit="1" customWidth="1"/>
    <col min="8" max="8" width="19" style="53" hidden="1" customWidth="1"/>
    <col min="9" max="9" width="10.1796875" style="56" bestFit="1" customWidth="1"/>
    <col min="10" max="10" width="14" style="53" bestFit="1" customWidth="1"/>
    <col min="11" max="11" width="16.453125" style="66" bestFit="1" customWidth="1"/>
    <col min="12" max="12" width="16.453125" style="47" hidden="1" customWidth="1"/>
    <col min="13" max="13" width="13.453125" style="67" bestFit="1" customWidth="1"/>
    <col min="14" max="14" width="17.26953125" style="53" bestFit="1" customWidth="1"/>
    <col min="15" max="15" width="20.1796875" style="68" bestFit="1" customWidth="1"/>
    <col min="16" max="17" width="15.7265625" style="61" bestFit="1" customWidth="1"/>
    <col min="18" max="18" width="15.1796875" style="69" bestFit="1" customWidth="1"/>
    <col min="19" max="19" width="55.26953125" style="53" customWidth="1"/>
    <col min="20" max="23" width="16.81640625" style="53" bestFit="1" customWidth="1"/>
    <col min="24" max="16384" width="9.1796875" style="47"/>
  </cols>
  <sheetData>
    <row r="1" spans="1:23" ht="47.25" customHeight="1" thickBot="1">
      <c r="A1" s="8"/>
      <c r="B1" s="7"/>
      <c r="C1" s="7"/>
      <c r="D1" s="9"/>
      <c r="E1" s="9"/>
      <c r="F1" s="9"/>
      <c r="G1" s="7"/>
      <c r="H1" s="7"/>
      <c r="I1" s="13"/>
      <c r="J1" s="40" t="s">
        <v>0</v>
      </c>
      <c r="K1" s="46"/>
      <c r="L1" s="46"/>
      <c r="M1" s="4"/>
      <c r="N1" s="41" t="s">
        <v>1</v>
      </c>
      <c r="O1" s="5"/>
      <c r="P1" s="113" t="s">
        <v>2</v>
      </c>
      <c r="Q1" s="114"/>
      <c r="R1" s="39" t="s">
        <v>3</v>
      </c>
      <c r="S1" s="7"/>
      <c r="T1" s="7"/>
      <c r="U1" s="7"/>
      <c r="V1" s="7"/>
      <c r="W1" s="7"/>
    </row>
    <row r="2" spans="1:23" ht="17.5" thickTop="1">
      <c r="A2" s="10" t="s">
        <v>4</v>
      </c>
      <c r="B2" s="6" t="s">
        <v>5</v>
      </c>
      <c r="C2" s="6" t="s">
        <v>7</v>
      </c>
      <c r="D2" s="11" t="s">
        <v>8</v>
      </c>
      <c r="E2" s="11" t="s">
        <v>9</v>
      </c>
      <c r="F2" s="11" t="s">
        <v>10</v>
      </c>
      <c r="G2" s="6" t="s">
        <v>11</v>
      </c>
      <c r="H2" s="48" t="s">
        <v>12</v>
      </c>
      <c r="I2" s="12" t="s">
        <v>13</v>
      </c>
      <c r="J2" s="6" t="s">
        <v>14</v>
      </c>
      <c r="K2" s="49" t="s">
        <v>15</v>
      </c>
      <c r="L2" s="50" t="s">
        <v>16</v>
      </c>
      <c r="M2" s="2" t="s">
        <v>21</v>
      </c>
      <c r="N2" s="6" t="s">
        <v>22</v>
      </c>
      <c r="O2" s="3" t="s">
        <v>23</v>
      </c>
      <c r="P2" s="25" t="s">
        <v>25</v>
      </c>
      <c r="Q2" s="25" t="s">
        <v>26</v>
      </c>
      <c r="R2" s="51" t="s">
        <v>27</v>
      </c>
      <c r="S2" s="6" t="s">
        <v>31</v>
      </c>
      <c r="T2" s="6" t="s">
        <v>32</v>
      </c>
      <c r="U2" s="6" t="s">
        <v>33</v>
      </c>
      <c r="V2" s="6" t="s">
        <v>34</v>
      </c>
      <c r="W2" s="6" t="s">
        <v>35</v>
      </c>
    </row>
    <row r="3" spans="1:23" ht="25" customHeight="1">
      <c r="A3" s="52">
        <v>46120</v>
      </c>
      <c r="B3" s="53" t="s">
        <v>602</v>
      </c>
      <c r="C3" s="53" t="s">
        <v>603</v>
      </c>
      <c r="D3" s="54">
        <v>0.20833333333333334</v>
      </c>
      <c r="E3" s="54">
        <v>0.6875</v>
      </c>
      <c r="F3" s="53">
        <v>400</v>
      </c>
      <c r="G3" s="53">
        <v>75</v>
      </c>
      <c r="H3" s="55">
        <f>tbl_RW[[#This Row],[Qty Complete]]/tbl_RW[[#This Row],[Qty Required]]</f>
        <v>0.1875</v>
      </c>
      <c r="I3" s="56">
        <v>7.5</v>
      </c>
      <c r="J3" s="53">
        <v>2</v>
      </c>
      <c r="K3" s="57">
        <f>IFERROR(tbl_RW[[#This Row],[Qty Required]]/tbl_RW[[#This Row],[PPH]]*tbl_RW[[#This Row],['# of men]],"")</f>
        <v>106.66666666666667</v>
      </c>
      <c r="L3" s="58">
        <f>tbl_RW[[#This Row],[Total hours]]*tbl_RW[[#This Row],[% Complete]]</f>
        <v>20</v>
      </c>
      <c r="M3" s="59">
        <f>IFERROR(tbl_RW[[#This Row],[Qty Complete]]/tbl_RW[[#This Row],[Total Hours Act]]*tbl_RW[[#This Row],['# of men Act]],"")</f>
        <v>6.8181818181818183</v>
      </c>
      <c r="N3" s="53">
        <v>2</v>
      </c>
      <c r="O3"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22</v>
      </c>
      <c r="R3" s="62">
        <f>IFERROR((tbl_RW[[#This Row],[Adj. Total Hours]]+tbl_RW[[#This Row],[Est. Hours]])/(tbl_RW[[#This Row],[Total Hours Act]]+tbl_RW[[#This Row],[Act. Hours]]),"")</f>
        <v>0.90909090909090906</v>
      </c>
      <c r="S3" s="63"/>
      <c r="T3" s="64" t="s">
        <v>711</v>
      </c>
      <c r="U3" s="65"/>
      <c r="V3" s="63"/>
      <c r="W3" s="63"/>
    </row>
    <row r="4" spans="1:23" ht="25" customHeight="1">
      <c r="A4" s="99">
        <v>46125</v>
      </c>
      <c r="B4" s="100">
        <v>142807</v>
      </c>
      <c r="C4" s="100" t="s">
        <v>712</v>
      </c>
      <c r="D4" s="101">
        <v>0.36458333333333331</v>
      </c>
      <c r="E4" s="101">
        <v>0.47638888888888886</v>
      </c>
      <c r="F4" s="100">
        <v>202</v>
      </c>
      <c r="G4" s="100">
        <v>39</v>
      </c>
      <c r="H4" s="55">
        <f>tbl_RW[[#This Row],[Qty Complete]]/tbl_RW[[#This Row],[Qty Required]]</f>
        <v>0.19306930693069307</v>
      </c>
      <c r="I4" s="56">
        <v>45</v>
      </c>
      <c r="J4" s="53">
        <v>1</v>
      </c>
      <c r="K4" s="57">
        <f>IFERROR(tbl_RW[[#This Row],[Qty Required]]/tbl_RW[[#This Row],[PPH]]*tbl_RW[[#This Row],['# of men]],"")</f>
        <v>4.4888888888888889</v>
      </c>
      <c r="L4" s="58">
        <f>tbl_RW[[#This Row],[Total hours]]*tbl_RW[[#This Row],[% Complete]]</f>
        <v>0.8666666666666667</v>
      </c>
      <c r="M4" s="59">
        <f>IFERROR(tbl_RW[[#This Row],[Qty Complete]]/tbl_RW[[#This Row],[Total Hours Act]]*tbl_RW[[#This Row],['# of men Act]],"")</f>
        <v>14.53416149068323</v>
      </c>
      <c r="N4" s="53">
        <v>1</v>
      </c>
      <c r="O4"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2.6833333333333331</v>
      </c>
      <c r="R4" s="71">
        <f>IFERROR((tbl_RW[[#This Row],[Adj. Total Hours]]+tbl_RW[[#This Row],[Est. Hours]])/(tbl_RW[[#This Row],[Total Hours Act]]+tbl_RW[[#This Row],[Act. Hours]]),"")</f>
        <v>0.32298136645962738</v>
      </c>
      <c r="S4" s="63" t="s">
        <v>713</v>
      </c>
      <c r="T4" s="63" t="s">
        <v>711</v>
      </c>
      <c r="U4" s="63"/>
      <c r="V4" s="63"/>
      <c r="W4" s="63"/>
    </row>
    <row r="5" spans="1:23" ht="25" customHeight="1">
      <c r="A5" s="99">
        <v>46125</v>
      </c>
      <c r="B5" s="100" t="s">
        <v>714</v>
      </c>
      <c r="C5" s="100" t="s">
        <v>715</v>
      </c>
      <c r="D5" s="101">
        <v>0.48194444444444445</v>
      </c>
      <c r="E5" s="101">
        <v>0.62638888888888888</v>
      </c>
      <c r="F5" s="100">
        <v>202</v>
      </c>
      <c r="G5" s="100">
        <v>50</v>
      </c>
      <c r="H5" s="55">
        <f>tbl_RW[[#This Row],[Qty Complete]]/tbl_RW[[#This Row],[Qty Required]]</f>
        <v>0.24752475247524752</v>
      </c>
      <c r="I5" s="56">
        <v>15</v>
      </c>
      <c r="J5" s="53">
        <v>1</v>
      </c>
      <c r="K5" s="57">
        <f>IFERROR(tbl_RW[[#This Row],[Qty Required]]/tbl_RW[[#This Row],[PPH]]*tbl_RW[[#This Row],['# of men]],"")</f>
        <v>13.466666666666667</v>
      </c>
      <c r="L5" s="58">
        <f>tbl_RW[[#This Row],[Total hours]]*tbl_RW[[#This Row],[% Complete]]</f>
        <v>3.3333333333333335</v>
      </c>
      <c r="M5" s="59">
        <f>IFERROR(tbl_RW[[#This Row],[Qty Complete]]/tbl_RW[[#This Row],[Total Hours Act]]*tbl_RW[[#This Row],['# of men Act]],"")</f>
        <v>16.853932584269664</v>
      </c>
      <c r="N5" s="53">
        <v>1</v>
      </c>
      <c r="O5"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2.9666666666666663</v>
      </c>
      <c r="R5" s="71">
        <f>IFERROR((tbl_RW[[#This Row],[Adj. Total Hours]]+tbl_RW[[#This Row],[Est. Hours]])/(tbl_RW[[#This Row],[Total Hours Act]]+tbl_RW[[#This Row],[Act. Hours]]),"")</f>
        <v>1.1235955056179776</v>
      </c>
      <c r="S5" s="63"/>
      <c r="T5" s="63" t="s">
        <v>711</v>
      </c>
      <c r="U5" s="63"/>
      <c r="V5" s="63"/>
      <c r="W5" s="63"/>
    </row>
    <row r="6" spans="1:23" ht="25" customHeight="1">
      <c r="A6" s="52">
        <v>46125</v>
      </c>
      <c r="B6" s="53" t="s">
        <v>714</v>
      </c>
      <c r="C6" s="53" t="s">
        <v>715</v>
      </c>
      <c r="D6" s="54">
        <v>0.62638888888888888</v>
      </c>
      <c r="E6" s="54">
        <v>0.68402777777777779</v>
      </c>
      <c r="F6" s="53">
        <v>202</v>
      </c>
      <c r="G6" s="53">
        <v>28</v>
      </c>
      <c r="H6" s="55">
        <f>tbl_RW[[#This Row],[Qty Complete]]/tbl_RW[[#This Row],[Qty Required]]</f>
        <v>0.13861386138613863</v>
      </c>
      <c r="I6" s="56">
        <v>15</v>
      </c>
      <c r="J6" s="53">
        <v>1</v>
      </c>
      <c r="K6" s="57">
        <f>IFERROR(tbl_RW[[#This Row],[Qty Required]]/tbl_RW[[#This Row],[PPH]]*tbl_RW[[#This Row],['# of men]],"")</f>
        <v>13.466666666666667</v>
      </c>
      <c r="L6" s="58">
        <f>tbl_RW[[#This Row],[Total hours]]*tbl_RW[[#This Row],[% Complete]]</f>
        <v>1.8666666666666669</v>
      </c>
      <c r="M6" s="59">
        <f>IFERROR(tbl_RW[[#This Row],[Qty Complete]]/tbl_RW[[#This Row],[Total Hours Act]]*tbl_RW[[#This Row],['# of men Act]],"")</f>
        <v>20.240963855421679</v>
      </c>
      <c r="N6" s="53">
        <v>1</v>
      </c>
      <c r="O6"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1.3833333333333337</v>
      </c>
      <c r="R6" s="71">
        <f>IFERROR((tbl_RW[[#This Row],[Adj. Total Hours]]+tbl_RW[[#This Row],[Est. Hours]])/(tbl_RW[[#This Row],[Total Hours Act]]+tbl_RW[[#This Row],[Act. Hours]]),"")</f>
        <v>1.3493975903614455</v>
      </c>
      <c r="S6" s="63"/>
      <c r="T6" s="63" t="s">
        <v>711</v>
      </c>
      <c r="U6" s="63"/>
      <c r="V6" s="63"/>
      <c r="W6" s="63"/>
    </row>
    <row r="7" spans="1:23" ht="25" customHeight="1">
      <c r="A7" s="52">
        <v>46125</v>
      </c>
      <c r="B7" s="53" t="s">
        <v>714</v>
      </c>
      <c r="C7" s="53" t="s">
        <v>715</v>
      </c>
      <c r="D7" s="54">
        <v>0.68402777777777779</v>
      </c>
      <c r="E7" s="54">
        <v>0.6875</v>
      </c>
      <c r="F7" s="53">
        <v>202</v>
      </c>
      <c r="G7" s="53">
        <v>28</v>
      </c>
      <c r="H7" s="55">
        <f>tbl_RW[[#This Row],[Qty Complete]]/tbl_RW[[#This Row],[Qty Required]]</f>
        <v>0.13861386138613863</v>
      </c>
      <c r="I7" s="56">
        <v>15</v>
      </c>
      <c r="J7" s="53">
        <v>1</v>
      </c>
      <c r="K7" s="57">
        <f>IFERROR(tbl_RW[[#This Row],[Qty Required]]/tbl_RW[[#This Row],[PPH]]*tbl_RW[[#This Row],['# of men]],"")</f>
        <v>13.466666666666667</v>
      </c>
      <c r="L7" s="58">
        <f>tbl_RW[[#This Row],[Total hours]]*tbl_RW[[#This Row],[% Complete]]</f>
        <v>1.8666666666666669</v>
      </c>
      <c r="M7" s="59">
        <f>IFERROR(tbl_RW[[#This Row],[Qty Complete]]/tbl_RW[[#This Row],[Total Hours Act]]*tbl_RW[[#This Row],['# of men Act]],"")</f>
        <v>336.00000000000119</v>
      </c>
      <c r="N7" s="53">
        <v>1</v>
      </c>
      <c r="O7"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8.3333333333333037E-2</v>
      </c>
      <c r="R7" s="71">
        <f>IFERROR((tbl_RW[[#This Row],[Adj. Total Hours]]+tbl_RW[[#This Row],[Est. Hours]])/(tbl_RW[[#This Row],[Total Hours Act]]+tbl_RW[[#This Row],[Act. Hours]]),"")</f>
        <v>22.400000000000084</v>
      </c>
      <c r="S7" s="63"/>
      <c r="T7" s="63" t="s">
        <v>711</v>
      </c>
      <c r="U7" s="63"/>
      <c r="V7" s="63"/>
      <c r="W7" s="63"/>
    </row>
    <row r="8" spans="1:23" ht="25" customHeight="1">
      <c r="F8" s="53"/>
      <c r="H8" s="55" t="e">
        <f>tbl_RW[[#This Row],[Qty Complete]]/tbl_RW[[#This Row],[Qty Required]]</f>
        <v>#DIV/0!</v>
      </c>
      <c r="K8" s="57" t="str">
        <f>IFERROR(tbl_RW[[#This Row],[Qty Required]]/tbl_RW[[#This Row],[PPH]]*tbl_RW[[#This Row],['# of men]],"")</f>
        <v/>
      </c>
      <c r="L8" s="58" t="e">
        <f>tbl_RW[[#This Row],[Total hours]]*tbl_RW[[#This Row],[% Complete]]</f>
        <v>#VALUE!</v>
      </c>
      <c r="M8" s="59" t="str">
        <f>IFERROR(tbl_RW[[#This Row],[Qty Complete]]/tbl_RW[[#This Row],[Total Hours Act]]*tbl_RW[[#This Row],['# of men Act]],"")</f>
        <v/>
      </c>
      <c r="O8"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8" s="71" t="str">
        <f>IFERROR((tbl_RW[[#This Row],[Adj. Total Hours]]+tbl_RW[[#This Row],[Est. Hours]])/(tbl_RW[[#This Row],[Total Hours Act]]+tbl_RW[[#This Row],[Act. Hours]]),"")</f>
        <v/>
      </c>
      <c r="S8" s="63"/>
      <c r="T8" s="63"/>
      <c r="U8" s="63"/>
      <c r="V8" s="63"/>
      <c r="W8" s="63"/>
    </row>
    <row r="9" spans="1:23" ht="25" customHeight="1">
      <c r="F9" s="53"/>
      <c r="H9" s="55" t="e">
        <f>tbl_RW[[#This Row],[Qty Complete]]/tbl_RW[[#This Row],[Qty Required]]</f>
        <v>#DIV/0!</v>
      </c>
      <c r="K9" s="57" t="str">
        <f>IFERROR(tbl_RW[[#This Row],[Qty Required]]/tbl_RW[[#This Row],[PPH]]*tbl_RW[[#This Row],['# of men]],"")</f>
        <v/>
      </c>
      <c r="L9" s="58" t="e">
        <f>tbl_RW[[#This Row],[Total hours]]*tbl_RW[[#This Row],[% Complete]]</f>
        <v>#VALUE!</v>
      </c>
      <c r="M9" s="59" t="str">
        <f>IFERROR(tbl_RW[[#This Row],[Qty Complete]]/tbl_RW[[#This Row],[Total Hours Act]]*tbl_RW[[#This Row],['# of men Act]],"")</f>
        <v/>
      </c>
      <c r="O9"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9" s="71" t="str">
        <f>IFERROR((tbl_RW[[#This Row],[Adj. Total Hours]]+tbl_RW[[#This Row],[Est. Hours]])/(tbl_RW[[#This Row],[Total Hours Act]]+tbl_RW[[#This Row],[Act. Hours]]),"")</f>
        <v/>
      </c>
      <c r="S9" s="63"/>
      <c r="T9" s="63"/>
      <c r="U9" s="63"/>
      <c r="V9" s="63"/>
      <c r="W9" s="63"/>
    </row>
    <row r="10" spans="1:23" ht="25" customHeight="1">
      <c r="F10" s="53"/>
      <c r="H10" s="55" t="e">
        <f>tbl_RW[[#This Row],[Qty Complete]]/tbl_RW[[#This Row],[Qty Required]]</f>
        <v>#DIV/0!</v>
      </c>
      <c r="K10" s="57" t="str">
        <f>IFERROR(tbl_RW[[#This Row],[Qty Required]]/tbl_RW[[#This Row],[PPH]]*tbl_RW[[#This Row],['# of men]],"")</f>
        <v/>
      </c>
      <c r="L10" s="58" t="e">
        <f>tbl_RW[[#This Row],[Total hours]]*tbl_RW[[#This Row],[% Complete]]</f>
        <v>#VALUE!</v>
      </c>
      <c r="M10" s="59" t="str">
        <f>IFERROR(tbl_RW[[#This Row],[Qty Complete]]/tbl_RW[[#This Row],[Total Hours Act]]*tbl_RW[[#This Row],['# of men Act]],"")</f>
        <v/>
      </c>
      <c r="O10"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0" s="71" t="str">
        <f>IFERROR((tbl_RW[[#This Row],[Adj. Total Hours]]+tbl_RW[[#This Row],[Est. Hours]])/(tbl_RW[[#This Row],[Total Hours Act]]+tbl_RW[[#This Row],[Act. Hours]]),"")</f>
        <v/>
      </c>
      <c r="S10" s="63"/>
      <c r="T10" s="63"/>
      <c r="U10" s="63"/>
      <c r="V10" s="63"/>
      <c r="W10" s="63"/>
    </row>
    <row r="11" spans="1:23" ht="25" customHeight="1">
      <c r="F11" s="53"/>
      <c r="H11" s="55" t="e">
        <f>tbl_RW[[#This Row],[Qty Complete]]/tbl_RW[[#This Row],[Qty Required]]</f>
        <v>#DIV/0!</v>
      </c>
      <c r="K11" s="57" t="str">
        <f>IFERROR(tbl_RW[[#This Row],[Qty Required]]/tbl_RW[[#This Row],[PPH]]*tbl_RW[[#This Row],['# of men]],"")</f>
        <v/>
      </c>
      <c r="L11" s="58" t="e">
        <f>tbl_RW[[#This Row],[Total hours]]*tbl_RW[[#This Row],[% Complete]]</f>
        <v>#VALUE!</v>
      </c>
      <c r="M11" s="59" t="str">
        <f>IFERROR(tbl_RW[[#This Row],[Qty Complete]]/tbl_RW[[#This Row],[Total Hours Act]]*tbl_RW[[#This Row],['# of men Act]],"")</f>
        <v/>
      </c>
      <c r="O11"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1" s="71" t="str">
        <f>IFERROR((tbl_RW[[#This Row],[Adj. Total Hours]]+tbl_RW[[#This Row],[Est. Hours]])/(tbl_RW[[#This Row],[Total Hours Act]]+tbl_RW[[#This Row],[Act. Hours]]),"")</f>
        <v/>
      </c>
      <c r="S11" s="63"/>
      <c r="T11" s="63"/>
      <c r="U11" s="63"/>
      <c r="V11" s="63"/>
      <c r="W11" s="63"/>
    </row>
    <row r="12" spans="1:23" ht="25" customHeight="1">
      <c r="F12" s="53"/>
      <c r="H12" s="55" t="e">
        <f>tbl_RW[[#This Row],[Qty Complete]]/tbl_RW[[#This Row],[Qty Required]]</f>
        <v>#DIV/0!</v>
      </c>
      <c r="K12" s="57" t="str">
        <f>IFERROR(tbl_RW[[#This Row],[Qty Required]]/tbl_RW[[#This Row],[PPH]]*tbl_RW[[#This Row],['# of men]],"")</f>
        <v/>
      </c>
      <c r="L12" s="58" t="e">
        <f>tbl_RW[[#This Row],[Total hours]]*tbl_RW[[#This Row],[% Complete]]</f>
        <v>#VALUE!</v>
      </c>
      <c r="M12" s="59" t="str">
        <f>IFERROR(tbl_RW[[#This Row],[Qty Complete]]/tbl_RW[[#This Row],[Total Hours Act]]*tbl_RW[[#This Row],['# of men Act]],"")</f>
        <v/>
      </c>
      <c r="O12"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2" s="71" t="str">
        <f>IFERROR((tbl_RW[[#This Row],[Adj. Total Hours]]+tbl_RW[[#This Row],[Est. Hours]])/(tbl_RW[[#This Row],[Total Hours Act]]+tbl_RW[[#This Row],[Act. Hours]]),"")</f>
        <v/>
      </c>
      <c r="S12" s="63"/>
      <c r="T12" s="63"/>
      <c r="U12" s="63"/>
      <c r="V12" s="63"/>
      <c r="W12" s="63"/>
    </row>
    <row r="13" spans="1:23" ht="25" customHeight="1">
      <c r="F13" s="53"/>
      <c r="H13" s="55" t="e">
        <f>tbl_RW[[#This Row],[Qty Complete]]/tbl_RW[[#This Row],[Qty Required]]</f>
        <v>#DIV/0!</v>
      </c>
      <c r="K13" s="57" t="str">
        <f>IFERROR(tbl_RW[[#This Row],[Qty Required]]/tbl_RW[[#This Row],[PPH]]*tbl_RW[[#This Row],['# of men]],"")</f>
        <v/>
      </c>
      <c r="L13" s="58" t="e">
        <f>tbl_RW[[#This Row],[Total hours]]*tbl_RW[[#This Row],[% Complete]]</f>
        <v>#VALUE!</v>
      </c>
      <c r="M13" s="59" t="str">
        <f>IFERROR(tbl_RW[[#This Row],[Qty Complete]]/tbl_RW[[#This Row],[Total Hours Act]]*tbl_RW[[#This Row],['# of men Act]],"")</f>
        <v/>
      </c>
      <c r="O13"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3" s="71" t="str">
        <f>IFERROR((tbl_RW[[#This Row],[Adj. Total Hours]]+tbl_RW[[#This Row],[Est. Hours]])/(tbl_RW[[#This Row],[Total Hours Act]]+tbl_RW[[#This Row],[Act. Hours]]),"")</f>
        <v/>
      </c>
      <c r="S13" s="63"/>
      <c r="T13" s="63"/>
      <c r="U13" s="63"/>
      <c r="V13" s="63"/>
      <c r="W13" s="63"/>
    </row>
    <row r="14" spans="1:23" ht="25" customHeight="1">
      <c r="F14" s="53"/>
      <c r="H14" s="55" t="e">
        <f>tbl_RW[[#This Row],[Qty Complete]]/tbl_RW[[#This Row],[Qty Required]]</f>
        <v>#DIV/0!</v>
      </c>
      <c r="K14" s="57" t="str">
        <f>IFERROR(tbl_RW[[#This Row],[Qty Required]]/tbl_RW[[#This Row],[PPH]]*tbl_RW[[#This Row],['# of men]],"")</f>
        <v/>
      </c>
      <c r="L14" s="58" t="e">
        <f>tbl_RW[[#This Row],[Total hours]]*tbl_RW[[#This Row],[% Complete]]</f>
        <v>#VALUE!</v>
      </c>
      <c r="M14" s="59" t="str">
        <f>IFERROR(tbl_RW[[#This Row],[Qty Complete]]/tbl_RW[[#This Row],[Total Hours Act]]*tbl_RW[[#This Row],['# of men Act]],"")</f>
        <v/>
      </c>
      <c r="O14"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4" s="71" t="str">
        <f>IFERROR((tbl_RW[[#This Row],[Adj. Total Hours]]+tbl_RW[[#This Row],[Est. Hours]])/(tbl_RW[[#This Row],[Total Hours Act]]+tbl_RW[[#This Row],[Act. Hours]]),"")</f>
        <v/>
      </c>
      <c r="S14" s="63"/>
      <c r="T14" s="63"/>
      <c r="U14" s="63"/>
      <c r="V14" s="63"/>
      <c r="W14" s="63"/>
    </row>
    <row r="15" spans="1:23" ht="25" customHeight="1">
      <c r="F15" s="53"/>
      <c r="H15" s="55" t="e">
        <f>tbl_RW[[#This Row],[Qty Complete]]/tbl_RW[[#This Row],[Qty Required]]</f>
        <v>#DIV/0!</v>
      </c>
      <c r="K15" s="57" t="str">
        <f>IFERROR(tbl_RW[[#This Row],[Qty Required]]/tbl_RW[[#This Row],[PPH]]*tbl_RW[[#This Row],['# of men]],"")</f>
        <v/>
      </c>
      <c r="L15" s="58" t="e">
        <f>tbl_RW[[#This Row],[Total hours]]*tbl_RW[[#This Row],[% Complete]]</f>
        <v>#VALUE!</v>
      </c>
      <c r="M15" s="59" t="str">
        <f>IFERROR(tbl_RW[[#This Row],[Qty Complete]]/tbl_RW[[#This Row],[Total Hours Act]]*tbl_RW[[#This Row],['# of men Act]],"")</f>
        <v/>
      </c>
      <c r="O15"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5" s="71" t="str">
        <f>IFERROR((tbl_RW[[#This Row],[Adj. Total Hours]]+tbl_RW[[#This Row],[Est. Hours]])/(tbl_RW[[#This Row],[Total Hours Act]]+tbl_RW[[#This Row],[Act. Hours]]),"")</f>
        <v/>
      </c>
      <c r="S15" s="63"/>
      <c r="T15" s="63"/>
      <c r="U15" s="63"/>
      <c r="V15" s="63"/>
      <c r="W15" s="63"/>
    </row>
    <row r="16" spans="1:23" ht="25" customHeight="1">
      <c r="F16" s="53"/>
      <c r="H16" s="55" t="e">
        <f>tbl_RW[[#This Row],[Qty Complete]]/tbl_RW[[#This Row],[Qty Required]]</f>
        <v>#DIV/0!</v>
      </c>
      <c r="K16" s="57" t="str">
        <f>IFERROR(tbl_RW[[#This Row],[Qty Required]]/tbl_RW[[#This Row],[PPH]]*tbl_RW[[#This Row],['# of men]],"")</f>
        <v/>
      </c>
      <c r="L16" s="58" t="e">
        <f>tbl_RW[[#This Row],[Total hours]]*tbl_RW[[#This Row],[% Complete]]</f>
        <v>#VALUE!</v>
      </c>
      <c r="M16" s="59" t="str">
        <f>IFERROR(tbl_RW[[#This Row],[Qty Complete]]/tbl_RW[[#This Row],[Total Hours Act]]*tbl_RW[[#This Row],['# of men Act]],"")</f>
        <v/>
      </c>
      <c r="O16"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6" s="71" t="str">
        <f>IFERROR((tbl_RW[[#This Row],[Adj. Total Hours]]+tbl_RW[[#This Row],[Est. Hours]])/(tbl_RW[[#This Row],[Total Hours Act]]+tbl_RW[[#This Row],[Act. Hours]]),"")</f>
        <v/>
      </c>
      <c r="S16" s="63"/>
      <c r="T16" s="63"/>
      <c r="U16" s="63"/>
      <c r="V16" s="63"/>
      <c r="W16" s="63"/>
    </row>
    <row r="17" spans="6:23" ht="25" customHeight="1">
      <c r="F17" s="53"/>
      <c r="H17" s="55" t="e">
        <f>tbl_RW[[#This Row],[Qty Complete]]/tbl_RW[[#This Row],[Qty Required]]</f>
        <v>#DIV/0!</v>
      </c>
      <c r="K17" s="57" t="str">
        <f>IFERROR(tbl_RW[[#This Row],[Qty Required]]/tbl_RW[[#This Row],[PPH]]*tbl_RW[[#This Row],['# of men]],"")</f>
        <v/>
      </c>
      <c r="L17" s="58" t="e">
        <f>tbl_RW[[#This Row],[Total hours]]*tbl_RW[[#This Row],[% Complete]]</f>
        <v>#VALUE!</v>
      </c>
      <c r="M17" s="59" t="str">
        <f>IFERROR(tbl_RW[[#This Row],[Qty Complete]]/tbl_RW[[#This Row],[Total Hours Act]]*tbl_RW[[#This Row],['# of men Act]],"")</f>
        <v/>
      </c>
      <c r="O17"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7" s="71" t="str">
        <f>IFERROR((tbl_RW[[#This Row],[Adj. Total Hours]]+tbl_RW[[#This Row],[Est. Hours]])/(tbl_RW[[#This Row],[Total Hours Act]]+tbl_RW[[#This Row],[Act. Hours]]),"")</f>
        <v/>
      </c>
      <c r="S17" s="63"/>
      <c r="T17" s="63"/>
      <c r="U17" s="63"/>
      <c r="V17" s="63"/>
      <c r="W17" s="63"/>
    </row>
    <row r="18" spans="6:23" ht="25" customHeight="1">
      <c r="F18" s="53"/>
      <c r="H18" s="55" t="e">
        <f>tbl_RW[[#This Row],[Qty Complete]]/tbl_RW[[#This Row],[Qty Required]]</f>
        <v>#DIV/0!</v>
      </c>
      <c r="K18" s="57" t="str">
        <f>IFERROR(tbl_RW[[#This Row],[Qty Required]]/tbl_RW[[#This Row],[PPH]]*tbl_RW[[#This Row],['# of men]],"")</f>
        <v/>
      </c>
      <c r="L18" s="58" t="e">
        <f>tbl_RW[[#This Row],[Total hours]]*tbl_RW[[#This Row],[% Complete]]</f>
        <v>#VALUE!</v>
      </c>
      <c r="M18" s="59" t="str">
        <f>IFERROR(tbl_RW[[#This Row],[Qty Complete]]/tbl_RW[[#This Row],[Total Hours Act]]*tbl_RW[[#This Row],['# of men Act]],"")</f>
        <v/>
      </c>
      <c r="O18"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8" s="71" t="str">
        <f>IFERROR((tbl_RW[[#This Row],[Adj. Total Hours]]+tbl_RW[[#This Row],[Est. Hours]])/(tbl_RW[[#This Row],[Total Hours Act]]+tbl_RW[[#This Row],[Act. Hours]]),"")</f>
        <v/>
      </c>
      <c r="S18" s="63"/>
      <c r="T18" s="63"/>
      <c r="U18" s="63"/>
      <c r="V18" s="63"/>
      <c r="W18" s="63"/>
    </row>
    <row r="19" spans="6:23" ht="25" customHeight="1">
      <c r="F19" s="53"/>
      <c r="H19" s="55" t="e">
        <f>tbl_RW[[#This Row],[Qty Complete]]/tbl_RW[[#This Row],[Qty Required]]</f>
        <v>#DIV/0!</v>
      </c>
      <c r="K19" s="57" t="str">
        <f>IFERROR(tbl_RW[[#This Row],[Qty Required]]/tbl_RW[[#This Row],[PPH]]*tbl_RW[[#This Row],['# of men]],"")</f>
        <v/>
      </c>
      <c r="L19" s="58" t="e">
        <f>tbl_RW[[#This Row],[Total hours]]*tbl_RW[[#This Row],[% Complete]]</f>
        <v>#VALUE!</v>
      </c>
      <c r="M19" s="59" t="str">
        <f>IFERROR(tbl_RW[[#This Row],[Qty Complete]]/tbl_RW[[#This Row],[Total Hours Act]]*tbl_RW[[#This Row],['# of men Act]],"")</f>
        <v/>
      </c>
      <c r="O19"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9" s="71" t="str">
        <f>IFERROR((tbl_RW[[#This Row],[Adj. Total Hours]]+tbl_RW[[#This Row],[Est. Hours]])/(tbl_RW[[#This Row],[Total Hours Act]]+tbl_RW[[#This Row],[Act. Hours]]),"")</f>
        <v/>
      </c>
      <c r="S19" s="63"/>
      <c r="T19" s="63"/>
      <c r="U19" s="63"/>
      <c r="V19" s="63"/>
      <c r="W19" s="63"/>
    </row>
    <row r="20" spans="6:23" ht="25" customHeight="1">
      <c r="F20" s="53"/>
      <c r="H20" s="55" t="e">
        <f>tbl_RW[[#This Row],[Qty Complete]]/tbl_RW[[#This Row],[Qty Required]]</f>
        <v>#DIV/0!</v>
      </c>
      <c r="K20" s="57" t="str">
        <f>IFERROR(tbl_RW[[#This Row],[Qty Required]]/tbl_RW[[#This Row],[PPH]]*tbl_RW[[#This Row],['# of men]],"")</f>
        <v/>
      </c>
      <c r="L20" s="58" t="e">
        <f>tbl_RW[[#This Row],[Total hours]]*tbl_RW[[#This Row],[% Complete]]</f>
        <v>#VALUE!</v>
      </c>
      <c r="M20" s="59" t="str">
        <f>IFERROR(tbl_RW[[#This Row],[Qty Complete]]/tbl_RW[[#This Row],[Total Hours Act]]*tbl_RW[[#This Row],['# of men Act]],"")</f>
        <v/>
      </c>
      <c r="O20"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0" s="71" t="str">
        <f>IFERROR((tbl_RW[[#This Row],[Adj. Total Hours]]+tbl_RW[[#This Row],[Est. Hours]])/(tbl_RW[[#This Row],[Total Hours Act]]+tbl_RW[[#This Row],[Act. Hours]]),"")</f>
        <v/>
      </c>
      <c r="S20" s="63"/>
      <c r="T20" s="63"/>
      <c r="U20" s="63"/>
      <c r="V20" s="63"/>
      <c r="W20" s="63"/>
    </row>
    <row r="21" spans="6:23" ht="25" customHeight="1">
      <c r="F21" s="53"/>
      <c r="H21" s="55" t="e">
        <f>tbl_RW[[#This Row],[Qty Complete]]/tbl_RW[[#This Row],[Qty Required]]</f>
        <v>#DIV/0!</v>
      </c>
      <c r="K21" s="57" t="str">
        <f>IFERROR(tbl_RW[[#This Row],[Qty Required]]/tbl_RW[[#This Row],[PPH]]*tbl_RW[[#This Row],['# of men]],"")</f>
        <v/>
      </c>
      <c r="L21" s="58" t="e">
        <f>tbl_RW[[#This Row],[Total hours]]*tbl_RW[[#This Row],[% Complete]]</f>
        <v>#VALUE!</v>
      </c>
      <c r="M21" s="59" t="str">
        <f>IFERROR(tbl_RW[[#This Row],[Qty Complete]]/tbl_RW[[#This Row],[Total Hours Act]]*tbl_RW[[#This Row],['# of men Act]],"")</f>
        <v/>
      </c>
      <c r="O21"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1" s="71" t="str">
        <f>IFERROR((tbl_RW[[#This Row],[Adj. Total Hours]]+tbl_RW[[#This Row],[Est. Hours]])/(tbl_RW[[#This Row],[Total Hours Act]]+tbl_RW[[#This Row],[Act. Hours]]),"")</f>
        <v/>
      </c>
      <c r="S21" s="63"/>
      <c r="T21" s="63"/>
      <c r="U21" s="63"/>
      <c r="V21" s="63"/>
      <c r="W21" s="63"/>
    </row>
    <row r="22" spans="6:23" ht="25" customHeight="1">
      <c r="F22" s="53"/>
      <c r="H22" s="55" t="e">
        <f>tbl_RW[[#This Row],[Qty Complete]]/tbl_RW[[#This Row],[Qty Required]]</f>
        <v>#DIV/0!</v>
      </c>
      <c r="K22" s="57" t="str">
        <f>IFERROR(tbl_RW[[#This Row],[Qty Required]]/tbl_RW[[#This Row],[PPH]]*tbl_RW[[#This Row],['# of men]],"")</f>
        <v/>
      </c>
      <c r="L22" s="58" t="e">
        <f>tbl_RW[[#This Row],[Total hours]]*tbl_RW[[#This Row],[% Complete]]</f>
        <v>#VALUE!</v>
      </c>
      <c r="M22" s="59" t="str">
        <f>IFERROR(tbl_RW[[#This Row],[Qty Complete]]/tbl_RW[[#This Row],[Total Hours Act]]*tbl_RW[[#This Row],['# of men Act]],"")</f>
        <v/>
      </c>
      <c r="O22"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2" s="71" t="str">
        <f>IFERROR((tbl_RW[[#This Row],[Adj. Total Hours]]+tbl_RW[[#This Row],[Est. Hours]])/(tbl_RW[[#This Row],[Total Hours Act]]+tbl_RW[[#This Row],[Act. Hours]]),"")</f>
        <v/>
      </c>
      <c r="S22" s="63"/>
      <c r="T22" s="63"/>
      <c r="U22" s="63"/>
      <c r="V22" s="63"/>
      <c r="W22" s="63"/>
    </row>
    <row r="23" spans="6:23" ht="25" customHeight="1">
      <c r="F23" s="53"/>
      <c r="H23" s="55" t="e">
        <f>tbl_RW[[#This Row],[Qty Complete]]/tbl_RW[[#This Row],[Qty Required]]</f>
        <v>#DIV/0!</v>
      </c>
      <c r="K23" s="57" t="str">
        <f>IFERROR(tbl_RW[[#This Row],[Qty Required]]/tbl_RW[[#This Row],[PPH]]*tbl_RW[[#This Row],['# of men]],"")</f>
        <v/>
      </c>
      <c r="L23" s="58" t="e">
        <f>tbl_RW[[#This Row],[Total hours]]*tbl_RW[[#This Row],[% Complete]]</f>
        <v>#VALUE!</v>
      </c>
      <c r="M23" s="59" t="str">
        <f>IFERROR(tbl_RW[[#This Row],[Qty Complete]]/tbl_RW[[#This Row],[Total Hours Act]]*tbl_RW[[#This Row],['# of men Act]],"")</f>
        <v/>
      </c>
      <c r="O23"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3" s="71" t="str">
        <f>IFERROR((tbl_RW[[#This Row],[Adj. Total Hours]]+tbl_RW[[#This Row],[Est. Hours]])/(tbl_RW[[#This Row],[Total Hours Act]]+tbl_RW[[#This Row],[Act. Hours]]),"")</f>
        <v/>
      </c>
      <c r="S23" s="63"/>
      <c r="T23" s="63"/>
      <c r="U23" s="63"/>
      <c r="V23" s="63"/>
      <c r="W23" s="63"/>
    </row>
    <row r="24" spans="6:23" ht="25" customHeight="1">
      <c r="F24" s="53"/>
      <c r="H24" s="55" t="e">
        <f>tbl_RW[[#This Row],[Qty Complete]]/tbl_RW[[#This Row],[Qty Required]]</f>
        <v>#DIV/0!</v>
      </c>
      <c r="K24" s="57" t="str">
        <f>IFERROR(tbl_RW[[#This Row],[Qty Required]]/tbl_RW[[#This Row],[PPH]]*tbl_RW[[#This Row],['# of men]],"")</f>
        <v/>
      </c>
      <c r="L24" s="58" t="e">
        <f>tbl_RW[[#This Row],[Total hours]]*tbl_RW[[#This Row],[% Complete]]</f>
        <v>#VALUE!</v>
      </c>
      <c r="M24" s="59" t="str">
        <f>IFERROR(tbl_RW[[#This Row],[Qty Complete]]/tbl_RW[[#This Row],[Total Hours Act]]*tbl_RW[[#This Row],['# of men Act]],"")</f>
        <v/>
      </c>
      <c r="O24"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4" s="71" t="str">
        <f>IFERROR((tbl_RW[[#This Row],[Adj. Total Hours]]+tbl_RW[[#This Row],[Est. Hours]])/(tbl_RW[[#This Row],[Total Hours Act]]+tbl_RW[[#This Row],[Act. Hours]]),"")</f>
        <v/>
      </c>
      <c r="S24" s="63"/>
      <c r="T24" s="63"/>
      <c r="U24" s="63"/>
      <c r="V24" s="63"/>
      <c r="W24" s="63"/>
    </row>
    <row r="25" spans="6:23" ht="25" customHeight="1">
      <c r="F25" s="53"/>
      <c r="H25" s="55" t="e">
        <f>tbl_RW[[#This Row],[Qty Complete]]/tbl_RW[[#This Row],[Qty Required]]</f>
        <v>#DIV/0!</v>
      </c>
      <c r="K25" s="57" t="str">
        <f>IFERROR(tbl_RW[[#This Row],[Qty Required]]/tbl_RW[[#This Row],[PPH]]*tbl_RW[[#This Row],['# of men]],"")</f>
        <v/>
      </c>
      <c r="L25" s="58" t="e">
        <f>tbl_RW[[#This Row],[Total hours]]*tbl_RW[[#This Row],[% Complete]]</f>
        <v>#VALUE!</v>
      </c>
      <c r="M25" s="59" t="str">
        <f>IFERROR(tbl_RW[[#This Row],[Qty Complete]]/tbl_RW[[#This Row],[Total Hours Act]]*tbl_RW[[#This Row],['# of men Act]],"")</f>
        <v/>
      </c>
      <c r="O25"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5" s="71" t="str">
        <f>IFERROR((tbl_RW[[#This Row],[Adj. Total Hours]]+tbl_RW[[#This Row],[Est. Hours]])/(tbl_RW[[#This Row],[Total Hours Act]]+tbl_RW[[#This Row],[Act. Hours]]),"")</f>
        <v/>
      </c>
      <c r="S25" s="63"/>
      <c r="T25" s="63"/>
      <c r="U25" s="63"/>
      <c r="V25" s="63"/>
      <c r="W25" s="63"/>
    </row>
    <row r="26" spans="6:23" ht="25" customHeight="1">
      <c r="F26" s="53"/>
      <c r="H26" s="55" t="e">
        <f>tbl_RW[[#This Row],[Qty Complete]]/tbl_RW[[#This Row],[Qty Required]]</f>
        <v>#DIV/0!</v>
      </c>
      <c r="K26" s="57" t="str">
        <f>IFERROR(tbl_RW[[#This Row],[Qty Required]]/tbl_RW[[#This Row],[PPH]]*tbl_RW[[#This Row],['# of men]],"")</f>
        <v/>
      </c>
      <c r="L26" s="58" t="e">
        <f>tbl_RW[[#This Row],[Total hours]]*tbl_RW[[#This Row],[% Complete]]</f>
        <v>#VALUE!</v>
      </c>
      <c r="M26" s="59" t="str">
        <f>IFERROR(tbl_RW[[#This Row],[Qty Complete]]/tbl_RW[[#This Row],[Total Hours Act]]*tbl_RW[[#This Row],['# of men Act]],"")</f>
        <v/>
      </c>
      <c r="O26"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6" s="71" t="str">
        <f>IFERROR((tbl_RW[[#This Row],[Adj. Total Hours]]+tbl_RW[[#This Row],[Est. Hours]])/(tbl_RW[[#This Row],[Total Hours Act]]+tbl_RW[[#This Row],[Act. Hours]]),"")</f>
        <v/>
      </c>
      <c r="S26" s="63"/>
      <c r="T26" s="63"/>
      <c r="U26" s="63"/>
      <c r="V26" s="63"/>
      <c r="W26" s="63"/>
    </row>
    <row r="27" spans="6:23" ht="25" customHeight="1">
      <c r="F27" s="53"/>
      <c r="H27" s="55" t="e">
        <f>tbl_RW[[#This Row],[Qty Complete]]/tbl_RW[[#This Row],[Qty Required]]</f>
        <v>#DIV/0!</v>
      </c>
      <c r="K27" s="57" t="str">
        <f>IFERROR(tbl_RW[[#This Row],[Qty Required]]/tbl_RW[[#This Row],[PPH]]*tbl_RW[[#This Row],['# of men]],"")</f>
        <v/>
      </c>
      <c r="L27" s="58" t="e">
        <f>tbl_RW[[#This Row],[Total hours]]*tbl_RW[[#This Row],[% Complete]]</f>
        <v>#VALUE!</v>
      </c>
      <c r="M27" s="59" t="str">
        <f>IFERROR(tbl_RW[[#This Row],[Qty Complete]]/tbl_RW[[#This Row],[Total Hours Act]]*tbl_RW[[#This Row],['# of men Act]],"")</f>
        <v/>
      </c>
      <c r="O27"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7" s="71" t="str">
        <f>IFERROR((tbl_RW[[#This Row],[Adj. Total Hours]]+tbl_RW[[#This Row],[Est. Hours]])/(tbl_RW[[#This Row],[Total Hours Act]]+tbl_RW[[#This Row],[Act. Hours]]),"")</f>
        <v/>
      </c>
      <c r="S27" s="63"/>
      <c r="T27" s="63"/>
      <c r="U27" s="63"/>
      <c r="V27" s="63"/>
      <c r="W27" s="63"/>
    </row>
    <row r="28" spans="6:23" ht="25" customHeight="1">
      <c r="F28" s="53"/>
      <c r="H28" s="55" t="e">
        <f>tbl_RW[[#This Row],[Qty Complete]]/tbl_RW[[#This Row],[Qty Required]]</f>
        <v>#DIV/0!</v>
      </c>
      <c r="K28" s="57" t="str">
        <f>IFERROR(tbl_RW[[#This Row],[Qty Required]]/tbl_RW[[#This Row],[PPH]]*tbl_RW[[#This Row],['# of men]],"")</f>
        <v/>
      </c>
      <c r="L28" s="58" t="e">
        <f>tbl_RW[[#This Row],[Total hours]]*tbl_RW[[#This Row],[% Complete]]</f>
        <v>#VALUE!</v>
      </c>
      <c r="M28" s="59" t="str">
        <f>IFERROR(tbl_RW[[#This Row],[Qty Complete]]/tbl_RW[[#This Row],[Total Hours Act]]*tbl_RW[[#This Row],['# of men Act]],"")</f>
        <v/>
      </c>
      <c r="O28"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8" s="71" t="str">
        <f>IFERROR((tbl_RW[[#This Row],[Adj. Total Hours]]+tbl_RW[[#This Row],[Est. Hours]])/(tbl_RW[[#This Row],[Total Hours Act]]+tbl_RW[[#This Row],[Act. Hours]]),"")</f>
        <v/>
      </c>
      <c r="S28" s="63"/>
      <c r="T28" s="63"/>
      <c r="U28" s="63"/>
      <c r="V28" s="63"/>
      <c r="W28" s="63"/>
    </row>
    <row r="29" spans="6:23" ht="25" customHeight="1">
      <c r="F29" s="53"/>
      <c r="H29" s="55" t="e">
        <f>tbl_RW[[#This Row],[Qty Complete]]/tbl_RW[[#This Row],[Qty Required]]</f>
        <v>#DIV/0!</v>
      </c>
      <c r="K29" s="57" t="str">
        <f>IFERROR(tbl_RW[[#This Row],[Qty Required]]/tbl_RW[[#This Row],[PPH]]*tbl_RW[[#This Row],['# of men]],"")</f>
        <v/>
      </c>
      <c r="L29" s="58" t="e">
        <f>tbl_RW[[#This Row],[Total hours]]*tbl_RW[[#This Row],[% Complete]]</f>
        <v>#VALUE!</v>
      </c>
      <c r="M29" s="59" t="str">
        <f>IFERROR(tbl_RW[[#This Row],[Qty Complete]]/tbl_RW[[#This Row],[Total Hours Act]]*tbl_RW[[#This Row],['# of men Act]],"")</f>
        <v/>
      </c>
      <c r="O29"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9" s="71" t="str">
        <f>IFERROR((tbl_RW[[#This Row],[Adj. Total Hours]]+tbl_RW[[#This Row],[Est. Hours]])/(tbl_RW[[#This Row],[Total Hours Act]]+tbl_RW[[#This Row],[Act. Hours]]),"")</f>
        <v/>
      </c>
      <c r="S29" s="63"/>
      <c r="T29" s="63"/>
      <c r="U29" s="63"/>
      <c r="V29" s="63"/>
      <c r="W29" s="63"/>
    </row>
    <row r="30" spans="6:23" ht="25" customHeight="1">
      <c r="F30" s="53"/>
      <c r="H30" s="55" t="e">
        <f>tbl_RW[[#This Row],[Qty Complete]]/tbl_RW[[#This Row],[Qty Required]]</f>
        <v>#DIV/0!</v>
      </c>
      <c r="K30" s="57" t="str">
        <f>IFERROR(tbl_RW[[#This Row],[Qty Required]]/tbl_RW[[#This Row],[PPH]]*tbl_RW[[#This Row],['# of men]],"")</f>
        <v/>
      </c>
      <c r="L30" s="58" t="e">
        <f>tbl_RW[[#This Row],[Total hours]]*tbl_RW[[#This Row],[% Complete]]</f>
        <v>#VALUE!</v>
      </c>
      <c r="M30" s="59" t="str">
        <f>IFERROR(tbl_RW[[#This Row],[Qty Complete]]/tbl_RW[[#This Row],[Total Hours Act]]*tbl_RW[[#This Row],['# of men Act]],"")</f>
        <v/>
      </c>
      <c r="O30"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30" s="71" t="str">
        <f>IFERROR((tbl_RW[[#This Row],[Adj. Total Hours]]+tbl_RW[[#This Row],[Est. Hours]])/(tbl_RW[[#This Row],[Total Hours Act]]+tbl_RW[[#This Row],[Act. Hours]]),"")</f>
        <v/>
      </c>
      <c r="S30" s="63"/>
      <c r="T30" s="63"/>
      <c r="U30" s="63"/>
      <c r="V30" s="63"/>
      <c r="W30" s="63"/>
    </row>
    <row r="31" spans="6:23" ht="25" customHeight="1">
      <c r="F31" s="53"/>
      <c r="H31" s="55" t="e">
        <f>tbl_RW[[#This Row],[Qty Complete]]/tbl_RW[[#This Row],[Qty Required]]</f>
        <v>#DIV/0!</v>
      </c>
      <c r="K31" s="57" t="str">
        <f>IFERROR(tbl_RW[[#This Row],[Qty Required]]/tbl_RW[[#This Row],[PPH]]*tbl_RW[[#This Row],['# of men]],"")</f>
        <v/>
      </c>
      <c r="L31" s="58" t="e">
        <f>tbl_RW[[#This Row],[Total hours]]*tbl_RW[[#This Row],[% Complete]]</f>
        <v>#VALUE!</v>
      </c>
      <c r="M31" s="59" t="str">
        <f>IFERROR(tbl_RW[[#This Row],[Qty Complete]]/tbl_RW[[#This Row],[Total Hours Act]]*tbl_RW[[#This Row],['# of men Act]],"")</f>
        <v/>
      </c>
      <c r="O31"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31" s="71" t="str">
        <f>IFERROR((tbl_RW[[#This Row],[Adj. Total Hours]]+tbl_RW[[#This Row],[Est. Hours]])/(tbl_RW[[#This Row],[Total Hours Act]]+tbl_RW[[#This Row],[Act. Hours]]),"")</f>
        <v/>
      </c>
      <c r="S31" s="63"/>
      <c r="T31" s="63"/>
      <c r="U31" s="63"/>
      <c r="V31" s="63"/>
      <c r="W31" s="63"/>
    </row>
    <row r="32" spans="6:23" ht="25" customHeight="1">
      <c r="F32" s="53"/>
      <c r="H32" s="55" t="e">
        <f>tbl_RW[[#This Row],[Qty Complete]]/tbl_RW[[#This Row],[Qty Required]]</f>
        <v>#DIV/0!</v>
      </c>
      <c r="K32" s="57" t="str">
        <f>IFERROR(tbl_RW[[#This Row],[Qty Required]]/tbl_RW[[#This Row],[PPH]]*tbl_RW[[#This Row],['# of men]],"")</f>
        <v/>
      </c>
      <c r="L32" s="58" t="e">
        <f>tbl_RW[[#This Row],[Total hours]]*tbl_RW[[#This Row],[% Complete]]</f>
        <v>#VALUE!</v>
      </c>
      <c r="M32" s="59" t="str">
        <f>IFERROR(tbl_RW[[#This Row],[Qty Complete]]/tbl_RW[[#This Row],[Total Hours Act]]*tbl_RW[[#This Row],['# of men Act]],"")</f>
        <v/>
      </c>
      <c r="O32"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32" s="71" t="str">
        <f>IFERROR((tbl_RW[[#This Row],[Adj. Total Hours]]+tbl_RW[[#This Row],[Est. Hours]])/(tbl_RW[[#This Row],[Total Hours Act]]+tbl_RW[[#This Row],[Act. Hours]]),"")</f>
        <v/>
      </c>
      <c r="S32" s="63"/>
      <c r="T32" s="63"/>
      <c r="U32" s="63"/>
      <c r="V32" s="63"/>
      <c r="W32" s="63"/>
    </row>
    <row r="33" spans="6:23" ht="25" customHeight="1">
      <c r="F33" s="53"/>
      <c r="H33" s="55" t="e">
        <f>tbl_RW[[#This Row],[Qty Complete]]/tbl_RW[[#This Row],[Qty Required]]</f>
        <v>#DIV/0!</v>
      </c>
      <c r="K33" s="57" t="str">
        <f>IFERROR(tbl_RW[[#This Row],[Qty Required]]/tbl_RW[[#This Row],[PPH]]*tbl_RW[[#This Row],['# of men]],"")</f>
        <v/>
      </c>
      <c r="L33" s="58" t="e">
        <f>tbl_RW[[#This Row],[Total hours]]*tbl_RW[[#This Row],[% Complete]]</f>
        <v>#VALUE!</v>
      </c>
      <c r="M33" s="59" t="str">
        <f>IFERROR(tbl_RW[[#This Row],[Qty Complete]]/tbl_RW[[#This Row],[Total Hours Act]]*tbl_RW[[#This Row],['# of men Act]],"")</f>
        <v/>
      </c>
      <c r="O33"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33" s="71" t="str">
        <f>IFERROR((tbl_RW[[#This Row],[Adj. Total Hours]]+tbl_RW[[#This Row],[Est. Hours]])/(tbl_RW[[#This Row],[Total Hours Act]]+tbl_RW[[#This Row],[Act. Hours]]),"")</f>
        <v/>
      </c>
      <c r="S33" s="63"/>
      <c r="T33" s="63"/>
      <c r="U33" s="63"/>
      <c r="V33" s="63"/>
      <c r="W33" s="63"/>
    </row>
    <row r="34" spans="6:23" ht="25" customHeight="1">
      <c r="F34" s="53"/>
      <c r="H34" s="55" t="e">
        <f>tbl_RW[[#This Row],[Qty Complete]]/tbl_RW[[#This Row],[Qty Required]]</f>
        <v>#DIV/0!</v>
      </c>
      <c r="K34" s="57" t="str">
        <f>IFERROR(tbl_RW[[#This Row],[Qty Required]]/tbl_RW[[#This Row],[PPH]]*tbl_RW[[#This Row],['# of men]],"")</f>
        <v/>
      </c>
      <c r="L34" s="58" t="e">
        <f>tbl_RW[[#This Row],[Total hours]]*tbl_RW[[#This Row],[% Complete]]</f>
        <v>#VALUE!</v>
      </c>
      <c r="M34" s="59" t="str">
        <f>IFERROR(tbl_RW[[#This Row],[Qty Complete]]/tbl_RW[[#This Row],[Total Hours Act]]*tbl_RW[[#This Row],['# of men Act]],"")</f>
        <v/>
      </c>
      <c r="O34"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34" s="71" t="str">
        <f>IFERROR((tbl_RW[[#This Row],[Adj. Total Hours]]+tbl_RW[[#This Row],[Est. Hours]])/(tbl_RW[[#This Row],[Total Hours Act]]+tbl_RW[[#This Row],[Act. Hours]]),"")</f>
        <v/>
      </c>
      <c r="S34" s="63"/>
      <c r="T34" s="63"/>
      <c r="U34" s="63"/>
      <c r="V34" s="63"/>
      <c r="W34" s="63"/>
    </row>
    <row r="35" spans="6:23" ht="25" customHeight="1">
      <c r="F35" s="53"/>
      <c r="H35" s="55" t="e">
        <f>tbl_RW[[#This Row],[Qty Complete]]/tbl_RW[[#This Row],[Qty Required]]</f>
        <v>#DIV/0!</v>
      </c>
      <c r="K35" s="57" t="str">
        <f>IFERROR(tbl_RW[[#This Row],[Qty Required]]/tbl_RW[[#This Row],[PPH]]*tbl_RW[[#This Row],['# of men]],"")</f>
        <v/>
      </c>
      <c r="L35" s="58" t="e">
        <f>tbl_RW[[#This Row],[Total hours]]*tbl_RW[[#This Row],[% Complete]]</f>
        <v>#VALUE!</v>
      </c>
      <c r="M35" s="59" t="str">
        <f>IFERROR(tbl_RW[[#This Row],[Qty Complete]]/tbl_RW[[#This Row],[Total Hours Act]]*tbl_RW[[#This Row],['# of men Act]],"")</f>
        <v/>
      </c>
      <c r="O35"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35" s="71" t="str">
        <f>IFERROR((tbl_RW[[#This Row],[Adj. Total Hours]]+tbl_RW[[#This Row],[Est. Hours]])/(tbl_RW[[#This Row],[Total Hours Act]]+tbl_RW[[#This Row],[Act. Hours]]),"")</f>
        <v/>
      </c>
      <c r="S35" s="63"/>
      <c r="T35" s="63"/>
      <c r="U35" s="63"/>
      <c r="V35" s="63"/>
      <c r="W35" s="63"/>
    </row>
    <row r="36" spans="6:23" ht="25" customHeight="1">
      <c r="F36" s="53"/>
      <c r="H36" s="55" t="e">
        <f>tbl_RW[[#This Row],[Qty Complete]]/tbl_RW[[#This Row],[Qty Required]]</f>
        <v>#DIV/0!</v>
      </c>
      <c r="K36" s="57" t="str">
        <f>IFERROR(tbl_RW[[#This Row],[Qty Required]]/tbl_RW[[#This Row],[PPH]]*tbl_RW[[#This Row],['# of men]],"")</f>
        <v/>
      </c>
      <c r="L36" s="58" t="e">
        <f>tbl_RW[[#This Row],[Total hours]]*tbl_RW[[#This Row],[% Complete]]</f>
        <v>#VALUE!</v>
      </c>
      <c r="M36" s="59" t="str">
        <f>IFERROR(tbl_RW[[#This Row],[Qty Complete]]/tbl_RW[[#This Row],[Total Hours Act]]*tbl_RW[[#This Row],['# of men Act]],"")</f>
        <v/>
      </c>
      <c r="O36"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36" s="71" t="str">
        <f>IFERROR((tbl_RW[[#This Row],[Adj. Total Hours]]+tbl_RW[[#This Row],[Est. Hours]])/(tbl_RW[[#This Row],[Total Hours Act]]+tbl_RW[[#This Row],[Act. Hours]]),"")</f>
        <v/>
      </c>
      <c r="S36" s="63"/>
      <c r="T36" s="63"/>
      <c r="U36" s="63"/>
      <c r="V36" s="63"/>
      <c r="W36" s="63"/>
    </row>
    <row r="37" spans="6:23" ht="25" customHeight="1">
      <c r="F37" s="53"/>
      <c r="H37" s="55" t="e">
        <f>tbl_RW[[#This Row],[Qty Complete]]/tbl_RW[[#This Row],[Qty Required]]</f>
        <v>#DIV/0!</v>
      </c>
      <c r="K37" s="57" t="str">
        <f>IFERROR(tbl_RW[[#This Row],[Qty Required]]/tbl_RW[[#This Row],[PPH]]*tbl_RW[[#This Row],['# of men]],"")</f>
        <v/>
      </c>
      <c r="L37" s="58" t="e">
        <f>tbl_RW[[#This Row],[Total hours]]*tbl_RW[[#This Row],[% Complete]]</f>
        <v>#VALUE!</v>
      </c>
      <c r="M37" s="59" t="str">
        <f>IFERROR(tbl_RW[[#This Row],[Qty Complete]]/tbl_RW[[#This Row],[Total Hours Act]]*tbl_RW[[#This Row],['# of men Act]],"")</f>
        <v/>
      </c>
      <c r="O37"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37" s="71" t="str">
        <f>IFERROR((tbl_RW[[#This Row],[Adj. Total Hours]]+tbl_RW[[#This Row],[Est. Hours]])/(tbl_RW[[#This Row],[Total Hours Act]]+tbl_RW[[#This Row],[Act. Hours]]),"")</f>
        <v/>
      </c>
      <c r="S37" s="63"/>
      <c r="T37" s="63"/>
      <c r="U37" s="63"/>
      <c r="V37" s="63"/>
      <c r="W37" s="63"/>
    </row>
    <row r="38" spans="6:23" ht="25" customHeight="1">
      <c r="F38" s="53"/>
      <c r="H38" s="55" t="e">
        <f>tbl_RW[[#This Row],[Qty Complete]]/tbl_RW[[#This Row],[Qty Required]]</f>
        <v>#DIV/0!</v>
      </c>
      <c r="K38" s="57" t="str">
        <f>IFERROR(tbl_RW[[#This Row],[Qty Required]]/tbl_RW[[#This Row],[PPH]]*tbl_RW[[#This Row],['# of men]],"")</f>
        <v/>
      </c>
      <c r="L38" s="58" t="e">
        <f>tbl_RW[[#This Row],[Total hours]]*tbl_RW[[#This Row],[% Complete]]</f>
        <v>#VALUE!</v>
      </c>
      <c r="M38" s="59" t="str">
        <f>IFERROR(tbl_RW[[#This Row],[Qty Complete]]/tbl_RW[[#This Row],[Total Hours Act]]*tbl_RW[[#This Row],['# of men Act]],"")</f>
        <v/>
      </c>
      <c r="O38"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38" s="71" t="str">
        <f>IFERROR((tbl_RW[[#This Row],[Adj. Total Hours]]+tbl_RW[[#This Row],[Est. Hours]])/(tbl_RW[[#This Row],[Total Hours Act]]+tbl_RW[[#This Row],[Act. Hours]]),"")</f>
        <v/>
      </c>
      <c r="S38" s="63"/>
      <c r="T38" s="63"/>
      <c r="U38" s="63"/>
      <c r="V38" s="63"/>
      <c r="W38" s="63"/>
    </row>
    <row r="39" spans="6:23" ht="25" customHeight="1">
      <c r="F39" s="53"/>
      <c r="H39" s="55" t="e">
        <f>tbl_RW[[#This Row],[Qty Complete]]/tbl_RW[[#This Row],[Qty Required]]</f>
        <v>#DIV/0!</v>
      </c>
      <c r="K39" s="57" t="str">
        <f>IFERROR(tbl_RW[[#This Row],[Qty Required]]/tbl_RW[[#This Row],[PPH]]*tbl_RW[[#This Row],['# of men]],"")</f>
        <v/>
      </c>
      <c r="L39" s="58" t="e">
        <f>tbl_RW[[#This Row],[Total hours]]*tbl_RW[[#This Row],[% Complete]]</f>
        <v>#VALUE!</v>
      </c>
      <c r="M39" s="59" t="str">
        <f>IFERROR(tbl_RW[[#This Row],[Qty Complete]]/tbl_RW[[#This Row],[Total Hours Act]]*tbl_RW[[#This Row],['# of men Act]],"")</f>
        <v/>
      </c>
      <c r="O39"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39" s="71" t="str">
        <f>IFERROR((tbl_RW[[#This Row],[Adj. Total Hours]]+tbl_RW[[#This Row],[Est. Hours]])/(tbl_RW[[#This Row],[Total Hours Act]]+tbl_RW[[#This Row],[Act. Hours]]),"")</f>
        <v/>
      </c>
      <c r="S39" s="63"/>
      <c r="T39" s="63"/>
      <c r="U39" s="63"/>
      <c r="V39" s="63"/>
      <c r="W39" s="63"/>
    </row>
    <row r="40" spans="6:23" ht="25" customHeight="1">
      <c r="F40" s="53"/>
      <c r="H40" s="55" t="e">
        <f>tbl_RW[[#This Row],[Qty Complete]]/tbl_RW[[#This Row],[Qty Required]]</f>
        <v>#DIV/0!</v>
      </c>
      <c r="K40" s="57" t="str">
        <f>IFERROR(tbl_RW[[#This Row],[Qty Required]]/tbl_RW[[#This Row],[PPH]]*tbl_RW[[#This Row],['# of men]],"")</f>
        <v/>
      </c>
      <c r="L40" s="58" t="e">
        <f>tbl_RW[[#This Row],[Total hours]]*tbl_RW[[#This Row],[% Complete]]</f>
        <v>#VALUE!</v>
      </c>
      <c r="M40" s="59" t="str">
        <f>IFERROR(tbl_RW[[#This Row],[Qty Complete]]/tbl_RW[[#This Row],[Total Hours Act]]*tbl_RW[[#This Row],['# of men Act]],"")</f>
        <v/>
      </c>
      <c r="O40"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40" s="71" t="str">
        <f>IFERROR((tbl_RW[[#This Row],[Adj. Total Hours]]+tbl_RW[[#This Row],[Est. Hours]])/(tbl_RW[[#This Row],[Total Hours Act]]+tbl_RW[[#This Row],[Act. Hours]]),"")</f>
        <v/>
      </c>
      <c r="S40" s="63"/>
      <c r="T40" s="63"/>
      <c r="U40" s="63"/>
      <c r="V40" s="63"/>
      <c r="W40" s="63"/>
    </row>
    <row r="41" spans="6:23" ht="25" customHeight="1">
      <c r="F41" s="53"/>
      <c r="H41" s="55" t="e">
        <f>tbl_RW[[#This Row],[Qty Complete]]/tbl_RW[[#This Row],[Qty Required]]</f>
        <v>#DIV/0!</v>
      </c>
      <c r="K41" s="57" t="str">
        <f>IFERROR(tbl_RW[[#This Row],[Qty Required]]/tbl_RW[[#This Row],[PPH]]*tbl_RW[[#This Row],['# of men]],"")</f>
        <v/>
      </c>
      <c r="L41" s="58" t="e">
        <f>tbl_RW[[#This Row],[Total hours]]*tbl_RW[[#This Row],[% Complete]]</f>
        <v>#VALUE!</v>
      </c>
      <c r="M41" s="59" t="str">
        <f>IFERROR(tbl_RW[[#This Row],[Qty Complete]]/tbl_RW[[#This Row],[Total Hours Act]]*tbl_RW[[#This Row],['# of men Act]],"")</f>
        <v/>
      </c>
      <c r="O41"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41" s="71" t="str">
        <f>IFERROR((tbl_RW[[#This Row],[Adj. Total Hours]]+tbl_RW[[#This Row],[Est. Hours]])/(tbl_RW[[#This Row],[Total Hours Act]]+tbl_RW[[#This Row],[Act. Hours]]),"")</f>
        <v/>
      </c>
      <c r="S41" s="63"/>
      <c r="T41" s="63"/>
      <c r="U41" s="63"/>
      <c r="V41" s="63"/>
      <c r="W41" s="63"/>
    </row>
    <row r="42" spans="6:23" ht="25" customHeight="1">
      <c r="F42" s="53"/>
      <c r="H42" s="55" t="e">
        <f>tbl_RW[[#This Row],[Qty Complete]]/tbl_RW[[#This Row],[Qty Required]]</f>
        <v>#DIV/0!</v>
      </c>
      <c r="K42" s="57" t="str">
        <f>IFERROR(tbl_RW[[#This Row],[Qty Required]]/tbl_RW[[#This Row],[PPH]]*tbl_RW[[#This Row],['# of men]],"")</f>
        <v/>
      </c>
      <c r="L42" s="58" t="e">
        <f>tbl_RW[[#This Row],[Total hours]]*tbl_RW[[#This Row],[% Complete]]</f>
        <v>#VALUE!</v>
      </c>
      <c r="M42" s="59" t="str">
        <f>IFERROR(tbl_RW[[#This Row],[Qty Complete]]/tbl_RW[[#This Row],[Total Hours Act]]*tbl_RW[[#This Row],['# of men Act]],"")</f>
        <v/>
      </c>
      <c r="O42"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42" s="71" t="str">
        <f>IFERROR((tbl_RW[[#This Row],[Adj. Total Hours]]+tbl_RW[[#This Row],[Est. Hours]])/(tbl_RW[[#This Row],[Total Hours Act]]+tbl_RW[[#This Row],[Act. Hours]]),"")</f>
        <v/>
      </c>
      <c r="S42" s="63"/>
      <c r="T42" s="63"/>
      <c r="U42" s="63"/>
      <c r="V42" s="63"/>
      <c r="W42" s="63"/>
    </row>
    <row r="43" spans="6:23" ht="25" customHeight="1">
      <c r="F43" s="53"/>
      <c r="H43" s="55" t="e">
        <f>tbl_RW[[#This Row],[Qty Complete]]/tbl_RW[[#This Row],[Qty Required]]</f>
        <v>#DIV/0!</v>
      </c>
      <c r="K43" s="57" t="str">
        <f>IFERROR(tbl_RW[[#This Row],[Qty Required]]/tbl_RW[[#This Row],[PPH]]*tbl_RW[[#This Row],['# of men]],"")</f>
        <v/>
      </c>
      <c r="L43" s="58" t="e">
        <f>tbl_RW[[#This Row],[Total hours]]*tbl_RW[[#This Row],[% Complete]]</f>
        <v>#VALUE!</v>
      </c>
      <c r="M43" s="59" t="str">
        <f>IFERROR(tbl_RW[[#This Row],[Qty Complete]]/tbl_RW[[#This Row],[Total Hours Act]]*tbl_RW[[#This Row],['# of men Act]],"")</f>
        <v/>
      </c>
      <c r="O43"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43" s="71" t="str">
        <f>IFERROR((tbl_RW[[#This Row],[Adj. Total Hours]]+tbl_RW[[#This Row],[Est. Hours]])/(tbl_RW[[#This Row],[Total Hours Act]]+tbl_RW[[#This Row],[Act. Hours]]),"")</f>
        <v/>
      </c>
      <c r="S43" s="63"/>
      <c r="T43" s="63"/>
      <c r="U43" s="63"/>
      <c r="V43" s="63"/>
      <c r="W43" s="63"/>
    </row>
    <row r="44" spans="6:23" ht="25" customHeight="1">
      <c r="F44" s="53"/>
      <c r="H44" s="55" t="e">
        <f>tbl_RW[[#This Row],[Qty Complete]]/tbl_RW[[#This Row],[Qty Required]]</f>
        <v>#DIV/0!</v>
      </c>
      <c r="K44" s="57" t="str">
        <f>IFERROR(tbl_RW[[#This Row],[Qty Required]]/tbl_RW[[#This Row],[PPH]]*tbl_RW[[#This Row],['# of men]],"")</f>
        <v/>
      </c>
      <c r="L44" s="58" t="e">
        <f>tbl_RW[[#This Row],[Total hours]]*tbl_RW[[#This Row],[% Complete]]</f>
        <v>#VALUE!</v>
      </c>
      <c r="M44" s="59" t="str">
        <f>IFERROR(tbl_RW[[#This Row],[Qty Complete]]/tbl_RW[[#This Row],[Total Hours Act]]*tbl_RW[[#This Row],['# of men Act]],"")</f>
        <v/>
      </c>
      <c r="O44"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44" s="71" t="str">
        <f>IFERROR((tbl_RW[[#This Row],[Adj. Total Hours]]+tbl_RW[[#This Row],[Est. Hours]])/(tbl_RW[[#This Row],[Total Hours Act]]+tbl_RW[[#This Row],[Act. Hours]]),"")</f>
        <v/>
      </c>
      <c r="S44" s="63"/>
      <c r="T44" s="63"/>
      <c r="U44" s="63"/>
      <c r="V44" s="63"/>
      <c r="W44" s="63"/>
    </row>
    <row r="45" spans="6:23" ht="25" customHeight="1">
      <c r="F45" s="53"/>
      <c r="H45" s="55" t="e">
        <f>tbl_RW[[#This Row],[Qty Complete]]/tbl_RW[[#This Row],[Qty Required]]</f>
        <v>#DIV/0!</v>
      </c>
      <c r="K45" s="57" t="str">
        <f>IFERROR(tbl_RW[[#This Row],[Qty Required]]/tbl_RW[[#This Row],[PPH]]*tbl_RW[[#This Row],['# of men]],"")</f>
        <v/>
      </c>
      <c r="L45" s="58" t="e">
        <f>tbl_RW[[#This Row],[Total hours]]*tbl_RW[[#This Row],[% Complete]]</f>
        <v>#VALUE!</v>
      </c>
      <c r="M45" s="59" t="str">
        <f>IFERROR(tbl_RW[[#This Row],[Qty Complete]]/tbl_RW[[#This Row],[Total Hours Act]]*tbl_RW[[#This Row],['# of men Act]],"")</f>
        <v/>
      </c>
      <c r="O45"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45" s="71" t="str">
        <f>IFERROR((tbl_RW[[#This Row],[Adj. Total Hours]]+tbl_RW[[#This Row],[Est. Hours]])/(tbl_RW[[#This Row],[Total Hours Act]]+tbl_RW[[#This Row],[Act. Hours]]),"")</f>
        <v/>
      </c>
      <c r="S45" s="63"/>
      <c r="T45" s="63"/>
      <c r="U45" s="63"/>
      <c r="V45" s="63"/>
      <c r="W45" s="63"/>
    </row>
    <row r="46" spans="6:23" ht="25" customHeight="1">
      <c r="F46" s="53"/>
      <c r="H46" s="55" t="e">
        <f>tbl_RW[[#This Row],[Qty Complete]]/tbl_RW[[#This Row],[Qty Required]]</f>
        <v>#DIV/0!</v>
      </c>
      <c r="K46" s="57" t="str">
        <f>IFERROR(tbl_RW[[#This Row],[Qty Required]]/tbl_RW[[#This Row],[PPH]]*tbl_RW[[#This Row],['# of men]],"")</f>
        <v/>
      </c>
      <c r="L46" s="58" t="e">
        <f>tbl_RW[[#This Row],[Total hours]]*tbl_RW[[#This Row],[% Complete]]</f>
        <v>#VALUE!</v>
      </c>
      <c r="M46" s="59" t="str">
        <f>IFERROR(tbl_RW[[#This Row],[Qty Complete]]/tbl_RW[[#This Row],[Total Hours Act]]*tbl_RW[[#This Row],['# of men Act]],"")</f>
        <v/>
      </c>
      <c r="O46"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46" s="71" t="str">
        <f>IFERROR((tbl_RW[[#This Row],[Adj. Total Hours]]+tbl_RW[[#This Row],[Est. Hours]])/(tbl_RW[[#This Row],[Total Hours Act]]+tbl_RW[[#This Row],[Act. Hours]]),"")</f>
        <v/>
      </c>
      <c r="S46" s="63"/>
      <c r="T46" s="63"/>
      <c r="U46" s="63"/>
      <c r="V46" s="63"/>
      <c r="W46" s="63"/>
    </row>
    <row r="47" spans="6:23" ht="25" customHeight="1">
      <c r="F47" s="53"/>
      <c r="H47" s="55" t="e">
        <f>tbl_RW[[#This Row],[Qty Complete]]/tbl_RW[[#This Row],[Qty Required]]</f>
        <v>#DIV/0!</v>
      </c>
      <c r="K47" s="57" t="str">
        <f>IFERROR(tbl_RW[[#This Row],[Qty Required]]/tbl_RW[[#This Row],[PPH]]*tbl_RW[[#This Row],['# of men]],"")</f>
        <v/>
      </c>
      <c r="L47" s="58" t="e">
        <f>tbl_RW[[#This Row],[Total hours]]*tbl_RW[[#This Row],[% Complete]]</f>
        <v>#VALUE!</v>
      </c>
      <c r="M47" s="59" t="str">
        <f>IFERROR(tbl_RW[[#This Row],[Qty Complete]]/tbl_RW[[#This Row],[Total Hours Act]]*tbl_RW[[#This Row],['# of men Act]],"")</f>
        <v/>
      </c>
      <c r="O47"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47" s="71" t="str">
        <f>IFERROR((tbl_RW[[#This Row],[Adj. Total Hours]]+tbl_RW[[#This Row],[Est. Hours]])/(tbl_RW[[#This Row],[Total Hours Act]]+tbl_RW[[#This Row],[Act. Hours]]),"")</f>
        <v/>
      </c>
      <c r="S47" s="63"/>
      <c r="T47" s="63"/>
      <c r="U47" s="63"/>
      <c r="V47" s="63"/>
      <c r="W47" s="63"/>
    </row>
    <row r="48" spans="6:23" ht="25" customHeight="1">
      <c r="F48" s="53"/>
      <c r="H48" s="55" t="e">
        <f>tbl_RW[[#This Row],[Qty Complete]]/tbl_RW[[#This Row],[Qty Required]]</f>
        <v>#DIV/0!</v>
      </c>
      <c r="K48" s="57" t="str">
        <f>IFERROR(tbl_RW[[#This Row],[Qty Required]]/tbl_RW[[#This Row],[PPH]]*tbl_RW[[#This Row],['# of men]],"")</f>
        <v/>
      </c>
      <c r="L48" s="58" t="e">
        <f>tbl_RW[[#This Row],[Total hours]]*tbl_RW[[#This Row],[% Complete]]</f>
        <v>#VALUE!</v>
      </c>
      <c r="M48" s="59" t="str">
        <f>IFERROR(tbl_RW[[#This Row],[Qty Complete]]/tbl_RW[[#This Row],[Total Hours Act]]*tbl_RW[[#This Row],['# of men Act]],"")</f>
        <v/>
      </c>
      <c r="O48"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48" s="71" t="str">
        <f>IFERROR((tbl_RW[[#This Row],[Adj. Total Hours]]+tbl_RW[[#This Row],[Est. Hours]])/(tbl_RW[[#This Row],[Total Hours Act]]+tbl_RW[[#This Row],[Act. Hours]]),"")</f>
        <v/>
      </c>
      <c r="S48" s="63"/>
      <c r="T48" s="63"/>
      <c r="U48" s="63"/>
      <c r="V48" s="63"/>
      <c r="W48" s="63"/>
    </row>
    <row r="49" spans="6:23" ht="25" customHeight="1">
      <c r="F49" s="53"/>
      <c r="H49" s="55" t="e">
        <f>tbl_RW[[#This Row],[Qty Complete]]/tbl_RW[[#This Row],[Qty Required]]</f>
        <v>#DIV/0!</v>
      </c>
      <c r="K49" s="57" t="str">
        <f>IFERROR(tbl_RW[[#This Row],[Qty Required]]/tbl_RW[[#This Row],[PPH]]*tbl_RW[[#This Row],['# of men]],"")</f>
        <v/>
      </c>
      <c r="L49" s="58" t="e">
        <f>tbl_RW[[#This Row],[Total hours]]*tbl_RW[[#This Row],[% Complete]]</f>
        <v>#VALUE!</v>
      </c>
      <c r="M49" s="59" t="str">
        <f>IFERROR(tbl_RW[[#This Row],[Qty Complete]]/tbl_RW[[#This Row],[Total Hours Act]]*tbl_RW[[#This Row],['# of men Act]],"")</f>
        <v/>
      </c>
      <c r="O49"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49" s="71" t="str">
        <f>IFERROR((tbl_RW[[#This Row],[Adj. Total Hours]]+tbl_RW[[#This Row],[Est. Hours]])/(tbl_RW[[#This Row],[Total Hours Act]]+tbl_RW[[#This Row],[Act. Hours]]),"")</f>
        <v/>
      </c>
      <c r="S49" s="63"/>
      <c r="T49" s="63"/>
      <c r="U49" s="63"/>
      <c r="V49" s="63"/>
      <c r="W49" s="63"/>
    </row>
    <row r="50" spans="6:23" ht="25" customHeight="1">
      <c r="F50" s="53"/>
      <c r="H50" s="55" t="e">
        <f>tbl_RW[[#This Row],[Qty Complete]]/tbl_RW[[#This Row],[Qty Required]]</f>
        <v>#DIV/0!</v>
      </c>
      <c r="K50" s="57" t="str">
        <f>IFERROR(tbl_RW[[#This Row],[Qty Required]]/tbl_RW[[#This Row],[PPH]]*tbl_RW[[#This Row],['# of men]],"")</f>
        <v/>
      </c>
      <c r="L50" s="58" t="e">
        <f>tbl_RW[[#This Row],[Total hours]]*tbl_RW[[#This Row],[% Complete]]</f>
        <v>#VALUE!</v>
      </c>
      <c r="M50" s="59" t="str">
        <f>IFERROR(tbl_RW[[#This Row],[Qty Complete]]/tbl_RW[[#This Row],[Total Hours Act]]*tbl_RW[[#This Row],['# of men Act]],"")</f>
        <v/>
      </c>
      <c r="O50"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50" s="71" t="str">
        <f>IFERROR((tbl_RW[[#This Row],[Adj. Total Hours]]+tbl_RW[[#This Row],[Est. Hours]])/(tbl_RW[[#This Row],[Total Hours Act]]+tbl_RW[[#This Row],[Act. Hours]]),"")</f>
        <v/>
      </c>
      <c r="S50" s="63"/>
      <c r="T50" s="63"/>
      <c r="U50" s="63"/>
      <c r="V50" s="63"/>
      <c r="W50" s="63"/>
    </row>
    <row r="51" spans="6:23" ht="25" customHeight="1">
      <c r="F51" s="53"/>
      <c r="H51" s="55" t="e">
        <f>tbl_RW[[#This Row],[Qty Complete]]/tbl_RW[[#This Row],[Qty Required]]</f>
        <v>#DIV/0!</v>
      </c>
      <c r="K51" s="57" t="str">
        <f>IFERROR(tbl_RW[[#This Row],[Qty Required]]/tbl_RW[[#This Row],[PPH]]*tbl_RW[[#This Row],['# of men]],"")</f>
        <v/>
      </c>
      <c r="L51" s="58" t="e">
        <f>tbl_RW[[#This Row],[Total hours]]*tbl_RW[[#This Row],[% Complete]]</f>
        <v>#VALUE!</v>
      </c>
      <c r="M51" s="59" t="str">
        <f>IFERROR(tbl_RW[[#This Row],[Qty Complete]]/tbl_RW[[#This Row],[Total Hours Act]]*tbl_RW[[#This Row],['# of men Act]],"")</f>
        <v/>
      </c>
      <c r="O51"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51" s="71" t="str">
        <f>IFERROR((tbl_RW[[#This Row],[Adj. Total Hours]]+tbl_RW[[#This Row],[Est. Hours]])/(tbl_RW[[#This Row],[Total Hours Act]]+tbl_RW[[#This Row],[Act. Hours]]),"")</f>
        <v/>
      </c>
      <c r="S51" s="63"/>
      <c r="T51" s="63"/>
      <c r="U51" s="63"/>
      <c r="V51" s="63"/>
      <c r="W51" s="63"/>
    </row>
    <row r="52" spans="6:23" ht="25" customHeight="1">
      <c r="F52" s="53"/>
      <c r="H52" s="55" t="e">
        <f>tbl_RW[[#This Row],[Qty Complete]]/tbl_RW[[#This Row],[Qty Required]]</f>
        <v>#DIV/0!</v>
      </c>
      <c r="K52" s="57" t="str">
        <f>IFERROR(tbl_RW[[#This Row],[Qty Required]]/tbl_RW[[#This Row],[PPH]]*tbl_RW[[#This Row],['# of men]],"")</f>
        <v/>
      </c>
      <c r="L52" s="58" t="e">
        <f>tbl_RW[[#This Row],[Total hours]]*tbl_RW[[#This Row],[% Complete]]</f>
        <v>#VALUE!</v>
      </c>
      <c r="M52" s="59" t="str">
        <f>IFERROR(tbl_RW[[#This Row],[Qty Complete]]/tbl_RW[[#This Row],[Total Hours Act]]*tbl_RW[[#This Row],['# of men Act]],"")</f>
        <v/>
      </c>
      <c r="O52"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52" s="71" t="str">
        <f>IFERROR((tbl_RW[[#This Row],[Adj. Total Hours]]+tbl_RW[[#This Row],[Est. Hours]])/(tbl_RW[[#This Row],[Total Hours Act]]+tbl_RW[[#This Row],[Act. Hours]]),"")</f>
        <v/>
      </c>
      <c r="S52" s="63"/>
      <c r="T52" s="63"/>
      <c r="U52" s="63"/>
      <c r="V52" s="63"/>
      <c r="W52" s="63"/>
    </row>
    <row r="53" spans="6:23" ht="25" customHeight="1">
      <c r="F53" s="53"/>
      <c r="H53" s="55" t="e">
        <f>tbl_RW[[#This Row],[Qty Complete]]/tbl_RW[[#This Row],[Qty Required]]</f>
        <v>#DIV/0!</v>
      </c>
      <c r="K53" s="57" t="str">
        <f>IFERROR(tbl_RW[[#This Row],[Qty Required]]/tbl_RW[[#This Row],[PPH]]*tbl_RW[[#This Row],['# of men]],"")</f>
        <v/>
      </c>
      <c r="L53" s="58" t="e">
        <f>tbl_RW[[#This Row],[Total hours]]*tbl_RW[[#This Row],[% Complete]]</f>
        <v>#VALUE!</v>
      </c>
      <c r="M53" s="59" t="str">
        <f>IFERROR(tbl_RW[[#This Row],[Qty Complete]]/tbl_RW[[#This Row],[Total Hours Act]]*tbl_RW[[#This Row],['# of men Act]],"")</f>
        <v/>
      </c>
      <c r="O53"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53" s="71" t="str">
        <f>IFERROR((tbl_RW[[#This Row],[Adj. Total Hours]]+tbl_RW[[#This Row],[Est. Hours]])/(tbl_RW[[#This Row],[Total Hours Act]]+tbl_RW[[#This Row],[Act. Hours]]),"")</f>
        <v/>
      </c>
      <c r="S53" s="63"/>
      <c r="T53" s="63"/>
      <c r="U53" s="63"/>
      <c r="V53" s="63"/>
      <c r="W53" s="63"/>
    </row>
    <row r="54" spans="6:23" ht="25" customHeight="1">
      <c r="F54" s="53"/>
      <c r="H54" s="55" t="e">
        <f>tbl_RW[[#This Row],[Qty Complete]]/tbl_RW[[#This Row],[Qty Required]]</f>
        <v>#DIV/0!</v>
      </c>
      <c r="K54" s="57" t="str">
        <f>IFERROR(tbl_RW[[#This Row],[Qty Required]]/tbl_RW[[#This Row],[PPH]]*tbl_RW[[#This Row],['# of men]],"")</f>
        <v/>
      </c>
      <c r="L54" s="58" t="e">
        <f>tbl_RW[[#This Row],[Total hours]]*tbl_RW[[#This Row],[% Complete]]</f>
        <v>#VALUE!</v>
      </c>
      <c r="M54" s="59" t="str">
        <f>IFERROR(tbl_RW[[#This Row],[Qty Complete]]/tbl_RW[[#This Row],[Total Hours Act]]*tbl_RW[[#This Row],['# of men Act]],"")</f>
        <v/>
      </c>
      <c r="O54"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54" s="71" t="str">
        <f>IFERROR((tbl_RW[[#This Row],[Adj. Total Hours]]+tbl_RW[[#This Row],[Est. Hours]])/(tbl_RW[[#This Row],[Total Hours Act]]+tbl_RW[[#This Row],[Act. Hours]]),"")</f>
        <v/>
      </c>
      <c r="S54" s="63"/>
      <c r="T54" s="63"/>
      <c r="U54" s="63"/>
      <c r="V54" s="63"/>
      <c r="W54" s="63"/>
    </row>
    <row r="55" spans="6:23" ht="25" customHeight="1">
      <c r="F55" s="53"/>
      <c r="H55" s="55" t="e">
        <f>tbl_RW[[#This Row],[Qty Complete]]/tbl_RW[[#This Row],[Qty Required]]</f>
        <v>#DIV/0!</v>
      </c>
      <c r="K55" s="57" t="str">
        <f>IFERROR(tbl_RW[[#This Row],[Qty Required]]/tbl_RW[[#This Row],[PPH]]*tbl_RW[[#This Row],['# of men]],"")</f>
        <v/>
      </c>
      <c r="L55" s="58" t="e">
        <f>tbl_RW[[#This Row],[Total hours]]*tbl_RW[[#This Row],[% Complete]]</f>
        <v>#VALUE!</v>
      </c>
      <c r="M55" s="59" t="str">
        <f>IFERROR(tbl_RW[[#This Row],[Qty Complete]]/tbl_RW[[#This Row],[Total Hours Act]]*tbl_RW[[#This Row],['# of men Act]],"")</f>
        <v/>
      </c>
      <c r="O55"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55" s="71" t="str">
        <f>IFERROR((tbl_RW[[#This Row],[Adj. Total Hours]]+tbl_RW[[#This Row],[Est. Hours]])/(tbl_RW[[#This Row],[Total Hours Act]]+tbl_RW[[#This Row],[Act. Hours]]),"")</f>
        <v/>
      </c>
      <c r="S55" s="63"/>
      <c r="T55" s="63"/>
      <c r="U55" s="63"/>
      <c r="V55" s="63"/>
      <c r="W55" s="63"/>
    </row>
    <row r="56" spans="6:23" ht="25" customHeight="1">
      <c r="F56" s="53"/>
      <c r="H56" s="55" t="e">
        <f>tbl_RW[[#This Row],[Qty Complete]]/tbl_RW[[#This Row],[Qty Required]]</f>
        <v>#DIV/0!</v>
      </c>
      <c r="K56" s="57" t="str">
        <f>IFERROR(tbl_RW[[#This Row],[Qty Required]]/tbl_RW[[#This Row],[PPH]]*tbl_RW[[#This Row],['# of men]],"")</f>
        <v/>
      </c>
      <c r="L56" s="58" t="e">
        <f>tbl_RW[[#This Row],[Total hours]]*tbl_RW[[#This Row],[% Complete]]</f>
        <v>#VALUE!</v>
      </c>
      <c r="M56" s="59" t="str">
        <f>IFERROR(tbl_RW[[#This Row],[Qty Complete]]/tbl_RW[[#This Row],[Total Hours Act]]*tbl_RW[[#This Row],['# of men Act]],"")</f>
        <v/>
      </c>
      <c r="O56"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56" s="71" t="str">
        <f>IFERROR((tbl_RW[[#This Row],[Adj. Total Hours]]+tbl_RW[[#This Row],[Est. Hours]])/(tbl_RW[[#This Row],[Total Hours Act]]+tbl_RW[[#This Row],[Act. Hours]]),"")</f>
        <v/>
      </c>
      <c r="S56" s="63"/>
      <c r="T56" s="63"/>
      <c r="U56" s="63"/>
      <c r="V56" s="63"/>
      <c r="W56" s="63"/>
    </row>
    <row r="57" spans="6:23" ht="25" customHeight="1">
      <c r="F57" s="53"/>
      <c r="H57" s="55" t="e">
        <f>tbl_RW[[#This Row],[Qty Complete]]/tbl_RW[[#This Row],[Qty Required]]</f>
        <v>#DIV/0!</v>
      </c>
      <c r="K57" s="57" t="str">
        <f>IFERROR(tbl_RW[[#This Row],[Qty Required]]/tbl_RW[[#This Row],[PPH]]*tbl_RW[[#This Row],['# of men]],"")</f>
        <v/>
      </c>
      <c r="L57" s="58" t="e">
        <f>tbl_RW[[#This Row],[Total hours]]*tbl_RW[[#This Row],[% Complete]]</f>
        <v>#VALUE!</v>
      </c>
      <c r="M57" s="59" t="str">
        <f>IFERROR(tbl_RW[[#This Row],[Qty Complete]]/tbl_RW[[#This Row],[Total Hours Act]]*tbl_RW[[#This Row],['# of men Act]],"")</f>
        <v/>
      </c>
      <c r="O57"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57" s="71" t="str">
        <f>IFERROR((tbl_RW[[#This Row],[Adj. Total Hours]]+tbl_RW[[#This Row],[Est. Hours]])/(tbl_RW[[#This Row],[Total Hours Act]]+tbl_RW[[#This Row],[Act. Hours]]),"")</f>
        <v/>
      </c>
      <c r="S57" s="63"/>
      <c r="T57" s="63"/>
      <c r="U57" s="63"/>
      <c r="V57" s="63"/>
      <c r="W57" s="63"/>
    </row>
    <row r="58" spans="6:23" ht="25" customHeight="1">
      <c r="F58" s="53"/>
      <c r="H58" s="55" t="e">
        <f>tbl_RW[[#This Row],[Qty Complete]]/tbl_RW[[#This Row],[Qty Required]]</f>
        <v>#DIV/0!</v>
      </c>
      <c r="K58" s="57" t="str">
        <f>IFERROR(tbl_RW[[#This Row],[Qty Required]]/tbl_RW[[#This Row],[PPH]]*tbl_RW[[#This Row],['# of men]],"")</f>
        <v/>
      </c>
      <c r="L58" s="58" t="e">
        <f>tbl_RW[[#This Row],[Total hours]]*tbl_RW[[#This Row],[% Complete]]</f>
        <v>#VALUE!</v>
      </c>
      <c r="M58" s="59" t="str">
        <f>IFERROR(tbl_RW[[#This Row],[Qty Complete]]/tbl_RW[[#This Row],[Total Hours Act]]*tbl_RW[[#This Row],['# of men Act]],"")</f>
        <v/>
      </c>
      <c r="O58"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58" s="71" t="str">
        <f>IFERROR((tbl_RW[[#This Row],[Adj. Total Hours]]+tbl_RW[[#This Row],[Est. Hours]])/(tbl_RW[[#This Row],[Total Hours Act]]+tbl_RW[[#This Row],[Act. Hours]]),"")</f>
        <v/>
      </c>
      <c r="S58" s="63"/>
      <c r="T58" s="63"/>
      <c r="U58" s="63"/>
      <c r="V58" s="63"/>
      <c r="W58" s="63"/>
    </row>
    <row r="59" spans="6:23" ht="25" customHeight="1">
      <c r="F59" s="53"/>
      <c r="H59" s="55" t="e">
        <f>tbl_RW[[#This Row],[Qty Complete]]/tbl_RW[[#This Row],[Qty Required]]</f>
        <v>#DIV/0!</v>
      </c>
      <c r="K59" s="57" t="str">
        <f>IFERROR(tbl_RW[[#This Row],[Qty Required]]/tbl_RW[[#This Row],[PPH]]*tbl_RW[[#This Row],['# of men]],"")</f>
        <v/>
      </c>
      <c r="L59" s="58" t="e">
        <f>tbl_RW[[#This Row],[Total hours]]*tbl_RW[[#This Row],[% Complete]]</f>
        <v>#VALUE!</v>
      </c>
      <c r="M59" s="59" t="str">
        <f>IFERROR(tbl_RW[[#This Row],[Qty Complete]]/tbl_RW[[#This Row],[Total Hours Act]]*tbl_RW[[#This Row],['# of men Act]],"")</f>
        <v/>
      </c>
      <c r="O59"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59" s="71" t="str">
        <f>IFERROR((tbl_RW[[#This Row],[Adj. Total Hours]]+tbl_RW[[#This Row],[Est. Hours]])/(tbl_RW[[#This Row],[Total Hours Act]]+tbl_RW[[#This Row],[Act. Hours]]),"")</f>
        <v/>
      </c>
      <c r="S59" s="63"/>
      <c r="T59" s="63"/>
      <c r="U59" s="63"/>
      <c r="V59" s="63"/>
      <c r="W59" s="63"/>
    </row>
    <row r="60" spans="6:23" ht="25" customHeight="1">
      <c r="F60" s="53"/>
      <c r="H60" s="55" t="e">
        <f>tbl_RW[[#This Row],[Qty Complete]]/tbl_RW[[#This Row],[Qty Required]]</f>
        <v>#DIV/0!</v>
      </c>
      <c r="K60" s="57" t="str">
        <f>IFERROR(tbl_RW[[#This Row],[Qty Required]]/tbl_RW[[#This Row],[PPH]]*tbl_RW[[#This Row],['# of men]],"")</f>
        <v/>
      </c>
      <c r="L60" s="58" t="e">
        <f>tbl_RW[[#This Row],[Total hours]]*tbl_RW[[#This Row],[% Complete]]</f>
        <v>#VALUE!</v>
      </c>
      <c r="M60" s="59" t="str">
        <f>IFERROR(tbl_RW[[#This Row],[Qty Complete]]/tbl_RW[[#This Row],[Total Hours Act]]*tbl_RW[[#This Row],['# of men Act]],"")</f>
        <v/>
      </c>
      <c r="O60"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60" s="71" t="str">
        <f>IFERROR((tbl_RW[[#This Row],[Adj. Total Hours]]+tbl_RW[[#This Row],[Est. Hours]])/(tbl_RW[[#This Row],[Total Hours Act]]+tbl_RW[[#This Row],[Act. Hours]]),"")</f>
        <v/>
      </c>
      <c r="S60" s="63"/>
      <c r="T60" s="63"/>
      <c r="U60" s="63"/>
      <c r="V60" s="63"/>
      <c r="W60" s="63"/>
    </row>
    <row r="61" spans="6:23" ht="25" customHeight="1">
      <c r="F61" s="53"/>
      <c r="H61" s="55" t="e">
        <f>tbl_RW[[#This Row],[Qty Complete]]/tbl_RW[[#This Row],[Qty Required]]</f>
        <v>#DIV/0!</v>
      </c>
      <c r="K61" s="57" t="str">
        <f>IFERROR(tbl_RW[[#This Row],[Qty Required]]/tbl_RW[[#This Row],[PPH]]*tbl_RW[[#This Row],['# of men]],"")</f>
        <v/>
      </c>
      <c r="L61" s="58" t="e">
        <f>tbl_RW[[#This Row],[Total hours]]*tbl_RW[[#This Row],[% Complete]]</f>
        <v>#VALUE!</v>
      </c>
      <c r="M61" s="59" t="str">
        <f>IFERROR(tbl_RW[[#This Row],[Qty Complete]]/tbl_RW[[#This Row],[Total Hours Act]]*tbl_RW[[#This Row],['# of men Act]],"")</f>
        <v/>
      </c>
      <c r="O61"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61" s="71" t="str">
        <f>IFERROR((tbl_RW[[#This Row],[Adj. Total Hours]]+tbl_RW[[#This Row],[Est. Hours]])/(tbl_RW[[#This Row],[Total Hours Act]]+tbl_RW[[#This Row],[Act. Hours]]),"")</f>
        <v/>
      </c>
      <c r="S61" s="63"/>
      <c r="T61" s="63"/>
      <c r="U61" s="63"/>
      <c r="V61" s="63"/>
      <c r="W61" s="63"/>
    </row>
    <row r="62" spans="6:23" ht="25" customHeight="1">
      <c r="F62" s="53"/>
      <c r="H62" s="55" t="e">
        <f>tbl_RW[[#This Row],[Qty Complete]]/tbl_RW[[#This Row],[Qty Required]]</f>
        <v>#DIV/0!</v>
      </c>
      <c r="K62" s="57" t="str">
        <f>IFERROR(tbl_RW[[#This Row],[Qty Required]]/tbl_RW[[#This Row],[PPH]]*tbl_RW[[#This Row],['# of men]],"")</f>
        <v/>
      </c>
      <c r="L62" s="58" t="e">
        <f>tbl_RW[[#This Row],[Total hours]]*tbl_RW[[#This Row],[% Complete]]</f>
        <v>#VALUE!</v>
      </c>
      <c r="M62" s="59" t="str">
        <f>IFERROR(tbl_RW[[#This Row],[Qty Complete]]/tbl_RW[[#This Row],[Total Hours Act]]*tbl_RW[[#This Row],['# of men Act]],"")</f>
        <v/>
      </c>
      <c r="O62"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62" s="71" t="str">
        <f>IFERROR((tbl_RW[[#This Row],[Adj. Total Hours]]+tbl_RW[[#This Row],[Est. Hours]])/(tbl_RW[[#This Row],[Total Hours Act]]+tbl_RW[[#This Row],[Act. Hours]]),"")</f>
        <v/>
      </c>
      <c r="S62" s="63"/>
      <c r="T62" s="63"/>
      <c r="U62" s="63"/>
      <c r="V62" s="63"/>
      <c r="W62" s="63"/>
    </row>
    <row r="63" spans="6:23" ht="25" customHeight="1">
      <c r="F63" s="53"/>
      <c r="H63" s="55" t="e">
        <f>tbl_RW[[#This Row],[Qty Complete]]/tbl_RW[[#This Row],[Qty Required]]</f>
        <v>#DIV/0!</v>
      </c>
      <c r="K63" s="57" t="str">
        <f>IFERROR(tbl_RW[[#This Row],[Qty Required]]/tbl_RW[[#This Row],[PPH]]*tbl_RW[[#This Row],['# of men]],"")</f>
        <v/>
      </c>
      <c r="L63" s="58" t="e">
        <f>tbl_RW[[#This Row],[Total hours]]*tbl_RW[[#This Row],[% Complete]]</f>
        <v>#VALUE!</v>
      </c>
      <c r="M63" s="59" t="str">
        <f>IFERROR(tbl_RW[[#This Row],[Qty Complete]]/tbl_RW[[#This Row],[Total Hours Act]]*tbl_RW[[#This Row],['# of men Act]],"")</f>
        <v/>
      </c>
      <c r="O63"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63" s="71" t="str">
        <f>IFERROR((tbl_RW[[#This Row],[Adj. Total Hours]]+tbl_RW[[#This Row],[Est. Hours]])/(tbl_RW[[#This Row],[Total Hours Act]]+tbl_RW[[#This Row],[Act. Hours]]),"")</f>
        <v/>
      </c>
      <c r="S63" s="63"/>
      <c r="T63" s="63"/>
      <c r="U63" s="63"/>
      <c r="V63" s="63"/>
      <c r="W63" s="63"/>
    </row>
    <row r="64" spans="6:23" ht="25" customHeight="1">
      <c r="F64" s="53"/>
      <c r="H64" s="55" t="e">
        <f>tbl_RW[[#This Row],[Qty Complete]]/tbl_RW[[#This Row],[Qty Required]]</f>
        <v>#DIV/0!</v>
      </c>
      <c r="K64" s="57" t="str">
        <f>IFERROR(tbl_RW[[#This Row],[Qty Required]]/tbl_RW[[#This Row],[PPH]]*tbl_RW[[#This Row],['# of men]],"")</f>
        <v/>
      </c>
      <c r="L64" s="58" t="e">
        <f>tbl_RW[[#This Row],[Total hours]]*tbl_RW[[#This Row],[% Complete]]</f>
        <v>#VALUE!</v>
      </c>
      <c r="M64" s="59" t="str">
        <f>IFERROR(tbl_RW[[#This Row],[Qty Complete]]/tbl_RW[[#This Row],[Total Hours Act]]*tbl_RW[[#This Row],['# of men Act]],"")</f>
        <v/>
      </c>
      <c r="O64"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64" s="71" t="str">
        <f>IFERROR((tbl_RW[[#This Row],[Adj. Total Hours]]+tbl_RW[[#This Row],[Est. Hours]])/(tbl_RW[[#This Row],[Total Hours Act]]+tbl_RW[[#This Row],[Act. Hours]]),"")</f>
        <v/>
      </c>
      <c r="S64" s="63"/>
      <c r="T64" s="63"/>
      <c r="U64" s="63"/>
      <c r="V64" s="63"/>
      <c r="W64" s="63"/>
    </row>
    <row r="65" spans="6:23" ht="25" customHeight="1">
      <c r="F65" s="53"/>
      <c r="H65" s="55" t="e">
        <f>tbl_RW[[#This Row],[Qty Complete]]/tbl_RW[[#This Row],[Qty Required]]</f>
        <v>#DIV/0!</v>
      </c>
      <c r="K65" s="57" t="str">
        <f>IFERROR(tbl_RW[[#This Row],[Qty Required]]/tbl_RW[[#This Row],[PPH]]*tbl_RW[[#This Row],['# of men]],"")</f>
        <v/>
      </c>
      <c r="L65" s="58" t="e">
        <f>tbl_RW[[#This Row],[Total hours]]*tbl_RW[[#This Row],[% Complete]]</f>
        <v>#VALUE!</v>
      </c>
      <c r="M65" s="59" t="str">
        <f>IFERROR(tbl_RW[[#This Row],[Qty Complete]]/tbl_RW[[#This Row],[Total Hours Act]]*tbl_RW[[#This Row],['# of men Act]],"")</f>
        <v/>
      </c>
      <c r="O65"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65" s="71" t="str">
        <f>IFERROR((tbl_RW[[#This Row],[Adj. Total Hours]]+tbl_RW[[#This Row],[Est. Hours]])/(tbl_RW[[#This Row],[Total Hours Act]]+tbl_RW[[#This Row],[Act. Hours]]),"")</f>
        <v/>
      </c>
      <c r="S65" s="63"/>
      <c r="T65" s="63"/>
      <c r="U65" s="63"/>
      <c r="V65" s="63"/>
      <c r="W65" s="63"/>
    </row>
    <row r="66" spans="6:23" ht="25" customHeight="1">
      <c r="F66" s="53"/>
      <c r="H66" s="55" t="e">
        <f>tbl_RW[[#This Row],[Qty Complete]]/tbl_RW[[#This Row],[Qty Required]]</f>
        <v>#DIV/0!</v>
      </c>
      <c r="K66" s="57" t="str">
        <f>IFERROR(tbl_RW[[#This Row],[Qty Required]]/tbl_RW[[#This Row],[PPH]]*tbl_RW[[#This Row],['# of men]],"")</f>
        <v/>
      </c>
      <c r="L66" s="58" t="e">
        <f>tbl_RW[[#This Row],[Total hours]]*tbl_RW[[#This Row],[% Complete]]</f>
        <v>#VALUE!</v>
      </c>
      <c r="M66" s="59" t="str">
        <f>IFERROR(tbl_RW[[#This Row],[Qty Complete]]/tbl_RW[[#This Row],[Total Hours Act]]*tbl_RW[[#This Row],['# of men Act]],"")</f>
        <v/>
      </c>
      <c r="O66"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66" s="71" t="str">
        <f>IFERROR((tbl_RW[[#This Row],[Adj. Total Hours]]+tbl_RW[[#This Row],[Est. Hours]])/(tbl_RW[[#This Row],[Total Hours Act]]+tbl_RW[[#This Row],[Act. Hours]]),"")</f>
        <v/>
      </c>
      <c r="S66" s="63"/>
      <c r="T66" s="63"/>
      <c r="U66" s="63"/>
      <c r="V66" s="63"/>
      <c r="W66" s="63"/>
    </row>
    <row r="67" spans="6:23" ht="25" customHeight="1">
      <c r="F67" s="53"/>
      <c r="H67" s="55" t="e">
        <f>tbl_RW[[#This Row],[Qty Complete]]/tbl_RW[[#This Row],[Qty Required]]</f>
        <v>#DIV/0!</v>
      </c>
      <c r="K67" s="57" t="str">
        <f>IFERROR(tbl_RW[[#This Row],[Qty Required]]/tbl_RW[[#This Row],[PPH]]*tbl_RW[[#This Row],['# of men]],"")</f>
        <v/>
      </c>
      <c r="L67" s="58" t="e">
        <f>tbl_RW[[#This Row],[Total hours]]*tbl_RW[[#This Row],[% Complete]]</f>
        <v>#VALUE!</v>
      </c>
      <c r="M67" s="59" t="str">
        <f>IFERROR(tbl_RW[[#This Row],[Qty Complete]]/tbl_RW[[#This Row],[Total Hours Act]]*tbl_RW[[#This Row],['# of men Act]],"")</f>
        <v/>
      </c>
      <c r="O67"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67" s="71" t="str">
        <f>IFERROR((tbl_RW[[#This Row],[Adj. Total Hours]]+tbl_RW[[#This Row],[Est. Hours]])/(tbl_RW[[#This Row],[Total Hours Act]]+tbl_RW[[#This Row],[Act. Hours]]),"")</f>
        <v/>
      </c>
      <c r="S67" s="63"/>
      <c r="T67" s="63"/>
      <c r="U67" s="63"/>
      <c r="V67" s="63"/>
      <c r="W67" s="63"/>
    </row>
    <row r="68" spans="6:23" ht="25" customHeight="1">
      <c r="F68" s="53"/>
      <c r="H68" s="55" t="e">
        <f>tbl_RW[[#This Row],[Qty Complete]]/tbl_RW[[#This Row],[Qty Required]]</f>
        <v>#DIV/0!</v>
      </c>
      <c r="K68" s="57" t="str">
        <f>IFERROR(tbl_RW[[#This Row],[Qty Required]]/tbl_RW[[#This Row],[PPH]]*tbl_RW[[#This Row],['# of men]],"")</f>
        <v/>
      </c>
      <c r="L68" s="58" t="e">
        <f>tbl_RW[[#This Row],[Total hours]]*tbl_RW[[#This Row],[% Complete]]</f>
        <v>#VALUE!</v>
      </c>
      <c r="M68" s="59" t="str">
        <f>IFERROR(tbl_RW[[#This Row],[Qty Complete]]/tbl_RW[[#This Row],[Total Hours Act]]*tbl_RW[[#This Row],['# of men Act]],"")</f>
        <v/>
      </c>
      <c r="O68"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68" s="71" t="str">
        <f>IFERROR((tbl_RW[[#This Row],[Adj. Total Hours]]+tbl_RW[[#This Row],[Est. Hours]])/(tbl_RW[[#This Row],[Total Hours Act]]+tbl_RW[[#This Row],[Act. Hours]]),"")</f>
        <v/>
      </c>
      <c r="S68" s="63"/>
      <c r="T68" s="63"/>
      <c r="U68" s="63"/>
      <c r="V68" s="63"/>
      <c r="W68" s="63"/>
    </row>
    <row r="69" spans="6:23" ht="25" customHeight="1">
      <c r="F69" s="53"/>
      <c r="H69" s="55" t="e">
        <f>tbl_RW[[#This Row],[Qty Complete]]/tbl_RW[[#This Row],[Qty Required]]</f>
        <v>#DIV/0!</v>
      </c>
      <c r="K69" s="57" t="str">
        <f>IFERROR(tbl_RW[[#This Row],[Qty Required]]/tbl_RW[[#This Row],[PPH]]*tbl_RW[[#This Row],['# of men]],"")</f>
        <v/>
      </c>
      <c r="L69" s="58" t="e">
        <f>tbl_RW[[#This Row],[Total hours]]*tbl_RW[[#This Row],[% Complete]]</f>
        <v>#VALUE!</v>
      </c>
      <c r="M69" s="59" t="str">
        <f>IFERROR(tbl_RW[[#This Row],[Qty Complete]]/tbl_RW[[#This Row],[Total Hours Act]]*tbl_RW[[#This Row],['# of men Act]],"")</f>
        <v/>
      </c>
      <c r="O69"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69" s="71" t="str">
        <f>IFERROR((tbl_RW[[#This Row],[Adj. Total Hours]]+tbl_RW[[#This Row],[Est. Hours]])/(tbl_RW[[#This Row],[Total Hours Act]]+tbl_RW[[#This Row],[Act. Hours]]),"")</f>
        <v/>
      </c>
      <c r="S69" s="63"/>
      <c r="T69" s="63"/>
      <c r="U69" s="63"/>
      <c r="V69" s="63"/>
      <c r="W69" s="63"/>
    </row>
    <row r="70" spans="6:23" ht="25" customHeight="1">
      <c r="F70" s="53"/>
      <c r="H70" s="55" t="e">
        <f>tbl_RW[[#This Row],[Qty Complete]]/tbl_RW[[#This Row],[Qty Required]]</f>
        <v>#DIV/0!</v>
      </c>
      <c r="K70" s="57" t="str">
        <f>IFERROR(tbl_RW[[#This Row],[Qty Required]]/tbl_RW[[#This Row],[PPH]]*tbl_RW[[#This Row],['# of men]],"")</f>
        <v/>
      </c>
      <c r="L70" s="58" t="e">
        <f>tbl_RW[[#This Row],[Total hours]]*tbl_RW[[#This Row],[% Complete]]</f>
        <v>#VALUE!</v>
      </c>
      <c r="M70" s="59" t="str">
        <f>IFERROR(tbl_RW[[#This Row],[Qty Complete]]/tbl_RW[[#This Row],[Total Hours Act]]*tbl_RW[[#This Row],['# of men Act]],"")</f>
        <v/>
      </c>
      <c r="O70"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70" s="71" t="str">
        <f>IFERROR((tbl_RW[[#This Row],[Adj. Total Hours]]+tbl_RW[[#This Row],[Est. Hours]])/(tbl_RW[[#This Row],[Total Hours Act]]+tbl_RW[[#This Row],[Act. Hours]]),"")</f>
        <v/>
      </c>
      <c r="S70" s="63"/>
      <c r="T70" s="63"/>
      <c r="U70" s="63"/>
      <c r="V70" s="63"/>
      <c r="W70" s="63"/>
    </row>
    <row r="71" spans="6:23" ht="25" customHeight="1">
      <c r="F71" s="53"/>
      <c r="H71" s="55" t="e">
        <f>tbl_RW[[#This Row],[Qty Complete]]/tbl_RW[[#This Row],[Qty Required]]</f>
        <v>#DIV/0!</v>
      </c>
      <c r="K71" s="57" t="str">
        <f>IFERROR(tbl_RW[[#This Row],[Qty Required]]/tbl_RW[[#This Row],[PPH]]*tbl_RW[[#This Row],['# of men]],"")</f>
        <v/>
      </c>
      <c r="L71" s="58" t="e">
        <f>tbl_RW[[#This Row],[Total hours]]*tbl_RW[[#This Row],[% Complete]]</f>
        <v>#VALUE!</v>
      </c>
      <c r="M71" s="59" t="str">
        <f>IFERROR(tbl_RW[[#This Row],[Qty Complete]]/tbl_RW[[#This Row],[Total Hours Act]]*tbl_RW[[#This Row],['# of men Act]],"")</f>
        <v/>
      </c>
      <c r="O71"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71" s="71" t="str">
        <f>IFERROR((tbl_RW[[#This Row],[Adj. Total Hours]]+tbl_RW[[#This Row],[Est. Hours]])/(tbl_RW[[#This Row],[Total Hours Act]]+tbl_RW[[#This Row],[Act. Hours]]),"")</f>
        <v/>
      </c>
      <c r="S71" s="63"/>
      <c r="T71" s="63"/>
      <c r="U71" s="63"/>
      <c r="V71" s="63"/>
      <c r="W71" s="63"/>
    </row>
    <row r="72" spans="6:23" ht="25" customHeight="1">
      <c r="F72" s="53"/>
      <c r="H72" s="55" t="e">
        <f>tbl_RW[[#This Row],[Qty Complete]]/tbl_RW[[#This Row],[Qty Required]]</f>
        <v>#DIV/0!</v>
      </c>
      <c r="K72" s="57" t="str">
        <f>IFERROR(tbl_RW[[#This Row],[Qty Required]]/tbl_RW[[#This Row],[PPH]]*tbl_RW[[#This Row],['# of men]],"")</f>
        <v/>
      </c>
      <c r="L72" s="58" t="e">
        <f>tbl_RW[[#This Row],[Total hours]]*tbl_RW[[#This Row],[% Complete]]</f>
        <v>#VALUE!</v>
      </c>
      <c r="M72" s="59" t="str">
        <f>IFERROR(tbl_RW[[#This Row],[Qty Complete]]/tbl_RW[[#This Row],[Total Hours Act]]*tbl_RW[[#This Row],['# of men Act]],"")</f>
        <v/>
      </c>
      <c r="O72"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72" s="71" t="str">
        <f>IFERROR((tbl_RW[[#This Row],[Adj. Total Hours]]+tbl_RW[[#This Row],[Est. Hours]])/(tbl_RW[[#This Row],[Total Hours Act]]+tbl_RW[[#This Row],[Act. Hours]]),"")</f>
        <v/>
      </c>
      <c r="S72" s="63"/>
      <c r="T72" s="63"/>
      <c r="U72" s="63"/>
      <c r="V72" s="63"/>
      <c r="W72" s="63"/>
    </row>
    <row r="73" spans="6:23" ht="25" customHeight="1">
      <c r="F73" s="53"/>
      <c r="H73" s="55" t="e">
        <f>tbl_RW[[#This Row],[Qty Complete]]/tbl_RW[[#This Row],[Qty Required]]</f>
        <v>#DIV/0!</v>
      </c>
      <c r="K73" s="57" t="str">
        <f>IFERROR(tbl_RW[[#This Row],[Qty Required]]/tbl_RW[[#This Row],[PPH]]*tbl_RW[[#This Row],['# of men]],"")</f>
        <v/>
      </c>
      <c r="L73" s="58" t="e">
        <f>tbl_RW[[#This Row],[Total hours]]*tbl_RW[[#This Row],[% Complete]]</f>
        <v>#VALUE!</v>
      </c>
      <c r="M73" s="59" t="str">
        <f>IFERROR(tbl_RW[[#This Row],[Qty Complete]]/tbl_RW[[#This Row],[Total Hours Act]]*tbl_RW[[#This Row],['# of men Act]],"")</f>
        <v/>
      </c>
      <c r="O73"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73" s="71" t="str">
        <f>IFERROR((tbl_RW[[#This Row],[Adj. Total Hours]]+tbl_RW[[#This Row],[Est. Hours]])/(tbl_RW[[#This Row],[Total Hours Act]]+tbl_RW[[#This Row],[Act. Hours]]),"")</f>
        <v/>
      </c>
      <c r="S73" s="63"/>
      <c r="T73" s="63"/>
      <c r="U73" s="63"/>
      <c r="V73" s="63"/>
      <c r="W73" s="63"/>
    </row>
    <row r="74" spans="6:23" ht="25" customHeight="1">
      <c r="F74" s="53"/>
      <c r="H74" s="55" t="e">
        <f>tbl_RW[[#This Row],[Qty Complete]]/tbl_RW[[#This Row],[Qty Required]]</f>
        <v>#DIV/0!</v>
      </c>
      <c r="K74" s="57" t="str">
        <f>IFERROR(tbl_RW[[#This Row],[Qty Required]]/tbl_RW[[#This Row],[PPH]]*tbl_RW[[#This Row],['# of men]],"")</f>
        <v/>
      </c>
      <c r="L74" s="58" t="e">
        <f>tbl_RW[[#This Row],[Total hours]]*tbl_RW[[#This Row],[% Complete]]</f>
        <v>#VALUE!</v>
      </c>
      <c r="M74" s="59" t="str">
        <f>IFERROR(tbl_RW[[#This Row],[Qty Complete]]/tbl_RW[[#This Row],[Total Hours Act]]*tbl_RW[[#This Row],['# of men Act]],"")</f>
        <v/>
      </c>
      <c r="O74"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74" s="71" t="str">
        <f>IFERROR((tbl_RW[[#This Row],[Adj. Total Hours]]+tbl_RW[[#This Row],[Est. Hours]])/(tbl_RW[[#This Row],[Total Hours Act]]+tbl_RW[[#This Row],[Act. Hours]]),"")</f>
        <v/>
      </c>
      <c r="S74" s="63"/>
      <c r="T74" s="63"/>
      <c r="U74" s="63"/>
      <c r="V74" s="63"/>
      <c r="W74" s="63"/>
    </row>
    <row r="75" spans="6:23" ht="25" customHeight="1">
      <c r="F75" s="53"/>
      <c r="H75" s="55" t="e">
        <f>tbl_RW[[#This Row],[Qty Complete]]/tbl_RW[[#This Row],[Qty Required]]</f>
        <v>#DIV/0!</v>
      </c>
      <c r="K75" s="57" t="str">
        <f>IFERROR(tbl_RW[[#This Row],[Qty Required]]/tbl_RW[[#This Row],[PPH]]*tbl_RW[[#This Row],['# of men]],"")</f>
        <v/>
      </c>
      <c r="L75" s="58" t="e">
        <f>tbl_RW[[#This Row],[Total hours]]*tbl_RW[[#This Row],[% Complete]]</f>
        <v>#VALUE!</v>
      </c>
      <c r="M75" s="59" t="str">
        <f>IFERROR(tbl_RW[[#This Row],[Qty Complete]]/tbl_RW[[#This Row],[Total Hours Act]]*tbl_RW[[#This Row],['# of men Act]],"")</f>
        <v/>
      </c>
      <c r="O75"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75" s="71" t="str">
        <f>IFERROR((tbl_RW[[#This Row],[Adj. Total Hours]]+tbl_RW[[#This Row],[Est. Hours]])/(tbl_RW[[#This Row],[Total Hours Act]]+tbl_RW[[#This Row],[Act. Hours]]),"")</f>
        <v/>
      </c>
      <c r="S75" s="63"/>
      <c r="T75" s="63"/>
      <c r="U75" s="63"/>
      <c r="V75" s="63"/>
      <c r="W75" s="63"/>
    </row>
    <row r="76" spans="6:23" ht="25" customHeight="1">
      <c r="F76" s="53"/>
      <c r="H76" s="55" t="e">
        <f>tbl_RW[[#This Row],[Qty Complete]]/tbl_RW[[#This Row],[Qty Required]]</f>
        <v>#DIV/0!</v>
      </c>
      <c r="K76" s="57" t="str">
        <f>IFERROR(tbl_RW[[#This Row],[Qty Required]]/tbl_RW[[#This Row],[PPH]]*tbl_RW[[#This Row],['# of men]],"")</f>
        <v/>
      </c>
      <c r="L76" s="58" t="e">
        <f>tbl_RW[[#This Row],[Total hours]]*tbl_RW[[#This Row],[% Complete]]</f>
        <v>#VALUE!</v>
      </c>
      <c r="M76" s="59" t="str">
        <f>IFERROR(tbl_RW[[#This Row],[Qty Complete]]/tbl_RW[[#This Row],[Total Hours Act]]*tbl_RW[[#This Row],['# of men Act]],"")</f>
        <v/>
      </c>
      <c r="O76"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76" s="71" t="str">
        <f>IFERROR((tbl_RW[[#This Row],[Adj. Total Hours]]+tbl_RW[[#This Row],[Est. Hours]])/(tbl_RW[[#This Row],[Total Hours Act]]+tbl_RW[[#This Row],[Act. Hours]]),"")</f>
        <v/>
      </c>
      <c r="S76" s="63"/>
      <c r="T76" s="63"/>
      <c r="U76" s="63"/>
      <c r="V76" s="63"/>
      <c r="W76" s="63"/>
    </row>
    <row r="77" spans="6:23" ht="25" customHeight="1">
      <c r="F77" s="53"/>
      <c r="H77" s="55" t="e">
        <f>tbl_RW[[#This Row],[Qty Complete]]/tbl_RW[[#This Row],[Qty Required]]</f>
        <v>#DIV/0!</v>
      </c>
      <c r="K77" s="57" t="str">
        <f>IFERROR(tbl_RW[[#This Row],[Qty Required]]/tbl_RW[[#This Row],[PPH]]*tbl_RW[[#This Row],['# of men]],"")</f>
        <v/>
      </c>
      <c r="L77" s="58" t="e">
        <f>tbl_RW[[#This Row],[Total hours]]*tbl_RW[[#This Row],[% Complete]]</f>
        <v>#VALUE!</v>
      </c>
      <c r="M77" s="59" t="str">
        <f>IFERROR(tbl_RW[[#This Row],[Qty Complete]]/tbl_RW[[#This Row],[Total Hours Act]]*tbl_RW[[#This Row],['# of men Act]],"")</f>
        <v/>
      </c>
      <c r="O77"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77" s="71" t="str">
        <f>IFERROR((tbl_RW[[#This Row],[Adj. Total Hours]]+tbl_RW[[#This Row],[Est. Hours]])/(tbl_RW[[#This Row],[Total Hours Act]]+tbl_RW[[#This Row],[Act. Hours]]),"")</f>
        <v/>
      </c>
      <c r="S77" s="63"/>
      <c r="T77" s="63"/>
      <c r="U77" s="63"/>
      <c r="V77" s="63"/>
      <c r="W77" s="63"/>
    </row>
    <row r="78" spans="6:23" ht="25" customHeight="1">
      <c r="F78" s="53"/>
      <c r="H78" s="55" t="e">
        <f>tbl_RW[[#This Row],[Qty Complete]]/tbl_RW[[#This Row],[Qty Required]]</f>
        <v>#DIV/0!</v>
      </c>
      <c r="K78" s="57" t="str">
        <f>IFERROR(tbl_RW[[#This Row],[Qty Required]]/tbl_RW[[#This Row],[PPH]]*tbl_RW[[#This Row],['# of men]],"")</f>
        <v/>
      </c>
      <c r="L78" s="58" t="e">
        <f>tbl_RW[[#This Row],[Total hours]]*tbl_RW[[#This Row],[% Complete]]</f>
        <v>#VALUE!</v>
      </c>
      <c r="M78" s="59" t="str">
        <f>IFERROR(tbl_RW[[#This Row],[Qty Complete]]/tbl_RW[[#This Row],[Total Hours Act]]*tbl_RW[[#This Row],['# of men Act]],"")</f>
        <v/>
      </c>
      <c r="O78"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78" s="71" t="str">
        <f>IFERROR((tbl_RW[[#This Row],[Adj. Total Hours]]+tbl_RW[[#This Row],[Est. Hours]])/(tbl_RW[[#This Row],[Total Hours Act]]+tbl_RW[[#This Row],[Act. Hours]]),"")</f>
        <v/>
      </c>
      <c r="S78" s="63"/>
      <c r="T78" s="63"/>
      <c r="U78" s="63"/>
      <c r="V78" s="63"/>
      <c r="W78" s="63"/>
    </row>
    <row r="79" spans="6:23" ht="25" customHeight="1">
      <c r="F79" s="53"/>
      <c r="H79" s="55" t="e">
        <f>tbl_RW[[#This Row],[Qty Complete]]/tbl_RW[[#This Row],[Qty Required]]</f>
        <v>#DIV/0!</v>
      </c>
      <c r="K79" s="57" t="str">
        <f>IFERROR(tbl_RW[[#This Row],[Qty Required]]/tbl_RW[[#This Row],[PPH]]*tbl_RW[[#This Row],['# of men]],"")</f>
        <v/>
      </c>
      <c r="L79" s="58" t="e">
        <f>tbl_RW[[#This Row],[Total hours]]*tbl_RW[[#This Row],[% Complete]]</f>
        <v>#VALUE!</v>
      </c>
      <c r="M79" s="59" t="str">
        <f>IFERROR(tbl_RW[[#This Row],[Qty Complete]]/tbl_RW[[#This Row],[Total Hours Act]]*tbl_RW[[#This Row],['# of men Act]],"")</f>
        <v/>
      </c>
      <c r="O79"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79" s="71" t="str">
        <f>IFERROR((tbl_RW[[#This Row],[Adj. Total Hours]]+tbl_RW[[#This Row],[Est. Hours]])/(tbl_RW[[#This Row],[Total Hours Act]]+tbl_RW[[#This Row],[Act. Hours]]),"")</f>
        <v/>
      </c>
      <c r="S79" s="63"/>
      <c r="T79" s="63"/>
      <c r="U79" s="63"/>
      <c r="V79" s="63"/>
      <c r="W79" s="63"/>
    </row>
    <row r="80" spans="6:23" ht="25" customHeight="1">
      <c r="F80" s="53"/>
      <c r="H80" s="55" t="e">
        <f>tbl_RW[[#This Row],[Qty Complete]]/tbl_RW[[#This Row],[Qty Required]]</f>
        <v>#DIV/0!</v>
      </c>
      <c r="K80" s="57" t="str">
        <f>IFERROR(tbl_RW[[#This Row],[Qty Required]]/tbl_RW[[#This Row],[PPH]]*tbl_RW[[#This Row],['# of men]],"")</f>
        <v/>
      </c>
      <c r="L80" s="58" t="e">
        <f>tbl_RW[[#This Row],[Total hours]]*tbl_RW[[#This Row],[% Complete]]</f>
        <v>#VALUE!</v>
      </c>
      <c r="M80" s="59" t="str">
        <f>IFERROR(tbl_RW[[#This Row],[Qty Complete]]/tbl_RW[[#This Row],[Total Hours Act]]*tbl_RW[[#This Row],['# of men Act]],"")</f>
        <v/>
      </c>
      <c r="O80"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80" s="71" t="str">
        <f>IFERROR((tbl_RW[[#This Row],[Adj. Total Hours]]+tbl_RW[[#This Row],[Est. Hours]])/(tbl_RW[[#This Row],[Total Hours Act]]+tbl_RW[[#This Row],[Act. Hours]]),"")</f>
        <v/>
      </c>
      <c r="S80" s="63"/>
      <c r="T80" s="63"/>
      <c r="U80" s="63"/>
      <c r="V80" s="63"/>
      <c r="W80" s="63"/>
    </row>
    <row r="81" spans="6:23" ht="25" customHeight="1">
      <c r="F81" s="53"/>
      <c r="H81" s="55" t="e">
        <f>tbl_RW[[#This Row],[Qty Complete]]/tbl_RW[[#This Row],[Qty Required]]</f>
        <v>#DIV/0!</v>
      </c>
      <c r="K81" s="57" t="str">
        <f>IFERROR(tbl_RW[[#This Row],[Qty Required]]/tbl_RW[[#This Row],[PPH]]*tbl_RW[[#This Row],['# of men]],"")</f>
        <v/>
      </c>
      <c r="L81" s="58" t="e">
        <f>tbl_RW[[#This Row],[Total hours]]*tbl_RW[[#This Row],[% Complete]]</f>
        <v>#VALUE!</v>
      </c>
      <c r="M81" s="59" t="str">
        <f>IFERROR(tbl_RW[[#This Row],[Qty Complete]]/tbl_RW[[#This Row],[Total Hours Act]]*tbl_RW[[#This Row],['# of men Act]],"")</f>
        <v/>
      </c>
      <c r="O81"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81" s="71" t="str">
        <f>IFERROR((tbl_RW[[#This Row],[Adj. Total Hours]]+tbl_RW[[#This Row],[Est. Hours]])/(tbl_RW[[#This Row],[Total Hours Act]]+tbl_RW[[#This Row],[Act. Hours]]),"")</f>
        <v/>
      </c>
      <c r="S81" s="63"/>
      <c r="T81" s="63"/>
      <c r="U81" s="63"/>
      <c r="V81" s="63"/>
      <c r="W81" s="63"/>
    </row>
    <row r="82" spans="6:23" ht="25" customHeight="1">
      <c r="F82" s="53"/>
      <c r="H82" s="55" t="e">
        <f>tbl_RW[[#This Row],[Qty Complete]]/tbl_RW[[#This Row],[Qty Required]]</f>
        <v>#DIV/0!</v>
      </c>
      <c r="K82" s="57" t="str">
        <f>IFERROR(tbl_RW[[#This Row],[Qty Required]]/tbl_RW[[#This Row],[PPH]]*tbl_RW[[#This Row],['# of men]],"")</f>
        <v/>
      </c>
      <c r="L82" s="58" t="e">
        <f>tbl_RW[[#This Row],[Total hours]]*tbl_RW[[#This Row],[% Complete]]</f>
        <v>#VALUE!</v>
      </c>
      <c r="M82" s="59" t="str">
        <f>IFERROR(tbl_RW[[#This Row],[Qty Complete]]/tbl_RW[[#This Row],[Total Hours Act]]*tbl_RW[[#This Row],['# of men Act]],"")</f>
        <v/>
      </c>
      <c r="O82"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82" s="71" t="str">
        <f>IFERROR((tbl_RW[[#This Row],[Adj. Total Hours]]+tbl_RW[[#This Row],[Est. Hours]])/(tbl_RW[[#This Row],[Total Hours Act]]+tbl_RW[[#This Row],[Act. Hours]]),"")</f>
        <v/>
      </c>
      <c r="S82" s="63"/>
      <c r="T82" s="63"/>
      <c r="U82" s="63"/>
      <c r="V82" s="63"/>
      <c r="W82" s="63"/>
    </row>
    <row r="83" spans="6:23" ht="25" customHeight="1">
      <c r="F83" s="53"/>
      <c r="H83" s="55" t="e">
        <f>tbl_RW[[#This Row],[Qty Complete]]/tbl_RW[[#This Row],[Qty Required]]</f>
        <v>#DIV/0!</v>
      </c>
      <c r="K83" s="57" t="str">
        <f>IFERROR(tbl_RW[[#This Row],[Qty Required]]/tbl_RW[[#This Row],[PPH]]*tbl_RW[[#This Row],['# of men]],"")</f>
        <v/>
      </c>
      <c r="L83" s="58" t="e">
        <f>tbl_RW[[#This Row],[Total hours]]*tbl_RW[[#This Row],[% Complete]]</f>
        <v>#VALUE!</v>
      </c>
      <c r="M83" s="59" t="str">
        <f>IFERROR(tbl_RW[[#This Row],[Qty Complete]]/tbl_RW[[#This Row],[Total Hours Act]]*tbl_RW[[#This Row],['# of men Act]],"")</f>
        <v/>
      </c>
      <c r="O83"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83" s="71" t="str">
        <f>IFERROR((tbl_RW[[#This Row],[Adj. Total Hours]]+tbl_RW[[#This Row],[Est. Hours]])/(tbl_RW[[#This Row],[Total Hours Act]]+tbl_RW[[#This Row],[Act. Hours]]),"")</f>
        <v/>
      </c>
      <c r="S83" s="63"/>
      <c r="T83" s="63"/>
      <c r="U83" s="63"/>
      <c r="V83" s="63"/>
      <c r="W83" s="63"/>
    </row>
    <row r="84" spans="6:23" ht="25" customHeight="1">
      <c r="F84" s="53"/>
      <c r="H84" s="55" t="e">
        <f>tbl_RW[[#This Row],[Qty Complete]]/tbl_RW[[#This Row],[Qty Required]]</f>
        <v>#DIV/0!</v>
      </c>
      <c r="K84" s="57" t="str">
        <f>IFERROR(tbl_RW[[#This Row],[Qty Required]]/tbl_RW[[#This Row],[PPH]]*tbl_RW[[#This Row],['# of men]],"")</f>
        <v/>
      </c>
      <c r="L84" s="58" t="e">
        <f>tbl_RW[[#This Row],[Total hours]]*tbl_RW[[#This Row],[% Complete]]</f>
        <v>#VALUE!</v>
      </c>
      <c r="M84" s="59" t="str">
        <f>IFERROR(tbl_RW[[#This Row],[Qty Complete]]/tbl_RW[[#This Row],[Total Hours Act]]*tbl_RW[[#This Row],['# of men Act]],"")</f>
        <v/>
      </c>
      <c r="O84"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84" s="71" t="str">
        <f>IFERROR((tbl_RW[[#This Row],[Adj. Total Hours]]+tbl_RW[[#This Row],[Est. Hours]])/(tbl_RW[[#This Row],[Total Hours Act]]+tbl_RW[[#This Row],[Act. Hours]]),"")</f>
        <v/>
      </c>
      <c r="S84" s="63"/>
      <c r="T84" s="63"/>
      <c r="U84" s="63"/>
      <c r="V84" s="63"/>
      <c r="W84" s="63"/>
    </row>
    <row r="85" spans="6:23" ht="25" customHeight="1">
      <c r="F85" s="53"/>
      <c r="H85" s="55" t="e">
        <f>tbl_RW[[#This Row],[Qty Complete]]/tbl_RW[[#This Row],[Qty Required]]</f>
        <v>#DIV/0!</v>
      </c>
      <c r="K85" s="57" t="str">
        <f>IFERROR(tbl_RW[[#This Row],[Qty Required]]/tbl_RW[[#This Row],[PPH]]*tbl_RW[[#This Row],['# of men]],"")</f>
        <v/>
      </c>
      <c r="L85" s="58" t="e">
        <f>tbl_RW[[#This Row],[Total hours]]*tbl_RW[[#This Row],[% Complete]]</f>
        <v>#VALUE!</v>
      </c>
      <c r="M85" s="59" t="str">
        <f>IFERROR(tbl_RW[[#This Row],[Qty Complete]]/tbl_RW[[#This Row],[Total Hours Act]]*tbl_RW[[#This Row],['# of men Act]],"")</f>
        <v/>
      </c>
      <c r="O85"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85" s="71" t="str">
        <f>IFERROR((tbl_RW[[#This Row],[Adj. Total Hours]]+tbl_RW[[#This Row],[Est. Hours]])/(tbl_RW[[#This Row],[Total Hours Act]]+tbl_RW[[#This Row],[Act. Hours]]),"")</f>
        <v/>
      </c>
      <c r="S85" s="63"/>
      <c r="T85" s="63"/>
      <c r="U85" s="63"/>
      <c r="V85" s="63"/>
      <c r="W85" s="63"/>
    </row>
    <row r="86" spans="6:23" ht="25" customHeight="1">
      <c r="F86" s="53"/>
      <c r="H86" s="55" t="e">
        <f>tbl_RW[[#This Row],[Qty Complete]]/tbl_RW[[#This Row],[Qty Required]]</f>
        <v>#DIV/0!</v>
      </c>
      <c r="K86" s="57" t="str">
        <f>IFERROR(tbl_RW[[#This Row],[Qty Required]]/tbl_RW[[#This Row],[PPH]]*tbl_RW[[#This Row],['# of men]],"")</f>
        <v/>
      </c>
      <c r="L86" s="58" t="e">
        <f>tbl_RW[[#This Row],[Total hours]]*tbl_RW[[#This Row],[% Complete]]</f>
        <v>#VALUE!</v>
      </c>
      <c r="M86" s="59" t="str">
        <f>IFERROR(tbl_RW[[#This Row],[Qty Complete]]/tbl_RW[[#This Row],[Total Hours Act]]*tbl_RW[[#This Row],['# of men Act]],"")</f>
        <v/>
      </c>
      <c r="O86"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86" s="71" t="str">
        <f>IFERROR((tbl_RW[[#This Row],[Adj. Total Hours]]+tbl_RW[[#This Row],[Est. Hours]])/(tbl_RW[[#This Row],[Total Hours Act]]+tbl_RW[[#This Row],[Act. Hours]]),"")</f>
        <v/>
      </c>
      <c r="S86" s="63"/>
      <c r="T86" s="63"/>
      <c r="U86" s="63"/>
      <c r="V86" s="63"/>
      <c r="W86" s="63"/>
    </row>
    <row r="87" spans="6:23" ht="25" customHeight="1">
      <c r="F87" s="53"/>
      <c r="H87" s="55" t="e">
        <f>tbl_RW[[#This Row],[Qty Complete]]/tbl_RW[[#This Row],[Qty Required]]</f>
        <v>#DIV/0!</v>
      </c>
      <c r="K87" s="57" t="str">
        <f>IFERROR(tbl_RW[[#This Row],[Qty Required]]/tbl_RW[[#This Row],[PPH]]*tbl_RW[[#This Row],['# of men]],"")</f>
        <v/>
      </c>
      <c r="L87" s="58" t="e">
        <f>tbl_RW[[#This Row],[Total hours]]*tbl_RW[[#This Row],[% Complete]]</f>
        <v>#VALUE!</v>
      </c>
      <c r="M87" s="59" t="str">
        <f>IFERROR(tbl_RW[[#This Row],[Qty Complete]]/tbl_RW[[#This Row],[Total Hours Act]]*tbl_RW[[#This Row],['# of men Act]],"")</f>
        <v/>
      </c>
      <c r="O87"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87" s="71" t="str">
        <f>IFERROR((tbl_RW[[#This Row],[Adj. Total Hours]]+tbl_RW[[#This Row],[Est. Hours]])/(tbl_RW[[#This Row],[Total Hours Act]]+tbl_RW[[#This Row],[Act. Hours]]),"")</f>
        <v/>
      </c>
      <c r="S87" s="63"/>
      <c r="T87" s="63"/>
      <c r="U87" s="63"/>
      <c r="V87" s="63"/>
      <c r="W87" s="63"/>
    </row>
    <row r="88" spans="6:23" ht="25" customHeight="1">
      <c r="F88" s="53"/>
      <c r="H88" s="55" t="e">
        <f>tbl_RW[[#This Row],[Qty Complete]]/tbl_RW[[#This Row],[Qty Required]]</f>
        <v>#DIV/0!</v>
      </c>
      <c r="K88" s="57" t="str">
        <f>IFERROR(tbl_RW[[#This Row],[Qty Required]]/tbl_RW[[#This Row],[PPH]]*tbl_RW[[#This Row],['# of men]],"")</f>
        <v/>
      </c>
      <c r="L88" s="58" t="e">
        <f>tbl_RW[[#This Row],[Total hours]]*tbl_RW[[#This Row],[% Complete]]</f>
        <v>#VALUE!</v>
      </c>
      <c r="M88" s="59" t="str">
        <f>IFERROR(tbl_RW[[#This Row],[Qty Complete]]/tbl_RW[[#This Row],[Total Hours Act]]*tbl_RW[[#This Row],['# of men Act]],"")</f>
        <v/>
      </c>
      <c r="O88"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88" s="71" t="str">
        <f>IFERROR((tbl_RW[[#This Row],[Adj. Total Hours]]+tbl_RW[[#This Row],[Est. Hours]])/(tbl_RW[[#This Row],[Total Hours Act]]+tbl_RW[[#This Row],[Act. Hours]]),"")</f>
        <v/>
      </c>
      <c r="S88" s="63"/>
      <c r="T88" s="63"/>
      <c r="U88" s="63"/>
      <c r="V88" s="63"/>
      <c r="W88" s="63"/>
    </row>
    <row r="89" spans="6:23" ht="25" customHeight="1">
      <c r="F89" s="53"/>
      <c r="H89" s="55" t="e">
        <f>tbl_RW[[#This Row],[Qty Complete]]/tbl_RW[[#This Row],[Qty Required]]</f>
        <v>#DIV/0!</v>
      </c>
      <c r="K89" s="57" t="str">
        <f>IFERROR(tbl_RW[[#This Row],[Qty Required]]/tbl_RW[[#This Row],[PPH]]*tbl_RW[[#This Row],['# of men]],"")</f>
        <v/>
      </c>
      <c r="L89" s="58" t="e">
        <f>tbl_RW[[#This Row],[Total hours]]*tbl_RW[[#This Row],[% Complete]]</f>
        <v>#VALUE!</v>
      </c>
      <c r="M89" s="59" t="str">
        <f>IFERROR(tbl_RW[[#This Row],[Qty Complete]]/tbl_RW[[#This Row],[Total Hours Act]]*tbl_RW[[#This Row],['# of men Act]],"")</f>
        <v/>
      </c>
      <c r="O89"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89" s="71" t="str">
        <f>IFERROR((tbl_RW[[#This Row],[Adj. Total Hours]]+tbl_RW[[#This Row],[Est. Hours]])/(tbl_RW[[#This Row],[Total Hours Act]]+tbl_RW[[#This Row],[Act. Hours]]),"")</f>
        <v/>
      </c>
      <c r="S89" s="63"/>
      <c r="T89" s="63"/>
      <c r="U89" s="63"/>
      <c r="V89" s="63"/>
      <c r="W89" s="63"/>
    </row>
    <row r="90" spans="6:23" ht="25" customHeight="1">
      <c r="F90" s="53"/>
      <c r="H90" s="55" t="e">
        <f>tbl_RW[[#This Row],[Qty Complete]]/tbl_RW[[#This Row],[Qty Required]]</f>
        <v>#DIV/0!</v>
      </c>
      <c r="K90" s="57" t="str">
        <f>IFERROR(tbl_RW[[#This Row],[Qty Required]]/tbl_RW[[#This Row],[PPH]]*tbl_RW[[#This Row],['# of men]],"")</f>
        <v/>
      </c>
      <c r="L90" s="58" t="e">
        <f>tbl_RW[[#This Row],[Total hours]]*tbl_RW[[#This Row],[% Complete]]</f>
        <v>#VALUE!</v>
      </c>
      <c r="M90" s="59" t="str">
        <f>IFERROR(tbl_RW[[#This Row],[Qty Complete]]/tbl_RW[[#This Row],[Total Hours Act]]*tbl_RW[[#This Row],['# of men Act]],"")</f>
        <v/>
      </c>
      <c r="O90"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90" s="71" t="str">
        <f>IFERROR((tbl_RW[[#This Row],[Adj. Total Hours]]+tbl_RW[[#This Row],[Est. Hours]])/(tbl_RW[[#This Row],[Total Hours Act]]+tbl_RW[[#This Row],[Act. Hours]]),"")</f>
        <v/>
      </c>
      <c r="S90" s="63"/>
      <c r="T90" s="63"/>
      <c r="U90" s="63"/>
      <c r="V90" s="63"/>
      <c r="W90" s="63"/>
    </row>
    <row r="91" spans="6:23" ht="25" customHeight="1">
      <c r="F91" s="53"/>
      <c r="H91" s="55" t="e">
        <f>tbl_RW[[#This Row],[Qty Complete]]/tbl_RW[[#This Row],[Qty Required]]</f>
        <v>#DIV/0!</v>
      </c>
      <c r="K91" s="57" t="str">
        <f>IFERROR(tbl_RW[[#This Row],[Qty Required]]/tbl_RW[[#This Row],[PPH]]*tbl_RW[[#This Row],['# of men]],"")</f>
        <v/>
      </c>
      <c r="L91" s="58" t="e">
        <f>tbl_RW[[#This Row],[Total hours]]*tbl_RW[[#This Row],[% Complete]]</f>
        <v>#VALUE!</v>
      </c>
      <c r="M91" s="59" t="str">
        <f>IFERROR(tbl_RW[[#This Row],[Qty Complete]]/tbl_RW[[#This Row],[Total Hours Act]]*tbl_RW[[#This Row],['# of men Act]],"")</f>
        <v/>
      </c>
      <c r="O91"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91" s="71" t="str">
        <f>IFERROR((tbl_RW[[#This Row],[Adj. Total Hours]]+tbl_RW[[#This Row],[Est. Hours]])/(tbl_RW[[#This Row],[Total Hours Act]]+tbl_RW[[#This Row],[Act. Hours]]),"")</f>
        <v/>
      </c>
      <c r="S91" s="63"/>
      <c r="T91" s="63"/>
      <c r="U91" s="63"/>
      <c r="V91" s="63"/>
      <c r="W91" s="63"/>
    </row>
    <row r="92" spans="6:23" ht="25" customHeight="1">
      <c r="F92" s="53"/>
      <c r="H92" s="55" t="e">
        <f>tbl_RW[[#This Row],[Qty Complete]]/tbl_RW[[#This Row],[Qty Required]]</f>
        <v>#DIV/0!</v>
      </c>
      <c r="K92" s="57" t="str">
        <f>IFERROR(tbl_RW[[#This Row],[Qty Required]]/tbl_RW[[#This Row],[PPH]]*tbl_RW[[#This Row],['# of men]],"")</f>
        <v/>
      </c>
      <c r="L92" s="58" t="e">
        <f>tbl_RW[[#This Row],[Total hours]]*tbl_RW[[#This Row],[% Complete]]</f>
        <v>#VALUE!</v>
      </c>
      <c r="M92" s="59" t="str">
        <f>IFERROR(tbl_RW[[#This Row],[Qty Complete]]/tbl_RW[[#This Row],[Total Hours Act]]*tbl_RW[[#This Row],['# of men Act]],"")</f>
        <v/>
      </c>
      <c r="O92"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92" s="71" t="str">
        <f>IFERROR((tbl_RW[[#This Row],[Adj. Total Hours]]+tbl_RW[[#This Row],[Est. Hours]])/(tbl_RW[[#This Row],[Total Hours Act]]+tbl_RW[[#This Row],[Act. Hours]]),"")</f>
        <v/>
      </c>
      <c r="S92" s="63"/>
      <c r="T92" s="63"/>
      <c r="U92" s="63"/>
      <c r="V92" s="63"/>
      <c r="W92" s="63"/>
    </row>
    <row r="93" spans="6:23" ht="25" customHeight="1">
      <c r="F93" s="53"/>
      <c r="H93" s="55" t="e">
        <f>tbl_RW[[#This Row],[Qty Complete]]/tbl_RW[[#This Row],[Qty Required]]</f>
        <v>#DIV/0!</v>
      </c>
      <c r="K93" s="57" t="str">
        <f>IFERROR(tbl_RW[[#This Row],[Qty Required]]/tbl_RW[[#This Row],[PPH]]*tbl_RW[[#This Row],['# of men]],"")</f>
        <v/>
      </c>
      <c r="L93" s="58" t="e">
        <f>tbl_RW[[#This Row],[Total hours]]*tbl_RW[[#This Row],[% Complete]]</f>
        <v>#VALUE!</v>
      </c>
      <c r="M93" s="59" t="str">
        <f>IFERROR(tbl_RW[[#This Row],[Qty Complete]]/tbl_RW[[#This Row],[Total Hours Act]]*tbl_RW[[#This Row],['# of men Act]],"")</f>
        <v/>
      </c>
      <c r="O93"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93" s="71" t="str">
        <f>IFERROR((tbl_RW[[#This Row],[Adj. Total Hours]]+tbl_RW[[#This Row],[Est. Hours]])/(tbl_RW[[#This Row],[Total Hours Act]]+tbl_RW[[#This Row],[Act. Hours]]),"")</f>
        <v/>
      </c>
      <c r="S93" s="63"/>
      <c r="T93" s="63"/>
      <c r="U93" s="63"/>
      <c r="V93" s="63"/>
      <c r="W93" s="63"/>
    </row>
    <row r="94" spans="6:23" ht="25" customHeight="1">
      <c r="F94" s="53"/>
      <c r="H94" s="55" t="e">
        <f>tbl_RW[[#This Row],[Qty Complete]]/tbl_RW[[#This Row],[Qty Required]]</f>
        <v>#DIV/0!</v>
      </c>
      <c r="K94" s="57" t="str">
        <f>IFERROR(tbl_RW[[#This Row],[Qty Required]]/tbl_RW[[#This Row],[PPH]]*tbl_RW[[#This Row],['# of men]],"")</f>
        <v/>
      </c>
      <c r="L94" s="58" t="e">
        <f>tbl_RW[[#This Row],[Total hours]]*tbl_RW[[#This Row],[% Complete]]</f>
        <v>#VALUE!</v>
      </c>
      <c r="M94" s="59" t="str">
        <f>IFERROR(tbl_RW[[#This Row],[Qty Complete]]/tbl_RW[[#This Row],[Total Hours Act]]*tbl_RW[[#This Row],['# of men Act]],"")</f>
        <v/>
      </c>
      <c r="O94"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94" s="71" t="str">
        <f>IFERROR((tbl_RW[[#This Row],[Adj. Total Hours]]+tbl_RW[[#This Row],[Est. Hours]])/(tbl_RW[[#This Row],[Total Hours Act]]+tbl_RW[[#This Row],[Act. Hours]]),"")</f>
        <v/>
      </c>
      <c r="S94" s="63"/>
      <c r="T94" s="63"/>
      <c r="U94" s="63"/>
      <c r="V94" s="63"/>
      <c r="W94" s="63"/>
    </row>
    <row r="95" spans="6:23" ht="25" customHeight="1">
      <c r="F95" s="53"/>
      <c r="H95" s="55" t="e">
        <f>tbl_RW[[#This Row],[Qty Complete]]/tbl_RW[[#This Row],[Qty Required]]</f>
        <v>#DIV/0!</v>
      </c>
      <c r="K95" s="57" t="str">
        <f>IFERROR(tbl_RW[[#This Row],[Qty Required]]/tbl_RW[[#This Row],[PPH]]*tbl_RW[[#This Row],['# of men]],"")</f>
        <v/>
      </c>
      <c r="L95" s="58" t="e">
        <f>tbl_RW[[#This Row],[Total hours]]*tbl_RW[[#This Row],[% Complete]]</f>
        <v>#VALUE!</v>
      </c>
      <c r="M95" s="59" t="str">
        <f>IFERROR(tbl_RW[[#This Row],[Qty Complete]]/tbl_RW[[#This Row],[Total Hours Act]]*tbl_RW[[#This Row],['# of men Act]],"")</f>
        <v/>
      </c>
      <c r="O95"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95" s="71" t="str">
        <f>IFERROR((tbl_RW[[#This Row],[Adj. Total Hours]]+tbl_RW[[#This Row],[Est. Hours]])/(tbl_RW[[#This Row],[Total Hours Act]]+tbl_RW[[#This Row],[Act. Hours]]),"")</f>
        <v/>
      </c>
      <c r="S95" s="63"/>
      <c r="T95" s="63"/>
      <c r="U95" s="63"/>
      <c r="V95" s="63"/>
      <c r="W95" s="63"/>
    </row>
    <row r="96" spans="6:23" ht="25" customHeight="1">
      <c r="F96" s="53"/>
      <c r="H96" s="55" t="e">
        <f>tbl_RW[[#This Row],[Qty Complete]]/tbl_RW[[#This Row],[Qty Required]]</f>
        <v>#DIV/0!</v>
      </c>
      <c r="K96" s="57" t="str">
        <f>IFERROR(tbl_RW[[#This Row],[Qty Required]]/tbl_RW[[#This Row],[PPH]]*tbl_RW[[#This Row],['# of men]],"")</f>
        <v/>
      </c>
      <c r="L96" s="58" t="e">
        <f>tbl_RW[[#This Row],[Total hours]]*tbl_RW[[#This Row],[% Complete]]</f>
        <v>#VALUE!</v>
      </c>
      <c r="M96" s="59" t="str">
        <f>IFERROR(tbl_RW[[#This Row],[Qty Complete]]/tbl_RW[[#This Row],[Total Hours Act]]*tbl_RW[[#This Row],['# of men Act]],"")</f>
        <v/>
      </c>
      <c r="O96"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96" s="71" t="str">
        <f>IFERROR((tbl_RW[[#This Row],[Adj. Total Hours]]+tbl_RW[[#This Row],[Est. Hours]])/(tbl_RW[[#This Row],[Total Hours Act]]+tbl_RW[[#This Row],[Act. Hours]]),"")</f>
        <v/>
      </c>
      <c r="S96" s="63"/>
      <c r="T96" s="63"/>
      <c r="U96" s="63"/>
      <c r="V96" s="63"/>
      <c r="W96" s="63"/>
    </row>
    <row r="97" spans="6:23" ht="25" customHeight="1">
      <c r="F97" s="53"/>
      <c r="H97" s="55" t="e">
        <f>tbl_RW[[#This Row],[Qty Complete]]/tbl_RW[[#This Row],[Qty Required]]</f>
        <v>#DIV/0!</v>
      </c>
      <c r="K97" s="57" t="str">
        <f>IFERROR(tbl_RW[[#This Row],[Qty Required]]/tbl_RW[[#This Row],[PPH]]*tbl_RW[[#This Row],['# of men]],"")</f>
        <v/>
      </c>
      <c r="L97" s="58" t="e">
        <f>tbl_RW[[#This Row],[Total hours]]*tbl_RW[[#This Row],[% Complete]]</f>
        <v>#VALUE!</v>
      </c>
      <c r="M97" s="59" t="str">
        <f>IFERROR(tbl_RW[[#This Row],[Qty Complete]]/tbl_RW[[#This Row],[Total Hours Act]]*tbl_RW[[#This Row],['# of men Act]],"")</f>
        <v/>
      </c>
      <c r="O97"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97" s="71" t="str">
        <f>IFERROR((tbl_RW[[#This Row],[Adj. Total Hours]]+tbl_RW[[#This Row],[Est. Hours]])/(tbl_RW[[#This Row],[Total Hours Act]]+tbl_RW[[#This Row],[Act. Hours]]),"")</f>
        <v/>
      </c>
      <c r="S97" s="63"/>
      <c r="T97" s="63"/>
      <c r="U97" s="63"/>
      <c r="V97" s="63"/>
      <c r="W97" s="63"/>
    </row>
    <row r="98" spans="6:23" ht="25" customHeight="1">
      <c r="F98" s="53"/>
      <c r="H98" s="55" t="e">
        <f>tbl_RW[[#This Row],[Qty Complete]]/tbl_RW[[#This Row],[Qty Required]]</f>
        <v>#DIV/0!</v>
      </c>
      <c r="K98" s="57" t="str">
        <f>IFERROR(tbl_RW[[#This Row],[Qty Required]]/tbl_RW[[#This Row],[PPH]]*tbl_RW[[#This Row],['# of men]],"")</f>
        <v/>
      </c>
      <c r="L98" s="58" t="e">
        <f>tbl_RW[[#This Row],[Total hours]]*tbl_RW[[#This Row],[% Complete]]</f>
        <v>#VALUE!</v>
      </c>
      <c r="M98" s="59" t="str">
        <f>IFERROR(tbl_RW[[#This Row],[Qty Complete]]/tbl_RW[[#This Row],[Total Hours Act]]*tbl_RW[[#This Row],['# of men Act]],"")</f>
        <v/>
      </c>
      <c r="O98"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98" s="71" t="str">
        <f>IFERROR((tbl_RW[[#This Row],[Adj. Total Hours]]+tbl_RW[[#This Row],[Est. Hours]])/(tbl_RW[[#This Row],[Total Hours Act]]+tbl_RW[[#This Row],[Act. Hours]]),"")</f>
        <v/>
      </c>
      <c r="S98" s="63"/>
      <c r="T98" s="63"/>
      <c r="U98" s="63"/>
      <c r="V98" s="63"/>
      <c r="W98" s="63"/>
    </row>
    <row r="99" spans="6:23" ht="25" customHeight="1">
      <c r="F99" s="53"/>
      <c r="H99" s="55" t="e">
        <f>tbl_RW[[#This Row],[Qty Complete]]/tbl_RW[[#This Row],[Qty Required]]</f>
        <v>#DIV/0!</v>
      </c>
      <c r="K99" s="57" t="str">
        <f>IFERROR(tbl_RW[[#This Row],[Qty Required]]/tbl_RW[[#This Row],[PPH]]*tbl_RW[[#This Row],['# of men]],"")</f>
        <v/>
      </c>
      <c r="L99" s="58" t="e">
        <f>tbl_RW[[#This Row],[Total hours]]*tbl_RW[[#This Row],[% Complete]]</f>
        <v>#VALUE!</v>
      </c>
      <c r="M99" s="59" t="str">
        <f>IFERROR(tbl_RW[[#This Row],[Qty Complete]]/tbl_RW[[#This Row],[Total Hours Act]]*tbl_RW[[#This Row],['# of men Act]],"")</f>
        <v/>
      </c>
      <c r="O99"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99" s="71" t="str">
        <f>IFERROR((tbl_RW[[#This Row],[Adj. Total Hours]]+tbl_RW[[#This Row],[Est. Hours]])/(tbl_RW[[#This Row],[Total Hours Act]]+tbl_RW[[#This Row],[Act. Hours]]),"")</f>
        <v/>
      </c>
      <c r="S99" s="63"/>
      <c r="T99" s="63"/>
      <c r="U99" s="63"/>
      <c r="V99" s="63"/>
      <c r="W99" s="63"/>
    </row>
    <row r="100" spans="6:23" ht="25" customHeight="1">
      <c r="F100" s="53"/>
      <c r="H100" s="55" t="e">
        <f>tbl_RW[[#This Row],[Qty Complete]]/tbl_RW[[#This Row],[Qty Required]]</f>
        <v>#DIV/0!</v>
      </c>
      <c r="K100" s="57" t="str">
        <f>IFERROR(tbl_RW[[#This Row],[Qty Required]]/tbl_RW[[#This Row],[PPH]]*tbl_RW[[#This Row],['# of men]],"")</f>
        <v/>
      </c>
      <c r="L100" s="58" t="e">
        <f>tbl_RW[[#This Row],[Total hours]]*tbl_RW[[#This Row],[% Complete]]</f>
        <v>#VALUE!</v>
      </c>
      <c r="M100" s="59" t="str">
        <f>IFERROR(tbl_RW[[#This Row],[Qty Complete]]/tbl_RW[[#This Row],[Total Hours Act]]*tbl_RW[[#This Row],['# of men Act]],"")</f>
        <v/>
      </c>
      <c r="O100"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00" s="71" t="str">
        <f>IFERROR((tbl_RW[[#This Row],[Adj. Total Hours]]+tbl_RW[[#This Row],[Est. Hours]])/(tbl_RW[[#This Row],[Total Hours Act]]+tbl_RW[[#This Row],[Act. Hours]]),"")</f>
        <v/>
      </c>
      <c r="S100" s="63"/>
      <c r="T100" s="63"/>
      <c r="U100" s="63"/>
      <c r="V100" s="63"/>
      <c r="W100" s="63"/>
    </row>
    <row r="101" spans="6:23" ht="25" customHeight="1">
      <c r="F101" s="53"/>
      <c r="H101" s="55" t="e">
        <f>tbl_RW[[#This Row],[Qty Complete]]/tbl_RW[[#This Row],[Qty Required]]</f>
        <v>#DIV/0!</v>
      </c>
      <c r="K101" s="57" t="str">
        <f>IFERROR(tbl_RW[[#This Row],[Qty Required]]/tbl_RW[[#This Row],[PPH]]*tbl_RW[[#This Row],['# of men]],"")</f>
        <v/>
      </c>
      <c r="L101" s="58" t="e">
        <f>tbl_RW[[#This Row],[Total hours]]*tbl_RW[[#This Row],[% Complete]]</f>
        <v>#VALUE!</v>
      </c>
      <c r="M101" s="59" t="str">
        <f>IFERROR(tbl_RW[[#This Row],[Qty Complete]]/tbl_RW[[#This Row],[Total Hours Act]]*tbl_RW[[#This Row],['# of men Act]],"")</f>
        <v/>
      </c>
      <c r="O101"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01" s="71" t="str">
        <f>IFERROR((tbl_RW[[#This Row],[Adj. Total Hours]]+tbl_RW[[#This Row],[Est. Hours]])/(tbl_RW[[#This Row],[Total Hours Act]]+tbl_RW[[#This Row],[Act. Hours]]),"")</f>
        <v/>
      </c>
      <c r="S101" s="63"/>
      <c r="T101" s="63"/>
      <c r="U101" s="63"/>
      <c r="V101" s="63"/>
      <c r="W101" s="63"/>
    </row>
    <row r="102" spans="6:23" ht="25" customHeight="1">
      <c r="F102" s="53"/>
      <c r="H102" s="55" t="e">
        <f>tbl_RW[[#This Row],[Qty Complete]]/tbl_RW[[#This Row],[Qty Required]]</f>
        <v>#DIV/0!</v>
      </c>
      <c r="K102" s="57" t="str">
        <f>IFERROR(tbl_RW[[#This Row],[Qty Required]]/tbl_RW[[#This Row],[PPH]]*tbl_RW[[#This Row],['# of men]],"")</f>
        <v/>
      </c>
      <c r="L102" s="58" t="e">
        <f>tbl_RW[[#This Row],[Total hours]]*tbl_RW[[#This Row],[% Complete]]</f>
        <v>#VALUE!</v>
      </c>
      <c r="M102" s="59" t="str">
        <f>IFERROR(tbl_RW[[#This Row],[Qty Complete]]/tbl_RW[[#This Row],[Total Hours Act]]*tbl_RW[[#This Row],['# of men Act]],"")</f>
        <v/>
      </c>
      <c r="O102"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02" s="71" t="str">
        <f>IFERROR((tbl_RW[[#This Row],[Adj. Total Hours]]+tbl_RW[[#This Row],[Est. Hours]])/(tbl_RW[[#This Row],[Total Hours Act]]+tbl_RW[[#This Row],[Act. Hours]]),"")</f>
        <v/>
      </c>
      <c r="S102" s="63"/>
      <c r="T102" s="63"/>
      <c r="U102" s="63"/>
      <c r="V102" s="63"/>
      <c r="W102" s="63"/>
    </row>
    <row r="103" spans="6:23" ht="25" customHeight="1">
      <c r="F103" s="53"/>
      <c r="H103" s="55" t="e">
        <f>tbl_RW[[#This Row],[Qty Complete]]/tbl_RW[[#This Row],[Qty Required]]</f>
        <v>#DIV/0!</v>
      </c>
      <c r="K103" s="57" t="str">
        <f>IFERROR(tbl_RW[[#This Row],[Qty Required]]/tbl_RW[[#This Row],[PPH]]*tbl_RW[[#This Row],['# of men]],"")</f>
        <v/>
      </c>
      <c r="L103" s="58" t="e">
        <f>tbl_RW[[#This Row],[Total hours]]*tbl_RW[[#This Row],[% Complete]]</f>
        <v>#VALUE!</v>
      </c>
      <c r="M103" s="59" t="str">
        <f>IFERROR(tbl_RW[[#This Row],[Qty Complete]]/tbl_RW[[#This Row],[Total Hours Act]]*tbl_RW[[#This Row],['# of men Act]],"")</f>
        <v/>
      </c>
      <c r="O103"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03" s="71" t="str">
        <f>IFERROR((tbl_RW[[#This Row],[Adj. Total Hours]]+tbl_RW[[#This Row],[Est. Hours]])/(tbl_RW[[#This Row],[Total Hours Act]]+tbl_RW[[#This Row],[Act. Hours]]),"")</f>
        <v/>
      </c>
      <c r="S103" s="63"/>
      <c r="T103" s="63"/>
      <c r="U103" s="63"/>
      <c r="V103" s="63"/>
      <c r="W103" s="63"/>
    </row>
    <row r="104" spans="6:23" ht="25" customHeight="1">
      <c r="F104" s="53"/>
      <c r="H104" s="55" t="e">
        <f>tbl_RW[[#This Row],[Qty Complete]]/tbl_RW[[#This Row],[Qty Required]]</f>
        <v>#DIV/0!</v>
      </c>
      <c r="K104" s="57" t="str">
        <f>IFERROR(tbl_RW[[#This Row],[Qty Required]]/tbl_RW[[#This Row],[PPH]]*tbl_RW[[#This Row],['# of men]],"")</f>
        <v/>
      </c>
      <c r="L104" s="58" t="e">
        <f>tbl_RW[[#This Row],[Total hours]]*tbl_RW[[#This Row],[% Complete]]</f>
        <v>#VALUE!</v>
      </c>
      <c r="M104" s="59" t="str">
        <f>IFERROR(tbl_RW[[#This Row],[Qty Complete]]/tbl_RW[[#This Row],[Total Hours Act]]*tbl_RW[[#This Row],['# of men Act]],"")</f>
        <v/>
      </c>
      <c r="O104"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04" s="71" t="str">
        <f>IFERROR((tbl_RW[[#This Row],[Adj. Total Hours]]+tbl_RW[[#This Row],[Est. Hours]])/(tbl_RW[[#This Row],[Total Hours Act]]+tbl_RW[[#This Row],[Act. Hours]]),"")</f>
        <v/>
      </c>
      <c r="S104" s="63"/>
      <c r="T104" s="63"/>
      <c r="U104" s="63"/>
      <c r="V104" s="63"/>
      <c r="W104" s="63"/>
    </row>
    <row r="105" spans="6:23" ht="25" customHeight="1">
      <c r="F105" s="53"/>
      <c r="H105" s="55" t="e">
        <f>tbl_RW[[#This Row],[Qty Complete]]/tbl_RW[[#This Row],[Qty Required]]</f>
        <v>#DIV/0!</v>
      </c>
      <c r="K105" s="57" t="str">
        <f>IFERROR(tbl_RW[[#This Row],[Qty Required]]/tbl_RW[[#This Row],[PPH]]*tbl_RW[[#This Row],['# of men]],"")</f>
        <v/>
      </c>
      <c r="L105" s="58" t="e">
        <f>tbl_RW[[#This Row],[Total hours]]*tbl_RW[[#This Row],[% Complete]]</f>
        <v>#VALUE!</v>
      </c>
      <c r="M105" s="59" t="str">
        <f>IFERROR(tbl_RW[[#This Row],[Qty Complete]]/tbl_RW[[#This Row],[Total Hours Act]]*tbl_RW[[#This Row],['# of men Act]],"")</f>
        <v/>
      </c>
      <c r="O105"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05" s="71" t="str">
        <f>IFERROR((tbl_RW[[#This Row],[Adj. Total Hours]]+tbl_RW[[#This Row],[Est. Hours]])/(tbl_RW[[#This Row],[Total Hours Act]]+tbl_RW[[#This Row],[Act. Hours]]),"")</f>
        <v/>
      </c>
      <c r="S105" s="63"/>
      <c r="T105" s="63"/>
      <c r="U105" s="63"/>
      <c r="V105" s="63"/>
      <c r="W105" s="63"/>
    </row>
    <row r="106" spans="6:23" ht="25" customHeight="1">
      <c r="F106" s="53"/>
      <c r="H106" s="55" t="e">
        <f>tbl_RW[[#This Row],[Qty Complete]]/tbl_RW[[#This Row],[Qty Required]]</f>
        <v>#DIV/0!</v>
      </c>
      <c r="K106" s="57" t="str">
        <f>IFERROR(tbl_RW[[#This Row],[Qty Required]]/tbl_RW[[#This Row],[PPH]]*tbl_RW[[#This Row],['# of men]],"")</f>
        <v/>
      </c>
      <c r="L106" s="58" t="e">
        <f>tbl_RW[[#This Row],[Total hours]]*tbl_RW[[#This Row],[% Complete]]</f>
        <v>#VALUE!</v>
      </c>
      <c r="M106" s="59" t="str">
        <f>IFERROR(tbl_RW[[#This Row],[Qty Complete]]/tbl_RW[[#This Row],[Total Hours Act]]*tbl_RW[[#This Row],['# of men Act]],"")</f>
        <v/>
      </c>
      <c r="O106"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06" s="71" t="str">
        <f>IFERROR((tbl_RW[[#This Row],[Adj. Total Hours]]+tbl_RW[[#This Row],[Est. Hours]])/(tbl_RW[[#This Row],[Total Hours Act]]+tbl_RW[[#This Row],[Act. Hours]]),"")</f>
        <v/>
      </c>
      <c r="S106" s="63"/>
      <c r="T106" s="63"/>
      <c r="U106" s="63"/>
      <c r="V106" s="63"/>
      <c r="W106" s="63"/>
    </row>
    <row r="107" spans="6:23" ht="25" customHeight="1">
      <c r="F107" s="53"/>
      <c r="H107" s="55" t="e">
        <f>tbl_RW[[#This Row],[Qty Complete]]/tbl_RW[[#This Row],[Qty Required]]</f>
        <v>#DIV/0!</v>
      </c>
      <c r="K107" s="57" t="str">
        <f>IFERROR(tbl_RW[[#This Row],[Qty Required]]/tbl_RW[[#This Row],[PPH]]*tbl_RW[[#This Row],['# of men]],"")</f>
        <v/>
      </c>
      <c r="L107" s="58" t="e">
        <f>tbl_RW[[#This Row],[Total hours]]*tbl_RW[[#This Row],[% Complete]]</f>
        <v>#VALUE!</v>
      </c>
      <c r="M107" s="59" t="str">
        <f>IFERROR(tbl_RW[[#This Row],[Qty Complete]]/tbl_RW[[#This Row],[Total Hours Act]]*tbl_RW[[#This Row],['# of men Act]],"")</f>
        <v/>
      </c>
      <c r="O107"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07" s="71" t="str">
        <f>IFERROR((tbl_RW[[#This Row],[Adj. Total Hours]]+tbl_RW[[#This Row],[Est. Hours]])/(tbl_RW[[#This Row],[Total Hours Act]]+tbl_RW[[#This Row],[Act. Hours]]),"")</f>
        <v/>
      </c>
      <c r="S107" s="63"/>
      <c r="T107" s="63"/>
      <c r="U107" s="63"/>
      <c r="V107" s="63"/>
      <c r="W107" s="63"/>
    </row>
    <row r="108" spans="6:23" ht="25" customHeight="1">
      <c r="F108" s="53"/>
      <c r="H108" s="55" t="e">
        <f>tbl_RW[[#This Row],[Qty Complete]]/tbl_RW[[#This Row],[Qty Required]]</f>
        <v>#DIV/0!</v>
      </c>
      <c r="K108" s="57" t="str">
        <f>IFERROR(tbl_RW[[#This Row],[Qty Required]]/tbl_RW[[#This Row],[PPH]]*tbl_RW[[#This Row],['# of men]],"")</f>
        <v/>
      </c>
      <c r="L108" s="58" t="e">
        <f>tbl_RW[[#This Row],[Total hours]]*tbl_RW[[#This Row],[% Complete]]</f>
        <v>#VALUE!</v>
      </c>
      <c r="M108" s="59" t="str">
        <f>IFERROR(tbl_RW[[#This Row],[Qty Complete]]/tbl_RW[[#This Row],[Total Hours Act]]*tbl_RW[[#This Row],['# of men Act]],"")</f>
        <v/>
      </c>
      <c r="O108"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08" s="71" t="str">
        <f>IFERROR((tbl_RW[[#This Row],[Adj. Total Hours]]+tbl_RW[[#This Row],[Est. Hours]])/(tbl_RW[[#This Row],[Total Hours Act]]+tbl_RW[[#This Row],[Act. Hours]]),"")</f>
        <v/>
      </c>
      <c r="S108" s="63"/>
      <c r="T108" s="63"/>
      <c r="U108" s="63"/>
      <c r="V108" s="63"/>
      <c r="W108" s="63"/>
    </row>
    <row r="109" spans="6:23" ht="25" customHeight="1">
      <c r="F109" s="53"/>
      <c r="H109" s="55" t="e">
        <f>tbl_RW[[#This Row],[Qty Complete]]/tbl_RW[[#This Row],[Qty Required]]</f>
        <v>#DIV/0!</v>
      </c>
      <c r="K109" s="57" t="str">
        <f>IFERROR(tbl_RW[[#This Row],[Qty Required]]/tbl_RW[[#This Row],[PPH]]*tbl_RW[[#This Row],['# of men]],"")</f>
        <v/>
      </c>
      <c r="L109" s="58" t="e">
        <f>tbl_RW[[#This Row],[Total hours]]*tbl_RW[[#This Row],[% Complete]]</f>
        <v>#VALUE!</v>
      </c>
      <c r="M109" s="59" t="str">
        <f>IFERROR(tbl_RW[[#This Row],[Qty Complete]]/tbl_RW[[#This Row],[Total Hours Act]]*tbl_RW[[#This Row],['# of men Act]],"")</f>
        <v/>
      </c>
      <c r="O109"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09" s="71" t="str">
        <f>IFERROR((tbl_RW[[#This Row],[Adj. Total Hours]]+tbl_RW[[#This Row],[Est. Hours]])/(tbl_RW[[#This Row],[Total Hours Act]]+tbl_RW[[#This Row],[Act. Hours]]),"")</f>
        <v/>
      </c>
      <c r="S109" s="63"/>
      <c r="T109" s="63"/>
      <c r="U109" s="63"/>
      <c r="V109" s="63"/>
      <c r="W109" s="63"/>
    </row>
    <row r="110" spans="6:23" ht="25" customHeight="1">
      <c r="F110" s="53"/>
      <c r="H110" s="55" t="e">
        <f>tbl_RW[[#This Row],[Qty Complete]]/tbl_RW[[#This Row],[Qty Required]]</f>
        <v>#DIV/0!</v>
      </c>
      <c r="K110" s="57" t="str">
        <f>IFERROR(tbl_RW[[#This Row],[Qty Required]]/tbl_RW[[#This Row],[PPH]]*tbl_RW[[#This Row],['# of men]],"")</f>
        <v/>
      </c>
      <c r="L110" s="58" t="e">
        <f>tbl_RW[[#This Row],[Total hours]]*tbl_RW[[#This Row],[% Complete]]</f>
        <v>#VALUE!</v>
      </c>
      <c r="M110" s="59" t="str">
        <f>IFERROR(tbl_RW[[#This Row],[Qty Complete]]/tbl_RW[[#This Row],[Total Hours Act]]*tbl_RW[[#This Row],['# of men Act]],"")</f>
        <v/>
      </c>
      <c r="O110"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10" s="71" t="str">
        <f>IFERROR((tbl_RW[[#This Row],[Adj. Total Hours]]+tbl_RW[[#This Row],[Est. Hours]])/(tbl_RW[[#This Row],[Total Hours Act]]+tbl_RW[[#This Row],[Act. Hours]]),"")</f>
        <v/>
      </c>
      <c r="S110" s="63"/>
      <c r="T110" s="63"/>
      <c r="U110" s="63"/>
      <c r="V110" s="63"/>
      <c r="W110" s="63"/>
    </row>
    <row r="111" spans="6:23" ht="25" customHeight="1">
      <c r="F111" s="53"/>
      <c r="H111" s="55" t="e">
        <f>tbl_RW[[#This Row],[Qty Complete]]/tbl_RW[[#This Row],[Qty Required]]</f>
        <v>#DIV/0!</v>
      </c>
      <c r="K111" s="57" t="str">
        <f>IFERROR(tbl_RW[[#This Row],[Qty Required]]/tbl_RW[[#This Row],[PPH]]*tbl_RW[[#This Row],['# of men]],"")</f>
        <v/>
      </c>
      <c r="L111" s="58" t="e">
        <f>tbl_RW[[#This Row],[Total hours]]*tbl_RW[[#This Row],[% Complete]]</f>
        <v>#VALUE!</v>
      </c>
      <c r="M111" s="59" t="str">
        <f>IFERROR(tbl_RW[[#This Row],[Qty Complete]]/tbl_RW[[#This Row],[Total Hours Act]]*tbl_RW[[#This Row],['# of men Act]],"")</f>
        <v/>
      </c>
      <c r="O111"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11" s="71" t="str">
        <f>IFERROR((tbl_RW[[#This Row],[Adj. Total Hours]]+tbl_RW[[#This Row],[Est. Hours]])/(tbl_RW[[#This Row],[Total Hours Act]]+tbl_RW[[#This Row],[Act. Hours]]),"")</f>
        <v/>
      </c>
      <c r="S111" s="63"/>
      <c r="T111" s="63"/>
      <c r="U111" s="63"/>
      <c r="V111" s="63"/>
      <c r="W111" s="63"/>
    </row>
    <row r="112" spans="6:23" ht="25" customHeight="1">
      <c r="F112" s="53"/>
      <c r="H112" s="55" t="e">
        <f>tbl_RW[[#This Row],[Qty Complete]]/tbl_RW[[#This Row],[Qty Required]]</f>
        <v>#DIV/0!</v>
      </c>
      <c r="K112" s="57" t="str">
        <f>IFERROR(tbl_RW[[#This Row],[Qty Required]]/tbl_RW[[#This Row],[PPH]]*tbl_RW[[#This Row],['# of men]],"")</f>
        <v/>
      </c>
      <c r="L112" s="58" t="e">
        <f>tbl_RW[[#This Row],[Total hours]]*tbl_RW[[#This Row],[% Complete]]</f>
        <v>#VALUE!</v>
      </c>
      <c r="M112" s="59" t="str">
        <f>IFERROR(tbl_RW[[#This Row],[Qty Complete]]/tbl_RW[[#This Row],[Total Hours Act]]*tbl_RW[[#This Row],['# of men Act]],"")</f>
        <v/>
      </c>
      <c r="O112"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12" s="71" t="str">
        <f>IFERROR((tbl_RW[[#This Row],[Adj. Total Hours]]+tbl_RW[[#This Row],[Est. Hours]])/(tbl_RW[[#This Row],[Total Hours Act]]+tbl_RW[[#This Row],[Act. Hours]]),"")</f>
        <v/>
      </c>
      <c r="S112" s="63"/>
      <c r="T112" s="63"/>
      <c r="U112" s="63"/>
      <c r="V112" s="63"/>
      <c r="W112" s="63"/>
    </row>
    <row r="113" spans="6:23" ht="25" customHeight="1">
      <c r="F113" s="53"/>
      <c r="H113" s="55" t="e">
        <f>tbl_RW[[#This Row],[Qty Complete]]/tbl_RW[[#This Row],[Qty Required]]</f>
        <v>#DIV/0!</v>
      </c>
      <c r="K113" s="57" t="str">
        <f>IFERROR(tbl_RW[[#This Row],[Qty Required]]/tbl_RW[[#This Row],[PPH]]*tbl_RW[[#This Row],['# of men]],"")</f>
        <v/>
      </c>
      <c r="L113" s="58" t="e">
        <f>tbl_RW[[#This Row],[Total hours]]*tbl_RW[[#This Row],[% Complete]]</f>
        <v>#VALUE!</v>
      </c>
      <c r="M113" s="59" t="str">
        <f>IFERROR(tbl_RW[[#This Row],[Qty Complete]]/tbl_RW[[#This Row],[Total Hours Act]]*tbl_RW[[#This Row],['# of men Act]],"")</f>
        <v/>
      </c>
      <c r="O113"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13" s="71" t="str">
        <f>IFERROR((tbl_RW[[#This Row],[Adj. Total Hours]]+tbl_RW[[#This Row],[Est. Hours]])/(tbl_RW[[#This Row],[Total Hours Act]]+tbl_RW[[#This Row],[Act. Hours]]),"")</f>
        <v/>
      </c>
      <c r="S113" s="63"/>
      <c r="T113" s="63"/>
      <c r="U113" s="63"/>
      <c r="V113" s="63"/>
      <c r="W113" s="63"/>
    </row>
    <row r="114" spans="6:23" ht="25" customHeight="1">
      <c r="F114" s="53"/>
      <c r="H114" s="55" t="e">
        <f>tbl_RW[[#This Row],[Qty Complete]]/tbl_RW[[#This Row],[Qty Required]]</f>
        <v>#DIV/0!</v>
      </c>
      <c r="K114" s="57" t="str">
        <f>IFERROR(tbl_RW[[#This Row],[Qty Required]]/tbl_RW[[#This Row],[PPH]]*tbl_RW[[#This Row],['# of men]],"")</f>
        <v/>
      </c>
      <c r="L114" s="58" t="e">
        <f>tbl_RW[[#This Row],[Total hours]]*tbl_RW[[#This Row],[% Complete]]</f>
        <v>#VALUE!</v>
      </c>
      <c r="M114" s="59" t="str">
        <f>IFERROR(tbl_RW[[#This Row],[Qty Complete]]/tbl_RW[[#This Row],[Total Hours Act]]*tbl_RW[[#This Row],['# of men Act]],"")</f>
        <v/>
      </c>
      <c r="O114"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14" s="71" t="str">
        <f>IFERROR((tbl_RW[[#This Row],[Adj. Total Hours]]+tbl_RW[[#This Row],[Est. Hours]])/(tbl_RW[[#This Row],[Total Hours Act]]+tbl_RW[[#This Row],[Act. Hours]]),"")</f>
        <v/>
      </c>
      <c r="S114" s="63"/>
      <c r="T114" s="63"/>
      <c r="U114" s="63"/>
      <c r="V114" s="63"/>
      <c r="W114" s="63"/>
    </row>
    <row r="115" spans="6:23" ht="25" customHeight="1">
      <c r="F115" s="53"/>
      <c r="H115" s="55" t="e">
        <f>tbl_RW[[#This Row],[Qty Complete]]/tbl_RW[[#This Row],[Qty Required]]</f>
        <v>#DIV/0!</v>
      </c>
      <c r="K115" s="57" t="str">
        <f>IFERROR(tbl_RW[[#This Row],[Qty Required]]/tbl_RW[[#This Row],[PPH]]*tbl_RW[[#This Row],['# of men]],"")</f>
        <v/>
      </c>
      <c r="L115" s="58" t="e">
        <f>tbl_RW[[#This Row],[Total hours]]*tbl_RW[[#This Row],[% Complete]]</f>
        <v>#VALUE!</v>
      </c>
      <c r="M115" s="59" t="str">
        <f>IFERROR(tbl_RW[[#This Row],[Qty Complete]]/tbl_RW[[#This Row],[Total Hours Act]]*tbl_RW[[#This Row],['# of men Act]],"")</f>
        <v/>
      </c>
      <c r="O115"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15" s="71" t="str">
        <f>IFERROR((tbl_RW[[#This Row],[Adj. Total Hours]]+tbl_RW[[#This Row],[Est. Hours]])/(tbl_RW[[#This Row],[Total Hours Act]]+tbl_RW[[#This Row],[Act. Hours]]),"")</f>
        <v/>
      </c>
      <c r="S115" s="63"/>
      <c r="T115" s="63"/>
      <c r="U115" s="63"/>
      <c r="V115" s="63"/>
      <c r="W115" s="63"/>
    </row>
    <row r="116" spans="6:23" ht="25" customHeight="1">
      <c r="F116" s="53"/>
      <c r="H116" s="55" t="e">
        <f>tbl_RW[[#This Row],[Qty Complete]]/tbl_RW[[#This Row],[Qty Required]]</f>
        <v>#DIV/0!</v>
      </c>
      <c r="K116" s="57" t="str">
        <f>IFERROR(tbl_RW[[#This Row],[Qty Required]]/tbl_RW[[#This Row],[PPH]]*tbl_RW[[#This Row],['# of men]],"")</f>
        <v/>
      </c>
      <c r="L116" s="58" t="e">
        <f>tbl_RW[[#This Row],[Total hours]]*tbl_RW[[#This Row],[% Complete]]</f>
        <v>#VALUE!</v>
      </c>
      <c r="M116" s="59" t="str">
        <f>IFERROR(tbl_RW[[#This Row],[Qty Complete]]/tbl_RW[[#This Row],[Total Hours Act]]*tbl_RW[[#This Row],['# of men Act]],"")</f>
        <v/>
      </c>
      <c r="O116"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16" s="71" t="str">
        <f>IFERROR((tbl_RW[[#This Row],[Adj. Total Hours]]+tbl_RW[[#This Row],[Est. Hours]])/(tbl_RW[[#This Row],[Total Hours Act]]+tbl_RW[[#This Row],[Act. Hours]]),"")</f>
        <v/>
      </c>
      <c r="S116" s="63"/>
      <c r="T116" s="63"/>
      <c r="U116" s="63"/>
      <c r="V116" s="63"/>
      <c r="W116" s="63"/>
    </row>
    <row r="117" spans="6:23" ht="25" customHeight="1">
      <c r="F117" s="53"/>
      <c r="H117" s="55" t="e">
        <f>tbl_RW[[#This Row],[Qty Complete]]/tbl_RW[[#This Row],[Qty Required]]</f>
        <v>#DIV/0!</v>
      </c>
      <c r="K117" s="57" t="str">
        <f>IFERROR(tbl_RW[[#This Row],[Qty Required]]/tbl_RW[[#This Row],[PPH]]*tbl_RW[[#This Row],['# of men]],"")</f>
        <v/>
      </c>
      <c r="L117" s="58" t="e">
        <f>tbl_RW[[#This Row],[Total hours]]*tbl_RW[[#This Row],[% Complete]]</f>
        <v>#VALUE!</v>
      </c>
      <c r="M117" s="59" t="str">
        <f>IFERROR(tbl_RW[[#This Row],[Qty Complete]]/tbl_RW[[#This Row],[Total Hours Act]]*tbl_RW[[#This Row],['# of men Act]],"")</f>
        <v/>
      </c>
      <c r="O117"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17" s="71" t="str">
        <f>IFERROR((tbl_RW[[#This Row],[Adj. Total Hours]]+tbl_RW[[#This Row],[Est. Hours]])/(tbl_RW[[#This Row],[Total Hours Act]]+tbl_RW[[#This Row],[Act. Hours]]),"")</f>
        <v/>
      </c>
      <c r="S117" s="63"/>
      <c r="T117" s="63"/>
      <c r="U117" s="63"/>
      <c r="V117" s="63"/>
      <c r="W117" s="63"/>
    </row>
    <row r="118" spans="6:23" ht="25" customHeight="1">
      <c r="F118" s="53"/>
      <c r="H118" s="55" t="e">
        <f>tbl_RW[[#This Row],[Qty Complete]]/tbl_RW[[#This Row],[Qty Required]]</f>
        <v>#DIV/0!</v>
      </c>
      <c r="K118" s="57" t="str">
        <f>IFERROR(tbl_RW[[#This Row],[Qty Required]]/tbl_RW[[#This Row],[PPH]]*tbl_RW[[#This Row],['# of men]],"")</f>
        <v/>
      </c>
      <c r="L118" s="58" t="e">
        <f>tbl_RW[[#This Row],[Total hours]]*tbl_RW[[#This Row],[% Complete]]</f>
        <v>#VALUE!</v>
      </c>
      <c r="M118" s="59" t="str">
        <f>IFERROR(tbl_RW[[#This Row],[Qty Complete]]/tbl_RW[[#This Row],[Total Hours Act]]*tbl_RW[[#This Row],['# of men Act]],"")</f>
        <v/>
      </c>
      <c r="O118"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18" s="71" t="str">
        <f>IFERROR((tbl_RW[[#This Row],[Adj. Total Hours]]+tbl_RW[[#This Row],[Est. Hours]])/(tbl_RW[[#This Row],[Total Hours Act]]+tbl_RW[[#This Row],[Act. Hours]]),"")</f>
        <v/>
      </c>
      <c r="S118" s="63"/>
      <c r="T118" s="63"/>
      <c r="U118" s="63"/>
      <c r="V118" s="63"/>
      <c r="W118" s="63"/>
    </row>
    <row r="119" spans="6:23" ht="25" customHeight="1">
      <c r="F119" s="53"/>
      <c r="H119" s="55" t="e">
        <f>tbl_RW[[#This Row],[Qty Complete]]/tbl_RW[[#This Row],[Qty Required]]</f>
        <v>#DIV/0!</v>
      </c>
      <c r="K119" s="57" t="str">
        <f>IFERROR(tbl_RW[[#This Row],[Qty Required]]/tbl_RW[[#This Row],[PPH]]*tbl_RW[[#This Row],['# of men]],"")</f>
        <v/>
      </c>
      <c r="L119" s="58" t="e">
        <f>tbl_RW[[#This Row],[Total hours]]*tbl_RW[[#This Row],[% Complete]]</f>
        <v>#VALUE!</v>
      </c>
      <c r="M119" s="59" t="str">
        <f>IFERROR(tbl_RW[[#This Row],[Qty Complete]]/tbl_RW[[#This Row],[Total Hours Act]]*tbl_RW[[#This Row],['# of men Act]],"")</f>
        <v/>
      </c>
      <c r="O119"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19" s="71" t="str">
        <f>IFERROR((tbl_RW[[#This Row],[Adj. Total Hours]]+tbl_RW[[#This Row],[Est. Hours]])/(tbl_RW[[#This Row],[Total Hours Act]]+tbl_RW[[#This Row],[Act. Hours]]),"")</f>
        <v/>
      </c>
      <c r="S119" s="63"/>
      <c r="T119" s="63"/>
      <c r="U119" s="63"/>
      <c r="V119" s="63"/>
      <c r="W119" s="63"/>
    </row>
    <row r="120" spans="6:23" ht="25" customHeight="1">
      <c r="F120" s="53"/>
      <c r="H120" s="55" t="e">
        <f>tbl_RW[[#This Row],[Qty Complete]]/tbl_RW[[#This Row],[Qty Required]]</f>
        <v>#DIV/0!</v>
      </c>
      <c r="K120" s="57" t="str">
        <f>IFERROR(tbl_RW[[#This Row],[Qty Required]]/tbl_RW[[#This Row],[PPH]]*tbl_RW[[#This Row],['# of men]],"")</f>
        <v/>
      </c>
      <c r="L120" s="58" t="e">
        <f>tbl_RW[[#This Row],[Total hours]]*tbl_RW[[#This Row],[% Complete]]</f>
        <v>#VALUE!</v>
      </c>
      <c r="M120" s="59" t="str">
        <f>IFERROR(tbl_RW[[#This Row],[Qty Complete]]/tbl_RW[[#This Row],[Total Hours Act]]*tbl_RW[[#This Row],['# of men Act]],"")</f>
        <v/>
      </c>
      <c r="O120"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20" s="71" t="str">
        <f>IFERROR((tbl_RW[[#This Row],[Adj. Total Hours]]+tbl_RW[[#This Row],[Est. Hours]])/(tbl_RW[[#This Row],[Total Hours Act]]+tbl_RW[[#This Row],[Act. Hours]]),"")</f>
        <v/>
      </c>
      <c r="S120" s="63"/>
      <c r="T120" s="63"/>
      <c r="U120" s="63"/>
      <c r="V120" s="63"/>
      <c r="W120" s="63"/>
    </row>
    <row r="121" spans="6:23" ht="25" customHeight="1">
      <c r="F121" s="53"/>
      <c r="H121" s="55" t="e">
        <f>tbl_RW[[#This Row],[Qty Complete]]/tbl_RW[[#This Row],[Qty Required]]</f>
        <v>#DIV/0!</v>
      </c>
      <c r="K121" s="57" t="str">
        <f>IFERROR(tbl_RW[[#This Row],[Qty Required]]/tbl_RW[[#This Row],[PPH]]*tbl_RW[[#This Row],['# of men]],"")</f>
        <v/>
      </c>
      <c r="L121" s="58" t="e">
        <f>tbl_RW[[#This Row],[Total hours]]*tbl_RW[[#This Row],[% Complete]]</f>
        <v>#VALUE!</v>
      </c>
      <c r="M121" s="59" t="str">
        <f>IFERROR(tbl_RW[[#This Row],[Qty Complete]]/tbl_RW[[#This Row],[Total Hours Act]]*tbl_RW[[#This Row],['# of men Act]],"")</f>
        <v/>
      </c>
      <c r="O121"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21" s="71" t="str">
        <f>IFERROR((tbl_RW[[#This Row],[Adj. Total Hours]]+tbl_RW[[#This Row],[Est. Hours]])/(tbl_RW[[#This Row],[Total Hours Act]]+tbl_RW[[#This Row],[Act. Hours]]),"")</f>
        <v/>
      </c>
      <c r="S121" s="63"/>
      <c r="T121" s="63"/>
      <c r="U121" s="63"/>
      <c r="V121" s="63"/>
      <c r="W121" s="63"/>
    </row>
    <row r="122" spans="6:23" ht="25" customHeight="1">
      <c r="F122" s="53"/>
      <c r="H122" s="55" t="e">
        <f>tbl_RW[[#This Row],[Qty Complete]]/tbl_RW[[#This Row],[Qty Required]]</f>
        <v>#DIV/0!</v>
      </c>
      <c r="K122" s="57" t="str">
        <f>IFERROR(tbl_RW[[#This Row],[Qty Required]]/tbl_RW[[#This Row],[PPH]]*tbl_RW[[#This Row],['# of men]],"")</f>
        <v/>
      </c>
      <c r="L122" s="58" t="e">
        <f>tbl_RW[[#This Row],[Total hours]]*tbl_RW[[#This Row],[% Complete]]</f>
        <v>#VALUE!</v>
      </c>
      <c r="M122" s="59" t="str">
        <f>IFERROR(tbl_RW[[#This Row],[Qty Complete]]/tbl_RW[[#This Row],[Total Hours Act]]*tbl_RW[[#This Row],['# of men Act]],"")</f>
        <v/>
      </c>
      <c r="O122"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22" s="71" t="str">
        <f>IFERROR((tbl_RW[[#This Row],[Adj. Total Hours]]+tbl_RW[[#This Row],[Est. Hours]])/(tbl_RW[[#This Row],[Total Hours Act]]+tbl_RW[[#This Row],[Act. Hours]]),"")</f>
        <v/>
      </c>
      <c r="S122" s="63"/>
      <c r="T122" s="63"/>
      <c r="U122" s="63"/>
      <c r="V122" s="63"/>
      <c r="W122" s="63"/>
    </row>
    <row r="123" spans="6:23" ht="25" customHeight="1">
      <c r="F123" s="53"/>
      <c r="H123" s="55" t="e">
        <f>tbl_RW[[#This Row],[Qty Complete]]/tbl_RW[[#This Row],[Qty Required]]</f>
        <v>#DIV/0!</v>
      </c>
      <c r="K123" s="57" t="str">
        <f>IFERROR(tbl_RW[[#This Row],[Qty Required]]/tbl_RW[[#This Row],[PPH]]*tbl_RW[[#This Row],['# of men]],"")</f>
        <v/>
      </c>
      <c r="L123" s="58" t="e">
        <f>tbl_RW[[#This Row],[Total hours]]*tbl_RW[[#This Row],[% Complete]]</f>
        <v>#VALUE!</v>
      </c>
      <c r="M123" s="59" t="str">
        <f>IFERROR(tbl_RW[[#This Row],[Qty Complete]]/tbl_RW[[#This Row],[Total Hours Act]]*tbl_RW[[#This Row],['# of men Act]],"")</f>
        <v/>
      </c>
      <c r="O123"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23" s="71" t="str">
        <f>IFERROR((tbl_RW[[#This Row],[Adj. Total Hours]]+tbl_RW[[#This Row],[Est. Hours]])/(tbl_RW[[#This Row],[Total Hours Act]]+tbl_RW[[#This Row],[Act. Hours]]),"")</f>
        <v/>
      </c>
      <c r="S123" s="63"/>
      <c r="T123" s="63"/>
      <c r="U123" s="63"/>
      <c r="V123" s="63"/>
      <c r="W123" s="63"/>
    </row>
    <row r="124" spans="6:23" ht="25" customHeight="1">
      <c r="F124" s="53"/>
      <c r="H124" s="55" t="e">
        <f>tbl_RW[[#This Row],[Qty Complete]]/tbl_RW[[#This Row],[Qty Required]]</f>
        <v>#DIV/0!</v>
      </c>
      <c r="K124" s="57" t="str">
        <f>IFERROR(tbl_RW[[#This Row],[Qty Required]]/tbl_RW[[#This Row],[PPH]]*tbl_RW[[#This Row],['# of men]],"")</f>
        <v/>
      </c>
      <c r="L124" s="58" t="e">
        <f>tbl_RW[[#This Row],[Total hours]]*tbl_RW[[#This Row],[% Complete]]</f>
        <v>#VALUE!</v>
      </c>
      <c r="M124" s="59" t="str">
        <f>IFERROR(tbl_RW[[#This Row],[Qty Complete]]/tbl_RW[[#This Row],[Total Hours Act]]*tbl_RW[[#This Row],['# of men Act]],"")</f>
        <v/>
      </c>
      <c r="O124"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24" s="71" t="str">
        <f>IFERROR((tbl_RW[[#This Row],[Adj. Total Hours]]+tbl_RW[[#This Row],[Est. Hours]])/(tbl_RW[[#This Row],[Total Hours Act]]+tbl_RW[[#This Row],[Act. Hours]]),"")</f>
        <v/>
      </c>
      <c r="S124" s="63"/>
      <c r="T124" s="63"/>
      <c r="U124" s="63"/>
      <c r="V124" s="63"/>
      <c r="W124" s="63"/>
    </row>
    <row r="125" spans="6:23" ht="25" customHeight="1">
      <c r="F125" s="53"/>
      <c r="H125" s="55" t="e">
        <f>tbl_RW[[#This Row],[Qty Complete]]/tbl_RW[[#This Row],[Qty Required]]</f>
        <v>#DIV/0!</v>
      </c>
      <c r="K125" s="57" t="str">
        <f>IFERROR(tbl_RW[[#This Row],[Qty Required]]/tbl_RW[[#This Row],[PPH]]*tbl_RW[[#This Row],['# of men]],"")</f>
        <v/>
      </c>
      <c r="L125" s="58" t="e">
        <f>tbl_RW[[#This Row],[Total hours]]*tbl_RW[[#This Row],[% Complete]]</f>
        <v>#VALUE!</v>
      </c>
      <c r="M125" s="59" t="str">
        <f>IFERROR(tbl_RW[[#This Row],[Qty Complete]]/tbl_RW[[#This Row],[Total Hours Act]]*tbl_RW[[#This Row],['# of men Act]],"")</f>
        <v/>
      </c>
      <c r="O125"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25" s="71" t="str">
        <f>IFERROR((tbl_RW[[#This Row],[Adj. Total Hours]]+tbl_RW[[#This Row],[Est. Hours]])/(tbl_RW[[#This Row],[Total Hours Act]]+tbl_RW[[#This Row],[Act. Hours]]),"")</f>
        <v/>
      </c>
      <c r="S125" s="63"/>
      <c r="T125" s="63"/>
      <c r="U125" s="63"/>
      <c r="V125" s="63"/>
      <c r="W125" s="63"/>
    </row>
    <row r="126" spans="6:23" ht="25" customHeight="1">
      <c r="F126" s="53"/>
      <c r="H126" s="55" t="e">
        <f>tbl_RW[[#This Row],[Qty Complete]]/tbl_RW[[#This Row],[Qty Required]]</f>
        <v>#DIV/0!</v>
      </c>
      <c r="K126" s="57" t="str">
        <f>IFERROR(tbl_RW[[#This Row],[Qty Required]]/tbl_RW[[#This Row],[PPH]]*tbl_RW[[#This Row],['# of men]],"")</f>
        <v/>
      </c>
      <c r="L126" s="58" t="e">
        <f>tbl_RW[[#This Row],[Total hours]]*tbl_RW[[#This Row],[% Complete]]</f>
        <v>#VALUE!</v>
      </c>
      <c r="M126" s="59" t="str">
        <f>IFERROR(tbl_RW[[#This Row],[Qty Complete]]/tbl_RW[[#This Row],[Total Hours Act]]*tbl_RW[[#This Row],['# of men Act]],"")</f>
        <v/>
      </c>
      <c r="O126"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26" s="71" t="str">
        <f>IFERROR((tbl_RW[[#This Row],[Adj. Total Hours]]+tbl_RW[[#This Row],[Est. Hours]])/(tbl_RW[[#This Row],[Total Hours Act]]+tbl_RW[[#This Row],[Act. Hours]]),"")</f>
        <v/>
      </c>
      <c r="S126" s="63"/>
      <c r="T126" s="63"/>
      <c r="U126" s="63"/>
      <c r="V126" s="63"/>
      <c r="W126" s="63"/>
    </row>
    <row r="127" spans="6:23" ht="25" customHeight="1">
      <c r="F127" s="53"/>
      <c r="H127" s="55" t="e">
        <f>tbl_RW[[#This Row],[Qty Complete]]/tbl_RW[[#This Row],[Qty Required]]</f>
        <v>#DIV/0!</v>
      </c>
      <c r="K127" s="57" t="str">
        <f>IFERROR(tbl_RW[[#This Row],[Qty Required]]/tbl_RW[[#This Row],[PPH]]*tbl_RW[[#This Row],['# of men]],"")</f>
        <v/>
      </c>
      <c r="L127" s="58" t="e">
        <f>tbl_RW[[#This Row],[Total hours]]*tbl_RW[[#This Row],[% Complete]]</f>
        <v>#VALUE!</v>
      </c>
      <c r="M127" s="59" t="str">
        <f>IFERROR(tbl_RW[[#This Row],[Qty Complete]]/tbl_RW[[#This Row],[Total Hours Act]]*tbl_RW[[#This Row],['# of men Act]],"")</f>
        <v/>
      </c>
      <c r="O127"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27" s="71" t="str">
        <f>IFERROR((tbl_RW[[#This Row],[Adj. Total Hours]]+tbl_RW[[#This Row],[Est. Hours]])/(tbl_RW[[#This Row],[Total Hours Act]]+tbl_RW[[#This Row],[Act. Hours]]),"")</f>
        <v/>
      </c>
      <c r="S127" s="63"/>
      <c r="T127" s="63"/>
      <c r="U127" s="63"/>
      <c r="V127" s="63"/>
      <c r="W127" s="63"/>
    </row>
    <row r="128" spans="6:23" ht="25" customHeight="1">
      <c r="F128" s="53"/>
      <c r="H128" s="55" t="e">
        <f>tbl_RW[[#This Row],[Qty Complete]]/tbl_RW[[#This Row],[Qty Required]]</f>
        <v>#DIV/0!</v>
      </c>
      <c r="K128" s="57" t="str">
        <f>IFERROR(tbl_RW[[#This Row],[Qty Required]]/tbl_RW[[#This Row],[PPH]]*tbl_RW[[#This Row],['# of men]],"")</f>
        <v/>
      </c>
      <c r="L128" s="58" t="e">
        <f>tbl_RW[[#This Row],[Total hours]]*tbl_RW[[#This Row],[% Complete]]</f>
        <v>#VALUE!</v>
      </c>
      <c r="M128" s="59" t="str">
        <f>IFERROR(tbl_RW[[#This Row],[Qty Complete]]/tbl_RW[[#This Row],[Total Hours Act]]*tbl_RW[[#This Row],['# of men Act]],"")</f>
        <v/>
      </c>
      <c r="O128"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28" s="71" t="str">
        <f>IFERROR((tbl_RW[[#This Row],[Adj. Total Hours]]+tbl_RW[[#This Row],[Est. Hours]])/(tbl_RW[[#This Row],[Total Hours Act]]+tbl_RW[[#This Row],[Act. Hours]]),"")</f>
        <v/>
      </c>
      <c r="S128" s="63"/>
      <c r="T128" s="63"/>
      <c r="U128" s="63"/>
      <c r="V128" s="63"/>
      <c r="W128" s="63"/>
    </row>
    <row r="129" spans="6:23" ht="25" customHeight="1">
      <c r="F129" s="53"/>
      <c r="H129" s="55" t="e">
        <f>tbl_RW[[#This Row],[Qty Complete]]/tbl_RW[[#This Row],[Qty Required]]</f>
        <v>#DIV/0!</v>
      </c>
      <c r="K129" s="57" t="str">
        <f>IFERROR(tbl_RW[[#This Row],[Qty Required]]/tbl_RW[[#This Row],[PPH]]*tbl_RW[[#This Row],['# of men]],"")</f>
        <v/>
      </c>
      <c r="L129" s="58" t="e">
        <f>tbl_RW[[#This Row],[Total hours]]*tbl_RW[[#This Row],[% Complete]]</f>
        <v>#VALUE!</v>
      </c>
      <c r="M129" s="59" t="str">
        <f>IFERROR(tbl_RW[[#This Row],[Qty Complete]]/tbl_RW[[#This Row],[Total Hours Act]]*tbl_RW[[#This Row],['# of men Act]],"")</f>
        <v/>
      </c>
      <c r="O129"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29" s="71" t="str">
        <f>IFERROR((tbl_RW[[#This Row],[Adj. Total Hours]]+tbl_RW[[#This Row],[Est. Hours]])/(tbl_RW[[#This Row],[Total Hours Act]]+tbl_RW[[#This Row],[Act. Hours]]),"")</f>
        <v/>
      </c>
      <c r="S129" s="63"/>
      <c r="T129" s="63"/>
      <c r="U129" s="63"/>
      <c r="V129" s="63"/>
      <c r="W129" s="63"/>
    </row>
    <row r="130" spans="6:23" ht="25" customHeight="1">
      <c r="F130" s="53"/>
      <c r="H130" s="55" t="e">
        <f>tbl_RW[[#This Row],[Qty Complete]]/tbl_RW[[#This Row],[Qty Required]]</f>
        <v>#DIV/0!</v>
      </c>
      <c r="K130" s="57" t="str">
        <f>IFERROR(tbl_RW[[#This Row],[Qty Required]]/tbl_RW[[#This Row],[PPH]]*tbl_RW[[#This Row],['# of men]],"")</f>
        <v/>
      </c>
      <c r="L130" s="58" t="e">
        <f>tbl_RW[[#This Row],[Total hours]]*tbl_RW[[#This Row],[% Complete]]</f>
        <v>#VALUE!</v>
      </c>
      <c r="M130" s="59" t="str">
        <f>IFERROR(tbl_RW[[#This Row],[Qty Complete]]/tbl_RW[[#This Row],[Total Hours Act]]*tbl_RW[[#This Row],['# of men Act]],"")</f>
        <v/>
      </c>
      <c r="O130"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30" s="71" t="str">
        <f>IFERROR((tbl_RW[[#This Row],[Adj. Total Hours]]+tbl_RW[[#This Row],[Est. Hours]])/(tbl_RW[[#This Row],[Total Hours Act]]+tbl_RW[[#This Row],[Act. Hours]]),"")</f>
        <v/>
      </c>
      <c r="S130" s="63"/>
      <c r="T130" s="63"/>
      <c r="U130" s="63"/>
      <c r="V130" s="63"/>
      <c r="W130" s="63"/>
    </row>
    <row r="131" spans="6:23" ht="25" customHeight="1">
      <c r="F131" s="53"/>
      <c r="H131" s="55" t="e">
        <f>tbl_RW[[#This Row],[Qty Complete]]/tbl_RW[[#This Row],[Qty Required]]</f>
        <v>#DIV/0!</v>
      </c>
      <c r="K131" s="57" t="str">
        <f>IFERROR(tbl_RW[[#This Row],[Qty Required]]/tbl_RW[[#This Row],[PPH]]*tbl_RW[[#This Row],['# of men]],"")</f>
        <v/>
      </c>
      <c r="L131" s="58" t="e">
        <f>tbl_RW[[#This Row],[Total hours]]*tbl_RW[[#This Row],[% Complete]]</f>
        <v>#VALUE!</v>
      </c>
      <c r="M131" s="59" t="str">
        <f>IFERROR(tbl_RW[[#This Row],[Qty Complete]]/tbl_RW[[#This Row],[Total Hours Act]]*tbl_RW[[#This Row],['# of men Act]],"")</f>
        <v/>
      </c>
      <c r="O131"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31" s="71" t="str">
        <f>IFERROR((tbl_RW[[#This Row],[Adj. Total Hours]]+tbl_RW[[#This Row],[Est. Hours]])/(tbl_RW[[#This Row],[Total Hours Act]]+tbl_RW[[#This Row],[Act. Hours]]),"")</f>
        <v/>
      </c>
      <c r="S131" s="63"/>
      <c r="T131" s="63"/>
      <c r="U131" s="63"/>
      <c r="V131" s="63"/>
      <c r="W131" s="63"/>
    </row>
    <row r="132" spans="6:23" ht="25" customHeight="1">
      <c r="F132" s="53"/>
      <c r="H132" s="55" t="e">
        <f>tbl_RW[[#This Row],[Qty Complete]]/tbl_RW[[#This Row],[Qty Required]]</f>
        <v>#DIV/0!</v>
      </c>
      <c r="K132" s="57" t="str">
        <f>IFERROR(tbl_RW[[#This Row],[Qty Required]]/tbl_RW[[#This Row],[PPH]]*tbl_RW[[#This Row],['# of men]],"")</f>
        <v/>
      </c>
      <c r="L132" s="58" t="e">
        <f>tbl_RW[[#This Row],[Total hours]]*tbl_RW[[#This Row],[% Complete]]</f>
        <v>#VALUE!</v>
      </c>
      <c r="M132" s="59" t="str">
        <f>IFERROR(tbl_RW[[#This Row],[Qty Complete]]/tbl_RW[[#This Row],[Total Hours Act]]*tbl_RW[[#This Row],['# of men Act]],"")</f>
        <v/>
      </c>
      <c r="O132"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32" s="71" t="str">
        <f>IFERROR((tbl_RW[[#This Row],[Adj. Total Hours]]+tbl_RW[[#This Row],[Est. Hours]])/(tbl_RW[[#This Row],[Total Hours Act]]+tbl_RW[[#This Row],[Act. Hours]]),"")</f>
        <v/>
      </c>
      <c r="S132" s="63"/>
      <c r="T132" s="63"/>
      <c r="U132" s="63"/>
      <c r="V132" s="63"/>
      <c r="W132" s="63"/>
    </row>
    <row r="133" spans="6:23" ht="25" customHeight="1">
      <c r="F133" s="53"/>
      <c r="H133" s="55" t="e">
        <f>tbl_RW[[#This Row],[Qty Complete]]/tbl_RW[[#This Row],[Qty Required]]</f>
        <v>#DIV/0!</v>
      </c>
      <c r="K133" s="57" t="str">
        <f>IFERROR(tbl_RW[[#This Row],[Qty Required]]/tbl_RW[[#This Row],[PPH]]*tbl_RW[[#This Row],['# of men]],"")</f>
        <v/>
      </c>
      <c r="L133" s="58" t="e">
        <f>tbl_RW[[#This Row],[Total hours]]*tbl_RW[[#This Row],[% Complete]]</f>
        <v>#VALUE!</v>
      </c>
      <c r="M133" s="59" t="str">
        <f>IFERROR(tbl_RW[[#This Row],[Qty Complete]]/tbl_RW[[#This Row],[Total Hours Act]]*tbl_RW[[#This Row],['# of men Act]],"")</f>
        <v/>
      </c>
      <c r="O133"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33" s="71" t="str">
        <f>IFERROR((tbl_RW[[#This Row],[Adj. Total Hours]]+tbl_RW[[#This Row],[Est. Hours]])/(tbl_RW[[#This Row],[Total Hours Act]]+tbl_RW[[#This Row],[Act. Hours]]),"")</f>
        <v/>
      </c>
      <c r="S133" s="63"/>
      <c r="T133" s="63"/>
      <c r="U133" s="63"/>
      <c r="V133" s="63"/>
      <c r="W133" s="63"/>
    </row>
    <row r="134" spans="6:23" ht="25" customHeight="1">
      <c r="F134" s="53"/>
      <c r="H134" s="55" t="e">
        <f>tbl_RW[[#This Row],[Qty Complete]]/tbl_RW[[#This Row],[Qty Required]]</f>
        <v>#DIV/0!</v>
      </c>
      <c r="K134" s="57" t="str">
        <f>IFERROR(tbl_RW[[#This Row],[Qty Required]]/tbl_RW[[#This Row],[PPH]]*tbl_RW[[#This Row],['# of men]],"")</f>
        <v/>
      </c>
      <c r="L134" s="58" t="e">
        <f>tbl_RW[[#This Row],[Total hours]]*tbl_RW[[#This Row],[% Complete]]</f>
        <v>#VALUE!</v>
      </c>
      <c r="M134" s="59" t="str">
        <f>IFERROR(tbl_RW[[#This Row],[Qty Complete]]/tbl_RW[[#This Row],[Total Hours Act]]*tbl_RW[[#This Row],['# of men Act]],"")</f>
        <v/>
      </c>
      <c r="O134"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34" s="71" t="str">
        <f>IFERROR((tbl_RW[[#This Row],[Adj. Total Hours]]+tbl_RW[[#This Row],[Est. Hours]])/(tbl_RW[[#This Row],[Total Hours Act]]+tbl_RW[[#This Row],[Act. Hours]]),"")</f>
        <v/>
      </c>
      <c r="S134" s="63"/>
      <c r="T134" s="63"/>
      <c r="U134" s="63"/>
      <c r="V134" s="63"/>
      <c r="W134" s="63"/>
    </row>
    <row r="135" spans="6:23" ht="25" customHeight="1">
      <c r="F135" s="53"/>
      <c r="H135" s="55" t="e">
        <f>tbl_RW[[#This Row],[Qty Complete]]/tbl_RW[[#This Row],[Qty Required]]</f>
        <v>#DIV/0!</v>
      </c>
      <c r="K135" s="57" t="str">
        <f>IFERROR(tbl_RW[[#This Row],[Qty Required]]/tbl_RW[[#This Row],[PPH]]*tbl_RW[[#This Row],['# of men]],"")</f>
        <v/>
      </c>
      <c r="L135" s="58" t="e">
        <f>tbl_RW[[#This Row],[Total hours]]*tbl_RW[[#This Row],[% Complete]]</f>
        <v>#VALUE!</v>
      </c>
      <c r="M135" s="59" t="str">
        <f>IFERROR(tbl_RW[[#This Row],[Qty Complete]]/tbl_RW[[#This Row],[Total Hours Act]]*tbl_RW[[#This Row],['# of men Act]],"")</f>
        <v/>
      </c>
      <c r="O135"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35" s="71" t="str">
        <f>IFERROR((tbl_RW[[#This Row],[Adj. Total Hours]]+tbl_RW[[#This Row],[Est. Hours]])/(tbl_RW[[#This Row],[Total Hours Act]]+tbl_RW[[#This Row],[Act. Hours]]),"")</f>
        <v/>
      </c>
      <c r="S135" s="63"/>
      <c r="T135" s="63"/>
      <c r="U135" s="63"/>
      <c r="V135" s="63"/>
      <c r="W135" s="63"/>
    </row>
    <row r="136" spans="6:23" ht="25" customHeight="1">
      <c r="F136" s="53"/>
      <c r="H136" s="55" t="e">
        <f>tbl_RW[[#This Row],[Qty Complete]]/tbl_RW[[#This Row],[Qty Required]]</f>
        <v>#DIV/0!</v>
      </c>
      <c r="K136" s="57" t="str">
        <f>IFERROR(tbl_RW[[#This Row],[Qty Required]]/tbl_RW[[#This Row],[PPH]]*tbl_RW[[#This Row],['# of men]],"")</f>
        <v/>
      </c>
      <c r="L136" s="58" t="e">
        <f>tbl_RW[[#This Row],[Total hours]]*tbl_RW[[#This Row],[% Complete]]</f>
        <v>#VALUE!</v>
      </c>
      <c r="M136" s="59" t="str">
        <f>IFERROR(tbl_RW[[#This Row],[Qty Complete]]/tbl_RW[[#This Row],[Total Hours Act]]*tbl_RW[[#This Row],['# of men Act]],"")</f>
        <v/>
      </c>
      <c r="O136"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36" s="71" t="str">
        <f>IFERROR((tbl_RW[[#This Row],[Adj. Total Hours]]+tbl_RW[[#This Row],[Est. Hours]])/(tbl_RW[[#This Row],[Total Hours Act]]+tbl_RW[[#This Row],[Act. Hours]]),"")</f>
        <v/>
      </c>
      <c r="S136" s="63"/>
      <c r="T136" s="63"/>
      <c r="U136" s="63"/>
      <c r="V136" s="63"/>
      <c r="W136" s="63"/>
    </row>
    <row r="137" spans="6:23" ht="25" customHeight="1">
      <c r="F137" s="53"/>
      <c r="H137" s="55" t="e">
        <f>tbl_RW[[#This Row],[Qty Complete]]/tbl_RW[[#This Row],[Qty Required]]</f>
        <v>#DIV/0!</v>
      </c>
      <c r="K137" s="57" t="str">
        <f>IFERROR(tbl_RW[[#This Row],[Qty Required]]/tbl_RW[[#This Row],[PPH]]*tbl_RW[[#This Row],['# of men]],"")</f>
        <v/>
      </c>
      <c r="L137" s="58" t="e">
        <f>tbl_RW[[#This Row],[Total hours]]*tbl_RW[[#This Row],[% Complete]]</f>
        <v>#VALUE!</v>
      </c>
      <c r="M137" s="59" t="str">
        <f>IFERROR(tbl_RW[[#This Row],[Qty Complete]]/tbl_RW[[#This Row],[Total Hours Act]]*tbl_RW[[#This Row],['# of men Act]],"")</f>
        <v/>
      </c>
      <c r="O137"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37" s="71" t="str">
        <f>IFERROR((tbl_RW[[#This Row],[Adj. Total Hours]]+tbl_RW[[#This Row],[Est. Hours]])/(tbl_RW[[#This Row],[Total Hours Act]]+tbl_RW[[#This Row],[Act. Hours]]),"")</f>
        <v/>
      </c>
      <c r="S137" s="63"/>
      <c r="T137" s="63"/>
      <c r="U137" s="63"/>
      <c r="V137" s="63"/>
      <c r="W137" s="63"/>
    </row>
    <row r="138" spans="6:23" ht="25" customHeight="1">
      <c r="F138" s="53"/>
      <c r="H138" s="55" t="e">
        <f>tbl_RW[[#This Row],[Qty Complete]]/tbl_RW[[#This Row],[Qty Required]]</f>
        <v>#DIV/0!</v>
      </c>
      <c r="K138" s="57" t="str">
        <f>IFERROR(tbl_RW[[#This Row],[Qty Required]]/tbl_RW[[#This Row],[PPH]]*tbl_RW[[#This Row],['# of men]],"")</f>
        <v/>
      </c>
      <c r="L138" s="58" t="e">
        <f>tbl_RW[[#This Row],[Total hours]]*tbl_RW[[#This Row],[% Complete]]</f>
        <v>#VALUE!</v>
      </c>
      <c r="M138" s="59" t="str">
        <f>IFERROR(tbl_RW[[#This Row],[Qty Complete]]/tbl_RW[[#This Row],[Total Hours Act]]*tbl_RW[[#This Row],['# of men Act]],"")</f>
        <v/>
      </c>
      <c r="O138"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38" s="71" t="str">
        <f>IFERROR((tbl_RW[[#This Row],[Adj. Total Hours]]+tbl_RW[[#This Row],[Est. Hours]])/(tbl_RW[[#This Row],[Total Hours Act]]+tbl_RW[[#This Row],[Act. Hours]]),"")</f>
        <v/>
      </c>
      <c r="S138" s="63"/>
      <c r="T138" s="63"/>
      <c r="U138" s="63"/>
      <c r="V138" s="63"/>
      <c r="W138" s="63"/>
    </row>
    <row r="139" spans="6:23" ht="25" customHeight="1">
      <c r="F139" s="53"/>
      <c r="H139" s="55" t="e">
        <f>tbl_RW[[#This Row],[Qty Complete]]/tbl_RW[[#This Row],[Qty Required]]</f>
        <v>#DIV/0!</v>
      </c>
      <c r="K139" s="57" t="str">
        <f>IFERROR(tbl_RW[[#This Row],[Qty Required]]/tbl_RW[[#This Row],[PPH]]*tbl_RW[[#This Row],['# of men]],"")</f>
        <v/>
      </c>
      <c r="L139" s="58" t="e">
        <f>tbl_RW[[#This Row],[Total hours]]*tbl_RW[[#This Row],[% Complete]]</f>
        <v>#VALUE!</v>
      </c>
      <c r="M139" s="59" t="str">
        <f>IFERROR(tbl_RW[[#This Row],[Qty Complete]]/tbl_RW[[#This Row],[Total Hours Act]]*tbl_RW[[#This Row],['# of men Act]],"")</f>
        <v/>
      </c>
      <c r="O139"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39" s="71" t="str">
        <f>IFERROR((tbl_RW[[#This Row],[Adj. Total Hours]]+tbl_RW[[#This Row],[Est. Hours]])/(tbl_RW[[#This Row],[Total Hours Act]]+tbl_RW[[#This Row],[Act. Hours]]),"")</f>
        <v/>
      </c>
      <c r="S139" s="63"/>
      <c r="T139" s="63"/>
      <c r="U139" s="63"/>
      <c r="V139" s="63"/>
      <c r="W139" s="63"/>
    </row>
    <row r="140" spans="6:23" ht="25" customHeight="1">
      <c r="F140" s="53"/>
      <c r="H140" s="55" t="e">
        <f>tbl_RW[[#This Row],[Qty Complete]]/tbl_RW[[#This Row],[Qty Required]]</f>
        <v>#DIV/0!</v>
      </c>
      <c r="K140" s="57" t="str">
        <f>IFERROR(tbl_RW[[#This Row],[Qty Required]]/tbl_RW[[#This Row],[PPH]]*tbl_RW[[#This Row],['# of men]],"")</f>
        <v/>
      </c>
      <c r="L140" s="58" t="e">
        <f>tbl_RW[[#This Row],[Total hours]]*tbl_RW[[#This Row],[% Complete]]</f>
        <v>#VALUE!</v>
      </c>
      <c r="M140" s="59" t="str">
        <f>IFERROR(tbl_RW[[#This Row],[Qty Complete]]/tbl_RW[[#This Row],[Total Hours Act]]*tbl_RW[[#This Row],['# of men Act]],"")</f>
        <v/>
      </c>
      <c r="O140"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40" s="71" t="str">
        <f>IFERROR((tbl_RW[[#This Row],[Adj. Total Hours]]+tbl_RW[[#This Row],[Est. Hours]])/(tbl_RW[[#This Row],[Total Hours Act]]+tbl_RW[[#This Row],[Act. Hours]]),"")</f>
        <v/>
      </c>
      <c r="S140" s="63"/>
      <c r="T140" s="63"/>
      <c r="U140" s="63"/>
      <c r="V140" s="63"/>
      <c r="W140" s="63"/>
    </row>
    <row r="141" spans="6:23" ht="25" customHeight="1">
      <c r="F141" s="53"/>
      <c r="H141" s="55" t="e">
        <f>tbl_RW[[#This Row],[Qty Complete]]/tbl_RW[[#This Row],[Qty Required]]</f>
        <v>#DIV/0!</v>
      </c>
      <c r="K141" s="57" t="str">
        <f>IFERROR(tbl_RW[[#This Row],[Qty Required]]/tbl_RW[[#This Row],[PPH]]*tbl_RW[[#This Row],['# of men]],"")</f>
        <v/>
      </c>
      <c r="L141" s="58" t="e">
        <f>tbl_RW[[#This Row],[Total hours]]*tbl_RW[[#This Row],[% Complete]]</f>
        <v>#VALUE!</v>
      </c>
      <c r="M141" s="59" t="str">
        <f>IFERROR(tbl_RW[[#This Row],[Qty Complete]]/tbl_RW[[#This Row],[Total Hours Act]]*tbl_RW[[#This Row],['# of men Act]],"")</f>
        <v/>
      </c>
      <c r="O141"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41" s="71" t="str">
        <f>IFERROR((tbl_RW[[#This Row],[Adj. Total Hours]]+tbl_RW[[#This Row],[Est. Hours]])/(tbl_RW[[#This Row],[Total Hours Act]]+tbl_RW[[#This Row],[Act. Hours]]),"")</f>
        <v/>
      </c>
      <c r="S141" s="63"/>
      <c r="T141" s="63"/>
      <c r="U141" s="63"/>
      <c r="V141" s="63"/>
      <c r="W141" s="63"/>
    </row>
    <row r="142" spans="6:23" ht="25" customHeight="1">
      <c r="F142" s="53"/>
      <c r="H142" s="55" t="e">
        <f>tbl_RW[[#This Row],[Qty Complete]]/tbl_RW[[#This Row],[Qty Required]]</f>
        <v>#DIV/0!</v>
      </c>
      <c r="K142" s="57" t="str">
        <f>IFERROR(tbl_RW[[#This Row],[Qty Required]]/tbl_RW[[#This Row],[PPH]]*tbl_RW[[#This Row],['# of men]],"")</f>
        <v/>
      </c>
      <c r="L142" s="58" t="e">
        <f>tbl_RW[[#This Row],[Total hours]]*tbl_RW[[#This Row],[% Complete]]</f>
        <v>#VALUE!</v>
      </c>
      <c r="M142" s="59" t="str">
        <f>IFERROR(tbl_RW[[#This Row],[Qty Complete]]/tbl_RW[[#This Row],[Total Hours Act]]*tbl_RW[[#This Row],['# of men Act]],"")</f>
        <v/>
      </c>
      <c r="O142"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42" s="71" t="str">
        <f>IFERROR((tbl_RW[[#This Row],[Adj. Total Hours]]+tbl_RW[[#This Row],[Est. Hours]])/(tbl_RW[[#This Row],[Total Hours Act]]+tbl_RW[[#This Row],[Act. Hours]]),"")</f>
        <v/>
      </c>
      <c r="S142" s="63"/>
      <c r="T142" s="63"/>
      <c r="U142" s="63"/>
      <c r="V142" s="63"/>
      <c r="W142" s="63"/>
    </row>
    <row r="143" spans="6:23" ht="25" customHeight="1">
      <c r="F143" s="53"/>
      <c r="H143" s="55" t="e">
        <f>tbl_RW[[#This Row],[Qty Complete]]/tbl_RW[[#This Row],[Qty Required]]</f>
        <v>#DIV/0!</v>
      </c>
      <c r="K143" s="57" t="str">
        <f>IFERROR(tbl_RW[[#This Row],[Qty Required]]/tbl_RW[[#This Row],[PPH]]*tbl_RW[[#This Row],['# of men]],"")</f>
        <v/>
      </c>
      <c r="L143" s="58" t="e">
        <f>tbl_RW[[#This Row],[Total hours]]*tbl_RW[[#This Row],[% Complete]]</f>
        <v>#VALUE!</v>
      </c>
      <c r="M143" s="59" t="str">
        <f>IFERROR(tbl_RW[[#This Row],[Qty Complete]]/tbl_RW[[#This Row],[Total Hours Act]]*tbl_RW[[#This Row],['# of men Act]],"")</f>
        <v/>
      </c>
      <c r="O143"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43" s="71" t="str">
        <f>IFERROR((tbl_RW[[#This Row],[Adj. Total Hours]]+tbl_RW[[#This Row],[Est. Hours]])/(tbl_RW[[#This Row],[Total Hours Act]]+tbl_RW[[#This Row],[Act. Hours]]),"")</f>
        <v/>
      </c>
      <c r="S143" s="63"/>
      <c r="T143" s="63"/>
      <c r="U143" s="63"/>
      <c r="V143" s="63"/>
      <c r="W143" s="63"/>
    </row>
    <row r="144" spans="6:23" ht="25" customHeight="1">
      <c r="F144" s="53"/>
      <c r="H144" s="55" t="e">
        <f>tbl_RW[[#This Row],[Qty Complete]]/tbl_RW[[#This Row],[Qty Required]]</f>
        <v>#DIV/0!</v>
      </c>
      <c r="K144" s="57" t="str">
        <f>IFERROR(tbl_RW[[#This Row],[Qty Required]]/tbl_RW[[#This Row],[PPH]]*tbl_RW[[#This Row],['# of men]],"")</f>
        <v/>
      </c>
      <c r="L144" s="58" t="e">
        <f>tbl_RW[[#This Row],[Total hours]]*tbl_RW[[#This Row],[% Complete]]</f>
        <v>#VALUE!</v>
      </c>
      <c r="M144" s="59" t="str">
        <f>IFERROR(tbl_RW[[#This Row],[Qty Complete]]/tbl_RW[[#This Row],[Total Hours Act]]*tbl_RW[[#This Row],['# of men Act]],"")</f>
        <v/>
      </c>
      <c r="O144"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44" s="71" t="str">
        <f>IFERROR((tbl_RW[[#This Row],[Adj. Total Hours]]+tbl_RW[[#This Row],[Est. Hours]])/(tbl_RW[[#This Row],[Total Hours Act]]+tbl_RW[[#This Row],[Act. Hours]]),"")</f>
        <v/>
      </c>
      <c r="S144" s="63"/>
      <c r="T144" s="63"/>
      <c r="U144" s="63"/>
      <c r="V144" s="63"/>
      <c r="W144" s="63"/>
    </row>
    <row r="145" spans="6:23" ht="25" customHeight="1">
      <c r="F145" s="53"/>
      <c r="H145" s="55" t="e">
        <f>tbl_RW[[#This Row],[Qty Complete]]/tbl_RW[[#This Row],[Qty Required]]</f>
        <v>#DIV/0!</v>
      </c>
      <c r="K145" s="57" t="str">
        <f>IFERROR(tbl_RW[[#This Row],[Qty Required]]/tbl_RW[[#This Row],[PPH]]*tbl_RW[[#This Row],['# of men]],"")</f>
        <v/>
      </c>
      <c r="L145" s="58" t="e">
        <f>tbl_RW[[#This Row],[Total hours]]*tbl_RW[[#This Row],[% Complete]]</f>
        <v>#VALUE!</v>
      </c>
      <c r="M145" s="59" t="str">
        <f>IFERROR(tbl_RW[[#This Row],[Qty Complete]]/tbl_RW[[#This Row],[Total Hours Act]]*tbl_RW[[#This Row],['# of men Act]],"")</f>
        <v/>
      </c>
      <c r="O145"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45" s="71" t="str">
        <f>IFERROR((tbl_RW[[#This Row],[Adj. Total Hours]]+tbl_RW[[#This Row],[Est. Hours]])/(tbl_RW[[#This Row],[Total Hours Act]]+tbl_RW[[#This Row],[Act. Hours]]),"")</f>
        <v/>
      </c>
      <c r="S145" s="63"/>
      <c r="T145" s="63"/>
      <c r="U145" s="63"/>
      <c r="V145" s="63"/>
      <c r="W145" s="63"/>
    </row>
    <row r="146" spans="6:23" ht="25" customHeight="1">
      <c r="F146" s="53"/>
      <c r="H146" s="55" t="e">
        <f>tbl_RW[[#This Row],[Qty Complete]]/tbl_RW[[#This Row],[Qty Required]]</f>
        <v>#DIV/0!</v>
      </c>
      <c r="K146" s="57" t="str">
        <f>IFERROR(tbl_RW[[#This Row],[Qty Required]]/tbl_RW[[#This Row],[PPH]]*tbl_RW[[#This Row],['# of men]],"")</f>
        <v/>
      </c>
      <c r="L146" s="58" t="e">
        <f>tbl_RW[[#This Row],[Total hours]]*tbl_RW[[#This Row],[% Complete]]</f>
        <v>#VALUE!</v>
      </c>
      <c r="M146" s="59" t="str">
        <f>IFERROR(tbl_RW[[#This Row],[Qty Complete]]/tbl_RW[[#This Row],[Total Hours Act]]*tbl_RW[[#This Row],['# of men Act]],"")</f>
        <v/>
      </c>
      <c r="O146"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46" s="71" t="str">
        <f>IFERROR((tbl_RW[[#This Row],[Adj. Total Hours]]+tbl_RW[[#This Row],[Est. Hours]])/(tbl_RW[[#This Row],[Total Hours Act]]+tbl_RW[[#This Row],[Act. Hours]]),"")</f>
        <v/>
      </c>
      <c r="S146" s="63"/>
      <c r="T146" s="63"/>
      <c r="U146" s="63"/>
      <c r="V146" s="63"/>
      <c r="W146" s="63"/>
    </row>
    <row r="147" spans="6:23" ht="25" customHeight="1">
      <c r="F147" s="53"/>
      <c r="H147" s="55" t="e">
        <f>tbl_RW[[#This Row],[Qty Complete]]/tbl_RW[[#This Row],[Qty Required]]</f>
        <v>#DIV/0!</v>
      </c>
      <c r="K147" s="57" t="str">
        <f>IFERROR(tbl_RW[[#This Row],[Qty Required]]/tbl_RW[[#This Row],[PPH]]*tbl_RW[[#This Row],['# of men]],"")</f>
        <v/>
      </c>
      <c r="L147" s="58" t="e">
        <f>tbl_RW[[#This Row],[Total hours]]*tbl_RW[[#This Row],[% Complete]]</f>
        <v>#VALUE!</v>
      </c>
      <c r="M147" s="59" t="str">
        <f>IFERROR(tbl_RW[[#This Row],[Qty Complete]]/tbl_RW[[#This Row],[Total Hours Act]]*tbl_RW[[#This Row],['# of men Act]],"")</f>
        <v/>
      </c>
      <c r="O147"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47" s="71" t="str">
        <f>IFERROR((tbl_RW[[#This Row],[Adj. Total Hours]]+tbl_RW[[#This Row],[Est. Hours]])/(tbl_RW[[#This Row],[Total Hours Act]]+tbl_RW[[#This Row],[Act. Hours]]),"")</f>
        <v/>
      </c>
      <c r="S147" s="63"/>
      <c r="T147" s="63"/>
      <c r="U147" s="63"/>
      <c r="V147" s="63"/>
      <c r="W147" s="63"/>
    </row>
    <row r="148" spans="6:23" ht="25" customHeight="1">
      <c r="F148" s="53"/>
      <c r="H148" s="55" t="e">
        <f>tbl_RW[[#This Row],[Qty Complete]]/tbl_RW[[#This Row],[Qty Required]]</f>
        <v>#DIV/0!</v>
      </c>
      <c r="K148" s="57" t="str">
        <f>IFERROR(tbl_RW[[#This Row],[Qty Required]]/tbl_RW[[#This Row],[PPH]]*tbl_RW[[#This Row],['# of men]],"")</f>
        <v/>
      </c>
      <c r="L148" s="58" t="e">
        <f>tbl_RW[[#This Row],[Total hours]]*tbl_RW[[#This Row],[% Complete]]</f>
        <v>#VALUE!</v>
      </c>
      <c r="M148" s="59" t="str">
        <f>IFERROR(tbl_RW[[#This Row],[Qty Complete]]/tbl_RW[[#This Row],[Total Hours Act]]*tbl_RW[[#This Row],['# of men Act]],"")</f>
        <v/>
      </c>
      <c r="O148"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48" s="71" t="str">
        <f>IFERROR((tbl_RW[[#This Row],[Adj. Total Hours]]+tbl_RW[[#This Row],[Est. Hours]])/(tbl_RW[[#This Row],[Total Hours Act]]+tbl_RW[[#This Row],[Act. Hours]]),"")</f>
        <v/>
      </c>
      <c r="S148" s="63"/>
      <c r="T148" s="63"/>
      <c r="U148" s="63"/>
      <c r="V148" s="63"/>
      <c r="W148" s="63"/>
    </row>
    <row r="149" spans="6:23" ht="25" customHeight="1">
      <c r="F149" s="53"/>
      <c r="H149" s="55" t="e">
        <f>tbl_RW[[#This Row],[Qty Complete]]/tbl_RW[[#This Row],[Qty Required]]</f>
        <v>#DIV/0!</v>
      </c>
      <c r="K149" s="57" t="str">
        <f>IFERROR(tbl_RW[[#This Row],[Qty Required]]/tbl_RW[[#This Row],[PPH]]*tbl_RW[[#This Row],['# of men]],"")</f>
        <v/>
      </c>
      <c r="L149" s="58" t="e">
        <f>tbl_RW[[#This Row],[Total hours]]*tbl_RW[[#This Row],[% Complete]]</f>
        <v>#VALUE!</v>
      </c>
      <c r="M149" s="59" t="str">
        <f>IFERROR(tbl_RW[[#This Row],[Qty Complete]]/tbl_RW[[#This Row],[Total Hours Act]]*tbl_RW[[#This Row],['# of men Act]],"")</f>
        <v/>
      </c>
      <c r="O149"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49" s="71" t="str">
        <f>IFERROR((tbl_RW[[#This Row],[Adj. Total Hours]]+tbl_RW[[#This Row],[Est. Hours]])/(tbl_RW[[#This Row],[Total Hours Act]]+tbl_RW[[#This Row],[Act. Hours]]),"")</f>
        <v/>
      </c>
      <c r="S149" s="63"/>
      <c r="T149" s="63"/>
      <c r="U149" s="63"/>
      <c r="V149" s="63"/>
      <c r="W149" s="63"/>
    </row>
    <row r="150" spans="6:23" ht="25" customHeight="1">
      <c r="F150" s="53"/>
      <c r="H150" s="55" t="e">
        <f>tbl_RW[[#This Row],[Qty Complete]]/tbl_RW[[#This Row],[Qty Required]]</f>
        <v>#DIV/0!</v>
      </c>
      <c r="K150" s="57" t="str">
        <f>IFERROR(tbl_RW[[#This Row],[Qty Required]]/tbl_RW[[#This Row],[PPH]]*tbl_RW[[#This Row],['# of men]],"")</f>
        <v/>
      </c>
      <c r="L150" s="58" t="e">
        <f>tbl_RW[[#This Row],[Total hours]]*tbl_RW[[#This Row],[% Complete]]</f>
        <v>#VALUE!</v>
      </c>
      <c r="M150" s="59" t="str">
        <f>IFERROR(tbl_RW[[#This Row],[Qty Complete]]/tbl_RW[[#This Row],[Total Hours Act]]*tbl_RW[[#This Row],['# of men Act]],"")</f>
        <v/>
      </c>
      <c r="O150"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50" s="71" t="str">
        <f>IFERROR((tbl_RW[[#This Row],[Adj. Total Hours]]+tbl_RW[[#This Row],[Est. Hours]])/(tbl_RW[[#This Row],[Total Hours Act]]+tbl_RW[[#This Row],[Act. Hours]]),"")</f>
        <v/>
      </c>
      <c r="S150" s="63"/>
      <c r="T150" s="63"/>
      <c r="U150" s="63"/>
      <c r="V150" s="63"/>
      <c r="W150" s="63"/>
    </row>
    <row r="151" spans="6:23" ht="25" customHeight="1">
      <c r="F151" s="53"/>
      <c r="H151" s="55" t="e">
        <f>tbl_RW[[#This Row],[Qty Complete]]/tbl_RW[[#This Row],[Qty Required]]</f>
        <v>#DIV/0!</v>
      </c>
      <c r="K151" s="57" t="str">
        <f>IFERROR(tbl_RW[[#This Row],[Qty Required]]/tbl_RW[[#This Row],[PPH]]*tbl_RW[[#This Row],['# of men]],"")</f>
        <v/>
      </c>
      <c r="L151" s="58" t="e">
        <f>tbl_RW[[#This Row],[Total hours]]*tbl_RW[[#This Row],[% Complete]]</f>
        <v>#VALUE!</v>
      </c>
      <c r="M151" s="59" t="str">
        <f>IFERROR(tbl_RW[[#This Row],[Qty Complete]]/tbl_RW[[#This Row],[Total Hours Act]]*tbl_RW[[#This Row],['# of men Act]],"")</f>
        <v/>
      </c>
      <c r="O151"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51" s="71" t="str">
        <f>IFERROR((tbl_RW[[#This Row],[Adj. Total Hours]]+tbl_RW[[#This Row],[Est. Hours]])/(tbl_RW[[#This Row],[Total Hours Act]]+tbl_RW[[#This Row],[Act. Hours]]),"")</f>
        <v/>
      </c>
      <c r="S151" s="63"/>
      <c r="T151" s="63"/>
      <c r="U151" s="63"/>
      <c r="V151" s="63"/>
      <c r="W151" s="63"/>
    </row>
    <row r="152" spans="6:23" ht="25" customHeight="1">
      <c r="F152" s="53"/>
      <c r="H152" s="55" t="e">
        <f>tbl_RW[[#This Row],[Qty Complete]]/tbl_RW[[#This Row],[Qty Required]]</f>
        <v>#DIV/0!</v>
      </c>
      <c r="K152" s="57" t="str">
        <f>IFERROR(tbl_RW[[#This Row],[Qty Required]]/tbl_RW[[#This Row],[PPH]]*tbl_RW[[#This Row],['# of men]],"")</f>
        <v/>
      </c>
      <c r="L152" s="58" t="e">
        <f>tbl_RW[[#This Row],[Total hours]]*tbl_RW[[#This Row],[% Complete]]</f>
        <v>#VALUE!</v>
      </c>
      <c r="M152" s="59" t="str">
        <f>IFERROR(tbl_RW[[#This Row],[Qty Complete]]/tbl_RW[[#This Row],[Total Hours Act]]*tbl_RW[[#This Row],['# of men Act]],"")</f>
        <v/>
      </c>
      <c r="O152"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52" s="71" t="str">
        <f>IFERROR((tbl_RW[[#This Row],[Adj. Total Hours]]+tbl_RW[[#This Row],[Est. Hours]])/(tbl_RW[[#This Row],[Total Hours Act]]+tbl_RW[[#This Row],[Act. Hours]]),"")</f>
        <v/>
      </c>
      <c r="S152" s="63"/>
      <c r="T152" s="63"/>
      <c r="U152" s="63"/>
      <c r="V152" s="63"/>
      <c r="W152" s="63"/>
    </row>
    <row r="153" spans="6:23" ht="25" customHeight="1">
      <c r="F153" s="53"/>
      <c r="H153" s="55" t="e">
        <f>tbl_RW[[#This Row],[Qty Complete]]/tbl_RW[[#This Row],[Qty Required]]</f>
        <v>#DIV/0!</v>
      </c>
      <c r="K153" s="57" t="str">
        <f>IFERROR(tbl_RW[[#This Row],[Qty Required]]/tbl_RW[[#This Row],[PPH]]*tbl_RW[[#This Row],['# of men]],"")</f>
        <v/>
      </c>
      <c r="L153" s="58" t="e">
        <f>tbl_RW[[#This Row],[Total hours]]*tbl_RW[[#This Row],[% Complete]]</f>
        <v>#VALUE!</v>
      </c>
      <c r="M153" s="59" t="str">
        <f>IFERROR(tbl_RW[[#This Row],[Qty Complete]]/tbl_RW[[#This Row],[Total Hours Act]]*tbl_RW[[#This Row],['# of men Act]],"")</f>
        <v/>
      </c>
      <c r="O153"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53" s="71" t="str">
        <f>IFERROR((tbl_RW[[#This Row],[Adj. Total Hours]]+tbl_RW[[#This Row],[Est. Hours]])/(tbl_RW[[#This Row],[Total Hours Act]]+tbl_RW[[#This Row],[Act. Hours]]),"")</f>
        <v/>
      </c>
      <c r="S153" s="63"/>
      <c r="T153" s="63"/>
      <c r="U153" s="63"/>
      <c r="V153" s="63"/>
      <c r="W153" s="63"/>
    </row>
    <row r="154" spans="6:23" ht="25" customHeight="1">
      <c r="F154" s="53"/>
      <c r="H154" s="55" t="e">
        <f>tbl_RW[[#This Row],[Qty Complete]]/tbl_RW[[#This Row],[Qty Required]]</f>
        <v>#DIV/0!</v>
      </c>
      <c r="K154" s="57" t="str">
        <f>IFERROR(tbl_RW[[#This Row],[Qty Required]]/tbl_RW[[#This Row],[PPH]]*tbl_RW[[#This Row],['# of men]],"")</f>
        <v/>
      </c>
      <c r="L154" s="58" t="e">
        <f>tbl_RW[[#This Row],[Total hours]]*tbl_RW[[#This Row],[% Complete]]</f>
        <v>#VALUE!</v>
      </c>
      <c r="M154" s="59" t="str">
        <f>IFERROR(tbl_RW[[#This Row],[Qty Complete]]/tbl_RW[[#This Row],[Total Hours Act]]*tbl_RW[[#This Row],['# of men Act]],"")</f>
        <v/>
      </c>
      <c r="O154"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54" s="71" t="str">
        <f>IFERROR((tbl_RW[[#This Row],[Adj. Total Hours]]+tbl_RW[[#This Row],[Est. Hours]])/(tbl_RW[[#This Row],[Total Hours Act]]+tbl_RW[[#This Row],[Act. Hours]]),"")</f>
        <v/>
      </c>
      <c r="S154" s="63"/>
      <c r="T154" s="63"/>
      <c r="U154" s="63"/>
      <c r="V154" s="63"/>
      <c r="W154" s="63"/>
    </row>
    <row r="155" spans="6:23" ht="25" customHeight="1">
      <c r="F155" s="53"/>
      <c r="H155" s="55" t="e">
        <f>tbl_RW[[#This Row],[Qty Complete]]/tbl_RW[[#This Row],[Qty Required]]</f>
        <v>#DIV/0!</v>
      </c>
      <c r="K155" s="57" t="str">
        <f>IFERROR(tbl_RW[[#This Row],[Qty Required]]/tbl_RW[[#This Row],[PPH]]*tbl_RW[[#This Row],['# of men]],"")</f>
        <v/>
      </c>
      <c r="L155" s="58" t="e">
        <f>tbl_RW[[#This Row],[Total hours]]*tbl_RW[[#This Row],[% Complete]]</f>
        <v>#VALUE!</v>
      </c>
      <c r="M155" s="59" t="str">
        <f>IFERROR(tbl_RW[[#This Row],[Qty Complete]]/tbl_RW[[#This Row],[Total Hours Act]]*tbl_RW[[#This Row],['# of men Act]],"")</f>
        <v/>
      </c>
      <c r="O155"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55" s="71" t="str">
        <f>IFERROR((tbl_RW[[#This Row],[Adj. Total Hours]]+tbl_RW[[#This Row],[Est. Hours]])/(tbl_RW[[#This Row],[Total Hours Act]]+tbl_RW[[#This Row],[Act. Hours]]),"")</f>
        <v/>
      </c>
      <c r="S155" s="63"/>
      <c r="T155" s="63"/>
      <c r="U155" s="63"/>
      <c r="V155" s="63"/>
      <c r="W155" s="63"/>
    </row>
    <row r="156" spans="6:23" ht="25" customHeight="1">
      <c r="F156" s="53"/>
      <c r="H156" s="55" t="e">
        <f>tbl_RW[[#This Row],[Qty Complete]]/tbl_RW[[#This Row],[Qty Required]]</f>
        <v>#DIV/0!</v>
      </c>
      <c r="K156" s="57" t="str">
        <f>IFERROR(tbl_RW[[#This Row],[Qty Required]]/tbl_RW[[#This Row],[PPH]]*tbl_RW[[#This Row],['# of men]],"")</f>
        <v/>
      </c>
      <c r="L156" s="58" t="e">
        <f>tbl_RW[[#This Row],[Total hours]]*tbl_RW[[#This Row],[% Complete]]</f>
        <v>#VALUE!</v>
      </c>
      <c r="M156" s="59" t="str">
        <f>IFERROR(tbl_RW[[#This Row],[Qty Complete]]/tbl_RW[[#This Row],[Total Hours Act]]*tbl_RW[[#This Row],['# of men Act]],"")</f>
        <v/>
      </c>
      <c r="O156"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56" s="71" t="str">
        <f>IFERROR((tbl_RW[[#This Row],[Adj. Total Hours]]+tbl_RW[[#This Row],[Est. Hours]])/(tbl_RW[[#This Row],[Total Hours Act]]+tbl_RW[[#This Row],[Act. Hours]]),"")</f>
        <v/>
      </c>
      <c r="S156" s="63"/>
      <c r="T156" s="63"/>
      <c r="U156" s="63"/>
      <c r="V156" s="63"/>
      <c r="W156" s="63"/>
    </row>
    <row r="157" spans="6:23" ht="25" customHeight="1">
      <c r="F157" s="53"/>
      <c r="H157" s="55" t="e">
        <f>tbl_RW[[#This Row],[Qty Complete]]/tbl_RW[[#This Row],[Qty Required]]</f>
        <v>#DIV/0!</v>
      </c>
      <c r="K157" s="57" t="str">
        <f>IFERROR(tbl_RW[[#This Row],[Qty Required]]/tbl_RW[[#This Row],[PPH]]*tbl_RW[[#This Row],['# of men]],"")</f>
        <v/>
      </c>
      <c r="L157" s="58" t="e">
        <f>tbl_RW[[#This Row],[Total hours]]*tbl_RW[[#This Row],[% Complete]]</f>
        <v>#VALUE!</v>
      </c>
      <c r="M157" s="59" t="str">
        <f>IFERROR(tbl_RW[[#This Row],[Qty Complete]]/tbl_RW[[#This Row],[Total Hours Act]]*tbl_RW[[#This Row],['# of men Act]],"")</f>
        <v/>
      </c>
      <c r="O157"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57" s="71" t="str">
        <f>IFERROR((tbl_RW[[#This Row],[Adj. Total Hours]]+tbl_RW[[#This Row],[Est. Hours]])/(tbl_RW[[#This Row],[Total Hours Act]]+tbl_RW[[#This Row],[Act. Hours]]),"")</f>
        <v/>
      </c>
      <c r="S157" s="63"/>
      <c r="T157" s="63"/>
      <c r="U157" s="63"/>
      <c r="V157" s="63"/>
      <c r="W157" s="63"/>
    </row>
    <row r="158" spans="6:23" ht="25" customHeight="1">
      <c r="F158" s="53"/>
      <c r="H158" s="55" t="e">
        <f>tbl_RW[[#This Row],[Qty Complete]]/tbl_RW[[#This Row],[Qty Required]]</f>
        <v>#DIV/0!</v>
      </c>
      <c r="K158" s="57" t="str">
        <f>IFERROR(tbl_RW[[#This Row],[Qty Required]]/tbl_RW[[#This Row],[PPH]]*tbl_RW[[#This Row],['# of men]],"")</f>
        <v/>
      </c>
      <c r="L158" s="58" t="e">
        <f>tbl_RW[[#This Row],[Total hours]]*tbl_RW[[#This Row],[% Complete]]</f>
        <v>#VALUE!</v>
      </c>
      <c r="M158" s="59" t="str">
        <f>IFERROR(tbl_RW[[#This Row],[Qty Complete]]/tbl_RW[[#This Row],[Total Hours Act]]*tbl_RW[[#This Row],['# of men Act]],"")</f>
        <v/>
      </c>
      <c r="O158"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58" s="71" t="str">
        <f>IFERROR((tbl_RW[[#This Row],[Adj. Total Hours]]+tbl_RW[[#This Row],[Est. Hours]])/(tbl_RW[[#This Row],[Total Hours Act]]+tbl_RW[[#This Row],[Act. Hours]]),"")</f>
        <v/>
      </c>
      <c r="S158" s="63"/>
      <c r="T158" s="63"/>
      <c r="U158" s="63"/>
      <c r="V158" s="63"/>
      <c r="W158" s="63"/>
    </row>
    <row r="159" spans="6:23" ht="25" customHeight="1">
      <c r="F159" s="53"/>
      <c r="H159" s="55" t="e">
        <f>tbl_RW[[#This Row],[Qty Complete]]/tbl_RW[[#This Row],[Qty Required]]</f>
        <v>#DIV/0!</v>
      </c>
      <c r="K159" s="57" t="str">
        <f>IFERROR(tbl_RW[[#This Row],[Qty Required]]/tbl_RW[[#This Row],[PPH]]*tbl_RW[[#This Row],['# of men]],"")</f>
        <v/>
      </c>
      <c r="L159" s="58" t="e">
        <f>tbl_RW[[#This Row],[Total hours]]*tbl_RW[[#This Row],[% Complete]]</f>
        <v>#VALUE!</v>
      </c>
      <c r="M159" s="59" t="str">
        <f>IFERROR(tbl_RW[[#This Row],[Qty Complete]]/tbl_RW[[#This Row],[Total Hours Act]]*tbl_RW[[#This Row],['# of men Act]],"")</f>
        <v/>
      </c>
      <c r="O159"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59" s="71" t="str">
        <f>IFERROR((tbl_RW[[#This Row],[Adj. Total Hours]]+tbl_RW[[#This Row],[Est. Hours]])/(tbl_RW[[#This Row],[Total Hours Act]]+tbl_RW[[#This Row],[Act. Hours]]),"")</f>
        <v/>
      </c>
      <c r="S159" s="63"/>
      <c r="T159" s="63"/>
      <c r="U159" s="63"/>
      <c r="V159" s="63"/>
      <c r="W159" s="63"/>
    </row>
    <row r="160" spans="6:23" ht="25" customHeight="1">
      <c r="F160" s="53"/>
      <c r="H160" s="55" t="e">
        <f>tbl_RW[[#This Row],[Qty Complete]]/tbl_RW[[#This Row],[Qty Required]]</f>
        <v>#DIV/0!</v>
      </c>
      <c r="K160" s="57" t="str">
        <f>IFERROR(tbl_RW[[#This Row],[Qty Required]]/tbl_RW[[#This Row],[PPH]]*tbl_RW[[#This Row],['# of men]],"")</f>
        <v/>
      </c>
      <c r="L160" s="58" t="e">
        <f>tbl_RW[[#This Row],[Total hours]]*tbl_RW[[#This Row],[% Complete]]</f>
        <v>#VALUE!</v>
      </c>
      <c r="M160" s="59" t="str">
        <f>IFERROR(tbl_RW[[#This Row],[Qty Complete]]/tbl_RW[[#This Row],[Total Hours Act]]*tbl_RW[[#This Row],['# of men Act]],"")</f>
        <v/>
      </c>
      <c r="O160"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60" s="71" t="str">
        <f>IFERROR((tbl_RW[[#This Row],[Adj. Total Hours]]+tbl_RW[[#This Row],[Est. Hours]])/(tbl_RW[[#This Row],[Total Hours Act]]+tbl_RW[[#This Row],[Act. Hours]]),"")</f>
        <v/>
      </c>
      <c r="S160" s="63"/>
      <c r="T160" s="63"/>
      <c r="U160" s="63"/>
      <c r="V160" s="63"/>
      <c r="W160" s="63"/>
    </row>
    <row r="161" spans="6:23" ht="25" customHeight="1">
      <c r="F161" s="53"/>
      <c r="H161" s="55" t="e">
        <f>tbl_RW[[#This Row],[Qty Complete]]/tbl_RW[[#This Row],[Qty Required]]</f>
        <v>#DIV/0!</v>
      </c>
      <c r="K161" s="57" t="str">
        <f>IFERROR(tbl_RW[[#This Row],[Qty Required]]/tbl_RW[[#This Row],[PPH]]*tbl_RW[[#This Row],['# of men]],"")</f>
        <v/>
      </c>
      <c r="L161" s="58" t="e">
        <f>tbl_RW[[#This Row],[Total hours]]*tbl_RW[[#This Row],[% Complete]]</f>
        <v>#VALUE!</v>
      </c>
      <c r="M161" s="59" t="str">
        <f>IFERROR(tbl_RW[[#This Row],[Qty Complete]]/tbl_RW[[#This Row],[Total Hours Act]]*tbl_RW[[#This Row],['# of men Act]],"")</f>
        <v/>
      </c>
      <c r="O161"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61" s="71" t="str">
        <f>IFERROR((tbl_RW[[#This Row],[Adj. Total Hours]]+tbl_RW[[#This Row],[Est. Hours]])/(tbl_RW[[#This Row],[Total Hours Act]]+tbl_RW[[#This Row],[Act. Hours]]),"")</f>
        <v/>
      </c>
      <c r="S161" s="63"/>
      <c r="T161" s="63"/>
      <c r="U161" s="63"/>
      <c r="V161" s="63"/>
      <c r="W161" s="63"/>
    </row>
    <row r="162" spans="6:23" ht="25" customHeight="1">
      <c r="F162" s="53"/>
      <c r="H162" s="55" t="e">
        <f>tbl_RW[[#This Row],[Qty Complete]]/tbl_RW[[#This Row],[Qty Required]]</f>
        <v>#DIV/0!</v>
      </c>
      <c r="K162" s="57" t="str">
        <f>IFERROR(tbl_RW[[#This Row],[Qty Required]]/tbl_RW[[#This Row],[PPH]]*tbl_RW[[#This Row],['# of men]],"")</f>
        <v/>
      </c>
      <c r="L162" s="58" t="e">
        <f>tbl_RW[[#This Row],[Total hours]]*tbl_RW[[#This Row],[% Complete]]</f>
        <v>#VALUE!</v>
      </c>
      <c r="M162" s="59" t="str">
        <f>IFERROR(tbl_RW[[#This Row],[Qty Complete]]/tbl_RW[[#This Row],[Total Hours Act]]*tbl_RW[[#This Row],['# of men Act]],"")</f>
        <v/>
      </c>
      <c r="O162"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62" s="71" t="str">
        <f>IFERROR((tbl_RW[[#This Row],[Adj. Total Hours]]+tbl_RW[[#This Row],[Est. Hours]])/(tbl_RW[[#This Row],[Total Hours Act]]+tbl_RW[[#This Row],[Act. Hours]]),"")</f>
        <v/>
      </c>
      <c r="S162" s="63"/>
      <c r="T162" s="63"/>
      <c r="U162" s="63"/>
      <c r="V162" s="63"/>
      <c r="W162" s="63"/>
    </row>
    <row r="163" spans="6:23" ht="25" customHeight="1">
      <c r="F163" s="53"/>
      <c r="H163" s="55" t="e">
        <f>tbl_RW[[#This Row],[Qty Complete]]/tbl_RW[[#This Row],[Qty Required]]</f>
        <v>#DIV/0!</v>
      </c>
      <c r="K163" s="57" t="str">
        <f>IFERROR(tbl_RW[[#This Row],[Qty Required]]/tbl_RW[[#This Row],[PPH]]*tbl_RW[[#This Row],['# of men]],"")</f>
        <v/>
      </c>
      <c r="L163" s="58" t="e">
        <f>tbl_RW[[#This Row],[Total hours]]*tbl_RW[[#This Row],[% Complete]]</f>
        <v>#VALUE!</v>
      </c>
      <c r="M163" s="59" t="str">
        <f>IFERROR(tbl_RW[[#This Row],[Qty Complete]]/tbl_RW[[#This Row],[Total Hours Act]]*tbl_RW[[#This Row],['# of men Act]],"")</f>
        <v/>
      </c>
      <c r="O163"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63" s="71" t="str">
        <f>IFERROR((tbl_RW[[#This Row],[Adj. Total Hours]]+tbl_RW[[#This Row],[Est. Hours]])/(tbl_RW[[#This Row],[Total Hours Act]]+tbl_RW[[#This Row],[Act. Hours]]),"")</f>
        <v/>
      </c>
      <c r="S163" s="63"/>
      <c r="T163" s="63"/>
      <c r="U163" s="63"/>
      <c r="V163" s="63"/>
      <c r="W163" s="63"/>
    </row>
    <row r="164" spans="6:23" ht="25" customHeight="1">
      <c r="F164" s="53"/>
      <c r="H164" s="55" t="e">
        <f>tbl_RW[[#This Row],[Qty Complete]]/tbl_RW[[#This Row],[Qty Required]]</f>
        <v>#DIV/0!</v>
      </c>
      <c r="K164" s="57" t="str">
        <f>IFERROR(tbl_RW[[#This Row],[Qty Required]]/tbl_RW[[#This Row],[PPH]]*tbl_RW[[#This Row],['# of men]],"")</f>
        <v/>
      </c>
      <c r="L164" s="58" t="e">
        <f>tbl_RW[[#This Row],[Total hours]]*tbl_RW[[#This Row],[% Complete]]</f>
        <v>#VALUE!</v>
      </c>
      <c r="M164" s="59" t="str">
        <f>IFERROR(tbl_RW[[#This Row],[Qty Complete]]/tbl_RW[[#This Row],[Total Hours Act]]*tbl_RW[[#This Row],['# of men Act]],"")</f>
        <v/>
      </c>
      <c r="O164"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64" s="71" t="str">
        <f>IFERROR((tbl_RW[[#This Row],[Adj. Total Hours]]+tbl_RW[[#This Row],[Est. Hours]])/(tbl_RW[[#This Row],[Total Hours Act]]+tbl_RW[[#This Row],[Act. Hours]]),"")</f>
        <v/>
      </c>
      <c r="S164" s="63"/>
      <c r="T164" s="63"/>
      <c r="U164" s="63"/>
      <c r="V164" s="63"/>
      <c r="W164" s="63"/>
    </row>
    <row r="165" spans="6:23" ht="25" customHeight="1">
      <c r="F165" s="53"/>
      <c r="H165" s="55" t="e">
        <f>tbl_RW[[#This Row],[Qty Complete]]/tbl_RW[[#This Row],[Qty Required]]</f>
        <v>#DIV/0!</v>
      </c>
      <c r="K165" s="57" t="str">
        <f>IFERROR(tbl_RW[[#This Row],[Qty Required]]/tbl_RW[[#This Row],[PPH]]*tbl_RW[[#This Row],['# of men]],"")</f>
        <v/>
      </c>
      <c r="L165" s="58" t="e">
        <f>tbl_RW[[#This Row],[Total hours]]*tbl_RW[[#This Row],[% Complete]]</f>
        <v>#VALUE!</v>
      </c>
      <c r="M165" s="59" t="str">
        <f>IFERROR(tbl_RW[[#This Row],[Qty Complete]]/tbl_RW[[#This Row],[Total Hours Act]]*tbl_RW[[#This Row],['# of men Act]],"")</f>
        <v/>
      </c>
      <c r="O165"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65" s="71" t="str">
        <f>IFERROR((tbl_RW[[#This Row],[Adj. Total Hours]]+tbl_RW[[#This Row],[Est. Hours]])/(tbl_RW[[#This Row],[Total Hours Act]]+tbl_RW[[#This Row],[Act. Hours]]),"")</f>
        <v/>
      </c>
      <c r="S165" s="63"/>
      <c r="T165" s="63"/>
      <c r="U165" s="63"/>
      <c r="V165" s="63"/>
      <c r="W165" s="63"/>
    </row>
    <row r="166" spans="6:23" ht="25" customHeight="1">
      <c r="F166" s="53"/>
      <c r="H166" s="55" t="e">
        <f>tbl_RW[[#This Row],[Qty Complete]]/tbl_RW[[#This Row],[Qty Required]]</f>
        <v>#DIV/0!</v>
      </c>
      <c r="K166" s="57" t="str">
        <f>IFERROR(tbl_RW[[#This Row],[Qty Required]]/tbl_RW[[#This Row],[PPH]]*tbl_RW[[#This Row],['# of men]],"")</f>
        <v/>
      </c>
      <c r="L166" s="58" t="e">
        <f>tbl_RW[[#This Row],[Total hours]]*tbl_RW[[#This Row],[% Complete]]</f>
        <v>#VALUE!</v>
      </c>
      <c r="M166" s="59" t="str">
        <f>IFERROR(tbl_RW[[#This Row],[Qty Complete]]/tbl_RW[[#This Row],[Total Hours Act]]*tbl_RW[[#This Row],['# of men Act]],"")</f>
        <v/>
      </c>
      <c r="O166"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66" s="71" t="str">
        <f>IFERROR((tbl_RW[[#This Row],[Adj. Total Hours]]+tbl_RW[[#This Row],[Est. Hours]])/(tbl_RW[[#This Row],[Total Hours Act]]+tbl_RW[[#This Row],[Act. Hours]]),"")</f>
        <v/>
      </c>
      <c r="S166" s="63"/>
      <c r="T166" s="63"/>
      <c r="U166" s="63"/>
      <c r="V166" s="63"/>
      <c r="W166" s="63"/>
    </row>
    <row r="167" spans="6:23" ht="25" customHeight="1">
      <c r="F167" s="53"/>
      <c r="H167" s="55" t="e">
        <f>tbl_RW[[#This Row],[Qty Complete]]/tbl_RW[[#This Row],[Qty Required]]</f>
        <v>#DIV/0!</v>
      </c>
      <c r="K167" s="57" t="str">
        <f>IFERROR(tbl_RW[[#This Row],[Qty Required]]/tbl_RW[[#This Row],[PPH]]*tbl_RW[[#This Row],['# of men]],"")</f>
        <v/>
      </c>
      <c r="L167" s="58" t="e">
        <f>tbl_RW[[#This Row],[Total hours]]*tbl_RW[[#This Row],[% Complete]]</f>
        <v>#VALUE!</v>
      </c>
      <c r="M167" s="59" t="str">
        <f>IFERROR(tbl_RW[[#This Row],[Qty Complete]]/tbl_RW[[#This Row],[Total Hours Act]]*tbl_RW[[#This Row],['# of men Act]],"")</f>
        <v/>
      </c>
      <c r="O167"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67" s="71" t="str">
        <f>IFERROR((tbl_RW[[#This Row],[Adj. Total Hours]]+tbl_RW[[#This Row],[Est. Hours]])/(tbl_RW[[#This Row],[Total Hours Act]]+tbl_RW[[#This Row],[Act. Hours]]),"")</f>
        <v/>
      </c>
      <c r="S167" s="63"/>
      <c r="T167" s="63"/>
      <c r="U167" s="63"/>
      <c r="V167" s="63"/>
      <c r="W167" s="63"/>
    </row>
    <row r="168" spans="6:23" ht="25" customHeight="1">
      <c r="F168" s="53"/>
      <c r="H168" s="55" t="e">
        <f>tbl_RW[[#This Row],[Qty Complete]]/tbl_RW[[#This Row],[Qty Required]]</f>
        <v>#DIV/0!</v>
      </c>
      <c r="K168" s="57" t="str">
        <f>IFERROR(tbl_RW[[#This Row],[Qty Required]]/tbl_RW[[#This Row],[PPH]]*tbl_RW[[#This Row],['# of men]],"")</f>
        <v/>
      </c>
      <c r="L168" s="58" t="e">
        <f>tbl_RW[[#This Row],[Total hours]]*tbl_RW[[#This Row],[% Complete]]</f>
        <v>#VALUE!</v>
      </c>
      <c r="M168" s="59" t="str">
        <f>IFERROR(tbl_RW[[#This Row],[Qty Complete]]/tbl_RW[[#This Row],[Total Hours Act]]*tbl_RW[[#This Row],['# of men Act]],"")</f>
        <v/>
      </c>
      <c r="O168"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68" s="71" t="str">
        <f>IFERROR((tbl_RW[[#This Row],[Adj. Total Hours]]+tbl_RW[[#This Row],[Est. Hours]])/(tbl_RW[[#This Row],[Total Hours Act]]+tbl_RW[[#This Row],[Act. Hours]]),"")</f>
        <v/>
      </c>
      <c r="S168" s="63"/>
      <c r="T168" s="63"/>
      <c r="U168" s="63"/>
      <c r="V168" s="63"/>
      <c r="W168" s="63"/>
    </row>
    <row r="169" spans="6:23" ht="25" customHeight="1">
      <c r="F169" s="53"/>
      <c r="H169" s="55" t="e">
        <f>tbl_RW[[#This Row],[Qty Complete]]/tbl_RW[[#This Row],[Qty Required]]</f>
        <v>#DIV/0!</v>
      </c>
      <c r="K169" s="57" t="str">
        <f>IFERROR(tbl_RW[[#This Row],[Qty Required]]/tbl_RW[[#This Row],[PPH]]*tbl_RW[[#This Row],['# of men]],"")</f>
        <v/>
      </c>
      <c r="L169" s="58" t="e">
        <f>tbl_RW[[#This Row],[Total hours]]*tbl_RW[[#This Row],[% Complete]]</f>
        <v>#VALUE!</v>
      </c>
      <c r="M169" s="59" t="str">
        <f>IFERROR(tbl_RW[[#This Row],[Qty Complete]]/tbl_RW[[#This Row],[Total Hours Act]]*tbl_RW[[#This Row],['# of men Act]],"")</f>
        <v/>
      </c>
      <c r="O169"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69" s="71" t="str">
        <f>IFERROR((tbl_RW[[#This Row],[Adj. Total Hours]]+tbl_RW[[#This Row],[Est. Hours]])/(tbl_RW[[#This Row],[Total Hours Act]]+tbl_RW[[#This Row],[Act. Hours]]),"")</f>
        <v/>
      </c>
      <c r="S169" s="63"/>
      <c r="T169" s="63"/>
      <c r="U169" s="63"/>
      <c r="V169" s="63"/>
      <c r="W169" s="63"/>
    </row>
    <row r="170" spans="6:23" ht="25" customHeight="1">
      <c r="F170" s="53"/>
      <c r="H170" s="55" t="e">
        <f>tbl_RW[[#This Row],[Qty Complete]]/tbl_RW[[#This Row],[Qty Required]]</f>
        <v>#DIV/0!</v>
      </c>
      <c r="K170" s="57" t="str">
        <f>IFERROR(tbl_RW[[#This Row],[Qty Required]]/tbl_RW[[#This Row],[PPH]]*tbl_RW[[#This Row],['# of men]],"")</f>
        <v/>
      </c>
      <c r="L170" s="58" t="e">
        <f>tbl_RW[[#This Row],[Total hours]]*tbl_RW[[#This Row],[% Complete]]</f>
        <v>#VALUE!</v>
      </c>
      <c r="M170" s="59" t="str">
        <f>IFERROR(tbl_RW[[#This Row],[Qty Complete]]/tbl_RW[[#This Row],[Total Hours Act]]*tbl_RW[[#This Row],['# of men Act]],"")</f>
        <v/>
      </c>
      <c r="O170"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70" s="71" t="str">
        <f>IFERROR((tbl_RW[[#This Row],[Adj. Total Hours]]+tbl_RW[[#This Row],[Est. Hours]])/(tbl_RW[[#This Row],[Total Hours Act]]+tbl_RW[[#This Row],[Act. Hours]]),"")</f>
        <v/>
      </c>
      <c r="S170" s="63"/>
      <c r="T170" s="63"/>
      <c r="U170" s="63"/>
      <c r="V170" s="63"/>
      <c r="W170" s="63"/>
    </row>
    <row r="171" spans="6:23" ht="25" customHeight="1">
      <c r="F171" s="53"/>
      <c r="H171" s="55" t="e">
        <f>tbl_RW[[#This Row],[Qty Complete]]/tbl_RW[[#This Row],[Qty Required]]</f>
        <v>#DIV/0!</v>
      </c>
      <c r="K171" s="57" t="str">
        <f>IFERROR(tbl_RW[[#This Row],[Qty Required]]/tbl_RW[[#This Row],[PPH]]*tbl_RW[[#This Row],['# of men]],"")</f>
        <v/>
      </c>
      <c r="L171" s="58" t="e">
        <f>tbl_RW[[#This Row],[Total hours]]*tbl_RW[[#This Row],[% Complete]]</f>
        <v>#VALUE!</v>
      </c>
      <c r="M171" s="59" t="str">
        <f>IFERROR(tbl_RW[[#This Row],[Qty Complete]]/tbl_RW[[#This Row],[Total Hours Act]]*tbl_RW[[#This Row],['# of men Act]],"")</f>
        <v/>
      </c>
      <c r="O171"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71" s="71" t="str">
        <f>IFERROR((tbl_RW[[#This Row],[Adj. Total Hours]]+tbl_RW[[#This Row],[Est. Hours]])/(tbl_RW[[#This Row],[Total Hours Act]]+tbl_RW[[#This Row],[Act. Hours]]),"")</f>
        <v/>
      </c>
      <c r="S171" s="63"/>
      <c r="T171" s="63"/>
      <c r="U171" s="63"/>
      <c r="V171" s="63"/>
      <c r="W171" s="63"/>
    </row>
    <row r="172" spans="6:23" ht="25" customHeight="1">
      <c r="F172" s="53"/>
      <c r="H172" s="55" t="e">
        <f>tbl_RW[[#This Row],[Qty Complete]]/tbl_RW[[#This Row],[Qty Required]]</f>
        <v>#DIV/0!</v>
      </c>
      <c r="K172" s="57" t="str">
        <f>IFERROR(tbl_RW[[#This Row],[Qty Required]]/tbl_RW[[#This Row],[PPH]]*tbl_RW[[#This Row],['# of men]],"")</f>
        <v/>
      </c>
      <c r="L172" s="58" t="e">
        <f>tbl_RW[[#This Row],[Total hours]]*tbl_RW[[#This Row],[% Complete]]</f>
        <v>#VALUE!</v>
      </c>
      <c r="M172" s="59" t="str">
        <f>IFERROR(tbl_RW[[#This Row],[Qty Complete]]/tbl_RW[[#This Row],[Total Hours Act]]*tbl_RW[[#This Row],['# of men Act]],"")</f>
        <v/>
      </c>
      <c r="O172"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72" s="71" t="str">
        <f>IFERROR((tbl_RW[[#This Row],[Adj. Total Hours]]+tbl_RW[[#This Row],[Est. Hours]])/(tbl_RW[[#This Row],[Total Hours Act]]+tbl_RW[[#This Row],[Act. Hours]]),"")</f>
        <v/>
      </c>
      <c r="S172" s="63"/>
      <c r="T172" s="63"/>
      <c r="U172" s="63"/>
      <c r="V172" s="63"/>
      <c r="W172" s="63"/>
    </row>
    <row r="173" spans="6:23" ht="25" customHeight="1">
      <c r="F173" s="53"/>
      <c r="H173" s="55" t="e">
        <f>tbl_RW[[#This Row],[Qty Complete]]/tbl_RW[[#This Row],[Qty Required]]</f>
        <v>#DIV/0!</v>
      </c>
      <c r="K173" s="57" t="str">
        <f>IFERROR(tbl_RW[[#This Row],[Qty Required]]/tbl_RW[[#This Row],[PPH]]*tbl_RW[[#This Row],['# of men]],"")</f>
        <v/>
      </c>
      <c r="L173" s="58" t="e">
        <f>tbl_RW[[#This Row],[Total hours]]*tbl_RW[[#This Row],[% Complete]]</f>
        <v>#VALUE!</v>
      </c>
      <c r="M173" s="59" t="str">
        <f>IFERROR(tbl_RW[[#This Row],[Qty Complete]]/tbl_RW[[#This Row],[Total Hours Act]]*tbl_RW[[#This Row],['# of men Act]],"")</f>
        <v/>
      </c>
      <c r="O173"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73" s="71" t="str">
        <f>IFERROR((tbl_RW[[#This Row],[Adj. Total Hours]]+tbl_RW[[#This Row],[Est. Hours]])/(tbl_RW[[#This Row],[Total Hours Act]]+tbl_RW[[#This Row],[Act. Hours]]),"")</f>
        <v/>
      </c>
      <c r="S173" s="63"/>
      <c r="T173" s="63"/>
      <c r="U173" s="63"/>
      <c r="V173" s="63"/>
      <c r="W173" s="63"/>
    </row>
    <row r="174" spans="6:23" ht="25" customHeight="1">
      <c r="F174" s="53"/>
      <c r="H174" s="55" t="e">
        <f>tbl_RW[[#This Row],[Qty Complete]]/tbl_RW[[#This Row],[Qty Required]]</f>
        <v>#DIV/0!</v>
      </c>
      <c r="K174" s="57" t="str">
        <f>IFERROR(tbl_RW[[#This Row],[Qty Required]]/tbl_RW[[#This Row],[PPH]]*tbl_RW[[#This Row],['# of men]],"")</f>
        <v/>
      </c>
      <c r="L174" s="58" t="e">
        <f>tbl_RW[[#This Row],[Total hours]]*tbl_RW[[#This Row],[% Complete]]</f>
        <v>#VALUE!</v>
      </c>
      <c r="M174" s="59" t="str">
        <f>IFERROR(tbl_RW[[#This Row],[Qty Complete]]/tbl_RW[[#This Row],[Total Hours Act]]*tbl_RW[[#This Row],['# of men Act]],"")</f>
        <v/>
      </c>
      <c r="O174"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74" s="71" t="str">
        <f>IFERROR((tbl_RW[[#This Row],[Adj. Total Hours]]+tbl_RW[[#This Row],[Est. Hours]])/(tbl_RW[[#This Row],[Total Hours Act]]+tbl_RW[[#This Row],[Act. Hours]]),"")</f>
        <v/>
      </c>
      <c r="S174" s="63"/>
      <c r="T174" s="63"/>
      <c r="U174" s="63"/>
      <c r="V174" s="63"/>
      <c r="W174" s="63"/>
    </row>
    <row r="175" spans="6:23" ht="25" customHeight="1">
      <c r="F175" s="53"/>
      <c r="H175" s="55" t="e">
        <f>tbl_RW[[#This Row],[Qty Complete]]/tbl_RW[[#This Row],[Qty Required]]</f>
        <v>#DIV/0!</v>
      </c>
      <c r="K175" s="57" t="str">
        <f>IFERROR(tbl_RW[[#This Row],[Qty Required]]/tbl_RW[[#This Row],[PPH]]*tbl_RW[[#This Row],['# of men]],"")</f>
        <v/>
      </c>
      <c r="L175" s="58" t="e">
        <f>tbl_RW[[#This Row],[Total hours]]*tbl_RW[[#This Row],[% Complete]]</f>
        <v>#VALUE!</v>
      </c>
      <c r="M175" s="59" t="str">
        <f>IFERROR(tbl_RW[[#This Row],[Qty Complete]]/tbl_RW[[#This Row],[Total Hours Act]]*tbl_RW[[#This Row],['# of men Act]],"")</f>
        <v/>
      </c>
      <c r="O175"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75" s="71" t="str">
        <f>IFERROR((tbl_RW[[#This Row],[Adj. Total Hours]]+tbl_RW[[#This Row],[Est. Hours]])/(tbl_RW[[#This Row],[Total Hours Act]]+tbl_RW[[#This Row],[Act. Hours]]),"")</f>
        <v/>
      </c>
      <c r="S175" s="63"/>
      <c r="T175" s="63"/>
      <c r="U175" s="63"/>
      <c r="V175" s="63"/>
      <c r="W175" s="63"/>
    </row>
    <row r="176" spans="6:23" ht="25" customHeight="1">
      <c r="F176" s="53"/>
      <c r="H176" s="55" t="e">
        <f>tbl_RW[[#This Row],[Qty Complete]]/tbl_RW[[#This Row],[Qty Required]]</f>
        <v>#DIV/0!</v>
      </c>
      <c r="K176" s="57" t="str">
        <f>IFERROR(tbl_RW[[#This Row],[Qty Required]]/tbl_RW[[#This Row],[PPH]]*tbl_RW[[#This Row],['# of men]],"")</f>
        <v/>
      </c>
      <c r="L176" s="58" t="e">
        <f>tbl_RW[[#This Row],[Total hours]]*tbl_RW[[#This Row],[% Complete]]</f>
        <v>#VALUE!</v>
      </c>
      <c r="M176" s="59" t="str">
        <f>IFERROR(tbl_RW[[#This Row],[Qty Complete]]/tbl_RW[[#This Row],[Total Hours Act]]*tbl_RW[[#This Row],['# of men Act]],"")</f>
        <v/>
      </c>
      <c r="O176"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76" s="71" t="str">
        <f>IFERROR((tbl_RW[[#This Row],[Adj. Total Hours]]+tbl_RW[[#This Row],[Est. Hours]])/(tbl_RW[[#This Row],[Total Hours Act]]+tbl_RW[[#This Row],[Act. Hours]]),"")</f>
        <v/>
      </c>
      <c r="S176" s="63"/>
      <c r="T176" s="63"/>
      <c r="U176" s="63"/>
      <c r="V176" s="63"/>
      <c r="W176" s="63"/>
    </row>
    <row r="177" spans="6:23" ht="25" customHeight="1">
      <c r="F177" s="53"/>
      <c r="H177" s="55" t="e">
        <f>tbl_RW[[#This Row],[Qty Complete]]/tbl_RW[[#This Row],[Qty Required]]</f>
        <v>#DIV/0!</v>
      </c>
      <c r="K177" s="57" t="str">
        <f>IFERROR(tbl_RW[[#This Row],[Qty Required]]/tbl_RW[[#This Row],[PPH]]*tbl_RW[[#This Row],['# of men]],"")</f>
        <v/>
      </c>
      <c r="L177" s="58" t="e">
        <f>tbl_RW[[#This Row],[Total hours]]*tbl_RW[[#This Row],[% Complete]]</f>
        <v>#VALUE!</v>
      </c>
      <c r="M177" s="59" t="str">
        <f>IFERROR(tbl_RW[[#This Row],[Qty Complete]]/tbl_RW[[#This Row],[Total Hours Act]]*tbl_RW[[#This Row],['# of men Act]],"")</f>
        <v/>
      </c>
      <c r="O177"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77" s="71" t="str">
        <f>IFERROR((tbl_RW[[#This Row],[Adj. Total Hours]]+tbl_RW[[#This Row],[Est. Hours]])/(tbl_RW[[#This Row],[Total Hours Act]]+tbl_RW[[#This Row],[Act. Hours]]),"")</f>
        <v/>
      </c>
      <c r="S177" s="63"/>
      <c r="T177" s="63"/>
      <c r="U177" s="63"/>
      <c r="V177" s="63"/>
      <c r="W177" s="63"/>
    </row>
    <row r="178" spans="6:23" ht="25" customHeight="1">
      <c r="F178" s="53"/>
      <c r="H178" s="55" t="e">
        <f>tbl_RW[[#This Row],[Qty Complete]]/tbl_RW[[#This Row],[Qty Required]]</f>
        <v>#DIV/0!</v>
      </c>
      <c r="K178" s="57" t="str">
        <f>IFERROR(tbl_RW[[#This Row],[Qty Required]]/tbl_RW[[#This Row],[PPH]]*tbl_RW[[#This Row],['# of men]],"")</f>
        <v/>
      </c>
      <c r="L178" s="58" t="e">
        <f>tbl_RW[[#This Row],[Total hours]]*tbl_RW[[#This Row],[% Complete]]</f>
        <v>#VALUE!</v>
      </c>
      <c r="M178" s="59" t="str">
        <f>IFERROR(tbl_RW[[#This Row],[Qty Complete]]/tbl_RW[[#This Row],[Total Hours Act]]*tbl_RW[[#This Row],['# of men Act]],"")</f>
        <v/>
      </c>
      <c r="O178"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78" s="71" t="str">
        <f>IFERROR((tbl_RW[[#This Row],[Adj. Total Hours]]+tbl_RW[[#This Row],[Est. Hours]])/(tbl_RW[[#This Row],[Total Hours Act]]+tbl_RW[[#This Row],[Act. Hours]]),"")</f>
        <v/>
      </c>
      <c r="S178" s="63"/>
      <c r="T178" s="63"/>
      <c r="U178" s="63"/>
      <c r="V178" s="63"/>
      <c r="W178" s="63"/>
    </row>
    <row r="179" spans="6:23" ht="25" customHeight="1">
      <c r="F179" s="53"/>
      <c r="H179" s="55" t="e">
        <f>tbl_RW[[#This Row],[Qty Complete]]/tbl_RW[[#This Row],[Qty Required]]</f>
        <v>#DIV/0!</v>
      </c>
      <c r="K179" s="57" t="str">
        <f>IFERROR(tbl_RW[[#This Row],[Qty Required]]/tbl_RW[[#This Row],[PPH]]*tbl_RW[[#This Row],['# of men]],"")</f>
        <v/>
      </c>
      <c r="L179" s="58" t="e">
        <f>tbl_RW[[#This Row],[Total hours]]*tbl_RW[[#This Row],[% Complete]]</f>
        <v>#VALUE!</v>
      </c>
      <c r="M179" s="59" t="str">
        <f>IFERROR(tbl_RW[[#This Row],[Qty Complete]]/tbl_RW[[#This Row],[Total Hours Act]]*tbl_RW[[#This Row],['# of men Act]],"")</f>
        <v/>
      </c>
      <c r="O179"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79" s="71" t="str">
        <f>IFERROR((tbl_RW[[#This Row],[Adj. Total Hours]]+tbl_RW[[#This Row],[Est. Hours]])/(tbl_RW[[#This Row],[Total Hours Act]]+tbl_RW[[#This Row],[Act. Hours]]),"")</f>
        <v/>
      </c>
      <c r="S179" s="63"/>
      <c r="T179" s="63"/>
      <c r="U179" s="63"/>
      <c r="V179" s="63"/>
      <c r="W179" s="63"/>
    </row>
    <row r="180" spans="6:23" ht="25" customHeight="1">
      <c r="F180" s="53"/>
      <c r="H180" s="55" t="e">
        <f>tbl_RW[[#This Row],[Qty Complete]]/tbl_RW[[#This Row],[Qty Required]]</f>
        <v>#DIV/0!</v>
      </c>
      <c r="K180" s="57" t="str">
        <f>IFERROR(tbl_RW[[#This Row],[Qty Required]]/tbl_RW[[#This Row],[PPH]]*tbl_RW[[#This Row],['# of men]],"")</f>
        <v/>
      </c>
      <c r="L180" s="58" t="e">
        <f>tbl_RW[[#This Row],[Total hours]]*tbl_RW[[#This Row],[% Complete]]</f>
        <v>#VALUE!</v>
      </c>
      <c r="M180" s="59" t="str">
        <f>IFERROR(tbl_RW[[#This Row],[Qty Complete]]/tbl_RW[[#This Row],[Total Hours Act]]*tbl_RW[[#This Row],['# of men Act]],"")</f>
        <v/>
      </c>
      <c r="O180"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80" s="71" t="str">
        <f>IFERROR((tbl_RW[[#This Row],[Adj. Total Hours]]+tbl_RW[[#This Row],[Est. Hours]])/(tbl_RW[[#This Row],[Total Hours Act]]+tbl_RW[[#This Row],[Act. Hours]]),"")</f>
        <v/>
      </c>
      <c r="S180" s="63"/>
      <c r="T180" s="63"/>
      <c r="U180" s="63"/>
      <c r="V180" s="63"/>
      <c r="W180" s="63"/>
    </row>
    <row r="181" spans="6:23" ht="25" customHeight="1">
      <c r="F181" s="53"/>
      <c r="H181" s="55" t="e">
        <f>tbl_RW[[#This Row],[Qty Complete]]/tbl_RW[[#This Row],[Qty Required]]</f>
        <v>#DIV/0!</v>
      </c>
      <c r="K181" s="57" t="str">
        <f>IFERROR(tbl_RW[[#This Row],[Qty Required]]/tbl_RW[[#This Row],[PPH]]*tbl_RW[[#This Row],['# of men]],"")</f>
        <v/>
      </c>
      <c r="L181" s="58" t="e">
        <f>tbl_RW[[#This Row],[Total hours]]*tbl_RW[[#This Row],[% Complete]]</f>
        <v>#VALUE!</v>
      </c>
      <c r="M181" s="59" t="str">
        <f>IFERROR(tbl_RW[[#This Row],[Qty Complete]]/tbl_RW[[#This Row],[Total Hours Act]]*tbl_RW[[#This Row],['# of men Act]],"")</f>
        <v/>
      </c>
      <c r="O181"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81" s="71" t="str">
        <f>IFERROR((tbl_RW[[#This Row],[Adj. Total Hours]]+tbl_RW[[#This Row],[Est. Hours]])/(tbl_RW[[#This Row],[Total Hours Act]]+tbl_RW[[#This Row],[Act. Hours]]),"")</f>
        <v/>
      </c>
      <c r="S181" s="63"/>
      <c r="T181" s="63"/>
      <c r="U181" s="63"/>
      <c r="V181" s="63"/>
      <c r="W181" s="63"/>
    </row>
    <row r="182" spans="6:23" ht="25" customHeight="1">
      <c r="F182" s="53"/>
      <c r="H182" s="55" t="e">
        <f>tbl_RW[[#This Row],[Qty Complete]]/tbl_RW[[#This Row],[Qty Required]]</f>
        <v>#DIV/0!</v>
      </c>
      <c r="K182" s="57" t="str">
        <f>IFERROR(tbl_RW[[#This Row],[Qty Required]]/tbl_RW[[#This Row],[PPH]]*tbl_RW[[#This Row],['# of men]],"")</f>
        <v/>
      </c>
      <c r="L182" s="58" t="e">
        <f>tbl_RW[[#This Row],[Total hours]]*tbl_RW[[#This Row],[% Complete]]</f>
        <v>#VALUE!</v>
      </c>
      <c r="M182" s="59" t="str">
        <f>IFERROR(tbl_RW[[#This Row],[Qty Complete]]/tbl_RW[[#This Row],[Total Hours Act]]*tbl_RW[[#This Row],['# of men Act]],"")</f>
        <v/>
      </c>
      <c r="O182"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82" s="71" t="str">
        <f>IFERROR((tbl_RW[[#This Row],[Adj. Total Hours]]+tbl_RW[[#This Row],[Est. Hours]])/(tbl_RW[[#This Row],[Total Hours Act]]+tbl_RW[[#This Row],[Act. Hours]]),"")</f>
        <v/>
      </c>
      <c r="S182" s="63"/>
      <c r="T182" s="63"/>
      <c r="U182" s="63"/>
      <c r="V182" s="63"/>
      <c r="W182" s="63"/>
    </row>
    <row r="183" spans="6:23" ht="25" customHeight="1">
      <c r="F183" s="53"/>
      <c r="H183" s="55" t="e">
        <f>tbl_RW[[#This Row],[Qty Complete]]/tbl_RW[[#This Row],[Qty Required]]</f>
        <v>#DIV/0!</v>
      </c>
      <c r="K183" s="57" t="str">
        <f>IFERROR(tbl_RW[[#This Row],[Qty Required]]/tbl_RW[[#This Row],[PPH]]*tbl_RW[[#This Row],['# of men]],"")</f>
        <v/>
      </c>
      <c r="L183" s="58" t="e">
        <f>tbl_RW[[#This Row],[Total hours]]*tbl_RW[[#This Row],[% Complete]]</f>
        <v>#VALUE!</v>
      </c>
      <c r="M183" s="59" t="str">
        <f>IFERROR(tbl_RW[[#This Row],[Qty Complete]]/tbl_RW[[#This Row],[Total Hours Act]]*tbl_RW[[#This Row],['# of men Act]],"")</f>
        <v/>
      </c>
      <c r="O183"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83" s="71" t="str">
        <f>IFERROR((tbl_RW[[#This Row],[Adj. Total Hours]]+tbl_RW[[#This Row],[Est. Hours]])/(tbl_RW[[#This Row],[Total Hours Act]]+tbl_RW[[#This Row],[Act. Hours]]),"")</f>
        <v/>
      </c>
      <c r="S183" s="63"/>
      <c r="T183" s="63"/>
      <c r="U183" s="63"/>
      <c r="V183" s="63"/>
      <c r="W183" s="63"/>
    </row>
    <row r="184" spans="6:23" ht="25" customHeight="1">
      <c r="F184" s="53"/>
      <c r="H184" s="55" t="e">
        <f>tbl_RW[[#This Row],[Qty Complete]]/tbl_RW[[#This Row],[Qty Required]]</f>
        <v>#DIV/0!</v>
      </c>
      <c r="K184" s="57" t="str">
        <f>IFERROR(tbl_RW[[#This Row],[Qty Required]]/tbl_RW[[#This Row],[PPH]]*tbl_RW[[#This Row],['# of men]],"")</f>
        <v/>
      </c>
      <c r="L184" s="58" t="e">
        <f>tbl_RW[[#This Row],[Total hours]]*tbl_RW[[#This Row],[% Complete]]</f>
        <v>#VALUE!</v>
      </c>
      <c r="M184" s="59" t="str">
        <f>IFERROR(tbl_RW[[#This Row],[Qty Complete]]/tbl_RW[[#This Row],[Total Hours Act]]*tbl_RW[[#This Row],['# of men Act]],"")</f>
        <v/>
      </c>
      <c r="O184"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84" s="71" t="str">
        <f>IFERROR((tbl_RW[[#This Row],[Adj. Total Hours]]+tbl_RW[[#This Row],[Est. Hours]])/(tbl_RW[[#This Row],[Total Hours Act]]+tbl_RW[[#This Row],[Act. Hours]]),"")</f>
        <v/>
      </c>
      <c r="S184" s="63"/>
      <c r="T184" s="63"/>
      <c r="U184" s="63"/>
      <c r="V184" s="63"/>
      <c r="W184" s="63"/>
    </row>
    <row r="185" spans="6:23" ht="25" customHeight="1">
      <c r="F185" s="53"/>
      <c r="H185" s="55" t="e">
        <f>tbl_RW[[#This Row],[Qty Complete]]/tbl_RW[[#This Row],[Qty Required]]</f>
        <v>#DIV/0!</v>
      </c>
      <c r="K185" s="57" t="str">
        <f>IFERROR(tbl_RW[[#This Row],[Qty Required]]/tbl_RW[[#This Row],[PPH]]*tbl_RW[[#This Row],['# of men]],"")</f>
        <v/>
      </c>
      <c r="L185" s="58" t="e">
        <f>tbl_RW[[#This Row],[Total hours]]*tbl_RW[[#This Row],[% Complete]]</f>
        <v>#VALUE!</v>
      </c>
      <c r="M185" s="59" t="str">
        <f>IFERROR(tbl_RW[[#This Row],[Qty Complete]]/tbl_RW[[#This Row],[Total Hours Act]]*tbl_RW[[#This Row],['# of men Act]],"")</f>
        <v/>
      </c>
      <c r="O185"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85" s="71" t="str">
        <f>IFERROR((tbl_RW[[#This Row],[Adj. Total Hours]]+tbl_RW[[#This Row],[Est. Hours]])/(tbl_RW[[#This Row],[Total Hours Act]]+tbl_RW[[#This Row],[Act. Hours]]),"")</f>
        <v/>
      </c>
      <c r="S185" s="63"/>
      <c r="T185" s="63"/>
      <c r="U185" s="63"/>
      <c r="V185" s="63"/>
      <c r="W185" s="63"/>
    </row>
    <row r="186" spans="6:23" ht="25" customHeight="1">
      <c r="F186" s="53"/>
      <c r="H186" s="55" t="e">
        <f>tbl_RW[[#This Row],[Qty Complete]]/tbl_RW[[#This Row],[Qty Required]]</f>
        <v>#DIV/0!</v>
      </c>
      <c r="K186" s="57" t="str">
        <f>IFERROR(tbl_RW[[#This Row],[Qty Required]]/tbl_RW[[#This Row],[PPH]]*tbl_RW[[#This Row],['# of men]],"")</f>
        <v/>
      </c>
      <c r="L186" s="58" t="e">
        <f>tbl_RW[[#This Row],[Total hours]]*tbl_RW[[#This Row],[% Complete]]</f>
        <v>#VALUE!</v>
      </c>
      <c r="M186" s="59" t="str">
        <f>IFERROR(tbl_RW[[#This Row],[Qty Complete]]/tbl_RW[[#This Row],[Total Hours Act]]*tbl_RW[[#This Row],['# of men Act]],"")</f>
        <v/>
      </c>
      <c r="O186"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86" s="71" t="str">
        <f>IFERROR((tbl_RW[[#This Row],[Adj. Total Hours]]+tbl_RW[[#This Row],[Est. Hours]])/(tbl_RW[[#This Row],[Total Hours Act]]+tbl_RW[[#This Row],[Act. Hours]]),"")</f>
        <v/>
      </c>
      <c r="S186" s="63"/>
      <c r="T186" s="63"/>
      <c r="U186" s="63"/>
      <c r="V186" s="63"/>
      <c r="W186" s="63"/>
    </row>
    <row r="187" spans="6:23" ht="25" customHeight="1">
      <c r="F187" s="53"/>
      <c r="H187" s="55" t="e">
        <f>tbl_RW[[#This Row],[Qty Complete]]/tbl_RW[[#This Row],[Qty Required]]</f>
        <v>#DIV/0!</v>
      </c>
      <c r="K187" s="57" t="str">
        <f>IFERROR(tbl_RW[[#This Row],[Qty Required]]/tbl_RW[[#This Row],[PPH]]*tbl_RW[[#This Row],['# of men]],"")</f>
        <v/>
      </c>
      <c r="L187" s="58" t="e">
        <f>tbl_RW[[#This Row],[Total hours]]*tbl_RW[[#This Row],[% Complete]]</f>
        <v>#VALUE!</v>
      </c>
      <c r="M187" s="59" t="str">
        <f>IFERROR(tbl_RW[[#This Row],[Qty Complete]]/tbl_RW[[#This Row],[Total Hours Act]]*tbl_RW[[#This Row],['# of men Act]],"")</f>
        <v/>
      </c>
      <c r="O187"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87" s="71" t="str">
        <f>IFERROR((tbl_RW[[#This Row],[Adj. Total Hours]]+tbl_RW[[#This Row],[Est. Hours]])/(tbl_RW[[#This Row],[Total Hours Act]]+tbl_RW[[#This Row],[Act. Hours]]),"")</f>
        <v/>
      </c>
      <c r="S187" s="63"/>
      <c r="T187" s="63"/>
      <c r="U187" s="63"/>
      <c r="V187" s="63"/>
      <c r="W187" s="63"/>
    </row>
    <row r="188" spans="6:23" ht="25" customHeight="1">
      <c r="F188" s="53"/>
      <c r="H188" s="55" t="e">
        <f>tbl_RW[[#This Row],[Qty Complete]]/tbl_RW[[#This Row],[Qty Required]]</f>
        <v>#DIV/0!</v>
      </c>
      <c r="K188" s="57" t="str">
        <f>IFERROR(tbl_RW[[#This Row],[Qty Required]]/tbl_RW[[#This Row],[PPH]]*tbl_RW[[#This Row],['# of men]],"")</f>
        <v/>
      </c>
      <c r="L188" s="58" t="e">
        <f>tbl_RW[[#This Row],[Total hours]]*tbl_RW[[#This Row],[% Complete]]</f>
        <v>#VALUE!</v>
      </c>
      <c r="M188" s="59" t="str">
        <f>IFERROR(tbl_RW[[#This Row],[Qty Complete]]/tbl_RW[[#This Row],[Total Hours Act]]*tbl_RW[[#This Row],['# of men Act]],"")</f>
        <v/>
      </c>
      <c r="O188"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88" s="71" t="str">
        <f>IFERROR((tbl_RW[[#This Row],[Adj. Total Hours]]+tbl_RW[[#This Row],[Est. Hours]])/(tbl_RW[[#This Row],[Total Hours Act]]+tbl_RW[[#This Row],[Act. Hours]]),"")</f>
        <v/>
      </c>
      <c r="S188" s="63"/>
      <c r="T188" s="63"/>
      <c r="U188" s="63"/>
      <c r="V188" s="63"/>
      <c r="W188" s="63"/>
    </row>
    <row r="189" spans="6:23" ht="25" customHeight="1">
      <c r="F189" s="53"/>
      <c r="H189" s="55" t="e">
        <f>tbl_RW[[#This Row],[Qty Complete]]/tbl_RW[[#This Row],[Qty Required]]</f>
        <v>#DIV/0!</v>
      </c>
      <c r="K189" s="57" t="str">
        <f>IFERROR(tbl_RW[[#This Row],[Qty Required]]/tbl_RW[[#This Row],[PPH]]*tbl_RW[[#This Row],['# of men]],"")</f>
        <v/>
      </c>
      <c r="L189" s="58" t="e">
        <f>tbl_RW[[#This Row],[Total hours]]*tbl_RW[[#This Row],[% Complete]]</f>
        <v>#VALUE!</v>
      </c>
      <c r="M189" s="59" t="str">
        <f>IFERROR(tbl_RW[[#This Row],[Qty Complete]]/tbl_RW[[#This Row],[Total Hours Act]]*tbl_RW[[#This Row],['# of men Act]],"")</f>
        <v/>
      </c>
      <c r="O189"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89" s="71" t="str">
        <f>IFERROR((tbl_RW[[#This Row],[Adj. Total Hours]]+tbl_RW[[#This Row],[Est. Hours]])/(tbl_RW[[#This Row],[Total Hours Act]]+tbl_RW[[#This Row],[Act. Hours]]),"")</f>
        <v/>
      </c>
      <c r="S189" s="63"/>
      <c r="T189" s="63"/>
      <c r="U189" s="63"/>
      <c r="V189" s="63"/>
      <c r="W189" s="63"/>
    </row>
    <row r="190" spans="6:23" ht="25" customHeight="1">
      <c r="F190" s="53"/>
      <c r="H190" s="55" t="e">
        <f>tbl_RW[[#This Row],[Qty Complete]]/tbl_RW[[#This Row],[Qty Required]]</f>
        <v>#DIV/0!</v>
      </c>
      <c r="K190" s="57" t="str">
        <f>IFERROR(tbl_RW[[#This Row],[Qty Required]]/tbl_RW[[#This Row],[PPH]]*tbl_RW[[#This Row],['# of men]],"")</f>
        <v/>
      </c>
      <c r="L190" s="58" t="e">
        <f>tbl_RW[[#This Row],[Total hours]]*tbl_RW[[#This Row],[% Complete]]</f>
        <v>#VALUE!</v>
      </c>
      <c r="M190" s="59" t="str">
        <f>IFERROR(tbl_RW[[#This Row],[Qty Complete]]/tbl_RW[[#This Row],[Total Hours Act]]*tbl_RW[[#This Row],['# of men Act]],"")</f>
        <v/>
      </c>
      <c r="O190"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90" s="71" t="str">
        <f>IFERROR((tbl_RW[[#This Row],[Adj. Total Hours]]+tbl_RW[[#This Row],[Est. Hours]])/(tbl_RW[[#This Row],[Total Hours Act]]+tbl_RW[[#This Row],[Act. Hours]]),"")</f>
        <v/>
      </c>
      <c r="S190" s="63"/>
      <c r="T190" s="63"/>
      <c r="U190" s="63"/>
      <c r="V190" s="63"/>
      <c r="W190" s="63"/>
    </row>
    <row r="191" spans="6:23" ht="25" customHeight="1">
      <c r="F191" s="53"/>
      <c r="H191" s="55" t="e">
        <f>tbl_RW[[#This Row],[Qty Complete]]/tbl_RW[[#This Row],[Qty Required]]</f>
        <v>#DIV/0!</v>
      </c>
      <c r="K191" s="57" t="str">
        <f>IFERROR(tbl_RW[[#This Row],[Qty Required]]/tbl_RW[[#This Row],[PPH]]*tbl_RW[[#This Row],['# of men]],"")</f>
        <v/>
      </c>
      <c r="L191" s="58" t="e">
        <f>tbl_RW[[#This Row],[Total hours]]*tbl_RW[[#This Row],[% Complete]]</f>
        <v>#VALUE!</v>
      </c>
      <c r="M191" s="59" t="str">
        <f>IFERROR(tbl_RW[[#This Row],[Qty Complete]]/tbl_RW[[#This Row],[Total Hours Act]]*tbl_RW[[#This Row],['# of men Act]],"")</f>
        <v/>
      </c>
      <c r="O191"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91" s="71" t="str">
        <f>IFERROR((tbl_RW[[#This Row],[Adj. Total Hours]]+tbl_RW[[#This Row],[Est. Hours]])/(tbl_RW[[#This Row],[Total Hours Act]]+tbl_RW[[#This Row],[Act. Hours]]),"")</f>
        <v/>
      </c>
      <c r="S191" s="63"/>
      <c r="T191" s="63"/>
      <c r="U191" s="63"/>
      <c r="V191" s="63"/>
      <c r="W191" s="63"/>
    </row>
    <row r="192" spans="6:23" ht="25" customHeight="1">
      <c r="F192" s="53"/>
      <c r="H192" s="55" t="e">
        <f>tbl_RW[[#This Row],[Qty Complete]]/tbl_RW[[#This Row],[Qty Required]]</f>
        <v>#DIV/0!</v>
      </c>
      <c r="K192" s="57" t="str">
        <f>IFERROR(tbl_RW[[#This Row],[Qty Required]]/tbl_RW[[#This Row],[PPH]]*tbl_RW[[#This Row],['# of men]],"")</f>
        <v/>
      </c>
      <c r="L192" s="58" t="e">
        <f>tbl_RW[[#This Row],[Total hours]]*tbl_RW[[#This Row],[% Complete]]</f>
        <v>#VALUE!</v>
      </c>
      <c r="M192" s="59" t="str">
        <f>IFERROR(tbl_RW[[#This Row],[Qty Complete]]/tbl_RW[[#This Row],[Total Hours Act]]*tbl_RW[[#This Row],['# of men Act]],"")</f>
        <v/>
      </c>
      <c r="O192"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92" s="71" t="str">
        <f>IFERROR((tbl_RW[[#This Row],[Adj. Total Hours]]+tbl_RW[[#This Row],[Est. Hours]])/(tbl_RW[[#This Row],[Total Hours Act]]+tbl_RW[[#This Row],[Act. Hours]]),"")</f>
        <v/>
      </c>
      <c r="S192" s="63"/>
      <c r="T192" s="63"/>
      <c r="U192" s="63"/>
      <c r="V192" s="63"/>
      <c r="W192" s="63"/>
    </row>
    <row r="193" spans="6:23" ht="25" customHeight="1">
      <c r="F193" s="53"/>
      <c r="H193" s="55" t="e">
        <f>tbl_RW[[#This Row],[Qty Complete]]/tbl_RW[[#This Row],[Qty Required]]</f>
        <v>#DIV/0!</v>
      </c>
      <c r="K193" s="57" t="str">
        <f>IFERROR(tbl_RW[[#This Row],[Qty Required]]/tbl_RW[[#This Row],[PPH]]*tbl_RW[[#This Row],['# of men]],"")</f>
        <v/>
      </c>
      <c r="L193" s="58" t="e">
        <f>tbl_RW[[#This Row],[Total hours]]*tbl_RW[[#This Row],[% Complete]]</f>
        <v>#VALUE!</v>
      </c>
      <c r="M193" s="59" t="str">
        <f>IFERROR(tbl_RW[[#This Row],[Qty Complete]]/tbl_RW[[#This Row],[Total Hours Act]]*tbl_RW[[#This Row],['# of men Act]],"")</f>
        <v/>
      </c>
      <c r="O193"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93" s="71" t="str">
        <f>IFERROR((tbl_RW[[#This Row],[Adj. Total Hours]]+tbl_RW[[#This Row],[Est. Hours]])/(tbl_RW[[#This Row],[Total Hours Act]]+tbl_RW[[#This Row],[Act. Hours]]),"")</f>
        <v/>
      </c>
      <c r="S193" s="63"/>
      <c r="T193" s="63"/>
      <c r="U193" s="63"/>
      <c r="V193" s="63"/>
      <c r="W193" s="63"/>
    </row>
    <row r="194" spans="6:23" ht="25" customHeight="1">
      <c r="F194" s="53"/>
      <c r="H194" s="55" t="e">
        <f>tbl_RW[[#This Row],[Qty Complete]]/tbl_RW[[#This Row],[Qty Required]]</f>
        <v>#DIV/0!</v>
      </c>
      <c r="K194" s="57" t="str">
        <f>IFERROR(tbl_RW[[#This Row],[Qty Required]]/tbl_RW[[#This Row],[PPH]]*tbl_RW[[#This Row],['# of men]],"")</f>
        <v/>
      </c>
      <c r="L194" s="58" t="e">
        <f>tbl_RW[[#This Row],[Total hours]]*tbl_RW[[#This Row],[% Complete]]</f>
        <v>#VALUE!</v>
      </c>
      <c r="M194" s="59" t="str">
        <f>IFERROR(tbl_RW[[#This Row],[Qty Complete]]/tbl_RW[[#This Row],[Total Hours Act]]*tbl_RW[[#This Row],['# of men Act]],"")</f>
        <v/>
      </c>
      <c r="O194"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94" s="71" t="str">
        <f>IFERROR((tbl_RW[[#This Row],[Adj. Total Hours]]+tbl_RW[[#This Row],[Est. Hours]])/(tbl_RW[[#This Row],[Total Hours Act]]+tbl_RW[[#This Row],[Act. Hours]]),"")</f>
        <v/>
      </c>
      <c r="S194" s="63"/>
      <c r="T194" s="63"/>
      <c r="U194" s="63"/>
      <c r="V194" s="63"/>
      <c r="W194" s="63"/>
    </row>
    <row r="195" spans="6:23" ht="25" customHeight="1">
      <c r="F195" s="53"/>
      <c r="H195" s="55" t="e">
        <f>tbl_RW[[#This Row],[Qty Complete]]/tbl_RW[[#This Row],[Qty Required]]</f>
        <v>#DIV/0!</v>
      </c>
      <c r="K195" s="57" t="str">
        <f>IFERROR(tbl_RW[[#This Row],[Qty Required]]/tbl_RW[[#This Row],[PPH]]*tbl_RW[[#This Row],['# of men]],"")</f>
        <v/>
      </c>
      <c r="L195" s="58" t="e">
        <f>tbl_RW[[#This Row],[Total hours]]*tbl_RW[[#This Row],[% Complete]]</f>
        <v>#VALUE!</v>
      </c>
      <c r="M195" s="59" t="str">
        <f>IFERROR(tbl_RW[[#This Row],[Qty Complete]]/tbl_RW[[#This Row],[Total Hours Act]]*tbl_RW[[#This Row],['# of men Act]],"")</f>
        <v/>
      </c>
      <c r="O195"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95" s="71" t="str">
        <f>IFERROR((tbl_RW[[#This Row],[Adj. Total Hours]]+tbl_RW[[#This Row],[Est. Hours]])/(tbl_RW[[#This Row],[Total Hours Act]]+tbl_RW[[#This Row],[Act. Hours]]),"")</f>
        <v/>
      </c>
      <c r="S195" s="63"/>
      <c r="T195" s="63"/>
      <c r="U195" s="63"/>
      <c r="V195" s="63"/>
      <c r="W195" s="63"/>
    </row>
    <row r="196" spans="6:23" ht="25" customHeight="1">
      <c r="F196" s="53"/>
      <c r="H196" s="55" t="e">
        <f>tbl_RW[[#This Row],[Qty Complete]]/tbl_RW[[#This Row],[Qty Required]]</f>
        <v>#DIV/0!</v>
      </c>
      <c r="K196" s="57" t="str">
        <f>IFERROR(tbl_RW[[#This Row],[Qty Required]]/tbl_RW[[#This Row],[PPH]]*tbl_RW[[#This Row],['# of men]],"")</f>
        <v/>
      </c>
      <c r="L196" s="58" t="e">
        <f>tbl_RW[[#This Row],[Total hours]]*tbl_RW[[#This Row],[% Complete]]</f>
        <v>#VALUE!</v>
      </c>
      <c r="M196" s="59" t="str">
        <f>IFERROR(tbl_RW[[#This Row],[Qty Complete]]/tbl_RW[[#This Row],[Total Hours Act]]*tbl_RW[[#This Row],['# of men Act]],"")</f>
        <v/>
      </c>
      <c r="O196"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96" s="71" t="str">
        <f>IFERROR((tbl_RW[[#This Row],[Adj. Total Hours]]+tbl_RW[[#This Row],[Est. Hours]])/(tbl_RW[[#This Row],[Total Hours Act]]+tbl_RW[[#This Row],[Act. Hours]]),"")</f>
        <v/>
      </c>
      <c r="S196" s="63"/>
      <c r="T196" s="63"/>
      <c r="U196" s="63"/>
      <c r="V196" s="63"/>
      <c r="W196" s="63"/>
    </row>
    <row r="197" spans="6:23" ht="25" customHeight="1">
      <c r="F197" s="53"/>
      <c r="H197" s="55" t="e">
        <f>tbl_RW[[#This Row],[Qty Complete]]/tbl_RW[[#This Row],[Qty Required]]</f>
        <v>#DIV/0!</v>
      </c>
      <c r="K197" s="57" t="str">
        <f>IFERROR(tbl_RW[[#This Row],[Qty Required]]/tbl_RW[[#This Row],[PPH]]*tbl_RW[[#This Row],['# of men]],"")</f>
        <v/>
      </c>
      <c r="L197" s="58" t="e">
        <f>tbl_RW[[#This Row],[Total hours]]*tbl_RW[[#This Row],[% Complete]]</f>
        <v>#VALUE!</v>
      </c>
      <c r="M197" s="59" t="str">
        <f>IFERROR(tbl_RW[[#This Row],[Qty Complete]]/tbl_RW[[#This Row],[Total Hours Act]]*tbl_RW[[#This Row],['# of men Act]],"")</f>
        <v/>
      </c>
      <c r="O197"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97" s="71" t="str">
        <f>IFERROR((tbl_RW[[#This Row],[Adj. Total Hours]]+tbl_RW[[#This Row],[Est. Hours]])/(tbl_RW[[#This Row],[Total Hours Act]]+tbl_RW[[#This Row],[Act. Hours]]),"")</f>
        <v/>
      </c>
      <c r="S197" s="63"/>
      <c r="T197" s="63"/>
      <c r="U197" s="63"/>
      <c r="V197" s="63"/>
      <c r="W197" s="63"/>
    </row>
    <row r="198" spans="6:23" ht="25" customHeight="1">
      <c r="F198" s="53"/>
      <c r="H198" s="55" t="e">
        <f>tbl_RW[[#This Row],[Qty Complete]]/tbl_RW[[#This Row],[Qty Required]]</f>
        <v>#DIV/0!</v>
      </c>
      <c r="K198" s="57" t="str">
        <f>IFERROR(tbl_RW[[#This Row],[Qty Required]]/tbl_RW[[#This Row],[PPH]]*tbl_RW[[#This Row],['# of men]],"")</f>
        <v/>
      </c>
      <c r="L198" s="58" t="e">
        <f>tbl_RW[[#This Row],[Total hours]]*tbl_RW[[#This Row],[% Complete]]</f>
        <v>#VALUE!</v>
      </c>
      <c r="M198" s="59" t="str">
        <f>IFERROR(tbl_RW[[#This Row],[Qty Complete]]/tbl_RW[[#This Row],[Total Hours Act]]*tbl_RW[[#This Row],['# of men Act]],"")</f>
        <v/>
      </c>
      <c r="O198"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98" s="71" t="str">
        <f>IFERROR((tbl_RW[[#This Row],[Adj. Total Hours]]+tbl_RW[[#This Row],[Est. Hours]])/(tbl_RW[[#This Row],[Total Hours Act]]+tbl_RW[[#This Row],[Act. Hours]]),"")</f>
        <v/>
      </c>
      <c r="S198" s="63"/>
      <c r="T198" s="63"/>
      <c r="U198" s="63"/>
      <c r="V198" s="63"/>
      <c r="W198" s="63"/>
    </row>
    <row r="199" spans="6:23" ht="25" customHeight="1">
      <c r="F199" s="53"/>
      <c r="H199" s="55" t="e">
        <f>tbl_RW[[#This Row],[Qty Complete]]/tbl_RW[[#This Row],[Qty Required]]</f>
        <v>#DIV/0!</v>
      </c>
      <c r="K199" s="57" t="str">
        <f>IFERROR(tbl_RW[[#This Row],[Qty Required]]/tbl_RW[[#This Row],[PPH]]*tbl_RW[[#This Row],['# of men]],"")</f>
        <v/>
      </c>
      <c r="L199" s="58" t="e">
        <f>tbl_RW[[#This Row],[Total hours]]*tbl_RW[[#This Row],[% Complete]]</f>
        <v>#VALUE!</v>
      </c>
      <c r="M199" s="59" t="str">
        <f>IFERROR(tbl_RW[[#This Row],[Qty Complete]]/tbl_RW[[#This Row],[Total Hours Act]]*tbl_RW[[#This Row],['# of men Act]],"")</f>
        <v/>
      </c>
      <c r="O199"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199" s="71" t="str">
        <f>IFERROR((tbl_RW[[#This Row],[Adj. Total Hours]]+tbl_RW[[#This Row],[Est. Hours]])/(tbl_RW[[#This Row],[Total Hours Act]]+tbl_RW[[#This Row],[Act. Hours]]),"")</f>
        <v/>
      </c>
      <c r="S199" s="63"/>
      <c r="T199" s="63"/>
      <c r="U199" s="63"/>
      <c r="V199" s="63"/>
      <c r="W199" s="63"/>
    </row>
    <row r="200" spans="6:23" ht="25" customHeight="1">
      <c r="F200" s="53"/>
      <c r="H200" s="55" t="e">
        <f>tbl_RW[[#This Row],[Qty Complete]]/tbl_RW[[#This Row],[Qty Required]]</f>
        <v>#DIV/0!</v>
      </c>
      <c r="K200" s="57" t="str">
        <f>IFERROR(tbl_RW[[#This Row],[Qty Required]]/tbl_RW[[#This Row],[PPH]]*tbl_RW[[#This Row],['# of men]],"")</f>
        <v/>
      </c>
      <c r="L200" s="58" t="e">
        <f>tbl_RW[[#This Row],[Total hours]]*tbl_RW[[#This Row],[% Complete]]</f>
        <v>#VALUE!</v>
      </c>
      <c r="M200" s="59" t="str">
        <f>IFERROR(tbl_RW[[#This Row],[Qty Complete]]/tbl_RW[[#This Row],[Total Hours Act]]*tbl_RW[[#This Row],['# of men Act]],"")</f>
        <v/>
      </c>
      <c r="O200"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00" s="71" t="str">
        <f>IFERROR((tbl_RW[[#This Row],[Adj. Total Hours]]+tbl_RW[[#This Row],[Est. Hours]])/(tbl_RW[[#This Row],[Total Hours Act]]+tbl_RW[[#This Row],[Act. Hours]]),"")</f>
        <v/>
      </c>
      <c r="S200" s="63"/>
      <c r="T200" s="63"/>
      <c r="U200" s="63"/>
      <c r="V200" s="63"/>
      <c r="W200" s="63"/>
    </row>
    <row r="201" spans="6:23" ht="25" customHeight="1">
      <c r="F201" s="53"/>
      <c r="H201" s="55" t="e">
        <f>tbl_RW[[#This Row],[Qty Complete]]/tbl_RW[[#This Row],[Qty Required]]</f>
        <v>#DIV/0!</v>
      </c>
      <c r="K201" s="57" t="str">
        <f>IFERROR(tbl_RW[[#This Row],[Qty Required]]/tbl_RW[[#This Row],[PPH]]*tbl_RW[[#This Row],['# of men]],"")</f>
        <v/>
      </c>
      <c r="L201" s="58" t="e">
        <f>tbl_RW[[#This Row],[Total hours]]*tbl_RW[[#This Row],[% Complete]]</f>
        <v>#VALUE!</v>
      </c>
      <c r="M201" s="59" t="str">
        <f>IFERROR(tbl_RW[[#This Row],[Qty Complete]]/tbl_RW[[#This Row],[Total Hours Act]]*tbl_RW[[#This Row],['# of men Act]],"")</f>
        <v/>
      </c>
      <c r="O201"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01" s="71" t="str">
        <f>IFERROR((tbl_RW[[#This Row],[Adj. Total Hours]]+tbl_RW[[#This Row],[Est. Hours]])/(tbl_RW[[#This Row],[Total Hours Act]]+tbl_RW[[#This Row],[Act. Hours]]),"")</f>
        <v/>
      </c>
      <c r="S201" s="63"/>
      <c r="T201" s="63"/>
      <c r="U201" s="63"/>
      <c r="V201" s="63"/>
      <c r="W201" s="63"/>
    </row>
    <row r="202" spans="6:23" ht="25" customHeight="1">
      <c r="F202" s="53"/>
      <c r="H202" s="55" t="e">
        <f>tbl_RW[[#This Row],[Qty Complete]]/tbl_RW[[#This Row],[Qty Required]]</f>
        <v>#DIV/0!</v>
      </c>
      <c r="K202" s="57" t="str">
        <f>IFERROR(tbl_RW[[#This Row],[Qty Required]]/tbl_RW[[#This Row],[PPH]]*tbl_RW[[#This Row],['# of men]],"")</f>
        <v/>
      </c>
      <c r="L202" s="58" t="e">
        <f>tbl_RW[[#This Row],[Total hours]]*tbl_RW[[#This Row],[% Complete]]</f>
        <v>#VALUE!</v>
      </c>
      <c r="M202" s="59" t="str">
        <f>IFERROR(tbl_RW[[#This Row],[Qty Complete]]/tbl_RW[[#This Row],[Total Hours Act]]*tbl_RW[[#This Row],['# of men Act]],"")</f>
        <v/>
      </c>
      <c r="O202"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02" s="71" t="str">
        <f>IFERROR((tbl_RW[[#This Row],[Adj. Total Hours]]+tbl_RW[[#This Row],[Est. Hours]])/(tbl_RW[[#This Row],[Total Hours Act]]+tbl_RW[[#This Row],[Act. Hours]]),"")</f>
        <v/>
      </c>
      <c r="S202" s="63"/>
      <c r="T202" s="63"/>
      <c r="U202" s="63"/>
      <c r="V202" s="63"/>
      <c r="W202" s="63"/>
    </row>
    <row r="203" spans="6:23" ht="25" customHeight="1">
      <c r="F203" s="53"/>
      <c r="H203" s="55" t="e">
        <f>tbl_RW[[#This Row],[Qty Complete]]/tbl_RW[[#This Row],[Qty Required]]</f>
        <v>#DIV/0!</v>
      </c>
      <c r="K203" s="57" t="str">
        <f>IFERROR(tbl_RW[[#This Row],[Qty Required]]/tbl_RW[[#This Row],[PPH]]*tbl_RW[[#This Row],['# of men]],"")</f>
        <v/>
      </c>
      <c r="L203" s="58" t="e">
        <f>tbl_RW[[#This Row],[Total hours]]*tbl_RW[[#This Row],[% Complete]]</f>
        <v>#VALUE!</v>
      </c>
      <c r="M203" s="59" t="str">
        <f>IFERROR(tbl_RW[[#This Row],[Qty Complete]]/tbl_RW[[#This Row],[Total Hours Act]]*tbl_RW[[#This Row],['# of men Act]],"")</f>
        <v/>
      </c>
      <c r="O203"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03" s="71" t="str">
        <f>IFERROR((tbl_RW[[#This Row],[Adj. Total Hours]]+tbl_RW[[#This Row],[Est. Hours]])/(tbl_RW[[#This Row],[Total Hours Act]]+tbl_RW[[#This Row],[Act. Hours]]),"")</f>
        <v/>
      </c>
      <c r="S203" s="63"/>
      <c r="T203" s="63"/>
      <c r="U203" s="63"/>
      <c r="V203" s="63"/>
      <c r="W203" s="63"/>
    </row>
    <row r="204" spans="6:23" ht="25" customHeight="1">
      <c r="F204" s="53"/>
      <c r="H204" s="55" t="e">
        <f>tbl_RW[[#This Row],[Qty Complete]]/tbl_RW[[#This Row],[Qty Required]]</f>
        <v>#DIV/0!</v>
      </c>
      <c r="K204" s="57" t="str">
        <f>IFERROR(tbl_RW[[#This Row],[Qty Required]]/tbl_RW[[#This Row],[PPH]]*tbl_RW[[#This Row],['# of men]],"")</f>
        <v/>
      </c>
      <c r="L204" s="58" t="e">
        <f>tbl_RW[[#This Row],[Total hours]]*tbl_RW[[#This Row],[% Complete]]</f>
        <v>#VALUE!</v>
      </c>
      <c r="M204" s="59" t="str">
        <f>IFERROR(tbl_RW[[#This Row],[Qty Complete]]/tbl_RW[[#This Row],[Total Hours Act]]*tbl_RW[[#This Row],['# of men Act]],"")</f>
        <v/>
      </c>
      <c r="O204"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04" s="71" t="str">
        <f>IFERROR((tbl_RW[[#This Row],[Adj. Total Hours]]+tbl_RW[[#This Row],[Est. Hours]])/(tbl_RW[[#This Row],[Total Hours Act]]+tbl_RW[[#This Row],[Act. Hours]]),"")</f>
        <v/>
      </c>
      <c r="S204" s="63"/>
      <c r="T204" s="63"/>
      <c r="U204" s="63"/>
      <c r="V204" s="63"/>
      <c r="W204" s="63"/>
    </row>
    <row r="205" spans="6:23" ht="25" customHeight="1">
      <c r="F205" s="53"/>
      <c r="H205" s="55" t="e">
        <f>tbl_RW[[#This Row],[Qty Complete]]/tbl_RW[[#This Row],[Qty Required]]</f>
        <v>#DIV/0!</v>
      </c>
      <c r="K205" s="57" t="str">
        <f>IFERROR(tbl_RW[[#This Row],[Qty Required]]/tbl_RW[[#This Row],[PPH]]*tbl_RW[[#This Row],['# of men]],"")</f>
        <v/>
      </c>
      <c r="L205" s="58" t="e">
        <f>tbl_RW[[#This Row],[Total hours]]*tbl_RW[[#This Row],[% Complete]]</f>
        <v>#VALUE!</v>
      </c>
      <c r="M205" s="59" t="str">
        <f>IFERROR(tbl_RW[[#This Row],[Qty Complete]]/tbl_RW[[#This Row],[Total Hours Act]]*tbl_RW[[#This Row],['# of men Act]],"")</f>
        <v/>
      </c>
      <c r="O205"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05" s="71" t="str">
        <f>IFERROR((tbl_RW[[#This Row],[Adj. Total Hours]]+tbl_RW[[#This Row],[Est. Hours]])/(tbl_RW[[#This Row],[Total Hours Act]]+tbl_RW[[#This Row],[Act. Hours]]),"")</f>
        <v/>
      </c>
      <c r="S205" s="63"/>
      <c r="T205" s="63"/>
      <c r="U205" s="63"/>
      <c r="V205" s="63"/>
      <c r="W205" s="63"/>
    </row>
    <row r="206" spans="6:23" ht="25" customHeight="1">
      <c r="F206" s="53"/>
      <c r="H206" s="55" t="e">
        <f>tbl_RW[[#This Row],[Qty Complete]]/tbl_RW[[#This Row],[Qty Required]]</f>
        <v>#DIV/0!</v>
      </c>
      <c r="K206" s="57" t="str">
        <f>IFERROR(tbl_RW[[#This Row],[Qty Required]]/tbl_RW[[#This Row],[PPH]]*tbl_RW[[#This Row],['# of men]],"")</f>
        <v/>
      </c>
      <c r="L206" s="58" t="e">
        <f>tbl_RW[[#This Row],[Total hours]]*tbl_RW[[#This Row],[% Complete]]</f>
        <v>#VALUE!</v>
      </c>
      <c r="M206" s="59" t="str">
        <f>IFERROR(tbl_RW[[#This Row],[Qty Complete]]/tbl_RW[[#This Row],[Total Hours Act]]*tbl_RW[[#This Row],['# of men Act]],"")</f>
        <v/>
      </c>
      <c r="O206"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06" s="71" t="str">
        <f>IFERROR((tbl_RW[[#This Row],[Adj. Total Hours]]+tbl_RW[[#This Row],[Est. Hours]])/(tbl_RW[[#This Row],[Total Hours Act]]+tbl_RW[[#This Row],[Act. Hours]]),"")</f>
        <v/>
      </c>
      <c r="S206" s="63"/>
      <c r="T206" s="63"/>
      <c r="U206" s="63"/>
      <c r="V206" s="63"/>
      <c r="W206" s="63"/>
    </row>
    <row r="207" spans="6:23" ht="25" customHeight="1">
      <c r="F207" s="53"/>
      <c r="H207" s="55" t="e">
        <f>tbl_RW[[#This Row],[Qty Complete]]/tbl_RW[[#This Row],[Qty Required]]</f>
        <v>#DIV/0!</v>
      </c>
      <c r="K207" s="57" t="str">
        <f>IFERROR(tbl_RW[[#This Row],[Qty Required]]/tbl_RW[[#This Row],[PPH]]*tbl_RW[[#This Row],['# of men]],"")</f>
        <v/>
      </c>
      <c r="L207" s="58" t="e">
        <f>tbl_RW[[#This Row],[Total hours]]*tbl_RW[[#This Row],[% Complete]]</f>
        <v>#VALUE!</v>
      </c>
      <c r="M207" s="59" t="str">
        <f>IFERROR(tbl_RW[[#This Row],[Qty Complete]]/tbl_RW[[#This Row],[Total Hours Act]]*tbl_RW[[#This Row],['# of men Act]],"")</f>
        <v/>
      </c>
      <c r="O207"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07" s="71" t="str">
        <f>IFERROR((tbl_RW[[#This Row],[Adj. Total Hours]]+tbl_RW[[#This Row],[Est. Hours]])/(tbl_RW[[#This Row],[Total Hours Act]]+tbl_RW[[#This Row],[Act. Hours]]),"")</f>
        <v/>
      </c>
      <c r="S207" s="63"/>
      <c r="T207" s="63"/>
      <c r="U207" s="63"/>
      <c r="V207" s="63"/>
      <c r="W207" s="63"/>
    </row>
    <row r="208" spans="6:23" ht="25" customHeight="1">
      <c r="F208" s="53"/>
      <c r="H208" s="55" t="e">
        <f>tbl_RW[[#This Row],[Qty Complete]]/tbl_RW[[#This Row],[Qty Required]]</f>
        <v>#DIV/0!</v>
      </c>
      <c r="K208" s="57" t="str">
        <f>IFERROR(tbl_RW[[#This Row],[Qty Required]]/tbl_RW[[#This Row],[PPH]]*tbl_RW[[#This Row],['# of men]],"")</f>
        <v/>
      </c>
      <c r="L208" s="58" t="e">
        <f>tbl_RW[[#This Row],[Total hours]]*tbl_RW[[#This Row],[% Complete]]</f>
        <v>#VALUE!</v>
      </c>
      <c r="M208" s="59" t="str">
        <f>IFERROR(tbl_RW[[#This Row],[Qty Complete]]/tbl_RW[[#This Row],[Total Hours Act]]*tbl_RW[[#This Row],['# of men Act]],"")</f>
        <v/>
      </c>
      <c r="O208"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08" s="71" t="str">
        <f>IFERROR((tbl_RW[[#This Row],[Adj. Total Hours]]+tbl_RW[[#This Row],[Est. Hours]])/(tbl_RW[[#This Row],[Total Hours Act]]+tbl_RW[[#This Row],[Act. Hours]]),"")</f>
        <v/>
      </c>
      <c r="S208" s="63"/>
      <c r="T208" s="63"/>
      <c r="U208" s="63"/>
      <c r="V208" s="63"/>
      <c r="W208" s="63"/>
    </row>
    <row r="209" spans="6:23" ht="25" customHeight="1">
      <c r="F209" s="53"/>
      <c r="H209" s="55" t="e">
        <f>tbl_RW[[#This Row],[Qty Complete]]/tbl_RW[[#This Row],[Qty Required]]</f>
        <v>#DIV/0!</v>
      </c>
      <c r="K209" s="57" t="str">
        <f>IFERROR(tbl_RW[[#This Row],[Qty Required]]/tbl_RW[[#This Row],[PPH]]*tbl_RW[[#This Row],['# of men]],"")</f>
        <v/>
      </c>
      <c r="L209" s="58" t="e">
        <f>tbl_RW[[#This Row],[Total hours]]*tbl_RW[[#This Row],[% Complete]]</f>
        <v>#VALUE!</v>
      </c>
      <c r="M209" s="59" t="str">
        <f>IFERROR(tbl_RW[[#This Row],[Qty Complete]]/tbl_RW[[#This Row],[Total Hours Act]]*tbl_RW[[#This Row],['# of men Act]],"")</f>
        <v/>
      </c>
      <c r="O209"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09" s="71" t="str">
        <f>IFERROR((tbl_RW[[#This Row],[Adj. Total Hours]]+tbl_RW[[#This Row],[Est. Hours]])/(tbl_RW[[#This Row],[Total Hours Act]]+tbl_RW[[#This Row],[Act. Hours]]),"")</f>
        <v/>
      </c>
      <c r="S209" s="63"/>
      <c r="T209" s="63"/>
      <c r="U209" s="63"/>
      <c r="V209" s="63"/>
      <c r="W209" s="63"/>
    </row>
    <row r="210" spans="6:23" ht="25" customHeight="1">
      <c r="F210" s="53"/>
      <c r="H210" s="55" t="e">
        <f>tbl_RW[[#This Row],[Qty Complete]]/tbl_RW[[#This Row],[Qty Required]]</f>
        <v>#DIV/0!</v>
      </c>
      <c r="K210" s="57" t="str">
        <f>IFERROR(tbl_RW[[#This Row],[Qty Required]]/tbl_RW[[#This Row],[PPH]]*tbl_RW[[#This Row],['# of men]],"")</f>
        <v/>
      </c>
      <c r="L210" s="58" t="e">
        <f>tbl_RW[[#This Row],[Total hours]]*tbl_RW[[#This Row],[% Complete]]</f>
        <v>#VALUE!</v>
      </c>
      <c r="M210" s="59" t="str">
        <f>IFERROR(tbl_RW[[#This Row],[Qty Complete]]/tbl_RW[[#This Row],[Total Hours Act]]*tbl_RW[[#This Row],['# of men Act]],"")</f>
        <v/>
      </c>
      <c r="O210"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10" s="71" t="str">
        <f>IFERROR((tbl_RW[[#This Row],[Adj. Total Hours]]+tbl_RW[[#This Row],[Est. Hours]])/(tbl_RW[[#This Row],[Total Hours Act]]+tbl_RW[[#This Row],[Act. Hours]]),"")</f>
        <v/>
      </c>
      <c r="S210" s="63"/>
      <c r="T210" s="63"/>
      <c r="U210" s="63"/>
      <c r="V210" s="63"/>
      <c r="W210" s="63"/>
    </row>
    <row r="211" spans="6:23" ht="25" customHeight="1">
      <c r="F211" s="53"/>
      <c r="H211" s="55" t="e">
        <f>tbl_RW[[#This Row],[Qty Complete]]/tbl_RW[[#This Row],[Qty Required]]</f>
        <v>#DIV/0!</v>
      </c>
      <c r="K211" s="57" t="str">
        <f>IFERROR(tbl_RW[[#This Row],[Qty Required]]/tbl_RW[[#This Row],[PPH]]*tbl_RW[[#This Row],['# of men]],"")</f>
        <v/>
      </c>
      <c r="L211" s="58" t="e">
        <f>tbl_RW[[#This Row],[Total hours]]*tbl_RW[[#This Row],[% Complete]]</f>
        <v>#VALUE!</v>
      </c>
      <c r="M211" s="59" t="str">
        <f>IFERROR(tbl_RW[[#This Row],[Qty Complete]]/tbl_RW[[#This Row],[Total Hours Act]]*tbl_RW[[#This Row],['# of men Act]],"")</f>
        <v/>
      </c>
      <c r="O211"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11" s="71" t="str">
        <f>IFERROR((tbl_RW[[#This Row],[Adj. Total Hours]]+tbl_RW[[#This Row],[Est. Hours]])/(tbl_RW[[#This Row],[Total Hours Act]]+tbl_RW[[#This Row],[Act. Hours]]),"")</f>
        <v/>
      </c>
      <c r="S211" s="63"/>
      <c r="T211" s="63"/>
      <c r="U211" s="63"/>
      <c r="V211" s="63"/>
      <c r="W211" s="63"/>
    </row>
    <row r="212" spans="6:23" ht="25" customHeight="1">
      <c r="F212" s="53"/>
      <c r="H212" s="55" t="e">
        <f>tbl_RW[[#This Row],[Qty Complete]]/tbl_RW[[#This Row],[Qty Required]]</f>
        <v>#DIV/0!</v>
      </c>
      <c r="K212" s="57" t="str">
        <f>IFERROR(tbl_RW[[#This Row],[Qty Required]]/tbl_RW[[#This Row],[PPH]]*tbl_RW[[#This Row],['# of men]],"")</f>
        <v/>
      </c>
      <c r="L212" s="58" t="e">
        <f>tbl_RW[[#This Row],[Total hours]]*tbl_RW[[#This Row],[% Complete]]</f>
        <v>#VALUE!</v>
      </c>
      <c r="M212" s="59" t="str">
        <f>IFERROR(tbl_RW[[#This Row],[Qty Complete]]/tbl_RW[[#This Row],[Total Hours Act]]*tbl_RW[[#This Row],['# of men Act]],"")</f>
        <v/>
      </c>
      <c r="O212"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12" s="71" t="str">
        <f>IFERROR((tbl_RW[[#This Row],[Adj. Total Hours]]+tbl_RW[[#This Row],[Est. Hours]])/(tbl_RW[[#This Row],[Total Hours Act]]+tbl_RW[[#This Row],[Act. Hours]]),"")</f>
        <v/>
      </c>
      <c r="S212" s="63"/>
      <c r="T212" s="63"/>
      <c r="U212" s="63"/>
      <c r="V212" s="63"/>
      <c r="W212" s="63"/>
    </row>
    <row r="213" spans="6:23" ht="25" customHeight="1">
      <c r="F213" s="53"/>
      <c r="H213" s="55" t="e">
        <f>tbl_RW[[#This Row],[Qty Complete]]/tbl_RW[[#This Row],[Qty Required]]</f>
        <v>#DIV/0!</v>
      </c>
      <c r="K213" s="57" t="str">
        <f>IFERROR(tbl_RW[[#This Row],[Qty Required]]/tbl_RW[[#This Row],[PPH]]*tbl_RW[[#This Row],['# of men]],"")</f>
        <v/>
      </c>
      <c r="L213" s="58" t="e">
        <f>tbl_RW[[#This Row],[Total hours]]*tbl_RW[[#This Row],[% Complete]]</f>
        <v>#VALUE!</v>
      </c>
      <c r="M213" s="59" t="str">
        <f>IFERROR(tbl_RW[[#This Row],[Qty Complete]]/tbl_RW[[#This Row],[Total Hours Act]]*tbl_RW[[#This Row],['# of men Act]],"")</f>
        <v/>
      </c>
      <c r="O213"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13" s="71" t="str">
        <f>IFERROR((tbl_RW[[#This Row],[Adj. Total Hours]]+tbl_RW[[#This Row],[Est. Hours]])/(tbl_RW[[#This Row],[Total Hours Act]]+tbl_RW[[#This Row],[Act. Hours]]),"")</f>
        <v/>
      </c>
      <c r="S213" s="63"/>
      <c r="T213" s="63"/>
      <c r="U213" s="63"/>
      <c r="V213" s="63"/>
      <c r="W213" s="63"/>
    </row>
    <row r="214" spans="6:23" ht="25" customHeight="1">
      <c r="F214" s="53"/>
      <c r="H214" s="55" t="e">
        <f>tbl_RW[[#This Row],[Qty Complete]]/tbl_RW[[#This Row],[Qty Required]]</f>
        <v>#DIV/0!</v>
      </c>
      <c r="K214" s="57" t="str">
        <f>IFERROR(tbl_RW[[#This Row],[Qty Required]]/tbl_RW[[#This Row],[PPH]]*tbl_RW[[#This Row],['# of men]],"")</f>
        <v/>
      </c>
      <c r="L214" s="58" t="e">
        <f>tbl_RW[[#This Row],[Total hours]]*tbl_RW[[#This Row],[% Complete]]</f>
        <v>#VALUE!</v>
      </c>
      <c r="M214" s="59" t="str">
        <f>IFERROR(tbl_RW[[#This Row],[Qty Complete]]/tbl_RW[[#This Row],[Total Hours Act]]*tbl_RW[[#This Row],['# of men Act]],"")</f>
        <v/>
      </c>
      <c r="O214"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14" s="71" t="str">
        <f>IFERROR((tbl_RW[[#This Row],[Adj. Total Hours]]+tbl_RW[[#This Row],[Est. Hours]])/(tbl_RW[[#This Row],[Total Hours Act]]+tbl_RW[[#This Row],[Act. Hours]]),"")</f>
        <v/>
      </c>
      <c r="S214" s="63"/>
      <c r="T214" s="63"/>
      <c r="U214" s="63"/>
      <c r="V214" s="63"/>
      <c r="W214" s="63"/>
    </row>
    <row r="215" spans="6:23" ht="25" customHeight="1">
      <c r="F215" s="53"/>
      <c r="H215" s="55" t="e">
        <f>tbl_RW[[#This Row],[Qty Complete]]/tbl_RW[[#This Row],[Qty Required]]</f>
        <v>#DIV/0!</v>
      </c>
      <c r="K215" s="57" t="str">
        <f>IFERROR(tbl_RW[[#This Row],[Qty Required]]/tbl_RW[[#This Row],[PPH]]*tbl_RW[[#This Row],['# of men]],"")</f>
        <v/>
      </c>
      <c r="L215" s="58" t="e">
        <f>tbl_RW[[#This Row],[Total hours]]*tbl_RW[[#This Row],[% Complete]]</f>
        <v>#VALUE!</v>
      </c>
      <c r="M215" s="59" t="str">
        <f>IFERROR(tbl_RW[[#This Row],[Qty Complete]]/tbl_RW[[#This Row],[Total Hours Act]]*tbl_RW[[#This Row],['# of men Act]],"")</f>
        <v/>
      </c>
      <c r="O215"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15" s="71" t="str">
        <f>IFERROR((tbl_RW[[#This Row],[Adj. Total Hours]]+tbl_RW[[#This Row],[Est. Hours]])/(tbl_RW[[#This Row],[Total Hours Act]]+tbl_RW[[#This Row],[Act. Hours]]),"")</f>
        <v/>
      </c>
      <c r="S215" s="63"/>
      <c r="T215" s="63"/>
      <c r="U215" s="63"/>
      <c r="V215" s="63"/>
      <c r="W215" s="63"/>
    </row>
    <row r="216" spans="6:23" ht="25" customHeight="1">
      <c r="F216" s="53"/>
      <c r="H216" s="55" t="e">
        <f>tbl_RW[[#This Row],[Qty Complete]]/tbl_RW[[#This Row],[Qty Required]]</f>
        <v>#DIV/0!</v>
      </c>
      <c r="K216" s="57" t="str">
        <f>IFERROR(tbl_RW[[#This Row],[Qty Required]]/tbl_RW[[#This Row],[PPH]]*tbl_RW[[#This Row],['# of men]],"")</f>
        <v/>
      </c>
      <c r="L216" s="58" t="e">
        <f>tbl_RW[[#This Row],[Total hours]]*tbl_RW[[#This Row],[% Complete]]</f>
        <v>#VALUE!</v>
      </c>
      <c r="M216" s="59" t="str">
        <f>IFERROR(tbl_RW[[#This Row],[Qty Complete]]/tbl_RW[[#This Row],[Total Hours Act]]*tbl_RW[[#This Row],['# of men Act]],"")</f>
        <v/>
      </c>
      <c r="O216"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16" s="71" t="str">
        <f>IFERROR((tbl_RW[[#This Row],[Adj. Total Hours]]+tbl_RW[[#This Row],[Est. Hours]])/(tbl_RW[[#This Row],[Total Hours Act]]+tbl_RW[[#This Row],[Act. Hours]]),"")</f>
        <v/>
      </c>
      <c r="S216" s="63"/>
      <c r="T216" s="63"/>
      <c r="U216" s="63"/>
      <c r="V216" s="63"/>
      <c r="W216" s="63"/>
    </row>
    <row r="217" spans="6:23" ht="25" customHeight="1">
      <c r="F217" s="53"/>
      <c r="H217" s="55" t="e">
        <f>tbl_RW[[#This Row],[Qty Complete]]/tbl_RW[[#This Row],[Qty Required]]</f>
        <v>#DIV/0!</v>
      </c>
      <c r="K217" s="57" t="str">
        <f>IFERROR(tbl_RW[[#This Row],[Qty Required]]/tbl_RW[[#This Row],[PPH]]*tbl_RW[[#This Row],['# of men]],"")</f>
        <v/>
      </c>
      <c r="L217" s="58" t="e">
        <f>tbl_RW[[#This Row],[Total hours]]*tbl_RW[[#This Row],[% Complete]]</f>
        <v>#VALUE!</v>
      </c>
      <c r="M217" s="59" t="str">
        <f>IFERROR(tbl_RW[[#This Row],[Qty Complete]]/tbl_RW[[#This Row],[Total Hours Act]]*tbl_RW[[#This Row],['# of men Act]],"")</f>
        <v/>
      </c>
      <c r="O217"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17" s="71" t="str">
        <f>IFERROR((tbl_RW[[#This Row],[Adj. Total Hours]]+tbl_RW[[#This Row],[Est. Hours]])/(tbl_RW[[#This Row],[Total Hours Act]]+tbl_RW[[#This Row],[Act. Hours]]),"")</f>
        <v/>
      </c>
      <c r="S217" s="63"/>
      <c r="T217" s="63"/>
      <c r="U217" s="63"/>
      <c r="V217" s="63"/>
      <c r="W217" s="63"/>
    </row>
    <row r="218" spans="6:23" ht="25" customHeight="1">
      <c r="F218" s="53"/>
      <c r="H218" s="55" t="e">
        <f>tbl_RW[[#This Row],[Qty Complete]]/tbl_RW[[#This Row],[Qty Required]]</f>
        <v>#DIV/0!</v>
      </c>
      <c r="K218" s="57" t="str">
        <f>IFERROR(tbl_RW[[#This Row],[Qty Required]]/tbl_RW[[#This Row],[PPH]]*tbl_RW[[#This Row],['# of men]],"")</f>
        <v/>
      </c>
      <c r="L218" s="58" t="e">
        <f>tbl_RW[[#This Row],[Total hours]]*tbl_RW[[#This Row],[% Complete]]</f>
        <v>#VALUE!</v>
      </c>
      <c r="M218" s="59" t="str">
        <f>IFERROR(tbl_RW[[#This Row],[Qty Complete]]/tbl_RW[[#This Row],[Total Hours Act]]*tbl_RW[[#This Row],['# of men Act]],"")</f>
        <v/>
      </c>
      <c r="O218"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18" s="71" t="str">
        <f>IFERROR((tbl_RW[[#This Row],[Adj. Total Hours]]+tbl_RW[[#This Row],[Est. Hours]])/(tbl_RW[[#This Row],[Total Hours Act]]+tbl_RW[[#This Row],[Act. Hours]]),"")</f>
        <v/>
      </c>
      <c r="S218" s="63"/>
      <c r="T218" s="63"/>
      <c r="U218" s="63"/>
      <c r="V218" s="63"/>
      <c r="W218" s="63"/>
    </row>
    <row r="219" spans="6:23" ht="25" customHeight="1">
      <c r="F219" s="53"/>
      <c r="H219" s="55" t="e">
        <f>tbl_RW[[#This Row],[Qty Complete]]/tbl_RW[[#This Row],[Qty Required]]</f>
        <v>#DIV/0!</v>
      </c>
      <c r="K219" s="57" t="str">
        <f>IFERROR(tbl_RW[[#This Row],[Qty Required]]/tbl_RW[[#This Row],[PPH]]*tbl_RW[[#This Row],['# of men]],"")</f>
        <v/>
      </c>
      <c r="L219" s="58" t="e">
        <f>tbl_RW[[#This Row],[Total hours]]*tbl_RW[[#This Row],[% Complete]]</f>
        <v>#VALUE!</v>
      </c>
      <c r="M219" s="59" t="str">
        <f>IFERROR(tbl_RW[[#This Row],[Qty Complete]]/tbl_RW[[#This Row],[Total Hours Act]]*tbl_RW[[#This Row],['# of men Act]],"")</f>
        <v/>
      </c>
      <c r="O219"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19" s="71" t="str">
        <f>IFERROR((tbl_RW[[#This Row],[Adj. Total Hours]]+tbl_RW[[#This Row],[Est. Hours]])/(tbl_RW[[#This Row],[Total Hours Act]]+tbl_RW[[#This Row],[Act. Hours]]),"")</f>
        <v/>
      </c>
      <c r="S219" s="63"/>
      <c r="T219" s="63"/>
      <c r="U219" s="63"/>
      <c r="V219" s="63"/>
      <c r="W219" s="63"/>
    </row>
    <row r="220" spans="6:23" ht="25" customHeight="1">
      <c r="F220" s="53"/>
      <c r="H220" s="55" t="e">
        <f>tbl_RW[[#This Row],[Qty Complete]]/tbl_RW[[#This Row],[Qty Required]]</f>
        <v>#DIV/0!</v>
      </c>
      <c r="K220" s="57" t="str">
        <f>IFERROR(tbl_RW[[#This Row],[Qty Required]]/tbl_RW[[#This Row],[PPH]]*tbl_RW[[#This Row],['# of men]],"")</f>
        <v/>
      </c>
      <c r="L220" s="58" t="e">
        <f>tbl_RW[[#This Row],[Total hours]]*tbl_RW[[#This Row],[% Complete]]</f>
        <v>#VALUE!</v>
      </c>
      <c r="M220" s="59" t="str">
        <f>IFERROR(tbl_RW[[#This Row],[Qty Complete]]/tbl_RW[[#This Row],[Total Hours Act]]*tbl_RW[[#This Row],['# of men Act]],"")</f>
        <v/>
      </c>
      <c r="O220"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20" s="71" t="str">
        <f>IFERROR((tbl_RW[[#This Row],[Adj. Total Hours]]+tbl_RW[[#This Row],[Est. Hours]])/(tbl_RW[[#This Row],[Total Hours Act]]+tbl_RW[[#This Row],[Act. Hours]]),"")</f>
        <v/>
      </c>
      <c r="S220" s="63"/>
      <c r="T220" s="63"/>
      <c r="U220" s="63"/>
      <c r="V220" s="63"/>
      <c r="W220" s="63"/>
    </row>
    <row r="221" spans="6:23" ht="25" customHeight="1">
      <c r="F221" s="53"/>
      <c r="H221" s="55" t="e">
        <f>tbl_RW[[#This Row],[Qty Complete]]/tbl_RW[[#This Row],[Qty Required]]</f>
        <v>#DIV/0!</v>
      </c>
      <c r="K221" s="57" t="str">
        <f>IFERROR(tbl_RW[[#This Row],[Qty Required]]/tbl_RW[[#This Row],[PPH]]*tbl_RW[[#This Row],['# of men]],"")</f>
        <v/>
      </c>
      <c r="L221" s="58" t="e">
        <f>tbl_RW[[#This Row],[Total hours]]*tbl_RW[[#This Row],[% Complete]]</f>
        <v>#VALUE!</v>
      </c>
      <c r="M221" s="59" t="str">
        <f>IFERROR(tbl_RW[[#This Row],[Qty Complete]]/tbl_RW[[#This Row],[Total Hours Act]]*tbl_RW[[#This Row],['# of men Act]],"")</f>
        <v/>
      </c>
      <c r="O221"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21" s="71" t="str">
        <f>IFERROR((tbl_RW[[#This Row],[Adj. Total Hours]]+tbl_RW[[#This Row],[Est. Hours]])/(tbl_RW[[#This Row],[Total Hours Act]]+tbl_RW[[#This Row],[Act. Hours]]),"")</f>
        <v/>
      </c>
      <c r="S221" s="63"/>
      <c r="T221" s="63"/>
      <c r="U221" s="63"/>
      <c r="V221" s="63"/>
      <c r="W221" s="63"/>
    </row>
    <row r="222" spans="6:23" ht="25" customHeight="1">
      <c r="F222" s="53"/>
      <c r="H222" s="55" t="e">
        <f>tbl_RW[[#This Row],[Qty Complete]]/tbl_RW[[#This Row],[Qty Required]]</f>
        <v>#DIV/0!</v>
      </c>
      <c r="K222" s="57" t="str">
        <f>IFERROR(tbl_RW[[#This Row],[Qty Required]]/tbl_RW[[#This Row],[PPH]]*tbl_RW[[#This Row],['# of men]],"")</f>
        <v/>
      </c>
      <c r="L222" s="58" t="e">
        <f>tbl_RW[[#This Row],[Total hours]]*tbl_RW[[#This Row],[% Complete]]</f>
        <v>#VALUE!</v>
      </c>
      <c r="M222" s="59" t="str">
        <f>IFERROR(tbl_RW[[#This Row],[Qty Complete]]/tbl_RW[[#This Row],[Total Hours Act]]*tbl_RW[[#This Row],['# of men Act]],"")</f>
        <v/>
      </c>
      <c r="O222"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22" s="71" t="str">
        <f>IFERROR((tbl_RW[[#This Row],[Adj. Total Hours]]+tbl_RW[[#This Row],[Est. Hours]])/(tbl_RW[[#This Row],[Total Hours Act]]+tbl_RW[[#This Row],[Act. Hours]]),"")</f>
        <v/>
      </c>
      <c r="S222" s="63"/>
      <c r="T222" s="63"/>
      <c r="U222" s="63"/>
      <c r="V222" s="63"/>
      <c r="W222" s="63"/>
    </row>
    <row r="223" spans="6:23" ht="25" customHeight="1">
      <c r="F223" s="53"/>
      <c r="H223" s="55" t="e">
        <f>tbl_RW[[#This Row],[Qty Complete]]/tbl_RW[[#This Row],[Qty Required]]</f>
        <v>#DIV/0!</v>
      </c>
      <c r="K223" s="57" t="str">
        <f>IFERROR(tbl_RW[[#This Row],[Qty Required]]/tbl_RW[[#This Row],[PPH]]*tbl_RW[[#This Row],['# of men]],"")</f>
        <v/>
      </c>
      <c r="L223" s="58" t="e">
        <f>tbl_RW[[#This Row],[Total hours]]*tbl_RW[[#This Row],[% Complete]]</f>
        <v>#VALUE!</v>
      </c>
      <c r="M223" s="59" t="str">
        <f>IFERROR(tbl_RW[[#This Row],[Qty Complete]]/tbl_RW[[#This Row],[Total Hours Act]]*tbl_RW[[#This Row],['# of men Act]],"")</f>
        <v/>
      </c>
      <c r="O223"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23" s="71" t="str">
        <f>IFERROR((tbl_RW[[#This Row],[Adj. Total Hours]]+tbl_RW[[#This Row],[Est. Hours]])/(tbl_RW[[#This Row],[Total Hours Act]]+tbl_RW[[#This Row],[Act. Hours]]),"")</f>
        <v/>
      </c>
      <c r="S223" s="63"/>
      <c r="T223" s="63"/>
      <c r="U223" s="63"/>
      <c r="V223" s="63"/>
      <c r="W223" s="63"/>
    </row>
    <row r="224" spans="6:23" ht="25" customHeight="1">
      <c r="F224" s="53"/>
      <c r="H224" s="55" t="e">
        <f>tbl_RW[[#This Row],[Qty Complete]]/tbl_RW[[#This Row],[Qty Required]]</f>
        <v>#DIV/0!</v>
      </c>
      <c r="K224" s="57" t="str">
        <f>IFERROR(tbl_RW[[#This Row],[Qty Required]]/tbl_RW[[#This Row],[PPH]]*tbl_RW[[#This Row],['# of men]],"")</f>
        <v/>
      </c>
      <c r="L224" s="58" t="e">
        <f>tbl_RW[[#This Row],[Total hours]]*tbl_RW[[#This Row],[% Complete]]</f>
        <v>#VALUE!</v>
      </c>
      <c r="M224" s="59" t="str">
        <f>IFERROR(tbl_RW[[#This Row],[Qty Complete]]/tbl_RW[[#This Row],[Total Hours Act]]*tbl_RW[[#This Row],['# of men Act]],"")</f>
        <v/>
      </c>
      <c r="O224"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24" s="71" t="str">
        <f>IFERROR((tbl_RW[[#This Row],[Adj. Total Hours]]+tbl_RW[[#This Row],[Est. Hours]])/(tbl_RW[[#This Row],[Total Hours Act]]+tbl_RW[[#This Row],[Act. Hours]]),"")</f>
        <v/>
      </c>
      <c r="S224" s="63"/>
      <c r="T224" s="63"/>
      <c r="U224" s="63"/>
      <c r="V224" s="63"/>
      <c r="W224" s="63"/>
    </row>
    <row r="225" spans="6:23" ht="25" customHeight="1">
      <c r="F225" s="53"/>
      <c r="H225" s="55" t="e">
        <f>tbl_RW[[#This Row],[Qty Complete]]/tbl_RW[[#This Row],[Qty Required]]</f>
        <v>#DIV/0!</v>
      </c>
      <c r="K225" s="57" t="str">
        <f>IFERROR(tbl_RW[[#This Row],[Qty Required]]/tbl_RW[[#This Row],[PPH]]*tbl_RW[[#This Row],['# of men]],"")</f>
        <v/>
      </c>
      <c r="L225" s="58" t="e">
        <f>tbl_RW[[#This Row],[Total hours]]*tbl_RW[[#This Row],[% Complete]]</f>
        <v>#VALUE!</v>
      </c>
      <c r="M225" s="59" t="str">
        <f>IFERROR(tbl_RW[[#This Row],[Qty Complete]]/tbl_RW[[#This Row],[Total Hours Act]]*tbl_RW[[#This Row],['# of men Act]],"")</f>
        <v/>
      </c>
      <c r="O225"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25" s="71" t="str">
        <f>IFERROR((tbl_RW[[#This Row],[Adj. Total Hours]]+tbl_RW[[#This Row],[Est. Hours]])/(tbl_RW[[#This Row],[Total Hours Act]]+tbl_RW[[#This Row],[Act. Hours]]),"")</f>
        <v/>
      </c>
      <c r="S225" s="63"/>
      <c r="T225" s="63"/>
      <c r="U225" s="63"/>
      <c r="V225" s="63"/>
      <c r="W225" s="63"/>
    </row>
    <row r="226" spans="6:23" ht="25" customHeight="1">
      <c r="F226" s="53"/>
      <c r="H226" s="55" t="e">
        <f>tbl_RW[[#This Row],[Qty Complete]]/tbl_RW[[#This Row],[Qty Required]]</f>
        <v>#DIV/0!</v>
      </c>
      <c r="K226" s="57" t="str">
        <f>IFERROR(tbl_RW[[#This Row],[Qty Required]]/tbl_RW[[#This Row],[PPH]]*tbl_RW[[#This Row],['# of men]],"")</f>
        <v/>
      </c>
      <c r="L226" s="58" t="e">
        <f>tbl_RW[[#This Row],[Total hours]]*tbl_RW[[#This Row],[% Complete]]</f>
        <v>#VALUE!</v>
      </c>
      <c r="M226" s="59" t="str">
        <f>IFERROR(tbl_RW[[#This Row],[Qty Complete]]/tbl_RW[[#This Row],[Total Hours Act]]*tbl_RW[[#This Row],['# of men Act]],"")</f>
        <v/>
      </c>
      <c r="O226"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26" s="71" t="str">
        <f>IFERROR((tbl_RW[[#This Row],[Adj. Total Hours]]+tbl_RW[[#This Row],[Est. Hours]])/(tbl_RW[[#This Row],[Total Hours Act]]+tbl_RW[[#This Row],[Act. Hours]]),"")</f>
        <v/>
      </c>
      <c r="S226" s="63"/>
      <c r="T226" s="63"/>
      <c r="U226" s="63"/>
      <c r="V226" s="63"/>
      <c r="W226" s="63"/>
    </row>
    <row r="227" spans="6:23" ht="25" customHeight="1">
      <c r="F227" s="53"/>
      <c r="H227" s="55" t="e">
        <f>tbl_RW[[#This Row],[Qty Complete]]/tbl_RW[[#This Row],[Qty Required]]</f>
        <v>#DIV/0!</v>
      </c>
      <c r="K227" s="57" t="str">
        <f>IFERROR(tbl_RW[[#This Row],[Qty Required]]/tbl_RW[[#This Row],[PPH]]*tbl_RW[[#This Row],['# of men]],"")</f>
        <v/>
      </c>
      <c r="L227" s="58" t="e">
        <f>tbl_RW[[#This Row],[Total hours]]*tbl_RW[[#This Row],[% Complete]]</f>
        <v>#VALUE!</v>
      </c>
      <c r="M227" s="59" t="str">
        <f>IFERROR(tbl_RW[[#This Row],[Qty Complete]]/tbl_RW[[#This Row],[Total Hours Act]]*tbl_RW[[#This Row],['# of men Act]],"")</f>
        <v/>
      </c>
      <c r="O227"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27" s="71" t="str">
        <f>IFERROR((tbl_RW[[#This Row],[Adj. Total Hours]]+tbl_RW[[#This Row],[Est. Hours]])/(tbl_RW[[#This Row],[Total Hours Act]]+tbl_RW[[#This Row],[Act. Hours]]),"")</f>
        <v/>
      </c>
      <c r="S227" s="63"/>
      <c r="T227" s="63"/>
      <c r="U227" s="63"/>
      <c r="V227" s="63"/>
      <c r="W227" s="63"/>
    </row>
    <row r="228" spans="6:23" ht="25" customHeight="1">
      <c r="F228" s="53"/>
      <c r="H228" s="55" t="e">
        <f>tbl_RW[[#This Row],[Qty Complete]]/tbl_RW[[#This Row],[Qty Required]]</f>
        <v>#DIV/0!</v>
      </c>
      <c r="K228" s="57" t="str">
        <f>IFERROR(tbl_RW[[#This Row],[Qty Required]]/tbl_RW[[#This Row],[PPH]]*tbl_RW[[#This Row],['# of men]],"")</f>
        <v/>
      </c>
      <c r="L228" s="58" t="e">
        <f>tbl_RW[[#This Row],[Total hours]]*tbl_RW[[#This Row],[% Complete]]</f>
        <v>#VALUE!</v>
      </c>
      <c r="M228" s="59" t="str">
        <f>IFERROR(tbl_RW[[#This Row],[Qty Complete]]/tbl_RW[[#This Row],[Total Hours Act]]*tbl_RW[[#This Row],['# of men Act]],"")</f>
        <v/>
      </c>
      <c r="O228"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28" s="71" t="str">
        <f>IFERROR((tbl_RW[[#This Row],[Adj. Total Hours]]+tbl_RW[[#This Row],[Est. Hours]])/(tbl_RW[[#This Row],[Total Hours Act]]+tbl_RW[[#This Row],[Act. Hours]]),"")</f>
        <v/>
      </c>
      <c r="S228" s="63"/>
      <c r="T228" s="63"/>
      <c r="U228" s="63"/>
      <c r="V228" s="63"/>
      <c r="W228" s="63"/>
    </row>
    <row r="229" spans="6:23" ht="25" customHeight="1">
      <c r="F229" s="53"/>
      <c r="H229" s="55" t="e">
        <f>tbl_RW[[#This Row],[Qty Complete]]/tbl_RW[[#This Row],[Qty Required]]</f>
        <v>#DIV/0!</v>
      </c>
      <c r="K229" s="57" t="str">
        <f>IFERROR(tbl_RW[[#This Row],[Qty Required]]/tbl_RW[[#This Row],[PPH]]*tbl_RW[[#This Row],['# of men]],"")</f>
        <v/>
      </c>
      <c r="L229" s="58" t="e">
        <f>tbl_RW[[#This Row],[Total hours]]*tbl_RW[[#This Row],[% Complete]]</f>
        <v>#VALUE!</v>
      </c>
      <c r="M229" s="59" t="str">
        <f>IFERROR(tbl_RW[[#This Row],[Qty Complete]]/tbl_RW[[#This Row],[Total Hours Act]]*tbl_RW[[#This Row],['# of men Act]],"")</f>
        <v/>
      </c>
      <c r="O229"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29" s="71" t="str">
        <f>IFERROR((tbl_RW[[#This Row],[Adj. Total Hours]]+tbl_RW[[#This Row],[Est. Hours]])/(tbl_RW[[#This Row],[Total Hours Act]]+tbl_RW[[#This Row],[Act. Hours]]),"")</f>
        <v/>
      </c>
      <c r="S229" s="63"/>
      <c r="T229" s="63"/>
      <c r="U229" s="63"/>
      <c r="V229" s="63"/>
      <c r="W229" s="63"/>
    </row>
    <row r="230" spans="6:23" ht="25" customHeight="1">
      <c r="F230" s="53"/>
      <c r="H230" s="55" t="e">
        <f>tbl_RW[[#This Row],[Qty Complete]]/tbl_RW[[#This Row],[Qty Required]]</f>
        <v>#DIV/0!</v>
      </c>
      <c r="K230" s="57" t="str">
        <f>IFERROR(tbl_RW[[#This Row],[Qty Required]]/tbl_RW[[#This Row],[PPH]]*tbl_RW[[#This Row],['# of men]],"")</f>
        <v/>
      </c>
      <c r="L230" s="58" t="e">
        <f>tbl_RW[[#This Row],[Total hours]]*tbl_RW[[#This Row],[% Complete]]</f>
        <v>#VALUE!</v>
      </c>
      <c r="M230" s="59" t="str">
        <f>IFERROR(tbl_RW[[#This Row],[Qty Complete]]/tbl_RW[[#This Row],[Total Hours Act]]*tbl_RW[[#This Row],['# of men Act]],"")</f>
        <v/>
      </c>
      <c r="O230"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30" s="71" t="str">
        <f>IFERROR((tbl_RW[[#This Row],[Adj. Total Hours]]+tbl_RW[[#This Row],[Est. Hours]])/(tbl_RW[[#This Row],[Total Hours Act]]+tbl_RW[[#This Row],[Act. Hours]]),"")</f>
        <v/>
      </c>
      <c r="S230" s="63"/>
      <c r="T230" s="63"/>
      <c r="U230" s="63"/>
      <c r="V230" s="63"/>
      <c r="W230" s="63"/>
    </row>
    <row r="231" spans="6:23" ht="25" customHeight="1">
      <c r="F231" s="53"/>
      <c r="H231" s="55" t="e">
        <f>tbl_RW[[#This Row],[Qty Complete]]/tbl_RW[[#This Row],[Qty Required]]</f>
        <v>#DIV/0!</v>
      </c>
      <c r="K231" s="57" t="str">
        <f>IFERROR(tbl_RW[[#This Row],[Qty Required]]/tbl_RW[[#This Row],[PPH]]*tbl_RW[[#This Row],['# of men]],"")</f>
        <v/>
      </c>
      <c r="L231" s="58" t="e">
        <f>tbl_RW[[#This Row],[Total hours]]*tbl_RW[[#This Row],[% Complete]]</f>
        <v>#VALUE!</v>
      </c>
      <c r="M231" s="59" t="str">
        <f>IFERROR(tbl_RW[[#This Row],[Qty Complete]]/tbl_RW[[#This Row],[Total Hours Act]]*tbl_RW[[#This Row],['# of men Act]],"")</f>
        <v/>
      </c>
      <c r="O231"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31" s="71" t="str">
        <f>IFERROR((tbl_RW[[#This Row],[Adj. Total Hours]]+tbl_RW[[#This Row],[Est. Hours]])/(tbl_RW[[#This Row],[Total Hours Act]]+tbl_RW[[#This Row],[Act. Hours]]),"")</f>
        <v/>
      </c>
      <c r="S231" s="63"/>
      <c r="T231" s="63"/>
      <c r="U231" s="63"/>
      <c r="V231" s="63"/>
      <c r="W231" s="63"/>
    </row>
    <row r="232" spans="6:23" ht="25" customHeight="1">
      <c r="F232" s="53"/>
      <c r="H232" s="55" t="e">
        <f>tbl_RW[[#This Row],[Qty Complete]]/tbl_RW[[#This Row],[Qty Required]]</f>
        <v>#DIV/0!</v>
      </c>
      <c r="K232" s="57" t="str">
        <f>IFERROR(tbl_RW[[#This Row],[Qty Required]]/tbl_RW[[#This Row],[PPH]]*tbl_RW[[#This Row],['# of men]],"")</f>
        <v/>
      </c>
      <c r="L232" s="58" t="e">
        <f>tbl_RW[[#This Row],[Total hours]]*tbl_RW[[#This Row],[% Complete]]</f>
        <v>#VALUE!</v>
      </c>
      <c r="M232" s="59" t="str">
        <f>IFERROR(tbl_RW[[#This Row],[Qty Complete]]/tbl_RW[[#This Row],[Total Hours Act]]*tbl_RW[[#This Row],['# of men Act]],"")</f>
        <v/>
      </c>
      <c r="O232"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32" s="71" t="str">
        <f>IFERROR((tbl_RW[[#This Row],[Adj. Total Hours]]+tbl_RW[[#This Row],[Est. Hours]])/(tbl_RW[[#This Row],[Total Hours Act]]+tbl_RW[[#This Row],[Act. Hours]]),"")</f>
        <v/>
      </c>
      <c r="S232" s="63"/>
      <c r="T232" s="63"/>
      <c r="U232" s="63"/>
      <c r="V232" s="63"/>
      <c r="W232" s="63"/>
    </row>
    <row r="233" spans="6:23" ht="25" customHeight="1">
      <c r="F233" s="53"/>
      <c r="H233" s="55" t="e">
        <f>tbl_RW[[#This Row],[Qty Complete]]/tbl_RW[[#This Row],[Qty Required]]</f>
        <v>#DIV/0!</v>
      </c>
      <c r="K233" s="57" t="str">
        <f>IFERROR(tbl_RW[[#This Row],[Qty Required]]/tbl_RW[[#This Row],[PPH]]*tbl_RW[[#This Row],['# of men]],"")</f>
        <v/>
      </c>
      <c r="L233" s="58" t="e">
        <f>tbl_RW[[#This Row],[Total hours]]*tbl_RW[[#This Row],[% Complete]]</f>
        <v>#VALUE!</v>
      </c>
      <c r="M233" s="59" t="str">
        <f>IFERROR(tbl_RW[[#This Row],[Qty Complete]]/tbl_RW[[#This Row],[Total Hours Act]]*tbl_RW[[#This Row],['# of men Act]],"")</f>
        <v/>
      </c>
      <c r="O233"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33" s="71" t="str">
        <f>IFERROR((tbl_RW[[#This Row],[Adj. Total Hours]]+tbl_RW[[#This Row],[Est. Hours]])/(tbl_RW[[#This Row],[Total Hours Act]]+tbl_RW[[#This Row],[Act. Hours]]),"")</f>
        <v/>
      </c>
      <c r="S233" s="63"/>
      <c r="T233" s="63"/>
      <c r="U233" s="63"/>
      <c r="V233" s="63"/>
      <c r="W233" s="63"/>
    </row>
    <row r="234" spans="6:23" ht="25" customHeight="1">
      <c r="F234" s="53"/>
      <c r="H234" s="55" t="e">
        <f>tbl_RW[[#This Row],[Qty Complete]]/tbl_RW[[#This Row],[Qty Required]]</f>
        <v>#DIV/0!</v>
      </c>
      <c r="K234" s="57" t="str">
        <f>IFERROR(tbl_RW[[#This Row],[Qty Required]]/tbl_RW[[#This Row],[PPH]]*tbl_RW[[#This Row],['# of men]],"")</f>
        <v/>
      </c>
      <c r="L234" s="58" t="e">
        <f>tbl_RW[[#This Row],[Total hours]]*tbl_RW[[#This Row],[% Complete]]</f>
        <v>#VALUE!</v>
      </c>
      <c r="M234" s="59" t="str">
        <f>IFERROR(tbl_RW[[#This Row],[Qty Complete]]/tbl_RW[[#This Row],[Total Hours Act]]*tbl_RW[[#This Row],['# of men Act]],"")</f>
        <v/>
      </c>
      <c r="O234"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34" s="71" t="str">
        <f>IFERROR((tbl_RW[[#This Row],[Adj. Total Hours]]+tbl_RW[[#This Row],[Est. Hours]])/(tbl_RW[[#This Row],[Total Hours Act]]+tbl_RW[[#This Row],[Act. Hours]]),"")</f>
        <v/>
      </c>
      <c r="S234" s="63"/>
      <c r="T234" s="63"/>
      <c r="U234" s="63"/>
      <c r="V234" s="63"/>
      <c r="W234" s="63"/>
    </row>
    <row r="235" spans="6:23" ht="25" customHeight="1">
      <c r="F235" s="53"/>
      <c r="H235" s="55" t="e">
        <f>tbl_RW[[#This Row],[Qty Complete]]/tbl_RW[[#This Row],[Qty Required]]</f>
        <v>#DIV/0!</v>
      </c>
      <c r="K235" s="57" t="str">
        <f>IFERROR(tbl_RW[[#This Row],[Qty Required]]/tbl_RW[[#This Row],[PPH]]*tbl_RW[[#This Row],['# of men]],"")</f>
        <v/>
      </c>
      <c r="L235" s="58" t="e">
        <f>tbl_RW[[#This Row],[Total hours]]*tbl_RW[[#This Row],[% Complete]]</f>
        <v>#VALUE!</v>
      </c>
      <c r="M235" s="59" t="str">
        <f>IFERROR(tbl_RW[[#This Row],[Qty Complete]]/tbl_RW[[#This Row],[Total Hours Act]]*tbl_RW[[#This Row],['# of men Act]],"")</f>
        <v/>
      </c>
      <c r="O235"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35" s="71" t="str">
        <f>IFERROR((tbl_RW[[#This Row],[Adj. Total Hours]]+tbl_RW[[#This Row],[Est. Hours]])/(tbl_RW[[#This Row],[Total Hours Act]]+tbl_RW[[#This Row],[Act. Hours]]),"")</f>
        <v/>
      </c>
      <c r="S235" s="63"/>
      <c r="T235" s="63"/>
      <c r="U235" s="63"/>
      <c r="V235" s="63"/>
      <c r="W235" s="63"/>
    </row>
    <row r="236" spans="6:23" ht="25" customHeight="1">
      <c r="F236" s="53"/>
      <c r="H236" s="55" t="e">
        <f>tbl_RW[[#This Row],[Qty Complete]]/tbl_RW[[#This Row],[Qty Required]]</f>
        <v>#DIV/0!</v>
      </c>
      <c r="K236" s="57" t="str">
        <f>IFERROR(tbl_RW[[#This Row],[Qty Required]]/tbl_RW[[#This Row],[PPH]]*tbl_RW[[#This Row],['# of men]],"")</f>
        <v/>
      </c>
      <c r="L236" s="58" t="e">
        <f>tbl_RW[[#This Row],[Total hours]]*tbl_RW[[#This Row],[% Complete]]</f>
        <v>#VALUE!</v>
      </c>
      <c r="M236" s="59" t="str">
        <f>IFERROR(tbl_RW[[#This Row],[Qty Complete]]/tbl_RW[[#This Row],[Total Hours Act]]*tbl_RW[[#This Row],['# of men Act]],"")</f>
        <v/>
      </c>
      <c r="O236"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36" s="71" t="str">
        <f>IFERROR((tbl_RW[[#This Row],[Adj. Total Hours]]+tbl_RW[[#This Row],[Est. Hours]])/(tbl_RW[[#This Row],[Total Hours Act]]+tbl_RW[[#This Row],[Act. Hours]]),"")</f>
        <v/>
      </c>
      <c r="S236" s="63"/>
      <c r="T236" s="63"/>
      <c r="U236" s="63"/>
      <c r="V236" s="63"/>
      <c r="W236" s="63"/>
    </row>
    <row r="237" spans="6:23" ht="25" customHeight="1">
      <c r="F237" s="53"/>
      <c r="H237" s="55" t="e">
        <f>tbl_RW[[#This Row],[Qty Complete]]/tbl_RW[[#This Row],[Qty Required]]</f>
        <v>#DIV/0!</v>
      </c>
      <c r="K237" s="57" t="str">
        <f>IFERROR(tbl_RW[[#This Row],[Qty Required]]/tbl_RW[[#This Row],[PPH]]*tbl_RW[[#This Row],['# of men]],"")</f>
        <v/>
      </c>
      <c r="L237" s="58" t="e">
        <f>tbl_RW[[#This Row],[Total hours]]*tbl_RW[[#This Row],[% Complete]]</f>
        <v>#VALUE!</v>
      </c>
      <c r="M237" s="59" t="str">
        <f>IFERROR(tbl_RW[[#This Row],[Qty Complete]]/tbl_RW[[#This Row],[Total Hours Act]]*tbl_RW[[#This Row],['# of men Act]],"")</f>
        <v/>
      </c>
      <c r="O237"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37" s="71" t="str">
        <f>IFERROR((tbl_RW[[#This Row],[Adj. Total Hours]]+tbl_RW[[#This Row],[Est. Hours]])/(tbl_RW[[#This Row],[Total Hours Act]]+tbl_RW[[#This Row],[Act. Hours]]),"")</f>
        <v/>
      </c>
      <c r="S237" s="63"/>
      <c r="T237" s="63"/>
      <c r="U237" s="63"/>
      <c r="V237" s="63"/>
      <c r="W237" s="63"/>
    </row>
    <row r="238" spans="6:23" ht="25" customHeight="1">
      <c r="F238" s="53"/>
      <c r="H238" s="55" t="e">
        <f>tbl_RW[[#This Row],[Qty Complete]]/tbl_RW[[#This Row],[Qty Required]]</f>
        <v>#DIV/0!</v>
      </c>
      <c r="K238" s="57" t="str">
        <f>IFERROR(tbl_RW[[#This Row],[Qty Required]]/tbl_RW[[#This Row],[PPH]]*tbl_RW[[#This Row],['# of men]],"")</f>
        <v/>
      </c>
      <c r="L238" s="58" t="e">
        <f>tbl_RW[[#This Row],[Total hours]]*tbl_RW[[#This Row],[% Complete]]</f>
        <v>#VALUE!</v>
      </c>
      <c r="M238" s="59" t="str">
        <f>IFERROR(tbl_RW[[#This Row],[Qty Complete]]/tbl_RW[[#This Row],[Total Hours Act]]*tbl_RW[[#This Row],['# of men Act]],"")</f>
        <v/>
      </c>
      <c r="O238"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38" s="71" t="str">
        <f>IFERROR((tbl_RW[[#This Row],[Adj. Total Hours]]+tbl_RW[[#This Row],[Est. Hours]])/(tbl_RW[[#This Row],[Total Hours Act]]+tbl_RW[[#This Row],[Act. Hours]]),"")</f>
        <v/>
      </c>
      <c r="S238" s="63"/>
      <c r="T238" s="63"/>
      <c r="U238" s="63"/>
      <c r="V238" s="63"/>
      <c r="W238" s="63"/>
    </row>
    <row r="239" spans="6:23" ht="25" customHeight="1">
      <c r="F239" s="53"/>
      <c r="H239" s="55" t="e">
        <f>tbl_RW[[#This Row],[Qty Complete]]/tbl_RW[[#This Row],[Qty Required]]</f>
        <v>#DIV/0!</v>
      </c>
      <c r="K239" s="57" t="str">
        <f>IFERROR(tbl_RW[[#This Row],[Qty Required]]/tbl_RW[[#This Row],[PPH]]*tbl_RW[[#This Row],['# of men]],"")</f>
        <v/>
      </c>
      <c r="L239" s="58" t="e">
        <f>tbl_RW[[#This Row],[Total hours]]*tbl_RW[[#This Row],[% Complete]]</f>
        <v>#VALUE!</v>
      </c>
      <c r="M239" s="59" t="str">
        <f>IFERROR(tbl_RW[[#This Row],[Qty Complete]]/tbl_RW[[#This Row],[Total Hours Act]]*tbl_RW[[#This Row],['# of men Act]],"")</f>
        <v/>
      </c>
      <c r="O239"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39" s="71" t="str">
        <f>IFERROR((tbl_RW[[#This Row],[Adj. Total Hours]]+tbl_RW[[#This Row],[Est. Hours]])/(tbl_RW[[#This Row],[Total Hours Act]]+tbl_RW[[#This Row],[Act. Hours]]),"")</f>
        <v/>
      </c>
      <c r="S239" s="63"/>
      <c r="T239" s="63"/>
      <c r="U239" s="63"/>
      <c r="V239" s="63"/>
      <c r="W239" s="63"/>
    </row>
    <row r="240" spans="6:23" ht="25" customHeight="1">
      <c r="F240" s="53"/>
      <c r="H240" s="55" t="e">
        <f>tbl_RW[[#This Row],[Qty Complete]]/tbl_RW[[#This Row],[Qty Required]]</f>
        <v>#DIV/0!</v>
      </c>
      <c r="K240" s="57" t="str">
        <f>IFERROR(tbl_RW[[#This Row],[Qty Required]]/tbl_RW[[#This Row],[PPH]]*tbl_RW[[#This Row],['# of men]],"")</f>
        <v/>
      </c>
      <c r="L240" s="58" t="e">
        <f>tbl_RW[[#This Row],[Total hours]]*tbl_RW[[#This Row],[% Complete]]</f>
        <v>#VALUE!</v>
      </c>
      <c r="M240" s="59" t="str">
        <f>IFERROR(tbl_RW[[#This Row],[Qty Complete]]/tbl_RW[[#This Row],[Total Hours Act]]*tbl_RW[[#This Row],['# of men Act]],"")</f>
        <v/>
      </c>
      <c r="O240"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40" s="71" t="str">
        <f>IFERROR((tbl_RW[[#This Row],[Adj. Total Hours]]+tbl_RW[[#This Row],[Est. Hours]])/(tbl_RW[[#This Row],[Total Hours Act]]+tbl_RW[[#This Row],[Act. Hours]]),"")</f>
        <v/>
      </c>
      <c r="S240" s="63"/>
      <c r="T240" s="63"/>
      <c r="U240" s="63"/>
      <c r="V240" s="63"/>
      <c r="W240" s="63"/>
    </row>
    <row r="241" spans="6:23" ht="25" customHeight="1">
      <c r="F241" s="53"/>
      <c r="H241" s="55" t="e">
        <f>tbl_RW[[#This Row],[Qty Complete]]/tbl_RW[[#This Row],[Qty Required]]</f>
        <v>#DIV/0!</v>
      </c>
      <c r="K241" s="57" t="str">
        <f>IFERROR(tbl_RW[[#This Row],[Qty Required]]/tbl_RW[[#This Row],[PPH]]*tbl_RW[[#This Row],['# of men]],"")</f>
        <v/>
      </c>
      <c r="L241" s="58" t="e">
        <f>tbl_RW[[#This Row],[Total hours]]*tbl_RW[[#This Row],[% Complete]]</f>
        <v>#VALUE!</v>
      </c>
      <c r="M241" s="59" t="str">
        <f>IFERROR(tbl_RW[[#This Row],[Qty Complete]]/tbl_RW[[#This Row],[Total Hours Act]]*tbl_RW[[#This Row],['# of men Act]],"")</f>
        <v/>
      </c>
      <c r="O241"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41" s="71" t="str">
        <f>IFERROR((tbl_RW[[#This Row],[Adj. Total Hours]]+tbl_RW[[#This Row],[Est. Hours]])/(tbl_RW[[#This Row],[Total Hours Act]]+tbl_RW[[#This Row],[Act. Hours]]),"")</f>
        <v/>
      </c>
      <c r="S241" s="63"/>
      <c r="T241" s="63"/>
      <c r="U241" s="63"/>
      <c r="V241" s="63"/>
      <c r="W241" s="63"/>
    </row>
    <row r="242" spans="6:23" ht="25" customHeight="1">
      <c r="F242" s="53"/>
      <c r="H242" s="55" t="e">
        <f>tbl_RW[[#This Row],[Qty Complete]]/tbl_RW[[#This Row],[Qty Required]]</f>
        <v>#DIV/0!</v>
      </c>
      <c r="K242" s="57" t="str">
        <f>IFERROR(tbl_RW[[#This Row],[Qty Required]]/tbl_RW[[#This Row],[PPH]]*tbl_RW[[#This Row],['# of men]],"")</f>
        <v/>
      </c>
      <c r="L242" s="58" t="e">
        <f>tbl_RW[[#This Row],[Total hours]]*tbl_RW[[#This Row],[% Complete]]</f>
        <v>#VALUE!</v>
      </c>
      <c r="M242" s="59" t="str">
        <f>IFERROR(tbl_RW[[#This Row],[Qty Complete]]/tbl_RW[[#This Row],[Total Hours Act]]*tbl_RW[[#This Row],['# of men Act]],"")</f>
        <v/>
      </c>
      <c r="O242"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42" s="71" t="str">
        <f>IFERROR((tbl_RW[[#This Row],[Adj. Total Hours]]+tbl_RW[[#This Row],[Est. Hours]])/(tbl_RW[[#This Row],[Total Hours Act]]+tbl_RW[[#This Row],[Act. Hours]]),"")</f>
        <v/>
      </c>
      <c r="S242" s="63"/>
      <c r="T242" s="63"/>
      <c r="U242" s="63"/>
      <c r="V242" s="63"/>
      <c r="W242" s="63"/>
    </row>
    <row r="243" spans="6:23" ht="25" customHeight="1">
      <c r="F243" s="53"/>
      <c r="H243" s="55" t="e">
        <f>tbl_RW[[#This Row],[Qty Complete]]/tbl_RW[[#This Row],[Qty Required]]</f>
        <v>#DIV/0!</v>
      </c>
      <c r="K243" s="57" t="str">
        <f>IFERROR(tbl_RW[[#This Row],[Qty Required]]/tbl_RW[[#This Row],[PPH]]*tbl_RW[[#This Row],['# of men]],"")</f>
        <v/>
      </c>
      <c r="L243" s="58" t="e">
        <f>tbl_RW[[#This Row],[Total hours]]*tbl_RW[[#This Row],[% Complete]]</f>
        <v>#VALUE!</v>
      </c>
      <c r="M243" s="59" t="str">
        <f>IFERROR(tbl_RW[[#This Row],[Qty Complete]]/tbl_RW[[#This Row],[Total Hours Act]]*tbl_RW[[#This Row],['# of men Act]],"")</f>
        <v/>
      </c>
      <c r="O243"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43" s="71" t="str">
        <f>IFERROR((tbl_RW[[#This Row],[Adj. Total Hours]]+tbl_RW[[#This Row],[Est. Hours]])/(tbl_RW[[#This Row],[Total Hours Act]]+tbl_RW[[#This Row],[Act. Hours]]),"")</f>
        <v/>
      </c>
      <c r="S243" s="63"/>
      <c r="T243" s="63"/>
      <c r="U243" s="63"/>
      <c r="V243" s="63"/>
      <c r="W243" s="63"/>
    </row>
    <row r="244" spans="6:23" ht="25" customHeight="1">
      <c r="F244" s="53"/>
      <c r="H244" s="55" t="e">
        <f>tbl_RW[[#This Row],[Qty Complete]]/tbl_RW[[#This Row],[Qty Required]]</f>
        <v>#DIV/0!</v>
      </c>
      <c r="K244" s="57" t="str">
        <f>IFERROR(tbl_RW[[#This Row],[Qty Required]]/tbl_RW[[#This Row],[PPH]]*tbl_RW[[#This Row],['# of men]],"")</f>
        <v/>
      </c>
      <c r="L244" s="58" t="e">
        <f>tbl_RW[[#This Row],[Total hours]]*tbl_RW[[#This Row],[% Complete]]</f>
        <v>#VALUE!</v>
      </c>
      <c r="M244" s="59" t="str">
        <f>IFERROR(tbl_RW[[#This Row],[Qty Complete]]/tbl_RW[[#This Row],[Total Hours Act]]*tbl_RW[[#This Row],['# of men Act]],"")</f>
        <v/>
      </c>
      <c r="O244"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44" s="71" t="str">
        <f>IFERROR((tbl_RW[[#This Row],[Adj. Total Hours]]+tbl_RW[[#This Row],[Est. Hours]])/(tbl_RW[[#This Row],[Total Hours Act]]+tbl_RW[[#This Row],[Act. Hours]]),"")</f>
        <v/>
      </c>
      <c r="S244" s="63"/>
      <c r="T244" s="63"/>
      <c r="U244" s="63"/>
      <c r="V244" s="63"/>
      <c r="W244" s="63"/>
    </row>
    <row r="245" spans="6:23" ht="25" customHeight="1">
      <c r="F245" s="53"/>
      <c r="H245" s="55" t="e">
        <f>tbl_RW[[#This Row],[Qty Complete]]/tbl_RW[[#This Row],[Qty Required]]</f>
        <v>#DIV/0!</v>
      </c>
      <c r="K245" s="57" t="str">
        <f>IFERROR(tbl_RW[[#This Row],[Qty Required]]/tbl_RW[[#This Row],[PPH]]*tbl_RW[[#This Row],['# of men]],"")</f>
        <v/>
      </c>
      <c r="L245" s="58" t="e">
        <f>tbl_RW[[#This Row],[Total hours]]*tbl_RW[[#This Row],[% Complete]]</f>
        <v>#VALUE!</v>
      </c>
      <c r="M245" s="59" t="str">
        <f>IFERROR(tbl_RW[[#This Row],[Qty Complete]]/tbl_RW[[#This Row],[Total Hours Act]]*tbl_RW[[#This Row],['# of men Act]],"")</f>
        <v/>
      </c>
      <c r="O245"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45" s="71" t="str">
        <f>IFERROR((tbl_RW[[#This Row],[Adj. Total Hours]]+tbl_RW[[#This Row],[Est. Hours]])/(tbl_RW[[#This Row],[Total Hours Act]]+tbl_RW[[#This Row],[Act. Hours]]),"")</f>
        <v/>
      </c>
      <c r="S245" s="63"/>
      <c r="T245" s="63"/>
      <c r="U245" s="63"/>
      <c r="V245" s="63"/>
      <c r="W245" s="63"/>
    </row>
    <row r="246" spans="6:23" ht="25" customHeight="1">
      <c r="F246" s="53"/>
      <c r="H246" s="55" t="e">
        <f>tbl_RW[[#This Row],[Qty Complete]]/tbl_RW[[#This Row],[Qty Required]]</f>
        <v>#DIV/0!</v>
      </c>
      <c r="K246" s="57" t="str">
        <f>IFERROR(tbl_RW[[#This Row],[Qty Required]]/tbl_RW[[#This Row],[PPH]]*tbl_RW[[#This Row],['# of men]],"")</f>
        <v/>
      </c>
      <c r="L246" s="58" t="e">
        <f>tbl_RW[[#This Row],[Total hours]]*tbl_RW[[#This Row],[% Complete]]</f>
        <v>#VALUE!</v>
      </c>
      <c r="M246" s="59" t="str">
        <f>IFERROR(tbl_RW[[#This Row],[Qty Complete]]/tbl_RW[[#This Row],[Total Hours Act]]*tbl_RW[[#This Row],['# of men Act]],"")</f>
        <v/>
      </c>
      <c r="O246"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46" s="71" t="str">
        <f>IFERROR((tbl_RW[[#This Row],[Adj. Total Hours]]+tbl_RW[[#This Row],[Est. Hours]])/(tbl_RW[[#This Row],[Total Hours Act]]+tbl_RW[[#This Row],[Act. Hours]]),"")</f>
        <v/>
      </c>
      <c r="S246" s="63"/>
      <c r="T246" s="63"/>
      <c r="U246" s="63"/>
      <c r="V246" s="63"/>
      <c r="W246" s="63"/>
    </row>
    <row r="247" spans="6:23" ht="25" customHeight="1">
      <c r="F247" s="53"/>
      <c r="H247" s="55" t="e">
        <f>tbl_RW[[#This Row],[Qty Complete]]/tbl_RW[[#This Row],[Qty Required]]</f>
        <v>#DIV/0!</v>
      </c>
      <c r="K247" s="57" t="str">
        <f>IFERROR(tbl_RW[[#This Row],[Qty Required]]/tbl_RW[[#This Row],[PPH]]*tbl_RW[[#This Row],['# of men]],"")</f>
        <v/>
      </c>
      <c r="L247" s="58" t="e">
        <f>tbl_RW[[#This Row],[Total hours]]*tbl_RW[[#This Row],[% Complete]]</f>
        <v>#VALUE!</v>
      </c>
      <c r="M247" s="59" t="str">
        <f>IFERROR(tbl_RW[[#This Row],[Qty Complete]]/tbl_RW[[#This Row],[Total Hours Act]]*tbl_RW[[#This Row],['# of men Act]],"")</f>
        <v/>
      </c>
      <c r="O247"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47" s="71" t="str">
        <f>IFERROR((tbl_RW[[#This Row],[Adj. Total Hours]]+tbl_RW[[#This Row],[Est. Hours]])/(tbl_RW[[#This Row],[Total Hours Act]]+tbl_RW[[#This Row],[Act. Hours]]),"")</f>
        <v/>
      </c>
      <c r="S247" s="63"/>
      <c r="T247" s="63"/>
      <c r="U247" s="63"/>
      <c r="V247" s="63"/>
      <c r="W247" s="63"/>
    </row>
    <row r="248" spans="6:23" ht="25" customHeight="1">
      <c r="F248" s="53"/>
      <c r="H248" s="55" t="e">
        <f>tbl_RW[[#This Row],[Qty Complete]]/tbl_RW[[#This Row],[Qty Required]]</f>
        <v>#DIV/0!</v>
      </c>
      <c r="K248" s="57" t="str">
        <f>IFERROR(tbl_RW[[#This Row],[Qty Required]]/tbl_RW[[#This Row],[PPH]]*tbl_RW[[#This Row],['# of men]],"")</f>
        <v/>
      </c>
      <c r="L248" s="58" t="e">
        <f>tbl_RW[[#This Row],[Total hours]]*tbl_RW[[#This Row],[% Complete]]</f>
        <v>#VALUE!</v>
      </c>
      <c r="M248" s="59" t="str">
        <f>IFERROR(tbl_RW[[#This Row],[Qty Complete]]/tbl_RW[[#This Row],[Total Hours Act]]*tbl_RW[[#This Row],['# of men Act]],"")</f>
        <v/>
      </c>
      <c r="O248"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48" s="71" t="str">
        <f>IFERROR((tbl_RW[[#This Row],[Adj. Total Hours]]+tbl_RW[[#This Row],[Est. Hours]])/(tbl_RW[[#This Row],[Total Hours Act]]+tbl_RW[[#This Row],[Act. Hours]]),"")</f>
        <v/>
      </c>
      <c r="S248" s="63"/>
      <c r="T248" s="63"/>
      <c r="U248" s="63"/>
      <c r="V248" s="63"/>
      <c r="W248" s="63"/>
    </row>
    <row r="249" spans="6:23" ht="25" customHeight="1">
      <c r="F249" s="53"/>
      <c r="H249" s="55" t="e">
        <f>tbl_RW[[#This Row],[Qty Complete]]/tbl_RW[[#This Row],[Qty Required]]</f>
        <v>#DIV/0!</v>
      </c>
      <c r="K249" s="57" t="str">
        <f>IFERROR(tbl_RW[[#This Row],[Qty Required]]/tbl_RW[[#This Row],[PPH]]*tbl_RW[[#This Row],['# of men]],"")</f>
        <v/>
      </c>
      <c r="L249" s="58" t="e">
        <f>tbl_RW[[#This Row],[Total hours]]*tbl_RW[[#This Row],[% Complete]]</f>
        <v>#VALUE!</v>
      </c>
      <c r="M249" s="59" t="str">
        <f>IFERROR(tbl_RW[[#This Row],[Qty Complete]]/tbl_RW[[#This Row],[Total Hours Act]]*tbl_RW[[#This Row],['# of men Act]],"")</f>
        <v/>
      </c>
      <c r="O249"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49" s="71" t="str">
        <f>IFERROR((tbl_RW[[#This Row],[Adj. Total Hours]]+tbl_RW[[#This Row],[Est. Hours]])/(tbl_RW[[#This Row],[Total Hours Act]]+tbl_RW[[#This Row],[Act. Hours]]),"")</f>
        <v/>
      </c>
      <c r="S249" s="63"/>
      <c r="T249" s="63"/>
      <c r="U249" s="63"/>
      <c r="V249" s="63"/>
      <c r="W249" s="63"/>
    </row>
    <row r="250" spans="6:23" ht="25" customHeight="1">
      <c r="F250" s="53"/>
      <c r="H250" s="55" t="e">
        <f>tbl_RW[[#This Row],[Qty Complete]]/tbl_RW[[#This Row],[Qty Required]]</f>
        <v>#DIV/0!</v>
      </c>
      <c r="K250" s="57" t="str">
        <f>IFERROR(tbl_RW[[#This Row],[Qty Required]]/tbl_RW[[#This Row],[PPH]]*tbl_RW[[#This Row],['# of men]],"")</f>
        <v/>
      </c>
      <c r="L250" s="58" t="e">
        <f>tbl_RW[[#This Row],[Total hours]]*tbl_RW[[#This Row],[% Complete]]</f>
        <v>#VALUE!</v>
      </c>
      <c r="M250" s="59" t="str">
        <f>IFERROR(tbl_RW[[#This Row],[Qty Complete]]/tbl_RW[[#This Row],[Total Hours Act]]*tbl_RW[[#This Row],['# of men Act]],"")</f>
        <v/>
      </c>
      <c r="O250" s="60">
        <f>(MOD(tbl_RW[[#This Row],[End Time]]-tbl_RW[[#This Row],[Start Time]],1)*24*tbl_RW[[#This Row],['# of men Act]])-
(
IF(AND(tbl_RW[[#This Row],[Start Time]]&lt;=Data!$B$2+(Data!$B$2&lt;tbl_RW[[#This Row],[Start Time]]),tbl_RW[[#This Row],[Start Time]]+MOD(tbl_RW[[#This Row],[End Time]]-tbl_RW[[#This Row],[Start Time]],1)&gt;=Data!$C$2+(Data!$C$2&lt;tbl_RW[[#This Row],[Start Time]])),0.5*tbl_RW[[#This Row],['# of men Act]],0)
+
IF(AND(tbl_RW[[#This Row],[Start Time]]&lt;=Data!$B$3+(Data!$B$3&lt;tbl_RW[[#This Row],[Start Time]]),tbl_RW[[#This Row],[Start Time]]+MOD(tbl_RW[[#This Row],[End Time]]-tbl_RW[[#This Row],[Start Time]],1)&gt;=Data!$C$3+(Data!$C$3&lt;tbl_RW[[#This Row],[Start Time]])),0.5*tbl_RW[[#This Row],['# of men Act]],0)
)</f>
        <v>0</v>
      </c>
      <c r="R250" s="71" t="str">
        <f>IFERROR((tbl_RW[[#This Row],[Adj. Total Hours]]+tbl_RW[[#This Row],[Est. Hours]])/(tbl_RW[[#This Row],[Total Hours Act]]+tbl_RW[[#This Row],[Act. Hours]]),"")</f>
        <v/>
      </c>
      <c r="S250" s="63"/>
      <c r="T250" s="63"/>
      <c r="U250" s="63"/>
      <c r="V250" s="63"/>
      <c r="W250" s="63"/>
    </row>
  </sheetData>
  <sheetProtection sheet="1" objects="1" scenarios="1"/>
  <protectedRanges>
    <protectedRange sqref="I1:J1048576 N1:N1048576 P1:P1048576 Q1:Q1048576 S1:W1048576 A1:G7 A9:G1048576" name="Range1"/>
  </protectedRanges>
  <mergeCells count="1">
    <mergeCell ref="P1:Q1"/>
  </mergeCells>
  <conditionalFormatting sqref="R3:R3852">
    <cfRule type="expression" dxfId="2" priority="1">
      <formula>AND(R3&gt;0.85,R3&lt;&gt;"")</formula>
    </cfRule>
    <cfRule type="expression" dxfId="1" priority="2">
      <formula>AND(R3&gt;=0.7,R3&lt;=0.85,R3&lt;&gt;"")</formula>
    </cfRule>
    <cfRule type="expression" dxfId="0" priority="3">
      <formula>AND(R3&lt;0.7,R3&lt;&gt;"")</formula>
    </cfRule>
  </conditionalFormatting>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EF329-A7F4-4019-B20A-02F12B619AE4}">
  <dimension ref="A1:G24"/>
  <sheetViews>
    <sheetView workbookViewId="0">
      <selection activeCell="H12" sqref="H12"/>
    </sheetView>
  </sheetViews>
  <sheetFormatPr defaultRowHeight="14.5"/>
  <cols>
    <col min="2" max="2" width="11.26953125" bestFit="1" customWidth="1"/>
    <col min="3" max="3" width="11.453125" bestFit="1" customWidth="1"/>
    <col min="4" max="4" width="9.453125" bestFit="1" customWidth="1"/>
    <col min="7" max="7" width="10.1796875" bestFit="1" customWidth="1"/>
  </cols>
  <sheetData>
    <row r="1" spans="1:7">
      <c r="A1" s="1"/>
      <c r="B1" s="1" t="s">
        <v>716</v>
      </c>
      <c r="C1" s="1" t="s">
        <v>717</v>
      </c>
    </row>
    <row r="2" spans="1:7">
      <c r="A2" s="1" t="s">
        <v>718</v>
      </c>
      <c r="B2" s="77">
        <v>0.5</v>
      </c>
      <c r="C2" s="77">
        <v>0.52083333333333337</v>
      </c>
      <c r="F2" t="s">
        <v>719</v>
      </c>
      <c r="G2" s="81">
        <v>46113</v>
      </c>
    </row>
    <row r="3" spans="1:7">
      <c r="A3" s="1" t="s">
        <v>720</v>
      </c>
      <c r="B3" s="77">
        <v>0</v>
      </c>
      <c r="C3" s="77">
        <v>2.0833333333333332E-2</v>
      </c>
      <c r="F3" t="s">
        <v>721</v>
      </c>
      <c r="G3" s="81">
        <v>46142</v>
      </c>
    </row>
    <row r="5" spans="1:7">
      <c r="A5" s="80" t="s">
        <v>722</v>
      </c>
      <c r="B5" s="80" t="s">
        <v>27</v>
      </c>
      <c r="C5" s="80" t="s">
        <v>719</v>
      </c>
      <c r="D5" s="80" t="s">
        <v>721</v>
      </c>
    </row>
    <row r="6" spans="1:7">
      <c r="A6" t="s">
        <v>723</v>
      </c>
      <c r="B6" s="82" cm="1">
        <f t="array" aca="1" ref="B6" ca="1">IFERROR(
 AVERAGE(
   _xlfn._xlws.FILTER(
     INDIRECT("'"&amp;A6&amp;"'!X3:X1000"),
     (INDIRECT("'"&amp;A6&amp;"'!A3:A1000")&gt;=C6)*
     (INDIRECT("'"&amp;A6&amp;"'!A3:A1000")&lt;=D6)*
     (INDIRECT("'"&amp;A6&amp;"'!X3:X1000")&gt;0)
   )
 ),
"")</f>
        <v>0.89069555952662527</v>
      </c>
      <c r="C6" s="81">
        <f>$G$2</f>
        <v>46113</v>
      </c>
      <c r="D6" s="81">
        <f>$G$3</f>
        <v>46142</v>
      </c>
    </row>
    <row r="7" spans="1:7">
      <c r="A7" t="s">
        <v>724</v>
      </c>
      <c r="B7" s="82" cm="1">
        <f t="array" aca="1" ref="B7" ca="1">IFERROR(
 AVERAGE(
   _xlfn._xlws.FILTER(
     INDIRECT("'"&amp;A7&amp;"'!X3:X1000"),
     (INDIRECT("'"&amp;A7&amp;"'!A3:A1000")&gt;=C7)*
     (INDIRECT("'"&amp;A7&amp;"'!A3:A1000")&lt;=D7)*
     (INDIRECT("'"&amp;A7&amp;"'!X3:X1000")&gt;0)
   )
 ),
"")</f>
        <v>0.90139981161334715</v>
      </c>
      <c r="C7" s="81">
        <f>$G$2</f>
        <v>46113</v>
      </c>
      <c r="D7" s="81">
        <f>$G$3</f>
        <v>46142</v>
      </c>
    </row>
    <row r="8" spans="1:7">
      <c r="A8" t="s">
        <v>725</v>
      </c>
      <c r="B8" s="82" cm="1">
        <f t="array" aca="1" ref="B8" ca="1">IFERROR(
 AVERAGE(
   _xlfn._xlws.FILTER(
     INDIRECT("'"&amp;A8&amp;"'!X3:X1000"),
     (INDIRECT("'"&amp;A8&amp;"'!A3:A1000")&gt;=C8)*
     (INDIRECT("'"&amp;A8&amp;"'!A3:A1000")&lt;=D8)*
     (INDIRECT("'"&amp;A8&amp;"'!X3:X1000")&gt;0)
   )
 ),
"")</f>
        <v>1.0869981110783524</v>
      </c>
      <c r="C8" s="81">
        <f>$G$2</f>
        <v>46113</v>
      </c>
      <c r="D8" s="81">
        <f>$G$3</f>
        <v>46142</v>
      </c>
    </row>
    <row r="11" spans="1:7">
      <c r="A11" s="80" t="s">
        <v>722</v>
      </c>
      <c r="B11" s="80" t="s">
        <v>27</v>
      </c>
      <c r="C11" s="80" t="s">
        <v>719</v>
      </c>
      <c r="D11" s="80" t="s">
        <v>721</v>
      </c>
    </row>
    <row r="12" spans="1:7">
      <c r="A12" t="s">
        <v>726</v>
      </c>
      <c r="B12" s="82" t="str" cm="1">
        <f t="array" aca="1" ref="B12" ca="1">IFERROR(
 AVERAGE(
   _xlfn._xlws.FILTER(
     INDIRECT("'"&amp;A12&amp;"'!R3:R1000"),
     (INDIRECT("'"&amp;A12&amp;"'!A3:A1000")&gt;=C12)*
     (INDIRECT("'"&amp;A12&amp;"'!A3:A1000")&lt;=D12)*
     (INDIRECT("'"&amp;A12&amp;"'!R3:R1000")&gt;0)
   )
 ),
"")</f>
        <v/>
      </c>
      <c r="C12" s="81">
        <f t="shared" ref="C12:C24" si="0">$G$2</f>
        <v>46113</v>
      </c>
      <c r="D12" s="81">
        <f t="shared" ref="D12:D24" si="1">$G$3</f>
        <v>46142</v>
      </c>
    </row>
    <row r="13" spans="1:7">
      <c r="A13" t="s">
        <v>727</v>
      </c>
      <c r="B13" s="82" cm="1">
        <f t="array" aca="1" ref="B13" ca="1">IFERROR(
 AVERAGE(
   _xlfn._xlws.FILTER(
     INDIRECT("'"&amp;A13&amp;"'!R3:R1000"),
     (INDIRECT("'"&amp;A13&amp;"'!A3:A1000")&gt;=C13)*
     (INDIRECT("'"&amp;A13&amp;"'!A3:A1000")&lt;=D13)*
     (INDIRECT("'"&amp;A13&amp;"'!R3:R1000")&gt;0)
   )
 ),
"")</f>
        <v>0.48318015832268163</v>
      </c>
      <c r="C13" s="81">
        <f t="shared" si="0"/>
        <v>46113</v>
      </c>
      <c r="D13" s="81">
        <f t="shared" si="1"/>
        <v>46142</v>
      </c>
    </row>
    <row r="14" spans="1:7">
      <c r="A14" t="s">
        <v>728</v>
      </c>
      <c r="B14" s="82" cm="1">
        <f t="array" aca="1" ref="B14" ca="1">IFERROR(
 AVERAGE(
   _xlfn._xlws.FILTER(
     INDIRECT("'"&amp;A14&amp;"'!R3:R1000"),
     (INDIRECT("'"&amp;A14&amp;"'!A3:A1000")&gt;=C14)*
     (INDIRECT("'"&amp;A14&amp;"'!A3:A1000")&lt;=D14)*
     (INDIRECT("'"&amp;A14&amp;"'!R3:R1000")&gt;0)
   )
 ),
"")</f>
        <v>0.50529411764705878</v>
      </c>
      <c r="C14" s="81">
        <f t="shared" si="0"/>
        <v>46113</v>
      </c>
      <c r="D14" s="81">
        <f t="shared" si="1"/>
        <v>46142</v>
      </c>
    </row>
    <row r="15" spans="1:7">
      <c r="A15" t="s">
        <v>729</v>
      </c>
      <c r="B15" s="82" cm="1">
        <f t="array" aca="1" ref="B15" ca="1">IFERROR(
 AVERAGE(
   _xlfn._xlws.FILTER(
     INDIRECT("'"&amp;A15&amp;"'!R3:R1000"),
     (INDIRECT("'"&amp;A15&amp;"'!A3:A1000")&gt;=C15)*
     (INDIRECT("'"&amp;A15&amp;"'!A3:A1000")&lt;=D15)*
     (INDIRECT("'"&amp;A15&amp;"'!R3:R1000")&gt;0)
   )
 ),
"")</f>
        <v>0.97771327994072976</v>
      </c>
      <c r="C15" s="81">
        <f t="shared" si="0"/>
        <v>46113</v>
      </c>
      <c r="D15" s="81">
        <f t="shared" si="1"/>
        <v>46142</v>
      </c>
    </row>
    <row r="16" spans="1:7">
      <c r="A16" t="s">
        <v>730</v>
      </c>
      <c r="B16" s="82" cm="1">
        <f t="array" aca="1" ref="B16" ca="1">IFERROR(
 AVERAGE(
   _xlfn._xlws.FILTER(
     INDIRECT("'"&amp;A16&amp;"'!S3:S1000"),
     (INDIRECT("'"&amp;A16&amp;"'!A3:A1000")&gt;=C16)*
     (INDIRECT("'"&amp;A16&amp;"'!A3:A1000")&lt;=D16)*
     (INDIRECT("'"&amp;A16&amp;"'!S3:S1000")&gt;0)
   )
 ),
"")</f>
        <v>0.86401704894916687</v>
      </c>
      <c r="C16" s="81">
        <f t="shared" si="0"/>
        <v>46113</v>
      </c>
      <c r="D16" s="81">
        <f t="shared" si="1"/>
        <v>46142</v>
      </c>
    </row>
    <row r="17" spans="1:4">
      <c r="A17" t="s">
        <v>731</v>
      </c>
      <c r="B17" s="82" t="str" cm="1">
        <f t="array" aca="1" ref="B17" ca="1">IFERROR(
 AVERAGE(
   _xlfn._xlws.FILTER(
     INDIRECT("'"&amp;A17&amp;"'!R3:R1000"),
     (INDIRECT("'"&amp;A17&amp;"'!A3:A1000")&gt;=C17)*
     (INDIRECT("'"&amp;A17&amp;"'!A3:A1000")&lt;=D17)*
     (INDIRECT("'"&amp;A17&amp;"'!R3:R1000")&gt;0)
   )
 ),
"")</f>
        <v/>
      </c>
      <c r="C17" s="81">
        <f t="shared" si="0"/>
        <v>46113</v>
      </c>
      <c r="D17" s="81">
        <f t="shared" si="1"/>
        <v>46142</v>
      </c>
    </row>
    <row r="18" spans="1:4">
      <c r="A18" t="s">
        <v>732</v>
      </c>
      <c r="B18" s="82" cm="1">
        <f t="array" aca="1" ref="B18" ca="1">IFERROR(
 AVERAGE(
   _xlfn._xlws.FILTER(
     INDIRECT("'"&amp;A18&amp;"'!R3:R1000"),
     (INDIRECT("'"&amp;A18&amp;"'!A3:A1000")&gt;=C18)*
     (INDIRECT("'"&amp;A18&amp;"'!A3:A1000")&lt;=D18)*
     (INDIRECT("'"&amp;A18&amp;"'!R3:R1000")&gt;0)
   )
 ),
"")</f>
        <v>1.1272688015406362</v>
      </c>
      <c r="C18" s="81">
        <f t="shared" si="0"/>
        <v>46113</v>
      </c>
      <c r="D18" s="81">
        <f t="shared" si="1"/>
        <v>46142</v>
      </c>
    </row>
    <row r="19" spans="1:4">
      <c r="A19" t="s">
        <v>733</v>
      </c>
      <c r="B19" s="82" cm="1">
        <f t="array" aca="1" ref="B19" ca="1">IFERROR(
 AVERAGE(
   _xlfn._xlws.FILTER(
     INDIRECT("'"&amp;A19&amp;"'!R3:R1000"),
     (INDIRECT("'"&amp;A19&amp;"'!A3:A1000")&gt;=C19)*
     (INDIRECT("'"&amp;A19&amp;"'!A3:A1000")&lt;=D19)*
     (INDIRECT("'"&amp;A19&amp;"'!R3:R1000")&gt;0)
   )
 ),
"")</f>
        <v>0.70833333333333304</v>
      </c>
      <c r="C19" s="81">
        <f t="shared" si="0"/>
        <v>46113</v>
      </c>
      <c r="D19" s="81">
        <f t="shared" si="1"/>
        <v>46142</v>
      </c>
    </row>
    <row r="20" spans="1:4">
      <c r="A20" t="s">
        <v>734</v>
      </c>
      <c r="B20" s="82" t="str" cm="1">
        <f t="array" aca="1" ref="B20" ca="1">IFERROR(
 AVERAGE(
   _xlfn._xlws.FILTER(
     INDIRECT("'"&amp;A20&amp;"'!R3:R1000"),
     (INDIRECT("'"&amp;A20&amp;"'!A3:A1000")&gt;=C20)*
     (INDIRECT("'"&amp;A20&amp;"'!A3:A1000")&lt;=D20)*
     (INDIRECT("'"&amp;A20&amp;"'!R3:R1000")&gt;0)
   )
 ),
"")</f>
        <v/>
      </c>
      <c r="C20" s="81">
        <f t="shared" si="0"/>
        <v>46113</v>
      </c>
      <c r="D20" s="81">
        <f t="shared" si="1"/>
        <v>46142</v>
      </c>
    </row>
    <row r="21" spans="1:4">
      <c r="A21" t="s">
        <v>735</v>
      </c>
      <c r="B21" s="82" t="str" cm="1">
        <f t="array" aca="1" ref="B21" ca="1">IFERROR(
 AVERAGE(
   _xlfn._xlws.FILTER(
     INDIRECT("'"&amp;A21&amp;"'!R3:R1000"),
     (INDIRECT("'"&amp;A21&amp;"'!A3:A1000")&gt;=C21)*
     (INDIRECT("'"&amp;A21&amp;"'!A3:A1000")&lt;=D21)*
     (INDIRECT("'"&amp;A21&amp;"'!R3:R1000")&gt;0)
   )
 ),
"")</f>
        <v/>
      </c>
      <c r="C21" s="81">
        <f t="shared" si="0"/>
        <v>46113</v>
      </c>
      <c r="D21" s="81">
        <f t="shared" si="1"/>
        <v>46142</v>
      </c>
    </row>
    <row r="22" spans="1:4">
      <c r="A22" t="s">
        <v>736</v>
      </c>
      <c r="B22" s="82" t="str" cm="1">
        <f t="array" aca="1" ref="B22" ca="1">IFERROR(
 AVERAGE(
   _xlfn._xlws.FILTER(
     INDIRECT("'"&amp;A22&amp;"'!R3:R1000"),
     (INDIRECT("'"&amp;A22&amp;"'!A3:A1000")&gt;=C22)*
     (INDIRECT("'"&amp;A22&amp;"'!A3:A1000")&lt;=D22)*
     (INDIRECT("'"&amp;A22&amp;"'!R3:R1000")&gt;0)
   )
 ),
"")</f>
        <v/>
      </c>
      <c r="C22" s="81">
        <f t="shared" si="0"/>
        <v>46113</v>
      </c>
      <c r="D22" s="81">
        <f t="shared" si="1"/>
        <v>46142</v>
      </c>
    </row>
    <row r="23" spans="1:4">
      <c r="A23" t="s">
        <v>737</v>
      </c>
      <c r="B23" s="82" t="str" cm="1">
        <f t="array" aca="1" ref="B23" ca="1">IFERROR(
 AVERAGE(
   _xlfn._xlws.FILTER(
     INDIRECT("'"&amp;A23&amp;"'!R3:R1000"),
     (INDIRECT("'"&amp;A23&amp;"'!A3:A1000")&gt;=C23)*
     (INDIRECT("'"&amp;A23&amp;"'!A3:A1000")&lt;=D23)*
     (INDIRECT("'"&amp;A23&amp;"'!R3:R1000")&gt;0)
   )
 ),
"")</f>
        <v/>
      </c>
      <c r="C23" s="81">
        <f t="shared" si="0"/>
        <v>46113</v>
      </c>
      <c r="D23" s="81">
        <f t="shared" si="1"/>
        <v>46142</v>
      </c>
    </row>
    <row r="24" spans="1:4">
      <c r="A24" t="s">
        <v>738</v>
      </c>
      <c r="B24" s="82" cm="1">
        <f t="array" aca="1" ref="B24" ca="1">IFERROR(
 AVERAGE(
   _xlfn._xlws.FILTER(
     INDIRECT("'"&amp;A24&amp;"'!R3:R1000"),
     (INDIRECT("'"&amp;A24&amp;"'!A3:A1000")&gt;=C24)*
     (INDIRECT("'"&amp;A24&amp;"'!A3:A1000")&lt;=D24)*
     (INDIRECT("'"&amp;A24&amp;"'!R3:R1000")&gt;0)
   )
 ),
"")</f>
        <v>5.2210130743060095</v>
      </c>
      <c r="C24" s="81">
        <f t="shared" si="0"/>
        <v>46113</v>
      </c>
      <c r="D24" s="81">
        <f t="shared" si="1"/>
        <v>46142</v>
      </c>
    </row>
  </sheetData>
  <sheetProtection sheet="1" objects="1" scenarios="1"/>
  <protectedRanges>
    <protectedRange sqref="G2:G3" name="Range1"/>
  </protectedRange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D8199-BBCC-4E47-837E-7D0FFC69A66C}">
  <dimension ref="A1:F400"/>
  <sheetViews>
    <sheetView workbookViewId="0">
      <pane ySplit="1" topLeftCell="A2" activePane="bottomLeft" state="frozen"/>
      <selection pane="bottomLeft" activeCell="F3" sqref="F3"/>
    </sheetView>
  </sheetViews>
  <sheetFormatPr defaultColWidth="9.1796875" defaultRowHeight="24.75" customHeight="1"/>
  <cols>
    <col min="1" max="1" width="13.1796875" style="1" customWidth="1"/>
    <col min="2" max="2" width="22.453125" style="1" customWidth="1"/>
    <col min="3" max="3" width="12.26953125" style="1" customWidth="1"/>
    <col min="4" max="4" width="11.7265625" style="1" customWidth="1"/>
    <col min="5" max="5" width="13.453125" style="1" bestFit="1" customWidth="1"/>
    <col min="6" max="6" width="59.81640625" style="1" customWidth="1"/>
    <col min="7" max="16384" width="9.1796875" style="1"/>
  </cols>
  <sheetData>
    <row r="1" spans="1:6" ht="24.75" customHeight="1">
      <c r="A1" s="42" t="s">
        <v>4</v>
      </c>
      <c r="B1" s="42" t="s">
        <v>739</v>
      </c>
      <c r="C1" s="42" t="s">
        <v>8</v>
      </c>
      <c r="D1" s="42" t="s">
        <v>9</v>
      </c>
      <c r="E1" s="43" t="s">
        <v>740</v>
      </c>
      <c r="F1" s="42" t="s">
        <v>31</v>
      </c>
    </row>
    <row r="2" spans="1:6" ht="24.75" customHeight="1">
      <c r="A2" s="8">
        <v>46121</v>
      </c>
      <c r="B2" s="1" t="s">
        <v>741</v>
      </c>
      <c r="C2" s="44">
        <v>0.29166666666666669</v>
      </c>
      <c r="D2" s="44">
        <v>0.34375</v>
      </c>
      <c r="E2" s="45">
        <f t="shared" ref="E2:E65" si="0">(D2-C2)*24</f>
        <v>1.2499999999999996</v>
      </c>
      <c r="F2" s="1" t="s">
        <v>742</v>
      </c>
    </row>
    <row r="3" spans="1:6" ht="24.75" customHeight="1">
      <c r="A3" s="8">
        <v>46125</v>
      </c>
      <c r="B3" s="1" t="s">
        <v>743</v>
      </c>
      <c r="C3" s="44">
        <v>0.47916666666666669</v>
      </c>
      <c r="D3" s="44">
        <v>0.54166666666666663</v>
      </c>
      <c r="E3" s="45">
        <f t="shared" si="0"/>
        <v>1.4999999999999987</v>
      </c>
      <c r="F3" s="1" t="s">
        <v>744</v>
      </c>
    </row>
    <row r="4" spans="1:6" ht="24.75" customHeight="1">
      <c r="A4" s="8"/>
      <c r="C4" s="44"/>
      <c r="D4" s="44"/>
      <c r="E4" s="45">
        <f t="shared" si="0"/>
        <v>0</v>
      </c>
    </row>
    <row r="5" spans="1:6" ht="24.75" customHeight="1">
      <c r="A5" s="8"/>
      <c r="C5" s="44"/>
      <c r="D5" s="44"/>
      <c r="E5" s="45">
        <f t="shared" si="0"/>
        <v>0</v>
      </c>
    </row>
    <row r="6" spans="1:6" ht="24.75" customHeight="1">
      <c r="A6" s="8"/>
      <c r="C6" s="44"/>
      <c r="D6" s="44"/>
      <c r="E6" s="45">
        <f t="shared" si="0"/>
        <v>0</v>
      </c>
    </row>
    <row r="7" spans="1:6" ht="24.75" customHeight="1">
      <c r="A7" s="8"/>
      <c r="C7" s="44"/>
      <c r="D7" s="44"/>
      <c r="E7" s="45">
        <f t="shared" si="0"/>
        <v>0</v>
      </c>
    </row>
    <row r="8" spans="1:6" ht="24.75" customHeight="1">
      <c r="A8" s="8"/>
      <c r="C8" s="44"/>
      <c r="D8" s="44"/>
      <c r="E8" s="45">
        <f t="shared" si="0"/>
        <v>0</v>
      </c>
    </row>
    <row r="9" spans="1:6" ht="24.75" customHeight="1">
      <c r="A9" s="8"/>
      <c r="C9" s="44"/>
      <c r="D9" s="44"/>
      <c r="E9" s="45">
        <f t="shared" si="0"/>
        <v>0</v>
      </c>
    </row>
    <row r="10" spans="1:6" ht="24.75" customHeight="1">
      <c r="A10" s="8"/>
      <c r="C10" s="44"/>
      <c r="D10" s="44"/>
      <c r="E10" s="45">
        <f t="shared" si="0"/>
        <v>0</v>
      </c>
    </row>
    <row r="11" spans="1:6" ht="24.75" customHeight="1">
      <c r="A11" s="8"/>
      <c r="C11" s="44"/>
      <c r="D11" s="44"/>
      <c r="E11" s="45">
        <f t="shared" si="0"/>
        <v>0</v>
      </c>
    </row>
    <row r="12" spans="1:6" ht="24.75" customHeight="1">
      <c r="A12" s="8"/>
      <c r="C12" s="44"/>
      <c r="D12" s="44"/>
      <c r="E12" s="45">
        <f t="shared" si="0"/>
        <v>0</v>
      </c>
    </row>
    <row r="13" spans="1:6" ht="24.75" customHeight="1">
      <c r="A13" s="8"/>
      <c r="C13" s="44"/>
      <c r="D13" s="44"/>
      <c r="E13" s="45">
        <f t="shared" si="0"/>
        <v>0</v>
      </c>
    </row>
    <row r="14" spans="1:6" ht="24.75" customHeight="1">
      <c r="A14" s="8"/>
      <c r="C14" s="44"/>
      <c r="D14" s="44"/>
      <c r="E14" s="45">
        <f t="shared" si="0"/>
        <v>0</v>
      </c>
    </row>
    <row r="15" spans="1:6" ht="24.75" customHeight="1">
      <c r="A15" s="8"/>
      <c r="C15" s="44"/>
      <c r="D15" s="44"/>
      <c r="E15" s="45">
        <f t="shared" si="0"/>
        <v>0</v>
      </c>
    </row>
    <row r="16" spans="1:6" ht="24.75" customHeight="1">
      <c r="A16" s="8"/>
      <c r="C16" s="44"/>
      <c r="D16" s="44"/>
      <c r="E16" s="45">
        <f t="shared" si="0"/>
        <v>0</v>
      </c>
    </row>
    <row r="17" spans="1:5" ht="24.75" customHeight="1">
      <c r="A17" s="8"/>
      <c r="C17" s="44"/>
      <c r="D17" s="44"/>
      <c r="E17" s="45">
        <f t="shared" si="0"/>
        <v>0</v>
      </c>
    </row>
    <row r="18" spans="1:5" ht="24.75" customHeight="1">
      <c r="A18" s="8"/>
      <c r="C18" s="44"/>
      <c r="D18" s="44"/>
      <c r="E18" s="45">
        <f t="shared" si="0"/>
        <v>0</v>
      </c>
    </row>
    <row r="19" spans="1:5" ht="24.75" customHeight="1">
      <c r="A19" s="8"/>
      <c r="C19" s="44"/>
      <c r="D19" s="44"/>
      <c r="E19" s="45">
        <f t="shared" si="0"/>
        <v>0</v>
      </c>
    </row>
    <row r="20" spans="1:5" ht="24.75" customHeight="1">
      <c r="A20" s="8"/>
      <c r="C20" s="44"/>
      <c r="D20" s="44"/>
      <c r="E20" s="45">
        <f t="shared" si="0"/>
        <v>0</v>
      </c>
    </row>
    <row r="21" spans="1:5" ht="24.75" customHeight="1">
      <c r="A21" s="8"/>
      <c r="C21" s="44"/>
      <c r="D21" s="44"/>
      <c r="E21" s="45">
        <f t="shared" si="0"/>
        <v>0</v>
      </c>
    </row>
    <row r="22" spans="1:5" ht="24.75" customHeight="1">
      <c r="A22" s="8"/>
      <c r="C22" s="44"/>
      <c r="D22" s="44"/>
      <c r="E22" s="45">
        <f t="shared" si="0"/>
        <v>0</v>
      </c>
    </row>
    <row r="23" spans="1:5" ht="24.75" customHeight="1">
      <c r="A23" s="8"/>
      <c r="C23" s="44"/>
      <c r="D23" s="44"/>
      <c r="E23" s="45">
        <f t="shared" si="0"/>
        <v>0</v>
      </c>
    </row>
    <row r="24" spans="1:5" ht="24.75" customHeight="1">
      <c r="A24" s="8"/>
      <c r="C24" s="44"/>
      <c r="D24" s="44"/>
      <c r="E24" s="45">
        <f t="shared" si="0"/>
        <v>0</v>
      </c>
    </row>
    <row r="25" spans="1:5" ht="24.75" customHeight="1">
      <c r="A25" s="8"/>
      <c r="C25" s="44"/>
      <c r="D25" s="44"/>
      <c r="E25" s="45">
        <f t="shared" si="0"/>
        <v>0</v>
      </c>
    </row>
    <row r="26" spans="1:5" ht="24.75" customHeight="1">
      <c r="A26" s="8"/>
      <c r="C26" s="44"/>
      <c r="D26" s="44"/>
      <c r="E26" s="45">
        <f t="shared" si="0"/>
        <v>0</v>
      </c>
    </row>
    <row r="27" spans="1:5" ht="24.75" customHeight="1">
      <c r="A27" s="8"/>
      <c r="C27" s="44"/>
      <c r="D27" s="44"/>
      <c r="E27" s="45">
        <f t="shared" si="0"/>
        <v>0</v>
      </c>
    </row>
    <row r="28" spans="1:5" ht="24.75" customHeight="1">
      <c r="A28" s="8"/>
      <c r="C28" s="44"/>
      <c r="D28" s="44"/>
      <c r="E28" s="45">
        <f t="shared" si="0"/>
        <v>0</v>
      </c>
    </row>
    <row r="29" spans="1:5" ht="24.75" customHeight="1">
      <c r="A29" s="8"/>
      <c r="C29" s="44"/>
      <c r="D29" s="44"/>
      <c r="E29" s="45">
        <f t="shared" si="0"/>
        <v>0</v>
      </c>
    </row>
    <row r="30" spans="1:5" ht="24.75" customHeight="1">
      <c r="A30" s="8"/>
      <c r="C30" s="44"/>
      <c r="D30" s="44"/>
      <c r="E30" s="45">
        <f t="shared" si="0"/>
        <v>0</v>
      </c>
    </row>
    <row r="31" spans="1:5" ht="24.75" customHeight="1">
      <c r="A31" s="8"/>
      <c r="C31" s="44"/>
      <c r="D31" s="44"/>
      <c r="E31" s="45">
        <f t="shared" si="0"/>
        <v>0</v>
      </c>
    </row>
    <row r="32" spans="1:5" ht="24.75" customHeight="1">
      <c r="A32" s="8"/>
      <c r="C32" s="44"/>
      <c r="D32" s="44"/>
      <c r="E32" s="45">
        <f t="shared" si="0"/>
        <v>0</v>
      </c>
    </row>
    <row r="33" spans="1:5" ht="24.75" customHeight="1">
      <c r="A33" s="8"/>
      <c r="C33" s="44"/>
      <c r="D33" s="44"/>
      <c r="E33" s="45">
        <f t="shared" si="0"/>
        <v>0</v>
      </c>
    </row>
    <row r="34" spans="1:5" ht="24.75" customHeight="1">
      <c r="A34" s="8"/>
      <c r="C34" s="44"/>
      <c r="D34" s="44"/>
      <c r="E34" s="45">
        <f t="shared" si="0"/>
        <v>0</v>
      </c>
    </row>
    <row r="35" spans="1:5" ht="24.75" customHeight="1">
      <c r="A35" s="8"/>
      <c r="C35" s="44"/>
      <c r="D35" s="44"/>
      <c r="E35" s="45">
        <f t="shared" si="0"/>
        <v>0</v>
      </c>
    </row>
    <row r="36" spans="1:5" ht="24.75" customHeight="1">
      <c r="A36" s="8"/>
      <c r="C36" s="44"/>
      <c r="D36" s="44"/>
      <c r="E36" s="45">
        <f t="shared" si="0"/>
        <v>0</v>
      </c>
    </row>
    <row r="37" spans="1:5" ht="24.75" customHeight="1">
      <c r="A37" s="8"/>
      <c r="C37" s="44"/>
      <c r="D37" s="44"/>
      <c r="E37" s="45">
        <f t="shared" si="0"/>
        <v>0</v>
      </c>
    </row>
    <row r="38" spans="1:5" ht="24.75" customHeight="1">
      <c r="A38" s="8"/>
      <c r="C38" s="44"/>
      <c r="D38" s="44"/>
      <c r="E38" s="45">
        <f t="shared" si="0"/>
        <v>0</v>
      </c>
    </row>
    <row r="39" spans="1:5" ht="24.75" customHeight="1">
      <c r="A39" s="8"/>
      <c r="C39" s="44"/>
      <c r="D39" s="44"/>
      <c r="E39" s="45">
        <f t="shared" si="0"/>
        <v>0</v>
      </c>
    </row>
    <row r="40" spans="1:5" ht="24.75" customHeight="1">
      <c r="A40" s="8"/>
      <c r="C40" s="44"/>
      <c r="D40" s="44"/>
      <c r="E40" s="45">
        <f t="shared" si="0"/>
        <v>0</v>
      </c>
    </row>
    <row r="41" spans="1:5" ht="24.75" customHeight="1">
      <c r="A41" s="8"/>
      <c r="C41" s="44"/>
      <c r="D41" s="44"/>
      <c r="E41" s="45">
        <f t="shared" si="0"/>
        <v>0</v>
      </c>
    </row>
    <row r="42" spans="1:5" ht="24.75" customHeight="1">
      <c r="A42" s="8"/>
      <c r="C42" s="44"/>
      <c r="D42" s="44"/>
      <c r="E42" s="45">
        <f t="shared" si="0"/>
        <v>0</v>
      </c>
    </row>
    <row r="43" spans="1:5" ht="24.75" customHeight="1">
      <c r="A43" s="8"/>
      <c r="C43" s="44"/>
      <c r="D43" s="44"/>
      <c r="E43" s="45">
        <f t="shared" si="0"/>
        <v>0</v>
      </c>
    </row>
    <row r="44" spans="1:5" ht="24.75" customHeight="1">
      <c r="A44" s="8"/>
      <c r="C44" s="44"/>
      <c r="D44" s="44"/>
      <c r="E44" s="45">
        <f t="shared" si="0"/>
        <v>0</v>
      </c>
    </row>
    <row r="45" spans="1:5" ht="24.75" customHeight="1">
      <c r="A45" s="8"/>
      <c r="C45" s="44"/>
      <c r="D45" s="44"/>
      <c r="E45" s="45">
        <f t="shared" si="0"/>
        <v>0</v>
      </c>
    </row>
    <row r="46" spans="1:5" ht="24.75" customHeight="1">
      <c r="A46" s="8"/>
      <c r="C46" s="44"/>
      <c r="D46" s="44"/>
      <c r="E46" s="45">
        <f t="shared" si="0"/>
        <v>0</v>
      </c>
    </row>
    <row r="47" spans="1:5" ht="24.75" customHeight="1">
      <c r="A47" s="8"/>
      <c r="C47" s="44"/>
      <c r="D47" s="44"/>
      <c r="E47" s="45">
        <f t="shared" si="0"/>
        <v>0</v>
      </c>
    </row>
    <row r="48" spans="1:5" ht="24.75" customHeight="1">
      <c r="A48" s="8"/>
      <c r="C48" s="44"/>
      <c r="D48" s="44"/>
      <c r="E48" s="45">
        <f t="shared" si="0"/>
        <v>0</v>
      </c>
    </row>
    <row r="49" spans="1:5" ht="24.75" customHeight="1">
      <c r="A49" s="8"/>
      <c r="C49" s="44"/>
      <c r="D49" s="44"/>
      <c r="E49" s="45">
        <f t="shared" si="0"/>
        <v>0</v>
      </c>
    </row>
    <row r="50" spans="1:5" ht="24.75" customHeight="1">
      <c r="A50" s="8"/>
      <c r="C50" s="44"/>
      <c r="D50" s="44"/>
      <c r="E50" s="45">
        <f t="shared" si="0"/>
        <v>0</v>
      </c>
    </row>
    <row r="51" spans="1:5" ht="24.75" customHeight="1">
      <c r="A51" s="8"/>
      <c r="C51" s="44"/>
      <c r="D51" s="44"/>
      <c r="E51" s="45">
        <f t="shared" si="0"/>
        <v>0</v>
      </c>
    </row>
    <row r="52" spans="1:5" ht="24.75" customHeight="1">
      <c r="A52" s="8"/>
      <c r="C52" s="44"/>
      <c r="D52" s="44"/>
      <c r="E52" s="45">
        <f t="shared" si="0"/>
        <v>0</v>
      </c>
    </row>
    <row r="53" spans="1:5" ht="24.75" customHeight="1">
      <c r="A53" s="8"/>
      <c r="C53" s="44"/>
      <c r="D53" s="44"/>
      <c r="E53" s="45">
        <f t="shared" si="0"/>
        <v>0</v>
      </c>
    </row>
    <row r="54" spans="1:5" ht="24.75" customHeight="1">
      <c r="A54" s="8"/>
      <c r="C54" s="44"/>
      <c r="D54" s="44"/>
      <c r="E54" s="45">
        <f t="shared" si="0"/>
        <v>0</v>
      </c>
    </row>
    <row r="55" spans="1:5" ht="24.75" customHeight="1">
      <c r="A55" s="8"/>
      <c r="C55" s="44"/>
      <c r="D55" s="44"/>
      <c r="E55" s="45">
        <f t="shared" si="0"/>
        <v>0</v>
      </c>
    </row>
    <row r="56" spans="1:5" ht="24.75" customHeight="1">
      <c r="A56" s="8"/>
      <c r="C56" s="44"/>
      <c r="D56" s="44"/>
      <c r="E56" s="45">
        <f t="shared" si="0"/>
        <v>0</v>
      </c>
    </row>
    <row r="57" spans="1:5" ht="24.75" customHeight="1">
      <c r="A57" s="8"/>
      <c r="C57" s="44"/>
      <c r="D57" s="44"/>
      <c r="E57" s="45">
        <f t="shared" si="0"/>
        <v>0</v>
      </c>
    </row>
    <row r="58" spans="1:5" ht="24.75" customHeight="1">
      <c r="A58" s="8"/>
      <c r="C58" s="44"/>
      <c r="D58" s="44"/>
      <c r="E58" s="45">
        <f t="shared" si="0"/>
        <v>0</v>
      </c>
    </row>
    <row r="59" spans="1:5" ht="24.75" customHeight="1">
      <c r="A59" s="8"/>
      <c r="C59" s="44"/>
      <c r="D59" s="44"/>
      <c r="E59" s="45">
        <f t="shared" si="0"/>
        <v>0</v>
      </c>
    </row>
    <row r="60" spans="1:5" ht="24.75" customHeight="1">
      <c r="A60" s="8"/>
      <c r="C60" s="44"/>
      <c r="D60" s="44"/>
      <c r="E60" s="45">
        <f t="shared" si="0"/>
        <v>0</v>
      </c>
    </row>
    <row r="61" spans="1:5" ht="24.75" customHeight="1">
      <c r="A61" s="8"/>
      <c r="C61" s="44"/>
      <c r="D61" s="44"/>
      <c r="E61" s="45">
        <f t="shared" si="0"/>
        <v>0</v>
      </c>
    </row>
    <row r="62" spans="1:5" ht="24.75" customHeight="1">
      <c r="A62" s="8"/>
      <c r="C62" s="44"/>
      <c r="D62" s="44"/>
      <c r="E62" s="45">
        <f t="shared" si="0"/>
        <v>0</v>
      </c>
    </row>
    <row r="63" spans="1:5" ht="24.75" customHeight="1">
      <c r="A63" s="8"/>
      <c r="C63" s="44"/>
      <c r="D63" s="44"/>
      <c r="E63" s="45">
        <f t="shared" si="0"/>
        <v>0</v>
      </c>
    </row>
    <row r="64" spans="1:5" ht="24.75" customHeight="1">
      <c r="A64" s="8"/>
      <c r="C64" s="44"/>
      <c r="D64" s="44"/>
      <c r="E64" s="45">
        <f t="shared" si="0"/>
        <v>0</v>
      </c>
    </row>
    <row r="65" spans="1:5" ht="24.75" customHeight="1">
      <c r="A65" s="8"/>
      <c r="C65" s="44"/>
      <c r="D65" s="44"/>
      <c r="E65" s="45">
        <f t="shared" si="0"/>
        <v>0</v>
      </c>
    </row>
    <row r="66" spans="1:5" ht="24.75" customHeight="1">
      <c r="A66" s="8"/>
      <c r="C66" s="44"/>
      <c r="D66" s="44"/>
      <c r="E66" s="45">
        <f t="shared" ref="E66:E129" si="1">(D66-C66)*24</f>
        <v>0</v>
      </c>
    </row>
    <row r="67" spans="1:5" ht="24.75" customHeight="1">
      <c r="A67" s="8"/>
      <c r="C67" s="44"/>
      <c r="D67" s="44"/>
      <c r="E67" s="45">
        <f t="shared" si="1"/>
        <v>0</v>
      </c>
    </row>
    <row r="68" spans="1:5" ht="24.75" customHeight="1">
      <c r="A68" s="8"/>
      <c r="C68" s="44"/>
      <c r="D68" s="44"/>
      <c r="E68" s="45">
        <f t="shared" si="1"/>
        <v>0</v>
      </c>
    </row>
    <row r="69" spans="1:5" ht="24.75" customHeight="1">
      <c r="A69" s="8"/>
      <c r="C69" s="44"/>
      <c r="D69" s="44"/>
      <c r="E69" s="45">
        <f t="shared" si="1"/>
        <v>0</v>
      </c>
    </row>
    <row r="70" spans="1:5" ht="24.75" customHeight="1">
      <c r="A70" s="8"/>
      <c r="C70" s="44"/>
      <c r="D70" s="44"/>
      <c r="E70" s="45">
        <f t="shared" si="1"/>
        <v>0</v>
      </c>
    </row>
    <row r="71" spans="1:5" ht="24.75" customHeight="1">
      <c r="A71" s="8"/>
      <c r="C71" s="44"/>
      <c r="D71" s="44"/>
      <c r="E71" s="45">
        <f t="shared" si="1"/>
        <v>0</v>
      </c>
    </row>
    <row r="72" spans="1:5" ht="24.75" customHeight="1">
      <c r="A72" s="8"/>
      <c r="C72" s="44"/>
      <c r="D72" s="44"/>
      <c r="E72" s="45">
        <f t="shared" si="1"/>
        <v>0</v>
      </c>
    </row>
    <row r="73" spans="1:5" ht="24.75" customHeight="1">
      <c r="A73" s="8"/>
      <c r="C73" s="44"/>
      <c r="D73" s="44"/>
      <c r="E73" s="45">
        <f t="shared" si="1"/>
        <v>0</v>
      </c>
    </row>
    <row r="74" spans="1:5" ht="24.75" customHeight="1">
      <c r="A74" s="8"/>
      <c r="C74" s="44"/>
      <c r="D74" s="44"/>
      <c r="E74" s="45">
        <f t="shared" si="1"/>
        <v>0</v>
      </c>
    </row>
    <row r="75" spans="1:5" ht="24.75" customHeight="1">
      <c r="A75" s="8"/>
      <c r="C75" s="44"/>
      <c r="D75" s="44"/>
      <c r="E75" s="45">
        <f t="shared" si="1"/>
        <v>0</v>
      </c>
    </row>
    <row r="76" spans="1:5" ht="24.75" customHeight="1">
      <c r="A76" s="8"/>
      <c r="C76" s="44"/>
      <c r="D76" s="44"/>
      <c r="E76" s="45">
        <f t="shared" si="1"/>
        <v>0</v>
      </c>
    </row>
    <row r="77" spans="1:5" ht="24.75" customHeight="1">
      <c r="A77" s="8"/>
      <c r="C77" s="44"/>
      <c r="D77" s="44"/>
      <c r="E77" s="45">
        <f t="shared" si="1"/>
        <v>0</v>
      </c>
    </row>
    <row r="78" spans="1:5" ht="24.75" customHeight="1">
      <c r="A78" s="8"/>
      <c r="C78" s="44"/>
      <c r="D78" s="44"/>
      <c r="E78" s="45">
        <f t="shared" si="1"/>
        <v>0</v>
      </c>
    </row>
    <row r="79" spans="1:5" ht="24.75" customHeight="1">
      <c r="A79" s="8"/>
      <c r="C79" s="44"/>
      <c r="D79" s="44"/>
      <c r="E79" s="45">
        <f t="shared" si="1"/>
        <v>0</v>
      </c>
    </row>
    <row r="80" spans="1:5" ht="24.75" customHeight="1">
      <c r="A80" s="8"/>
      <c r="C80" s="44"/>
      <c r="D80" s="44"/>
      <c r="E80" s="45">
        <f t="shared" si="1"/>
        <v>0</v>
      </c>
    </row>
    <row r="81" spans="1:5" ht="24.75" customHeight="1">
      <c r="A81" s="8"/>
      <c r="C81" s="44"/>
      <c r="D81" s="44"/>
      <c r="E81" s="45">
        <f t="shared" si="1"/>
        <v>0</v>
      </c>
    </row>
    <row r="82" spans="1:5" ht="24.75" customHeight="1">
      <c r="A82" s="8"/>
      <c r="C82" s="44"/>
      <c r="D82" s="44"/>
      <c r="E82" s="45">
        <f t="shared" si="1"/>
        <v>0</v>
      </c>
    </row>
    <row r="83" spans="1:5" ht="24.75" customHeight="1">
      <c r="A83" s="8"/>
      <c r="C83" s="44"/>
      <c r="D83" s="44"/>
      <c r="E83" s="45">
        <f t="shared" si="1"/>
        <v>0</v>
      </c>
    </row>
    <row r="84" spans="1:5" ht="24.75" customHeight="1">
      <c r="A84" s="8"/>
      <c r="C84" s="44"/>
      <c r="D84" s="44"/>
      <c r="E84" s="45">
        <f t="shared" si="1"/>
        <v>0</v>
      </c>
    </row>
    <row r="85" spans="1:5" ht="24.75" customHeight="1">
      <c r="A85" s="8"/>
      <c r="C85" s="44"/>
      <c r="D85" s="44"/>
      <c r="E85" s="45">
        <f t="shared" si="1"/>
        <v>0</v>
      </c>
    </row>
    <row r="86" spans="1:5" ht="24.75" customHeight="1">
      <c r="A86" s="8"/>
      <c r="C86" s="44"/>
      <c r="D86" s="44"/>
      <c r="E86" s="45">
        <f t="shared" si="1"/>
        <v>0</v>
      </c>
    </row>
    <row r="87" spans="1:5" ht="24.75" customHeight="1">
      <c r="A87" s="8"/>
      <c r="C87" s="44"/>
      <c r="D87" s="44"/>
      <c r="E87" s="45">
        <f t="shared" si="1"/>
        <v>0</v>
      </c>
    </row>
    <row r="88" spans="1:5" ht="24.75" customHeight="1">
      <c r="A88" s="8"/>
      <c r="C88" s="44"/>
      <c r="D88" s="44"/>
      <c r="E88" s="45">
        <f t="shared" si="1"/>
        <v>0</v>
      </c>
    </row>
    <row r="89" spans="1:5" ht="24.75" customHeight="1">
      <c r="A89" s="8"/>
      <c r="C89" s="44"/>
      <c r="D89" s="44"/>
      <c r="E89" s="45">
        <f t="shared" si="1"/>
        <v>0</v>
      </c>
    </row>
    <row r="90" spans="1:5" ht="24.75" customHeight="1">
      <c r="A90" s="8"/>
      <c r="C90" s="44"/>
      <c r="D90" s="44"/>
      <c r="E90" s="45">
        <f t="shared" si="1"/>
        <v>0</v>
      </c>
    </row>
    <row r="91" spans="1:5" ht="24.75" customHeight="1">
      <c r="A91" s="8"/>
      <c r="C91" s="44"/>
      <c r="D91" s="44"/>
      <c r="E91" s="45">
        <f t="shared" si="1"/>
        <v>0</v>
      </c>
    </row>
    <row r="92" spans="1:5" ht="24.75" customHeight="1">
      <c r="A92" s="8"/>
      <c r="C92" s="44"/>
      <c r="D92" s="44"/>
      <c r="E92" s="45">
        <f t="shared" si="1"/>
        <v>0</v>
      </c>
    </row>
    <row r="93" spans="1:5" ht="24.75" customHeight="1">
      <c r="A93" s="8"/>
      <c r="C93" s="44"/>
      <c r="D93" s="44"/>
      <c r="E93" s="45">
        <f t="shared" si="1"/>
        <v>0</v>
      </c>
    </row>
    <row r="94" spans="1:5" ht="24.75" customHeight="1">
      <c r="A94" s="8"/>
      <c r="C94" s="44"/>
      <c r="D94" s="44"/>
      <c r="E94" s="45">
        <f t="shared" si="1"/>
        <v>0</v>
      </c>
    </row>
    <row r="95" spans="1:5" ht="24.75" customHeight="1">
      <c r="A95" s="8"/>
      <c r="C95" s="44"/>
      <c r="D95" s="44"/>
      <c r="E95" s="45">
        <f t="shared" si="1"/>
        <v>0</v>
      </c>
    </row>
    <row r="96" spans="1:5" ht="24.75" customHeight="1">
      <c r="A96" s="8"/>
      <c r="C96" s="44"/>
      <c r="D96" s="44"/>
      <c r="E96" s="45">
        <f t="shared" si="1"/>
        <v>0</v>
      </c>
    </row>
    <row r="97" spans="1:5" ht="24.75" customHeight="1">
      <c r="A97" s="8"/>
      <c r="C97" s="44"/>
      <c r="D97" s="44"/>
      <c r="E97" s="45">
        <f t="shared" si="1"/>
        <v>0</v>
      </c>
    </row>
    <row r="98" spans="1:5" ht="24.75" customHeight="1">
      <c r="A98" s="8"/>
      <c r="C98" s="44"/>
      <c r="D98" s="44"/>
      <c r="E98" s="45">
        <f t="shared" si="1"/>
        <v>0</v>
      </c>
    </row>
    <row r="99" spans="1:5" ht="24.75" customHeight="1">
      <c r="A99" s="8"/>
      <c r="C99" s="44"/>
      <c r="D99" s="44"/>
      <c r="E99" s="45">
        <f t="shared" si="1"/>
        <v>0</v>
      </c>
    </row>
    <row r="100" spans="1:5" ht="24.75" customHeight="1">
      <c r="A100" s="8"/>
      <c r="C100" s="44"/>
      <c r="D100" s="44"/>
      <c r="E100" s="45">
        <f t="shared" si="1"/>
        <v>0</v>
      </c>
    </row>
    <row r="101" spans="1:5" ht="24.75" customHeight="1">
      <c r="A101" s="8"/>
      <c r="C101" s="44"/>
      <c r="D101" s="44"/>
      <c r="E101" s="45">
        <f t="shared" si="1"/>
        <v>0</v>
      </c>
    </row>
    <row r="102" spans="1:5" ht="24.75" customHeight="1">
      <c r="A102" s="8"/>
      <c r="C102" s="44"/>
      <c r="D102" s="44"/>
      <c r="E102" s="45">
        <f t="shared" si="1"/>
        <v>0</v>
      </c>
    </row>
    <row r="103" spans="1:5" ht="24.75" customHeight="1">
      <c r="A103" s="8"/>
      <c r="C103" s="44"/>
      <c r="D103" s="44"/>
      <c r="E103" s="45">
        <f t="shared" si="1"/>
        <v>0</v>
      </c>
    </row>
    <row r="104" spans="1:5" ht="24.75" customHeight="1">
      <c r="A104" s="8"/>
      <c r="C104" s="44"/>
      <c r="D104" s="44"/>
      <c r="E104" s="45">
        <f t="shared" si="1"/>
        <v>0</v>
      </c>
    </row>
    <row r="105" spans="1:5" ht="24.75" customHeight="1">
      <c r="A105" s="8"/>
      <c r="C105" s="44"/>
      <c r="D105" s="44"/>
      <c r="E105" s="45">
        <f t="shared" si="1"/>
        <v>0</v>
      </c>
    </row>
    <row r="106" spans="1:5" ht="24.75" customHeight="1">
      <c r="A106" s="8"/>
      <c r="C106" s="44"/>
      <c r="D106" s="44"/>
      <c r="E106" s="45">
        <f t="shared" si="1"/>
        <v>0</v>
      </c>
    </row>
    <row r="107" spans="1:5" ht="24.75" customHeight="1">
      <c r="A107" s="8"/>
      <c r="C107" s="44"/>
      <c r="D107" s="44"/>
      <c r="E107" s="45">
        <f t="shared" si="1"/>
        <v>0</v>
      </c>
    </row>
    <row r="108" spans="1:5" ht="24.75" customHeight="1">
      <c r="A108" s="8"/>
      <c r="C108" s="44"/>
      <c r="D108" s="44"/>
      <c r="E108" s="45">
        <f t="shared" si="1"/>
        <v>0</v>
      </c>
    </row>
    <row r="109" spans="1:5" ht="24.75" customHeight="1">
      <c r="A109" s="8"/>
      <c r="C109" s="44"/>
      <c r="D109" s="44"/>
      <c r="E109" s="45">
        <f t="shared" si="1"/>
        <v>0</v>
      </c>
    </row>
    <row r="110" spans="1:5" ht="24.75" customHeight="1">
      <c r="A110" s="8"/>
      <c r="C110" s="44"/>
      <c r="D110" s="44"/>
      <c r="E110" s="45">
        <f t="shared" si="1"/>
        <v>0</v>
      </c>
    </row>
    <row r="111" spans="1:5" ht="24.75" customHeight="1">
      <c r="A111" s="8"/>
      <c r="C111" s="44"/>
      <c r="D111" s="44"/>
      <c r="E111" s="45">
        <f t="shared" si="1"/>
        <v>0</v>
      </c>
    </row>
    <row r="112" spans="1:5" ht="24.75" customHeight="1">
      <c r="A112" s="8"/>
      <c r="C112" s="44"/>
      <c r="D112" s="44"/>
      <c r="E112" s="45">
        <f t="shared" si="1"/>
        <v>0</v>
      </c>
    </row>
    <row r="113" spans="1:5" ht="24.75" customHeight="1">
      <c r="A113" s="8"/>
      <c r="C113" s="44"/>
      <c r="D113" s="44"/>
      <c r="E113" s="45">
        <f t="shared" si="1"/>
        <v>0</v>
      </c>
    </row>
    <row r="114" spans="1:5" ht="24.75" customHeight="1">
      <c r="A114" s="8"/>
      <c r="C114" s="44"/>
      <c r="D114" s="44"/>
      <c r="E114" s="45">
        <f t="shared" si="1"/>
        <v>0</v>
      </c>
    </row>
    <row r="115" spans="1:5" ht="24.75" customHeight="1">
      <c r="A115" s="8"/>
      <c r="C115" s="44"/>
      <c r="D115" s="44"/>
      <c r="E115" s="45">
        <f t="shared" si="1"/>
        <v>0</v>
      </c>
    </row>
    <row r="116" spans="1:5" ht="24.75" customHeight="1">
      <c r="A116" s="8"/>
      <c r="C116" s="44"/>
      <c r="D116" s="44"/>
      <c r="E116" s="45">
        <f t="shared" si="1"/>
        <v>0</v>
      </c>
    </row>
    <row r="117" spans="1:5" ht="24.75" customHeight="1">
      <c r="A117" s="8"/>
      <c r="C117" s="44"/>
      <c r="D117" s="44"/>
      <c r="E117" s="45">
        <f t="shared" si="1"/>
        <v>0</v>
      </c>
    </row>
    <row r="118" spans="1:5" ht="24.75" customHeight="1">
      <c r="A118" s="8"/>
      <c r="C118" s="44"/>
      <c r="D118" s="44"/>
      <c r="E118" s="45">
        <f t="shared" si="1"/>
        <v>0</v>
      </c>
    </row>
    <row r="119" spans="1:5" ht="24.75" customHeight="1">
      <c r="A119" s="8"/>
      <c r="C119" s="44"/>
      <c r="D119" s="44"/>
      <c r="E119" s="45">
        <f t="shared" si="1"/>
        <v>0</v>
      </c>
    </row>
    <row r="120" spans="1:5" ht="24.75" customHeight="1">
      <c r="A120" s="8"/>
      <c r="C120" s="44"/>
      <c r="D120" s="44"/>
      <c r="E120" s="45">
        <f t="shared" si="1"/>
        <v>0</v>
      </c>
    </row>
    <row r="121" spans="1:5" ht="24.75" customHeight="1">
      <c r="A121" s="8"/>
      <c r="C121" s="44"/>
      <c r="D121" s="44"/>
      <c r="E121" s="45">
        <f t="shared" si="1"/>
        <v>0</v>
      </c>
    </row>
    <row r="122" spans="1:5" ht="24.75" customHeight="1">
      <c r="A122" s="8"/>
      <c r="C122" s="44"/>
      <c r="D122" s="44"/>
      <c r="E122" s="45">
        <f t="shared" si="1"/>
        <v>0</v>
      </c>
    </row>
    <row r="123" spans="1:5" ht="24.75" customHeight="1">
      <c r="A123" s="8"/>
      <c r="C123" s="44"/>
      <c r="D123" s="44"/>
      <c r="E123" s="45">
        <f t="shared" si="1"/>
        <v>0</v>
      </c>
    </row>
    <row r="124" spans="1:5" ht="24.75" customHeight="1">
      <c r="A124" s="8"/>
      <c r="C124" s="44"/>
      <c r="D124" s="44"/>
      <c r="E124" s="45">
        <f t="shared" si="1"/>
        <v>0</v>
      </c>
    </row>
    <row r="125" spans="1:5" ht="24.75" customHeight="1">
      <c r="A125" s="8"/>
      <c r="C125" s="44"/>
      <c r="D125" s="44"/>
      <c r="E125" s="45">
        <f t="shared" si="1"/>
        <v>0</v>
      </c>
    </row>
    <row r="126" spans="1:5" ht="24.75" customHeight="1">
      <c r="A126" s="8"/>
      <c r="C126" s="44"/>
      <c r="D126" s="44"/>
      <c r="E126" s="45">
        <f t="shared" si="1"/>
        <v>0</v>
      </c>
    </row>
    <row r="127" spans="1:5" ht="24.75" customHeight="1">
      <c r="A127" s="8"/>
      <c r="C127" s="44"/>
      <c r="D127" s="44"/>
      <c r="E127" s="45">
        <f t="shared" si="1"/>
        <v>0</v>
      </c>
    </row>
    <row r="128" spans="1:5" ht="24.75" customHeight="1">
      <c r="A128" s="8"/>
      <c r="C128" s="44"/>
      <c r="D128" s="44"/>
      <c r="E128" s="45">
        <f t="shared" si="1"/>
        <v>0</v>
      </c>
    </row>
    <row r="129" spans="1:5" ht="24.75" customHeight="1">
      <c r="A129" s="8"/>
      <c r="C129" s="44"/>
      <c r="D129" s="44"/>
      <c r="E129" s="45">
        <f t="shared" si="1"/>
        <v>0</v>
      </c>
    </row>
    <row r="130" spans="1:5" ht="24.75" customHeight="1">
      <c r="A130" s="8"/>
      <c r="C130" s="44"/>
      <c r="D130" s="44"/>
      <c r="E130" s="45">
        <f t="shared" ref="E130:E193" si="2">(D130-C130)*24</f>
        <v>0</v>
      </c>
    </row>
    <row r="131" spans="1:5" ht="24.75" customHeight="1">
      <c r="A131" s="8"/>
      <c r="C131" s="44"/>
      <c r="D131" s="44"/>
      <c r="E131" s="45">
        <f t="shared" si="2"/>
        <v>0</v>
      </c>
    </row>
    <row r="132" spans="1:5" ht="24.75" customHeight="1">
      <c r="A132" s="8"/>
      <c r="C132" s="44"/>
      <c r="D132" s="44"/>
      <c r="E132" s="45">
        <f t="shared" si="2"/>
        <v>0</v>
      </c>
    </row>
    <row r="133" spans="1:5" ht="24.75" customHeight="1">
      <c r="A133" s="8"/>
      <c r="C133" s="44"/>
      <c r="D133" s="44"/>
      <c r="E133" s="45">
        <f t="shared" si="2"/>
        <v>0</v>
      </c>
    </row>
    <row r="134" spans="1:5" ht="24.75" customHeight="1">
      <c r="A134" s="8"/>
      <c r="C134" s="44"/>
      <c r="D134" s="44"/>
      <c r="E134" s="45">
        <f t="shared" si="2"/>
        <v>0</v>
      </c>
    </row>
    <row r="135" spans="1:5" ht="24.75" customHeight="1">
      <c r="A135" s="8"/>
      <c r="C135" s="44"/>
      <c r="D135" s="44"/>
      <c r="E135" s="45">
        <f t="shared" si="2"/>
        <v>0</v>
      </c>
    </row>
    <row r="136" spans="1:5" ht="24.75" customHeight="1">
      <c r="A136" s="8"/>
      <c r="C136" s="44"/>
      <c r="D136" s="44"/>
      <c r="E136" s="45">
        <f t="shared" si="2"/>
        <v>0</v>
      </c>
    </row>
    <row r="137" spans="1:5" ht="24.75" customHeight="1">
      <c r="A137" s="8"/>
      <c r="C137" s="44"/>
      <c r="D137" s="44"/>
      <c r="E137" s="45">
        <f t="shared" si="2"/>
        <v>0</v>
      </c>
    </row>
    <row r="138" spans="1:5" ht="24.75" customHeight="1">
      <c r="A138" s="8"/>
      <c r="C138" s="44"/>
      <c r="D138" s="44"/>
      <c r="E138" s="45">
        <f t="shared" si="2"/>
        <v>0</v>
      </c>
    </row>
    <row r="139" spans="1:5" ht="24.75" customHeight="1">
      <c r="A139" s="8"/>
      <c r="C139" s="44"/>
      <c r="D139" s="44"/>
      <c r="E139" s="45">
        <f t="shared" si="2"/>
        <v>0</v>
      </c>
    </row>
    <row r="140" spans="1:5" ht="24.75" customHeight="1">
      <c r="A140" s="8"/>
      <c r="C140" s="44"/>
      <c r="D140" s="44"/>
      <c r="E140" s="45">
        <f t="shared" si="2"/>
        <v>0</v>
      </c>
    </row>
    <row r="141" spans="1:5" ht="24.75" customHeight="1">
      <c r="A141" s="8"/>
      <c r="C141" s="44"/>
      <c r="D141" s="44"/>
      <c r="E141" s="45">
        <f t="shared" si="2"/>
        <v>0</v>
      </c>
    </row>
    <row r="142" spans="1:5" ht="24.75" customHeight="1">
      <c r="A142" s="8"/>
      <c r="C142" s="44"/>
      <c r="D142" s="44"/>
      <c r="E142" s="45">
        <f t="shared" si="2"/>
        <v>0</v>
      </c>
    </row>
    <row r="143" spans="1:5" ht="24.75" customHeight="1">
      <c r="A143" s="8"/>
      <c r="C143" s="44"/>
      <c r="D143" s="44"/>
      <c r="E143" s="45">
        <f t="shared" si="2"/>
        <v>0</v>
      </c>
    </row>
    <row r="144" spans="1:5" ht="24.75" customHeight="1">
      <c r="A144" s="8"/>
      <c r="C144" s="44"/>
      <c r="D144" s="44"/>
      <c r="E144" s="45">
        <f t="shared" si="2"/>
        <v>0</v>
      </c>
    </row>
    <row r="145" spans="1:5" ht="24.75" customHeight="1">
      <c r="A145" s="8"/>
      <c r="C145" s="44"/>
      <c r="D145" s="44"/>
      <c r="E145" s="45">
        <f t="shared" si="2"/>
        <v>0</v>
      </c>
    </row>
    <row r="146" spans="1:5" ht="24.75" customHeight="1">
      <c r="A146" s="8"/>
      <c r="C146" s="44"/>
      <c r="D146" s="44"/>
      <c r="E146" s="45">
        <f t="shared" si="2"/>
        <v>0</v>
      </c>
    </row>
    <row r="147" spans="1:5" ht="24.75" customHeight="1">
      <c r="A147" s="8"/>
      <c r="C147" s="44"/>
      <c r="D147" s="44"/>
      <c r="E147" s="45">
        <f t="shared" si="2"/>
        <v>0</v>
      </c>
    </row>
    <row r="148" spans="1:5" ht="24.75" customHeight="1">
      <c r="A148" s="8"/>
      <c r="C148" s="44"/>
      <c r="D148" s="44"/>
      <c r="E148" s="45">
        <f t="shared" si="2"/>
        <v>0</v>
      </c>
    </row>
    <row r="149" spans="1:5" ht="24.75" customHeight="1">
      <c r="A149" s="8"/>
      <c r="C149" s="44"/>
      <c r="D149" s="44"/>
      <c r="E149" s="45">
        <f t="shared" si="2"/>
        <v>0</v>
      </c>
    </row>
    <row r="150" spans="1:5" ht="24.75" customHeight="1">
      <c r="A150" s="8"/>
      <c r="C150" s="44"/>
      <c r="D150" s="44"/>
      <c r="E150" s="45">
        <f t="shared" si="2"/>
        <v>0</v>
      </c>
    </row>
    <row r="151" spans="1:5" ht="24.75" customHeight="1">
      <c r="A151" s="8"/>
      <c r="C151" s="44"/>
      <c r="D151" s="44"/>
      <c r="E151" s="45">
        <f t="shared" si="2"/>
        <v>0</v>
      </c>
    </row>
    <row r="152" spans="1:5" ht="24.75" customHeight="1">
      <c r="A152" s="8"/>
      <c r="C152" s="44"/>
      <c r="D152" s="44"/>
      <c r="E152" s="45">
        <f t="shared" si="2"/>
        <v>0</v>
      </c>
    </row>
    <row r="153" spans="1:5" ht="24.75" customHeight="1">
      <c r="A153" s="8"/>
      <c r="C153" s="44"/>
      <c r="D153" s="44"/>
      <c r="E153" s="45">
        <f t="shared" si="2"/>
        <v>0</v>
      </c>
    </row>
    <row r="154" spans="1:5" ht="24.75" customHeight="1">
      <c r="A154" s="8"/>
      <c r="C154" s="44"/>
      <c r="D154" s="44"/>
      <c r="E154" s="45">
        <f t="shared" si="2"/>
        <v>0</v>
      </c>
    </row>
    <row r="155" spans="1:5" ht="24.75" customHeight="1">
      <c r="A155" s="8"/>
      <c r="C155" s="44"/>
      <c r="D155" s="44"/>
      <c r="E155" s="45">
        <f t="shared" si="2"/>
        <v>0</v>
      </c>
    </row>
    <row r="156" spans="1:5" ht="24.75" customHeight="1">
      <c r="A156" s="8"/>
      <c r="C156" s="44"/>
      <c r="D156" s="44"/>
      <c r="E156" s="45">
        <f t="shared" si="2"/>
        <v>0</v>
      </c>
    </row>
    <row r="157" spans="1:5" ht="24.75" customHeight="1">
      <c r="A157" s="8"/>
      <c r="C157" s="44"/>
      <c r="D157" s="44"/>
      <c r="E157" s="45">
        <f t="shared" si="2"/>
        <v>0</v>
      </c>
    </row>
    <row r="158" spans="1:5" ht="24.75" customHeight="1">
      <c r="A158" s="8"/>
      <c r="C158" s="44"/>
      <c r="D158" s="44"/>
      <c r="E158" s="45">
        <f t="shared" si="2"/>
        <v>0</v>
      </c>
    </row>
    <row r="159" spans="1:5" ht="24.75" customHeight="1">
      <c r="A159" s="8"/>
      <c r="C159" s="44"/>
      <c r="D159" s="44"/>
      <c r="E159" s="45">
        <f t="shared" si="2"/>
        <v>0</v>
      </c>
    </row>
    <row r="160" spans="1:5" ht="24.75" customHeight="1">
      <c r="A160" s="8"/>
      <c r="C160" s="44"/>
      <c r="D160" s="44"/>
      <c r="E160" s="45">
        <f t="shared" si="2"/>
        <v>0</v>
      </c>
    </row>
    <row r="161" spans="1:5" ht="24.75" customHeight="1">
      <c r="A161" s="8"/>
      <c r="C161" s="44"/>
      <c r="D161" s="44"/>
      <c r="E161" s="45">
        <f t="shared" si="2"/>
        <v>0</v>
      </c>
    </row>
    <row r="162" spans="1:5" ht="24.75" customHeight="1">
      <c r="A162" s="8"/>
      <c r="C162" s="44"/>
      <c r="D162" s="44"/>
      <c r="E162" s="45">
        <f t="shared" si="2"/>
        <v>0</v>
      </c>
    </row>
    <row r="163" spans="1:5" ht="24.75" customHeight="1">
      <c r="A163" s="8"/>
      <c r="C163" s="44"/>
      <c r="D163" s="44"/>
      <c r="E163" s="45">
        <f t="shared" si="2"/>
        <v>0</v>
      </c>
    </row>
    <row r="164" spans="1:5" ht="24.75" customHeight="1">
      <c r="A164" s="8"/>
      <c r="C164" s="44"/>
      <c r="D164" s="44"/>
      <c r="E164" s="45">
        <f t="shared" si="2"/>
        <v>0</v>
      </c>
    </row>
    <row r="165" spans="1:5" ht="24.75" customHeight="1">
      <c r="A165" s="8"/>
      <c r="C165" s="44"/>
      <c r="D165" s="44"/>
      <c r="E165" s="45">
        <f t="shared" si="2"/>
        <v>0</v>
      </c>
    </row>
    <row r="166" spans="1:5" ht="24.75" customHeight="1">
      <c r="A166" s="8"/>
      <c r="C166" s="44"/>
      <c r="D166" s="44"/>
      <c r="E166" s="45">
        <f t="shared" si="2"/>
        <v>0</v>
      </c>
    </row>
    <row r="167" spans="1:5" ht="24.75" customHeight="1">
      <c r="A167" s="8"/>
      <c r="C167" s="44"/>
      <c r="D167" s="44"/>
      <c r="E167" s="45">
        <f t="shared" si="2"/>
        <v>0</v>
      </c>
    </row>
    <row r="168" spans="1:5" ht="24.75" customHeight="1">
      <c r="A168" s="8"/>
      <c r="C168" s="44"/>
      <c r="D168" s="44"/>
      <c r="E168" s="45">
        <f t="shared" si="2"/>
        <v>0</v>
      </c>
    </row>
    <row r="169" spans="1:5" ht="24.75" customHeight="1">
      <c r="A169" s="8"/>
      <c r="C169" s="44"/>
      <c r="D169" s="44"/>
      <c r="E169" s="45">
        <f t="shared" si="2"/>
        <v>0</v>
      </c>
    </row>
    <row r="170" spans="1:5" ht="24.75" customHeight="1">
      <c r="A170" s="8"/>
      <c r="C170" s="44"/>
      <c r="D170" s="44"/>
      <c r="E170" s="45">
        <f t="shared" si="2"/>
        <v>0</v>
      </c>
    </row>
    <row r="171" spans="1:5" ht="24.75" customHeight="1">
      <c r="A171" s="8"/>
      <c r="C171" s="44"/>
      <c r="D171" s="44"/>
      <c r="E171" s="45">
        <f t="shared" si="2"/>
        <v>0</v>
      </c>
    </row>
    <row r="172" spans="1:5" ht="24.75" customHeight="1">
      <c r="A172" s="8"/>
      <c r="C172" s="44"/>
      <c r="D172" s="44"/>
      <c r="E172" s="45">
        <f t="shared" si="2"/>
        <v>0</v>
      </c>
    </row>
    <row r="173" spans="1:5" ht="24.75" customHeight="1">
      <c r="A173" s="8"/>
      <c r="C173" s="44"/>
      <c r="D173" s="44"/>
      <c r="E173" s="45">
        <f t="shared" si="2"/>
        <v>0</v>
      </c>
    </row>
    <row r="174" spans="1:5" ht="24.75" customHeight="1">
      <c r="A174" s="8"/>
      <c r="C174" s="44"/>
      <c r="D174" s="44"/>
      <c r="E174" s="45">
        <f t="shared" si="2"/>
        <v>0</v>
      </c>
    </row>
    <row r="175" spans="1:5" ht="24.75" customHeight="1">
      <c r="A175" s="8"/>
      <c r="C175" s="44"/>
      <c r="D175" s="44"/>
      <c r="E175" s="45">
        <f t="shared" si="2"/>
        <v>0</v>
      </c>
    </row>
    <row r="176" spans="1:5" ht="24.75" customHeight="1">
      <c r="A176" s="8"/>
      <c r="C176" s="44"/>
      <c r="D176" s="44"/>
      <c r="E176" s="45">
        <f t="shared" si="2"/>
        <v>0</v>
      </c>
    </row>
    <row r="177" spans="1:5" ht="24.75" customHeight="1">
      <c r="A177" s="8"/>
      <c r="C177" s="44"/>
      <c r="D177" s="44"/>
      <c r="E177" s="45">
        <f t="shared" si="2"/>
        <v>0</v>
      </c>
    </row>
    <row r="178" spans="1:5" ht="24.75" customHeight="1">
      <c r="A178" s="8"/>
      <c r="C178" s="44"/>
      <c r="D178" s="44"/>
      <c r="E178" s="45">
        <f t="shared" si="2"/>
        <v>0</v>
      </c>
    </row>
    <row r="179" spans="1:5" ht="24.75" customHeight="1">
      <c r="A179" s="8"/>
      <c r="C179" s="44"/>
      <c r="D179" s="44"/>
      <c r="E179" s="45">
        <f t="shared" si="2"/>
        <v>0</v>
      </c>
    </row>
    <row r="180" spans="1:5" ht="24.75" customHeight="1">
      <c r="A180" s="8"/>
      <c r="C180" s="44"/>
      <c r="D180" s="44"/>
      <c r="E180" s="45">
        <f t="shared" si="2"/>
        <v>0</v>
      </c>
    </row>
    <row r="181" spans="1:5" ht="24.75" customHeight="1">
      <c r="A181" s="8"/>
      <c r="C181" s="44"/>
      <c r="D181" s="44"/>
      <c r="E181" s="45">
        <f t="shared" si="2"/>
        <v>0</v>
      </c>
    </row>
    <row r="182" spans="1:5" ht="24.75" customHeight="1">
      <c r="A182" s="8"/>
      <c r="C182" s="44"/>
      <c r="D182" s="44"/>
      <c r="E182" s="45">
        <f t="shared" si="2"/>
        <v>0</v>
      </c>
    </row>
    <row r="183" spans="1:5" ht="24.75" customHeight="1">
      <c r="A183" s="8"/>
      <c r="C183" s="44"/>
      <c r="D183" s="44"/>
      <c r="E183" s="45">
        <f t="shared" si="2"/>
        <v>0</v>
      </c>
    </row>
    <row r="184" spans="1:5" ht="24.75" customHeight="1">
      <c r="A184" s="8"/>
      <c r="C184" s="44"/>
      <c r="D184" s="44"/>
      <c r="E184" s="45">
        <f t="shared" si="2"/>
        <v>0</v>
      </c>
    </row>
    <row r="185" spans="1:5" ht="24.75" customHeight="1">
      <c r="A185" s="8"/>
      <c r="C185" s="44"/>
      <c r="D185" s="44"/>
      <c r="E185" s="45">
        <f t="shared" si="2"/>
        <v>0</v>
      </c>
    </row>
    <row r="186" spans="1:5" ht="24.75" customHeight="1">
      <c r="A186" s="8"/>
      <c r="C186" s="44"/>
      <c r="D186" s="44"/>
      <c r="E186" s="45">
        <f t="shared" si="2"/>
        <v>0</v>
      </c>
    </row>
    <row r="187" spans="1:5" ht="24.75" customHeight="1">
      <c r="A187" s="8"/>
      <c r="C187" s="44"/>
      <c r="D187" s="44"/>
      <c r="E187" s="45">
        <f t="shared" si="2"/>
        <v>0</v>
      </c>
    </row>
    <row r="188" spans="1:5" ht="24.75" customHeight="1">
      <c r="A188" s="8"/>
      <c r="C188" s="44"/>
      <c r="D188" s="44"/>
      <c r="E188" s="45">
        <f t="shared" si="2"/>
        <v>0</v>
      </c>
    </row>
    <row r="189" spans="1:5" ht="24.75" customHeight="1">
      <c r="A189" s="8"/>
      <c r="C189" s="44"/>
      <c r="D189" s="44"/>
      <c r="E189" s="45">
        <f t="shared" si="2"/>
        <v>0</v>
      </c>
    </row>
    <row r="190" spans="1:5" ht="24.75" customHeight="1">
      <c r="A190" s="8"/>
      <c r="C190" s="44"/>
      <c r="D190" s="44"/>
      <c r="E190" s="45">
        <f t="shared" si="2"/>
        <v>0</v>
      </c>
    </row>
    <row r="191" spans="1:5" ht="24.75" customHeight="1">
      <c r="A191" s="8"/>
      <c r="C191" s="44"/>
      <c r="D191" s="44"/>
      <c r="E191" s="45">
        <f t="shared" si="2"/>
        <v>0</v>
      </c>
    </row>
    <row r="192" spans="1:5" ht="24.75" customHeight="1">
      <c r="A192" s="8"/>
      <c r="C192" s="44"/>
      <c r="D192" s="44"/>
      <c r="E192" s="45">
        <f t="shared" si="2"/>
        <v>0</v>
      </c>
    </row>
    <row r="193" spans="1:5" ht="24.75" customHeight="1">
      <c r="A193" s="8"/>
      <c r="C193" s="44"/>
      <c r="D193" s="44"/>
      <c r="E193" s="45">
        <f t="shared" si="2"/>
        <v>0</v>
      </c>
    </row>
    <row r="194" spans="1:5" ht="24.75" customHeight="1">
      <c r="A194" s="8"/>
      <c r="C194" s="44"/>
      <c r="D194" s="44"/>
      <c r="E194" s="45">
        <f t="shared" ref="E194:E257" si="3">(D194-C194)*24</f>
        <v>0</v>
      </c>
    </row>
    <row r="195" spans="1:5" ht="24.75" customHeight="1">
      <c r="A195" s="8"/>
      <c r="C195" s="44"/>
      <c r="D195" s="44"/>
      <c r="E195" s="45">
        <f t="shared" si="3"/>
        <v>0</v>
      </c>
    </row>
    <row r="196" spans="1:5" ht="24.75" customHeight="1">
      <c r="A196" s="8"/>
      <c r="C196" s="44"/>
      <c r="D196" s="44"/>
      <c r="E196" s="45">
        <f t="shared" si="3"/>
        <v>0</v>
      </c>
    </row>
    <row r="197" spans="1:5" ht="24.75" customHeight="1">
      <c r="A197" s="8"/>
      <c r="C197" s="44"/>
      <c r="D197" s="44"/>
      <c r="E197" s="45">
        <f t="shared" si="3"/>
        <v>0</v>
      </c>
    </row>
    <row r="198" spans="1:5" ht="24.75" customHeight="1">
      <c r="A198" s="8"/>
      <c r="C198" s="44"/>
      <c r="D198" s="44"/>
      <c r="E198" s="45">
        <f t="shared" si="3"/>
        <v>0</v>
      </c>
    </row>
    <row r="199" spans="1:5" ht="24.75" customHeight="1">
      <c r="A199" s="8"/>
      <c r="C199" s="44"/>
      <c r="D199" s="44"/>
      <c r="E199" s="45">
        <f t="shared" si="3"/>
        <v>0</v>
      </c>
    </row>
    <row r="200" spans="1:5" ht="24.75" customHeight="1">
      <c r="A200" s="8"/>
      <c r="C200" s="44"/>
      <c r="D200" s="44"/>
      <c r="E200" s="45">
        <f t="shared" si="3"/>
        <v>0</v>
      </c>
    </row>
    <row r="201" spans="1:5" ht="24.75" customHeight="1">
      <c r="A201" s="8"/>
      <c r="C201" s="44"/>
      <c r="D201" s="44"/>
      <c r="E201" s="45">
        <f t="shared" si="3"/>
        <v>0</v>
      </c>
    </row>
    <row r="202" spans="1:5" ht="24.75" customHeight="1">
      <c r="A202" s="8"/>
      <c r="C202" s="44"/>
      <c r="D202" s="44"/>
      <c r="E202" s="45">
        <f t="shared" si="3"/>
        <v>0</v>
      </c>
    </row>
    <row r="203" spans="1:5" ht="24.75" customHeight="1">
      <c r="A203" s="8"/>
      <c r="C203" s="44"/>
      <c r="D203" s="44"/>
      <c r="E203" s="45">
        <f t="shared" si="3"/>
        <v>0</v>
      </c>
    </row>
    <row r="204" spans="1:5" ht="24.75" customHeight="1">
      <c r="A204" s="8"/>
      <c r="C204" s="44"/>
      <c r="D204" s="44"/>
      <c r="E204" s="45">
        <f t="shared" si="3"/>
        <v>0</v>
      </c>
    </row>
    <row r="205" spans="1:5" ht="24.75" customHeight="1">
      <c r="A205" s="8"/>
      <c r="C205" s="44"/>
      <c r="D205" s="44"/>
      <c r="E205" s="45">
        <f t="shared" si="3"/>
        <v>0</v>
      </c>
    </row>
    <row r="206" spans="1:5" ht="24.75" customHeight="1">
      <c r="A206" s="8"/>
      <c r="C206" s="44"/>
      <c r="D206" s="44"/>
      <c r="E206" s="45">
        <f t="shared" si="3"/>
        <v>0</v>
      </c>
    </row>
    <row r="207" spans="1:5" ht="24.75" customHeight="1">
      <c r="A207" s="8"/>
      <c r="C207" s="44"/>
      <c r="D207" s="44"/>
      <c r="E207" s="45">
        <f t="shared" si="3"/>
        <v>0</v>
      </c>
    </row>
    <row r="208" spans="1:5" ht="24.75" customHeight="1">
      <c r="A208" s="8"/>
      <c r="C208" s="44"/>
      <c r="D208" s="44"/>
      <c r="E208" s="45">
        <f t="shared" si="3"/>
        <v>0</v>
      </c>
    </row>
    <row r="209" spans="1:5" ht="24.75" customHeight="1">
      <c r="A209" s="8"/>
      <c r="C209" s="44"/>
      <c r="D209" s="44"/>
      <c r="E209" s="45">
        <f t="shared" si="3"/>
        <v>0</v>
      </c>
    </row>
    <row r="210" spans="1:5" ht="24.75" customHeight="1">
      <c r="A210" s="8"/>
      <c r="C210" s="44"/>
      <c r="D210" s="44"/>
      <c r="E210" s="45">
        <f t="shared" si="3"/>
        <v>0</v>
      </c>
    </row>
    <row r="211" spans="1:5" ht="24.75" customHeight="1">
      <c r="A211" s="8"/>
      <c r="C211" s="44"/>
      <c r="D211" s="44"/>
      <c r="E211" s="45">
        <f t="shared" si="3"/>
        <v>0</v>
      </c>
    </row>
    <row r="212" spans="1:5" ht="24.75" customHeight="1">
      <c r="A212" s="8"/>
      <c r="C212" s="44"/>
      <c r="D212" s="44"/>
      <c r="E212" s="45">
        <f t="shared" si="3"/>
        <v>0</v>
      </c>
    </row>
    <row r="213" spans="1:5" ht="24.75" customHeight="1">
      <c r="A213" s="8"/>
      <c r="C213" s="44"/>
      <c r="D213" s="44"/>
      <c r="E213" s="45">
        <f t="shared" si="3"/>
        <v>0</v>
      </c>
    </row>
    <row r="214" spans="1:5" ht="24.75" customHeight="1">
      <c r="A214" s="8"/>
      <c r="C214" s="44"/>
      <c r="D214" s="44"/>
      <c r="E214" s="45">
        <f t="shared" si="3"/>
        <v>0</v>
      </c>
    </row>
    <row r="215" spans="1:5" ht="24.75" customHeight="1">
      <c r="A215" s="8"/>
      <c r="C215" s="44"/>
      <c r="D215" s="44"/>
      <c r="E215" s="45">
        <f t="shared" si="3"/>
        <v>0</v>
      </c>
    </row>
    <row r="216" spans="1:5" ht="24.75" customHeight="1">
      <c r="A216" s="8"/>
      <c r="C216" s="44"/>
      <c r="D216" s="44"/>
      <c r="E216" s="45">
        <f t="shared" si="3"/>
        <v>0</v>
      </c>
    </row>
    <row r="217" spans="1:5" ht="24.75" customHeight="1">
      <c r="A217" s="8"/>
      <c r="C217" s="44"/>
      <c r="D217" s="44"/>
      <c r="E217" s="45">
        <f t="shared" si="3"/>
        <v>0</v>
      </c>
    </row>
    <row r="218" spans="1:5" ht="24.75" customHeight="1">
      <c r="A218" s="8"/>
      <c r="C218" s="44"/>
      <c r="D218" s="44"/>
      <c r="E218" s="45">
        <f t="shared" si="3"/>
        <v>0</v>
      </c>
    </row>
    <row r="219" spans="1:5" ht="24.75" customHeight="1">
      <c r="A219" s="8"/>
      <c r="C219" s="44"/>
      <c r="D219" s="44"/>
      <c r="E219" s="45">
        <f t="shared" si="3"/>
        <v>0</v>
      </c>
    </row>
    <row r="220" spans="1:5" ht="24.75" customHeight="1">
      <c r="A220" s="8"/>
      <c r="C220" s="44"/>
      <c r="D220" s="44"/>
      <c r="E220" s="45">
        <f t="shared" si="3"/>
        <v>0</v>
      </c>
    </row>
    <row r="221" spans="1:5" ht="24.75" customHeight="1">
      <c r="A221" s="8"/>
      <c r="C221" s="44"/>
      <c r="D221" s="44"/>
      <c r="E221" s="45">
        <f t="shared" si="3"/>
        <v>0</v>
      </c>
    </row>
    <row r="222" spans="1:5" ht="24.75" customHeight="1">
      <c r="A222" s="8"/>
      <c r="C222" s="44"/>
      <c r="D222" s="44"/>
      <c r="E222" s="45">
        <f t="shared" si="3"/>
        <v>0</v>
      </c>
    </row>
    <row r="223" spans="1:5" ht="24.75" customHeight="1">
      <c r="A223" s="8"/>
      <c r="C223" s="44"/>
      <c r="D223" s="44"/>
      <c r="E223" s="45">
        <f t="shared" si="3"/>
        <v>0</v>
      </c>
    </row>
    <row r="224" spans="1:5" ht="24.75" customHeight="1">
      <c r="A224" s="8"/>
      <c r="C224" s="44"/>
      <c r="D224" s="44"/>
      <c r="E224" s="45">
        <f t="shared" si="3"/>
        <v>0</v>
      </c>
    </row>
    <row r="225" spans="1:5" ht="24.75" customHeight="1">
      <c r="A225" s="8"/>
      <c r="C225" s="44"/>
      <c r="D225" s="44"/>
      <c r="E225" s="45">
        <f t="shared" si="3"/>
        <v>0</v>
      </c>
    </row>
    <row r="226" spans="1:5" ht="24.75" customHeight="1">
      <c r="A226" s="8"/>
      <c r="C226" s="44"/>
      <c r="D226" s="44"/>
      <c r="E226" s="45">
        <f t="shared" si="3"/>
        <v>0</v>
      </c>
    </row>
    <row r="227" spans="1:5" ht="24.75" customHeight="1">
      <c r="A227" s="8"/>
      <c r="C227" s="44"/>
      <c r="D227" s="44"/>
      <c r="E227" s="45">
        <f t="shared" si="3"/>
        <v>0</v>
      </c>
    </row>
    <row r="228" spans="1:5" ht="24.75" customHeight="1">
      <c r="A228" s="8"/>
      <c r="C228" s="44"/>
      <c r="D228" s="44"/>
      <c r="E228" s="45">
        <f t="shared" si="3"/>
        <v>0</v>
      </c>
    </row>
    <row r="229" spans="1:5" ht="24.75" customHeight="1">
      <c r="A229" s="8"/>
      <c r="C229" s="44"/>
      <c r="D229" s="44"/>
      <c r="E229" s="45">
        <f t="shared" si="3"/>
        <v>0</v>
      </c>
    </row>
    <row r="230" spans="1:5" ht="24.75" customHeight="1">
      <c r="A230" s="8"/>
      <c r="C230" s="44"/>
      <c r="D230" s="44"/>
      <c r="E230" s="45">
        <f t="shared" si="3"/>
        <v>0</v>
      </c>
    </row>
    <row r="231" spans="1:5" ht="24.75" customHeight="1">
      <c r="A231" s="8"/>
      <c r="C231" s="44"/>
      <c r="D231" s="44"/>
      <c r="E231" s="45">
        <f t="shared" si="3"/>
        <v>0</v>
      </c>
    </row>
    <row r="232" spans="1:5" ht="24.75" customHeight="1">
      <c r="A232" s="8"/>
      <c r="C232" s="44"/>
      <c r="D232" s="44"/>
      <c r="E232" s="45">
        <f t="shared" si="3"/>
        <v>0</v>
      </c>
    </row>
    <row r="233" spans="1:5" ht="24.75" customHeight="1">
      <c r="A233" s="8"/>
      <c r="C233" s="44"/>
      <c r="D233" s="44"/>
      <c r="E233" s="45">
        <f t="shared" si="3"/>
        <v>0</v>
      </c>
    </row>
    <row r="234" spans="1:5" ht="24.75" customHeight="1">
      <c r="A234" s="8"/>
      <c r="C234" s="44"/>
      <c r="D234" s="44"/>
      <c r="E234" s="45">
        <f t="shared" si="3"/>
        <v>0</v>
      </c>
    </row>
    <row r="235" spans="1:5" ht="24.75" customHeight="1">
      <c r="A235" s="8"/>
      <c r="C235" s="44"/>
      <c r="D235" s="44"/>
      <c r="E235" s="45">
        <f t="shared" si="3"/>
        <v>0</v>
      </c>
    </row>
    <row r="236" spans="1:5" ht="24.75" customHeight="1">
      <c r="A236" s="8"/>
      <c r="C236" s="44"/>
      <c r="D236" s="44"/>
      <c r="E236" s="45">
        <f t="shared" si="3"/>
        <v>0</v>
      </c>
    </row>
    <row r="237" spans="1:5" ht="24.75" customHeight="1">
      <c r="A237" s="8"/>
      <c r="C237" s="44"/>
      <c r="D237" s="44"/>
      <c r="E237" s="45">
        <f t="shared" si="3"/>
        <v>0</v>
      </c>
    </row>
    <row r="238" spans="1:5" ht="24.75" customHeight="1">
      <c r="A238" s="8"/>
      <c r="C238" s="44"/>
      <c r="D238" s="44"/>
      <c r="E238" s="45">
        <f t="shared" si="3"/>
        <v>0</v>
      </c>
    </row>
    <row r="239" spans="1:5" ht="24.75" customHeight="1">
      <c r="A239" s="8"/>
      <c r="C239" s="44"/>
      <c r="D239" s="44"/>
      <c r="E239" s="45">
        <f t="shared" si="3"/>
        <v>0</v>
      </c>
    </row>
    <row r="240" spans="1:5" ht="24.75" customHeight="1">
      <c r="A240" s="8"/>
      <c r="C240" s="44"/>
      <c r="D240" s="44"/>
      <c r="E240" s="45">
        <f t="shared" si="3"/>
        <v>0</v>
      </c>
    </row>
    <row r="241" spans="1:5" ht="24.75" customHeight="1">
      <c r="A241" s="8"/>
      <c r="C241" s="44"/>
      <c r="D241" s="44"/>
      <c r="E241" s="45">
        <f t="shared" si="3"/>
        <v>0</v>
      </c>
    </row>
    <row r="242" spans="1:5" ht="24.75" customHeight="1">
      <c r="A242" s="8"/>
      <c r="C242" s="44"/>
      <c r="D242" s="44"/>
      <c r="E242" s="45">
        <f t="shared" si="3"/>
        <v>0</v>
      </c>
    </row>
    <row r="243" spans="1:5" ht="24.75" customHeight="1">
      <c r="A243" s="8"/>
      <c r="C243" s="44"/>
      <c r="D243" s="44"/>
      <c r="E243" s="45">
        <f t="shared" si="3"/>
        <v>0</v>
      </c>
    </row>
    <row r="244" spans="1:5" ht="24.75" customHeight="1">
      <c r="A244" s="8"/>
      <c r="C244" s="44"/>
      <c r="D244" s="44"/>
      <c r="E244" s="45">
        <f t="shared" si="3"/>
        <v>0</v>
      </c>
    </row>
    <row r="245" spans="1:5" ht="24.75" customHeight="1">
      <c r="A245" s="8"/>
      <c r="C245" s="44"/>
      <c r="D245" s="44"/>
      <c r="E245" s="45">
        <f t="shared" si="3"/>
        <v>0</v>
      </c>
    </row>
    <row r="246" spans="1:5" ht="24.75" customHeight="1">
      <c r="A246" s="8"/>
      <c r="C246" s="44"/>
      <c r="D246" s="44"/>
      <c r="E246" s="45">
        <f t="shared" si="3"/>
        <v>0</v>
      </c>
    </row>
    <row r="247" spans="1:5" ht="24.75" customHeight="1">
      <c r="A247" s="8"/>
      <c r="C247" s="44"/>
      <c r="D247" s="44"/>
      <c r="E247" s="45">
        <f t="shared" si="3"/>
        <v>0</v>
      </c>
    </row>
    <row r="248" spans="1:5" ht="24.75" customHeight="1">
      <c r="A248" s="8"/>
      <c r="C248" s="44"/>
      <c r="D248" s="44"/>
      <c r="E248" s="45">
        <f t="shared" si="3"/>
        <v>0</v>
      </c>
    </row>
    <row r="249" spans="1:5" ht="24.75" customHeight="1">
      <c r="A249" s="8"/>
      <c r="C249" s="44"/>
      <c r="D249" s="44"/>
      <c r="E249" s="45">
        <f t="shared" si="3"/>
        <v>0</v>
      </c>
    </row>
    <row r="250" spans="1:5" ht="24.75" customHeight="1">
      <c r="A250" s="8"/>
      <c r="C250" s="44"/>
      <c r="D250" s="44"/>
      <c r="E250" s="45">
        <f t="shared" si="3"/>
        <v>0</v>
      </c>
    </row>
    <row r="251" spans="1:5" ht="24.75" customHeight="1">
      <c r="A251" s="8"/>
      <c r="E251" s="45">
        <f t="shared" si="3"/>
        <v>0</v>
      </c>
    </row>
    <row r="252" spans="1:5" ht="24.75" customHeight="1">
      <c r="A252" s="8"/>
      <c r="E252" s="45">
        <f t="shared" si="3"/>
        <v>0</v>
      </c>
    </row>
    <row r="253" spans="1:5" ht="24.75" customHeight="1">
      <c r="A253" s="8"/>
      <c r="E253" s="45">
        <f t="shared" si="3"/>
        <v>0</v>
      </c>
    </row>
    <row r="254" spans="1:5" ht="24.75" customHeight="1">
      <c r="A254" s="8"/>
      <c r="E254" s="45">
        <f t="shared" si="3"/>
        <v>0</v>
      </c>
    </row>
    <row r="255" spans="1:5" ht="24.75" customHeight="1">
      <c r="A255" s="8"/>
      <c r="E255" s="45">
        <f t="shared" si="3"/>
        <v>0</v>
      </c>
    </row>
    <row r="256" spans="1:5" ht="24.75" customHeight="1">
      <c r="A256" s="8"/>
      <c r="E256" s="45">
        <f t="shared" si="3"/>
        <v>0</v>
      </c>
    </row>
    <row r="257" spans="1:5" ht="24.75" customHeight="1">
      <c r="A257" s="8"/>
      <c r="E257" s="45">
        <f t="shared" si="3"/>
        <v>0</v>
      </c>
    </row>
    <row r="258" spans="1:5" ht="24.75" customHeight="1">
      <c r="A258" s="8"/>
      <c r="E258" s="45">
        <f t="shared" ref="E258:E321" si="4">(D258-C258)*24</f>
        <v>0</v>
      </c>
    </row>
    <row r="259" spans="1:5" ht="24.75" customHeight="1">
      <c r="A259" s="8"/>
      <c r="E259" s="45">
        <f t="shared" si="4"/>
        <v>0</v>
      </c>
    </row>
    <row r="260" spans="1:5" ht="24.75" customHeight="1">
      <c r="A260" s="8"/>
      <c r="E260" s="45">
        <f t="shared" si="4"/>
        <v>0</v>
      </c>
    </row>
    <row r="261" spans="1:5" ht="24.75" customHeight="1">
      <c r="A261" s="8"/>
      <c r="E261" s="45">
        <f t="shared" si="4"/>
        <v>0</v>
      </c>
    </row>
    <row r="262" spans="1:5" ht="24.75" customHeight="1">
      <c r="A262" s="8"/>
      <c r="E262" s="45">
        <f t="shared" si="4"/>
        <v>0</v>
      </c>
    </row>
    <row r="263" spans="1:5" ht="24.75" customHeight="1">
      <c r="A263" s="8"/>
      <c r="E263" s="45">
        <f t="shared" si="4"/>
        <v>0</v>
      </c>
    </row>
    <row r="264" spans="1:5" ht="24.75" customHeight="1">
      <c r="A264" s="8"/>
      <c r="E264" s="45">
        <f t="shared" si="4"/>
        <v>0</v>
      </c>
    </row>
    <row r="265" spans="1:5" ht="24.75" customHeight="1">
      <c r="A265" s="8"/>
      <c r="E265" s="45">
        <f t="shared" si="4"/>
        <v>0</v>
      </c>
    </row>
    <row r="266" spans="1:5" ht="24.75" customHeight="1">
      <c r="A266" s="8"/>
      <c r="E266" s="45">
        <f t="shared" si="4"/>
        <v>0</v>
      </c>
    </row>
    <row r="267" spans="1:5" ht="24.75" customHeight="1">
      <c r="A267" s="8"/>
      <c r="E267" s="45">
        <f t="shared" si="4"/>
        <v>0</v>
      </c>
    </row>
    <row r="268" spans="1:5" ht="24.75" customHeight="1">
      <c r="A268" s="8"/>
      <c r="E268" s="45">
        <f t="shared" si="4"/>
        <v>0</v>
      </c>
    </row>
    <row r="269" spans="1:5" ht="24.75" customHeight="1">
      <c r="A269" s="8"/>
      <c r="E269" s="45">
        <f t="shared" si="4"/>
        <v>0</v>
      </c>
    </row>
    <row r="270" spans="1:5" ht="24.75" customHeight="1">
      <c r="A270" s="8"/>
      <c r="E270" s="45">
        <f t="shared" si="4"/>
        <v>0</v>
      </c>
    </row>
    <row r="271" spans="1:5" ht="24.75" customHeight="1">
      <c r="A271" s="8"/>
      <c r="E271" s="45">
        <f t="shared" si="4"/>
        <v>0</v>
      </c>
    </row>
    <row r="272" spans="1:5" ht="24.75" customHeight="1">
      <c r="A272" s="8"/>
      <c r="E272" s="45">
        <f t="shared" si="4"/>
        <v>0</v>
      </c>
    </row>
    <row r="273" spans="1:5" ht="24.75" customHeight="1">
      <c r="A273" s="8"/>
      <c r="E273" s="45">
        <f t="shared" si="4"/>
        <v>0</v>
      </c>
    </row>
    <row r="274" spans="1:5" ht="24.75" customHeight="1">
      <c r="A274" s="8"/>
      <c r="E274" s="45">
        <f t="shared" si="4"/>
        <v>0</v>
      </c>
    </row>
    <row r="275" spans="1:5" ht="24.75" customHeight="1">
      <c r="A275" s="8"/>
      <c r="E275" s="45">
        <f t="shared" si="4"/>
        <v>0</v>
      </c>
    </row>
    <row r="276" spans="1:5" ht="24.75" customHeight="1">
      <c r="A276" s="8"/>
      <c r="E276" s="45">
        <f t="shared" si="4"/>
        <v>0</v>
      </c>
    </row>
    <row r="277" spans="1:5" ht="24.75" customHeight="1">
      <c r="A277" s="8"/>
      <c r="E277" s="45">
        <f t="shared" si="4"/>
        <v>0</v>
      </c>
    </row>
    <row r="278" spans="1:5" ht="24.75" customHeight="1">
      <c r="A278" s="8"/>
      <c r="E278" s="45">
        <f t="shared" si="4"/>
        <v>0</v>
      </c>
    </row>
    <row r="279" spans="1:5" ht="24.75" customHeight="1">
      <c r="A279" s="8"/>
      <c r="E279" s="45">
        <f t="shared" si="4"/>
        <v>0</v>
      </c>
    </row>
    <row r="280" spans="1:5" ht="24.75" customHeight="1">
      <c r="A280" s="8"/>
      <c r="E280" s="45">
        <f t="shared" si="4"/>
        <v>0</v>
      </c>
    </row>
    <row r="281" spans="1:5" ht="24.75" customHeight="1">
      <c r="A281" s="8"/>
      <c r="E281" s="45">
        <f t="shared" si="4"/>
        <v>0</v>
      </c>
    </row>
    <row r="282" spans="1:5" ht="24.75" customHeight="1">
      <c r="A282" s="8"/>
      <c r="E282" s="45">
        <f t="shared" si="4"/>
        <v>0</v>
      </c>
    </row>
    <row r="283" spans="1:5" ht="24.75" customHeight="1">
      <c r="A283" s="8"/>
      <c r="E283" s="45">
        <f t="shared" si="4"/>
        <v>0</v>
      </c>
    </row>
    <row r="284" spans="1:5" ht="24.75" customHeight="1">
      <c r="A284" s="8"/>
      <c r="E284" s="45">
        <f t="shared" si="4"/>
        <v>0</v>
      </c>
    </row>
    <row r="285" spans="1:5" ht="24.75" customHeight="1">
      <c r="A285" s="8"/>
      <c r="E285" s="45">
        <f t="shared" si="4"/>
        <v>0</v>
      </c>
    </row>
    <row r="286" spans="1:5" ht="24.75" customHeight="1">
      <c r="A286" s="8"/>
      <c r="E286" s="45">
        <f t="shared" si="4"/>
        <v>0</v>
      </c>
    </row>
    <row r="287" spans="1:5" ht="24.75" customHeight="1">
      <c r="A287" s="8"/>
      <c r="E287" s="45">
        <f t="shared" si="4"/>
        <v>0</v>
      </c>
    </row>
    <row r="288" spans="1:5" ht="24.75" customHeight="1">
      <c r="A288" s="8"/>
      <c r="E288" s="45">
        <f t="shared" si="4"/>
        <v>0</v>
      </c>
    </row>
    <row r="289" spans="1:5" ht="24.75" customHeight="1">
      <c r="A289" s="8"/>
      <c r="E289" s="45">
        <f t="shared" si="4"/>
        <v>0</v>
      </c>
    </row>
    <row r="290" spans="1:5" ht="24.75" customHeight="1">
      <c r="A290" s="8"/>
      <c r="E290" s="45">
        <f t="shared" si="4"/>
        <v>0</v>
      </c>
    </row>
    <row r="291" spans="1:5" ht="24.75" customHeight="1">
      <c r="A291" s="8"/>
      <c r="E291" s="45">
        <f t="shared" si="4"/>
        <v>0</v>
      </c>
    </row>
    <row r="292" spans="1:5" ht="24.75" customHeight="1">
      <c r="A292" s="8"/>
      <c r="E292" s="45">
        <f t="shared" si="4"/>
        <v>0</v>
      </c>
    </row>
    <row r="293" spans="1:5" ht="24.75" customHeight="1">
      <c r="A293" s="8"/>
      <c r="E293" s="45">
        <f t="shared" si="4"/>
        <v>0</v>
      </c>
    </row>
    <row r="294" spans="1:5" ht="24.75" customHeight="1">
      <c r="A294" s="8"/>
      <c r="E294" s="45">
        <f t="shared" si="4"/>
        <v>0</v>
      </c>
    </row>
    <row r="295" spans="1:5" ht="24.75" customHeight="1">
      <c r="A295" s="8"/>
      <c r="E295" s="45">
        <f t="shared" si="4"/>
        <v>0</v>
      </c>
    </row>
    <row r="296" spans="1:5" ht="24.75" customHeight="1">
      <c r="A296" s="8"/>
      <c r="E296" s="45">
        <f t="shared" si="4"/>
        <v>0</v>
      </c>
    </row>
    <row r="297" spans="1:5" ht="24.75" customHeight="1">
      <c r="A297" s="8"/>
      <c r="E297" s="45">
        <f t="shared" si="4"/>
        <v>0</v>
      </c>
    </row>
    <row r="298" spans="1:5" ht="24.75" customHeight="1">
      <c r="A298" s="8"/>
      <c r="E298" s="45">
        <f t="shared" si="4"/>
        <v>0</v>
      </c>
    </row>
    <row r="299" spans="1:5" ht="24.75" customHeight="1">
      <c r="A299" s="8"/>
      <c r="E299" s="45">
        <f t="shared" si="4"/>
        <v>0</v>
      </c>
    </row>
    <row r="300" spans="1:5" ht="24.75" customHeight="1">
      <c r="A300" s="8"/>
      <c r="E300" s="45">
        <f t="shared" si="4"/>
        <v>0</v>
      </c>
    </row>
    <row r="301" spans="1:5" ht="24.75" customHeight="1">
      <c r="A301" s="8"/>
      <c r="E301" s="45">
        <f t="shared" si="4"/>
        <v>0</v>
      </c>
    </row>
    <row r="302" spans="1:5" ht="24.75" customHeight="1">
      <c r="A302" s="8"/>
      <c r="E302" s="45">
        <f t="shared" si="4"/>
        <v>0</v>
      </c>
    </row>
    <row r="303" spans="1:5" ht="24.75" customHeight="1">
      <c r="A303" s="8"/>
      <c r="E303" s="45">
        <f t="shared" si="4"/>
        <v>0</v>
      </c>
    </row>
    <row r="304" spans="1:5" ht="24.75" customHeight="1">
      <c r="A304" s="8"/>
      <c r="E304" s="45">
        <f t="shared" si="4"/>
        <v>0</v>
      </c>
    </row>
    <row r="305" spans="1:5" ht="24.75" customHeight="1">
      <c r="A305" s="8"/>
      <c r="E305" s="45">
        <f t="shared" si="4"/>
        <v>0</v>
      </c>
    </row>
    <row r="306" spans="1:5" ht="24.75" customHeight="1">
      <c r="A306" s="8"/>
      <c r="E306" s="45">
        <f t="shared" si="4"/>
        <v>0</v>
      </c>
    </row>
    <row r="307" spans="1:5" ht="24.75" customHeight="1">
      <c r="A307" s="8"/>
      <c r="E307" s="45">
        <f t="shared" si="4"/>
        <v>0</v>
      </c>
    </row>
    <row r="308" spans="1:5" ht="24.75" customHeight="1">
      <c r="A308" s="8"/>
      <c r="E308" s="45">
        <f t="shared" si="4"/>
        <v>0</v>
      </c>
    </row>
    <row r="309" spans="1:5" ht="24.75" customHeight="1">
      <c r="A309" s="8"/>
      <c r="E309" s="45">
        <f t="shared" si="4"/>
        <v>0</v>
      </c>
    </row>
    <row r="310" spans="1:5" ht="24.75" customHeight="1">
      <c r="A310" s="8"/>
      <c r="E310" s="45">
        <f t="shared" si="4"/>
        <v>0</v>
      </c>
    </row>
    <row r="311" spans="1:5" ht="24.75" customHeight="1">
      <c r="A311" s="8"/>
      <c r="E311" s="45">
        <f t="shared" si="4"/>
        <v>0</v>
      </c>
    </row>
    <row r="312" spans="1:5" ht="24.75" customHeight="1">
      <c r="A312" s="8"/>
      <c r="E312" s="45">
        <f t="shared" si="4"/>
        <v>0</v>
      </c>
    </row>
    <row r="313" spans="1:5" ht="24.75" customHeight="1">
      <c r="A313" s="8"/>
      <c r="E313" s="45">
        <f t="shared" si="4"/>
        <v>0</v>
      </c>
    </row>
    <row r="314" spans="1:5" ht="24.75" customHeight="1">
      <c r="A314" s="8"/>
      <c r="E314" s="45">
        <f t="shared" si="4"/>
        <v>0</v>
      </c>
    </row>
    <row r="315" spans="1:5" ht="24.75" customHeight="1">
      <c r="A315" s="8"/>
      <c r="E315" s="45">
        <f t="shared" si="4"/>
        <v>0</v>
      </c>
    </row>
    <row r="316" spans="1:5" ht="24.75" customHeight="1">
      <c r="A316" s="8"/>
      <c r="E316" s="45">
        <f t="shared" si="4"/>
        <v>0</v>
      </c>
    </row>
    <row r="317" spans="1:5" ht="24.75" customHeight="1">
      <c r="A317" s="8"/>
      <c r="E317" s="45">
        <f t="shared" si="4"/>
        <v>0</v>
      </c>
    </row>
    <row r="318" spans="1:5" ht="24.75" customHeight="1">
      <c r="A318" s="8"/>
      <c r="E318" s="45">
        <f t="shared" si="4"/>
        <v>0</v>
      </c>
    </row>
    <row r="319" spans="1:5" ht="24.75" customHeight="1">
      <c r="A319" s="8"/>
      <c r="E319" s="45">
        <f t="shared" si="4"/>
        <v>0</v>
      </c>
    </row>
    <row r="320" spans="1:5" ht="24.75" customHeight="1">
      <c r="A320" s="8"/>
      <c r="E320" s="45">
        <f t="shared" si="4"/>
        <v>0</v>
      </c>
    </row>
    <row r="321" spans="1:5" ht="24.75" customHeight="1">
      <c r="A321" s="8"/>
      <c r="E321" s="45">
        <f t="shared" si="4"/>
        <v>0</v>
      </c>
    </row>
    <row r="322" spans="1:5" ht="24.75" customHeight="1">
      <c r="A322" s="8"/>
      <c r="E322" s="45">
        <f t="shared" ref="E322:E385" si="5">(D322-C322)*24</f>
        <v>0</v>
      </c>
    </row>
    <row r="323" spans="1:5" ht="24.75" customHeight="1">
      <c r="A323" s="8"/>
      <c r="E323" s="45">
        <f t="shared" si="5"/>
        <v>0</v>
      </c>
    </row>
    <row r="324" spans="1:5" ht="24.75" customHeight="1">
      <c r="A324" s="8"/>
      <c r="E324" s="45">
        <f t="shared" si="5"/>
        <v>0</v>
      </c>
    </row>
    <row r="325" spans="1:5" ht="24.75" customHeight="1">
      <c r="A325" s="8"/>
      <c r="E325" s="45">
        <f t="shared" si="5"/>
        <v>0</v>
      </c>
    </row>
    <row r="326" spans="1:5" ht="24.75" customHeight="1">
      <c r="A326" s="8"/>
      <c r="E326" s="45">
        <f t="shared" si="5"/>
        <v>0</v>
      </c>
    </row>
    <row r="327" spans="1:5" ht="24.75" customHeight="1">
      <c r="A327" s="8"/>
      <c r="E327" s="45">
        <f t="shared" si="5"/>
        <v>0</v>
      </c>
    </row>
    <row r="328" spans="1:5" ht="24.75" customHeight="1">
      <c r="A328" s="8"/>
      <c r="E328" s="45">
        <f t="shared" si="5"/>
        <v>0</v>
      </c>
    </row>
    <row r="329" spans="1:5" ht="24.75" customHeight="1">
      <c r="A329" s="8"/>
      <c r="E329" s="45">
        <f t="shared" si="5"/>
        <v>0</v>
      </c>
    </row>
    <row r="330" spans="1:5" ht="24.75" customHeight="1">
      <c r="A330" s="8"/>
      <c r="E330" s="45">
        <f t="shared" si="5"/>
        <v>0</v>
      </c>
    </row>
    <row r="331" spans="1:5" ht="24.75" customHeight="1">
      <c r="A331" s="8"/>
      <c r="E331" s="45">
        <f t="shared" si="5"/>
        <v>0</v>
      </c>
    </row>
    <row r="332" spans="1:5" ht="24.75" customHeight="1">
      <c r="A332" s="8"/>
      <c r="E332" s="45">
        <f t="shared" si="5"/>
        <v>0</v>
      </c>
    </row>
    <row r="333" spans="1:5" ht="24.75" customHeight="1">
      <c r="A333" s="8"/>
      <c r="E333" s="45">
        <f t="shared" si="5"/>
        <v>0</v>
      </c>
    </row>
    <row r="334" spans="1:5" ht="24.75" customHeight="1">
      <c r="A334" s="8"/>
      <c r="E334" s="45">
        <f t="shared" si="5"/>
        <v>0</v>
      </c>
    </row>
    <row r="335" spans="1:5" ht="24.75" customHeight="1">
      <c r="A335" s="8"/>
      <c r="E335" s="45">
        <f t="shared" si="5"/>
        <v>0</v>
      </c>
    </row>
    <row r="336" spans="1:5" ht="24.75" customHeight="1">
      <c r="A336" s="8"/>
      <c r="E336" s="45">
        <f t="shared" si="5"/>
        <v>0</v>
      </c>
    </row>
    <row r="337" spans="1:5" ht="24.75" customHeight="1">
      <c r="A337" s="8"/>
      <c r="E337" s="45">
        <f t="shared" si="5"/>
        <v>0</v>
      </c>
    </row>
    <row r="338" spans="1:5" ht="24.75" customHeight="1">
      <c r="A338" s="8"/>
      <c r="E338" s="45">
        <f t="shared" si="5"/>
        <v>0</v>
      </c>
    </row>
    <row r="339" spans="1:5" ht="24.75" customHeight="1">
      <c r="A339" s="8"/>
      <c r="E339" s="45">
        <f t="shared" si="5"/>
        <v>0</v>
      </c>
    </row>
    <row r="340" spans="1:5" ht="24.75" customHeight="1">
      <c r="A340" s="8"/>
      <c r="E340" s="45">
        <f t="shared" si="5"/>
        <v>0</v>
      </c>
    </row>
    <row r="341" spans="1:5" ht="24.75" customHeight="1">
      <c r="A341" s="8"/>
      <c r="E341" s="45">
        <f t="shared" si="5"/>
        <v>0</v>
      </c>
    </row>
    <row r="342" spans="1:5" ht="24.75" customHeight="1">
      <c r="A342" s="8"/>
      <c r="E342" s="45">
        <f t="shared" si="5"/>
        <v>0</v>
      </c>
    </row>
    <row r="343" spans="1:5" ht="24.75" customHeight="1">
      <c r="A343" s="8"/>
      <c r="E343" s="45">
        <f t="shared" si="5"/>
        <v>0</v>
      </c>
    </row>
    <row r="344" spans="1:5" ht="24.75" customHeight="1">
      <c r="A344" s="8"/>
      <c r="E344" s="45">
        <f t="shared" si="5"/>
        <v>0</v>
      </c>
    </row>
    <row r="345" spans="1:5" ht="24.75" customHeight="1">
      <c r="A345" s="8"/>
      <c r="E345" s="45">
        <f t="shared" si="5"/>
        <v>0</v>
      </c>
    </row>
    <row r="346" spans="1:5" ht="24.75" customHeight="1">
      <c r="A346" s="8"/>
      <c r="E346" s="45">
        <f t="shared" si="5"/>
        <v>0</v>
      </c>
    </row>
    <row r="347" spans="1:5" ht="24.75" customHeight="1">
      <c r="A347" s="8"/>
      <c r="E347" s="45">
        <f t="shared" si="5"/>
        <v>0</v>
      </c>
    </row>
    <row r="348" spans="1:5" ht="24.75" customHeight="1">
      <c r="A348" s="8"/>
      <c r="E348" s="45">
        <f t="shared" si="5"/>
        <v>0</v>
      </c>
    </row>
    <row r="349" spans="1:5" ht="24.75" customHeight="1">
      <c r="A349" s="8"/>
      <c r="E349" s="45">
        <f t="shared" si="5"/>
        <v>0</v>
      </c>
    </row>
    <row r="350" spans="1:5" ht="24.75" customHeight="1">
      <c r="A350" s="8"/>
      <c r="E350" s="45">
        <f t="shared" si="5"/>
        <v>0</v>
      </c>
    </row>
    <row r="351" spans="1:5" ht="24.75" customHeight="1">
      <c r="A351" s="8"/>
      <c r="E351" s="45">
        <f t="shared" si="5"/>
        <v>0</v>
      </c>
    </row>
    <row r="352" spans="1:5" ht="24.75" customHeight="1">
      <c r="A352" s="8"/>
      <c r="E352" s="45">
        <f t="shared" si="5"/>
        <v>0</v>
      </c>
    </row>
    <row r="353" spans="1:5" ht="24.75" customHeight="1">
      <c r="A353" s="8"/>
      <c r="E353" s="45">
        <f t="shared" si="5"/>
        <v>0</v>
      </c>
    </row>
    <row r="354" spans="1:5" ht="24.75" customHeight="1">
      <c r="A354" s="8"/>
      <c r="E354" s="45">
        <f t="shared" si="5"/>
        <v>0</v>
      </c>
    </row>
    <row r="355" spans="1:5" ht="24.75" customHeight="1">
      <c r="E355" s="45">
        <f t="shared" si="5"/>
        <v>0</v>
      </c>
    </row>
    <row r="356" spans="1:5" ht="24.75" customHeight="1">
      <c r="E356" s="45">
        <f t="shared" si="5"/>
        <v>0</v>
      </c>
    </row>
    <row r="357" spans="1:5" ht="24.75" customHeight="1">
      <c r="E357" s="45">
        <f t="shared" si="5"/>
        <v>0</v>
      </c>
    </row>
    <row r="358" spans="1:5" ht="24.75" customHeight="1">
      <c r="E358" s="45">
        <f t="shared" si="5"/>
        <v>0</v>
      </c>
    </row>
    <row r="359" spans="1:5" ht="24.75" customHeight="1">
      <c r="E359" s="45">
        <f t="shared" si="5"/>
        <v>0</v>
      </c>
    </row>
    <row r="360" spans="1:5" ht="24.75" customHeight="1">
      <c r="E360" s="45">
        <f t="shared" si="5"/>
        <v>0</v>
      </c>
    </row>
    <row r="361" spans="1:5" ht="24.75" customHeight="1">
      <c r="E361" s="45">
        <f t="shared" si="5"/>
        <v>0</v>
      </c>
    </row>
    <row r="362" spans="1:5" ht="24.75" customHeight="1">
      <c r="E362" s="45">
        <f t="shared" si="5"/>
        <v>0</v>
      </c>
    </row>
    <row r="363" spans="1:5" ht="24.75" customHeight="1">
      <c r="E363" s="45">
        <f t="shared" si="5"/>
        <v>0</v>
      </c>
    </row>
    <row r="364" spans="1:5" ht="24.75" customHeight="1">
      <c r="E364" s="45">
        <f t="shared" si="5"/>
        <v>0</v>
      </c>
    </row>
    <row r="365" spans="1:5" ht="24.75" customHeight="1">
      <c r="E365" s="45">
        <f t="shared" si="5"/>
        <v>0</v>
      </c>
    </row>
    <row r="366" spans="1:5" ht="24.75" customHeight="1">
      <c r="E366" s="45">
        <f t="shared" si="5"/>
        <v>0</v>
      </c>
    </row>
    <row r="367" spans="1:5" ht="24.75" customHeight="1">
      <c r="E367" s="45">
        <f t="shared" si="5"/>
        <v>0</v>
      </c>
    </row>
    <row r="368" spans="1:5" ht="24.75" customHeight="1">
      <c r="E368" s="45">
        <f t="shared" si="5"/>
        <v>0</v>
      </c>
    </row>
    <row r="369" spans="5:5" ht="24.75" customHeight="1">
      <c r="E369" s="45">
        <f t="shared" si="5"/>
        <v>0</v>
      </c>
    </row>
    <row r="370" spans="5:5" ht="24.75" customHeight="1">
      <c r="E370" s="45">
        <f t="shared" si="5"/>
        <v>0</v>
      </c>
    </row>
    <row r="371" spans="5:5" ht="24.75" customHeight="1">
      <c r="E371" s="45">
        <f t="shared" si="5"/>
        <v>0</v>
      </c>
    </row>
    <row r="372" spans="5:5" ht="24.75" customHeight="1">
      <c r="E372" s="45">
        <f t="shared" si="5"/>
        <v>0</v>
      </c>
    </row>
    <row r="373" spans="5:5" ht="24.75" customHeight="1">
      <c r="E373" s="45">
        <f t="shared" si="5"/>
        <v>0</v>
      </c>
    </row>
    <row r="374" spans="5:5" ht="24.75" customHeight="1">
      <c r="E374" s="45">
        <f t="shared" si="5"/>
        <v>0</v>
      </c>
    </row>
    <row r="375" spans="5:5" ht="24.75" customHeight="1">
      <c r="E375" s="45">
        <f t="shared" si="5"/>
        <v>0</v>
      </c>
    </row>
    <row r="376" spans="5:5" ht="24.75" customHeight="1">
      <c r="E376" s="45">
        <f t="shared" si="5"/>
        <v>0</v>
      </c>
    </row>
    <row r="377" spans="5:5" ht="24.75" customHeight="1">
      <c r="E377" s="45">
        <f t="shared" si="5"/>
        <v>0</v>
      </c>
    </row>
    <row r="378" spans="5:5" ht="24.75" customHeight="1">
      <c r="E378" s="45">
        <f t="shared" si="5"/>
        <v>0</v>
      </c>
    </row>
    <row r="379" spans="5:5" ht="24.75" customHeight="1">
      <c r="E379" s="45">
        <f t="shared" si="5"/>
        <v>0</v>
      </c>
    </row>
    <row r="380" spans="5:5" ht="24.75" customHeight="1">
      <c r="E380" s="45">
        <f t="shared" si="5"/>
        <v>0</v>
      </c>
    </row>
    <row r="381" spans="5:5" ht="24.75" customHeight="1">
      <c r="E381" s="45">
        <f t="shared" si="5"/>
        <v>0</v>
      </c>
    </row>
    <row r="382" spans="5:5" ht="24.75" customHeight="1">
      <c r="E382" s="45">
        <f t="shared" si="5"/>
        <v>0</v>
      </c>
    </row>
    <row r="383" spans="5:5" ht="24.75" customHeight="1">
      <c r="E383" s="45">
        <f t="shared" si="5"/>
        <v>0</v>
      </c>
    </row>
    <row r="384" spans="5:5" ht="24.75" customHeight="1">
      <c r="E384" s="45">
        <f t="shared" si="5"/>
        <v>0</v>
      </c>
    </row>
    <row r="385" spans="5:5" ht="24.75" customHeight="1">
      <c r="E385" s="45">
        <f t="shared" si="5"/>
        <v>0</v>
      </c>
    </row>
    <row r="386" spans="5:5" ht="24.75" customHeight="1">
      <c r="E386" s="45">
        <f t="shared" ref="E386:E400" si="6">(D386-C386)*24</f>
        <v>0</v>
      </c>
    </row>
    <row r="387" spans="5:5" ht="24.75" customHeight="1">
      <c r="E387" s="45">
        <f t="shared" si="6"/>
        <v>0</v>
      </c>
    </row>
    <row r="388" spans="5:5" ht="24.75" customHeight="1">
      <c r="E388" s="45">
        <f t="shared" si="6"/>
        <v>0</v>
      </c>
    </row>
    <row r="389" spans="5:5" ht="24.75" customHeight="1">
      <c r="E389" s="45">
        <f t="shared" si="6"/>
        <v>0</v>
      </c>
    </row>
    <row r="390" spans="5:5" ht="24.75" customHeight="1">
      <c r="E390" s="45">
        <f t="shared" si="6"/>
        <v>0</v>
      </c>
    </row>
    <row r="391" spans="5:5" ht="24.75" customHeight="1">
      <c r="E391" s="45">
        <f t="shared" si="6"/>
        <v>0</v>
      </c>
    </row>
    <row r="392" spans="5:5" ht="24.75" customHeight="1">
      <c r="E392" s="45">
        <f t="shared" si="6"/>
        <v>0</v>
      </c>
    </row>
    <row r="393" spans="5:5" ht="24.75" customHeight="1">
      <c r="E393" s="45">
        <f t="shared" si="6"/>
        <v>0</v>
      </c>
    </row>
    <row r="394" spans="5:5" ht="24.75" customHeight="1">
      <c r="E394" s="45">
        <f t="shared" si="6"/>
        <v>0</v>
      </c>
    </row>
    <row r="395" spans="5:5" ht="24.75" customHeight="1">
      <c r="E395" s="45">
        <f t="shared" si="6"/>
        <v>0</v>
      </c>
    </row>
    <row r="396" spans="5:5" ht="24.75" customHeight="1">
      <c r="E396" s="45">
        <f t="shared" si="6"/>
        <v>0</v>
      </c>
    </row>
    <row r="397" spans="5:5" ht="24.75" customHeight="1">
      <c r="E397" s="45">
        <f t="shared" si="6"/>
        <v>0</v>
      </c>
    </row>
    <row r="398" spans="5:5" ht="24.75" customHeight="1">
      <c r="E398" s="45">
        <f t="shared" si="6"/>
        <v>0</v>
      </c>
    </row>
    <row r="399" spans="5:5" ht="24.75" customHeight="1">
      <c r="E399" s="45">
        <f t="shared" si="6"/>
        <v>0</v>
      </c>
    </row>
    <row r="400" spans="5:5" ht="24.75" customHeight="1">
      <c r="E400" s="45">
        <f t="shared" si="6"/>
        <v>0</v>
      </c>
    </row>
  </sheetData>
  <sheetProtection sheet="1" objects="1" scenarios="1"/>
  <protectedRanges>
    <protectedRange sqref="A1:D1048576" name="Input"/>
    <protectedRange sqref="F1:F1048576" name="Notes"/>
  </protectedRange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Tube Laser</vt:lpstr>
      <vt:lpstr>Flat Laser</vt:lpstr>
      <vt:lpstr>Punch</vt:lpstr>
      <vt:lpstr>Level</vt:lpstr>
      <vt:lpstr>Finish</vt:lpstr>
      <vt:lpstr>PEM</vt:lpstr>
      <vt:lpstr>ASM</vt:lpstr>
      <vt:lpstr>Form</vt:lpstr>
      <vt:lpstr>Weld</vt:lpstr>
      <vt:lpstr>Titus Weld</vt:lpstr>
      <vt:lpstr>MacGyver Weld</vt:lpstr>
      <vt:lpstr>Grind</vt:lpstr>
      <vt:lpstr>Robot Weld</vt:lpstr>
      <vt:lpstr>Roll</vt:lpstr>
      <vt:lpstr>MA</vt:lpstr>
      <vt:lpstr>RW</vt:lpstr>
      <vt:lpstr>Data</vt:lpstr>
      <vt:lpstr>Downtime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Collin Phillips</dc:creator>
  <cp:keywords/>
  <dc:description/>
  <cp:lastModifiedBy>Chris Ball</cp:lastModifiedBy>
  <cp:revision/>
  <dcterms:created xsi:type="dcterms:W3CDTF">2026-03-30T18:49:10Z</dcterms:created>
  <dcterms:modified xsi:type="dcterms:W3CDTF">2026-04-18T18:47:10Z</dcterms:modified>
  <cp:category/>
  <cp:contentStatus/>
</cp:coreProperties>
</file>